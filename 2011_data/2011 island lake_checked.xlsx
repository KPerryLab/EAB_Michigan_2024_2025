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2f02f1096a9313f/Documents/Entomology MS/Thesis research/EAB_Michigan_2024_2025_github_folder/2011_data/"/>
    </mc:Choice>
  </mc:AlternateContent>
  <xr:revisionPtr revIDLastSave="12" documentId="11_8EE7DC17FAF763342ACB3AC849CCE6F08ECF2E1E" xr6:coauthVersionLast="47" xr6:coauthVersionMax="47" xr10:uidLastSave="{50B56031-D5B5-443E-878B-77DF64DC241B}"/>
  <bookViews>
    <workbookView xWindow="-110" yWindow="-110" windowWidth="19420" windowHeight="10420" activeTab="5" xr2:uid="{00000000-000D-0000-FFFF-FFFF00000000}"/>
  </bookViews>
  <sheets>
    <sheet name="quads.all" sheetId="7" r:id="rId1"/>
    <sheet name="pics" sheetId="5" r:id="rId2"/>
    <sheet name="FIA" sheetId="15" r:id="rId3"/>
    <sheet name="tall-skinny" sheetId="8" r:id="rId4"/>
    <sheet name="ash saplings" sheetId="6" r:id="rId5"/>
    <sheet name="nat&amp;inv" sheetId="2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1" i="8" l="1"/>
  <c r="J82" i="8"/>
  <c r="J83" i="8"/>
  <c r="J84" i="8"/>
  <c r="J85" i="8"/>
  <c r="J86" i="8"/>
  <c r="J87" i="8"/>
  <c r="I89" i="8"/>
  <c r="I88" i="8"/>
  <c r="H91" i="8"/>
  <c r="J91" i="8" s="1"/>
  <c r="H89" i="8"/>
  <c r="H88" i="8"/>
  <c r="G90" i="8"/>
  <c r="J90" i="8" s="1"/>
  <c r="G89" i="8"/>
  <c r="G88" i="8"/>
  <c r="F88" i="8"/>
  <c r="AI66" i="7"/>
  <c r="AI67" i="7"/>
  <c r="AI68" i="7"/>
  <c r="AI69" i="7"/>
  <c r="AI70" i="7"/>
  <c r="AI71" i="7"/>
  <c r="AF65" i="7"/>
  <c r="AG65" i="7"/>
  <c r="AF66" i="7"/>
  <c r="AG66" i="7"/>
  <c r="AF67" i="7"/>
  <c r="AG67" i="7"/>
  <c r="AF68" i="7"/>
  <c r="AG68" i="7"/>
  <c r="AF69" i="7"/>
  <c r="AG69" i="7"/>
  <c r="AF70" i="7"/>
  <c r="AG70" i="7"/>
  <c r="AF71" i="7"/>
  <c r="AG71" i="7"/>
  <c r="AK71" i="7"/>
  <c r="AK70" i="7"/>
  <c r="AK69" i="7"/>
  <c r="AK68" i="7"/>
  <c r="AK67" i="7"/>
  <c r="AK66" i="7"/>
  <c r="AK65" i="7"/>
  <c r="AD65" i="7"/>
  <c r="AD66" i="7"/>
  <c r="AD67" i="7"/>
  <c r="AD68" i="7"/>
  <c r="AD69" i="7"/>
  <c r="AD70" i="7"/>
  <c r="AD71" i="7"/>
  <c r="AI65" i="7"/>
  <c r="AH71" i="7"/>
  <c r="AH70" i="7"/>
  <c r="AH69" i="7"/>
  <c r="AH68" i="7"/>
  <c r="AH67" i="7"/>
  <c r="AH66" i="7"/>
  <c r="AH65" i="7"/>
  <c r="X65" i="7"/>
  <c r="X66" i="7"/>
  <c r="X67" i="7"/>
  <c r="X68" i="7"/>
  <c r="X69" i="7"/>
  <c r="X70" i="7"/>
  <c r="X71" i="7"/>
  <c r="R65" i="7"/>
  <c r="R66" i="7"/>
  <c r="R67" i="7"/>
  <c r="R68" i="7"/>
  <c r="R69" i="7"/>
  <c r="R70" i="7"/>
  <c r="R71" i="7"/>
  <c r="L65" i="7"/>
  <c r="L66" i="7"/>
  <c r="L67" i="7"/>
  <c r="L68" i="7"/>
  <c r="L69" i="7"/>
  <c r="L70" i="7"/>
  <c r="L71" i="7"/>
  <c r="J72" i="8"/>
  <c r="J73" i="8"/>
  <c r="J74" i="8"/>
  <c r="I80" i="8"/>
  <c r="J80" i="8" s="1"/>
  <c r="I77" i="8"/>
  <c r="I76" i="8"/>
  <c r="H79" i="8"/>
  <c r="J79" i="8" s="1"/>
  <c r="H77" i="8"/>
  <c r="G78" i="8"/>
  <c r="J78" i="8" s="1"/>
  <c r="G77" i="8"/>
  <c r="G75" i="8"/>
  <c r="F77" i="8"/>
  <c r="F76" i="8"/>
  <c r="F75" i="8"/>
  <c r="AF61" i="7"/>
  <c r="AG61" i="7"/>
  <c r="AF62" i="7"/>
  <c r="AG62" i="7"/>
  <c r="AF63" i="7"/>
  <c r="AG63" i="7"/>
  <c r="AF64" i="7"/>
  <c r="AG64" i="7"/>
  <c r="AK64" i="7"/>
  <c r="AK63" i="7"/>
  <c r="AK62" i="7"/>
  <c r="AK61" i="7"/>
  <c r="AD61" i="7"/>
  <c r="AD62" i="7"/>
  <c r="AD63" i="7"/>
  <c r="AD64" i="7"/>
  <c r="AI64" i="7"/>
  <c r="AI63" i="7"/>
  <c r="AI62" i="7"/>
  <c r="AI61" i="7"/>
  <c r="AH64" i="7"/>
  <c r="AH63" i="7"/>
  <c r="AH62" i="7"/>
  <c r="AH61" i="7"/>
  <c r="X61" i="7"/>
  <c r="X62" i="7"/>
  <c r="X63" i="7"/>
  <c r="X64" i="7"/>
  <c r="R61" i="7"/>
  <c r="R62" i="7"/>
  <c r="R63" i="7"/>
  <c r="R64" i="7"/>
  <c r="L61" i="7"/>
  <c r="L62" i="7"/>
  <c r="L63" i="7"/>
  <c r="L64" i="7"/>
  <c r="J59" i="8"/>
  <c r="J60" i="8"/>
  <c r="J61" i="8"/>
  <c r="I62" i="8"/>
  <c r="H71" i="8"/>
  <c r="J71" i="8" s="1"/>
  <c r="H68" i="8"/>
  <c r="H64" i="8"/>
  <c r="G70" i="8"/>
  <c r="G69" i="8"/>
  <c r="G68" i="8"/>
  <c r="G64" i="8"/>
  <c r="F70" i="8"/>
  <c r="J70" i="8" s="1"/>
  <c r="F69" i="8"/>
  <c r="F68" i="8"/>
  <c r="F64" i="8"/>
  <c r="J64" i="8" s="1"/>
  <c r="F65" i="8"/>
  <c r="J65" i="8" s="1"/>
  <c r="F66" i="8"/>
  <c r="J66" i="8" s="1"/>
  <c r="F67" i="8"/>
  <c r="J67" i="8" s="1"/>
  <c r="F63" i="8"/>
  <c r="J63" i="8" s="1"/>
  <c r="F62" i="8"/>
  <c r="J62" i="8" s="1"/>
  <c r="AK56" i="7"/>
  <c r="AK57" i="7"/>
  <c r="AK58" i="7"/>
  <c r="AK59" i="7"/>
  <c r="AK60" i="7"/>
  <c r="AI54" i="7"/>
  <c r="AI55" i="7"/>
  <c r="AI56" i="7"/>
  <c r="AI57" i="7"/>
  <c r="AI58" i="7"/>
  <c r="AI59" i="7"/>
  <c r="AI60" i="7"/>
  <c r="AK55" i="7"/>
  <c r="AF54" i="7"/>
  <c r="AG54" i="7"/>
  <c r="AF55" i="7"/>
  <c r="AG55" i="7"/>
  <c r="AF56" i="7"/>
  <c r="AG56" i="7"/>
  <c r="AF57" i="7"/>
  <c r="AG57" i="7"/>
  <c r="AF58" i="7"/>
  <c r="AG58" i="7"/>
  <c r="AF59" i="7"/>
  <c r="AG59" i="7"/>
  <c r="AF60" i="7"/>
  <c r="AG60" i="7"/>
  <c r="AK54" i="7"/>
  <c r="AD54" i="7"/>
  <c r="AD55" i="7"/>
  <c r="AD56" i="7"/>
  <c r="AD57" i="7"/>
  <c r="AD58" i="7"/>
  <c r="AD59" i="7"/>
  <c r="AD60" i="7"/>
  <c r="AH60" i="7"/>
  <c r="AH59" i="7"/>
  <c r="AH58" i="7"/>
  <c r="AH57" i="7"/>
  <c r="AH56" i="7"/>
  <c r="AH55" i="7"/>
  <c r="AH54" i="7"/>
  <c r="X54" i="7"/>
  <c r="X55" i="7"/>
  <c r="X56" i="7"/>
  <c r="X57" i="7"/>
  <c r="X58" i="7"/>
  <c r="X59" i="7"/>
  <c r="X60" i="7"/>
  <c r="R54" i="7"/>
  <c r="R55" i="7"/>
  <c r="R56" i="7"/>
  <c r="R57" i="7"/>
  <c r="R58" i="7"/>
  <c r="R59" i="7"/>
  <c r="R60" i="7"/>
  <c r="L54" i="7"/>
  <c r="L55" i="7"/>
  <c r="L56" i="7"/>
  <c r="L57" i="7"/>
  <c r="L58" i="7"/>
  <c r="L59" i="7"/>
  <c r="L60" i="7"/>
  <c r="J49" i="8"/>
  <c r="J50" i="8"/>
  <c r="J51" i="8"/>
  <c r="J52" i="8"/>
  <c r="I58" i="8"/>
  <c r="I57" i="8"/>
  <c r="I56" i="8"/>
  <c r="I54" i="8"/>
  <c r="I53" i="8"/>
  <c r="H58" i="8"/>
  <c r="H57" i="8"/>
  <c r="H56" i="8"/>
  <c r="H55" i="8"/>
  <c r="H54" i="8"/>
  <c r="G57" i="8"/>
  <c r="G56" i="8"/>
  <c r="G54" i="8"/>
  <c r="F57" i="8"/>
  <c r="F56" i="8"/>
  <c r="F55" i="8"/>
  <c r="F54" i="8"/>
  <c r="F53" i="8"/>
  <c r="J53" i="8" s="1"/>
  <c r="AI50" i="7"/>
  <c r="AI51" i="7"/>
  <c r="AI52" i="7"/>
  <c r="AI53" i="7"/>
  <c r="AF50" i="7"/>
  <c r="AG50" i="7"/>
  <c r="AF51" i="7"/>
  <c r="AG51" i="7"/>
  <c r="AF52" i="7"/>
  <c r="AG52" i="7"/>
  <c r="AF53" i="7"/>
  <c r="AG53" i="7"/>
  <c r="AK53" i="7"/>
  <c r="AK52" i="7"/>
  <c r="AK51" i="7"/>
  <c r="AK50" i="7"/>
  <c r="AD50" i="7"/>
  <c r="AD51" i="7"/>
  <c r="AD52" i="7"/>
  <c r="AD53" i="7"/>
  <c r="AH53" i="7"/>
  <c r="AH52" i="7"/>
  <c r="AH51" i="7"/>
  <c r="AH50" i="7"/>
  <c r="X50" i="7"/>
  <c r="X51" i="7"/>
  <c r="X52" i="7"/>
  <c r="X53" i="7"/>
  <c r="R50" i="7"/>
  <c r="R51" i="7"/>
  <c r="R52" i="7"/>
  <c r="R53" i="7"/>
  <c r="L50" i="7"/>
  <c r="L51" i="7"/>
  <c r="L52" i="7"/>
  <c r="L53" i="7"/>
  <c r="J36" i="8"/>
  <c r="J37" i="8"/>
  <c r="J38" i="8"/>
  <c r="J39" i="8"/>
  <c r="I40" i="8"/>
  <c r="H40" i="8"/>
  <c r="G40" i="8"/>
  <c r="F40" i="8"/>
  <c r="AF39" i="7"/>
  <c r="AG39" i="7"/>
  <c r="AF40" i="7"/>
  <c r="AG40" i="7"/>
  <c r="AF41" i="7"/>
  <c r="AG41" i="7"/>
  <c r="AF42" i="7"/>
  <c r="AG42" i="7"/>
  <c r="AF43" i="7"/>
  <c r="AG43" i="7"/>
  <c r="AK43" i="7"/>
  <c r="AK42" i="7"/>
  <c r="AK41" i="7"/>
  <c r="AK40" i="7"/>
  <c r="AK39" i="7"/>
  <c r="AD39" i="7"/>
  <c r="AD40" i="7"/>
  <c r="AD41" i="7"/>
  <c r="AD42" i="7"/>
  <c r="AD43" i="7"/>
  <c r="AI43" i="7"/>
  <c r="AI42" i="7"/>
  <c r="AI41" i="7"/>
  <c r="AI40" i="7"/>
  <c r="AI39" i="7"/>
  <c r="AH43" i="7"/>
  <c r="AH42" i="7"/>
  <c r="AH41" i="7"/>
  <c r="AH40" i="7"/>
  <c r="AH39" i="7"/>
  <c r="X39" i="7"/>
  <c r="X40" i="7"/>
  <c r="X41" i="7"/>
  <c r="X42" i="7"/>
  <c r="X43" i="7"/>
  <c r="R39" i="7"/>
  <c r="R40" i="7"/>
  <c r="R41" i="7"/>
  <c r="R42" i="7"/>
  <c r="R43" i="7"/>
  <c r="L39" i="7"/>
  <c r="L40" i="7"/>
  <c r="L41" i="7"/>
  <c r="L42" i="7"/>
  <c r="L43" i="7"/>
  <c r="J17" i="8"/>
  <c r="J18" i="8"/>
  <c r="J19" i="8"/>
  <c r="J20" i="8"/>
  <c r="J21" i="8"/>
  <c r="I22" i="8"/>
  <c r="H22" i="8"/>
  <c r="G23" i="8"/>
  <c r="J23" i="8" s="1"/>
  <c r="G22" i="8"/>
  <c r="F22" i="8"/>
  <c r="AI22" i="7"/>
  <c r="AI23" i="7"/>
  <c r="AI24" i="7"/>
  <c r="AI25" i="7"/>
  <c r="AI26" i="7"/>
  <c r="AI27" i="7"/>
  <c r="AI28" i="7"/>
  <c r="AI29" i="7"/>
  <c r="AF22" i="7"/>
  <c r="AG22" i="7"/>
  <c r="AF23" i="7"/>
  <c r="AG23" i="7"/>
  <c r="AF24" i="7"/>
  <c r="AG24" i="7"/>
  <c r="AF25" i="7"/>
  <c r="AG25" i="7"/>
  <c r="AF26" i="7"/>
  <c r="AG26" i="7"/>
  <c r="AF27" i="7"/>
  <c r="AG27" i="7"/>
  <c r="AF28" i="7"/>
  <c r="AG28" i="7"/>
  <c r="AF29" i="7"/>
  <c r="AG29" i="7"/>
  <c r="AK29" i="7"/>
  <c r="AK28" i="7"/>
  <c r="AK27" i="7"/>
  <c r="AK26" i="7"/>
  <c r="AK25" i="7"/>
  <c r="AK24" i="7"/>
  <c r="AK23" i="7"/>
  <c r="AK22" i="7"/>
  <c r="AD22" i="7"/>
  <c r="AD23" i="7"/>
  <c r="AD24" i="7"/>
  <c r="AD25" i="7"/>
  <c r="AD26" i="7"/>
  <c r="AD27" i="7"/>
  <c r="AD28" i="7"/>
  <c r="AD29" i="7"/>
  <c r="AH29" i="7"/>
  <c r="AH28" i="7"/>
  <c r="AH27" i="7"/>
  <c r="AH26" i="7"/>
  <c r="AH25" i="7"/>
  <c r="AH24" i="7"/>
  <c r="AH23" i="7"/>
  <c r="AH22" i="7"/>
  <c r="X22" i="7"/>
  <c r="X23" i="7"/>
  <c r="X24" i="7"/>
  <c r="X25" i="7"/>
  <c r="X26" i="7"/>
  <c r="X27" i="7"/>
  <c r="X28" i="7"/>
  <c r="X29" i="7"/>
  <c r="R22" i="7"/>
  <c r="R23" i="7"/>
  <c r="R24" i="7"/>
  <c r="R25" i="7"/>
  <c r="R26" i="7"/>
  <c r="R27" i="7"/>
  <c r="R28" i="7"/>
  <c r="R29" i="7"/>
  <c r="L22" i="7"/>
  <c r="L23" i="7"/>
  <c r="L24" i="7"/>
  <c r="L25" i="7"/>
  <c r="L26" i="7"/>
  <c r="L27" i="7"/>
  <c r="L28" i="7"/>
  <c r="L29" i="7"/>
  <c r="J10" i="8"/>
  <c r="J11" i="8"/>
  <c r="J12" i="8"/>
  <c r="J13" i="8"/>
  <c r="J14" i="8"/>
  <c r="I16" i="8"/>
  <c r="I15" i="8"/>
  <c r="H16" i="8"/>
  <c r="G16" i="8"/>
  <c r="G15" i="8"/>
  <c r="F16" i="8"/>
  <c r="F15" i="8"/>
  <c r="AK16" i="7"/>
  <c r="AK17" i="7"/>
  <c r="AK18" i="7"/>
  <c r="AK19" i="7"/>
  <c r="AK20" i="7"/>
  <c r="AK21" i="7"/>
  <c r="AF14" i="7"/>
  <c r="AG14" i="7"/>
  <c r="AH14" i="7"/>
  <c r="AI14" i="7"/>
  <c r="AF15" i="7"/>
  <c r="AG15" i="7"/>
  <c r="AH15" i="7"/>
  <c r="AI15" i="7"/>
  <c r="AF16" i="7"/>
  <c r="AG16" i="7"/>
  <c r="AH16" i="7"/>
  <c r="AI16" i="7"/>
  <c r="AF17" i="7"/>
  <c r="AG17" i="7"/>
  <c r="AH17" i="7"/>
  <c r="AI17" i="7"/>
  <c r="AF18" i="7"/>
  <c r="AG18" i="7"/>
  <c r="AH18" i="7"/>
  <c r="AI18" i="7"/>
  <c r="AF19" i="7"/>
  <c r="AG19" i="7"/>
  <c r="AH19" i="7"/>
  <c r="AI19" i="7"/>
  <c r="AF20" i="7"/>
  <c r="AG20" i="7"/>
  <c r="AH20" i="7"/>
  <c r="AI20" i="7"/>
  <c r="AF21" i="7"/>
  <c r="AG21" i="7"/>
  <c r="AH21" i="7"/>
  <c r="AI21" i="7"/>
  <c r="AK15" i="7"/>
  <c r="AK14" i="7"/>
  <c r="AD14" i="7"/>
  <c r="AD15" i="7"/>
  <c r="AD16" i="7"/>
  <c r="AD17" i="7"/>
  <c r="AD18" i="7"/>
  <c r="AD19" i="7"/>
  <c r="AD20" i="7"/>
  <c r="AD21" i="7"/>
  <c r="X14" i="7"/>
  <c r="X15" i="7"/>
  <c r="X16" i="7"/>
  <c r="X17" i="7"/>
  <c r="X18" i="7"/>
  <c r="X19" i="7"/>
  <c r="X20" i="7"/>
  <c r="X21" i="7"/>
  <c r="R14" i="7"/>
  <c r="R15" i="7"/>
  <c r="R16" i="7"/>
  <c r="R17" i="7"/>
  <c r="R18" i="7"/>
  <c r="R19" i="7"/>
  <c r="R20" i="7"/>
  <c r="R21" i="7"/>
  <c r="L14" i="7"/>
  <c r="L15" i="7"/>
  <c r="L16" i="7"/>
  <c r="L17" i="7"/>
  <c r="L18" i="7"/>
  <c r="L19" i="7"/>
  <c r="L20" i="7"/>
  <c r="L21" i="7"/>
  <c r="J102" i="8"/>
  <c r="J103" i="8"/>
  <c r="I106" i="8"/>
  <c r="J106" i="8" s="1"/>
  <c r="G105" i="8"/>
  <c r="J105" i="8" s="1"/>
  <c r="G104" i="8"/>
  <c r="F104" i="8"/>
  <c r="J104" i="8" s="1"/>
  <c r="AF80" i="7"/>
  <c r="AG80" i="7"/>
  <c r="AH80" i="7"/>
  <c r="AI80" i="7"/>
  <c r="AK80" i="7"/>
  <c r="AF81" i="7"/>
  <c r="AG81" i="7"/>
  <c r="AH81" i="7"/>
  <c r="AI81" i="7"/>
  <c r="AK81" i="7"/>
  <c r="AF82" i="7"/>
  <c r="AG82" i="7"/>
  <c r="AH82" i="7"/>
  <c r="AI82" i="7"/>
  <c r="AK82" i="7"/>
  <c r="AF83" i="7"/>
  <c r="AG83" i="7"/>
  <c r="AH83" i="7"/>
  <c r="AI83" i="7"/>
  <c r="AK83" i="7"/>
  <c r="AF84" i="7"/>
  <c r="AG84" i="7"/>
  <c r="AH84" i="7"/>
  <c r="AI84" i="7"/>
  <c r="AK84" i="7"/>
  <c r="AF85" i="7"/>
  <c r="AG85" i="7"/>
  <c r="AH85" i="7"/>
  <c r="AI85" i="7"/>
  <c r="AK85" i="7"/>
  <c r="AF86" i="7"/>
  <c r="AG86" i="7"/>
  <c r="AH86" i="7"/>
  <c r="AI86" i="7"/>
  <c r="AK86" i="7"/>
  <c r="AF87" i="7"/>
  <c r="AG87" i="7"/>
  <c r="AH87" i="7"/>
  <c r="AI87" i="7"/>
  <c r="AK87" i="7"/>
  <c r="AD80" i="7"/>
  <c r="AD81" i="7"/>
  <c r="AD82" i="7"/>
  <c r="AD83" i="7"/>
  <c r="AD84" i="7"/>
  <c r="AD85" i="7"/>
  <c r="AD86" i="7"/>
  <c r="AD87" i="7"/>
  <c r="X80" i="7"/>
  <c r="X81" i="7"/>
  <c r="X82" i="7"/>
  <c r="X83" i="7"/>
  <c r="X84" i="7"/>
  <c r="X85" i="7"/>
  <c r="X86" i="7"/>
  <c r="X87" i="7"/>
  <c r="R80" i="7"/>
  <c r="R81" i="7"/>
  <c r="R82" i="7"/>
  <c r="R83" i="7"/>
  <c r="R84" i="7"/>
  <c r="R85" i="7"/>
  <c r="R86" i="7"/>
  <c r="R87" i="7"/>
  <c r="L80" i="7"/>
  <c r="L81" i="7"/>
  <c r="L82" i="7"/>
  <c r="L83" i="7"/>
  <c r="L84" i="7"/>
  <c r="L85" i="7"/>
  <c r="L86" i="7"/>
  <c r="L87" i="7"/>
  <c r="J92" i="8"/>
  <c r="J93" i="8"/>
  <c r="J94" i="8"/>
  <c r="J95" i="8"/>
  <c r="J96" i="8"/>
  <c r="I98" i="8"/>
  <c r="I97" i="8"/>
  <c r="H101" i="8"/>
  <c r="J101" i="8" s="1"/>
  <c r="H100" i="8"/>
  <c r="H97" i="8"/>
  <c r="G100" i="8"/>
  <c r="G99" i="8"/>
  <c r="J99" i="8" s="1"/>
  <c r="G98" i="8"/>
  <c r="G97" i="8"/>
  <c r="F98" i="8"/>
  <c r="F97" i="8"/>
  <c r="AK74" i="7"/>
  <c r="AK75" i="7"/>
  <c r="AK76" i="7"/>
  <c r="AK77" i="7"/>
  <c r="AK78" i="7"/>
  <c r="AK79" i="7"/>
  <c r="AI73" i="7"/>
  <c r="AI74" i="7"/>
  <c r="AI75" i="7"/>
  <c r="AI76" i="7"/>
  <c r="AI77" i="7"/>
  <c r="AI78" i="7"/>
  <c r="AI79" i="7"/>
  <c r="AH74" i="7"/>
  <c r="AH75" i="7"/>
  <c r="AH76" i="7"/>
  <c r="AH77" i="7"/>
  <c r="AH78" i="7"/>
  <c r="AH79" i="7"/>
  <c r="AF72" i="7"/>
  <c r="AG72" i="7"/>
  <c r="AF73" i="7"/>
  <c r="AG73" i="7"/>
  <c r="AF74" i="7"/>
  <c r="AG74" i="7"/>
  <c r="AF75" i="7"/>
  <c r="AG75" i="7"/>
  <c r="AF76" i="7"/>
  <c r="AG76" i="7"/>
  <c r="AF77" i="7"/>
  <c r="AG77" i="7"/>
  <c r="AF78" i="7"/>
  <c r="AG78" i="7"/>
  <c r="AF79" i="7"/>
  <c r="AG79" i="7"/>
  <c r="AK73" i="7"/>
  <c r="AK72" i="7"/>
  <c r="AD72" i="7"/>
  <c r="AD73" i="7"/>
  <c r="AD74" i="7"/>
  <c r="AD75" i="7"/>
  <c r="AD76" i="7"/>
  <c r="AD77" i="7"/>
  <c r="AD78" i="7"/>
  <c r="AD79" i="7"/>
  <c r="AI72" i="7"/>
  <c r="AH73" i="7"/>
  <c r="AH72" i="7"/>
  <c r="X72" i="7"/>
  <c r="X73" i="7"/>
  <c r="X74" i="7"/>
  <c r="X75" i="7"/>
  <c r="X76" i="7"/>
  <c r="X77" i="7"/>
  <c r="X78" i="7"/>
  <c r="X79" i="7"/>
  <c r="R72" i="7"/>
  <c r="R73" i="7"/>
  <c r="R74" i="7"/>
  <c r="R75" i="7"/>
  <c r="R76" i="7"/>
  <c r="R77" i="7"/>
  <c r="R78" i="7"/>
  <c r="R79" i="7"/>
  <c r="L72" i="7"/>
  <c r="L73" i="7"/>
  <c r="L74" i="7"/>
  <c r="L75" i="7"/>
  <c r="L76" i="7"/>
  <c r="L77" i="7"/>
  <c r="L78" i="7"/>
  <c r="L79" i="7"/>
  <c r="J41" i="8"/>
  <c r="J42" i="8"/>
  <c r="J43" i="8"/>
  <c r="J44" i="8"/>
  <c r="J45" i="8"/>
  <c r="J46" i="8"/>
  <c r="H48" i="8"/>
  <c r="J48" i="8" s="1"/>
  <c r="H47" i="8"/>
  <c r="F47" i="8"/>
  <c r="AF44" i="7"/>
  <c r="AG44" i="7"/>
  <c r="AF45" i="7"/>
  <c r="AG45" i="7"/>
  <c r="AF46" i="7"/>
  <c r="AG46" i="7"/>
  <c r="AF47" i="7"/>
  <c r="AG47" i="7"/>
  <c r="AF48" i="7"/>
  <c r="AG48" i="7"/>
  <c r="AF49" i="7"/>
  <c r="AG49" i="7"/>
  <c r="AK49" i="7"/>
  <c r="AK48" i="7"/>
  <c r="AK47" i="7"/>
  <c r="AK46" i="7"/>
  <c r="AK45" i="7"/>
  <c r="AK44" i="7"/>
  <c r="AD44" i="7"/>
  <c r="AD45" i="7"/>
  <c r="AD46" i="7"/>
  <c r="AD47" i="7"/>
  <c r="AD48" i="7"/>
  <c r="AD49" i="7"/>
  <c r="AI49" i="7"/>
  <c r="AI48" i="7"/>
  <c r="AI47" i="7"/>
  <c r="AI46" i="7"/>
  <c r="AI45" i="7"/>
  <c r="AI44" i="7"/>
  <c r="AH49" i="7"/>
  <c r="AH48" i="7"/>
  <c r="AH47" i="7"/>
  <c r="AH46" i="7"/>
  <c r="AH45" i="7"/>
  <c r="AH44" i="7"/>
  <c r="X44" i="7"/>
  <c r="X45" i="7"/>
  <c r="X46" i="7"/>
  <c r="X47" i="7"/>
  <c r="X48" i="7"/>
  <c r="X49" i="7"/>
  <c r="R44" i="7"/>
  <c r="R45" i="7"/>
  <c r="R46" i="7"/>
  <c r="R47" i="7"/>
  <c r="R48" i="7"/>
  <c r="R49" i="7"/>
  <c r="L44" i="7"/>
  <c r="L45" i="7"/>
  <c r="L46" i="7"/>
  <c r="L47" i="7"/>
  <c r="L48" i="7"/>
  <c r="L49" i="7"/>
  <c r="J24" i="8"/>
  <c r="J25" i="8"/>
  <c r="J26" i="8"/>
  <c r="J27" i="8"/>
  <c r="J28" i="8"/>
  <c r="J29" i="8"/>
  <c r="J30" i="8"/>
  <c r="J31" i="8"/>
  <c r="I35" i="8"/>
  <c r="F35" i="8"/>
  <c r="G34" i="8"/>
  <c r="J34" i="8" s="1"/>
  <c r="H33" i="8"/>
  <c r="G33" i="8"/>
  <c r="F33" i="8"/>
  <c r="AJ15" i="7" l="1"/>
  <c r="J68" i="8"/>
  <c r="J55" i="8"/>
  <c r="J69" i="8"/>
  <c r="J100" i="8"/>
  <c r="J22" i="8"/>
  <c r="J97" i="8"/>
  <c r="AJ17" i="7"/>
  <c r="J15" i="8"/>
  <c r="J40" i="8"/>
  <c r="J57" i="8"/>
  <c r="AJ19" i="7"/>
  <c r="AJ52" i="7"/>
  <c r="AJ50" i="7"/>
  <c r="AJ57" i="7"/>
  <c r="AJ55" i="7"/>
  <c r="AJ71" i="7"/>
  <c r="AJ69" i="7"/>
  <c r="AJ67" i="7"/>
  <c r="AJ43" i="7"/>
  <c r="AJ42" i="7"/>
  <c r="AJ41" i="7"/>
  <c r="AJ40" i="7"/>
  <c r="AJ39" i="7"/>
  <c r="AJ53" i="7"/>
  <c r="AJ51" i="7"/>
  <c r="AJ60" i="7"/>
  <c r="AJ58" i="7"/>
  <c r="AJ56" i="7"/>
  <c r="AJ54" i="7"/>
  <c r="AJ70" i="7"/>
  <c r="AJ68" i="7"/>
  <c r="AJ66" i="7"/>
  <c r="AJ65" i="7"/>
  <c r="AJ49" i="7"/>
  <c r="AJ48" i="7"/>
  <c r="AJ47" i="7"/>
  <c r="AJ46" i="7"/>
  <c r="AJ45" i="7"/>
  <c r="AJ44" i="7"/>
  <c r="AJ79" i="7"/>
  <c r="AJ78" i="7"/>
  <c r="AJ77" i="7"/>
  <c r="AJ76" i="7"/>
  <c r="AJ75" i="7"/>
  <c r="AJ74" i="7"/>
  <c r="AJ73" i="7"/>
  <c r="AJ72" i="7"/>
  <c r="AJ21" i="7"/>
  <c r="AJ29" i="7"/>
  <c r="AJ28" i="7"/>
  <c r="AJ27" i="7"/>
  <c r="AJ26" i="7"/>
  <c r="AJ25" i="7"/>
  <c r="AJ24" i="7"/>
  <c r="AJ23" i="7"/>
  <c r="AJ22" i="7"/>
  <c r="AJ64" i="7"/>
  <c r="AJ63" i="7"/>
  <c r="AJ62" i="7"/>
  <c r="AJ61" i="7"/>
  <c r="AJ86" i="7"/>
  <c r="AJ84" i="7"/>
  <c r="AJ82" i="7"/>
  <c r="AJ80" i="7"/>
  <c r="AJ18" i="7"/>
  <c r="AJ14" i="7"/>
  <c r="AJ87" i="7"/>
  <c r="AJ85" i="7"/>
  <c r="AJ83" i="7"/>
  <c r="AJ81" i="7"/>
  <c r="AJ20" i="7"/>
  <c r="AJ16" i="7"/>
  <c r="AJ59" i="7"/>
  <c r="J58" i="8"/>
  <c r="J76" i="8"/>
  <c r="J88" i="8"/>
  <c r="J89" i="8"/>
  <c r="J33" i="8"/>
  <c r="J35" i="8"/>
  <c r="J47" i="8"/>
  <c r="J98" i="8"/>
  <c r="J16" i="8"/>
  <c r="J54" i="8"/>
  <c r="J56" i="8"/>
  <c r="J75" i="8"/>
  <c r="J77" i="8"/>
  <c r="I32" i="8"/>
  <c r="H32" i="8"/>
  <c r="G32" i="8"/>
  <c r="F32" i="8"/>
  <c r="G1" i="8"/>
  <c r="AF31" i="7"/>
  <c r="AG31" i="7"/>
  <c r="AF32" i="7"/>
  <c r="AG32" i="7"/>
  <c r="AF33" i="7"/>
  <c r="AG33" i="7"/>
  <c r="AF34" i="7"/>
  <c r="AG34" i="7"/>
  <c r="AF35" i="7"/>
  <c r="AG35" i="7"/>
  <c r="AF36" i="7"/>
  <c r="AG36" i="7"/>
  <c r="AF37" i="7"/>
  <c r="AG37" i="7"/>
  <c r="AF38" i="7"/>
  <c r="AG38" i="7"/>
  <c r="AK38" i="7"/>
  <c r="AK37" i="7"/>
  <c r="AK36" i="7"/>
  <c r="AK35" i="7"/>
  <c r="AK34" i="7"/>
  <c r="AK33" i="7"/>
  <c r="AK32" i="7"/>
  <c r="AK31" i="7"/>
  <c r="AK30" i="7"/>
  <c r="AD31" i="7"/>
  <c r="AD32" i="7"/>
  <c r="AD33" i="7"/>
  <c r="AD34" i="7"/>
  <c r="AD35" i="7"/>
  <c r="AD36" i="7"/>
  <c r="AD37" i="7"/>
  <c r="AD38" i="7"/>
  <c r="AI38" i="7"/>
  <c r="AI37" i="7"/>
  <c r="AI36" i="7"/>
  <c r="AI35" i="7"/>
  <c r="AI34" i="7"/>
  <c r="AI33" i="7"/>
  <c r="AI32" i="7"/>
  <c r="AI31" i="7"/>
  <c r="AD30" i="7"/>
  <c r="AI30" i="7"/>
  <c r="AH38" i="7"/>
  <c r="AH37" i="7"/>
  <c r="AH36" i="7"/>
  <c r="AH35" i="7"/>
  <c r="AH34" i="7"/>
  <c r="AH33" i="7"/>
  <c r="AH32" i="7"/>
  <c r="AH31" i="7"/>
  <c r="AH30" i="7"/>
  <c r="AG30" i="7"/>
  <c r="AF30" i="7"/>
  <c r="X31" i="7"/>
  <c r="X32" i="7"/>
  <c r="X33" i="7"/>
  <c r="X34" i="7"/>
  <c r="X35" i="7"/>
  <c r="X36" i="7"/>
  <c r="X37" i="7"/>
  <c r="X38" i="7"/>
  <c r="X30" i="7"/>
  <c r="R31" i="7"/>
  <c r="R32" i="7"/>
  <c r="R33" i="7"/>
  <c r="R34" i="7"/>
  <c r="R35" i="7"/>
  <c r="R36" i="7"/>
  <c r="R37" i="7"/>
  <c r="R38" i="7"/>
  <c r="R30" i="7"/>
  <c r="L31" i="7"/>
  <c r="L32" i="7"/>
  <c r="L33" i="7"/>
  <c r="L34" i="7"/>
  <c r="L35" i="7"/>
  <c r="L36" i="7"/>
  <c r="L37" i="7"/>
  <c r="L38" i="7"/>
  <c r="L30" i="7"/>
  <c r="J5" i="8"/>
  <c r="J6" i="8"/>
  <c r="J7" i="8"/>
  <c r="J8" i="8"/>
  <c r="J4" i="8"/>
  <c r="I9" i="8"/>
  <c r="H9" i="8"/>
  <c r="G9" i="8"/>
  <c r="F9" i="8"/>
  <c r="AK7" i="7"/>
  <c r="AK8" i="7"/>
  <c r="AK9" i="7"/>
  <c r="AK10" i="7"/>
  <c r="AK11" i="7"/>
  <c r="AK12" i="7"/>
  <c r="AK13" i="7"/>
  <c r="AK6" i="7"/>
  <c r="AG6" i="7"/>
  <c r="AH6" i="7"/>
  <c r="AI6" i="7"/>
  <c r="AG7" i="7"/>
  <c r="AH7" i="7"/>
  <c r="AI7" i="7"/>
  <c r="AG8" i="7"/>
  <c r="AH8" i="7"/>
  <c r="AI8" i="7"/>
  <c r="AG9" i="7"/>
  <c r="AH9" i="7"/>
  <c r="AI9" i="7"/>
  <c r="AG10" i="7"/>
  <c r="AH10" i="7"/>
  <c r="AI10" i="7"/>
  <c r="AG11" i="7"/>
  <c r="AH11" i="7"/>
  <c r="AI11" i="7"/>
  <c r="AG12" i="7"/>
  <c r="AH12" i="7"/>
  <c r="AI12" i="7"/>
  <c r="AG13" i="7"/>
  <c r="AH13" i="7"/>
  <c r="AI13" i="7"/>
  <c r="AF7" i="7"/>
  <c r="AF8" i="7"/>
  <c r="AF9" i="7"/>
  <c r="AF10" i="7"/>
  <c r="AF11" i="7"/>
  <c r="AJ11" i="7" s="1"/>
  <c r="AF12" i="7"/>
  <c r="AF13" i="7"/>
  <c r="AF6" i="7"/>
  <c r="AD7" i="7"/>
  <c r="AD8" i="7"/>
  <c r="AD9" i="7"/>
  <c r="AD10" i="7"/>
  <c r="AD11" i="7"/>
  <c r="AD12" i="7"/>
  <c r="AD13" i="7"/>
  <c r="AD6" i="7"/>
  <c r="X7" i="7"/>
  <c r="X8" i="7"/>
  <c r="X9" i="7"/>
  <c r="X10" i="7"/>
  <c r="X11" i="7"/>
  <c r="X12" i="7"/>
  <c r="X13" i="7"/>
  <c r="X6" i="7"/>
  <c r="R7" i="7"/>
  <c r="R8" i="7"/>
  <c r="R9" i="7"/>
  <c r="R10" i="7"/>
  <c r="R11" i="7"/>
  <c r="R12" i="7"/>
  <c r="R13" i="7"/>
  <c r="R6" i="7"/>
  <c r="L7" i="7"/>
  <c r="L8" i="7"/>
  <c r="L9" i="7"/>
  <c r="L10" i="7"/>
  <c r="L11" i="7"/>
  <c r="L12" i="7"/>
  <c r="L13" i="7"/>
  <c r="L6" i="7"/>
  <c r="AJ7" i="7" l="1"/>
  <c r="AJ13" i="7"/>
  <c r="AJ9" i="7"/>
  <c r="J9" i="8"/>
  <c r="AJ38" i="7"/>
  <c r="AJ36" i="7"/>
  <c r="AJ6" i="7"/>
  <c r="AJ12" i="7"/>
  <c r="AJ10" i="7"/>
  <c r="AJ8" i="7"/>
  <c r="AJ37" i="7"/>
  <c r="AJ35" i="7"/>
  <c r="AJ34" i="7"/>
  <c r="AJ33" i="7"/>
  <c r="AJ32" i="7"/>
  <c r="AJ31" i="7"/>
  <c r="AJ30" i="7"/>
  <c r="J3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Wendy Klooster</author>
  </authors>
  <commentList>
    <comment ref="H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Wendy Klooster:</t>
        </r>
        <r>
          <rPr>
            <sz val="9"/>
            <color indexed="81"/>
            <rFont val="Tahoma"/>
            <family val="2"/>
          </rPr>
          <t xml:space="preserve">
only count new plants for ash and invasives in 2011</t>
        </r>
      </text>
    </comment>
    <comment ref="I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Wendy Klooster:</t>
        </r>
        <r>
          <rPr>
            <sz val="9"/>
            <color indexed="81"/>
            <rFont val="Tahoma"/>
            <family val="2"/>
          </rPr>
          <t xml:space="preserve">
only count short plants for ash and invasives in 2011</t>
        </r>
      </text>
    </comment>
  </commentList>
</comments>
</file>

<file path=xl/sharedStrings.xml><?xml version="1.0" encoding="utf-8"?>
<sst xmlns="http://schemas.openxmlformats.org/spreadsheetml/2006/main" count="1693" uniqueCount="281">
  <si>
    <t>QUADRAT SURVEY</t>
  </si>
  <si>
    <t>.</t>
  </si>
  <si>
    <t>&lt;1</t>
  </si>
  <si>
    <t>cover classes: &lt;1, 1, 2-5, 6-10, 11-20, 21-30, …etc.</t>
  </si>
  <si>
    <t>NORTH</t>
  </si>
  <si>
    <t>EAST</t>
  </si>
  <si>
    <t>SOUTH</t>
  </si>
  <si>
    <t>WEST</t>
  </si>
  <si>
    <t>year</t>
  </si>
  <si>
    <t>park</t>
  </si>
  <si>
    <t>date</t>
  </si>
  <si>
    <t>plot</t>
  </si>
  <si>
    <t>species</t>
  </si>
  <si>
    <t>common name</t>
  </si>
  <si>
    <t>type</t>
  </si>
  <si>
    <t>N_new</t>
  </si>
  <si>
    <t>N_short</t>
  </si>
  <si>
    <t>N_mid</t>
  </si>
  <si>
    <t>N_tall</t>
  </si>
  <si>
    <t>N_total</t>
  </si>
  <si>
    <t>N_cov</t>
  </si>
  <si>
    <t>E_new</t>
  </si>
  <si>
    <t>E_short</t>
  </si>
  <si>
    <t>E_mid</t>
  </si>
  <si>
    <t>E_tall</t>
  </si>
  <si>
    <t>E_total</t>
  </si>
  <si>
    <t>E_cov</t>
  </si>
  <si>
    <t>S_new</t>
  </si>
  <si>
    <t>S_short</t>
  </si>
  <si>
    <t>S_mid</t>
  </si>
  <si>
    <t>S_tall</t>
  </si>
  <si>
    <t>S_total</t>
  </si>
  <si>
    <t>S_cov</t>
  </si>
  <si>
    <t>W_new</t>
  </si>
  <si>
    <t>W_short</t>
  </si>
  <si>
    <t>W_mid</t>
  </si>
  <si>
    <t>W_tall</t>
  </si>
  <si>
    <t>W_total</t>
  </si>
  <si>
    <t>W_cov</t>
  </si>
  <si>
    <t>new_ttl</t>
  </si>
  <si>
    <t>short_ttl</t>
  </si>
  <si>
    <t>mid_ttl</t>
  </si>
  <si>
    <t>tall_ttl</t>
  </si>
  <si>
    <t>plot_ttl</t>
  </si>
  <si>
    <t>cov_ttl</t>
  </si>
  <si>
    <t>notes</t>
  </si>
  <si>
    <t>island lake</t>
  </si>
  <si>
    <t>Fraxinus</t>
  </si>
  <si>
    <t>Acer saccharum</t>
  </si>
  <si>
    <t>Lindera benzoin</t>
  </si>
  <si>
    <t>Ostrya virginiana</t>
  </si>
  <si>
    <t>Zanthoxylum americanum</t>
  </si>
  <si>
    <t>Cornus florida</t>
  </si>
  <si>
    <t>Carya cordiformis</t>
  </si>
  <si>
    <t>Celastrus orbiculatus</t>
  </si>
  <si>
    <t>Rhamnus frangula</t>
  </si>
  <si>
    <t>Carpinus caroliniana</t>
  </si>
  <si>
    <t>Prunus serotina</t>
  </si>
  <si>
    <t>Cornus alternifolia</t>
  </si>
  <si>
    <t>Staphylea trifolia</t>
  </si>
  <si>
    <t>Berberis thunbergii</t>
  </si>
  <si>
    <t>Elaeagnus umbellata</t>
  </si>
  <si>
    <t>Ribes spp</t>
  </si>
  <si>
    <t>Quercus rubra</t>
  </si>
  <si>
    <t>Quercus bicolor</t>
  </si>
  <si>
    <t>Ilex verticillata</t>
  </si>
  <si>
    <t>Ribes cynosbati</t>
  </si>
  <si>
    <t>Tilia americana</t>
  </si>
  <si>
    <t>Carya spp</t>
  </si>
  <si>
    <t>Ulmus americana</t>
  </si>
  <si>
    <t>W: 1/2 = rt spt</t>
  </si>
  <si>
    <t>N = rt spts</t>
  </si>
  <si>
    <t>Viburnum dentatum</t>
  </si>
  <si>
    <t>W mid: rt spt</t>
  </si>
  <si>
    <t>Rosa eglanteria</t>
  </si>
  <si>
    <t>Acer rubrum</t>
  </si>
  <si>
    <t>8079-82: walking stick</t>
  </si>
  <si>
    <t>8084-93: RF seedlings on log</t>
  </si>
  <si>
    <t>Viburnum lentago</t>
  </si>
  <si>
    <t>Cornus racemosa</t>
  </si>
  <si>
    <t>E mid: rt spts</t>
  </si>
  <si>
    <t>N mid: was tall, bent over</t>
  </si>
  <si>
    <t>Prunus virginiana</t>
  </si>
  <si>
    <t>Rubus</t>
  </si>
  <si>
    <t>S tall: root spt</t>
  </si>
  <si>
    <t>N mid: root spts</t>
  </si>
  <si>
    <t>pics: 7524-33</t>
  </si>
  <si>
    <t>PHOTOS</t>
  </si>
  <si>
    <t>code</t>
  </si>
  <si>
    <t>hemi</t>
  </si>
  <si>
    <t>plot pics</t>
  </si>
  <si>
    <t>quad</t>
  </si>
  <si>
    <t>tag</t>
  </si>
  <si>
    <t>763-4</t>
  </si>
  <si>
    <t>center</t>
  </si>
  <si>
    <t>north</t>
  </si>
  <si>
    <t>east</t>
  </si>
  <si>
    <t>7130-1</t>
  </si>
  <si>
    <t>south</t>
  </si>
  <si>
    <t>west</t>
  </si>
  <si>
    <t>1405-6</t>
  </si>
  <si>
    <t>8073-4</t>
  </si>
  <si>
    <t>8066-70: bladdernut in S quad</t>
  </si>
  <si>
    <t>8076-7</t>
  </si>
  <si>
    <t>7134-46: native orchid</t>
  </si>
  <si>
    <t>7151-3</t>
  </si>
  <si>
    <t>986-7</t>
  </si>
  <si>
    <t>1422-3</t>
  </si>
  <si>
    <t>8107-16: pics of hemi cam (&amp; Rina)</t>
  </si>
  <si>
    <t>1410-11</t>
  </si>
  <si>
    <t>8098-9</t>
  </si>
  <si>
    <t>8096-7</t>
  </si>
  <si>
    <t>8122-5: cardinal flower</t>
  </si>
  <si>
    <t>8135-6</t>
  </si>
  <si>
    <t>8130-2: wasp nest</t>
  </si>
  <si>
    <t>8138-40: grasshopper</t>
  </si>
  <si>
    <t>1435-6</t>
  </si>
  <si>
    <t>8152: moss</t>
  </si>
  <si>
    <t>8153: fungus</t>
  </si>
  <si>
    <t>8149-50</t>
  </si>
  <si>
    <t>8154-6: moonseed</t>
  </si>
  <si>
    <t>8145-6</t>
  </si>
  <si>
    <t>8157-60: Cornus alt/ fl??</t>
  </si>
  <si>
    <t>7543-4</t>
  </si>
  <si>
    <t>7537-8</t>
  </si>
  <si>
    <t>7524-33: Q. bicolor in N quad</t>
  </si>
  <si>
    <t>7540-1</t>
  </si>
  <si>
    <t>FIA survey</t>
  </si>
  <si>
    <t>% cover: 0, &lt;1, 1-5, 6-10, 11-20, 21-40, 41-60, 61-80, 81-100</t>
  </si>
  <si>
    <t>0-2 ft</t>
  </si>
  <si>
    <t>0-2 mid</t>
  </si>
  <si>
    <t>2-6 ft</t>
  </si>
  <si>
    <t>2-6 mid</t>
  </si>
  <si>
    <t>6-16 ft</t>
  </si>
  <si>
    <t>6-16 mid</t>
  </si>
  <si>
    <t>&gt;16 ft</t>
  </si>
  <si>
    <t>&gt;16 mid</t>
  </si>
  <si>
    <t>TOTAL</t>
  </si>
  <si>
    <t>NATIVE</t>
  </si>
  <si>
    <t>Lonicera bush</t>
  </si>
  <si>
    <t>Rosa multiflora</t>
  </si>
  <si>
    <t>Rhamnus cathartica</t>
  </si>
  <si>
    <t>tall-skinny trees (&gt;bh, &lt;2.5cm dbh) and shrubs (&gt;1m tall)</t>
  </si>
  <si>
    <t>8m2 area:</t>
  </si>
  <si>
    <t>trees = # stems; shrubs = m2</t>
  </si>
  <si>
    <t>NE</t>
  </si>
  <si>
    <t>SE</t>
  </si>
  <si>
    <t>SW</t>
  </si>
  <si>
    <t>NW</t>
  </si>
  <si>
    <t>total</t>
  </si>
  <si>
    <t>rt spts: NE=3</t>
  </si>
  <si>
    <t>Fagus grandifolia</t>
  </si>
  <si>
    <t>rt spts: NE=6, SE=3, SW=6, NW=8</t>
  </si>
  <si>
    <t>Staphylea trifolea</t>
  </si>
  <si>
    <t>rt spts: SE=1</t>
  </si>
  <si>
    <t>Hamamelis virginiana</t>
  </si>
  <si>
    <t>rt spts: SW=1</t>
  </si>
  <si>
    <t>rt spts: NE=2, SE=8, SW=5</t>
  </si>
  <si>
    <t>rt spts: NE=1, SE=1, NW=5</t>
  </si>
  <si>
    <t>Corylus americana</t>
  </si>
  <si>
    <t>rt spts: NE=4</t>
  </si>
  <si>
    <t>rt spts: NE=1</t>
  </si>
  <si>
    <t>rt spts: NE=4, NW=3</t>
  </si>
  <si>
    <t>rt spts: SW=4, NW=1</t>
  </si>
  <si>
    <t>rt spts: SE=3, NW=1</t>
  </si>
  <si>
    <t>Cornus sericea</t>
  </si>
  <si>
    <t>Spiraea spp</t>
  </si>
  <si>
    <t>Viburnum acerifolium</t>
  </si>
  <si>
    <t>rt spts; NE=1</t>
  </si>
  <si>
    <t>rt spts: NW=1</t>
  </si>
  <si>
    <t>rt spts: NE=2, SW=1</t>
  </si>
  <si>
    <t>spp??</t>
  </si>
  <si>
    <t>ash saplings: &gt;1m tall, &lt;2.5cm dbh</t>
  </si>
  <si>
    <t>label</t>
  </si>
  <si>
    <t>diam @ 12"</t>
  </si>
  <si>
    <t>diam @ bh</t>
  </si>
  <si>
    <t>distance</t>
  </si>
  <si>
    <t>degree</t>
  </si>
  <si>
    <t>none</t>
  </si>
  <si>
    <t>healthy</t>
  </si>
  <si>
    <t>healthy; new 2011</t>
  </si>
  <si>
    <t>has live basal spts</t>
  </si>
  <si>
    <t>good</t>
  </si>
  <si>
    <t>fine</t>
  </si>
  <si>
    <t>top 4ft dead - branches low</t>
  </si>
  <si>
    <t>new in 2011</t>
  </si>
  <si>
    <t>dead, tag removed</t>
  </si>
  <si>
    <t>growing pt disease</t>
  </si>
  <si>
    <t>yellow spts on lvs</t>
  </si>
  <si>
    <t>ok</t>
  </si>
  <si>
    <t>good; new 2011; F. nigra</t>
  </si>
  <si>
    <t>dead, tag removed (epic spts)</t>
  </si>
  <si>
    <t>tagged natives &amp; invasives</t>
  </si>
  <si>
    <t>* = native?</t>
  </si>
  <si>
    <t>INVASIVE</t>
  </si>
  <si>
    <t>(cm)</t>
  </si>
  <si>
    <t>(m)</t>
  </si>
  <si>
    <t>inv.code</t>
  </si>
  <si>
    <t>length</t>
  </si>
  <si>
    <t>width</t>
  </si>
  <si>
    <t>height</t>
  </si>
  <si>
    <t>inv_vol (m3)</t>
  </si>
  <si>
    <t>nat.code</t>
  </si>
  <si>
    <t>nat_vol (m3)</t>
  </si>
  <si>
    <t>dist b/n</t>
  </si>
  <si>
    <t>photo</t>
  </si>
  <si>
    <t>CO2</t>
  </si>
  <si>
    <t>PRSE2-1</t>
  </si>
  <si>
    <t>CO3</t>
  </si>
  <si>
    <t>ACSA3-2</t>
  </si>
  <si>
    <t>FRAXI-3</t>
  </si>
  <si>
    <t>Frax = 2nd native</t>
  </si>
  <si>
    <t>EU1</t>
  </si>
  <si>
    <t>ACSA3-4</t>
  </si>
  <si>
    <t>LB1</t>
  </si>
  <si>
    <t>FRAXI-2</t>
  </si>
  <si>
    <t>MF1</t>
  </si>
  <si>
    <t>CACA18-2</t>
  </si>
  <si>
    <t>MF: little sprouts nearby</t>
  </si>
  <si>
    <t>ZAAM-1</t>
  </si>
  <si>
    <t>ZAAM: new 2nd native for Kevin</t>
  </si>
  <si>
    <t>MF2</t>
  </si>
  <si>
    <t>CACA18-3</t>
  </si>
  <si>
    <t>RF1</t>
  </si>
  <si>
    <t>ACSA3-1</t>
  </si>
  <si>
    <t>RF: tiny!</t>
  </si>
  <si>
    <t>RF2</t>
  </si>
  <si>
    <t>CACA18-1</t>
  </si>
  <si>
    <t>RF5</t>
  </si>
  <si>
    <t>ACSA3-3</t>
  </si>
  <si>
    <t>RF: just top leavees (w/ low leaves: 23*5*23)</t>
  </si>
  <si>
    <t>RF6</t>
  </si>
  <si>
    <t>FRAXI-1</t>
  </si>
  <si>
    <t>EU2</t>
  </si>
  <si>
    <t>OSVI-1</t>
  </si>
  <si>
    <t>EU3</t>
  </si>
  <si>
    <t>QUBI-1</t>
  </si>
  <si>
    <t>EU4</t>
  </si>
  <si>
    <t>CACO15-1</t>
  </si>
  <si>
    <t>44/70</t>
  </si>
  <si>
    <t>789-90</t>
  </si>
  <si>
    <t>on other side of river "channel"</t>
  </si>
  <si>
    <t>EU5</t>
  </si>
  <si>
    <t>N of double Ostrya</t>
  </si>
  <si>
    <t>CACA dead; by small Tilia/Carpinus clump on hummock</t>
  </si>
  <si>
    <t>RF3</t>
  </si>
  <si>
    <t>by river "channel"; 2 m behind logs</t>
  </si>
  <si>
    <t>RF4</t>
  </si>
  <si>
    <t>22/45</t>
  </si>
  <si>
    <t>ULAM-1</t>
  </si>
  <si>
    <t>RF: 2 stem</t>
  </si>
  <si>
    <t>FRAXI-7</t>
  </si>
  <si>
    <t>RF: 1 stem; Fraxi dead</t>
  </si>
  <si>
    <t>RF8</t>
  </si>
  <si>
    <t>FRAXI-5</t>
  </si>
  <si>
    <t>RF9</t>
  </si>
  <si>
    <t>FRAXI-6</t>
  </si>
  <si>
    <t>BT1</t>
  </si>
  <si>
    <t>LIBE3-1</t>
  </si>
  <si>
    <t>PRSE2-2</t>
  </si>
  <si>
    <t>Pr: dead? Leaves brown, crunchy; under big Lindera</t>
  </si>
  <si>
    <t>Behind big Acer</t>
  </si>
  <si>
    <t>in front of maple</t>
  </si>
  <si>
    <t>QURU-2</t>
  </si>
  <si>
    <t>next to big oak</t>
  </si>
  <si>
    <t>LB2</t>
  </si>
  <si>
    <t>other LB clump nearby; main stem dead</t>
  </si>
  <si>
    <t>LB3</t>
  </si>
  <si>
    <t>next to big oak/ dead ash</t>
  </si>
  <si>
    <t>LB4</t>
  </si>
  <si>
    <t>QURU-1</t>
  </si>
  <si>
    <t>34/80</t>
  </si>
  <si>
    <t>next to skinny elm</t>
  </si>
  <si>
    <t>RC1</t>
  </si>
  <si>
    <t>next to med elm; behind other med elm</t>
  </si>
  <si>
    <t>behind big oak</t>
  </si>
  <si>
    <t>ACRU-1</t>
  </si>
  <si>
    <t>Ar: 1 skinny stm</t>
  </si>
  <si>
    <t>PRSE2-3</t>
  </si>
  <si>
    <t>next to oak/ ash</t>
  </si>
  <si>
    <t>47/51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</si>
</sst>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mmmyy"/>
    <numFmt numFmtId="165" formatCode="0.0000"/>
  </numFmts>
  <fonts count="7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2" xfId="0" applyNumberForma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164" fontId="0" fillId="0" borderId="2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4" fontId="0" fillId="0" borderId="0" xfId="0" applyNumberFormat="1" applyAlignment="1">
      <alignment horizontal="left"/>
    </xf>
    <xf numFmtId="165" fontId="0" fillId="0" borderId="1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3" fillId="0" borderId="0" xfId="0" applyFont="1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164" fontId="2" fillId="0" borderId="0" xfId="0" applyNumberFormat="1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/>
    <xf numFmtId="0" fontId="6" fillId="0" borderId="0" xfId="0" applyFont="1"/>
    <xf numFmtId="0" fontId="2" fillId="0" borderId="2" xfId="0" applyFont="1" applyBorder="1" applyAlignment="1">
      <alignment horizontal="left"/>
    </xf>
    <xf numFmtId="2" fontId="0" fillId="0" borderId="0" xfId="0" applyNumberFormat="1" applyAlignment="1">
      <alignment horizontal="center"/>
    </xf>
    <xf numFmtId="0" fontId="0" fillId="2" borderId="0" xfId="0" applyFill="1"/>
    <xf numFmtId="0" fontId="2" fillId="2" borderId="0" xfId="0" applyFont="1" applyFill="1"/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95"/>
  <sheetViews>
    <sheetView workbookViewId="0">
      <pane xSplit="7" ySplit="5" topLeftCell="H6" activePane="bottomRight" state="frozen"/>
      <selection pane="topRight" activeCell="H1" sqref="H1"/>
      <selection pane="bottomLeft" activeCell="A6" sqref="A6"/>
      <selection pane="bottomRight" activeCell="AA90" sqref="AA90"/>
    </sheetView>
  </sheetViews>
  <sheetFormatPr defaultColWidth="9.1796875" defaultRowHeight="12.5" x14ac:dyDescent="0.25"/>
  <cols>
    <col min="2" max="2" width="9.81640625" customWidth="1"/>
    <col min="3" max="3" width="9.81640625" style="12" customWidth="1"/>
    <col min="4" max="4" width="7.453125" style="3" customWidth="1"/>
    <col min="5" max="5" width="25" customWidth="1"/>
    <col min="6" max="6" width="21.54296875" hidden="1" customWidth="1"/>
    <col min="7" max="7" width="12.54296875" hidden="1" customWidth="1"/>
    <col min="8" max="31" width="9.1796875" style="1"/>
    <col min="32" max="36" width="9.1796875" style="9" customWidth="1"/>
    <col min="38" max="38" width="29.26953125" style="27" bestFit="1" customWidth="1"/>
  </cols>
  <sheetData>
    <row r="1" spans="1:38" x14ac:dyDescent="0.25">
      <c r="A1" s="16" t="s">
        <v>0</v>
      </c>
      <c r="B1" s="3"/>
      <c r="C1"/>
      <c r="D1"/>
      <c r="F1" s="1" t="s">
        <v>1</v>
      </c>
      <c r="G1" s="1" t="s">
        <v>2</v>
      </c>
      <c r="H1" s="1">
        <v>1</v>
      </c>
      <c r="I1">
        <v>2</v>
      </c>
      <c r="J1">
        <v>6</v>
      </c>
      <c r="K1">
        <v>11</v>
      </c>
      <c r="L1">
        <v>21</v>
      </c>
      <c r="M1">
        <v>31</v>
      </c>
      <c r="N1">
        <v>41</v>
      </c>
      <c r="O1">
        <v>51</v>
      </c>
      <c r="P1">
        <v>61</v>
      </c>
      <c r="Q1">
        <v>71</v>
      </c>
      <c r="R1">
        <v>81</v>
      </c>
      <c r="S1">
        <v>91</v>
      </c>
      <c r="U1" s="9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L1" s="28"/>
    </row>
    <row r="2" spans="1:38" x14ac:dyDescent="0.25">
      <c r="A2" s="16" t="s">
        <v>3</v>
      </c>
      <c r="B2" s="3"/>
      <c r="C2"/>
      <c r="D2"/>
      <c r="F2" s="1">
        <v>0</v>
      </c>
      <c r="G2" s="1">
        <v>0.5</v>
      </c>
      <c r="H2" s="1">
        <v>1.5</v>
      </c>
      <c r="I2">
        <v>3.5</v>
      </c>
      <c r="J2">
        <v>8</v>
      </c>
      <c r="K2">
        <v>15</v>
      </c>
      <c r="L2">
        <v>25</v>
      </c>
      <c r="M2">
        <v>35</v>
      </c>
      <c r="N2">
        <v>45</v>
      </c>
      <c r="O2">
        <v>55</v>
      </c>
      <c r="P2">
        <v>65</v>
      </c>
      <c r="Q2">
        <v>75</v>
      </c>
      <c r="R2">
        <v>85</v>
      </c>
      <c r="S2">
        <v>95</v>
      </c>
      <c r="U2" s="9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L2" s="28"/>
    </row>
    <row r="3" spans="1:38" x14ac:dyDescent="0.25">
      <c r="C3" s="16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</row>
    <row r="4" spans="1:38" x14ac:dyDescent="0.25">
      <c r="H4" s="3"/>
      <c r="I4" s="3"/>
      <c r="J4" s="3" t="s">
        <v>4</v>
      </c>
      <c r="K4" s="3"/>
      <c r="L4" s="3"/>
      <c r="M4" s="3"/>
      <c r="N4" s="3"/>
      <c r="O4" s="3"/>
      <c r="P4" s="3" t="s">
        <v>5</v>
      </c>
      <c r="Q4" s="3"/>
      <c r="R4" s="3"/>
      <c r="S4" s="3"/>
      <c r="T4" s="3"/>
      <c r="U4" s="3"/>
      <c r="V4" s="3"/>
      <c r="W4" s="3" t="s">
        <v>6</v>
      </c>
      <c r="X4" s="3"/>
      <c r="Y4" s="3"/>
      <c r="Z4" s="3"/>
      <c r="AA4" s="3"/>
      <c r="AB4" s="3" t="s">
        <v>7</v>
      </c>
      <c r="AC4" s="3"/>
      <c r="AD4" s="3"/>
      <c r="AE4" s="3"/>
    </row>
    <row r="5" spans="1:38" x14ac:dyDescent="0.25">
      <c r="A5" s="20" t="s">
        <v>8</v>
      </c>
      <c r="B5" s="20" t="s">
        <v>9</v>
      </c>
      <c r="C5" s="12" t="s">
        <v>10</v>
      </c>
      <c r="D5" s="3" t="s">
        <v>11</v>
      </c>
      <c r="E5" t="s">
        <v>12</v>
      </c>
      <c r="F5" t="s">
        <v>13</v>
      </c>
      <c r="G5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  <c r="W5" s="3" t="s">
        <v>30</v>
      </c>
      <c r="X5" s="3" t="s">
        <v>31</v>
      </c>
      <c r="Y5" s="3" t="s">
        <v>32</v>
      </c>
      <c r="Z5" s="3" t="s">
        <v>33</v>
      </c>
      <c r="AA5" s="3" t="s">
        <v>34</v>
      </c>
      <c r="AB5" s="3" t="s">
        <v>35</v>
      </c>
      <c r="AC5" s="3" t="s">
        <v>36</v>
      </c>
      <c r="AD5" s="3" t="s">
        <v>37</v>
      </c>
      <c r="AE5" s="3" t="s">
        <v>38</v>
      </c>
      <c r="AF5" s="22" t="s">
        <v>39</v>
      </c>
      <c r="AG5" s="22" t="s">
        <v>40</v>
      </c>
      <c r="AH5" s="22" t="s">
        <v>41</v>
      </c>
      <c r="AI5" s="22" t="s">
        <v>42</v>
      </c>
      <c r="AJ5" s="22" t="s">
        <v>43</v>
      </c>
      <c r="AK5" s="22" t="s">
        <v>44</v>
      </c>
      <c r="AL5" s="22" t="s">
        <v>45</v>
      </c>
    </row>
    <row r="6" spans="1:38" x14ac:dyDescent="0.25">
      <c r="A6">
        <v>2011</v>
      </c>
      <c r="B6" s="20" t="s">
        <v>46</v>
      </c>
      <c r="C6" s="12">
        <v>40723</v>
      </c>
      <c r="D6" s="3">
        <v>16</v>
      </c>
      <c r="E6" s="20" t="s">
        <v>47</v>
      </c>
      <c r="H6" s="26">
        <v>0</v>
      </c>
      <c r="I6" s="1">
        <v>0</v>
      </c>
      <c r="J6" s="26">
        <v>0</v>
      </c>
      <c r="K6" s="26">
        <v>0</v>
      </c>
      <c r="L6" s="1">
        <f>SUM(H6:K6)</f>
        <v>0</v>
      </c>
      <c r="M6" s="1">
        <v>0</v>
      </c>
      <c r="N6" s="26">
        <v>0</v>
      </c>
      <c r="O6" s="1">
        <v>1</v>
      </c>
      <c r="P6" s="26">
        <v>1</v>
      </c>
      <c r="Q6" s="1">
        <v>0</v>
      </c>
      <c r="R6" s="1">
        <f>SUM(N6:Q6)</f>
        <v>2</v>
      </c>
      <c r="S6" s="1">
        <v>3.5</v>
      </c>
      <c r="T6" s="26">
        <v>0</v>
      </c>
      <c r="U6" s="1">
        <v>8</v>
      </c>
      <c r="V6" s="26">
        <v>11</v>
      </c>
      <c r="W6" s="26">
        <v>0</v>
      </c>
      <c r="X6" s="1">
        <f>SUM(T6:W6)</f>
        <v>19</v>
      </c>
      <c r="Y6" s="1">
        <v>25</v>
      </c>
      <c r="Z6" s="26">
        <v>0</v>
      </c>
      <c r="AA6" s="1">
        <v>20</v>
      </c>
      <c r="AB6" s="26">
        <v>0</v>
      </c>
      <c r="AC6" s="26">
        <v>0</v>
      </c>
      <c r="AD6" s="1">
        <f>SUM(Z6:AC6)</f>
        <v>20</v>
      </c>
      <c r="AE6" s="1">
        <v>3.5</v>
      </c>
      <c r="AF6" s="22">
        <f>SUM(H6,N6,T6,Z6)</f>
        <v>0</v>
      </c>
      <c r="AG6" s="22">
        <f t="shared" ref="AG6:AI74" si="0">SUM(I6,O6,U6,AA6)</f>
        <v>29</v>
      </c>
      <c r="AH6" s="22">
        <f t="shared" si="0"/>
        <v>12</v>
      </c>
      <c r="AI6" s="22">
        <f t="shared" si="0"/>
        <v>0</v>
      </c>
      <c r="AJ6" s="22">
        <f>SUM(AF6:AI6)</f>
        <v>41</v>
      </c>
      <c r="AK6" s="22">
        <f>M6+S6+Y6+AE6</f>
        <v>32</v>
      </c>
    </row>
    <row r="7" spans="1:38" x14ac:dyDescent="0.25">
      <c r="A7">
        <v>2011</v>
      </c>
      <c r="B7" s="20" t="s">
        <v>46</v>
      </c>
      <c r="C7" s="12">
        <v>40723</v>
      </c>
      <c r="D7" s="3">
        <v>16</v>
      </c>
      <c r="E7" s="20" t="s">
        <v>48</v>
      </c>
      <c r="H7" s="26" t="s">
        <v>1</v>
      </c>
      <c r="I7" s="26" t="s">
        <v>1</v>
      </c>
      <c r="J7" s="26">
        <v>1</v>
      </c>
      <c r="K7" s="26">
        <v>0</v>
      </c>
      <c r="L7" s="1">
        <f t="shared" ref="L7:L87" si="1">SUM(H7:K7)</f>
        <v>1</v>
      </c>
      <c r="M7" s="26">
        <v>3.5</v>
      </c>
      <c r="N7" s="26" t="s">
        <v>1</v>
      </c>
      <c r="O7" s="1" t="s">
        <v>1</v>
      </c>
      <c r="P7" s="26">
        <v>0</v>
      </c>
      <c r="Q7" s="1">
        <v>0</v>
      </c>
      <c r="R7" s="1">
        <f t="shared" ref="R7:R87" si="2">SUM(N7:Q7)</f>
        <v>0</v>
      </c>
      <c r="S7" s="26">
        <v>0</v>
      </c>
      <c r="T7" s="1" t="s">
        <v>1</v>
      </c>
      <c r="U7" s="26" t="s">
        <v>1</v>
      </c>
      <c r="V7" s="26">
        <v>0</v>
      </c>
      <c r="W7" s="26">
        <v>0</v>
      </c>
      <c r="X7" s="1">
        <f t="shared" ref="X7:X87" si="3">SUM(T7:W7)</f>
        <v>0</v>
      </c>
      <c r="Y7" s="26">
        <v>0</v>
      </c>
      <c r="Z7" s="26" t="s">
        <v>1</v>
      </c>
      <c r="AA7" s="26" t="s">
        <v>1</v>
      </c>
      <c r="AB7" s="26">
        <v>0</v>
      </c>
      <c r="AC7" s="26">
        <v>0</v>
      </c>
      <c r="AD7" s="1">
        <f t="shared" ref="AD7:AD87" si="4">SUM(Z7:AC7)</f>
        <v>0</v>
      </c>
      <c r="AE7" s="26">
        <v>0</v>
      </c>
      <c r="AF7" s="22">
        <f t="shared" ref="AF7:AF30" si="5">SUM(H7,N7,T7,Z7)</f>
        <v>0</v>
      </c>
      <c r="AG7" s="22">
        <f t="shared" si="0"/>
        <v>0</v>
      </c>
      <c r="AH7" s="22">
        <f t="shared" si="0"/>
        <v>1</v>
      </c>
      <c r="AI7" s="22">
        <f t="shared" si="0"/>
        <v>0</v>
      </c>
      <c r="AJ7" s="22">
        <f t="shared" ref="AJ7:AJ79" si="6">SUM(AF7:AI7)</f>
        <v>1</v>
      </c>
      <c r="AK7" s="22">
        <f t="shared" ref="AK7:AK79" si="7">M7+S7+Y7+AE7</f>
        <v>3.5</v>
      </c>
    </row>
    <row r="8" spans="1:38" x14ac:dyDescent="0.25">
      <c r="A8">
        <v>2011</v>
      </c>
      <c r="B8" s="20" t="s">
        <v>46</v>
      </c>
      <c r="C8" s="12">
        <v>40723</v>
      </c>
      <c r="D8" s="3">
        <v>16</v>
      </c>
      <c r="E8" s="20" t="s">
        <v>49</v>
      </c>
      <c r="H8" s="26" t="s">
        <v>1</v>
      </c>
      <c r="I8" s="1" t="s">
        <v>1</v>
      </c>
      <c r="J8" s="26">
        <v>1</v>
      </c>
      <c r="K8" s="26">
        <v>1</v>
      </c>
      <c r="L8" s="1">
        <f t="shared" si="1"/>
        <v>2</v>
      </c>
      <c r="M8" s="1">
        <v>3.5</v>
      </c>
      <c r="N8" s="26" t="s">
        <v>1</v>
      </c>
      <c r="O8" s="1" t="s">
        <v>1</v>
      </c>
      <c r="P8" s="26">
        <v>2</v>
      </c>
      <c r="Q8" s="1">
        <v>1</v>
      </c>
      <c r="R8" s="1">
        <f t="shared" si="2"/>
        <v>3</v>
      </c>
      <c r="S8" s="26">
        <v>15</v>
      </c>
      <c r="T8" s="26" t="s">
        <v>1</v>
      </c>
      <c r="U8" s="1" t="s">
        <v>1</v>
      </c>
      <c r="V8" s="26">
        <v>0</v>
      </c>
      <c r="W8" s="26">
        <v>0</v>
      </c>
      <c r="X8" s="1">
        <f t="shared" si="3"/>
        <v>0</v>
      </c>
      <c r="Y8" s="1">
        <v>0</v>
      </c>
      <c r="Z8" s="26" t="s">
        <v>1</v>
      </c>
      <c r="AA8" s="1" t="s">
        <v>1</v>
      </c>
      <c r="AB8" s="26">
        <v>0</v>
      </c>
      <c r="AC8" s="26">
        <v>0</v>
      </c>
      <c r="AD8" s="1">
        <f t="shared" si="4"/>
        <v>0</v>
      </c>
      <c r="AE8" s="1">
        <v>0</v>
      </c>
      <c r="AF8" s="22">
        <f t="shared" si="5"/>
        <v>0</v>
      </c>
      <c r="AG8" s="22">
        <f t="shared" si="0"/>
        <v>0</v>
      </c>
      <c r="AH8" s="22">
        <f t="shared" si="0"/>
        <v>3</v>
      </c>
      <c r="AI8" s="22">
        <f t="shared" si="0"/>
        <v>2</v>
      </c>
      <c r="AJ8" s="22">
        <f t="shared" si="6"/>
        <v>5</v>
      </c>
      <c r="AK8" s="22">
        <f t="shared" si="7"/>
        <v>18.5</v>
      </c>
    </row>
    <row r="9" spans="1:38" x14ac:dyDescent="0.25">
      <c r="A9">
        <v>2011</v>
      </c>
      <c r="B9" s="20" t="s">
        <v>46</v>
      </c>
      <c r="C9" s="12">
        <v>40723</v>
      </c>
      <c r="D9" s="3">
        <v>16</v>
      </c>
      <c r="E9" s="20" t="s">
        <v>50</v>
      </c>
      <c r="H9" s="26" t="s">
        <v>1</v>
      </c>
      <c r="I9" s="1" t="s">
        <v>1</v>
      </c>
      <c r="J9" s="26">
        <v>1</v>
      </c>
      <c r="K9" s="26">
        <v>0</v>
      </c>
      <c r="L9" s="1">
        <f t="shared" si="1"/>
        <v>1</v>
      </c>
      <c r="M9" s="1">
        <v>1.5</v>
      </c>
      <c r="N9" s="26" t="s">
        <v>1</v>
      </c>
      <c r="O9" s="1" t="s">
        <v>1</v>
      </c>
      <c r="P9" s="26">
        <v>1</v>
      </c>
      <c r="Q9" s="1">
        <v>0</v>
      </c>
      <c r="R9" s="1">
        <f t="shared" si="2"/>
        <v>1</v>
      </c>
      <c r="S9" s="26">
        <v>3.5</v>
      </c>
      <c r="T9" s="26" t="s">
        <v>1</v>
      </c>
      <c r="U9" s="1" t="s">
        <v>1</v>
      </c>
      <c r="V9" s="1">
        <v>0</v>
      </c>
      <c r="W9" s="26">
        <v>0</v>
      </c>
      <c r="X9" s="1">
        <f t="shared" si="3"/>
        <v>0</v>
      </c>
      <c r="Y9" s="1">
        <v>0</v>
      </c>
      <c r="Z9" s="26" t="s">
        <v>1</v>
      </c>
      <c r="AA9" s="1" t="s">
        <v>1</v>
      </c>
      <c r="AB9" s="26">
        <v>0</v>
      </c>
      <c r="AC9" s="26">
        <v>0</v>
      </c>
      <c r="AD9" s="1">
        <f t="shared" si="4"/>
        <v>0</v>
      </c>
      <c r="AE9" s="1">
        <v>0</v>
      </c>
      <c r="AF9" s="22">
        <f t="shared" si="5"/>
        <v>0</v>
      </c>
      <c r="AG9" s="22">
        <f t="shared" si="0"/>
        <v>0</v>
      </c>
      <c r="AH9" s="22">
        <f t="shared" si="0"/>
        <v>2</v>
      </c>
      <c r="AI9" s="22">
        <f t="shared" si="0"/>
        <v>0</v>
      </c>
      <c r="AJ9" s="22">
        <f t="shared" si="6"/>
        <v>2</v>
      </c>
      <c r="AK9" s="22">
        <f t="shared" si="7"/>
        <v>5</v>
      </c>
    </row>
    <row r="10" spans="1:38" x14ac:dyDescent="0.25">
      <c r="A10">
        <v>2011</v>
      </c>
      <c r="B10" s="20" t="s">
        <v>46</v>
      </c>
      <c r="C10" s="12">
        <v>40723</v>
      </c>
      <c r="D10" s="3">
        <v>16</v>
      </c>
      <c r="E10" s="20" t="s">
        <v>51</v>
      </c>
      <c r="H10" s="26" t="s">
        <v>1</v>
      </c>
      <c r="I10" s="26" t="s">
        <v>1</v>
      </c>
      <c r="J10" s="26">
        <v>0</v>
      </c>
      <c r="K10" s="26">
        <v>0</v>
      </c>
      <c r="L10" s="1">
        <f t="shared" si="1"/>
        <v>0</v>
      </c>
      <c r="M10" s="26">
        <v>0</v>
      </c>
      <c r="N10" s="26" t="s">
        <v>1</v>
      </c>
      <c r="O10" s="26" t="s">
        <v>1</v>
      </c>
      <c r="P10" s="26">
        <v>6</v>
      </c>
      <c r="Q10" s="1">
        <v>4</v>
      </c>
      <c r="R10" s="1">
        <f t="shared" si="2"/>
        <v>10</v>
      </c>
      <c r="S10" s="26">
        <v>15</v>
      </c>
      <c r="T10" s="26" t="s">
        <v>1</v>
      </c>
      <c r="U10" s="1" t="s">
        <v>1</v>
      </c>
      <c r="V10" s="26">
        <v>0</v>
      </c>
      <c r="W10" s="26">
        <v>0</v>
      </c>
      <c r="X10" s="1">
        <f t="shared" si="3"/>
        <v>0</v>
      </c>
      <c r="Y10" s="1">
        <v>0</v>
      </c>
      <c r="Z10" s="26" t="s">
        <v>1</v>
      </c>
      <c r="AA10" s="26" t="s">
        <v>1</v>
      </c>
      <c r="AB10" s="26">
        <v>0</v>
      </c>
      <c r="AC10" s="26">
        <v>0</v>
      </c>
      <c r="AD10" s="1">
        <f t="shared" si="4"/>
        <v>0</v>
      </c>
      <c r="AE10" s="26">
        <v>0</v>
      </c>
      <c r="AF10" s="22">
        <f t="shared" si="5"/>
        <v>0</v>
      </c>
      <c r="AG10" s="22">
        <f t="shared" si="0"/>
        <v>0</v>
      </c>
      <c r="AH10" s="22">
        <f t="shared" si="0"/>
        <v>6</v>
      </c>
      <c r="AI10" s="22">
        <f t="shared" si="0"/>
        <v>4</v>
      </c>
      <c r="AJ10" s="22">
        <f t="shared" si="6"/>
        <v>10</v>
      </c>
      <c r="AK10" s="22">
        <f t="shared" si="7"/>
        <v>15</v>
      </c>
    </row>
    <row r="11" spans="1:38" x14ac:dyDescent="0.25">
      <c r="A11">
        <v>2011</v>
      </c>
      <c r="B11" s="20" t="s">
        <v>46</v>
      </c>
      <c r="C11" s="12">
        <v>40723</v>
      </c>
      <c r="D11" s="3">
        <v>16</v>
      </c>
      <c r="E11" s="20" t="s">
        <v>52</v>
      </c>
      <c r="H11" s="26" t="s">
        <v>1</v>
      </c>
      <c r="I11" s="26" t="s">
        <v>1</v>
      </c>
      <c r="J11" s="26">
        <v>0</v>
      </c>
      <c r="K11" s="26">
        <v>0</v>
      </c>
      <c r="L11" s="1">
        <f t="shared" si="1"/>
        <v>0</v>
      </c>
      <c r="M11" s="26">
        <v>0</v>
      </c>
      <c r="N11" s="26" t="s">
        <v>1</v>
      </c>
      <c r="O11" s="26" t="s">
        <v>1</v>
      </c>
      <c r="P11" s="26">
        <v>1</v>
      </c>
      <c r="Q11" s="1">
        <v>0</v>
      </c>
      <c r="R11" s="1">
        <f t="shared" si="2"/>
        <v>1</v>
      </c>
      <c r="S11" s="26">
        <v>1.5</v>
      </c>
      <c r="T11" s="26" t="s">
        <v>1</v>
      </c>
      <c r="U11" s="1" t="s">
        <v>1</v>
      </c>
      <c r="V11" s="26">
        <v>0</v>
      </c>
      <c r="W11" s="26">
        <v>0</v>
      </c>
      <c r="X11" s="1">
        <f t="shared" si="3"/>
        <v>0</v>
      </c>
      <c r="Y11" s="1">
        <v>0</v>
      </c>
      <c r="Z11" s="26" t="s">
        <v>1</v>
      </c>
      <c r="AA11" s="26" t="s">
        <v>1</v>
      </c>
      <c r="AB11" s="26">
        <v>0</v>
      </c>
      <c r="AC11" s="26">
        <v>0</v>
      </c>
      <c r="AD11" s="1">
        <f t="shared" si="4"/>
        <v>0</v>
      </c>
      <c r="AE11" s="26">
        <v>0</v>
      </c>
      <c r="AF11" s="22">
        <f t="shared" si="5"/>
        <v>0</v>
      </c>
      <c r="AG11" s="22">
        <f t="shared" si="0"/>
        <v>0</v>
      </c>
      <c r="AH11" s="22">
        <f t="shared" si="0"/>
        <v>1</v>
      </c>
      <c r="AI11" s="22">
        <f t="shared" si="0"/>
        <v>0</v>
      </c>
      <c r="AJ11" s="22">
        <f t="shared" si="6"/>
        <v>1</v>
      </c>
      <c r="AK11" s="22">
        <f t="shared" si="7"/>
        <v>1.5</v>
      </c>
    </row>
    <row r="12" spans="1:38" x14ac:dyDescent="0.25">
      <c r="A12">
        <v>2011</v>
      </c>
      <c r="B12" s="20" t="s">
        <v>46</v>
      </c>
      <c r="C12" s="12">
        <v>40723</v>
      </c>
      <c r="D12" s="3">
        <v>16</v>
      </c>
      <c r="E12" s="20" t="s">
        <v>53</v>
      </c>
      <c r="H12" s="1" t="s">
        <v>1</v>
      </c>
      <c r="I12" s="1" t="s">
        <v>1</v>
      </c>
      <c r="J12" s="1">
        <v>0</v>
      </c>
      <c r="K12" s="1">
        <v>0</v>
      </c>
      <c r="L12" s="1">
        <f t="shared" si="1"/>
        <v>0</v>
      </c>
      <c r="M12" s="1">
        <v>0</v>
      </c>
      <c r="N12" s="1" t="s">
        <v>1</v>
      </c>
      <c r="O12" s="1" t="s">
        <v>1</v>
      </c>
      <c r="P12" s="1">
        <v>0</v>
      </c>
      <c r="Q12" s="1">
        <v>0</v>
      </c>
      <c r="R12" s="1">
        <f t="shared" si="2"/>
        <v>0</v>
      </c>
      <c r="S12" s="1">
        <v>0</v>
      </c>
      <c r="T12" s="1" t="s">
        <v>1</v>
      </c>
      <c r="U12" s="1" t="s">
        <v>1</v>
      </c>
      <c r="V12" s="1">
        <v>1</v>
      </c>
      <c r="W12" s="1">
        <v>0</v>
      </c>
      <c r="X12" s="1">
        <f t="shared" si="3"/>
        <v>1</v>
      </c>
      <c r="Y12" s="1">
        <v>1.5</v>
      </c>
      <c r="Z12" s="26" t="s">
        <v>1</v>
      </c>
      <c r="AA12" s="1" t="s">
        <v>1</v>
      </c>
      <c r="AB12" s="26">
        <v>0</v>
      </c>
      <c r="AC12" s="26">
        <v>0</v>
      </c>
      <c r="AD12" s="1">
        <f t="shared" si="4"/>
        <v>0</v>
      </c>
      <c r="AE12" s="1">
        <v>0</v>
      </c>
      <c r="AF12" s="22">
        <f t="shared" si="5"/>
        <v>0</v>
      </c>
      <c r="AG12" s="22">
        <f t="shared" si="0"/>
        <v>0</v>
      </c>
      <c r="AH12" s="22">
        <f t="shared" si="0"/>
        <v>1</v>
      </c>
      <c r="AI12" s="22">
        <f t="shared" si="0"/>
        <v>0</v>
      </c>
      <c r="AJ12" s="22">
        <f t="shared" si="6"/>
        <v>1</v>
      </c>
      <c r="AK12" s="22">
        <f t="shared" si="7"/>
        <v>1.5</v>
      </c>
    </row>
    <row r="13" spans="1:38" x14ac:dyDescent="0.25">
      <c r="A13">
        <v>2011</v>
      </c>
      <c r="B13" s="20" t="s">
        <v>46</v>
      </c>
      <c r="C13" s="12">
        <v>40723</v>
      </c>
      <c r="D13" s="3">
        <v>16</v>
      </c>
      <c r="E13" s="20" t="s">
        <v>54</v>
      </c>
      <c r="H13" s="1">
        <v>0</v>
      </c>
      <c r="I13" s="1">
        <v>0</v>
      </c>
      <c r="J13" s="1">
        <v>0</v>
      </c>
      <c r="K13" s="1">
        <v>0</v>
      </c>
      <c r="L13" s="1">
        <f t="shared" si="1"/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f t="shared" si="2"/>
        <v>0</v>
      </c>
      <c r="S13" s="1">
        <v>0</v>
      </c>
      <c r="T13" s="1">
        <v>0</v>
      </c>
      <c r="U13" s="1">
        <v>2</v>
      </c>
      <c r="V13" s="1">
        <v>0</v>
      </c>
      <c r="W13" s="1">
        <v>0</v>
      </c>
      <c r="X13" s="1">
        <f t="shared" si="3"/>
        <v>2</v>
      </c>
      <c r="Y13" s="1">
        <v>0.5</v>
      </c>
      <c r="Z13" s="26">
        <v>0</v>
      </c>
      <c r="AA13" s="1">
        <v>0</v>
      </c>
      <c r="AB13" s="26">
        <v>0</v>
      </c>
      <c r="AC13" s="26">
        <v>0</v>
      </c>
      <c r="AD13" s="1">
        <f t="shared" si="4"/>
        <v>0</v>
      </c>
      <c r="AE13" s="1">
        <v>0</v>
      </c>
      <c r="AF13" s="22">
        <f t="shared" si="5"/>
        <v>0</v>
      </c>
      <c r="AG13" s="22">
        <f t="shared" si="0"/>
        <v>2</v>
      </c>
      <c r="AH13" s="22">
        <f t="shared" si="0"/>
        <v>0</v>
      </c>
      <c r="AI13" s="22">
        <f t="shared" si="0"/>
        <v>0</v>
      </c>
      <c r="AJ13" s="22">
        <f t="shared" si="6"/>
        <v>2</v>
      </c>
      <c r="AK13" s="22">
        <f t="shared" si="7"/>
        <v>0.5</v>
      </c>
    </row>
    <row r="14" spans="1:38" x14ac:dyDescent="0.25">
      <c r="A14">
        <v>2011</v>
      </c>
      <c r="B14" s="20" t="s">
        <v>46</v>
      </c>
      <c r="C14" s="12">
        <v>40758</v>
      </c>
      <c r="D14" s="3">
        <v>17</v>
      </c>
      <c r="E14" s="20" t="s">
        <v>47</v>
      </c>
      <c r="H14" s="1">
        <v>0</v>
      </c>
      <c r="I14" s="1">
        <v>2</v>
      </c>
      <c r="J14" s="1">
        <v>0</v>
      </c>
      <c r="K14" s="1">
        <v>0</v>
      </c>
      <c r="L14" s="1">
        <f t="shared" ref="L14:L29" si="8">SUM(H14:K14)</f>
        <v>2</v>
      </c>
      <c r="M14" s="1">
        <v>0.5</v>
      </c>
      <c r="N14" s="1">
        <v>0</v>
      </c>
      <c r="O14" s="1">
        <v>7</v>
      </c>
      <c r="P14" s="1">
        <v>0</v>
      </c>
      <c r="Q14" s="1">
        <v>0</v>
      </c>
      <c r="R14" s="1">
        <f t="shared" ref="R14:R29" si="9">SUM(N14:Q14)</f>
        <v>7</v>
      </c>
      <c r="S14" s="1">
        <v>0.5</v>
      </c>
      <c r="T14" s="1">
        <v>0</v>
      </c>
      <c r="U14" s="1">
        <v>13</v>
      </c>
      <c r="V14" s="1">
        <v>0</v>
      </c>
      <c r="W14" s="1">
        <v>0</v>
      </c>
      <c r="X14" s="1">
        <f t="shared" ref="X14:X29" si="10">SUM(T14:W14)</f>
        <v>13</v>
      </c>
      <c r="Y14" s="1">
        <v>2</v>
      </c>
      <c r="Z14" s="1">
        <v>0</v>
      </c>
      <c r="AA14" s="1">
        <v>1</v>
      </c>
      <c r="AB14" s="1">
        <v>0</v>
      </c>
      <c r="AC14" s="1">
        <v>1</v>
      </c>
      <c r="AD14" s="1">
        <f t="shared" ref="AD14:AD29" si="11">SUM(Z14:AC14)</f>
        <v>2</v>
      </c>
      <c r="AE14" s="1">
        <v>8</v>
      </c>
      <c r="AF14" s="22">
        <f t="shared" ref="AF14:AF21" si="12">SUM(H14,N14,T14,Z14)</f>
        <v>0</v>
      </c>
      <c r="AG14" s="22">
        <f t="shared" ref="AG14:AG21" si="13">SUM(I14,O14,U14,AA14)</f>
        <v>23</v>
      </c>
      <c r="AH14" s="22">
        <f t="shared" ref="AH14:AH29" si="14">SUM(J14,P14,V14,AB14)</f>
        <v>0</v>
      </c>
      <c r="AI14" s="22">
        <f t="shared" ref="AI14:AI21" si="15">SUM(K14,Q14,W14,AC14)</f>
        <v>1</v>
      </c>
      <c r="AJ14" s="22">
        <f t="shared" ref="AJ14:AJ21" si="16">SUM(AF14:AI14)</f>
        <v>24</v>
      </c>
      <c r="AK14" s="22">
        <f t="shared" ref="AK14:AK29" si="17">M14+S14+Y14+AE14</f>
        <v>11</v>
      </c>
    </row>
    <row r="15" spans="1:38" x14ac:dyDescent="0.25">
      <c r="A15">
        <v>2011</v>
      </c>
      <c r="B15" s="20" t="s">
        <v>46</v>
      </c>
      <c r="C15" s="12">
        <v>40758</v>
      </c>
      <c r="D15" s="3">
        <v>17</v>
      </c>
      <c r="E15" s="20" t="s">
        <v>55</v>
      </c>
      <c r="H15" s="1">
        <v>0</v>
      </c>
      <c r="I15" s="1">
        <v>1</v>
      </c>
      <c r="J15" s="1">
        <v>0</v>
      </c>
      <c r="K15" s="1">
        <v>0</v>
      </c>
      <c r="L15" s="1">
        <f t="shared" si="8"/>
        <v>1</v>
      </c>
      <c r="M15" s="1">
        <v>0.5</v>
      </c>
      <c r="N15" s="1">
        <v>0</v>
      </c>
      <c r="O15" s="1">
        <v>0</v>
      </c>
      <c r="P15" s="1">
        <v>0</v>
      </c>
      <c r="Q15" s="1">
        <v>0</v>
      </c>
      <c r="R15" s="1">
        <f t="shared" si="9"/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f t="shared" si="10"/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f t="shared" si="11"/>
        <v>0</v>
      </c>
      <c r="AE15" s="1">
        <v>0</v>
      </c>
      <c r="AF15" s="22">
        <f t="shared" si="12"/>
        <v>0</v>
      </c>
      <c r="AG15" s="22">
        <f t="shared" si="13"/>
        <v>1</v>
      </c>
      <c r="AH15" s="22">
        <f t="shared" si="14"/>
        <v>0</v>
      </c>
      <c r="AI15" s="22">
        <f t="shared" si="15"/>
        <v>0</v>
      </c>
      <c r="AJ15" s="22">
        <f t="shared" si="16"/>
        <v>1</v>
      </c>
      <c r="AK15" s="22">
        <f t="shared" si="17"/>
        <v>0.5</v>
      </c>
    </row>
    <row r="16" spans="1:38" x14ac:dyDescent="0.25">
      <c r="A16">
        <v>2011</v>
      </c>
      <c r="B16" s="20" t="s">
        <v>46</v>
      </c>
      <c r="C16" s="12">
        <v>40758</v>
      </c>
      <c r="D16" s="3">
        <v>17</v>
      </c>
      <c r="E16" s="20" t="s">
        <v>56</v>
      </c>
      <c r="H16" s="1" t="s">
        <v>1</v>
      </c>
      <c r="I16" s="1" t="s">
        <v>1</v>
      </c>
      <c r="J16" s="1">
        <v>14</v>
      </c>
      <c r="K16" s="1">
        <v>2</v>
      </c>
      <c r="L16" s="1">
        <f t="shared" si="8"/>
        <v>16</v>
      </c>
      <c r="M16" s="1">
        <v>35</v>
      </c>
      <c r="N16" s="1" t="s">
        <v>1</v>
      </c>
      <c r="O16" s="1" t="s">
        <v>1</v>
      </c>
      <c r="P16" s="1">
        <v>3</v>
      </c>
      <c r="Q16" s="1">
        <v>1</v>
      </c>
      <c r="R16" s="1">
        <f t="shared" si="9"/>
        <v>4</v>
      </c>
      <c r="S16" s="1">
        <v>15</v>
      </c>
      <c r="T16" s="1" t="s">
        <v>1</v>
      </c>
      <c r="U16" s="1" t="s">
        <v>1</v>
      </c>
      <c r="V16" s="1">
        <v>0</v>
      </c>
      <c r="W16" s="1">
        <v>0</v>
      </c>
      <c r="X16" s="1">
        <f t="shared" si="10"/>
        <v>0</v>
      </c>
      <c r="Z16" s="1" t="s">
        <v>1</v>
      </c>
      <c r="AA16" s="1" t="s">
        <v>1</v>
      </c>
      <c r="AB16" s="1">
        <v>0</v>
      </c>
      <c r="AC16" s="1">
        <v>0</v>
      </c>
      <c r="AD16" s="1">
        <f t="shared" si="11"/>
        <v>0</v>
      </c>
      <c r="AE16" s="1">
        <v>0</v>
      </c>
      <c r="AF16" s="22">
        <f t="shared" si="12"/>
        <v>0</v>
      </c>
      <c r="AG16" s="22">
        <f t="shared" si="13"/>
        <v>0</v>
      </c>
      <c r="AH16" s="22">
        <f t="shared" si="14"/>
        <v>17</v>
      </c>
      <c r="AI16" s="22">
        <f t="shared" si="15"/>
        <v>3</v>
      </c>
      <c r="AJ16" s="22">
        <f t="shared" si="16"/>
        <v>20</v>
      </c>
      <c r="AK16" s="22">
        <f t="shared" si="17"/>
        <v>50</v>
      </c>
    </row>
    <row r="17" spans="1:37" x14ac:dyDescent="0.25">
      <c r="A17">
        <v>2011</v>
      </c>
      <c r="B17" s="20" t="s">
        <v>46</v>
      </c>
      <c r="C17" s="12">
        <v>40758</v>
      </c>
      <c r="D17" s="3">
        <v>17</v>
      </c>
      <c r="E17" s="20" t="s">
        <v>48</v>
      </c>
      <c r="H17" s="1" t="s">
        <v>1</v>
      </c>
      <c r="I17" s="1" t="s">
        <v>1</v>
      </c>
      <c r="J17" s="1">
        <v>1</v>
      </c>
      <c r="K17" s="1">
        <v>0</v>
      </c>
      <c r="L17" s="1">
        <f t="shared" si="8"/>
        <v>1</v>
      </c>
      <c r="M17" s="1">
        <v>3.5</v>
      </c>
      <c r="N17" s="1" t="s">
        <v>1</v>
      </c>
      <c r="O17" s="1" t="s">
        <v>1</v>
      </c>
      <c r="P17" s="1">
        <v>0</v>
      </c>
      <c r="Q17" s="1">
        <v>0</v>
      </c>
      <c r="R17" s="1">
        <f t="shared" si="9"/>
        <v>0</v>
      </c>
      <c r="S17" s="1">
        <v>0</v>
      </c>
      <c r="T17" s="1" t="s">
        <v>1</v>
      </c>
      <c r="U17" s="1" t="s">
        <v>1</v>
      </c>
      <c r="V17" s="1">
        <v>0</v>
      </c>
      <c r="W17" s="1">
        <v>0</v>
      </c>
      <c r="X17" s="1">
        <f t="shared" si="10"/>
        <v>0</v>
      </c>
      <c r="Y17" s="1">
        <v>0</v>
      </c>
      <c r="Z17" s="1" t="s">
        <v>1</v>
      </c>
      <c r="AA17" s="1" t="s">
        <v>1</v>
      </c>
      <c r="AB17" s="1">
        <v>0</v>
      </c>
      <c r="AC17" s="1">
        <v>0</v>
      </c>
      <c r="AD17" s="1">
        <f t="shared" si="11"/>
        <v>0</v>
      </c>
      <c r="AE17" s="1">
        <v>0</v>
      </c>
      <c r="AF17" s="22">
        <f t="shared" si="12"/>
        <v>0</v>
      </c>
      <c r="AG17" s="22">
        <f t="shared" si="13"/>
        <v>0</v>
      </c>
      <c r="AH17" s="22">
        <f t="shared" si="14"/>
        <v>1</v>
      </c>
      <c r="AI17" s="22">
        <f t="shared" si="15"/>
        <v>0</v>
      </c>
      <c r="AJ17" s="22">
        <f t="shared" si="16"/>
        <v>1</v>
      </c>
      <c r="AK17" s="22">
        <f t="shared" si="17"/>
        <v>3.5</v>
      </c>
    </row>
    <row r="18" spans="1:37" x14ac:dyDescent="0.25">
      <c r="A18">
        <v>2011</v>
      </c>
      <c r="B18" s="20" t="s">
        <v>46</v>
      </c>
      <c r="C18" s="12">
        <v>40758</v>
      </c>
      <c r="D18" s="3">
        <v>17</v>
      </c>
      <c r="E18" s="20" t="s">
        <v>49</v>
      </c>
      <c r="H18" s="1" t="s">
        <v>1</v>
      </c>
      <c r="I18" s="1" t="s">
        <v>1</v>
      </c>
      <c r="J18" s="1">
        <v>1</v>
      </c>
      <c r="K18" s="1">
        <v>0</v>
      </c>
      <c r="L18" s="1">
        <f t="shared" si="8"/>
        <v>1</v>
      </c>
      <c r="M18" s="1">
        <v>0.5</v>
      </c>
      <c r="N18" s="1" t="s">
        <v>1</v>
      </c>
      <c r="O18" s="1" t="s">
        <v>1</v>
      </c>
      <c r="P18" s="1">
        <v>0</v>
      </c>
      <c r="Q18" s="1">
        <v>0</v>
      </c>
      <c r="R18" s="1">
        <f t="shared" si="9"/>
        <v>0</v>
      </c>
      <c r="S18" s="1">
        <v>0</v>
      </c>
      <c r="T18" s="1" t="s">
        <v>1</v>
      </c>
      <c r="U18" s="1" t="s">
        <v>1</v>
      </c>
      <c r="V18" s="1">
        <v>0</v>
      </c>
      <c r="W18" s="1">
        <v>0</v>
      </c>
      <c r="X18" s="1">
        <f t="shared" si="10"/>
        <v>0</v>
      </c>
      <c r="Y18" s="1">
        <v>0</v>
      </c>
      <c r="Z18" s="1" t="s">
        <v>1</v>
      </c>
      <c r="AA18" s="1" t="s">
        <v>1</v>
      </c>
      <c r="AB18" s="1">
        <v>0</v>
      </c>
      <c r="AC18" s="1">
        <v>2</v>
      </c>
      <c r="AD18" s="1">
        <f t="shared" si="11"/>
        <v>2</v>
      </c>
      <c r="AE18" s="1">
        <v>45</v>
      </c>
      <c r="AF18" s="22">
        <f t="shared" si="12"/>
        <v>0</v>
      </c>
      <c r="AG18" s="22">
        <f t="shared" si="13"/>
        <v>0</v>
      </c>
      <c r="AH18" s="22">
        <f t="shared" si="14"/>
        <v>1</v>
      </c>
      <c r="AI18" s="22">
        <f t="shared" si="15"/>
        <v>2</v>
      </c>
      <c r="AJ18" s="22">
        <f t="shared" si="16"/>
        <v>3</v>
      </c>
      <c r="AK18" s="22">
        <f t="shared" si="17"/>
        <v>45.5</v>
      </c>
    </row>
    <row r="19" spans="1:37" x14ac:dyDescent="0.25">
      <c r="A19">
        <v>2011</v>
      </c>
      <c r="B19" s="20" t="s">
        <v>46</v>
      </c>
      <c r="C19" s="12">
        <v>40758</v>
      </c>
      <c r="D19" s="3">
        <v>17</v>
      </c>
      <c r="E19" s="20" t="s">
        <v>57</v>
      </c>
      <c r="H19" s="1" t="s">
        <v>1</v>
      </c>
      <c r="I19" s="1" t="s">
        <v>1</v>
      </c>
      <c r="J19" s="1">
        <v>0</v>
      </c>
      <c r="K19" s="1">
        <v>0</v>
      </c>
      <c r="L19" s="1">
        <f t="shared" si="8"/>
        <v>0</v>
      </c>
      <c r="M19" s="1">
        <v>0</v>
      </c>
      <c r="N19" s="1" t="s">
        <v>1</v>
      </c>
      <c r="O19" s="1" t="s">
        <v>1</v>
      </c>
      <c r="P19" s="1">
        <v>1</v>
      </c>
      <c r="Q19" s="1">
        <v>0</v>
      </c>
      <c r="R19" s="1">
        <f t="shared" si="9"/>
        <v>1</v>
      </c>
      <c r="S19" s="1">
        <v>1</v>
      </c>
      <c r="T19" s="1" t="s">
        <v>1</v>
      </c>
      <c r="U19" s="1" t="s">
        <v>1</v>
      </c>
      <c r="V19" s="1">
        <v>0</v>
      </c>
      <c r="W19" s="1">
        <v>0</v>
      </c>
      <c r="X19" s="1">
        <f t="shared" si="10"/>
        <v>0</v>
      </c>
      <c r="Y19" s="1">
        <v>0</v>
      </c>
      <c r="Z19" s="1" t="s">
        <v>1</v>
      </c>
      <c r="AA19" s="1" t="s">
        <v>1</v>
      </c>
      <c r="AB19" s="1">
        <v>0</v>
      </c>
      <c r="AC19" s="1">
        <v>0</v>
      </c>
      <c r="AD19" s="1">
        <f t="shared" si="11"/>
        <v>0</v>
      </c>
      <c r="AE19" s="1">
        <v>0</v>
      </c>
      <c r="AF19" s="22">
        <f t="shared" si="12"/>
        <v>0</v>
      </c>
      <c r="AG19" s="22">
        <f t="shared" si="13"/>
        <v>0</v>
      </c>
      <c r="AH19" s="22">
        <f t="shared" si="14"/>
        <v>1</v>
      </c>
      <c r="AI19" s="22">
        <f t="shared" si="15"/>
        <v>0</v>
      </c>
      <c r="AJ19" s="22">
        <f t="shared" si="16"/>
        <v>1</v>
      </c>
      <c r="AK19" s="22">
        <f t="shared" si="17"/>
        <v>1</v>
      </c>
    </row>
    <row r="20" spans="1:37" x14ac:dyDescent="0.25">
      <c r="A20">
        <v>2011</v>
      </c>
      <c r="B20" s="20" t="s">
        <v>46</v>
      </c>
      <c r="C20" s="12">
        <v>40758</v>
      </c>
      <c r="D20" s="3">
        <v>17</v>
      </c>
      <c r="E20" s="20" t="s">
        <v>58</v>
      </c>
      <c r="H20" s="1" t="s">
        <v>1</v>
      </c>
      <c r="I20" s="1" t="s">
        <v>1</v>
      </c>
      <c r="J20" s="1">
        <v>0</v>
      </c>
      <c r="K20" s="1">
        <v>0</v>
      </c>
      <c r="L20" s="1">
        <f t="shared" si="8"/>
        <v>0</v>
      </c>
      <c r="M20" s="1">
        <v>0</v>
      </c>
      <c r="N20" s="1" t="s">
        <v>1</v>
      </c>
      <c r="O20" s="1" t="s">
        <v>1</v>
      </c>
      <c r="P20" s="1">
        <v>0</v>
      </c>
      <c r="Q20" s="1">
        <v>0</v>
      </c>
      <c r="R20" s="1">
        <f t="shared" si="9"/>
        <v>0</v>
      </c>
      <c r="S20" s="1">
        <v>0</v>
      </c>
      <c r="T20" s="1" t="s">
        <v>1</v>
      </c>
      <c r="U20" s="1" t="s">
        <v>1</v>
      </c>
      <c r="V20" s="1">
        <v>2</v>
      </c>
      <c r="W20" s="1">
        <v>0</v>
      </c>
      <c r="X20" s="1">
        <f t="shared" si="10"/>
        <v>2</v>
      </c>
      <c r="Y20" s="1">
        <v>0.5</v>
      </c>
      <c r="Z20" s="1" t="s">
        <v>1</v>
      </c>
      <c r="AA20" s="1" t="s">
        <v>1</v>
      </c>
      <c r="AB20" s="1">
        <v>0</v>
      </c>
      <c r="AC20" s="1">
        <v>0</v>
      </c>
      <c r="AD20" s="1">
        <f t="shared" si="11"/>
        <v>0</v>
      </c>
      <c r="AE20" s="1">
        <v>0</v>
      </c>
      <c r="AF20" s="22">
        <f t="shared" si="12"/>
        <v>0</v>
      </c>
      <c r="AG20" s="22">
        <f t="shared" si="13"/>
        <v>0</v>
      </c>
      <c r="AH20" s="22">
        <f t="shared" si="14"/>
        <v>2</v>
      </c>
      <c r="AI20" s="22">
        <f t="shared" si="15"/>
        <v>0</v>
      </c>
      <c r="AJ20" s="22">
        <f t="shared" si="16"/>
        <v>2</v>
      </c>
      <c r="AK20" s="22">
        <f t="shared" si="17"/>
        <v>0.5</v>
      </c>
    </row>
    <row r="21" spans="1:37" x14ac:dyDescent="0.25">
      <c r="A21">
        <v>2011</v>
      </c>
      <c r="B21" s="20" t="s">
        <v>46</v>
      </c>
      <c r="C21" s="12">
        <v>40758</v>
      </c>
      <c r="D21" s="3">
        <v>17</v>
      </c>
      <c r="E21" s="20" t="s">
        <v>59</v>
      </c>
      <c r="H21" s="1" t="s">
        <v>1</v>
      </c>
      <c r="I21" s="1" t="s">
        <v>1</v>
      </c>
      <c r="J21" s="1">
        <v>0</v>
      </c>
      <c r="K21" s="1">
        <v>0</v>
      </c>
      <c r="L21" s="1">
        <f t="shared" si="8"/>
        <v>0</v>
      </c>
      <c r="M21" s="1">
        <v>0</v>
      </c>
      <c r="N21" s="1" t="s">
        <v>1</v>
      </c>
      <c r="O21" s="1" t="s">
        <v>1</v>
      </c>
      <c r="P21" s="1">
        <v>0</v>
      </c>
      <c r="Q21" s="1">
        <v>0</v>
      </c>
      <c r="R21" s="1">
        <f t="shared" si="9"/>
        <v>0</v>
      </c>
      <c r="S21" s="1">
        <v>0</v>
      </c>
      <c r="T21" s="1" t="s">
        <v>1</v>
      </c>
      <c r="U21" s="1" t="s">
        <v>1</v>
      </c>
      <c r="V21" s="1">
        <v>0</v>
      </c>
      <c r="W21" s="1">
        <v>1</v>
      </c>
      <c r="X21" s="1">
        <f t="shared" si="10"/>
        <v>1</v>
      </c>
      <c r="Y21" s="1">
        <v>3.5</v>
      </c>
      <c r="Z21" s="1" t="s">
        <v>1</v>
      </c>
      <c r="AA21" s="1" t="s">
        <v>1</v>
      </c>
      <c r="AB21" s="1">
        <v>0</v>
      </c>
      <c r="AC21" s="1">
        <v>0</v>
      </c>
      <c r="AD21" s="1">
        <f t="shared" si="11"/>
        <v>0</v>
      </c>
      <c r="AE21" s="1">
        <v>0</v>
      </c>
      <c r="AF21" s="22">
        <f t="shared" si="12"/>
        <v>0</v>
      </c>
      <c r="AG21" s="22">
        <f t="shared" si="13"/>
        <v>0</v>
      </c>
      <c r="AH21" s="22">
        <f t="shared" si="14"/>
        <v>0</v>
      </c>
      <c r="AI21" s="22">
        <f t="shared" si="15"/>
        <v>1</v>
      </c>
      <c r="AJ21" s="22">
        <f t="shared" si="16"/>
        <v>1</v>
      </c>
      <c r="AK21" s="22">
        <f t="shared" si="17"/>
        <v>3.5</v>
      </c>
    </row>
    <row r="22" spans="1:37" x14ac:dyDescent="0.25">
      <c r="A22">
        <v>2011</v>
      </c>
      <c r="B22" s="20" t="s">
        <v>46</v>
      </c>
      <c r="C22" s="12">
        <v>40758</v>
      </c>
      <c r="D22" s="3">
        <v>18</v>
      </c>
      <c r="E22" s="20" t="s">
        <v>47</v>
      </c>
      <c r="H22" s="1">
        <v>0</v>
      </c>
      <c r="I22" s="1">
        <v>4</v>
      </c>
      <c r="J22" s="1">
        <v>5</v>
      </c>
      <c r="K22" s="1">
        <v>9</v>
      </c>
      <c r="L22" s="1">
        <f t="shared" si="8"/>
        <v>18</v>
      </c>
      <c r="M22" s="1">
        <v>65</v>
      </c>
      <c r="N22" s="1">
        <v>0</v>
      </c>
      <c r="O22" s="1">
        <v>0</v>
      </c>
      <c r="P22" s="1">
        <v>2</v>
      </c>
      <c r="Q22" s="1">
        <v>0</v>
      </c>
      <c r="R22" s="1">
        <f t="shared" si="9"/>
        <v>2</v>
      </c>
      <c r="S22" s="1">
        <v>3.5</v>
      </c>
      <c r="T22" s="1">
        <v>0</v>
      </c>
      <c r="U22" s="1">
        <v>3</v>
      </c>
      <c r="V22" s="1">
        <v>1</v>
      </c>
      <c r="W22" s="1">
        <v>0</v>
      </c>
      <c r="X22" s="1">
        <f t="shared" si="10"/>
        <v>4</v>
      </c>
      <c r="Y22" s="1">
        <v>8</v>
      </c>
      <c r="Z22" s="1">
        <v>0</v>
      </c>
      <c r="AA22" s="1">
        <v>0</v>
      </c>
      <c r="AB22" s="1">
        <v>1</v>
      </c>
      <c r="AC22" s="1">
        <v>1</v>
      </c>
      <c r="AD22" s="1">
        <f t="shared" si="11"/>
        <v>2</v>
      </c>
      <c r="AE22" s="1">
        <v>8</v>
      </c>
      <c r="AF22" s="22">
        <f t="shared" ref="AF22:AF29" si="18">SUM(H22,N22,T22,Z22)</f>
        <v>0</v>
      </c>
      <c r="AG22" s="22">
        <f t="shared" ref="AG22:AG29" si="19">SUM(I22,O22,U22,AA22)</f>
        <v>7</v>
      </c>
      <c r="AH22" s="22">
        <f t="shared" si="14"/>
        <v>9</v>
      </c>
      <c r="AI22" s="22">
        <f t="shared" ref="AI22:AI29" si="20">SUM(K22,Q22,W22,AC22)</f>
        <v>10</v>
      </c>
      <c r="AJ22" s="22">
        <f t="shared" ref="AJ22:AJ29" si="21">SUM(AF22:AI22)</f>
        <v>26</v>
      </c>
      <c r="AK22" s="22">
        <f t="shared" si="17"/>
        <v>84.5</v>
      </c>
    </row>
    <row r="23" spans="1:37" x14ac:dyDescent="0.25">
      <c r="A23">
        <v>2011</v>
      </c>
      <c r="B23" s="20" t="s">
        <v>46</v>
      </c>
      <c r="C23" s="12">
        <v>40758</v>
      </c>
      <c r="D23" s="3">
        <v>18</v>
      </c>
      <c r="E23" s="20" t="s">
        <v>60</v>
      </c>
      <c r="H23" s="1">
        <v>0</v>
      </c>
      <c r="I23" s="1">
        <v>1</v>
      </c>
      <c r="J23" s="1">
        <v>0</v>
      </c>
      <c r="K23" s="1">
        <v>0</v>
      </c>
      <c r="L23" s="1">
        <f t="shared" si="8"/>
        <v>1</v>
      </c>
      <c r="M23" s="1">
        <v>0.5</v>
      </c>
      <c r="N23" s="1">
        <v>0</v>
      </c>
      <c r="O23" s="1">
        <v>0</v>
      </c>
      <c r="P23" s="1">
        <v>0</v>
      </c>
      <c r="Q23" s="1">
        <v>0</v>
      </c>
      <c r="R23" s="1">
        <f t="shared" si="9"/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f t="shared" si="10"/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f t="shared" si="11"/>
        <v>0</v>
      </c>
      <c r="AE23" s="1">
        <v>0</v>
      </c>
      <c r="AF23" s="22">
        <f t="shared" si="18"/>
        <v>0</v>
      </c>
      <c r="AG23" s="22">
        <f t="shared" si="19"/>
        <v>1</v>
      </c>
      <c r="AH23" s="22">
        <f t="shared" si="14"/>
        <v>0</v>
      </c>
      <c r="AI23" s="22">
        <f t="shared" si="20"/>
        <v>0</v>
      </c>
      <c r="AJ23" s="22">
        <f t="shared" si="21"/>
        <v>1</v>
      </c>
      <c r="AK23" s="22">
        <f t="shared" si="17"/>
        <v>0.5</v>
      </c>
    </row>
    <row r="24" spans="1:37" x14ac:dyDescent="0.25">
      <c r="A24">
        <v>2011</v>
      </c>
      <c r="B24" s="20" t="s">
        <v>46</v>
      </c>
      <c r="C24" s="12">
        <v>40758</v>
      </c>
      <c r="D24" s="3">
        <v>18</v>
      </c>
      <c r="E24" s="20" t="s">
        <v>55</v>
      </c>
      <c r="H24" s="1">
        <v>1</v>
      </c>
      <c r="I24" s="1">
        <v>2</v>
      </c>
      <c r="J24" s="1">
        <v>0</v>
      </c>
      <c r="K24" s="1">
        <v>0</v>
      </c>
      <c r="L24" s="1">
        <f t="shared" si="8"/>
        <v>3</v>
      </c>
      <c r="M24" s="1">
        <v>0.5</v>
      </c>
      <c r="N24" s="1">
        <v>0</v>
      </c>
      <c r="O24" s="1">
        <v>1</v>
      </c>
      <c r="P24" s="1">
        <v>0</v>
      </c>
      <c r="Q24" s="1">
        <v>0</v>
      </c>
      <c r="R24" s="1">
        <f t="shared" si="9"/>
        <v>1</v>
      </c>
      <c r="S24" s="1">
        <v>0.5</v>
      </c>
      <c r="T24" s="1">
        <v>0</v>
      </c>
      <c r="U24" s="1">
        <v>0</v>
      </c>
      <c r="V24" s="1">
        <v>0</v>
      </c>
      <c r="W24" s="1">
        <v>0</v>
      </c>
      <c r="X24" s="1">
        <f t="shared" si="10"/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f t="shared" si="11"/>
        <v>0</v>
      </c>
      <c r="AE24" s="1">
        <v>0</v>
      </c>
      <c r="AF24" s="22">
        <f t="shared" si="18"/>
        <v>1</v>
      </c>
      <c r="AG24" s="22">
        <f t="shared" si="19"/>
        <v>3</v>
      </c>
      <c r="AH24" s="22">
        <f t="shared" si="14"/>
        <v>0</v>
      </c>
      <c r="AI24" s="22">
        <f t="shared" si="20"/>
        <v>0</v>
      </c>
      <c r="AJ24" s="22">
        <f t="shared" si="21"/>
        <v>4</v>
      </c>
      <c r="AK24" s="22">
        <f t="shared" si="17"/>
        <v>1</v>
      </c>
    </row>
    <row r="25" spans="1:37" x14ac:dyDescent="0.25">
      <c r="A25">
        <v>2011</v>
      </c>
      <c r="B25" s="20" t="s">
        <v>46</v>
      </c>
      <c r="C25" s="12">
        <v>40758</v>
      </c>
      <c r="D25" s="3">
        <v>18</v>
      </c>
      <c r="E25" s="20" t="s">
        <v>49</v>
      </c>
      <c r="H25" s="26" t="s">
        <v>1</v>
      </c>
      <c r="I25" s="26" t="s">
        <v>1</v>
      </c>
      <c r="J25" s="1">
        <v>1</v>
      </c>
      <c r="K25" s="1">
        <v>2</v>
      </c>
      <c r="L25" s="1">
        <f t="shared" si="8"/>
        <v>3</v>
      </c>
      <c r="M25" s="1">
        <v>15</v>
      </c>
      <c r="N25" s="26" t="s">
        <v>1</v>
      </c>
      <c r="O25" s="26" t="s">
        <v>1</v>
      </c>
      <c r="P25" s="1">
        <v>0</v>
      </c>
      <c r="Q25" s="1">
        <v>1</v>
      </c>
      <c r="R25" s="1">
        <f t="shared" si="9"/>
        <v>1</v>
      </c>
      <c r="S25" s="1">
        <v>8</v>
      </c>
      <c r="T25" s="26" t="s">
        <v>1</v>
      </c>
      <c r="U25" s="26" t="s">
        <v>1</v>
      </c>
      <c r="V25" s="1">
        <v>1</v>
      </c>
      <c r="W25" s="1">
        <v>2</v>
      </c>
      <c r="X25" s="1">
        <f t="shared" si="10"/>
        <v>3</v>
      </c>
      <c r="Y25" s="1">
        <v>15</v>
      </c>
      <c r="Z25" s="26" t="s">
        <v>1</v>
      </c>
      <c r="AA25" s="26" t="s">
        <v>1</v>
      </c>
      <c r="AB25" s="1">
        <v>0</v>
      </c>
      <c r="AC25" s="1">
        <v>0</v>
      </c>
      <c r="AD25" s="1">
        <f t="shared" si="11"/>
        <v>0</v>
      </c>
      <c r="AE25" s="1">
        <v>0</v>
      </c>
      <c r="AF25" s="22">
        <f t="shared" si="18"/>
        <v>0</v>
      </c>
      <c r="AG25" s="22">
        <f t="shared" si="19"/>
        <v>0</v>
      </c>
      <c r="AH25" s="9">
        <f t="shared" si="14"/>
        <v>2</v>
      </c>
      <c r="AI25" s="22">
        <f t="shared" si="20"/>
        <v>5</v>
      </c>
      <c r="AJ25" s="22">
        <f t="shared" si="21"/>
        <v>7</v>
      </c>
      <c r="AK25" s="22">
        <f t="shared" si="17"/>
        <v>38</v>
      </c>
    </row>
    <row r="26" spans="1:37" x14ac:dyDescent="0.25">
      <c r="A26">
        <v>2011</v>
      </c>
      <c r="B26" s="20" t="s">
        <v>46</v>
      </c>
      <c r="C26" s="12">
        <v>40758</v>
      </c>
      <c r="D26" s="3">
        <v>18</v>
      </c>
      <c r="E26" s="20" t="s">
        <v>56</v>
      </c>
      <c r="H26" s="26" t="s">
        <v>1</v>
      </c>
      <c r="I26" s="26" t="s">
        <v>1</v>
      </c>
      <c r="J26" s="1">
        <v>1</v>
      </c>
      <c r="K26" s="1">
        <v>0</v>
      </c>
      <c r="L26" s="1">
        <f t="shared" si="8"/>
        <v>1</v>
      </c>
      <c r="M26" s="1">
        <v>1.5</v>
      </c>
      <c r="N26" s="26" t="s">
        <v>1</v>
      </c>
      <c r="O26" s="26" t="s">
        <v>1</v>
      </c>
      <c r="P26" s="1">
        <v>4</v>
      </c>
      <c r="Q26" s="1">
        <v>2</v>
      </c>
      <c r="R26" s="1">
        <f t="shared" si="9"/>
        <v>6</v>
      </c>
      <c r="S26" s="1">
        <v>15</v>
      </c>
      <c r="T26" s="26" t="s">
        <v>1</v>
      </c>
      <c r="U26" s="26" t="s">
        <v>1</v>
      </c>
      <c r="V26" s="1">
        <v>11</v>
      </c>
      <c r="W26" s="1">
        <v>2</v>
      </c>
      <c r="X26" s="1">
        <f t="shared" si="10"/>
        <v>13</v>
      </c>
      <c r="Y26" s="1">
        <v>55</v>
      </c>
      <c r="Z26" s="26" t="s">
        <v>1</v>
      </c>
      <c r="AA26" s="26" t="s">
        <v>1</v>
      </c>
      <c r="AB26" s="1">
        <v>0</v>
      </c>
      <c r="AC26" s="1">
        <v>0</v>
      </c>
      <c r="AD26" s="1">
        <f t="shared" si="11"/>
        <v>0</v>
      </c>
      <c r="AE26" s="1">
        <v>0</v>
      </c>
      <c r="AF26" s="22">
        <f t="shared" si="18"/>
        <v>0</v>
      </c>
      <c r="AG26" s="22">
        <f t="shared" si="19"/>
        <v>0</v>
      </c>
      <c r="AH26" s="9">
        <f t="shared" si="14"/>
        <v>16</v>
      </c>
      <c r="AI26" s="22">
        <f t="shared" si="20"/>
        <v>4</v>
      </c>
      <c r="AJ26" s="22">
        <f t="shared" si="21"/>
        <v>20</v>
      </c>
      <c r="AK26" s="22">
        <f t="shared" si="17"/>
        <v>71.5</v>
      </c>
    </row>
    <row r="27" spans="1:37" x14ac:dyDescent="0.25">
      <c r="A27">
        <v>2011</v>
      </c>
      <c r="B27" s="20" t="s">
        <v>46</v>
      </c>
      <c r="C27" s="12">
        <v>40758</v>
      </c>
      <c r="D27" s="3">
        <v>18</v>
      </c>
      <c r="E27" s="20" t="s">
        <v>61</v>
      </c>
      <c r="H27" s="1">
        <v>0</v>
      </c>
      <c r="I27" s="1">
        <v>0</v>
      </c>
      <c r="J27" s="1">
        <v>0</v>
      </c>
      <c r="K27" s="1">
        <v>0</v>
      </c>
      <c r="L27" s="1">
        <f t="shared" si="8"/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f t="shared" si="9"/>
        <v>0</v>
      </c>
      <c r="S27" s="1">
        <v>0</v>
      </c>
      <c r="T27" s="1">
        <v>0</v>
      </c>
      <c r="U27" s="1">
        <v>0</v>
      </c>
      <c r="V27" s="1">
        <v>1</v>
      </c>
      <c r="W27" s="1">
        <v>0</v>
      </c>
      <c r="X27" s="1">
        <f t="shared" si="10"/>
        <v>1</v>
      </c>
      <c r="Y27" s="1">
        <v>3.5</v>
      </c>
      <c r="Z27" s="1">
        <v>0</v>
      </c>
      <c r="AA27" s="1">
        <v>0</v>
      </c>
      <c r="AB27" s="1">
        <v>0</v>
      </c>
      <c r="AC27" s="1">
        <v>0</v>
      </c>
      <c r="AD27" s="1">
        <f t="shared" si="11"/>
        <v>0</v>
      </c>
      <c r="AE27" s="1">
        <v>0</v>
      </c>
      <c r="AF27" s="22">
        <f t="shared" si="18"/>
        <v>0</v>
      </c>
      <c r="AG27" s="22">
        <f t="shared" si="19"/>
        <v>0</v>
      </c>
      <c r="AH27" s="9">
        <f t="shared" si="14"/>
        <v>1</v>
      </c>
      <c r="AI27" s="22">
        <f t="shared" si="20"/>
        <v>0</v>
      </c>
      <c r="AJ27" s="22">
        <f t="shared" si="21"/>
        <v>1</v>
      </c>
      <c r="AK27" s="22">
        <f t="shared" si="17"/>
        <v>3.5</v>
      </c>
    </row>
    <row r="28" spans="1:37" x14ac:dyDescent="0.25">
      <c r="A28">
        <v>2011</v>
      </c>
      <c r="B28" s="20" t="s">
        <v>46</v>
      </c>
      <c r="C28" s="12">
        <v>40758</v>
      </c>
      <c r="D28" s="3">
        <v>18</v>
      </c>
      <c r="E28" s="20" t="s">
        <v>51</v>
      </c>
      <c r="H28" s="26" t="s">
        <v>1</v>
      </c>
      <c r="I28" s="26" t="s">
        <v>1</v>
      </c>
      <c r="J28" s="1">
        <v>0</v>
      </c>
      <c r="K28" s="1">
        <v>0</v>
      </c>
      <c r="L28" s="1">
        <f t="shared" si="8"/>
        <v>0</v>
      </c>
      <c r="M28" s="1">
        <v>0</v>
      </c>
      <c r="N28" s="26" t="s">
        <v>1</v>
      </c>
      <c r="O28" s="26" t="s">
        <v>1</v>
      </c>
      <c r="P28" s="1">
        <v>0</v>
      </c>
      <c r="Q28" s="1">
        <v>0</v>
      </c>
      <c r="R28" s="1">
        <f t="shared" si="9"/>
        <v>0</v>
      </c>
      <c r="S28" s="1">
        <v>0</v>
      </c>
      <c r="T28" s="26" t="s">
        <v>1</v>
      </c>
      <c r="U28" s="26" t="s">
        <v>1</v>
      </c>
      <c r="V28" s="1">
        <v>0</v>
      </c>
      <c r="W28" s="1">
        <v>0</v>
      </c>
      <c r="X28" s="1">
        <f t="shared" si="10"/>
        <v>0</v>
      </c>
      <c r="Y28" s="1">
        <v>0</v>
      </c>
      <c r="Z28" s="26" t="s">
        <v>1</v>
      </c>
      <c r="AA28" s="26" t="s">
        <v>1</v>
      </c>
      <c r="AB28" s="1">
        <v>0</v>
      </c>
      <c r="AC28" s="1">
        <v>1</v>
      </c>
      <c r="AD28" s="1">
        <f t="shared" si="11"/>
        <v>1</v>
      </c>
      <c r="AE28" s="1">
        <v>3.5</v>
      </c>
      <c r="AF28" s="22">
        <f t="shared" si="18"/>
        <v>0</v>
      </c>
      <c r="AG28" s="22">
        <f t="shared" si="19"/>
        <v>0</v>
      </c>
      <c r="AH28" s="9">
        <f t="shared" si="14"/>
        <v>0</v>
      </c>
      <c r="AI28" s="22">
        <f t="shared" si="20"/>
        <v>1</v>
      </c>
      <c r="AJ28" s="22">
        <f t="shared" si="21"/>
        <v>1</v>
      </c>
      <c r="AK28" s="22">
        <f t="shared" si="17"/>
        <v>3.5</v>
      </c>
    </row>
    <row r="29" spans="1:37" x14ac:dyDescent="0.25">
      <c r="A29">
        <v>2011</v>
      </c>
      <c r="B29" s="20" t="s">
        <v>46</v>
      </c>
      <c r="C29" s="12">
        <v>40758</v>
      </c>
      <c r="D29" s="3">
        <v>18</v>
      </c>
      <c r="E29" s="20" t="s">
        <v>62</v>
      </c>
      <c r="H29" s="26" t="s">
        <v>1</v>
      </c>
      <c r="I29" s="26" t="s">
        <v>1</v>
      </c>
      <c r="J29" s="1">
        <v>0</v>
      </c>
      <c r="K29" s="1">
        <v>0</v>
      </c>
      <c r="L29" s="1">
        <f t="shared" si="8"/>
        <v>0</v>
      </c>
      <c r="M29" s="1">
        <v>0</v>
      </c>
      <c r="N29" s="26" t="s">
        <v>1</v>
      </c>
      <c r="O29" s="26" t="s">
        <v>1</v>
      </c>
      <c r="P29" s="1">
        <v>0</v>
      </c>
      <c r="Q29" s="1">
        <v>0</v>
      </c>
      <c r="R29" s="1">
        <f t="shared" si="9"/>
        <v>0</v>
      </c>
      <c r="S29" s="1">
        <v>0</v>
      </c>
      <c r="T29" s="26" t="s">
        <v>1</v>
      </c>
      <c r="U29" s="26" t="s">
        <v>1</v>
      </c>
      <c r="V29" s="1">
        <v>0</v>
      </c>
      <c r="W29" s="1">
        <v>0</v>
      </c>
      <c r="X29" s="1">
        <f t="shared" si="10"/>
        <v>0</v>
      </c>
      <c r="Y29" s="1">
        <v>0</v>
      </c>
      <c r="Z29" s="26" t="s">
        <v>1</v>
      </c>
      <c r="AA29" s="26" t="s">
        <v>1</v>
      </c>
      <c r="AB29" s="1">
        <v>6</v>
      </c>
      <c r="AC29" s="1">
        <v>0</v>
      </c>
      <c r="AD29" s="1">
        <f t="shared" si="11"/>
        <v>6</v>
      </c>
      <c r="AE29" s="1">
        <v>3.5</v>
      </c>
      <c r="AF29" s="22">
        <f t="shared" si="18"/>
        <v>0</v>
      </c>
      <c r="AG29" s="22">
        <f t="shared" si="19"/>
        <v>0</v>
      </c>
      <c r="AH29" s="9">
        <f t="shared" si="14"/>
        <v>6</v>
      </c>
      <c r="AI29" s="22">
        <f t="shared" si="20"/>
        <v>0</v>
      </c>
      <c r="AJ29" s="22">
        <f t="shared" si="21"/>
        <v>6</v>
      </c>
      <c r="AK29" s="22">
        <f t="shared" si="17"/>
        <v>3.5</v>
      </c>
    </row>
    <row r="30" spans="1:37" x14ac:dyDescent="0.25">
      <c r="A30">
        <v>2011</v>
      </c>
      <c r="B30" s="20" t="s">
        <v>46</v>
      </c>
      <c r="C30" s="12">
        <v>40723</v>
      </c>
      <c r="D30" s="3">
        <v>22</v>
      </c>
      <c r="E30" s="20" t="s">
        <v>47</v>
      </c>
      <c r="H30" s="1">
        <v>0</v>
      </c>
      <c r="I30" s="1">
        <v>12</v>
      </c>
      <c r="J30" s="1">
        <v>1</v>
      </c>
      <c r="K30" s="1">
        <v>0</v>
      </c>
      <c r="L30" s="1">
        <f t="shared" si="1"/>
        <v>13</v>
      </c>
      <c r="M30" s="1">
        <v>3.5</v>
      </c>
      <c r="N30" s="1">
        <v>0</v>
      </c>
      <c r="O30" s="1">
        <v>0</v>
      </c>
      <c r="P30" s="1">
        <v>0</v>
      </c>
      <c r="Q30" s="1">
        <v>0</v>
      </c>
      <c r="R30" s="1">
        <f t="shared" si="2"/>
        <v>0</v>
      </c>
      <c r="S30" s="1">
        <v>0</v>
      </c>
      <c r="T30" s="1">
        <v>0</v>
      </c>
      <c r="U30" s="1">
        <v>0</v>
      </c>
      <c r="V30" s="1">
        <v>1</v>
      </c>
      <c r="W30" s="1">
        <v>2</v>
      </c>
      <c r="X30" s="1">
        <f t="shared" si="3"/>
        <v>3</v>
      </c>
      <c r="Y30" s="1">
        <v>15</v>
      </c>
      <c r="Z30" s="26">
        <v>0</v>
      </c>
      <c r="AA30" s="1">
        <v>0</v>
      </c>
      <c r="AB30" s="26">
        <v>0</v>
      </c>
      <c r="AC30" s="26">
        <v>0</v>
      </c>
      <c r="AD30" s="1">
        <f t="shared" si="4"/>
        <v>0</v>
      </c>
      <c r="AE30" s="1">
        <v>0</v>
      </c>
      <c r="AF30" s="22">
        <f t="shared" si="5"/>
        <v>0</v>
      </c>
      <c r="AG30" s="22">
        <f t="shared" si="0"/>
        <v>12</v>
      </c>
      <c r="AH30" s="22">
        <f t="shared" si="0"/>
        <v>2</v>
      </c>
      <c r="AI30" s="22">
        <f t="shared" si="0"/>
        <v>2</v>
      </c>
      <c r="AJ30" s="22">
        <f t="shared" si="6"/>
        <v>16</v>
      </c>
      <c r="AK30" s="22">
        <f t="shared" si="7"/>
        <v>18.5</v>
      </c>
    </row>
    <row r="31" spans="1:37" x14ac:dyDescent="0.25">
      <c r="A31">
        <v>2011</v>
      </c>
      <c r="B31" s="20" t="s">
        <v>46</v>
      </c>
      <c r="C31" s="12">
        <v>40723</v>
      </c>
      <c r="D31" s="3">
        <v>22</v>
      </c>
      <c r="E31" s="20" t="s">
        <v>56</v>
      </c>
      <c r="H31" s="1" t="s">
        <v>1</v>
      </c>
      <c r="I31" s="1" t="s">
        <v>1</v>
      </c>
      <c r="J31" s="1">
        <v>2</v>
      </c>
      <c r="K31" s="1">
        <v>0</v>
      </c>
      <c r="L31" s="1">
        <f t="shared" si="1"/>
        <v>2</v>
      </c>
      <c r="M31" s="1">
        <v>8</v>
      </c>
      <c r="N31" s="1" t="s">
        <v>1</v>
      </c>
      <c r="O31" s="1" t="s">
        <v>1</v>
      </c>
      <c r="P31" s="1">
        <v>0</v>
      </c>
      <c r="Q31" s="1">
        <v>0</v>
      </c>
      <c r="R31" s="1">
        <f t="shared" si="2"/>
        <v>0</v>
      </c>
      <c r="S31" s="1">
        <v>0</v>
      </c>
      <c r="T31" s="1" t="s">
        <v>1</v>
      </c>
      <c r="U31" s="1" t="s">
        <v>1</v>
      </c>
      <c r="V31" s="1">
        <v>3</v>
      </c>
      <c r="W31" s="1">
        <v>0</v>
      </c>
      <c r="X31" s="1">
        <f t="shared" si="3"/>
        <v>3</v>
      </c>
      <c r="Y31" s="1">
        <v>8</v>
      </c>
      <c r="Z31" s="26" t="s">
        <v>1</v>
      </c>
      <c r="AA31" s="1" t="s">
        <v>1</v>
      </c>
      <c r="AB31" s="26">
        <v>2</v>
      </c>
      <c r="AC31" s="26">
        <v>0</v>
      </c>
      <c r="AD31" s="1">
        <f t="shared" si="4"/>
        <v>2</v>
      </c>
      <c r="AE31" s="1">
        <v>1.5</v>
      </c>
      <c r="AF31" s="22">
        <f t="shared" ref="AF31:AF38" si="22">SUM(H31,N31,T31,Z31)</f>
        <v>0</v>
      </c>
      <c r="AG31" s="22">
        <f t="shared" ref="AG31:AG38" si="23">SUM(I31,O31,U31,AA31)</f>
        <v>0</v>
      </c>
      <c r="AH31" s="22">
        <f t="shared" si="0"/>
        <v>7</v>
      </c>
      <c r="AI31" s="22">
        <f t="shared" si="0"/>
        <v>0</v>
      </c>
      <c r="AJ31" s="22">
        <f t="shared" si="6"/>
        <v>7</v>
      </c>
      <c r="AK31" s="22">
        <f t="shared" si="7"/>
        <v>17.5</v>
      </c>
    </row>
    <row r="32" spans="1:37" x14ac:dyDescent="0.25">
      <c r="A32">
        <v>2011</v>
      </c>
      <c r="B32" s="20" t="s">
        <v>46</v>
      </c>
      <c r="C32" s="12">
        <v>40723</v>
      </c>
      <c r="D32" s="3">
        <v>22</v>
      </c>
      <c r="E32" s="20" t="s">
        <v>63</v>
      </c>
      <c r="H32" s="1" t="s">
        <v>1</v>
      </c>
      <c r="I32" s="1" t="s">
        <v>1</v>
      </c>
      <c r="J32" s="1">
        <v>1</v>
      </c>
      <c r="K32" s="1">
        <v>0</v>
      </c>
      <c r="L32" s="1">
        <f t="shared" si="1"/>
        <v>1</v>
      </c>
      <c r="M32" s="1">
        <v>1.5</v>
      </c>
      <c r="N32" s="1" t="s">
        <v>1</v>
      </c>
      <c r="O32" s="1" t="s">
        <v>1</v>
      </c>
      <c r="P32" s="1">
        <v>0</v>
      </c>
      <c r="Q32" s="1">
        <v>0</v>
      </c>
      <c r="R32" s="1">
        <f t="shared" si="2"/>
        <v>0</v>
      </c>
      <c r="S32" s="1">
        <v>0</v>
      </c>
      <c r="T32" s="1" t="s">
        <v>1</v>
      </c>
      <c r="U32" s="1" t="s">
        <v>1</v>
      </c>
      <c r="V32" s="1">
        <v>0</v>
      </c>
      <c r="W32" s="1">
        <v>0</v>
      </c>
      <c r="X32" s="1">
        <f t="shared" si="3"/>
        <v>0</v>
      </c>
      <c r="Y32" s="1">
        <v>0</v>
      </c>
      <c r="Z32" s="26" t="s">
        <v>1</v>
      </c>
      <c r="AA32" s="1" t="s">
        <v>1</v>
      </c>
      <c r="AB32" s="26">
        <v>0</v>
      </c>
      <c r="AC32" s="26">
        <v>0</v>
      </c>
      <c r="AD32" s="1">
        <f t="shared" si="4"/>
        <v>0</v>
      </c>
      <c r="AE32" s="1">
        <v>0</v>
      </c>
      <c r="AF32" s="22">
        <f t="shared" si="22"/>
        <v>0</v>
      </c>
      <c r="AG32" s="22">
        <f t="shared" si="23"/>
        <v>0</v>
      </c>
      <c r="AH32" s="22">
        <f t="shared" si="0"/>
        <v>1</v>
      </c>
      <c r="AI32" s="22">
        <f t="shared" si="0"/>
        <v>0</v>
      </c>
      <c r="AJ32" s="22">
        <f t="shared" si="6"/>
        <v>1</v>
      </c>
      <c r="AK32" s="22">
        <f t="shared" si="7"/>
        <v>1.5</v>
      </c>
    </row>
    <row r="33" spans="1:38" x14ac:dyDescent="0.25">
      <c r="A33">
        <v>2011</v>
      </c>
      <c r="B33" s="20" t="s">
        <v>46</v>
      </c>
      <c r="C33" s="12">
        <v>40723</v>
      </c>
      <c r="D33" s="3">
        <v>22</v>
      </c>
      <c r="E33" s="20" t="s">
        <v>64</v>
      </c>
      <c r="H33" s="1" t="s">
        <v>1</v>
      </c>
      <c r="I33" s="1" t="s">
        <v>1</v>
      </c>
      <c r="J33" s="1">
        <v>1</v>
      </c>
      <c r="K33" s="1">
        <v>0</v>
      </c>
      <c r="L33" s="1">
        <f t="shared" si="1"/>
        <v>1</v>
      </c>
      <c r="M33" s="1">
        <v>1.5</v>
      </c>
      <c r="N33" s="1" t="s">
        <v>1</v>
      </c>
      <c r="O33" s="1" t="s">
        <v>1</v>
      </c>
      <c r="P33" s="1">
        <v>0</v>
      </c>
      <c r="Q33" s="1">
        <v>0</v>
      </c>
      <c r="R33" s="1">
        <f t="shared" si="2"/>
        <v>0</v>
      </c>
      <c r="S33" s="1">
        <v>0</v>
      </c>
      <c r="T33" s="1" t="s">
        <v>1</v>
      </c>
      <c r="U33" s="1" t="s">
        <v>1</v>
      </c>
      <c r="V33" s="1">
        <v>1</v>
      </c>
      <c r="W33" s="1">
        <v>0</v>
      </c>
      <c r="X33" s="1">
        <f t="shared" si="3"/>
        <v>1</v>
      </c>
      <c r="Y33" s="1">
        <v>1.5</v>
      </c>
      <c r="Z33" s="26" t="s">
        <v>1</v>
      </c>
      <c r="AA33" s="1" t="s">
        <v>1</v>
      </c>
      <c r="AB33" s="26">
        <v>0</v>
      </c>
      <c r="AC33" s="26">
        <v>0</v>
      </c>
      <c r="AD33" s="1">
        <f t="shared" si="4"/>
        <v>0</v>
      </c>
      <c r="AE33" s="1">
        <v>0</v>
      </c>
      <c r="AF33" s="22">
        <f t="shared" si="22"/>
        <v>0</v>
      </c>
      <c r="AG33" s="22">
        <f t="shared" si="23"/>
        <v>0</v>
      </c>
      <c r="AH33" s="22">
        <f t="shared" si="0"/>
        <v>2</v>
      </c>
      <c r="AI33" s="22">
        <f t="shared" si="0"/>
        <v>0</v>
      </c>
      <c r="AJ33" s="22">
        <f t="shared" si="6"/>
        <v>2</v>
      </c>
      <c r="AK33" s="22">
        <f t="shared" si="7"/>
        <v>3</v>
      </c>
    </row>
    <row r="34" spans="1:38" x14ac:dyDescent="0.25">
      <c r="A34">
        <v>2011</v>
      </c>
      <c r="B34" s="20" t="s">
        <v>46</v>
      </c>
      <c r="C34" s="12">
        <v>40723</v>
      </c>
      <c r="D34" s="3">
        <v>22</v>
      </c>
      <c r="E34" s="20" t="s">
        <v>65</v>
      </c>
      <c r="H34" s="1" t="s">
        <v>1</v>
      </c>
      <c r="I34" s="1" t="s">
        <v>1</v>
      </c>
      <c r="J34" s="1">
        <v>0</v>
      </c>
      <c r="K34" s="1">
        <v>0</v>
      </c>
      <c r="L34" s="1">
        <f t="shared" si="1"/>
        <v>0</v>
      </c>
      <c r="M34" s="1">
        <v>0</v>
      </c>
      <c r="N34" s="1" t="s">
        <v>1</v>
      </c>
      <c r="O34" s="1" t="s">
        <v>1</v>
      </c>
      <c r="P34" s="1">
        <v>2</v>
      </c>
      <c r="Q34" s="1">
        <v>1</v>
      </c>
      <c r="R34" s="1">
        <f t="shared" si="2"/>
        <v>3</v>
      </c>
      <c r="S34" s="1">
        <v>8</v>
      </c>
      <c r="T34" s="1" t="s">
        <v>1</v>
      </c>
      <c r="U34" s="1" t="s">
        <v>1</v>
      </c>
      <c r="V34" s="1">
        <v>0</v>
      </c>
      <c r="W34" s="1">
        <v>0</v>
      </c>
      <c r="X34" s="1">
        <f t="shared" si="3"/>
        <v>0</v>
      </c>
      <c r="Y34" s="1">
        <v>0</v>
      </c>
      <c r="Z34" s="1" t="s">
        <v>1</v>
      </c>
      <c r="AA34" s="1" t="s">
        <v>1</v>
      </c>
      <c r="AB34" s="1">
        <v>0</v>
      </c>
      <c r="AC34" s="1">
        <v>0</v>
      </c>
      <c r="AD34" s="1">
        <f t="shared" si="4"/>
        <v>0</v>
      </c>
      <c r="AE34" s="1">
        <v>0</v>
      </c>
      <c r="AF34" s="22">
        <f t="shared" si="22"/>
        <v>0</v>
      </c>
      <c r="AG34" s="22">
        <f t="shared" si="23"/>
        <v>0</v>
      </c>
      <c r="AH34" s="22">
        <f t="shared" si="0"/>
        <v>2</v>
      </c>
      <c r="AI34" s="22">
        <f t="shared" si="0"/>
        <v>1</v>
      </c>
      <c r="AJ34" s="22">
        <f t="shared" si="6"/>
        <v>3</v>
      </c>
      <c r="AK34" s="22">
        <f t="shared" si="7"/>
        <v>8</v>
      </c>
    </row>
    <row r="35" spans="1:38" x14ac:dyDescent="0.25">
      <c r="A35">
        <v>2011</v>
      </c>
      <c r="B35" s="20" t="s">
        <v>46</v>
      </c>
      <c r="C35" s="12">
        <v>40723</v>
      </c>
      <c r="D35" s="3">
        <v>22</v>
      </c>
      <c r="E35" s="20" t="s">
        <v>66</v>
      </c>
      <c r="H35" s="1" t="s">
        <v>1</v>
      </c>
      <c r="I35" s="1" t="s">
        <v>1</v>
      </c>
      <c r="J35" s="1">
        <v>0</v>
      </c>
      <c r="K35" s="1">
        <v>0</v>
      </c>
      <c r="L35" s="1">
        <f t="shared" si="1"/>
        <v>0</v>
      </c>
      <c r="M35" s="1">
        <v>0</v>
      </c>
      <c r="N35" s="1" t="s">
        <v>1</v>
      </c>
      <c r="O35" s="1" t="s">
        <v>1</v>
      </c>
      <c r="P35" s="1">
        <v>0</v>
      </c>
      <c r="Q35" s="1">
        <v>0</v>
      </c>
      <c r="R35" s="1">
        <f t="shared" si="2"/>
        <v>0</v>
      </c>
      <c r="S35" s="1">
        <v>0</v>
      </c>
      <c r="T35" s="1" t="s">
        <v>1</v>
      </c>
      <c r="U35" s="1" t="s">
        <v>1</v>
      </c>
      <c r="V35" s="1">
        <v>1</v>
      </c>
      <c r="W35" s="1">
        <v>0</v>
      </c>
      <c r="X35" s="1">
        <f t="shared" si="3"/>
        <v>1</v>
      </c>
      <c r="Y35" s="1">
        <v>1.5</v>
      </c>
      <c r="Z35" s="1" t="s">
        <v>1</v>
      </c>
      <c r="AA35" s="1" t="s">
        <v>1</v>
      </c>
      <c r="AB35" s="1">
        <v>0</v>
      </c>
      <c r="AC35" s="1">
        <v>0</v>
      </c>
      <c r="AD35" s="1">
        <f t="shared" si="4"/>
        <v>0</v>
      </c>
      <c r="AE35" s="1">
        <v>0</v>
      </c>
      <c r="AF35" s="22">
        <f t="shared" si="22"/>
        <v>0</v>
      </c>
      <c r="AG35" s="22">
        <f t="shared" si="23"/>
        <v>0</v>
      </c>
      <c r="AH35" s="22">
        <f t="shared" si="0"/>
        <v>1</v>
      </c>
      <c r="AI35" s="22">
        <f t="shared" si="0"/>
        <v>0</v>
      </c>
      <c r="AJ35" s="22">
        <f t="shared" si="6"/>
        <v>1</v>
      </c>
      <c r="AK35" s="22">
        <f t="shared" si="7"/>
        <v>1.5</v>
      </c>
    </row>
    <row r="36" spans="1:38" x14ac:dyDescent="0.25">
      <c r="A36">
        <v>2011</v>
      </c>
      <c r="B36" s="20" t="s">
        <v>46</v>
      </c>
      <c r="C36" s="12">
        <v>40723</v>
      </c>
      <c r="D36" s="3">
        <v>22</v>
      </c>
      <c r="E36" s="20" t="s">
        <v>67</v>
      </c>
      <c r="H36" s="1" t="s">
        <v>1</v>
      </c>
      <c r="I36" s="1" t="s">
        <v>1</v>
      </c>
      <c r="J36" s="1">
        <v>0</v>
      </c>
      <c r="K36" s="1">
        <v>0</v>
      </c>
      <c r="L36" s="1">
        <f t="shared" si="1"/>
        <v>0</v>
      </c>
      <c r="M36" s="1">
        <v>0</v>
      </c>
      <c r="N36" s="1" t="s">
        <v>1</v>
      </c>
      <c r="O36" s="1" t="s">
        <v>1</v>
      </c>
      <c r="P36" s="1">
        <v>0</v>
      </c>
      <c r="Q36" s="1">
        <v>0</v>
      </c>
      <c r="R36" s="1">
        <f t="shared" si="2"/>
        <v>0</v>
      </c>
      <c r="S36" s="1">
        <v>0</v>
      </c>
      <c r="T36" s="1" t="s">
        <v>1</v>
      </c>
      <c r="U36" s="1" t="s">
        <v>1</v>
      </c>
      <c r="V36" s="1">
        <v>0</v>
      </c>
      <c r="W36" s="1">
        <v>1</v>
      </c>
      <c r="X36" s="1">
        <f t="shared" si="3"/>
        <v>1</v>
      </c>
      <c r="Y36" s="1">
        <v>8</v>
      </c>
      <c r="Z36" s="1" t="s">
        <v>1</v>
      </c>
      <c r="AA36" s="1" t="s">
        <v>1</v>
      </c>
      <c r="AB36" s="1">
        <v>0</v>
      </c>
      <c r="AC36" s="1">
        <v>0</v>
      </c>
      <c r="AD36" s="1">
        <f t="shared" si="4"/>
        <v>0</v>
      </c>
      <c r="AE36" s="1">
        <v>0</v>
      </c>
      <c r="AF36" s="22">
        <f t="shared" si="22"/>
        <v>0</v>
      </c>
      <c r="AG36" s="22">
        <f t="shared" si="23"/>
        <v>0</v>
      </c>
      <c r="AH36" s="22">
        <f t="shared" si="0"/>
        <v>0</v>
      </c>
      <c r="AI36" s="22">
        <f t="shared" si="0"/>
        <v>1</v>
      </c>
      <c r="AJ36" s="22">
        <f t="shared" si="6"/>
        <v>1</v>
      </c>
      <c r="AK36" s="22">
        <f t="shared" si="7"/>
        <v>8</v>
      </c>
    </row>
    <row r="37" spans="1:38" x14ac:dyDescent="0.25">
      <c r="A37">
        <v>2011</v>
      </c>
      <c r="B37" s="20" t="s">
        <v>46</v>
      </c>
      <c r="C37" s="12">
        <v>40723</v>
      </c>
      <c r="D37" s="3">
        <v>22</v>
      </c>
      <c r="E37" s="20" t="s">
        <v>68</v>
      </c>
      <c r="H37" s="1" t="s">
        <v>1</v>
      </c>
      <c r="I37" s="1" t="s">
        <v>1</v>
      </c>
      <c r="J37" s="1">
        <v>0</v>
      </c>
      <c r="K37" s="1">
        <v>0</v>
      </c>
      <c r="L37" s="1">
        <f t="shared" si="1"/>
        <v>0</v>
      </c>
      <c r="M37" s="1">
        <v>0</v>
      </c>
      <c r="N37" s="1" t="s">
        <v>1</v>
      </c>
      <c r="O37" s="1" t="s">
        <v>1</v>
      </c>
      <c r="P37" s="1">
        <v>0</v>
      </c>
      <c r="Q37" s="1">
        <v>0</v>
      </c>
      <c r="R37" s="1">
        <f t="shared" si="2"/>
        <v>0</v>
      </c>
      <c r="S37" s="1">
        <v>0</v>
      </c>
      <c r="T37" s="1" t="s">
        <v>1</v>
      </c>
      <c r="U37" s="1" t="s">
        <v>1</v>
      </c>
      <c r="V37" s="1">
        <v>1</v>
      </c>
      <c r="W37" s="1">
        <v>0</v>
      </c>
      <c r="X37" s="1">
        <f t="shared" si="3"/>
        <v>1</v>
      </c>
      <c r="Y37" s="1">
        <v>0.5</v>
      </c>
      <c r="Z37" s="1" t="s">
        <v>1</v>
      </c>
      <c r="AA37" s="1" t="s">
        <v>1</v>
      </c>
      <c r="AB37" s="1">
        <v>0</v>
      </c>
      <c r="AC37" s="1">
        <v>0</v>
      </c>
      <c r="AD37" s="1">
        <f t="shared" si="4"/>
        <v>0</v>
      </c>
      <c r="AE37" s="1">
        <v>0</v>
      </c>
      <c r="AF37" s="22">
        <f t="shared" si="22"/>
        <v>0</v>
      </c>
      <c r="AG37" s="22">
        <f t="shared" si="23"/>
        <v>0</v>
      </c>
      <c r="AH37" s="22">
        <f t="shared" si="0"/>
        <v>1</v>
      </c>
      <c r="AI37" s="22">
        <f t="shared" si="0"/>
        <v>0</v>
      </c>
      <c r="AJ37" s="22">
        <f t="shared" si="6"/>
        <v>1</v>
      </c>
      <c r="AK37" s="22">
        <f t="shared" si="7"/>
        <v>0.5</v>
      </c>
    </row>
    <row r="38" spans="1:38" x14ac:dyDescent="0.25">
      <c r="A38">
        <v>2011</v>
      </c>
      <c r="B38" s="20" t="s">
        <v>46</v>
      </c>
      <c r="C38" s="12">
        <v>40723</v>
      </c>
      <c r="D38" s="3">
        <v>22</v>
      </c>
      <c r="E38" s="20" t="s">
        <v>48</v>
      </c>
      <c r="H38" s="1" t="s">
        <v>1</v>
      </c>
      <c r="I38" s="1" t="s">
        <v>1</v>
      </c>
      <c r="J38" s="1">
        <v>0</v>
      </c>
      <c r="K38" s="1">
        <v>0</v>
      </c>
      <c r="L38" s="1">
        <f t="shared" si="1"/>
        <v>0</v>
      </c>
      <c r="M38" s="1">
        <v>0</v>
      </c>
      <c r="N38" s="1" t="s">
        <v>1</v>
      </c>
      <c r="O38" s="1" t="s">
        <v>1</v>
      </c>
      <c r="P38" s="1">
        <v>0</v>
      </c>
      <c r="Q38" s="1">
        <v>0</v>
      </c>
      <c r="R38" s="1">
        <f t="shared" si="2"/>
        <v>0</v>
      </c>
      <c r="S38" s="1">
        <v>0</v>
      </c>
      <c r="T38" s="1" t="s">
        <v>1</v>
      </c>
      <c r="U38" s="1" t="s">
        <v>1</v>
      </c>
      <c r="V38" s="1">
        <v>0</v>
      </c>
      <c r="W38" s="1">
        <v>0</v>
      </c>
      <c r="X38" s="1">
        <f t="shared" si="3"/>
        <v>0</v>
      </c>
      <c r="Y38" s="1">
        <v>0</v>
      </c>
      <c r="Z38" s="1" t="s">
        <v>1</v>
      </c>
      <c r="AA38" s="1" t="s">
        <v>1</v>
      </c>
      <c r="AB38" s="1">
        <v>0</v>
      </c>
      <c r="AC38" s="1">
        <v>2</v>
      </c>
      <c r="AD38" s="1">
        <f t="shared" si="4"/>
        <v>2</v>
      </c>
      <c r="AE38" s="1">
        <v>35</v>
      </c>
      <c r="AF38" s="22">
        <f t="shared" si="22"/>
        <v>0</v>
      </c>
      <c r="AG38" s="22">
        <f t="shared" si="23"/>
        <v>0</v>
      </c>
      <c r="AH38" s="22">
        <f t="shared" si="0"/>
        <v>0</v>
      </c>
      <c r="AI38" s="22">
        <f t="shared" si="0"/>
        <v>2</v>
      </c>
      <c r="AJ38" s="22">
        <f t="shared" si="6"/>
        <v>2</v>
      </c>
      <c r="AK38" s="22">
        <f t="shared" si="7"/>
        <v>35</v>
      </c>
    </row>
    <row r="39" spans="1:38" x14ac:dyDescent="0.25">
      <c r="A39">
        <v>2011</v>
      </c>
      <c r="B39" s="20" t="s">
        <v>46</v>
      </c>
      <c r="C39" s="12">
        <v>40759</v>
      </c>
      <c r="D39" s="3">
        <v>23</v>
      </c>
      <c r="E39" s="20" t="s">
        <v>47</v>
      </c>
      <c r="H39" s="1">
        <v>0</v>
      </c>
      <c r="I39" s="1">
        <v>0</v>
      </c>
      <c r="J39" s="1">
        <v>1</v>
      </c>
      <c r="K39" s="1">
        <v>0</v>
      </c>
      <c r="L39" s="1">
        <f>SUM(H39:K39)</f>
        <v>1</v>
      </c>
      <c r="M39" s="1">
        <v>8</v>
      </c>
      <c r="N39" s="1">
        <v>0</v>
      </c>
      <c r="O39" s="1">
        <v>1</v>
      </c>
      <c r="P39" s="1">
        <v>5</v>
      </c>
      <c r="Q39" s="1">
        <v>0</v>
      </c>
      <c r="R39" s="1">
        <f>SUM(N39:Q39)</f>
        <v>6</v>
      </c>
      <c r="S39" s="1">
        <v>15</v>
      </c>
      <c r="T39" s="1">
        <v>0</v>
      </c>
      <c r="U39" s="1">
        <v>0</v>
      </c>
      <c r="V39" s="1">
        <v>1</v>
      </c>
      <c r="W39" s="1">
        <v>0</v>
      </c>
      <c r="X39" s="1">
        <f>SUM(T39:W39)</f>
        <v>1</v>
      </c>
      <c r="Y39" s="1">
        <v>3.5</v>
      </c>
      <c r="Z39" s="1">
        <v>0</v>
      </c>
      <c r="AA39" s="1">
        <v>0</v>
      </c>
      <c r="AB39" s="1">
        <v>0</v>
      </c>
      <c r="AC39" s="1">
        <v>0</v>
      </c>
      <c r="AD39" s="1">
        <f>SUM(Z39:AC39)</f>
        <v>0</v>
      </c>
      <c r="AE39" s="1">
        <v>0</v>
      </c>
      <c r="AF39" s="22">
        <f t="shared" ref="AF39:AF43" si="24">SUM(H39,N39,T39,Z39)</f>
        <v>0</v>
      </c>
      <c r="AG39" s="22">
        <f t="shared" ref="AG39:AG43" si="25">SUM(I39,O39,U39,AA39)</f>
        <v>1</v>
      </c>
      <c r="AH39" s="9">
        <f t="shared" ref="AH39:AI43" si="26">SUM(J39,P39,V39,AB39)</f>
        <v>7</v>
      </c>
      <c r="AI39" s="9">
        <f t="shared" si="26"/>
        <v>0</v>
      </c>
      <c r="AJ39" s="22">
        <f>SUM(AF39:AI39)</f>
        <v>8</v>
      </c>
      <c r="AK39" s="22">
        <f>M39+S39+Y39+AE39</f>
        <v>26.5</v>
      </c>
    </row>
    <row r="40" spans="1:38" x14ac:dyDescent="0.25">
      <c r="A40">
        <v>2011</v>
      </c>
      <c r="B40" s="20" t="s">
        <v>46</v>
      </c>
      <c r="C40" s="12">
        <v>40759</v>
      </c>
      <c r="D40" s="3">
        <v>23</v>
      </c>
      <c r="E40" s="20" t="s">
        <v>69</v>
      </c>
      <c r="H40" s="26" t="s">
        <v>1</v>
      </c>
      <c r="I40" s="26" t="s">
        <v>1</v>
      </c>
      <c r="J40" s="1">
        <v>0</v>
      </c>
      <c r="K40" s="1">
        <v>1</v>
      </c>
      <c r="L40" s="1">
        <f>SUM(H40:K40)</f>
        <v>1</v>
      </c>
      <c r="M40" s="1">
        <v>25</v>
      </c>
      <c r="N40" s="26" t="s">
        <v>1</v>
      </c>
      <c r="O40" s="26" t="s">
        <v>1</v>
      </c>
      <c r="P40" s="1">
        <v>0</v>
      </c>
      <c r="Q40" s="1">
        <v>0</v>
      </c>
      <c r="R40" s="1">
        <f>SUM(N40:Q40)</f>
        <v>0</v>
      </c>
      <c r="S40" s="1">
        <v>0</v>
      </c>
      <c r="T40" s="26" t="s">
        <v>1</v>
      </c>
      <c r="U40" s="26" t="s">
        <v>1</v>
      </c>
      <c r="V40" s="1">
        <v>0</v>
      </c>
      <c r="W40" s="1">
        <v>0</v>
      </c>
      <c r="X40" s="1">
        <f>SUM(T40:W40)</f>
        <v>0</v>
      </c>
      <c r="Y40" s="1">
        <v>0</v>
      </c>
      <c r="Z40" s="26" t="s">
        <v>1</v>
      </c>
      <c r="AA40" s="26" t="s">
        <v>1</v>
      </c>
      <c r="AB40" s="1">
        <v>0</v>
      </c>
      <c r="AC40" s="1">
        <v>0</v>
      </c>
      <c r="AD40" s="1">
        <f>SUM(Z40:AC40)</f>
        <v>0</v>
      </c>
      <c r="AE40" s="1">
        <v>0</v>
      </c>
      <c r="AF40" s="22">
        <f t="shared" si="24"/>
        <v>0</v>
      </c>
      <c r="AG40" s="22">
        <f t="shared" si="25"/>
        <v>0</v>
      </c>
      <c r="AH40" s="9">
        <f t="shared" si="26"/>
        <v>0</v>
      </c>
      <c r="AI40" s="9">
        <f t="shared" si="26"/>
        <v>1</v>
      </c>
      <c r="AJ40" s="22">
        <f>SUM(AF40:AI40)</f>
        <v>1</v>
      </c>
      <c r="AK40" s="22">
        <f>M40+S40+Y40+AE40</f>
        <v>25</v>
      </c>
    </row>
    <row r="41" spans="1:38" x14ac:dyDescent="0.25">
      <c r="A41">
        <v>2011</v>
      </c>
      <c r="B41" s="20" t="s">
        <v>46</v>
      </c>
      <c r="C41" s="12">
        <v>40759</v>
      </c>
      <c r="D41" s="3">
        <v>23</v>
      </c>
      <c r="E41" s="20" t="s">
        <v>49</v>
      </c>
      <c r="H41" s="26" t="s">
        <v>1</v>
      </c>
      <c r="I41" s="26" t="s">
        <v>1</v>
      </c>
      <c r="J41" s="1">
        <v>1</v>
      </c>
      <c r="K41" s="1">
        <v>4</v>
      </c>
      <c r="L41" s="1">
        <f>SUM(H41:K41)</f>
        <v>5</v>
      </c>
      <c r="M41" s="1">
        <v>65</v>
      </c>
      <c r="N41" s="26" t="s">
        <v>1</v>
      </c>
      <c r="O41" s="26" t="s">
        <v>1</v>
      </c>
      <c r="P41" s="1">
        <v>0</v>
      </c>
      <c r="Q41" s="1">
        <v>0</v>
      </c>
      <c r="R41" s="1">
        <f>SUM(N41:Q41)</f>
        <v>0</v>
      </c>
      <c r="S41" s="1">
        <v>0</v>
      </c>
      <c r="T41" s="26" t="s">
        <v>1</v>
      </c>
      <c r="U41" s="26" t="s">
        <v>1</v>
      </c>
      <c r="V41" s="1">
        <v>0</v>
      </c>
      <c r="W41" s="1">
        <v>0</v>
      </c>
      <c r="X41" s="1">
        <f>SUM(T41:W41)</f>
        <v>0</v>
      </c>
      <c r="Y41" s="1">
        <v>0</v>
      </c>
      <c r="Z41" s="26" t="s">
        <v>1</v>
      </c>
      <c r="AA41" s="26" t="s">
        <v>1</v>
      </c>
      <c r="AB41" s="1">
        <v>1</v>
      </c>
      <c r="AC41" s="1">
        <v>4</v>
      </c>
      <c r="AD41" s="1">
        <f>SUM(Z41:AC41)</f>
        <v>5</v>
      </c>
      <c r="AE41" s="1">
        <v>45</v>
      </c>
      <c r="AF41" s="22">
        <f t="shared" si="24"/>
        <v>0</v>
      </c>
      <c r="AG41" s="22">
        <f t="shared" si="25"/>
        <v>0</v>
      </c>
      <c r="AH41" s="9">
        <f t="shared" si="26"/>
        <v>2</v>
      </c>
      <c r="AI41" s="9">
        <f t="shared" si="26"/>
        <v>8</v>
      </c>
      <c r="AJ41" s="22">
        <f>SUM(AF41:AI41)</f>
        <v>10</v>
      </c>
      <c r="AK41" s="22">
        <f>M41+S41+Y41+AE41</f>
        <v>110</v>
      </c>
    </row>
    <row r="42" spans="1:38" x14ac:dyDescent="0.25">
      <c r="A42">
        <v>2011</v>
      </c>
      <c r="B42" s="20" t="s">
        <v>46</v>
      </c>
      <c r="C42" s="12">
        <v>40759</v>
      </c>
      <c r="D42" s="3">
        <v>23</v>
      </c>
      <c r="E42" s="20" t="s">
        <v>64</v>
      </c>
      <c r="H42" s="26" t="s">
        <v>1</v>
      </c>
      <c r="I42" s="26" t="s">
        <v>1</v>
      </c>
      <c r="J42" s="1">
        <v>0</v>
      </c>
      <c r="K42" s="1">
        <v>0</v>
      </c>
      <c r="L42" s="1">
        <f>SUM(H42:K42)</f>
        <v>0</v>
      </c>
      <c r="M42" s="1">
        <v>0</v>
      </c>
      <c r="N42" s="26" t="s">
        <v>1</v>
      </c>
      <c r="O42" s="26" t="s">
        <v>1</v>
      </c>
      <c r="P42" s="1">
        <v>2</v>
      </c>
      <c r="Q42" s="1">
        <v>0</v>
      </c>
      <c r="R42" s="1">
        <f>SUM(N42:Q42)</f>
        <v>2</v>
      </c>
      <c r="S42" s="1">
        <v>1.5</v>
      </c>
      <c r="T42" s="26" t="s">
        <v>1</v>
      </c>
      <c r="U42" s="26" t="s">
        <v>1</v>
      </c>
      <c r="V42" s="1">
        <v>0</v>
      </c>
      <c r="W42" s="1">
        <v>0</v>
      </c>
      <c r="X42" s="1">
        <f>SUM(T42:W42)</f>
        <v>0</v>
      </c>
      <c r="Y42" s="1">
        <v>0</v>
      </c>
      <c r="Z42" s="26" t="s">
        <v>1</v>
      </c>
      <c r="AA42" s="26" t="s">
        <v>1</v>
      </c>
      <c r="AB42" s="1">
        <v>0</v>
      </c>
      <c r="AC42" s="1">
        <v>0</v>
      </c>
      <c r="AD42" s="1">
        <f>SUM(Z42:AC42)</f>
        <v>0</v>
      </c>
      <c r="AE42" s="1">
        <v>0</v>
      </c>
      <c r="AF42" s="22">
        <f t="shared" si="24"/>
        <v>0</v>
      </c>
      <c r="AG42" s="22">
        <f t="shared" si="25"/>
        <v>0</v>
      </c>
      <c r="AH42" s="9">
        <f t="shared" si="26"/>
        <v>2</v>
      </c>
      <c r="AI42" s="9">
        <f t="shared" si="26"/>
        <v>0</v>
      </c>
      <c r="AJ42" s="22">
        <f>SUM(AF42:AI42)</f>
        <v>2</v>
      </c>
      <c r="AK42" s="22">
        <f>M42+S42+Y42+AE42</f>
        <v>1.5</v>
      </c>
    </row>
    <row r="43" spans="1:38" x14ac:dyDescent="0.25">
      <c r="A43">
        <v>2011</v>
      </c>
      <c r="B43" s="20" t="s">
        <v>46</v>
      </c>
      <c r="C43" s="12">
        <v>40759</v>
      </c>
      <c r="D43" s="3">
        <v>23</v>
      </c>
      <c r="E43" s="20" t="s">
        <v>68</v>
      </c>
      <c r="H43" s="26" t="s">
        <v>1</v>
      </c>
      <c r="I43" s="26" t="s">
        <v>1</v>
      </c>
      <c r="J43" s="1">
        <v>0</v>
      </c>
      <c r="K43" s="1">
        <v>0</v>
      </c>
      <c r="L43" s="1">
        <f>SUM(H43:K43)</f>
        <v>0</v>
      </c>
      <c r="M43" s="1">
        <v>0</v>
      </c>
      <c r="N43" s="26" t="s">
        <v>1</v>
      </c>
      <c r="O43" s="26" t="s">
        <v>1</v>
      </c>
      <c r="P43" s="1">
        <v>0</v>
      </c>
      <c r="Q43" s="1">
        <v>0</v>
      </c>
      <c r="R43" s="1">
        <f>SUM(N43:Q43)</f>
        <v>0</v>
      </c>
      <c r="S43" s="1">
        <v>0</v>
      </c>
      <c r="T43" s="26" t="s">
        <v>1</v>
      </c>
      <c r="U43" s="26" t="s">
        <v>1</v>
      </c>
      <c r="V43" s="1">
        <v>0</v>
      </c>
      <c r="W43" s="1">
        <v>0</v>
      </c>
      <c r="X43" s="1">
        <f>SUM(T43:W43)</f>
        <v>0</v>
      </c>
      <c r="Y43" s="1">
        <v>0</v>
      </c>
      <c r="Z43" s="26" t="s">
        <v>1</v>
      </c>
      <c r="AA43" s="26" t="s">
        <v>1</v>
      </c>
      <c r="AB43" s="1">
        <v>1</v>
      </c>
      <c r="AC43" s="1">
        <v>0</v>
      </c>
      <c r="AD43" s="1">
        <f>SUM(Z43:AC43)</f>
        <v>1</v>
      </c>
      <c r="AE43" s="1">
        <v>0.5</v>
      </c>
      <c r="AF43" s="22">
        <f t="shared" si="24"/>
        <v>0</v>
      </c>
      <c r="AG43" s="22">
        <f t="shared" si="25"/>
        <v>0</v>
      </c>
      <c r="AH43" s="9">
        <f t="shared" si="26"/>
        <v>1</v>
      </c>
      <c r="AI43" s="9">
        <f t="shared" si="26"/>
        <v>0</v>
      </c>
      <c r="AJ43" s="22">
        <f>SUM(AF43:AI43)</f>
        <v>1</v>
      </c>
      <c r="AK43" s="22">
        <f>M43+S43+Y43+AE43</f>
        <v>0.5</v>
      </c>
    </row>
    <row r="44" spans="1:38" x14ac:dyDescent="0.25">
      <c r="A44">
        <v>2011</v>
      </c>
      <c r="B44" s="20" t="s">
        <v>46</v>
      </c>
      <c r="C44" s="12">
        <v>40739</v>
      </c>
      <c r="D44" s="3">
        <v>24</v>
      </c>
      <c r="E44" s="20" t="s">
        <v>47</v>
      </c>
      <c r="H44" s="1">
        <v>0</v>
      </c>
      <c r="I44" s="1">
        <v>0</v>
      </c>
      <c r="J44" s="1">
        <v>1</v>
      </c>
      <c r="K44" s="1">
        <v>1</v>
      </c>
      <c r="L44" s="1">
        <f t="shared" si="1"/>
        <v>2</v>
      </c>
      <c r="M44" s="1">
        <v>25</v>
      </c>
      <c r="N44" s="1">
        <v>0</v>
      </c>
      <c r="O44" s="1">
        <v>0</v>
      </c>
      <c r="P44" s="1">
        <v>0</v>
      </c>
      <c r="Q44" s="1">
        <v>0</v>
      </c>
      <c r="R44" s="1">
        <f t="shared" si="2"/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f t="shared" si="3"/>
        <v>0</v>
      </c>
      <c r="Y44" s="1">
        <v>0</v>
      </c>
      <c r="Z44" s="1">
        <v>0</v>
      </c>
      <c r="AA44" s="1">
        <v>0</v>
      </c>
      <c r="AB44" s="1">
        <v>1</v>
      </c>
      <c r="AC44" s="1">
        <v>2</v>
      </c>
      <c r="AD44" s="1">
        <f t="shared" si="4"/>
        <v>3</v>
      </c>
      <c r="AE44" s="1">
        <v>25</v>
      </c>
      <c r="AF44" s="22">
        <f t="shared" ref="AF44:AF49" si="27">SUM(H44,N44,T44,Z44)</f>
        <v>0</v>
      </c>
      <c r="AG44" s="22">
        <f t="shared" ref="AG44:AG49" si="28">SUM(I44,O44,U44,AA44)</f>
        <v>0</v>
      </c>
      <c r="AH44" s="22">
        <f t="shared" si="0"/>
        <v>2</v>
      </c>
      <c r="AI44" s="22">
        <f t="shared" si="0"/>
        <v>3</v>
      </c>
      <c r="AJ44" s="22">
        <f t="shared" si="6"/>
        <v>5</v>
      </c>
      <c r="AK44" s="22">
        <f t="shared" si="7"/>
        <v>50</v>
      </c>
      <c r="AL44" s="27" t="s">
        <v>70</v>
      </c>
    </row>
    <row r="45" spans="1:38" x14ac:dyDescent="0.25">
      <c r="A45">
        <v>2011</v>
      </c>
      <c r="B45" s="20" t="s">
        <v>46</v>
      </c>
      <c r="C45" s="12">
        <v>40739</v>
      </c>
      <c r="D45" s="3">
        <v>24</v>
      </c>
      <c r="E45" s="20" t="s">
        <v>67</v>
      </c>
      <c r="H45" s="26" t="s">
        <v>1</v>
      </c>
      <c r="I45" s="26" t="s">
        <v>1</v>
      </c>
      <c r="J45" s="1">
        <v>3</v>
      </c>
      <c r="K45" s="1">
        <v>1</v>
      </c>
      <c r="L45" s="1">
        <f t="shared" si="1"/>
        <v>4</v>
      </c>
      <c r="M45" s="1">
        <v>35</v>
      </c>
      <c r="N45" s="26" t="s">
        <v>1</v>
      </c>
      <c r="O45" s="26" t="s">
        <v>1</v>
      </c>
      <c r="P45" s="1">
        <v>0</v>
      </c>
      <c r="Q45" s="1">
        <v>0</v>
      </c>
      <c r="R45" s="1">
        <f t="shared" si="2"/>
        <v>0</v>
      </c>
      <c r="S45" s="1">
        <v>0</v>
      </c>
      <c r="T45" s="26" t="s">
        <v>1</v>
      </c>
      <c r="U45" s="26" t="s">
        <v>1</v>
      </c>
      <c r="V45" s="1">
        <v>0</v>
      </c>
      <c r="W45" s="1">
        <v>0</v>
      </c>
      <c r="X45" s="1">
        <f t="shared" si="3"/>
        <v>0</v>
      </c>
      <c r="Y45" s="1">
        <v>0</v>
      </c>
      <c r="Z45" s="26" t="s">
        <v>1</v>
      </c>
      <c r="AA45" s="26" t="s">
        <v>1</v>
      </c>
      <c r="AB45" s="1">
        <v>0</v>
      </c>
      <c r="AC45" s="1">
        <v>0</v>
      </c>
      <c r="AD45" s="1">
        <f t="shared" si="4"/>
        <v>0</v>
      </c>
      <c r="AE45" s="1">
        <v>0</v>
      </c>
      <c r="AF45" s="22">
        <f t="shared" si="27"/>
        <v>0</v>
      </c>
      <c r="AG45" s="22">
        <f t="shared" si="28"/>
        <v>0</v>
      </c>
      <c r="AH45" s="22">
        <f t="shared" si="0"/>
        <v>3</v>
      </c>
      <c r="AI45" s="22">
        <f t="shared" si="0"/>
        <v>1</v>
      </c>
      <c r="AJ45" s="22">
        <f t="shared" si="6"/>
        <v>4</v>
      </c>
      <c r="AK45" s="22">
        <f t="shared" si="7"/>
        <v>35</v>
      </c>
      <c r="AL45" s="27" t="s">
        <v>71</v>
      </c>
    </row>
    <row r="46" spans="1:38" x14ac:dyDescent="0.25">
      <c r="A46">
        <v>2011</v>
      </c>
      <c r="B46" s="20" t="s">
        <v>46</v>
      </c>
      <c r="C46" s="12">
        <v>40739</v>
      </c>
      <c r="D46" s="3">
        <v>24</v>
      </c>
      <c r="E46" s="20" t="s">
        <v>49</v>
      </c>
      <c r="H46" s="26" t="s">
        <v>1</v>
      </c>
      <c r="I46" s="26" t="s">
        <v>1</v>
      </c>
      <c r="J46" s="1">
        <v>5</v>
      </c>
      <c r="K46" s="1">
        <v>0</v>
      </c>
      <c r="L46" s="1">
        <f t="shared" si="1"/>
        <v>5</v>
      </c>
      <c r="M46" s="1">
        <v>15</v>
      </c>
      <c r="N46" s="26" t="s">
        <v>1</v>
      </c>
      <c r="O46" s="26" t="s">
        <v>1</v>
      </c>
      <c r="P46" s="1">
        <v>0</v>
      </c>
      <c r="Q46" s="1">
        <v>0</v>
      </c>
      <c r="R46" s="1">
        <f t="shared" si="2"/>
        <v>0</v>
      </c>
      <c r="S46" s="1">
        <v>0</v>
      </c>
      <c r="T46" s="26" t="s">
        <v>1</v>
      </c>
      <c r="U46" s="26" t="s">
        <v>1</v>
      </c>
      <c r="V46" s="1">
        <v>0</v>
      </c>
      <c r="W46" s="1">
        <v>0</v>
      </c>
      <c r="X46" s="1">
        <f t="shared" si="3"/>
        <v>0</v>
      </c>
      <c r="Y46" s="1">
        <v>0</v>
      </c>
      <c r="Z46" s="26" t="s">
        <v>1</v>
      </c>
      <c r="AA46" s="26" t="s">
        <v>1</v>
      </c>
      <c r="AB46" s="1">
        <v>0</v>
      </c>
      <c r="AC46" s="1">
        <v>0</v>
      </c>
      <c r="AD46" s="1">
        <f t="shared" si="4"/>
        <v>0</v>
      </c>
      <c r="AE46" s="1">
        <v>0</v>
      </c>
      <c r="AF46" s="22">
        <f t="shared" si="27"/>
        <v>0</v>
      </c>
      <c r="AG46" s="22">
        <f t="shared" si="28"/>
        <v>0</v>
      </c>
      <c r="AH46" s="22">
        <f t="shared" si="0"/>
        <v>5</v>
      </c>
      <c r="AI46" s="22">
        <f t="shared" si="0"/>
        <v>0</v>
      </c>
      <c r="AJ46" s="22">
        <f t="shared" si="6"/>
        <v>5</v>
      </c>
      <c r="AK46" s="22">
        <f t="shared" si="7"/>
        <v>15</v>
      </c>
    </row>
    <row r="47" spans="1:38" x14ac:dyDescent="0.25">
      <c r="A47">
        <v>2011</v>
      </c>
      <c r="B47" s="20" t="s">
        <v>46</v>
      </c>
      <c r="C47" s="12">
        <v>40739</v>
      </c>
      <c r="D47" s="3">
        <v>24</v>
      </c>
      <c r="E47" s="20" t="s">
        <v>69</v>
      </c>
      <c r="H47" s="26" t="s">
        <v>1</v>
      </c>
      <c r="I47" s="26" t="s">
        <v>1</v>
      </c>
      <c r="J47" s="1">
        <v>0</v>
      </c>
      <c r="K47" s="1">
        <v>0</v>
      </c>
      <c r="L47" s="1">
        <f t="shared" si="1"/>
        <v>0</v>
      </c>
      <c r="M47" s="1">
        <v>0</v>
      </c>
      <c r="N47" s="26" t="s">
        <v>1</v>
      </c>
      <c r="O47" s="26" t="s">
        <v>1</v>
      </c>
      <c r="P47" s="1">
        <v>0</v>
      </c>
      <c r="Q47" s="1">
        <v>0</v>
      </c>
      <c r="R47" s="1">
        <f t="shared" si="2"/>
        <v>0</v>
      </c>
      <c r="S47" s="1">
        <v>0</v>
      </c>
      <c r="T47" s="26" t="s">
        <v>1</v>
      </c>
      <c r="U47" s="26" t="s">
        <v>1</v>
      </c>
      <c r="V47" s="1">
        <v>2</v>
      </c>
      <c r="W47" s="1">
        <v>0</v>
      </c>
      <c r="X47" s="1">
        <f t="shared" si="3"/>
        <v>2</v>
      </c>
      <c r="Y47" s="1">
        <v>1.5</v>
      </c>
      <c r="Z47" s="26" t="s">
        <v>1</v>
      </c>
      <c r="AA47" s="26" t="s">
        <v>1</v>
      </c>
      <c r="AB47" s="1">
        <v>0</v>
      </c>
      <c r="AC47" s="1">
        <v>0</v>
      </c>
      <c r="AD47" s="1">
        <f t="shared" si="4"/>
        <v>0</v>
      </c>
      <c r="AE47" s="1">
        <v>0</v>
      </c>
      <c r="AF47" s="22">
        <f t="shared" si="27"/>
        <v>0</v>
      </c>
      <c r="AG47" s="22">
        <f t="shared" si="28"/>
        <v>0</v>
      </c>
      <c r="AH47" s="22">
        <f t="shared" si="0"/>
        <v>2</v>
      </c>
      <c r="AI47" s="22">
        <f t="shared" si="0"/>
        <v>0</v>
      </c>
      <c r="AJ47" s="22">
        <f t="shared" si="6"/>
        <v>2</v>
      </c>
      <c r="AK47" s="22">
        <f t="shared" si="7"/>
        <v>1.5</v>
      </c>
    </row>
    <row r="48" spans="1:38" x14ac:dyDescent="0.25">
      <c r="A48">
        <v>2011</v>
      </c>
      <c r="B48" s="20" t="s">
        <v>46</v>
      </c>
      <c r="C48" s="12">
        <v>40739</v>
      </c>
      <c r="D48" s="3">
        <v>24</v>
      </c>
      <c r="E48" s="20" t="s">
        <v>72</v>
      </c>
      <c r="H48" s="26" t="s">
        <v>1</v>
      </c>
      <c r="I48" s="26" t="s">
        <v>1</v>
      </c>
      <c r="J48" s="1">
        <v>0</v>
      </c>
      <c r="K48" s="1">
        <v>0</v>
      </c>
      <c r="L48" s="1">
        <f t="shared" si="1"/>
        <v>0</v>
      </c>
      <c r="M48" s="1">
        <v>0</v>
      </c>
      <c r="N48" s="26" t="s">
        <v>1</v>
      </c>
      <c r="O48" s="26" t="s">
        <v>1</v>
      </c>
      <c r="P48" s="1">
        <v>0</v>
      </c>
      <c r="Q48" s="1">
        <v>0</v>
      </c>
      <c r="R48" s="1">
        <f t="shared" si="2"/>
        <v>0</v>
      </c>
      <c r="S48" s="1">
        <v>0</v>
      </c>
      <c r="T48" s="26" t="s">
        <v>1</v>
      </c>
      <c r="U48" s="26" t="s">
        <v>1</v>
      </c>
      <c r="V48" s="1">
        <v>2</v>
      </c>
      <c r="W48" s="1">
        <v>0</v>
      </c>
      <c r="X48" s="1">
        <f t="shared" si="3"/>
        <v>2</v>
      </c>
      <c r="Y48" s="1">
        <v>1.5</v>
      </c>
      <c r="Z48" s="26" t="s">
        <v>1</v>
      </c>
      <c r="AA48" s="26" t="s">
        <v>1</v>
      </c>
      <c r="AB48" s="1">
        <v>0</v>
      </c>
      <c r="AC48" s="1">
        <v>0</v>
      </c>
      <c r="AD48" s="1">
        <f t="shared" si="4"/>
        <v>0</v>
      </c>
      <c r="AE48" s="1">
        <v>0</v>
      </c>
      <c r="AF48" s="22">
        <f t="shared" si="27"/>
        <v>0</v>
      </c>
      <c r="AG48" s="22">
        <f t="shared" si="28"/>
        <v>0</v>
      </c>
      <c r="AH48" s="22">
        <f t="shared" si="0"/>
        <v>2</v>
      </c>
      <c r="AI48" s="22">
        <f t="shared" si="0"/>
        <v>0</v>
      </c>
      <c r="AJ48" s="22">
        <f t="shared" si="6"/>
        <v>2</v>
      </c>
      <c r="AK48" s="22">
        <f t="shared" si="7"/>
        <v>1.5</v>
      </c>
    </row>
    <row r="49" spans="1:38" x14ac:dyDescent="0.25">
      <c r="A49">
        <v>2011</v>
      </c>
      <c r="B49" s="20" t="s">
        <v>46</v>
      </c>
      <c r="C49" s="12">
        <v>40739</v>
      </c>
      <c r="D49" s="3">
        <v>24</v>
      </c>
      <c r="E49" s="20" t="s">
        <v>56</v>
      </c>
      <c r="H49" s="26" t="s">
        <v>1</v>
      </c>
      <c r="I49" s="26" t="s">
        <v>1</v>
      </c>
      <c r="J49" s="1">
        <v>0</v>
      </c>
      <c r="K49" s="1">
        <v>0</v>
      </c>
      <c r="L49" s="1">
        <f t="shared" si="1"/>
        <v>0</v>
      </c>
      <c r="M49" s="1">
        <v>0</v>
      </c>
      <c r="N49" s="26" t="s">
        <v>1</v>
      </c>
      <c r="O49" s="26" t="s">
        <v>1</v>
      </c>
      <c r="P49" s="1">
        <v>0</v>
      </c>
      <c r="Q49" s="1">
        <v>0</v>
      </c>
      <c r="R49" s="1">
        <f t="shared" si="2"/>
        <v>0</v>
      </c>
      <c r="S49" s="1">
        <v>0</v>
      </c>
      <c r="T49" s="26" t="s">
        <v>1</v>
      </c>
      <c r="U49" s="26" t="s">
        <v>1</v>
      </c>
      <c r="V49" s="1">
        <v>0</v>
      </c>
      <c r="W49" s="1">
        <v>0</v>
      </c>
      <c r="X49" s="1">
        <f t="shared" si="3"/>
        <v>0</v>
      </c>
      <c r="Y49" s="1">
        <v>0</v>
      </c>
      <c r="Z49" s="26" t="s">
        <v>1</v>
      </c>
      <c r="AA49" s="26" t="s">
        <v>1</v>
      </c>
      <c r="AB49" s="1">
        <v>1</v>
      </c>
      <c r="AC49" s="1">
        <v>1</v>
      </c>
      <c r="AD49" s="1">
        <f t="shared" si="4"/>
        <v>2</v>
      </c>
      <c r="AE49" s="1">
        <v>8</v>
      </c>
      <c r="AF49" s="22">
        <f t="shared" si="27"/>
        <v>0</v>
      </c>
      <c r="AG49" s="22">
        <f t="shared" si="28"/>
        <v>0</v>
      </c>
      <c r="AH49" s="22">
        <f t="shared" si="0"/>
        <v>1</v>
      </c>
      <c r="AI49" s="22">
        <f t="shared" si="0"/>
        <v>1</v>
      </c>
      <c r="AJ49" s="22">
        <f t="shared" si="6"/>
        <v>2</v>
      </c>
      <c r="AK49" s="22">
        <f t="shared" si="7"/>
        <v>8</v>
      </c>
      <c r="AL49" s="27" t="s">
        <v>73</v>
      </c>
    </row>
    <row r="50" spans="1:38" x14ac:dyDescent="0.25">
      <c r="A50">
        <v>2011</v>
      </c>
      <c r="B50" s="20" t="s">
        <v>46</v>
      </c>
      <c r="C50" s="12">
        <v>40759</v>
      </c>
      <c r="D50" s="3">
        <v>61</v>
      </c>
      <c r="E50" s="20" t="s">
        <v>47</v>
      </c>
      <c r="H50" s="1">
        <v>0</v>
      </c>
      <c r="I50" s="1">
        <v>0</v>
      </c>
      <c r="J50" s="1">
        <v>0</v>
      </c>
      <c r="K50" s="1">
        <v>0</v>
      </c>
      <c r="L50" s="1">
        <f>SUM(H50:K50)</f>
        <v>0</v>
      </c>
      <c r="M50" s="1">
        <v>0</v>
      </c>
      <c r="N50" s="1">
        <v>0</v>
      </c>
      <c r="O50" s="1">
        <v>0</v>
      </c>
      <c r="P50" s="1">
        <v>1</v>
      </c>
      <c r="Q50" s="1">
        <v>1</v>
      </c>
      <c r="R50" s="1">
        <f>SUM(N50:Q50)</f>
        <v>2</v>
      </c>
      <c r="S50" s="1">
        <v>25</v>
      </c>
      <c r="T50" s="1">
        <v>0</v>
      </c>
      <c r="U50" s="1">
        <v>0</v>
      </c>
      <c r="V50" s="1">
        <v>0</v>
      </c>
      <c r="W50" s="1">
        <v>0</v>
      </c>
      <c r="X50" s="1">
        <f>SUM(T50:W50)</f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f>SUM(Z50:AC50)</f>
        <v>0</v>
      </c>
      <c r="AE50" s="1">
        <v>0</v>
      </c>
      <c r="AF50" s="22">
        <f t="shared" ref="AF50:AF53" si="29">SUM(H50,N50,T50,Z50)</f>
        <v>0</v>
      </c>
      <c r="AG50" s="22">
        <f t="shared" ref="AG50:AG53" si="30">SUM(I50,O50,U50,AA50)</f>
        <v>0</v>
      </c>
      <c r="AH50" s="9">
        <f t="shared" ref="AH50:AH71" si="31">SUM(J50,P50,V50,AB50)</f>
        <v>1</v>
      </c>
      <c r="AI50" s="9">
        <f t="shared" ref="AI50:AI53" si="32">SUM(K50,Q50,W50,AC50)</f>
        <v>1</v>
      </c>
      <c r="AJ50" s="22">
        <f t="shared" ref="AJ50:AJ53" si="33">SUM(AF50:AI50)</f>
        <v>2</v>
      </c>
      <c r="AK50" s="22">
        <f t="shared" ref="AK50:AK71" si="34">M50+S50+Y50+AE50</f>
        <v>25</v>
      </c>
    </row>
    <row r="51" spans="1:38" x14ac:dyDescent="0.25">
      <c r="A51">
        <v>2011</v>
      </c>
      <c r="B51" s="20" t="s">
        <v>46</v>
      </c>
      <c r="C51" s="12">
        <v>40759</v>
      </c>
      <c r="D51" s="3">
        <v>61</v>
      </c>
      <c r="E51" s="20" t="s">
        <v>74</v>
      </c>
      <c r="H51" s="26" t="s">
        <v>1</v>
      </c>
      <c r="I51" s="26" t="s">
        <v>1</v>
      </c>
      <c r="J51" s="1">
        <v>6</v>
      </c>
      <c r="K51" s="1">
        <v>2</v>
      </c>
      <c r="L51" s="1">
        <f>SUM(H51:K51)</f>
        <v>8</v>
      </c>
      <c r="M51" s="1">
        <v>15</v>
      </c>
      <c r="N51" s="26" t="s">
        <v>1</v>
      </c>
      <c r="O51" s="26" t="s">
        <v>1</v>
      </c>
      <c r="P51" s="1">
        <v>0</v>
      </c>
      <c r="Q51" s="1">
        <v>0</v>
      </c>
      <c r="R51" s="1">
        <f>SUM(N51:Q51)</f>
        <v>0</v>
      </c>
      <c r="S51" s="1">
        <v>0</v>
      </c>
      <c r="T51" s="26" t="s">
        <v>1</v>
      </c>
      <c r="U51" s="26" t="s">
        <v>1</v>
      </c>
      <c r="V51" s="1">
        <v>0</v>
      </c>
      <c r="W51" s="1">
        <v>0</v>
      </c>
      <c r="X51" s="1">
        <f>SUM(T51:W51)</f>
        <v>0</v>
      </c>
      <c r="Y51" s="1">
        <v>0</v>
      </c>
      <c r="Z51" s="26" t="s">
        <v>1</v>
      </c>
      <c r="AA51" s="26" t="s">
        <v>1</v>
      </c>
      <c r="AB51" s="1">
        <v>0</v>
      </c>
      <c r="AC51" s="1">
        <v>0</v>
      </c>
      <c r="AD51" s="1">
        <f>SUM(Z51:AC51)</f>
        <v>0</v>
      </c>
      <c r="AE51" s="1">
        <v>0</v>
      </c>
      <c r="AF51" s="22">
        <f t="shared" si="29"/>
        <v>0</v>
      </c>
      <c r="AG51" s="22">
        <f t="shared" si="30"/>
        <v>0</v>
      </c>
      <c r="AH51" s="9">
        <f t="shared" si="31"/>
        <v>6</v>
      </c>
      <c r="AI51" s="9">
        <f t="shared" si="32"/>
        <v>2</v>
      </c>
      <c r="AJ51" s="22">
        <f t="shared" si="33"/>
        <v>8</v>
      </c>
      <c r="AK51" s="22">
        <f t="shared" si="34"/>
        <v>15</v>
      </c>
    </row>
    <row r="52" spans="1:38" x14ac:dyDescent="0.25">
      <c r="A52">
        <v>2011</v>
      </c>
      <c r="B52" s="20" t="s">
        <v>46</v>
      </c>
      <c r="C52" s="12">
        <v>40759</v>
      </c>
      <c r="D52" s="3">
        <v>61</v>
      </c>
      <c r="E52" s="20" t="s">
        <v>55</v>
      </c>
      <c r="H52" s="26">
        <v>0</v>
      </c>
      <c r="I52" s="26">
        <v>1</v>
      </c>
      <c r="J52" s="1">
        <v>0</v>
      </c>
      <c r="K52" s="1">
        <v>0</v>
      </c>
      <c r="L52" s="1">
        <f>SUM(H52:K52)</f>
        <v>1</v>
      </c>
      <c r="M52" s="1">
        <v>0.5</v>
      </c>
      <c r="N52" s="26">
        <v>0</v>
      </c>
      <c r="O52" s="26">
        <v>0</v>
      </c>
      <c r="P52" s="1">
        <v>0</v>
      </c>
      <c r="Q52" s="1">
        <v>0</v>
      </c>
      <c r="R52" s="1">
        <f>SUM(N52:Q52)</f>
        <v>0</v>
      </c>
      <c r="S52" s="1">
        <v>0</v>
      </c>
      <c r="T52" s="26">
        <v>0</v>
      </c>
      <c r="U52" s="26">
        <v>1</v>
      </c>
      <c r="V52" s="1">
        <v>3</v>
      </c>
      <c r="W52" s="1">
        <v>1</v>
      </c>
      <c r="X52" s="1">
        <f>SUM(T52:W52)</f>
        <v>5</v>
      </c>
      <c r="Y52" s="1">
        <v>3.5</v>
      </c>
      <c r="Z52" s="26">
        <v>0</v>
      </c>
      <c r="AA52" s="26">
        <v>0</v>
      </c>
      <c r="AB52" s="1">
        <v>0</v>
      </c>
      <c r="AC52" s="1">
        <v>0</v>
      </c>
      <c r="AD52" s="1">
        <f>SUM(Z52:AC52)</f>
        <v>0</v>
      </c>
      <c r="AE52" s="1">
        <v>0</v>
      </c>
      <c r="AF52" s="22">
        <f t="shared" si="29"/>
        <v>0</v>
      </c>
      <c r="AG52" s="22">
        <f t="shared" si="30"/>
        <v>2</v>
      </c>
      <c r="AH52" s="9">
        <f t="shared" si="31"/>
        <v>3</v>
      </c>
      <c r="AI52" s="9">
        <f t="shared" si="32"/>
        <v>1</v>
      </c>
      <c r="AJ52" s="22">
        <f t="shared" si="33"/>
        <v>6</v>
      </c>
      <c r="AK52" s="22">
        <f t="shared" si="34"/>
        <v>4</v>
      </c>
    </row>
    <row r="53" spans="1:38" x14ac:dyDescent="0.25">
      <c r="A53">
        <v>2011</v>
      </c>
      <c r="B53" s="20" t="s">
        <v>46</v>
      </c>
      <c r="C53" s="12">
        <v>40759</v>
      </c>
      <c r="D53" s="3">
        <v>61</v>
      </c>
      <c r="E53" s="20" t="s">
        <v>75</v>
      </c>
      <c r="H53" s="26" t="s">
        <v>1</v>
      </c>
      <c r="I53" s="26" t="s">
        <v>1</v>
      </c>
      <c r="J53" s="1">
        <v>2</v>
      </c>
      <c r="K53" s="1">
        <v>0</v>
      </c>
      <c r="L53" s="1">
        <f>SUM(H53:K53)</f>
        <v>2</v>
      </c>
      <c r="M53" s="1">
        <v>1.5</v>
      </c>
      <c r="N53" s="26" t="s">
        <v>1</v>
      </c>
      <c r="O53" s="26" t="s">
        <v>1</v>
      </c>
      <c r="P53" s="1">
        <v>0</v>
      </c>
      <c r="Q53" s="1">
        <v>0</v>
      </c>
      <c r="R53" s="1">
        <f>SUM(N53:Q53)</f>
        <v>0</v>
      </c>
      <c r="S53" s="1">
        <v>0</v>
      </c>
      <c r="T53" s="26" t="s">
        <v>1</v>
      </c>
      <c r="U53" s="26" t="s">
        <v>1</v>
      </c>
      <c r="V53" s="1">
        <v>0</v>
      </c>
      <c r="W53" s="1">
        <v>2</v>
      </c>
      <c r="X53" s="1">
        <f>SUM(T53:W53)</f>
        <v>2</v>
      </c>
      <c r="Y53" s="1">
        <v>15</v>
      </c>
      <c r="Z53" s="26" t="s">
        <v>1</v>
      </c>
      <c r="AA53" s="26" t="s">
        <v>1</v>
      </c>
      <c r="AB53" s="1">
        <v>2</v>
      </c>
      <c r="AC53" s="1">
        <v>0</v>
      </c>
      <c r="AD53" s="1">
        <f>SUM(Z53:AC53)</f>
        <v>2</v>
      </c>
      <c r="AE53" s="1">
        <v>1.5</v>
      </c>
      <c r="AF53" s="22">
        <f t="shared" si="29"/>
        <v>0</v>
      </c>
      <c r="AG53" s="22">
        <f t="shared" si="30"/>
        <v>0</v>
      </c>
      <c r="AH53" s="9">
        <f t="shared" si="31"/>
        <v>4</v>
      </c>
      <c r="AI53" s="9">
        <f t="shared" si="32"/>
        <v>2</v>
      </c>
      <c r="AJ53" s="22">
        <f t="shared" si="33"/>
        <v>6</v>
      </c>
      <c r="AK53" s="22">
        <f t="shared" si="34"/>
        <v>18</v>
      </c>
    </row>
    <row r="54" spans="1:38" x14ac:dyDescent="0.25">
      <c r="A54">
        <v>2011</v>
      </c>
      <c r="B54" s="20" t="s">
        <v>46</v>
      </c>
      <c r="C54" s="12">
        <v>40759</v>
      </c>
      <c r="D54" s="3">
        <v>62</v>
      </c>
      <c r="E54" s="20" t="s">
        <v>47</v>
      </c>
      <c r="H54" s="1">
        <v>0</v>
      </c>
      <c r="I54" s="1">
        <v>0</v>
      </c>
      <c r="J54" s="1">
        <v>0</v>
      </c>
      <c r="K54" s="1">
        <v>0</v>
      </c>
      <c r="L54" s="1">
        <f>SUM(H54:K54)</f>
        <v>0</v>
      </c>
      <c r="M54" s="1">
        <v>0</v>
      </c>
      <c r="N54" s="1">
        <v>0</v>
      </c>
      <c r="O54" s="1">
        <v>0</v>
      </c>
      <c r="P54" s="1">
        <v>1</v>
      </c>
      <c r="Q54" s="1">
        <v>0</v>
      </c>
      <c r="R54" s="1">
        <f>SUM(N54:Q54)</f>
        <v>1</v>
      </c>
      <c r="S54" s="1">
        <v>1.5</v>
      </c>
      <c r="T54" s="1">
        <v>0</v>
      </c>
      <c r="U54" s="1">
        <v>0</v>
      </c>
      <c r="V54" s="1">
        <v>0</v>
      </c>
      <c r="W54" s="1">
        <v>0</v>
      </c>
      <c r="X54" s="1">
        <f>SUM(T54:W54)</f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f>SUM(Z54:AC54)</f>
        <v>0</v>
      </c>
      <c r="AE54" s="1">
        <v>0</v>
      </c>
      <c r="AF54" s="22">
        <f t="shared" ref="AF54:AF60" si="35">SUM(H54,N54,T54,Z54)</f>
        <v>0</v>
      </c>
      <c r="AG54" s="22">
        <f t="shared" ref="AG54:AG60" si="36">SUM(I54,O54,U54,AA54)</f>
        <v>0</v>
      </c>
      <c r="AH54" s="9">
        <f t="shared" si="31"/>
        <v>1</v>
      </c>
      <c r="AI54" s="9">
        <f t="shared" ref="AI54:AI71" si="37">SUM(K54,Q54,W54,AC54)</f>
        <v>0</v>
      </c>
      <c r="AJ54" s="22">
        <f t="shared" ref="AJ54:AJ71" si="38">SUM(AF54:AI54)</f>
        <v>1</v>
      </c>
      <c r="AK54" s="22">
        <f t="shared" si="34"/>
        <v>1.5</v>
      </c>
      <c r="AL54" s="27" t="s">
        <v>76</v>
      </c>
    </row>
    <row r="55" spans="1:38" x14ac:dyDescent="0.25">
      <c r="A55">
        <v>2011</v>
      </c>
      <c r="B55" s="20" t="s">
        <v>46</v>
      </c>
      <c r="C55" s="12">
        <v>40759</v>
      </c>
      <c r="D55" s="3">
        <v>62</v>
      </c>
      <c r="E55" s="20" t="s">
        <v>55</v>
      </c>
      <c r="H55" s="1">
        <v>0</v>
      </c>
      <c r="I55" s="1">
        <v>0</v>
      </c>
      <c r="J55" s="1">
        <v>3</v>
      </c>
      <c r="K55" s="1">
        <v>1</v>
      </c>
      <c r="L55" s="1">
        <f t="shared" ref="L55:L71" si="39">SUM(H55:K55)</f>
        <v>4</v>
      </c>
      <c r="M55" s="1">
        <v>3.5</v>
      </c>
      <c r="N55" s="1">
        <v>0</v>
      </c>
      <c r="O55" s="1">
        <v>0</v>
      </c>
      <c r="P55" s="1">
        <v>0</v>
      </c>
      <c r="Q55" s="1">
        <v>0</v>
      </c>
      <c r="R55" s="1">
        <f t="shared" ref="R55:R71" si="40">SUM(N55:Q55)</f>
        <v>0</v>
      </c>
      <c r="S55" s="1">
        <v>0</v>
      </c>
      <c r="T55" s="1">
        <v>0</v>
      </c>
      <c r="U55" s="1">
        <v>2</v>
      </c>
      <c r="V55" s="1">
        <v>1</v>
      </c>
      <c r="W55" s="1">
        <v>0</v>
      </c>
      <c r="X55" s="1">
        <f t="shared" ref="X55:X71" si="41">SUM(T55:W55)</f>
        <v>3</v>
      </c>
      <c r="Y55" s="1">
        <v>0.5</v>
      </c>
      <c r="Z55" s="1">
        <v>0</v>
      </c>
      <c r="AA55" s="1">
        <v>0</v>
      </c>
      <c r="AB55" s="1">
        <v>0</v>
      </c>
      <c r="AC55" s="1">
        <v>0</v>
      </c>
      <c r="AD55" s="1">
        <f t="shared" ref="AD55:AD71" si="42">SUM(Z55:AC55)</f>
        <v>0</v>
      </c>
      <c r="AE55" s="1">
        <v>0</v>
      </c>
      <c r="AF55" s="22">
        <f t="shared" si="35"/>
        <v>0</v>
      </c>
      <c r="AG55" s="22">
        <f t="shared" si="36"/>
        <v>2</v>
      </c>
      <c r="AH55" s="9">
        <f t="shared" si="31"/>
        <v>4</v>
      </c>
      <c r="AI55" s="9">
        <f t="shared" si="37"/>
        <v>1</v>
      </c>
      <c r="AJ55" s="22">
        <f t="shared" si="38"/>
        <v>7</v>
      </c>
      <c r="AK55" s="22">
        <f t="shared" si="34"/>
        <v>4</v>
      </c>
      <c r="AL55" s="27" t="s">
        <v>77</v>
      </c>
    </row>
    <row r="56" spans="1:38" x14ac:dyDescent="0.25">
      <c r="A56">
        <v>2011</v>
      </c>
      <c r="B56" s="20" t="s">
        <v>46</v>
      </c>
      <c r="C56" s="12">
        <v>40759</v>
      </c>
      <c r="D56" s="3">
        <v>62</v>
      </c>
      <c r="E56" s="20" t="s">
        <v>69</v>
      </c>
      <c r="H56" s="26" t="s">
        <v>1</v>
      </c>
      <c r="I56" s="26" t="s">
        <v>1</v>
      </c>
      <c r="J56" s="1">
        <v>1</v>
      </c>
      <c r="K56" s="1">
        <v>0</v>
      </c>
      <c r="L56" s="1">
        <f t="shared" si="39"/>
        <v>1</v>
      </c>
      <c r="M56" s="1">
        <v>1.5</v>
      </c>
      <c r="N56" s="26" t="s">
        <v>1</v>
      </c>
      <c r="O56" s="26" t="s">
        <v>1</v>
      </c>
      <c r="P56" s="1">
        <v>0</v>
      </c>
      <c r="Q56" s="1">
        <v>1</v>
      </c>
      <c r="R56" s="1">
        <f t="shared" si="40"/>
        <v>1</v>
      </c>
      <c r="S56" s="1">
        <v>15</v>
      </c>
      <c r="T56" s="26" t="s">
        <v>1</v>
      </c>
      <c r="U56" s="26" t="s">
        <v>1</v>
      </c>
      <c r="V56" s="1">
        <v>0</v>
      </c>
      <c r="W56" s="1">
        <v>0</v>
      </c>
      <c r="X56" s="1">
        <f t="shared" si="41"/>
        <v>0</v>
      </c>
      <c r="Y56" s="1">
        <v>0</v>
      </c>
      <c r="Z56" s="26" t="s">
        <v>1</v>
      </c>
      <c r="AA56" s="26" t="s">
        <v>1</v>
      </c>
      <c r="AB56" s="1">
        <v>1</v>
      </c>
      <c r="AC56" s="1">
        <v>0</v>
      </c>
      <c r="AD56" s="1">
        <f t="shared" si="42"/>
        <v>1</v>
      </c>
      <c r="AE56" s="1">
        <v>0.5</v>
      </c>
      <c r="AF56" s="22">
        <f t="shared" si="35"/>
        <v>0</v>
      </c>
      <c r="AG56" s="22">
        <f t="shared" si="36"/>
        <v>0</v>
      </c>
      <c r="AH56" s="9">
        <f t="shared" si="31"/>
        <v>2</v>
      </c>
      <c r="AI56" s="9">
        <f t="shared" si="37"/>
        <v>1</v>
      </c>
      <c r="AJ56" s="22">
        <f t="shared" si="38"/>
        <v>3</v>
      </c>
      <c r="AK56" s="22">
        <f t="shared" si="34"/>
        <v>17</v>
      </c>
    </row>
    <row r="57" spans="1:38" x14ac:dyDescent="0.25">
      <c r="A57">
        <v>2011</v>
      </c>
      <c r="B57" s="20" t="s">
        <v>46</v>
      </c>
      <c r="C57" s="12">
        <v>40759</v>
      </c>
      <c r="D57" s="3">
        <v>62</v>
      </c>
      <c r="E57" s="20" t="s">
        <v>72</v>
      </c>
      <c r="H57" s="26" t="s">
        <v>1</v>
      </c>
      <c r="I57" s="26" t="s">
        <v>1</v>
      </c>
      <c r="J57" s="1">
        <v>0</v>
      </c>
      <c r="K57" s="1">
        <v>0</v>
      </c>
      <c r="L57" s="1">
        <f t="shared" si="39"/>
        <v>0</v>
      </c>
      <c r="M57" s="1">
        <v>0</v>
      </c>
      <c r="N57" s="26" t="s">
        <v>1</v>
      </c>
      <c r="O57" s="26" t="s">
        <v>1</v>
      </c>
      <c r="P57" s="1">
        <v>2</v>
      </c>
      <c r="Q57" s="1">
        <v>2</v>
      </c>
      <c r="R57" s="1">
        <f t="shared" si="40"/>
        <v>4</v>
      </c>
      <c r="S57" s="1">
        <v>8</v>
      </c>
      <c r="T57" s="26" t="s">
        <v>1</v>
      </c>
      <c r="U57" s="26" t="s">
        <v>1</v>
      </c>
      <c r="V57" s="1">
        <v>1</v>
      </c>
      <c r="W57" s="1">
        <v>3</v>
      </c>
      <c r="X57" s="1">
        <f t="shared" si="41"/>
        <v>4</v>
      </c>
      <c r="Y57" s="1">
        <v>8</v>
      </c>
      <c r="Z57" s="26" t="s">
        <v>1</v>
      </c>
      <c r="AA57" s="26" t="s">
        <v>1</v>
      </c>
      <c r="AB57" s="1">
        <v>0</v>
      </c>
      <c r="AC57" s="1">
        <v>0</v>
      </c>
      <c r="AD57" s="1">
        <f t="shared" si="42"/>
        <v>0</v>
      </c>
      <c r="AE57" s="1">
        <v>0</v>
      </c>
      <c r="AF57" s="22">
        <f t="shared" si="35"/>
        <v>0</v>
      </c>
      <c r="AG57" s="22">
        <f t="shared" si="36"/>
        <v>0</v>
      </c>
      <c r="AH57" s="9">
        <f t="shared" si="31"/>
        <v>3</v>
      </c>
      <c r="AI57" s="9">
        <f t="shared" si="37"/>
        <v>5</v>
      </c>
      <c r="AJ57" s="22">
        <f t="shared" si="38"/>
        <v>8</v>
      </c>
      <c r="AK57" s="22">
        <f t="shared" si="34"/>
        <v>16</v>
      </c>
    </row>
    <row r="58" spans="1:38" x14ac:dyDescent="0.25">
      <c r="A58">
        <v>2011</v>
      </c>
      <c r="B58" s="20" t="s">
        <v>46</v>
      </c>
      <c r="C58" s="12">
        <v>40759</v>
      </c>
      <c r="D58" s="3">
        <v>62</v>
      </c>
      <c r="E58" s="20" t="s">
        <v>78</v>
      </c>
      <c r="H58" s="26" t="s">
        <v>1</v>
      </c>
      <c r="I58" s="26" t="s">
        <v>1</v>
      </c>
      <c r="J58" s="1">
        <v>0</v>
      </c>
      <c r="K58" s="1">
        <v>0</v>
      </c>
      <c r="L58" s="1">
        <f t="shared" si="39"/>
        <v>0</v>
      </c>
      <c r="M58" s="1">
        <v>0</v>
      </c>
      <c r="N58" s="26" t="s">
        <v>1</v>
      </c>
      <c r="O58" s="26" t="s">
        <v>1</v>
      </c>
      <c r="P58" s="1">
        <v>0</v>
      </c>
      <c r="Q58" s="1">
        <v>0</v>
      </c>
      <c r="R58" s="1">
        <f t="shared" si="40"/>
        <v>0</v>
      </c>
      <c r="S58" s="1">
        <v>0</v>
      </c>
      <c r="T58" s="26" t="s">
        <v>1</v>
      </c>
      <c r="U58" s="26" t="s">
        <v>1</v>
      </c>
      <c r="V58" s="1">
        <v>2</v>
      </c>
      <c r="W58" s="1">
        <v>4</v>
      </c>
      <c r="X58" s="1">
        <f t="shared" si="41"/>
        <v>6</v>
      </c>
      <c r="Y58" s="1">
        <v>35</v>
      </c>
      <c r="Z58" s="26" t="s">
        <v>1</v>
      </c>
      <c r="AA58" s="26" t="s">
        <v>1</v>
      </c>
      <c r="AB58" s="1">
        <v>0</v>
      </c>
      <c r="AC58" s="1">
        <v>0</v>
      </c>
      <c r="AD58" s="1">
        <f t="shared" si="42"/>
        <v>0</v>
      </c>
      <c r="AE58" s="1">
        <v>0</v>
      </c>
      <c r="AF58" s="22">
        <f t="shared" si="35"/>
        <v>0</v>
      </c>
      <c r="AG58" s="22">
        <f t="shared" si="36"/>
        <v>0</v>
      </c>
      <c r="AH58" s="9">
        <f t="shared" si="31"/>
        <v>2</v>
      </c>
      <c r="AI58" s="9">
        <f t="shared" si="37"/>
        <v>4</v>
      </c>
      <c r="AJ58" s="22">
        <f t="shared" si="38"/>
        <v>6</v>
      </c>
      <c r="AK58" s="22">
        <f t="shared" si="34"/>
        <v>35</v>
      </c>
    </row>
    <row r="59" spans="1:38" x14ac:dyDescent="0.25">
      <c r="A59">
        <v>2011</v>
      </c>
      <c r="B59" s="20" t="s">
        <v>46</v>
      </c>
      <c r="C59" s="12">
        <v>40759</v>
      </c>
      <c r="D59" s="3">
        <v>62</v>
      </c>
      <c r="E59" s="20" t="s">
        <v>79</v>
      </c>
      <c r="H59" s="26" t="s">
        <v>1</v>
      </c>
      <c r="I59" s="26" t="s">
        <v>1</v>
      </c>
      <c r="J59" s="1">
        <v>0</v>
      </c>
      <c r="K59" s="1">
        <v>0</v>
      </c>
      <c r="L59" s="1">
        <f t="shared" si="39"/>
        <v>0</v>
      </c>
      <c r="M59" s="1">
        <v>0</v>
      </c>
      <c r="N59" s="26" t="s">
        <v>1</v>
      </c>
      <c r="O59" s="26" t="s">
        <v>1</v>
      </c>
      <c r="P59" s="1">
        <v>0</v>
      </c>
      <c r="Q59" s="1">
        <v>0</v>
      </c>
      <c r="R59" s="1">
        <f t="shared" si="40"/>
        <v>0</v>
      </c>
      <c r="S59" s="1">
        <v>0</v>
      </c>
      <c r="T59" s="26" t="s">
        <v>1</v>
      </c>
      <c r="U59" s="26" t="s">
        <v>1</v>
      </c>
      <c r="V59" s="1">
        <v>0</v>
      </c>
      <c r="W59" s="1">
        <v>1</v>
      </c>
      <c r="X59" s="1">
        <f t="shared" si="41"/>
        <v>1</v>
      </c>
      <c r="Y59" s="1">
        <v>3.5</v>
      </c>
      <c r="Z59" s="26" t="s">
        <v>1</v>
      </c>
      <c r="AA59" s="26" t="s">
        <v>1</v>
      </c>
      <c r="AB59" s="1">
        <v>0</v>
      </c>
      <c r="AC59" s="1">
        <v>0</v>
      </c>
      <c r="AD59" s="1">
        <f t="shared" si="42"/>
        <v>0</v>
      </c>
      <c r="AE59" s="1">
        <v>0</v>
      </c>
      <c r="AF59" s="22">
        <f t="shared" si="35"/>
        <v>0</v>
      </c>
      <c r="AG59" s="22">
        <f t="shared" si="36"/>
        <v>0</v>
      </c>
      <c r="AH59" s="9">
        <f t="shared" si="31"/>
        <v>0</v>
      </c>
      <c r="AI59" s="9">
        <f t="shared" si="37"/>
        <v>1</v>
      </c>
      <c r="AJ59" s="22">
        <f t="shared" si="38"/>
        <v>1</v>
      </c>
      <c r="AK59" s="22">
        <f t="shared" si="34"/>
        <v>3.5</v>
      </c>
    </row>
    <row r="60" spans="1:38" x14ac:dyDescent="0.25">
      <c r="A60">
        <v>2011</v>
      </c>
      <c r="B60" s="20" t="s">
        <v>46</v>
      </c>
      <c r="C60" s="12">
        <v>40759</v>
      </c>
      <c r="D60" s="3">
        <v>62</v>
      </c>
      <c r="E60" s="20" t="s">
        <v>74</v>
      </c>
      <c r="H60" s="26" t="s">
        <v>1</v>
      </c>
      <c r="I60" s="26" t="s">
        <v>1</v>
      </c>
      <c r="J60" s="1">
        <v>0</v>
      </c>
      <c r="K60" s="1">
        <v>0</v>
      </c>
      <c r="L60" s="1">
        <f t="shared" si="39"/>
        <v>0</v>
      </c>
      <c r="M60" s="1">
        <v>0</v>
      </c>
      <c r="N60" s="26" t="s">
        <v>1</v>
      </c>
      <c r="O60" s="26" t="s">
        <v>1</v>
      </c>
      <c r="P60" s="1">
        <v>0</v>
      </c>
      <c r="Q60" s="1">
        <v>0</v>
      </c>
      <c r="R60" s="1">
        <f t="shared" si="40"/>
        <v>0</v>
      </c>
      <c r="S60" s="1">
        <v>0</v>
      </c>
      <c r="T60" s="26" t="s">
        <v>1</v>
      </c>
      <c r="U60" s="26" t="s">
        <v>1</v>
      </c>
      <c r="V60" s="1">
        <v>0</v>
      </c>
      <c r="W60" s="1">
        <v>0</v>
      </c>
      <c r="X60" s="1">
        <f t="shared" si="41"/>
        <v>0</v>
      </c>
      <c r="Y60" s="1">
        <v>0</v>
      </c>
      <c r="Z60" s="26" t="s">
        <v>1</v>
      </c>
      <c r="AA60" s="26" t="s">
        <v>1</v>
      </c>
      <c r="AB60" s="1">
        <v>1</v>
      </c>
      <c r="AC60" s="1">
        <v>0</v>
      </c>
      <c r="AD60" s="1">
        <f t="shared" si="42"/>
        <v>1</v>
      </c>
      <c r="AE60" s="1">
        <v>1.5</v>
      </c>
      <c r="AF60" s="22">
        <f t="shared" si="35"/>
        <v>0</v>
      </c>
      <c r="AG60" s="22">
        <f t="shared" si="36"/>
        <v>0</v>
      </c>
      <c r="AH60" s="9">
        <f t="shared" si="31"/>
        <v>1</v>
      </c>
      <c r="AI60" s="9">
        <f t="shared" si="37"/>
        <v>0</v>
      </c>
      <c r="AJ60" s="22">
        <f t="shared" si="38"/>
        <v>1</v>
      </c>
      <c r="AK60" s="22">
        <f t="shared" si="34"/>
        <v>1.5</v>
      </c>
    </row>
    <row r="61" spans="1:38" s="32" customFormat="1" x14ac:dyDescent="0.25">
      <c r="A61" s="32">
        <v>2011</v>
      </c>
      <c r="B61" s="33" t="s">
        <v>46</v>
      </c>
      <c r="C61" s="34">
        <v>40759</v>
      </c>
      <c r="D61" s="35">
        <v>63</v>
      </c>
      <c r="E61" s="33" t="s">
        <v>47</v>
      </c>
      <c r="H61" s="36">
        <v>0</v>
      </c>
      <c r="I61" s="36">
        <v>0</v>
      </c>
      <c r="J61" s="37">
        <v>6</v>
      </c>
      <c r="K61" s="37">
        <v>0</v>
      </c>
      <c r="L61" s="37">
        <f t="shared" si="39"/>
        <v>6</v>
      </c>
      <c r="M61" s="37">
        <v>15</v>
      </c>
      <c r="N61" s="36">
        <v>0</v>
      </c>
      <c r="O61" s="36">
        <v>0</v>
      </c>
      <c r="P61" s="37">
        <v>3</v>
      </c>
      <c r="Q61" s="37">
        <v>5</v>
      </c>
      <c r="R61" s="37">
        <f t="shared" si="40"/>
        <v>8</v>
      </c>
      <c r="S61" s="37">
        <v>35</v>
      </c>
      <c r="T61" s="36">
        <v>0</v>
      </c>
      <c r="U61" s="36">
        <v>0</v>
      </c>
      <c r="V61" s="37">
        <v>1</v>
      </c>
      <c r="W61" s="37">
        <v>1</v>
      </c>
      <c r="X61" s="37">
        <f t="shared" si="41"/>
        <v>2</v>
      </c>
      <c r="Y61" s="37">
        <v>15</v>
      </c>
      <c r="Z61" s="36">
        <v>0</v>
      </c>
      <c r="AA61" s="36">
        <v>0</v>
      </c>
      <c r="AB61" s="37">
        <v>0</v>
      </c>
      <c r="AC61" s="37">
        <v>3</v>
      </c>
      <c r="AD61" s="37">
        <f t="shared" si="42"/>
        <v>3</v>
      </c>
      <c r="AE61" s="37">
        <v>25</v>
      </c>
      <c r="AF61" s="39">
        <f t="shared" ref="AF61:AF64" si="43">SUM(H61,N61,T61,Z61)</f>
        <v>0</v>
      </c>
      <c r="AG61" s="39">
        <f t="shared" ref="AG61:AG64" si="44">SUM(I61,O61,U61,AA61)</f>
        <v>0</v>
      </c>
      <c r="AH61" s="38">
        <f t="shared" si="31"/>
        <v>10</v>
      </c>
      <c r="AI61" s="38">
        <f t="shared" si="37"/>
        <v>9</v>
      </c>
      <c r="AJ61" s="39">
        <f t="shared" si="38"/>
        <v>19</v>
      </c>
      <c r="AK61" s="39">
        <f t="shared" si="34"/>
        <v>90</v>
      </c>
      <c r="AL61" s="40"/>
    </row>
    <row r="62" spans="1:38" x14ac:dyDescent="0.25">
      <c r="A62">
        <v>2011</v>
      </c>
      <c r="B62" s="20" t="s">
        <v>46</v>
      </c>
      <c r="C62" s="12">
        <v>40759</v>
      </c>
      <c r="D62" s="3">
        <v>63</v>
      </c>
      <c r="E62" s="20" t="s">
        <v>69</v>
      </c>
      <c r="H62" s="26" t="s">
        <v>1</v>
      </c>
      <c r="I62" s="26" t="s">
        <v>1</v>
      </c>
      <c r="J62" s="1">
        <v>0</v>
      </c>
      <c r="K62" s="1">
        <v>2</v>
      </c>
      <c r="L62" s="1">
        <f t="shared" si="39"/>
        <v>2</v>
      </c>
      <c r="M62" s="1">
        <v>15</v>
      </c>
      <c r="N62" s="26" t="s">
        <v>1</v>
      </c>
      <c r="O62" s="26" t="s">
        <v>1</v>
      </c>
      <c r="P62" s="1">
        <v>0</v>
      </c>
      <c r="Q62" s="1">
        <v>0</v>
      </c>
      <c r="R62" s="1">
        <f t="shared" si="40"/>
        <v>0</v>
      </c>
      <c r="S62" s="1">
        <v>0</v>
      </c>
      <c r="T62" s="26" t="s">
        <v>1</v>
      </c>
      <c r="U62" s="26" t="s">
        <v>1</v>
      </c>
      <c r="V62" s="1">
        <v>3</v>
      </c>
      <c r="W62" s="1">
        <v>0</v>
      </c>
      <c r="X62" s="1">
        <f t="shared" si="41"/>
        <v>3</v>
      </c>
      <c r="Y62" s="1">
        <v>3.5</v>
      </c>
      <c r="Z62" s="26" t="s">
        <v>1</v>
      </c>
      <c r="AA62" s="26" t="s">
        <v>1</v>
      </c>
      <c r="AB62" s="1">
        <v>0</v>
      </c>
      <c r="AC62" s="1">
        <v>2</v>
      </c>
      <c r="AD62" s="1">
        <f t="shared" si="42"/>
        <v>2</v>
      </c>
      <c r="AE62" s="1">
        <v>8</v>
      </c>
      <c r="AF62" s="22">
        <f t="shared" si="43"/>
        <v>0</v>
      </c>
      <c r="AG62" s="22">
        <f t="shared" si="44"/>
        <v>0</v>
      </c>
      <c r="AH62" s="9">
        <f t="shared" si="31"/>
        <v>3</v>
      </c>
      <c r="AI62" s="9">
        <f t="shared" si="37"/>
        <v>4</v>
      </c>
      <c r="AJ62" s="22">
        <f t="shared" si="38"/>
        <v>7</v>
      </c>
      <c r="AK62" s="22">
        <f t="shared" si="34"/>
        <v>26.5</v>
      </c>
    </row>
    <row r="63" spans="1:38" x14ac:dyDescent="0.25">
      <c r="A63">
        <v>2011</v>
      </c>
      <c r="B63" s="20" t="s">
        <v>46</v>
      </c>
      <c r="C63" s="12">
        <v>40759</v>
      </c>
      <c r="D63" s="3">
        <v>63</v>
      </c>
      <c r="E63" s="20" t="s">
        <v>55</v>
      </c>
      <c r="H63" s="26">
        <v>0</v>
      </c>
      <c r="I63" s="26">
        <v>0</v>
      </c>
      <c r="J63" s="1">
        <v>1</v>
      </c>
      <c r="K63" s="1">
        <v>1</v>
      </c>
      <c r="L63" s="1">
        <f t="shared" si="39"/>
        <v>2</v>
      </c>
      <c r="M63" s="1">
        <v>3.5</v>
      </c>
      <c r="N63" s="26">
        <v>0</v>
      </c>
      <c r="O63" s="26">
        <v>0</v>
      </c>
      <c r="P63" s="1">
        <v>0</v>
      </c>
      <c r="Q63" s="1">
        <v>0</v>
      </c>
      <c r="R63" s="1">
        <f t="shared" si="40"/>
        <v>0</v>
      </c>
      <c r="S63" s="1">
        <v>0</v>
      </c>
      <c r="T63" s="26">
        <v>0</v>
      </c>
      <c r="U63" s="26">
        <v>0</v>
      </c>
      <c r="V63" s="1">
        <v>0</v>
      </c>
      <c r="W63" s="1">
        <v>0</v>
      </c>
      <c r="X63" s="1">
        <f t="shared" si="41"/>
        <v>0</v>
      </c>
      <c r="Y63" s="1">
        <v>0</v>
      </c>
      <c r="Z63" s="26">
        <v>0</v>
      </c>
      <c r="AA63" s="26">
        <v>0</v>
      </c>
      <c r="AB63" s="1">
        <v>1</v>
      </c>
      <c r="AC63" s="1">
        <v>0</v>
      </c>
      <c r="AD63" s="1">
        <f t="shared" si="42"/>
        <v>1</v>
      </c>
      <c r="AE63" s="1">
        <v>3</v>
      </c>
      <c r="AF63" s="22">
        <f t="shared" si="43"/>
        <v>0</v>
      </c>
      <c r="AG63" s="22">
        <f t="shared" si="44"/>
        <v>0</v>
      </c>
      <c r="AH63" s="9">
        <f t="shared" si="31"/>
        <v>2</v>
      </c>
      <c r="AI63" s="9">
        <f t="shared" si="37"/>
        <v>1</v>
      </c>
      <c r="AJ63" s="22">
        <f t="shared" si="38"/>
        <v>3</v>
      </c>
      <c r="AK63" s="22">
        <f t="shared" si="34"/>
        <v>6.5</v>
      </c>
    </row>
    <row r="64" spans="1:38" x14ac:dyDescent="0.25">
      <c r="A64">
        <v>2011</v>
      </c>
      <c r="B64" s="20" t="s">
        <v>46</v>
      </c>
      <c r="C64" s="12">
        <v>40759</v>
      </c>
      <c r="D64" s="3">
        <v>63</v>
      </c>
      <c r="E64" s="20" t="s">
        <v>72</v>
      </c>
      <c r="H64" s="26" t="s">
        <v>1</v>
      </c>
      <c r="I64" s="26" t="s">
        <v>1</v>
      </c>
      <c r="J64" s="1">
        <v>0</v>
      </c>
      <c r="K64" s="1">
        <v>0</v>
      </c>
      <c r="L64" s="1">
        <f t="shared" si="39"/>
        <v>0</v>
      </c>
      <c r="M64" s="1">
        <v>0</v>
      </c>
      <c r="N64" s="26" t="s">
        <v>1</v>
      </c>
      <c r="O64" s="26" t="s">
        <v>1</v>
      </c>
      <c r="P64" s="1">
        <v>0</v>
      </c>
      <c r="Q64" s="1">
        <v>0</v>
      </c>
      <c r="R64" s="1">
        <f t="shared" si="40"/>
        <v>0</v>
      </c>
      <c r="S64" s="1">
        <v>0</v>
      </c>
      <c r="T64" s="26" t="s">
        <v>1</v>
      </c>
      <c r="U64" s="26" t="s">
        <v>1</v>
      </c>
      <c r="V64" s="1">
        <v>0</v>
      </c>
      <c r="W64" s="1">
        <v>0</v>
      </c>
      <c r="X64" s="1">
        <f t="shared" si="41"/>
        <v>0</v>
      </c>
      <c r="Y64" s="1">
        <v>0</v>
      </c>
      <c r="Z64" s="26" t="s">
        <v>1</v>
      </c>
      <c r="AA64" s="26" t="s">
        <v>1</v>
      </c>
      <c r="AB64" s="1">
        <v>0</v>
      </c>
      <c r="AC64" s="1">
        <v>1</v>
      </c>
      <c r="AD64" s="1">
        <f t="shared" si="42"/>
        <v>1</v>
      </c>
      <c r="AE64" s="1">
        <v>8</v>
      </c>
      <c r="AF64" s="22">
        <f t="shared" si="43"/>
        <v>0</v>
      </c>
      <c r="AG64" s="22">
        <f t="shared" si="44"/>
        <v>0</v>
      </c>
      <c r="AH64" s="9">
        <f t="shared" si="31"/>
        <v>0</v>
      </c>
      <c r="AI64" s="9">
        <f t="shared" si="37"/>
        <v>1</v>
      </c>
      <c r="AJ64" s="22">
        <f t="shared" si="38"/>
        <v>1</v>
      </c>
      <c r="AK64" s="22">
        <f t="shared" si="34"/>
        <v>8</v>
      </c>
    </row>
    <row r="65" spans="1:38" s="32" customFormat="1" x14ac:dyDescent="0.25">
      <c r="A65" s="32">
        <v>2011</v>
      </c>
      <c r="B65" s="33" t="s">
        <v>46</v>
      </c>
      <c r="C65" s="34">
        <v>40759</v>
      </c>
      <c r="D65" s="35">
        <v>64</v>
      </c>
      <c r="E65" s="33" t="s">
        <v>47</v>
      </c>
      <c r="H65" s="36">
        <v>0</v>
      </c>
      <c r="I65" s="36">
        <v>1</v>
      </c>
      <c r="J65" s="37">
        <v>0</v>
      </c>
      <c r="K65" s="37">
        <v>0</v>
      </c>
      <c r="L65" s="37">
        <f t="shared" si="39"/>
        <v>1</v>
      </c>
      <c r="M65" s="37">
        <v>0.5</v>
      </c>
      <c r="N65" s="36">
        <v>0</v>
      </c>
      <c r="O65" s="36">
        <v>21</v>
      </c>
      <c r="P65" s="37">
        <v>2</v>
      </c>
      <c r="Q65" s="37">
        <v>0</v>
      </c>
      <c r="R65" s="37">
        <f t="shared" si="40"/>
        <v>23</v>
      </c>
      <c r="S65" s="37">
        <v>8</v>
      </c>
      <c r="T65" s="36">
        <v>0</v>
      </c>
      <c r="U65" s="36">
        <v>41</v>
      </c>
      <c r="V65" s="37">
        <v>3</v>
      </c>
      <c r="W65" s="37">
        <v>0</v>
      </c>
      <c r="X65" s="37">
        <f t="shared" si="41"/>
        <v>44</v>
      </c>
      <c r="Y65" s="37">
        <v>15</v>
      </c>
      <c r="Z65" s="36">
        <v>0</v>
      </c>
      <c r="AA65" s="36">
        <v>15</v>
      </c>
      <c r="AB65" s="37">
        <v>6</v>
      </c>
      <c r="AC65" s="37">
        <v>0</v>
      </c>
      <c r="AD65" s="37">
        <f t="shared" si="42"/>
        <v>21</v>
      </c>
      <c r="AE65" s="37">
        <v>15</v>
      </c>
      <c r="AF65" s="39">
        <f t="shared" ref="AF65:AF71" si="45">SUM(H65,N65,T65,Z65)</f>
        <v>0</v>
      </c>
      <c r="AG65" s="39">
        <f t="shared" ref="AG65:AG71" si="46">SUM(I65,O65,U65,AA65)</f>
        <v>78</v>
      </c>
      <c r="AH65" s="38">
        <f t="shared" si="31"/>
        <v>11</v>
      </c>
      <c r="AI65" s="38">
        <f t="shared" si="37"/>
        <v>0</v>
      </c>
      <c r="AJ65" s="39">
        <f t="shared" si="38"/>
        <v>89</v>
      </c>
      <c r="AK65" s="39">
        <f t="shared" si="34"/>
        <v>38.5</v>
      </c>
      <c r="AL65" s="40"/>
    </row>
    <row r="66" spans="1:38" x14ac:dyDescent="0.25">
      <c r="A66">
        <v>2011</v>
      </c>
      <c r="B66" s="20" t="s">
        <v>46</v>
      </c>
      <c r="C66" s="12">
        <v>40759</v>
      </c>
      <c r="D66" s="3">
        <v>64</v>
      </c>
      <c r="E66" s="20" t="s">
        <v>51</v>
      </c>
      <c r="H66" s="26" t="s">
        <v>1</v>
      </c>
      <c r="I66" s="26" t="s">
        <v>1</v>
      </c>
      <c r="J66" s="1">
        <v>1</v>
      </c>
      <c r="K66" s="1">
        <v>1</v>
      </c>
      <c r="L66" s="1">
        <f t="shared" si="39"/>
        <v>2</v>
      </c>
      <c r="M66" s="1">
        <v>3.5</v>
      </c>
      <c r="N66" s="26" t="s">
        <v>1</v>
      </c>
      <c r="O66" s="26" t="s">
        <v>1</v>
      </c>
      <c r="P66" s="1">
        <v>1</v>
      </c>
      <c r="Q66" s="1">
        <v>4</v>
      </c>
      <c r="R66" s="1">
        <f t="shared" si="40"/>
        <v>5</v>
      </c>
      <c r="S66" s="1">
        <v>45</v>
      </c>
      <c r="T66" s="26" t="s">
        <v>1</v>
      </c>
      <c r="U66" s="26" t="s">
        <v>1</v>
      </c>
      <c r="V66" s="1">
        <v>0</v>
      </c>
      <c r="W66" s="1">
        <v>0</v>
      </c>
      <c r="X66" s="1">
        <f t="shared" si="41"/>
        <v>0</v>
      </c>
      <c r="Y66" s="1">
        <v>0</v>
      </c>
      <c r="Z66" s="26" t="s">
        <v>1</v>
      </c>
      <c r="AA66" s="26" t="s">
        <v>1</v>
      </c>
      <c r="AB66" s="1">
        <v>0</v>
      </c>
      <c r="AC66" s="1">
        <v>0</v>
      </c>
      <c r="AD66" s="1">
        <f t="shared" si="42"/>
        <v>0</v>
      </c>
      <c r="AE66" s="1">
        <v>0</v>
      </c>
      <c r="AF66" s="22">
        <f t="shared" si="45"/>
        <v>0</v>
      </c>
      <c r="AG66" s="22">
        <f t="shared" si="46"/>
        <v>0</v>
      </c>
      <c r="AH66" s="9">
        <f t="shared" si="31"/>
        <v>2</v>
      </c>
      <c r="AI66" s="9">
        <f t="shared" si="37"/>
        <v>5</v>
      </c>
      <c r="AJ66" s="22">
        <f t="shared" si="38"/>
        <v>7</v>
      </c>
      <c r="AK66" s="22">
        <f t="shared" si="34"/>
        <v>48.5</v>
      </c>
    </row>
    <row r="67" spans="1:38" x14ac:dyDescent="0.25">
      <c r="A67">
        <v>2011</v>
      </c>
      <c r="B67" s="20" t="s">
        <v>46</v>
      </c>
      <c r="C67" s="12">
        <v>40759</v>
      </c>
      <c r="D67" s="3">
        <v>64</v>
      </c>
      <c r="E67" s="20" t="s">
        <v>56</v>
      </c>
      <c r="H67" s="26" t="s">
        <v>1</v>
      </c>
      <c r="I67" s="26" t="s">
        <v>1</v>
      </c>
      <c r="J67" s="1">
        <v>4</v>
      </c>
      <c r="K67" s="1">
        <v>1</v>
      </c>
      <c r="L67" s="1">
        <f t="shared" si="39"/>
        <v>5</v>
      </c>
      <c r="M67" s="1">
        <v>25</v>
      </c>
      <c r="N67" s="26" t="s">
        <v>1</v>
      </c>
      <c r="O67" s="26" t="s">
        <v>1</v>
      </c>
      <c r="P67" s="1">
        <v>3</v>
      </c>
      <c r="Q67" s="1">
        <v>0</v>
      </c>
      <c r="R67" s="1">
        <f t="shared" si="40"/>
        <v>3</v>
      </c>
      <c r="S67" s="1">
        <v>8</v>
      </c>
      <c r="T67" s="26" t="s">
        <v>1</v>
      </c>
      <c r="U67" s="26" t="s">
        <v>1</v>
      </c>
      <c r="V67" s="1">
        <v>1</v>
      </c>
      <c r="W67" s="1">
        <v>0</v>
      </c>
      <c r="X67" s="1">
        <f t="shared" si="41"/>
        <v>1</v>
      </c>
      <c r="Y67" s="1">
        <v>8</v>
      </c>
      <c r="Z67" s="26" t="s">
        <v>1</v>
      </c>
      <c r="AA67" s="26" t="s">
        <v>1</v>
      </c>
      <c r="AB67" s="1">
        <v>1</v>
      </c>
      <c r="AC67" s="1">
        <v>0</v>
      </c>
      <c r="AD67" s="1">
        <f t="shared" si="42"/>
        <v>1</v>
      </c>
      <c r="AE67" s="1">
        <v>1.5</v>
      </c>
      <c r="AF67" s="22">
        <f t="shared" si="45"/>
        <v>0</v>
      </c>
      <c r="AG67" s="22">
        <f t="shared" si="46"/>
        <v>0</v>
      </c>
      <c r="AH67" s="9">
        <f t="shared" si="31"/>
        <v>9</v>
      </c>
      <c r="AI67" s="9">
        <f t="shared" si="37"/>
        <v>1</v>
      </c>
      <c r="AJ67" s="22">
        <f t="shared" si="38"/>
        <v>10</v>
      </c>
      <c r="AK67" s="22">
        <f t="shared" si="34"/>
        <v>42.5</v>
      </c>
    </row>
    <row r="68" spans="1:38" x14ac:dyDescent="0.25">
      <c r="A68">
        <v>2011</v>
      </c>
      <c r="B68" s="20" t="s">
        <v>46</v>
      </c>
      <c r="C68" s="12">
        <v>40759</v>
      </c>
      <c r="D68" s="3">
        <v>64</v>
      </c>
      <c r="E68" s="20" t="s">
        <v>50</v>
      </c>
      <c r="H68" s="26" t="s">
        <v>1</v>
      </c>
      <c r="I68" s="26" t="s">
        <v>1</v>
      </c>
      <c r="J68" s="1">
        <v>1</v>
      </c>
      <c r="K68" s="1">
        <v>0</v>
      </c>
      <c r="L68" s="1">
        <f t="shared" si="39"/>
        <v>1</v>
      </c>
      <c r="M68" s="1">
        <v>1.5</v>
      </c>
      <c r="N68" s="26" t="s">
        <v>1</v>
      </c>
      <c r="O68" s="26" t="s">
        <v>1</v>
      </c>
      <c r="P68" s="1">
        <v>0</v>
      </c>
      <c r="Q68" s="1">
        <v>0</v>
      </c>
      <c r="R68" s="1">
        <f t="shared" si="40"/>
        <v>0</v>
      </c>
      <c r="S68" s="1">
        <v>0</v>
      </c>
      <c r="T68" s="26" t="s">
        <v>1</v>
      </c>
      <c r="U68" s="26" t="s">
        <v>1</v>
      </c>
      <c r="V68" s="1">
        <v>0</v>
      </c>
      <c r="W68" s="1">
        <v>0</v>
      </c>
      <c r="X68" s="1">
        <f t="shared" si="41"/>
        <v>0</v>
      </c>
      <c r="Y68" s="1">
        <v>0</v>
      </c>
      <c r="Z68" s="26" t="s">
        <v>1</v>
      </c>
      <c r="AA68" s="26" t="s">
        <v>1</v>
      </c>
      <c r="AB68" s="1">
        <v>0</v>
      </c>
      <c r="AC68" s="1">
        <v>0</v>
      </c>
      <c r="AD68" s="1">
        <f t="shared" si="42"/>
        <v>0</v>
      </c>
      <c r="AE68" s="1">
        <v>0</v>
      </c>
      <c r="AF68" s="22">
        <f t="shared" si="45"/>
        <v>0</v>
      </c>
      <c r="AG68" s="22">
        <f t="shared" si="46"/>
        <v>0</v>
      </c>
      <c r="AH68" s="9">
        <f t="shared" si="31"/>
        <v>1</v>
      </c>
      <c r="AI68" s="9">
        <f t="shared" si="37"/>
        <v>0</v>
      </c>
      <c r="AJ68" s="22">
        <f t="shared" si="38"/>
        <v>1</v>
      </c>
      <c r="AK68" s="22">
        <f t="shared" si="34"/>
        <v>1.5</v>
      </c>
    </row>
    <row r="69" spans="1:38" x14ac:dyDescent="0.25">
      <c r="A69">
        <v>2011</v>
      </c>
      <c r="B69" s="20" t="s">
        <v>46</v>
      </c>
      <c r="C69" s="12">
        <v>40759</v>
      </c>
      <c r="D69" s="3">
        <v>64</v>
      </c>
      <c r="E69" s="20" t="s">
        <v>49</v>
      </c>
      <c r="H69" s="26" t="s">
        <v>1</v>
      </c>
      <c r="I69" s="26" t="s">
        <v>1</v>
      </c>
      <c r="J69" s="1">
        <v>0</v>
      </c>
      <c r="K69" s="1">
        <v>0</v>
      </c>
      <c r="L69" s="1">
        <f t="shared" si="39"/>
        <v>0</v>
      </c>
      <c r="M69" s="1">
        <v>0</v>
      </c>
      <c r="N69" s="26" t="s">
        <v>1</v>
      </c>
      <c r="O69" s="26" t="s">
        <v>1</v>
      </c>
      <c r="P69" s="1">
        <v>0</v>
      </c>
      <c r="Q69" s="1">
        <v>0</v>
      </c>
      <c r="R69" s="1">
        <f t="shared" si="40"/>
        <v>0</v>
      </c>
      <c r="S69" s="1">
        <v>0</v>
      </c>
      <c r="T69" s="26" t="s">
        <v>1</v>
      </c>
      <c r="U69" s="26" t="s">
        <v>1</v>
      </c>
      <c r="V69" s="1">
        <v>1</v>
      </c>
      <c r="W69" s="1">
        <v>0</v>
      </c>
      <c r="X69" s="1">
        <f t="shared" si="41"/>
        <v>1</v>
      </c>
      <c r="Y69" s="1">
        <v>35</v>
      </c>
      <c r="Z69" s="26" t="s">
        <v>1</v>
      </c>
      <c r="AA69" s="26" t="s">
        <v>1</v>
      </c>
      <c r="AB69" s="1">
        <v>0</v>
      </c>
      <c r="AC69" s="1">
        <v>0</v>
      </c>
      <c r="AD69" s="1">
        <f t="shared" si="42"/>
        <v>0</v>
      </c>
      <c r="AE69" s="1">
        <v>0</v>
      </c>
      <c r="AF69" s="22">
        <f t="shared" si="45"/>
        <v>0</v>
      </c>
      <c r="AG69" s="22">
        <f t="shared" si="46"/>
        <v>0</v>
      </c>
      <c r="AH69" s="9">
        <f t="shared" si="31"/>
        <v>1</v>
      </c>
      <c r="AI69" s="9">
        <f t="shared" si="37"/>
        <v>0</v>
      </c>
      <c r="AJ69" s="22">
        <f t="shared" si="38"/>
        <v>1</v>
      </c>
      <c r="AK69" s="22">
        <f t="shared" si="34"/>
        <v>35</v>
      </c>
    </row>
    <row r="70" spans="1:38" x14ac:dyDescent="0.25">
      <c r="A70">
        <v>2011</v>
      </c>
      <c r="B70" s="20" t="s">
        <v>46</v>
      </c>
      <c r="C70" s="12">
        <v>40759</v>
      </c>
      <c r="D70" s="3">
        <v>64</v>
      </c>
      <c r="E70" s="20" t="s">
        <v>67</v>
      </c>
      <c r="H70" s="26" t="s">
        <v>1</v>
      </c>
      <c r="I70" s="26" t="s">
        <v>1</v>
      </c>
      <c r="J70" s="1">
        <v>0</v>
      </c>
      <c r="K70" s="1">
        <v>0</v>
      </c>
      <c r="L70" s="1">
        <f t="shared" si="39"/>
        <v>0</v>
      </c>
      <c r="M70" s="1">
        <v>0</v>
      </c>
      <c r="N70" s="26" t="s">
        <v>1</v>
      </c>
      <c r="O70" s="26" t="s">
        <v>1</v>
      </c>
      <c r="P70" s="1">
        <v>0</v>
      </c>
      <c r="Q70" s="1">
        <v>0</v>
      </c>
      <c r="R70" s="1">
        <f t="shared" si="40"/>
        <v>0</v>
      </c>
      <c r="S70" s="1">
        <v>0</v>
      </c>
      <c r="T70" s="26" t="s">
        <v>1</v>
      </c>
      <c r="U70" s="26" t="s">
        <v>1</v>
      </c>
      <c r="V70" s="1">
        <v>0</v>
      </c>
      <c r="W70" s="1">
        <v>0</v>
      </c>
      <c r="X70" s="1">
        <f t="shared" si="41"/>
        <v>0</v>
      </c>
      <c r="Y70" s="1">
        <v>0</v>
      </c>
      <c r="Z70" s="26" t="s">
        <v>1</v>
      </c>
      <c r="AA70" s="26" t="s">
        <v>1</v>
      </c>
      <c r="AB70" s="1">
        <v>3</v>
      </c>
      <c r="AC70" s="1">
        <v>0</v>
      </c>
      <c r="AD70" s="1">
        <f t="shared" si="42"/>
        <v>3</v>
      </c>
      <c r="AE70" s="1">
        <v>3.5</v>
      </c>
      <c r="AF70" s="22">
        <f t="shared" si="45"/>
        <v>0</v>
      </c>
      <c r="AG70" s="22">
        <f t="shared" si="46"/>
        <v>0</v>
      </c>
      <c r="AH70" s="9">
        <f t="shared" si="31"/>
        <v>3</v>
      </c>
      <c r="AI70" s="9">
        <f t="shared" si="37"/>
        <v>0</v>
      </c>
      <c r="AJ70" s="22">
        <f t="shared" si="38"/>
        <v>3</v>
      </c>
      <c r="AK70" s="22">
        <f t="shared" si="34"/>
        <v>3.5</v>
      </c>
    </row>
    <row r="71" spans="1:38" x14ac:dyDescent="0.25">
      <c r="A71">
        <v>2011</v>
      </c>
      <c r="B71" s="20" t="s">
        <v>46</v>
      </c>
      <c r="C71" s="12">
        <v>40759</v>
      </c>
      <c r="D71" s="3">
        <v>64</v>
      </c>
      <c r="E71" s="20" t="s">
        <v>48</v>
      </c>
      <c r="H71" s="26" t="s">
        <v>1</v>
      </c>
      <c r="I71" s="26" t="s">
        <v>1</v>
      </c>
      <c r="J71" s="1">
        <v>0</v>
      </c>
      <c r="K71" s="1">
        <v>0</v>
      </c>
      <c r="L71" s="1">
        <f t="shared" si="39"/>
        <v>0</v>
      </c>
      <c r="M71" s="1">
        <v>0</v>
      </c>
      <c r="N71" s="26" t="s">
        <v>1</v>
      </c>
      <c r="O71" s="26" t="s">
        <v>1</v>
      </c>
      <c r="P71" s="1">
        <v>0</v>
      </c>
      <c r="Q71" s="1">
        <v>0</v>
      </c>
      <c r="R71" s="1">
        <f t="shared" si="40"/>
        <v>0</v>
      </c>
      <c r="S71" s="1">
        <v>0</v>
      </c>
      <c r="T71" s="26" t="s">
        <v>1</v>
      </c>
      <c r="U71" s="26" t="s">
        <v>1</v>
      </c>
      <c r="V71" s="1">
        <v>0</v>
      </c>
      <c r="W71" s="1">
        <v>0</v>
      </c>
      <c r="X71" s="1">
        <f t="shared" si="41"/>
        <v>0</v>
      </c>
      <c r="Y71" s="1">
        <v>0</v>
      </c>
      <c r="Z71" s="26" t="s">
        <v>1</v>
      </c>
      <c r="AA71" s="26" t="s">
        <v>1</v>
      </c>
      <c r="AB71" s="1">
        <v>1</v>
      </c>
      <c r="AC71" s="1">
        <v>0</v>
      </c>
      <c r="AD71" s="1">
        <f t="shared" si="42"/>
        <v>1</v>
      </c>
      <c r="AE71" s="1">
        <v>1.5</v>
      </c>
      <c r="AF71" s="22">
        <f t="shared" si="45"/>
        <v>0</v>
      </c>
      <c r="AG71" s="22">
        <f t="shared" si="46"/>
        <v>0</v>
      </c>
      <c r="AH71" s="9">
        <f t="shared" si="31"/>
        <v>1</v>
      </c>
      <c r="AI71" s="9">
        <f t="shared" si="37"/>
        <v>0</v>
      </c>
      <c r="AJ71" s="22">
        <f t="shared" si="38"/>
        <v>1</v>
      </c>
      <c r="AK71" s="22">
        <f t="shared" si="34"/>
        <v>1.5</v>
      </c>
    </row>
    <row r="72" spans="1:38" s="32" customFormat="1" x14ac:dyDescent="0.25">
      <c r="A72" s="32">
        <v>2011</v>
      </c>
      <c r="B72" s="33" t="s">
        <v>46</v>
      </c>
      <c r="C72" s="34">
        <v>40739</v>
      </c>
      <c r="D72" s="35">
        <v>65</v>
      </c>
      <c r="E72" s="33" t="s">
        <v>47</v>
      </c>
      <c r="H72" s="37">
        <v>0</v>
      </c>
      <c r="I72" s="37">
        <v>5</v>
      </c>
      <c r="J72" s="37">
        <v>3</v>
      </c>
      <c r="K72" s="37">
        <v>0</v>
      </c>
      <c r="L72" s="37">
        <f t="shared" si="1"/>
        <v>8</v>
      </c>
      <c r="M72" s="37">
        <v>8</v>
      </c>
      <c r="N72" s="37">
        <v>0</v>
      </c>
      <c r="O72" s="37">
        <v>10</v>
      </c>
      <c r="P72" s="37">
        <v>2</v>
      </c>
      <c r="Q72" s="37">
        <v>0</v>
      </c>
      <c r="R72" s="37">
        <f t="shared" si="2"/>
        <v>12</v>
      </c>
      <c r="S72" s="37">
        <v>8</v>
      </c>
      <c r="T72" s="37">
        <v>0</v>
      </c>
      <c r="U72" s="37">
        <v>4</v>
      </c>
      <c r="V72" s="37">
        <v>11</v>
      </c>
      <c r="W72" s="37">
        <v>0</v>
      </c>
      <c r="X72" s="37">
        <f t="shared" si="3"/>
        <v>15</v>
      </c>
      <c r="Y72" s="37">
        <v>45</v>
      </c>
      <c r="Z72" s="37">
        <v>0</v>
      </c>
      <c r="AA72" s="37">
        <v>0</v>
      </c>
      <c r="AB72" s="37">
        <v>2</v>
      </c>
      <c r="AC72" s="37">
        <v>0</v>
      </c>
      <c r="AD72" s="37">
        <f t="shared" si="4"/>
        <v>2</v>
      </c>
      <c r="AE72" s="37">
        <v>3.5</v>
      </c>
      <c r="AF72" s="39">
        <f t="shared" ref="AF72:AF79" si="47">SUM(H72,N72,T72,Z72)</f>
        <v>0</v>
      </c>
      <c r="AG72" s="39">
        <f t="shared" ref="AG72:AI79" si="48">SUM(I72,O72,U72,AA72)</f>
        <v>19</v>
      </c>
      <c r="AH72" s="39">
        <f t="shared" si="0"/>
        <v>18</v>
      </c>
      <c r="AI72" s="39">
        <f t="shared" si="0"/>
        <v>0</v>
      </c>
      <c r="AJ72" s="39">
        <f t="shared" si="6"/>
        <v>37</v>
      </c>
      <c r="AK72" s="39">
        <f t="shared" si="7"/>
        <v>64.5</v>
      </c>
      <c r="AL72" s="40"/>
    </row>
    <row r="73" spans="1:38" x14ac:dyDescent="0.25">
      <c r="A73">
        <v>2011</v>
      </c>
      <c r="B73" s="20" t="s">
        <v>46</v>
      </c>
      <c r="C73" s="12">
        <v>40739</v>
      </c>
      <c r="D73" s="3">
        <v>65</v>
      </c>
      <c r="E73" s="20" t="s">
        <v>56</v>
      </c>
      <c r="H73" s="26" t="s">
        <v>1</v>
      </c>
      <c r="I73" s="26" t="s">
        <v>1</v>
      </c>
      <c r="J73" s="1">
        <v>1</v>
      </c>
      <c r="K73" s="1">
        <v>0</v>
      </c>
      <c r="L73" s="1">
        <f t="shared" si="1"/>
        <v>1</v>
      </c>
      <c r="M73" s="1">
        <v>3.5</v>
      </c>
      <c r="N73" s="26" t="s">
        <v>1</v>
      </c>
      <c r="O73" s="26" t="s">
        <v>1</v>
      </c>
      <c r="P73" s="1">
        <v>2</v>
      </c>
      <c r="Q73" s="1">
        <v>1</v>
      </c>
      <c r="R73" s="1">
        <f t="shared" si="2"/>
        <v>3</v>
      </c>
      <c r="S73" s="1">
        <v>8</v>
      </c>
      <c r="T73" s="26" t="s">
        <v>1</v>
      </c>
      <c r="U73" s="26" t="s">
        <v>1</v>
      </c>
      <c r="V73" s="1">
        <v>2</v>
      </c>
      <c r="W73" s="1">
        <v>0</v>
      </c>
      <c r="X73" s="1">
        <f t="shared" si="3"/>
        <v>2</v>
      </c>
      <c r="Y73" s="1">
        <v>3.5</v>
      </c>
      <c r="Z73" s="26" t="s">
        <v>1</v>
      </c>
      <c r="AA73" s="26" t="s">
        <v>1</v>
      </c>
      <c r="AB73" s="1">
        <v>0</v>
      </c>
      <c r="AC73" s="1">
        <v>0</v>
      </c>
      <c r="AD73" s="1">
        <f t="shared" si="4"/>
        <v>0</v>
      </c>
      <c r="AE73" s="1">
        <v>0</v>
      </c>
      <c r="AF73" s="22">
        <f t="shared" si="47"/>
        <v>0</v>
      </c>
      <c r="AG73" s="22">
        <f t="shared" si="48"/>
        <v>0</v>
      </c>
      <c r="AH73" s="22">
        <f t="shared" si="0"/>
        <v>5</v>
      </c>
      <c r="AI73" s="22">
        <f t="shared" si="0"/>
        <v>1</v>
      </c>
      <c r="AJ73" s="22">
        <f t="shared" si="6"/>
        <v>6</v>
      </c>
      <c r="AK73" s="22">
        <f t="shared" si="7"/>
        <v>15</v>
      </c>
      <c r="AL73" s="27" t="s">
        <v>80</v>
      </c>
    </row>
    <row r="74" spans="1:38" x14ac:dyDescent="0.25">
      <c r="A74">
        <v>2011</v>
      </c>
      <c r="B74" s="20" t="s">
        <v>46</v>
      </c>
      <c r="C74" s="12">
        <v>40739</v>
      </c>
      <c r="D74" s="3">
        <v>65</v>
      </c>
      <c r="E74" s="20" t="s">
        <v>51</v>
      </c>
      <c r="H74" s="26" t="s">
        <v>1</v>
      </c>
      <c r="I74" s="26" t="s">
        <v>1</v>
      </c>
      <c r="J74" s="1">
        <v>1</v>
      </c>
      <c r="K74" s="1">
        <v>2</v>
      </c>
      <c r="L74" s="1">
        <f t="shared" si="1"/>
        <v>3</v>
      </c>
      <c r="M74" s="1">
        <v>65</v>
      </c>
      <c r="N74" s="26" t="s">
        <v>1</v>
      </c>
      <c r="O74" s="26" t="s">
        <v>1</v>
      </c>
      <c r="P74" s="1">
        <v>2</v>
      </c>
      <c r="Q74" s="1">
        <v>1</v>
      </c>
      <c r="R74" s="1">
        <f t="shared" si="2"/>
        <v>3</v>
      </c>
      <c r="S74" s="1">
        <v>3.5</v>
      </c>
      <c r="T74" s="26" t="s">
        <v>1</v>
      </c>
      <c r="U74" s="26" t="s">
        <v>1</v>
      </c>
      <c r="V74" s="1">
        <v>0</v>
      </c>
      <c r="W74" s="1">
        <v>0</v>
      </c>
      <c r="X74" s="1">
        <f t="shared" si="3"/>
        <v>0</v>
      </c>
      <c r="Y74" s="1">
        <v>0</v>
      </c>
      <c r="Z74" s="26" t="s">
        <v>1</v>
      </c>
      <c r="AA74" s="26" t="s">
        <v>1</v>
      </c>
      <c r="AB74" s="1">
        <v>0</v>
      </c>
      <c r="AC74" s="1">
        <v>0</v>
      </c>
      <c r="AD74" s="1">
        <f t="shared" si="4"/>
        <v>0</v>
      </c>
      <c r="AE74" s="1">
        <v>0</v>
      </c>
      <c r="AF74" s="22">
        <f t="shared" si="47"/>
        <v>0</v>
      </c>
      <c r="AG74" s="22">
        <f t="shared" si="48"/>
        <v>0</v>
      </c>
      <c r="AH74" s="22">
        <f t="shared" si="0"/>
        <v>3</v>
      </c>
      <c r="AI74" s="22">
        <f t="shared" si="0"/>
        <v>3</v>
      </c>
      <c r="AJ74" s="22">
        <f t="shared" si="6"/>
        <v>6</v>
      </c>
      <c r="AK74" s="22">
        <f t="shared" si="7"/>
        <v>68.5</v>
      </c>
      <c r="AL74" s="27" t="s">
        <v>81</v>
      </c>
    </row>
    <row r="75" spans="1:38" x14ac:dyDescent="0.25">
      <c r="A75">
        <v>2011</v>
      </c>
      <c r="B75" s="20" t="s">
        <v>46</v>
      </c>
      <c r="C75" s="12">
        <v>40739</v>
      </c>
      <c r="D75" s="3">
        <v>65</v>
      </c>
      <c r="E75" s="20" t="s">
        <v>57</v>
      </c>
      <c r="H75" s="26" t="s">
        <v>1</v>
      </c>
      <c r="I75" s="26" t="s">
        <v>1</v>
      </c>
      <c r="J75" s="1">
        <v>0</v>
      </c>
      <c r="K75" s="1">
        <v>0</v>
      </c>
      <c r="L75" s="1">
        <f t="shared" si="1"/>
        <v>0</v>
      </c>
      <c r="M75" s="1">
        <v>0</v>
      </c>
      <c r="N75" s="26" t="s">
        <v>1</v>
      </c>
      <c r="O75" s="26" t="s">
        <v>1</v>
      </c>
      <c r="P75" s="1">
        <v>5</v>
      </c>
      <c r="Q75" s="1">
        <v>0</v>
      </c>
      <c r="R75" s="1">
        <f t="shared" si="2"/>
        <v>5</v>
      </c>
      <c r="S75" s="1">
        <v>3.5</v>
      </c>
      <c r="T75" s="26" t="s">
        <v>1</v>
      </c>
      <c r="U75" s="26" t="s">
        <v>1</v>
      </c>
      <c r="V75" s="1">
        <v>0</v>
      </c>
      <c r="W75" s="1">
        <v>0</v>
      </c>
      <c r="X75" s="1">
        <f t="shared" si="3"/>
        <v>0</v>
      </c>
      <c r="Y75" s="1">
        <v>0</v>
      </c>
      <c r="Z75" s="26" t="s">
        <v>1</v>
      </c>
      <c r="AA75" s="26" t="s">
        <v>1</v>
      </c>
      <c r="AB75" s="1">
        <v>0</v>
      </c>
      <c r="AC75" s="1">
        <v>0</v>
      </c>
      <c r="AD75" s="1">
        <f t="shared" si="4"/>
        <v>0</v>
      </c>
      <c r="AE75" s="1">
        <v>0</v>
      </c>
      <c r="AF75" s="22">
        <f t="shared" si="47"/>
        <v>0</v>
      </c>
      <c r="AG75" s="22">
        <f t="shared" si="48"/>
        <v>0</v>
      </c>
      <c r="AH75" s="22">
        <f t="shared" si="48"/>
        <v>5</v>
      </c>
      <c r="AI75" s="22">
        <f t="shared" si="48"/>
        <v>0</v>
      </c>
      <c r="AJ75" s="22">
        <f t="shared" si="6"/>
        <v>5</v>
      </c>
      <c r="AK75" s="22">
        <f t="shared" si="7"/>
        <v>3.5</v>
      </c>
    </row>
    <row r="76" spans="1:38" x14ac:dyDescent="0.25">
      <c r="A76">
        <v>2011</v>
      </c>
      <c r="B76" s="20" t="s">
        <v>46</v>
      </c>
      <c r="C76" s="12">
        <v>40739</v>
      </c>
      <c r="D76" s="3">
        <v>65</v>
      </c>
      <c r="E76" s="20" t="s">
        <v>82</v>
      </c>
      <c r="H76" s="26" t="s">
        <v>1</v>
      </c>
      <c r="I76" s="26" t="s">
        <v>1</v>
      </c>
      <c r="J76" s="1">
        <v>0</v>
      </c>
      <c r="K76" s="1">
        <v>0</v>
      </c>
      <c r="L76" s="1">
        <f t="shared" si="1"/>
        <v>0</v>
      </c>
      <c r="M76" s="1">
        <v>0</v>
      </c>
      <c r="N76" s="26" t="s">
        <v>1</v>
      </c>
      <c r="O76" s="26" t="s">
        <v>1</v>
      </c>
      <c r="P76" s="1">
        <v>1</v>
      </c>
      <c r="Q76" s="1">
        <v>0</v>
      </c>
      <c r="R76" s="1">
        <f t="shared" si="2"/>
        <v>1</v>
      </c>
      <c r="S76" s="1">
        <v>1.5</v>
      </c>
      <c r="T76" s="26" t="s">
        <v>1</v>
      </c>
      <c r="U76" s="26" t="s">
        <v>1</v>
      </c>
      <c r="V76" s="1">
        <v>0</v>
      </c>
      <c r="W76" s="1">
        <v>0</v>
      </c>
      <c r="X76" s="1">
        <f t="shared" si="3"/>
        <v>0</v>
      </c>
      <c r="Y76" s="1">
        <v>0</v>
      </c>
      <c r="Z76" s="26" t="s">
        <v>1</v>
      </c>
      <c r="AA76" s="26" t="s">
        <v>1</v>
      </c>
      <c r="AB76" s="1">
        <v>0</v>
      </c>
      <c r="AC76" s="1">
        <v>0</v>
      </c>
      <c r="AD76" s="1">
        <f t="shared" si="4"/>
        <v>0</v>
      </c>
      <c r="AE76" s="1">
        <v>0</v>
      </c>
      <c r="AF76" s="22">
        <f t="shared" si="47"/>
        <v>0</v>
      </c>
      <c r="AG76" s="22">
        <f t="shared" si="48"/>
        <v>0</v>
      </c>
      <c r="AH76" s="22">
        <f t="shared" si="48"/>
        <v>1</v>
      </c>
      <c r="AI76" s="22">
        <f t="shared" si="48"/>
        <v>0</v>
      </c>
      <c r="AJ76" s="22">
        <f t="shared" si="6"/>
        <v>1</v>
      </c>
      <c r="AK76" s="22">
        <f t="shared" si="7"/>
        <v>1.5</v>
      </c>
    </row>
    <row r="77" spans="1:38" x14ac:dyDescent="0.25">
      <c r="A77">
        <v>2011</v>
      </c>
      <c r="B77" s="20" t="s">
        <v>46</v>
      </c>
      <c r="C77" s="12">
        <v>40739</v>
      </c>
      <c r="D77" s="3">
        <v>65</v>
      </c>
      <c r="E77" s="20" t="s">
        <v>83</v>
      </c>
      <c r="H77" s="26" t="s">
        <v>1</v>
      </c>
      <c r="I77" s="26" t="s">
        <v>1</v>
      </c>
      <c r="J77" s="1">
        <v>0</v>
      </c>
      <c r="K77" s="1">
        <v>0</v>
      </c>
      <c r="L77" s="1">
        <f t="shared" si="1"/>
        <v>0</v>
      </c>
      <c r="M77" s="1">
        <v>0</v>
      </c>
      <c r="N77" s="26" t="s">
        <v>1</v>
      </c>
      <c r="O77" s="26" t="s">
        <v>1</v>
      </c>
      <c r="P77" s="1">
        <v>0</v>
      </c>
      <c r="Q77" s="1">
        <v>0</v>
      </c>
      <c r="R77" s="1">
        <f t="shared" si="2"/>
        <v>0</v>
      </c>
      <c r="S77" s="1">
        <v>0</v>
      </c>
      <c r="T77" s="26" t="s">
        <v>1</v>
      </c>
      <c r="U77" s="26" t="s">
        <v>1</v>
      </c>
      <c r="V77" s="1">
        <v>14</v>
      </c>
      <c r="W77" s="1">
        <v>0</v>
      </c>
      <c r="X77" s="1">
        <f t="shared" si="3"/>
        <v>14</v>
      </c>
      <c r="Y77" s="1">
        <v>35</v>
      </c>
      <c r="Z77" s="26" t="s">
        <v>1</v>
      </c>
      <c r="AA77" s="26" t="s">
        <v>1</v>
      </c>
      <c r="AB77" s="1">
        <v>0</v>
      </c>
      <c r="AC77" s="1">
        <v>0</v>
      </c>
      <c r="AD77" s="1">
        <f t="shared" si="4"/>
        <v>0</v>
      </c>
      <c r="AE77" s="1">
        <v>0</v>
      </c>
      <c r="AF77" s="22">
        <f t="shared" si="47"/>
        <v>0</v>
      </c>
      <c r="AG77" s="22">
        <f t="shared" si="48"/>
        <v>0</v>
      </c>
      <c r="AH77" s="22">
        <f t="shared" si="48"/>
        <v>14</v>
      </c>
      <c r="AI77" s="22">
        <f t="shared" si="48"/>
        <v>0</v>
      </c>
      <c r="AJ77" s="22">
        <f t="shared" si="6"/>
        <v>14</v>
      </c>
      <c r="AK77" s="22">
        <f t="shared" si="7"/>
        <v>35</v>
      </c>
    </row>
    <row r="78" spans="1:38" x14ac:dyDescent="0.25">
      <c r="A78">
        <v>2011</v>
      </c>
      <c r="B78" s="20" t="s">
        <v>46</v>
      </c>
      <c r="C78" s="12">
        <v>40739</v>
      </c>
      <c r="D78" s="3">
        <v>65</v>
      </c>
      <c r="E78" s="20" t="s">
        <v>69</v>
      </c>
      <c r="H78" s="26" t="s">
        <v>1</v>
      </c>
      <c r="I78" s="26" t="s">
        <v>1</v>
      </c>
      <c r="J78" s="1">
        <v>0</v>
      </c>
      <c r="K78" s="1">
        <v>0</v>
      </c>
      <c r="L78" s="1">
        <f t="shared" si="1"/>
        <v>0</v>
      </c>
      <c r="M78" s="1">
        <v>0</v>
      </c>
      <c r="N78" s="26" t="s">
        <v>1</v>
      </c>
      <c r="O78" s="26" t="s">
        <v>1</v>
      </c>
      <c r="P78" s="1">
        <v>0</v>
      </c>
      <c r="Q78" s="1">
        <v>0</v>
      </c>
      <c r="R78" s="1">
        <f t="shared" si="2"/>
        <v>0</v>
      </c>
      <c r="S78" s="1">
        <v>0</v>
      </c>
      <c r="T78" s="26" t="s">
        <v>1</v>
      </c>
      <c r="U78" s="26" t="s">
        <v>1</v>
      </c>
      <c r="V78" s="1">
        <v>0</v>
      </c>
      <c r="W78" s="1">
        <v>1</v>
      </c>
      <c r="X78" s="1">
        <f t="shared" si="3"/>
        <v>1</v>
      </c>
      <c r="Y78" s="1">
        <v>3.5</v>
      </c>
      <c r="Z78" s="26" t="s">
        <v>1</v>
      </c>
      <c r="AA78" s="26" t="s">
        <v>1</v>
      </c>
      <c r="AB78" s="1">
        <v>0</v>
      </c>
      <c r="AC78" s="1">
        <v>0</v>
      </c>
      <c r="AD78" s="1">
        <f t="shared" si="4"/>
        <v>0</v>
      </c>
      <c r="AE78" s="1">
        <v>0</v>
      </c>
      <c r="AF78" s="22">
        <f t="shared" si="47"/>
        <v>0</v>
      </c>
      <c r="AG78" s="22">
        <f t="shared" si="48"/>
        <v>0</v>
      </c>
      <c r="AH78" s="22">
        <f t="shared" si="48"/>
        <v>0</v>
      </c>
      <c r="AI78" s="22">
        <f t="shared" si="48"/>
        <v>1</v>
      </c>
      <c r="AJ78" s="22">
        <f t="shared" si="6"/>
        <v>1</v>
      </c>
      <c r="AK78" s="22">
        <f t="shared" si="7"/>
        <v>3.5</v>
      </c>
      <c r="AL78" s="27" t="s">
        <v>84</v>
      </c>
    </row>
    <row r="79" spans="1:38" x14ac:dyDescent="0.25">
      <c r="A79">
        <v>2011</v>
      </c>
      <c r="B79" s="20" t="s">
        <v>46</v>
      </c>
      <c r="C79" s="12">
        <v>40739</v>
      </c>
      <c r="D79" s="3">
        <v>65</v>
      </c>
      <c r="E79" s="20" t="s">
        <v>65</v>
      </c>
      <c r="H79" s="26" t="s">
        <v>1</v>
      </c>
      <c r="I79" s="26" t="s">
        <v>1</v>
      </c>
      <c r="J79" s="1">
        <v>0</v>
      </c>
      <c r="K79" s="1">
        <v>0</v>
      </c>
      <c r="L79" s="1">
        <f t="shared" si="1"/>
        <v>0</v>
      </c>
      <c r="M79" s="1">
        <v>0</v>
      </c>
      <c r="N79" s="26" t="s">
        <v>1</v>
      </c>
      <c r="O79" s="26" t="s">
        <v>1</v>
      </c>
      <c r="P79" s="1">
        <v>0</v>
      </c>
      <c r="Q79" s="1">
        <v>0</v>
      </c>
      <c r="R79" s="1">
        <f t="shared" si="2"/>
        <v>0</v>
      </c>
      <c r="S79" s="1">
        <v>0</v>
      </c>
      <c r="T79" s="26" t="s">
        <v>1</v>
      </c>
      <c r="U79" s="26" t="s">
        <v>1</v>
      </c>
      <c r="V79" s="1">
        <v>1</v>
      </c>
      <c r="W79" s="1">
        <v>0</v>
      </c>
      <c r="X79" s="1">
        <f t="shared" si="3"/>
        <v>1</v>
      </c>
      <c r="Y79" s="1">
        <v>3.5</v>
      </c>
      <c r="Z79" s="26" t="s">
        <v>1</v>
      </c>
      <c r="AA79" s="26" t="s">
        <v>1</v>
      </c>
      <c r="AB79" s="1">
        <v>0</v>
      </c>
      <c r="AC79" s="1">
        <v>0</v>
      </c>
      <c r="AD79" s="1">
        <f t="shared" si="4"/>
        <v>0</v>
      </c>
      <c r="AE79" s="1">
        <v>0</v>
      </c>
      <c r="AF79" s="22">
        <f t="shared" si="47"/>
        <v>0</v>
      </c>
      <c r="AG79" s="22">
        <f t="shared" si="48"/>
        <v>0</v>
      </c>
      <c r="AH79" s="22">
        <f t="shared" si="48"/>
        <v>1</v>
      </c>
      <c r="AI79" s="22">
        <f t="shared" si="48"/>
        <v>0</v>
      </c>
      <c r="AJ79" s="22">
        <f t="shared" si="6"/>
        <v>1</v>
      </c>
      <c r="AK79" s="22">
        <f t="shared" si="7"/>
        <v>3.5</v>
      </c>
    </row>
    <row r="80" spans="1:38" s="32" customFormat="1" x14ac:dyDescent="0.25">
      <c r="A80" s="32">
        <v>2011</v>
      </c>
      <c r="B80" s="33" t="s">
        <v>46</v>
      </c>
      <c r="C80" s="34">
        <v>40739</v>
      </c>
      <c r="D80" s="35">
        <v>66</v>
      </c>
      <c r="E80" s="33" t="s">
        <v>47</v>
      </c>
      <c r="H80" s="37">
        <v>0</v>
      </c>
      <c r="I80" s="37">
        <v>0</v>
      </c>
      <c r="J80" s="37">
        <v>4</v>
      </c>
      <c r="K80" s="37">
        <v>0</v>
      </c>
      <c r="L80" s="37">
        <f t="shared" si="1"/>
        <v>4</v>
      </c>
      <c r="M80" s="37">
        <v>15</v>
      </c>
      <c r="N80" s="37">
        <v>0</v>
      </c>
      <c r="O80" s="37">
        <v>0</v>
      </c>
      <c r="P80" s="37">
        <v>0</v>
      </c>
      <c r="Q80" s="37">
        <v>0</v>
      </c>
      <c r="R80" s="37">
        <f t="shared" si="2"/>
        <v>0</v>
      </c>
      <c r="S80" s="37">
        <v>0</v>
      </c>
      <c r="T80" s="37">
        <v>0</v>
      </c>
      <c r="U80" s="37">
        <v>6</v>
      </c>
      <c r="V80" s="37">
        <v>2</v>
      </c>
      <c r="W80" s="37">
        <v>0</v>
      </c>
      <c r="X80" s="37">
        <f t="shared" si="3"/>
        <v>8</v>
      </c>
      <c r="Y80" s="37">
        <v>3.5</v>
      </c>
      <c r="Z80" s="37">
        <v>0</v>
      </c>
      <c r="AA80" s="37">
        <v>0</v>
      </c>
      <c r="AB80" s="37">
        <v>0</v>
      </c>
      <c r="AC80" s="37">
        <v>0</v>
      </c>
      <c r="AD80" s="37">
        <f t="shared" si="4"/>
        <v>0</v>
      </c>
      <c r="AE80" s="37">
        <v>0</v>
      </c>
      <c r="AF80" s="39">
        <f t="shared" ref="AF80:AF87" si="49">SUM(H80,N80,T80,Z80)</f>
        <v>0</v>
      </c>
      <c r="AG80" s="39">
        <f t="shared" ref="AG80:AG87" si="50">SUM(I80,O80,U80,AA80)</f>
        <v>6</v>
      </c>
      <c r="AH80" s="39">
        <f t="shared" ref="AH80:AH87" si="51">SUM(J80,P80,V80,AB80)</f>
        <v>6</v>
      </c>
      <c r="AI80" s="39">
        <f t="shared" ref="AI80:AI87" si="52">SUM(K80,Q80,W80,AC80)</f>
        <v>0</v>
      </c>
      <c r="AJ80" s="39">
        <f t="shared" ref="AJ80:AJ87" si="53">SUM(AF80:AI80)</f>
        <v>12</v>
      </c>
      <c r="AK80" s="39">
        <f t="shared" ref="AK80:AK87" si="54">M80+S80+Y80+AE80</f>
        <v>18.5</v>
      </c>
      <c r="AL80" s="40" t="s">
        <v>85</v>
      </c>
    </row>
    <row r="81" spans="1:38" x14ac:dyDescent="0.25">
      <c r="A81">
        <v>2011</v>
      </c>
      <c r="B81" s="20" t="s">
        <v>46</v>
      </c>
      <c r="C81" s="12">
        <v>40739</v>
      </c>
      <c r="D81" s="3">
        <v>66</v>
      </c>
      <c r="E81" s="20" t="s">
        <v>69</v>
      </c>
      <c r="H81" s="26" t="s">
        <v>1</v>
      </c>
      <c r="I81" s="26" t="s">
        <v>1</v>
      </c>
      <c r="J81" s="1">
        <v>1</v>
      </c>
      <c r="K81" s="1">
        <v>0</v>
      </c>
      <c r="L81" s="1">
        <f t="shared" si="1"/>
        <v>1</v>
      </c>
      <c r="M81" s="1">
        <v>1.5</v>
      </c>
      <c r="N81" s="26" t="s">
        <v>1</v>
      </c>
      <c r="O81" s="26" t="s">
        <v>1</v>
      </c>
      <c r="P81" s="1">
        <v>0</v>
      </c>
      <c r="Q81" s="1">
        <v>0</v>
      </c>
      <c r="R81" s="1">
        <f t="shared" si="2"/>
        <v>0</v>
      </c>
      <c r="S81" s="1">
        <v>0</v>
      </c>
      <c r="T81" s="26" t="s">
        <v>1</v>
      </c>
      <c r="U81" s="26" t="s">
        <v>1</v>
      </c>
      <c r="V81" s="1">
        <v>0</v>
      </c>
      <c r="W81" s="1">
        <v>0</v>
      </c>
      <c r="X81" s="1">
        <f t="shared" si="3"/>
        <v>0</v>
      </c>
      <c r="Y81" s="1">
        <v>0</v>
      </c>
      <c r="Z81" s="26" t="s">
        <v>1</v>
      </c>
      <c r="AA81" s="26" t="s">
        <v>1</v>
      </c>
      <c r="AB81" s="1">
        <v>0</v>
      </c>
      <c r="AC81" s="1">
        <v>0</v>
      </c>
      <c r="AD81" s="1">
        <f t="shared" si="4"/>
        <v>0</v>
      </c>
      <c r="AE81" s="1">
        <v>0</v>
      </c>
      <c r="AF81" s="22">
        <f t="shared" si="49"/>
        <v>0</v>
      </c>
      <c r="AG81" s="22">
        <f t="shared" si="50"/>
        <v>0</v>
      </c>
      <c r="AH81" s="22">
        <f t="shared" si="51"/>
        <v>1</v>
      </c>
      <c r="AI81" s="22">
        <f t="shared" si="52"/>
        <v>0</v>
      </c>
      <c r="AJ81" s="22">
        <f t="shared" si="53"/>
        <v>1</v>
      </c>
      <c r="AK81" s="22">
        <f t="shared" si="54"/>
        <v>1.5</v>
      </c>
    </row>
    <row r="82" spans="1:38" x14ac:dyDescent="0.25">
      <c r="A82">
        <v>2011</v>
      </c>
      <c r="B82" s="20" t="s">
        <v>46</v>
      </c>
      <c r="C82" s="12">
        <v>40739</v>
      </c>
      <c r="D82" s="3">
        <v>66</v>
      </c>
      <c r="E82" s="20" t="s">
        <v>57</v>
      </c>
      <c r="H82" s="26" t="s">
        <v>1</v>
      </c>
      <c r="I82" s="26" t="s">
        <v>1</v>
      </c>
      <c r="J82" s="1">
        <v>1</v>
      </c>
      <c r="K82" s="1">
        <v>0</v>
      </c>
      <c r="L82" s="1">
        <f t="shared" si="1"/>
        <v>1</v>
      </c>
      <c r="M82" s="1">
        <v>0.5</v>
      </c>
      <c r="N82" s="26" t="s">
        <v>1</v>
      </c>
      <c r="O82" s="26" t="s">
        <v>1</v>
      </c>
      <c r="P82" s="1">
        <v>0</v>
      </c>
      <c r="Q82" s="1">
        <v>0</v>
      </c>
      <c r="R82" s="1">
        <f t="shared" si="2"/>
        <v>0</v>
      </c>
      <c r="S82" s="1">
        <v>0</v>
      </c>
      <c r="T82" s="26" t="s">
        <v>1</v>
      </c>
      <c r="U82" s="26" t="s">
        <v>1</v>
      </c>
      <c r="V82" s="1">
        <v>0</v>
      </c>
      <c r="W82" s="1">
        <v>0</v>
      </c>
      <c r="X82" s="1">
        <f t="shared" si="3"/>
        <v>0</v>
      </c>
      <c r="Y82" s="1">
        <v>0</v>
      </c>
      <c r="Z82" s="26" t="s">
        <v>1</v>
      </c>
      <c r="AA82" s="26" t="s">
        <v>1</v>
      </c>
      <c r="AB82" s="1">
        <v>0</v>
      </c>
      <c r="AC82" s="1">
        <v>0</v>
      </c>
      <c r="AD82" s="1">
        <f t="shared" si="4"/>
        <v>0</v>
      </c>
      <c r="AE82" s="1">
        <v>0</v>
      </c>
      <c r="AF82" s="22">
        <f t="shared" si="49"/>
        <v>0</v>
      </c>
      <c r="AG82" s="22">
        <f t="shared" si="50"/>
        <v>0</v>
      </c>
      <c r="AH82" s="22">
        <f t="shared" si="51"/>
        <v>1</v>
      </c>
      <c r="AI82" s="22">
        <f t="shared" si="52"/>
        <v>0</v>
      </c>
      <c r="AJ82" s="22">
        <f t="shared" si="53"/>
        <v>1</v>
      </c>
      <c r="AK82" s="22">
        <f t="shared" si="54"/>
        <v>0.5</v>
      </c>
    </row>
    <row r="83" spans="1:38" x14ac:dyDescent="0.25">
      <c r="A83">
        <v>2011</v>
      </c>
      <c r="B83" s="20" t="s">
        <v>46</v>
      </c>
      <c r="C83" s="12">
        <v>40739</v>
      </c>
      <c r="D83" s="3">
        <v>66</v>
      </c>
      <c r="E83" s="20" t="s">
        <v>64</v>
      </c>
      <c r="H83" s="26" t="s">
        <v>1</v>
      </c>
      <c r="I83" s="26" t="s">
        <v>1</v>
      </c>
      <c r="J83" s="1">
        <v>1</v>
      </c>
      <c r="K83" s="1">
        <v>1</v>
      </c>
      <c r="L83" s="1">
        <f t="shared" si="1"/>
        <v>2</v>
      </c>
      <c r="M83" s="1">
        <v>8</v>
      </c>
      <c r="N83" s="26" t="s">
        <v>1</v>
      </c>
      <c r="O83" s="26" t="s">
        <v>1</v>
      </c>
      <c r="P83" s="1">
        <v>1</v>
      </c>
      <c r="Q83" s="1">
        <v>0</v>
      </c>
      <c r="R83" s="1">
        <f t="shared" si="2"/>
        <v>1</v>
      </c>
      <c r="S83" s="1">
        <v>3.5</v>
      </c>
      <c r="T83" s="26" t="s">
        <v>1</v>
      </c>
      <c r="U83" s="26" t="s">
        <v>1</v>
      </c>
      <c r="V83" s="1">
        <v>0</v>
      </c>
      <c r="W83" s="1">
        <v>0</v>
      </c>
      <c r="X83" s="1">
        <f t="shared" si="3"/>
        <v>0</v>
      </c>
      <c r="Y83" s="1">
        <v>0</v>
      </c>
      <c r="Z83" s="26" t="s">
        <v>1</v>
      </c>
      <c r="AA83" s="26" t="s">
        <v>1</v>
      </c>
      <c r="AB83" s="1">
        <v>0</v>
      </c>
      <c r="AC83" s="1">
        <v>0</v>
      </c>
      <c r="AD83" s="1">
        <f t="shared" si="4"/>
        <v>0</v>
      </c>
      <c r="AE83" s="1">
        <v>0</v>
      </c>
      <c r="AF83" s="22">
        <f t="shared" si="49"/>
        <v>0</v>
      </c>
      <c r="AG83" s="22">
        <f t="shared" si="50"/>
        <v>0</v>
      </c>
      <c r="AH83" s="22">
        <f t="shared" si="51"/>
        <v>2</v>
      </c>
      <c r="AI83" s="22">
        <f t="shared" si="52"/>
        <v>1</v>
      </c>
      <c r="AJ83" s="22">
        <f t="shared" si="53"/>
        <v>3</v>
      </c>
      <c r="AK83" s="22">
        <f t="shared" si="54"/>
        <v>11.5</v>
      </c>
      <c r="AL83" s="27" t="s">
        <v>86</v>
      </c>
    </row>
    <row r="84" spans="1:38" x14ac:dyDescent="0.25">
      <c r="A84">
        <v>2011</v>
      </c>
      <c r="B84" s="20" t="s">
        <v>46</v>
      </c>
      <c r="C84" s="12">
        <v>40739</v>
      </c>
      <c r="D84" s="3">
        <v>66</v>
      </c>
      <c r="E84" s="20" t="s">
        <v>74</v>
      </c>
      <c r="H84" s="26" t="s">
        <v>1</v>
      </c>
      <c r="I84" s="26" t="s">
        <v>1</v>
      </c>
      <c r="J84" s="1">
        <v>2</v>
      </c>
      <c r="K84" s="1">
        <v>0</v>
      </c>
      <c r="L84" s="1">
        <f t="shared" si="1"/>
        <v>2</v>
      </c>
      <c r="M84" s="1">
        <v>1.5</v>
      </c>
      <c r="N84" s="26" t="s">
        <v>1</v>
      </c>
      <c r="O84" s="26" t="s">
        <v>1</v>
      </c>
      <c r="P84" s="1">
        <v>0</v>
      </c>
      <c r="Q84" s="1">
        <v>1</v>
      </c>
      <c r="R84" s="1">
        <f t="shared" si="2"/>
        <v>1</v>
      </c>
      <c r="S84" s="1">
        <v>3.5</v>
      </c>
      <c r="T84" s="26" t="s">
        <v>1</v>
      </c>
      <c r="U84" s="26" t="s">
        <v>1</v>
      </c>
      <c r="V84" s="1">
        <v>0</v>
      </c>
      <c r="W84" s="1">
        <v>0</v>
      </c>
      <c r="X84" s="1">
        <f t="shared" si="3"/>
        <v>0</v>
      </c>
      <c r="Y84" s="1">
        <v>0</v>
      </c>
      <c r="Z84" s="26" t="s">
        <v>1</v>
      </c>
      <c r="AA84" s="26" t="s">
        <v>1</v>
      </c>
      <c r="AB84" s="1">
        <v>0</v>
      </c>
      <c r="AC84" s="1">
        <v>0</v>
      </c>
      <c r="AD84" s="1">
        <f t="shared" si="4"/>
        <v>0</v>
      </c>
      <c r="AE84" s="1">
        <v>0</v>
      </c>
      <c r="AF84" s="22">
        <f t="shared" si="49"/>
        <v>0</v>
      </c>
      <c r="AG84" s="22">
        <f t="shared" si="50"/>
        <v>0</v>
      </c>
      <c r="AH84" s="22">
        <f t="shared" si="51"/>
        <v>2</v>
      </c>
      <c r="AI84" s="22">
        <f t="shared" si="52"/>
        <v>1</v>
      </c>
      <c r="AJ84" s="22">
        <f t="shared" si="53"/>
        <v>3</v>
      </c>
      <c r="AK84" s="22">
        <f t="shared" si="54"/>
        <v>5</v>
      </c>
    </row>
    <row r="85" spans="1:38" x14ac:dyDescent="0.25">
      <c r="A85">
        <v>2011</v>
      </c>
      <c r="B85" s="20" t="s">
        <v>46</v>
      </c>
      <c r="C85" s="12">
        <v>40739</v>
      </c>
      <c r="D85" s="3">
        <v>66</v>
      </c>
      <c r="E85" s="20" t="s">
        <v>55</v>
      </c>
      <c r="H85" s="1">
        <v>0</v>
      </c>
      <c r="I85" s="1">
        <v>1</v>
      </c>
      <c r="J85" s="1">
        <v>0</v>
      </c>
      <c r="K85" s="1">
        <v>0</v>
      </c>
      <c r="L85" s="1">
        <f t="shared" si="1"/>
        <v>1</v>
      </c>
      <c r="M85" s="1">
        <v>0.5</v>
      </c>
      <c r="N85" s="1">
        <v>0</v>
      </c>
      <c r="O85" s="1">
        <v>0</v>
      </c>
      <c r="P85" s="1">
        <v>0</v>
      </c>
      <c r="Q85" s="1">
        <v>0</v>
      </c>
      <c r="R85" s="1">
        <f t="shared" si="2"/>
        <v>0</v>
      </c>
      <c r="S85" s="1">
        <v>0</v>
      </c>
      <c r="T85" s="1">
        <v>0</v>
      </c>
      <c r="U85" s="1">
        <v>1</v>
      </c>
      <c r="V85" s="1">
        <v>3</v>
      </c>
      <c r="W85" s="1">
        <v>0</v>
      </c>
      <c r="X85" s="1">
        <f t="shared" si="3"/>
        <v>4</v>
      </c>
      <c r="Y85" s="1">
        <v>3.5</v>
      </c>
      <c r="Z85" s="1">
        <v>0</v>
      </c>
      <c r="AA85" s="1">
        <v>0</v>
      </c>
      <c r="AB85" s="1">
        <v>0</v>
      </c>
      <c r="AC85" s="1">
        <v>0</v>
      </c>
      <c r="AD85" s="1">
        <f t="shared" si="4"/>
        <v>0</v>
      </c>
      <c r="AE85" s="1">
        <v>0</v>
      </c>
      <c r="AF85" s="22">
        <f t="shared" si="49"/>
        <v>0</v>
      </c>
      <c r="AG85" s="22">
        <f t="shared" si="50"/>
        <v>2</v>
      </c>
      <c r="AH85" s="22">
        <f t="shared" si="51"/>
        <v>3</v>
      </c>
      <c r="AI85" s="22">
        <f t="shared" si="52"/>
        <v>0</v>
      </c>
      <c r="AJ85" s="22">
        <f t="shared" si="53"/>
        <v>5</v>
      </c>
      <c r="AK85" s="22">
        <f t="shared" si="54"/>
        <v>4</v>
      </c>
    </row>
    <row r="86" spans="1:38" x14ac:dyDescent="0.25">
      <c r="A86">
        <v>2011</v>
      </c>
      <c r="B86" s="20" t="s">
        <v>46</v>
      </c>
      <c r="C86" s="12">
        <v>40739</v>
      </c>
      <c r="D86" s="3">
        <v>66</v>
      </c>
      <c r="E86" s="20" t="s">
        <v>49</v>
      </c>
      <c r="H86" s="26" t="s">
        <v>1</v>
      </c>
      <c r="I86" s="26" t="s">
        <v>1</v>
      </c>
      <c r="J86" s="1">
        <v>1</v>
      </c>
      <c r="K86" s="1">
        <v>0</v>
      </c>
      <c r="L86" s="1">
        <f t="shared" si="1"/>
        <v>1</v>
      </c>
      <c r="M86" s="1">
        <v>3.5</v>
      </c>
      <c r="N86" s="26" t="s">
        <v>1</v>
      </c>
      <c r="O86" s="26" t="s">
        <v>1</v>
      </c>
      <c r="P86" s="1">
        <v>0</v>
      </c>
      <c r="Q86" s="1">
        <v>0</v>
      </c>
      <c r="R86" s="1">
        <f t="shared" si="2"/>
        <v>0</v>
      </c>
      <c r="S86" s="1">
        <v>0</v>
      </c>
      <c r="T86" s="26" t="s">
        <v>1</v>
      </c>
      <c r="U86" s="26" t="s">
        <v>1</v>
      </c>
      <c r="V86" s="1">
        <v>0</v>
      </c>
      <c r="W86" s="1">
        <v>0</v>
      </c>
      <c r="X86" s="1">
        <f t="shared" si="3"/>
        <v>0</v>
      </c>
      <c r="Y86" s="1">
        <v>0</v>
      </c>
      <c r="Z86" s="26" t="s">
        <v>1</v>
      </c>
      <c r="AA86" s="26" t="s">
        <v>1</v>
      </c>
      <c r="AB86" s="1">
        <v>0</v>
      </c>
      <c r="AC86" s="1">
        <v>0</v>
      </c>
      <c r="AD86" s="1">
        <f t="shared" si="4"/>
        <v>0</v>
      </c>
      <c r="AE86" s="1">
        <v>0</v>
      </c>
      <c r="AF86" s="22">
        <f t="shared" si="49"/>
        <v>0</v>
      </c>
      <c r="AG86" s="22">
        <f t="shared" si="50"/>
        <v>0</v>
      </c>
      <c r="AH86" s="22">
        <f t="shared" si="51"/>
        <v>1</v>
      </c>
      <c r="AI86" s="22">
        <f t="shared" si="52"/>
        <v>0</v>
      </c>
      <c r="AJ86" s="22">
        <f t="shared" si="53"/>
        <v>1</v>
      </c>
      <c r="AK86" s="22">
        <f t="shared" si="54"/>
        <v>3.5</v>
      </c>
    </row>
    <row r="87" spans="1:38" x14ac:dyDescent="0.25">
      <c r="A87">
        <v>2011</v>
      </c>
      <c r="B87" s="20" t="s">
        <v>46</v>
      </c>
      <c r="C87" s="12">
        <v>40739</v>
      </c>
      <c r="D87" s="3">
        <v>66</v>
      </c>
      <c r="E87" s="20" t="s">
        <v>75</v>
      </c>
      <c r="H87" s="26" t="s">
        <v>1</v>
      </c>
      <c r="I87" s="26" t="s">
        <v>1</v>
      </c>
      <c r="J87" s="1">
        <v>0</v>
      </c>
      <c r="K87" s="1">
        <v>0</v>
      </c>
      <c r="L87" s="1">
        <f t="shared" si="1"/>
        <v>0</v>
      </c>
      <c r="M87" s="1">
        <v>0</v>
      </c>
      <c r="N87" s="26" t="s">
        <v>1</v>
      </c>
      <c r="O87" s="26" t="s">
        <v>1</v>
      </c>
      <c r="P87" s="1">
        <v>13</v>
      </c>
      <c r="Q87" s="1">
        <v>0</v>
      </c>
      <c r="R87" s="1">
        <f t="shared" si="2"/>
        <v>13</v>
      </c>
      <c r="S87" s="1">
        <v>15</v>
      </c>
      <c r="T87" s="26" t="s">
        <v>1</v>
      </c>
      <c r="U87" s="26" t="s">
        <v>1</v>
      </c>
      <c r="V87" s="1">
        <v>0</v>
      </c>
      <c r="W87" s="1">
        <v>0</v>
      </c>
      <c r="X87" s="1">
        <f t="shared" si="3"/>
        <v>0</v>
      </c>
      <c r="Y87" s="1">
        <v>0</v>
      </c>
      <c r="Z87" s="26" t="s">
        <v>1</v>
      </c>
      <c r="AA87" s="26" t="s">
        <v>1</v>
      </c>
      <c r="AB87" s="1">
        <v>0</v>
      </c>
      <c r="AC87" s="1">
        <v>0</v>
      </c>
      <c r="AD87" s="1">
        <f t="shared" si="4"/>
        <v>0</v>
      </c>
      <c r="AE87" s="1">
        <v>0</v>
      </c>
      <c r="AF87" s="22">
        <f t="shared" si="49"/>
        <v>0</v>
      </c>
      <c r="AG87" s="22">
        <f t="shared" si="50"/>
        <v>0</v>
      </c>
      <c r="AH87" s="22">
        <f t="shared" si="51"/>
        <v>13</v>
      </c>
      <c r="AI87" s="22">
        <f t="shared" si="52"/>
        <v>0</v>
      </c>
      <c r="AJ87" s="22">
        <f t="shared" si="53"/>
        <v>13</v>
      </c>
      <c r="AK87" s="22">
        <f t="shared" si="54"/>
        <v>15</v>
      </c>
    </row>
    <row r="88" spans="1:38" x14ac:dyDescent="0.25">
      <c r="B88" s="20"/>
      <c r="E88" s="20"/>
      <c r="H88" s="26"/>
      <c r="I88" s="26"/>
      <c r="N88" s="26"/>
      <c r="O88" s="26"/>
      <c r="T88" s="26"/>
      <c r="U88" s="26"/>
      <c r="Z88" s="26"/>
      <c r="AA88" s="26"/>
      <c r="AF88" s="22"/>
      <c r="AJ88" s="22"/>
      <c r="AK88" s="22"/>
    </row>
    <row r="89" spans="1:38" x14ac:dyDescent="0.25">
      <c r="B89" s="20"/>
      <c r="E89" s="20"/>
      <c r="H89" s="26"/>
      <c r="I89" s="26"/>
      <c r="N89" s="26"/>
      <c r="O89" s="26"/>
      <c r="T89" s="26"/>
      <c r="U89" s="26"/>
      <c r="Z89" s="26"/>
      <c r="AA89" s="26"/>
      <c r="AF89" s="22"/>
      <c r="AJ89" s="22"/>
      <c r="AK89" s="22"/>
    </row>
    <row r="90" spans="1:38" x14ac:dyDescent="0.25">
      <c r="B90" s="20"/>
      <c r="E90" s="20"/>
      <c r="AF90" s="22"/>
      <c r="AJ90" s="22"/>
      <c r="AK90" s="22"/>
    </row>
    <row r="91" spans="1:38" x14ac:dyDescent="0.25">
      <c r="B91" s="20"/>
    </row>
    <row r="92" spans="1:38" x14ac:dyDescent="0.25">
      <c r="B92" s="20"/>
    </row>
    <row r="93" spans="1:38" x14ac:dyDescent="0.25">
      <c r="B93" s="20"/>
    </row>
    <row r="94" spans="1:38" x14ac:dyDescent="0.25">
      <c r="B94" s="20"/>
    </row>
    <row r="95" spans="1:38" x14ac:dyDescent="0.25">
      <c r="B95" s="20"/>
    </row>
  </sheetData>
  <phoneticPr fontId="1" type="noConversion"/>
  <pageMargins left="0.75" right="0.75" top="1" bottom="1" header="0.5" footer="0.5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1"/>
  <sheetViews>
    <sheetView workbookViewId="0">
      <pane ySplit="3" topLeftCell="A4" activePane="bottomLeft" state="frozen"/>
      <selection pane="bottomLeft" activeCell="F70" sqref="F70"/>
    </sheetView>
  </sheetViews>
  <sheetFormatPr defaultRowHeight="12.5" x14ac:dyDescent="0.25"/>
  <cols>
    <col min="2" max="2" width="10.26953125" customWidth="1"/>
    <col min="3" max="3" width="9.1796875" style="2" customWidth="1"/>
    <col min="9" max="9" width="8.81640625" style="28"/>
  </cols>
  <sheetData>
    <row r="1" spans="1:10" x14ac:dyDescent="0.25">
      <c r="A1" s="25" t="s">
        <v>87</v>
      </c>
    </row>
    <row r="3" spans="1:10" x14ac:dyDescent="0.25">
      <c r="A3" s="20" t="s">
        <v>8</v>
      </c>
      <c r="B3" s="20" t="s">
        <v>9</v>
      </c>
      <c r="C3" s="2" t="s">
        <v>10</v>
      </c>
      <c r="D3" t="s">
        <v>11</v>
      </c>
      <c r="E3" t="s">
        <v>88</v>
      </c>
      <c r="F3" t="s">
        <v>89</v>
      </c>
      <c r="G3" s="20" t="s">
        <v>90</v>
      </c>
      <c r="H3" t="s">
        <v>91</v>
      </c>
      <c r="I3" s="20" t="s">
        <v>45</v>
      </c>
    </row>
    <row r="4" spans="1:10" ht="13" x14ac:dyDescent="0.3">
      <c r="A4">
        <v>2011</v>
      </c>
      <c r="B4" s="20" t="s">
        <v>46</v>
      </c>
      <c r="C4" s="2">
        <v>40723</v>
      </c>
      <c r="D4">
        <v>16</v>
      </c>
      <c r="E4" t="s">
        <v>92</v>
      </c>
      <c r="F4" t="s">
        <v>93</v>
      </c>
      <c r="G4">
        <v>7124</v>
      </c>
      <c r="H4" s="20" t="s">
        <v>1</v>
      </c>
      <c r="J4" s="19"/>
    </row>
    <row r="5" spans="1:10" x14ac:dyDescent="0.25">
      <c r="A5">
        <v>2011</v>
      </c>
      <c r="B5" s="20" t="s">
        <v>46</v>
      </c>
      <c r="C5" s="2">
        <v>40723</v>
      </c>
      <c r="D5">
        <v>16</v>
      </c>
      <c r="E5" t="s">
        <v>94</v>
      </c>
      <c r="F5">
        <v>765</v>
      </c>
      <c r="G5" s="20" t="s">
        <v>1</v>
      </c>
      <c r="H5" s="20" t="s">
        <v>1</v>
      </c>
    </row>
    <row r="6" spans="1:10" x14ac:dyDescent="0.25">
      <c r="A6">
        <v>2011</v>
      </c>
      <c r="B6" s="20" t="s">
        <v>46</v>
      </c>
      <c r="C6" s="2">
        <v>40723</v>
      </c>
      <c r="D6">
        <v>16</v>
      </c>
      <c r="E6" t="s">
        <v>95</v>
      </c>
      <c r="F6">
        <v>766</v>
      </c>
      <c r="G6">
        <v>7129</v>
      </c>
      <c r="H6">
        <v>7125</v>
      </c>
    </row>
    <row r="7" spans="1:10" x14ac:dyDescent="0.25">
      <c r="A7">
        <v>2011</v>
      </c>
      <c r="B7" s="20" t="s">
        <v>46</v>
      </c>
      <c r="C7" s="2">
        <v>40723</v>
      </c>
      <c r="D7">
        <v>16</v>
      </c>
      <c r="E7" t="s">
        <v>96</v>
      </c>
      <c r="F7">
        <v>767</v>
      </c>
      <c r="G7" t="s">
        <v>97</v>
      </c>
      <c r="H7">
        <v>7126</v>
      </c>
    </row>
    <row r="8" spans="1:10" x14ac:dyDescent="0.25">
      <c r="A8">
        <v>2011</v>
      </c>
      <c r="B8" s="20" t="s">
        <v>46</v>
      </c>
      <c r="C8" s="2">
        <v>40723</v>
      </c>
      <c r="D8">
        <v>16</v>
      </c>
      <c r="E8" t="s">
        <v>98</v>
      </c>
      <c r="F8">
        <v>768</v>
      </c>
      <c r="G8">
        <v>7132</v>
      </c>
      <c r="H8">
        <v>7127</v>
      </c>
    </row>
    <row r="9" spans="1:10" x14ac:dyDescent="0.25">
      <c r="A9">
        <v>2011</v>
      </c>
      <c r="B9" s="20" t="s">
        <v>46</v>
      </c>
      <c r="C9" s="2">
        <v>40723</v>
      </c>
      <c r="D9">
        <v>16</v>
      </c>
      <c r="E9" t="s">
        <v>99</v>
      </c>
      <c r="F9">
        <v>769</v>
      </c>
      <c r="G9">
        <v>7133</v>
      </c>
      <c r="H9">
        <v>7128</v>
      </c>
    </row>
    <row r="10" spans="1:10" ht="13" x14ac:dyDescent="0.3">
      <c r="A10">
        <v>2011</v>
      </c>
      <c r="B10" s="20" t="s">
        <v>46</v>
      </c>
      <c r="C10" s="2">
        <v>40758</v>
      </c>
      <c r="D10">
        <v>17</v>
      </c>
      <c r="E10" t="s">
        <v>92</v>
      </c>
      <c r="F10">
        <v>1403</v>
      </c>
      <c r="G10">
        <v>8062</v>
      </c>
      <c r="H10" t="s">
        <v>1</v>
      </c>
      <c r="J10" s="19"/>
    </row>
    <row r="11" spans="1:10" x14ac:dyDescent="0.25">
      <c r="A11">
        <v>2011</v>
      </c>
      <c r="B11" s="20" t="s">
        <v>46</v>
      </c>
      <c r="C11" s="2">
        <v>40758</v>
      </c>
      <c r="D11">
        <v>17</v>
      </c>
      <c r="E11" t="s">
        <v>94</v>
      </c>
      <c r="F11">
        <v>1404</v>
      </c>
      <c r="G11" s="20" t="s">
        <v>1</v>
      </c>
      <c r="H11" t="s">
        <v>1</v>
      </c>
    </row>
    <row r="12" spans="1:10" x14ac:dyDescent="0.25">
      <c r="A12">
        <v>2011</v>
      </c>
      <c r="B12" s="20" t="s">
        <v>46</v>
      </c>
      <c r="C12" s="2">
        <v>40758</v>
      </c>
      <c r="D12">
        <v>17</v>
      </c>
      <c r="E12" t="s">
        <v>95</v>
      </c>
      <c r="F12" s="20" t="s">
        <v>100</v>
      </c>
      <c r="G12" s="20">
        <v>8072</v>
      </c>
      <c r="H12">
        <v>8063</v>
      </c>
    </row>
    <row r="13" spans="1:10" x14ac:dyDescent="0.25">
      <c r="A13">
        <v>2011</v>
      </c>
      <c r="B13" s="20" t="s">
        <v>46</v>
      </c>
      <c r="C13" s="2">
        <v>40758</v>
      </c>
      <c r="D13">
        <v>17</v>
      </c>
      <c r="E13" t="s">
        <v>96</v>
      </c>
      <c r="F13">
        <v>1407</v>
      </c>
      <c r="G13" s="20" t="s">
        <v>101</v>
      </c>
      <c r="H13">
        <v>8064</v>
      </c>
    </row>
    <row r="14" spans="1:10" x14ac:dyDescent="0.25">
      <c r="A14">
        <v>2011</v>
      </c>
      <c r="B14" s="20" t="s">
        <v>46</v>
      </c>
      <c r="C14" s="2">
        <v>40758</v>
      </c>
      <c r="D14">
        <v>17</v>
      </c>
      <c r="E14" t="s">
        <v>98</v>
      </c>
      <c r="F14">
        <v>1408</v>
      </c>
      <c r="G14" s="20">
        <v>8075</v>
      </c>
      <c r="H14">
        <v>8065</v>
      </c>
      <c r="I14" s="28" t="s">
        <v>102</v>
      </c>
    </row>
    <row r="15" spans="1:10" x14ac:dyDescent="0.25">
      <c r="A15">
        <v>2011</v>
      </c>
      <c r="B15" s="20" t="s">
        <v>46</v>
      </c>
      <c r="C15" s="2">
        <v>40758</v>
      </c>
      <c r="D15">
        <v>17</v>
      </c>
      <c r="E15" t="s">
        <v>99</v>
      </c>
      <c r="F15">
        <v>1409</v>
      </c>
      <c r="G15" s="20" t="s">
        <v>103</v>
      </c>
      <c r="H15">
        <v>8071</v>
      </c>
    </row>
    <row r="16" spans="1:10" ht="13" x14ac:dyDescent="0.3">
      <c r="A16">
        <v>2011</v>
      </c>
      <c r="B16" s="20" t="s">
        <v>46</v>
      </c>
      <c r="C16" s="2">
        <v>40758</v>
      </c>
      <c r="D16">
        <v>18</v>
      </c>
      <c r="E16" t="s">
        <v>92</v>
      </c>
      <c r="F16">
        <v>1397</v>
      </c>
      <c r="G16">
        <v>8049</v>
      </c>
      <c r="H16" s="20" t="s">
        <v>1</v>
      </c>
      <c r="J16" s="19"/>
    </row>
    <row r="17" spans="1:10" x14ac:dyDescent="0.25">
      <c r="A17">
        <v>2011</v>
      </c>
      <c r="B17" s="20" t="s">
        <v>46</v>
      </c>
      <c r="C17" s="2">
        <v>40758</v>
      </c>
      <c r="D17">
        <v>18</v>
      </c>
      <c r="E17" t="s">
        <v>94</v>
      </c>
      <c r="F17">
        <v>1398</v>
      </c>
      <c r="G17" s="20" t="s">
        <v>1</v>
      </c>
      <c r="H17" s="20" t="s">
        <v>1</v>
      </c>
    </row>
    <row r="18" spans="1:10" x14ac:dyDescent="0.25">
      <c r="A18">
        <v>2011</v>
      </c>
      <c r="B18" s="20" t="s">
        <v>46</v>
      </c>
      <c r="C18" s="2">
        <v>40758</v>
      </c>
      <c r="D18">
        <v>18</v>
      </c>
      <c r="E18" t="s">
        <v>95</v>
      </c>
      <c r="F18">
        <v>1399</v>
      </c>
      <c r="G18">
        <v>8058</v>
      </c>
      <c r="H18" s="20">
        <v>8050</v>
      </c>
    </row>
    <row r="19" spans="1:10" x14ac:dyDescent="0.25">
      <c r="A19">
        <v>2011</v>
      </c>
      <c r="B19" s="20" t="s">
        <v>46</v>
      </c>
      <c r="C19" s="2">
        <v>40758</v>
      </c>
      <c r="D19">
        <v>18</v>
      </c>
      <c r="E19" t="s">
        <v>96</v>
      </c>
      <c r="F19">
        <v>1400</v>
      </c>
      <c r="G19">
        <v>8059</v>
      </c>
      <c r="H19" s="20">
        <v>8051</v>
      </c>
    </row>
    <row r="20" spans="1:10" x14ac:dyDescent="0.25">
      <c r="A20">
        <v>2011</v>
      </c>
      <c r="B20" s="20" t="s">
        <v>46</v>
      </c>
      <c r="C20" s="2">
        <v>40758</v>
      </c>
      <c r="D20">
        <v>18</v>
      </c>
      <c r="E20" t="s">
        <v>98</v>
      </c>
      <c r="F20">
        <v>1401</v>
      </c>
      <c r="G20">
        <v>806</v>
      </c>
      <c r="H20" s="20">
        <v>8052</v>
      </c>
    </row>
    <row r="21" spans="1:10" x14ac:dyDescent="0.25">
      <c r="A21">
        <v>2011</v>
      </c>
      <c r="B21" s="20" t="s">
        <v>46</v>
      </c>
      <c r="C21" s="2">
        <v>40758</v>
      </c>
      <c r="D21">
        <v>18</v>
      </c>
      <c r="E21" t="s">
        <v>99</v>
      </c>
      <c r="F21">
        <v>1402</v>
      </c>
      <c r="G21">
        <v>8061</v>
      </c>
      <c r="H21" s="20">
        <v>8053</v>
      </c>
    </row>
    <row r="22" spans="1:10" ht="13" x14ac:dyDescent="0.3">
      <c r="A22">
        <v>2011</v>
      </c>
      <c r="B22" s="20" t="s">
        <v>46</v>
      </c>
      <c r="C22" s="2">
        <v>40723</v>
      </c>
      <c r="D22">
        <v>22</v>
      </c>
      <c r="E22" t="s">
        <v>92</v>
      </c>
      <c r="F22" t="s">
        <v>1</v>
      </c>
      <c r="G22">
        <v>7147</v>
      </c>
      <c r="H22" t="s">
        <v>1</v>
      </c>
      <c r="I22" s="28" t="s">
        <v>104</v>
      </c>
      <c r="J22" s="19"/>
    </row>
    <row r="23" spans="1:10" x14ac:dyDescent="0.25">
      <c r="A23">
        <v>2011</v>
      </c>
      <c r="B23" s="20" t="s">
        <v>46</v>
      </c>
      <c r="C23" s="2">
        <v>40723</v>
      </c>
      <c r="D23">
        <v>22</v>
      </c>
      <c r="E23" t="s">
        <v>94</v>
      </c>
      <c r="F23">
        <v>780</v>
      </c>
      <c r="G23" s="20" t="s">
        <v>1</v>
      </c>
      <c r="H23" s="20" t="s">
        <v>1</v>
      </c>
    </row>
    <row r="24" spans="1:10" x14ac:dyDescent="0.25">
      <c r="A24">
        <v>2011</v>
      </c>
      <c r="B24" s="20" t="s">
        <v>46</v>
      </c>
      <c r="C24" s="2">
        <v>40723</v>
      </c>
      <c r="D24">
        <v>22</v>
      </c>
      <c r="E24" t="s">
        <v>95</v>
      </c>
      <c r="F24">
        <v>781</v>
      </c>
      <c r="G24" s="20">
        <v>7154</v>
      </c>
      <c r="H24" s="20">
        <v>7148</v>
      </c>
    </row>
    <row r="25" spans="1:10" x14ac:dyDescent="0.25">
      <c r="A25">
        <v>2011</v>
      </c>
      <c r="B25" s="20" t="s">
        <v>46</v>
      </c>
      <c r="C25" s="2">
        <v>40723</v>
      </c>
      <c r="D25">
        <v>22</v>
      </c>
      <c r="E25" t="s">
        <v>96</v>
      </c>
      <c r="F25">
        <v>782</v>
      </c>
      <c r="G25" s="20">
        <v>7155</v>
      </c>
      <c r="H25" s="20">
        <v>7149</v>
      </c>
    </row>
    <row r="26" spans="1:10" x14ac:dyDescent="0.25">
      <c r="A26">
        <v>2011</v>
      </c>
      <c r="B26" s="20" t="s">
        <v>46</v>
      </c>
      <c r="C26" s="2">
        <v>40723</v>
      </c>
      <c r="D26">
        <v>22</v>
      </c>
      <c r="E26" t="s">
        <v>98</v>
      </c>
      <c r="F26">
        <v>783</v>
      </c>
      <c r="G26" s="20">
        <v>7156</v>
      </c>
      <c r="H26" s="20">
        <v>7150</v>
      </c>
    </row>
    <row r="27" spans="1:10" x14ac:dyDescent="0.25">
      <c r="A27">
        <v>2011</v>
      </c>
      <c r="B27" s="20" t="s">
        <v>46</v>
      </c>
      <c r="C27" s="2">
        <v>40723</v>
      </c>
      <c r="D27">
        <v>22</v>
      </c>
      <c r="E27" t="s">
        <v>99</v>
      </c>
      <c r="F27">
        <v>784</v>
      </c>
      <c r="G27" s="20">
        <v>7157</v>
      </c>
      <c r="H27" s="20" t="s">
        <v>105</v>
      </c>
    </row>
    <row r="28" spans="1:10" ht="13" x14ac:dyDescent="0.3">
      <c r="A28">
        <v>2011</v>
      </c>
      <c r="B28" s="20" t="s">
        <v>46</v>
      </c>
      <c r="C28" s="2">
        <v>40758</v>
      </c>
      <c r="D28">
        <v>23</v>
      </c>
      <c r="E28" t="s">
        <v>92</v>
      </c>
      <c r="F28">
        <v>1442</v>
      </c>
      <c r="G28">
        <v>8167</v>
      </c>
      <c r="H28" s="20" t="s">
        <v>1</v>
      </c>
      <c r="J28" s="19"/>
    </row>
    <row r="29" spans="1:10" x14ac:dyDescent="0.25">
      <c r="A29">
        <v>2011</v>
      </c>
      <c r="B29" s="20" t="s">
        <v>46</v>
      </c>
      <c r="C29" s="2">
        <v>40758</v>
      </c>
      <c r="D29">
        <v>23</v>
      </c>
      <c r="E29" t="s">
        <v>94</v>
      </c>
      <c r="F29">
        <v>1443</v>
      </c>
      <c r="G29" s="20" t="s">
        <v>1</v>
      </c>
      <c r="H29" s="20" t="s">
        <v>1</v>
      </c>
    </row>
    <row r="30" spans="1:10" x14ac:dyDescent="0.25">
      <c r="A30">
        <v>2011</v>
      </c>
      <c r="B30" s="20" t="s">
        <v>46</v>
      </c>
      <c r="C30" s="2">
        <v>40758</v>
      </c>
      <c r="D30">
        <v>23</v>
      </c>
      <c r="E30" t="s">
        <v>95</v>
      </c>
      <c r="F30">
        <v>1444</v>
      </c>
      <c r="G30" s="20">
        <v>8172</v>
      </c>
      <c r="H30" s="20">
        <v>8168</v>
      </c>
    </row>
    <row r="31" spans="1:10" x14ac:dyDescent="0.25">
      <c r="A31">
        <v>2011</v>
      </c>
      <c r="B31" s="20" t="s">
        <v>46</v>
      </c>
      <c r="C31" s="2">
        <v>40758</v>
      </c>
      <c r="D31">
        <v>23</v>
      </c>
      <c r="E31" t="s">
        <v>96</v>
      </c>
      <c r="F31">
        <v>1445</v>
      </c>
      <c r="G31" s="20">
        <v>8173</v>
      </c>
      <c r="H31" s="20">
        <v>8169</v>
      </c>
    </row>
    <row r="32" spans="1:10" x14ac:dyDescent="0.25">
      <c r="A32">
        <v>2011</v>
      </c>
      <c r="B32" s="20" t="s">
        <v>46</v>
      </c>
      <c r="C32" s="2">
        <v>40758</v>
      </c>
      <c r="D32">
        <v>23</v>
      </c>
      <c r="E32" t="s">
        <v>98</v>
      </c>
      <c r="F32">
        <v>1446</v>
      </c>
      <c r="G32" s="20">
        <v>8174</v>
      </c>
      <c r="H32" s="20">
        <v>8170</v>
      </c>
    </row>
    <row r="33" spans="1:10" x14ac:dyDescent="0.25">
      <c r="A33">
        <v>2011</v>
      </c>
      <c r="B33" s="20" t="s">
        <v>46</v>
      </c>
      <c r="C33" s="2">
        <v>40758</v>
      </c>
      <c r="D33">
        <v>23</v>
      </c>
      <c r="E33" t="s">
        <v>99</v>
      </c>
      <c r="F33">
        <v>1447</v>
      </c>
      <c r="G33" s="20">
        <v>8175</v>
      </c>
      <c r="H33" s="20">
        <v>8171</v>
      </c>
    </row>
    <row r="34" spans="1:10" ht="13" x14ac:dyDescent="0.3">
      <c r="A34">
        <v>2011</v>
      </c>
      <c r="B34" s="20" t="s">
        <v>46</v>
      </c>
      <c r="C34" s="2">
        <v>40739</v>
      </c>
      <c r="D34">
        <v>24</v>
      </c>
      <c r="E34" t="s">
        <v>92</v>
      </c>
      <c r="F34" s="20" t="s">
        <v>106</v>
      </c>
      <c r="G34" s="20">
        <v>7513</v>
      </c>
      <c r="H34" s="20" t="s">
        <v>1</v>
      </c>
      <c r="J34" s="19"/>
    </row>
    <row r="35" spans="1:10" x14ac:dyDescent="0.25">
      <c r="A35">
        <v>2011</v>
      </c>
      <c r="B35" s="20" t="s">
        <v>46</v>
      </c>
      <c r="C35" s="2">
        <v>40739</v>
      </c>
      <c r="D35">
        <v>24</v>
      </c>
      <c r="E35" t="s">
        <v>94</v>
      </c>
      <c r="F35">
        <v>988</v>
      </c>
      <c r="G35" s="20" t="s">
        <v>1</v>
      </c>
      <c r="H35" s="20" t="s">
        <v>1</v>
      </c>
    </row>
    <row r="36" spans="1:10" x14ac:dyDescent="0.25">
      <c r="A36">
        <v>2011</v>
      </c>
      <c r="B36" s="20" t="s">
        <v>46</v>
      </c>
      <c r="C36" s="2">
        <v>40739</v>
      </c>
      <c r="D36">
        <v>24</v>
      </c>
      <c r="E36" t="s">
        <v>95</v>
      </c>
      <c r="F36">
        <v>989</v>
      </c>
      <c r="G36" s="20">
        <v>7518</v>
      </c>
      <c r="H36" s="20">
        <v>7514</v>
      </c>
    </row>
    <row r="37" spans="1:10" x14ac:dyDescent="0.25">
      <c r="A37">
        <v>2011</v>
      </c>
      <c r="B37" s="20" t="s">
        <v>46</v>
      </c>
      <c r="C37" s="2">
        <v>40739</v>
      </c>
      <c r="D37">
        <v>24</v>
      </c>
      <c r="E37" t="s">
        <v>96</v>
      </c>
      <c r="F37">
        <v>990</v>
      </c>
      <c r="G37" s="20">
        <v>7519</v>
      </c>
      <c r="H37" s="20">
        <v>7515</v>
      </c>
    </row>
    <row r="38" spans="1:10" x14ac:dyDescent="0.25">
      <c r="A38">
        <v>2011</v>
      </c>
      <c r="B38" s="20" t="s">
        <v>46</v>
      </c>
      <c r="C38" s="2">
        <v>40739</v>
      </c>
      <c r="D38">
        <v>24</v>
      </c>
      <c r="E38" t="s">
        <v>98</v>
      </c>
      <c r="F38">
        <v>991</v>
      </c>
      <c r="G38" s="20">
        <v>7520</v>
      </c>
      <c r="H38" s="20">
        <v>7516</v>
      </c>
    </row>
    <row r="39" spans="1:10" x14ac:dyDescent="0.25">
      <c r="A39">
        <v>2011</v>
      </c>
      <c r="B39" s="20" t="s">
        <v>46</v>
      </c>
      <c r="C39" s="2">
        <v>40739</v>
      </c>
      <c r="D39">
        <v>24</v>
      </c>
      <c r="E39" t="s">
        <v>99</v>
      </c>
      <c r="F39">
        <v>992</v>
      </c>
      <c r="G39" s="20">
        <v>7521</v>
      </c>
      <c r="H39" s="20">
        <v>7517</v>
      </c>
    </row>
    <row r="40" spans="1:10" ht="13" x14ac:dyDescent="0.3">
      <c r="A40">
        <v>2011</v>
      </c>
      <c r="B40" s="20" t="s">
        <v>46</v>
      </c>
      <c r="C40" s="2">
        <v>40759</v>
      </c>
      <c r="D40">
        <v>61</v>
      </c>
      <c r="E40" t="s">
        <v>92</v>
      </c>
      <c r="F40" s="20" t="s">
        <v>107</v>
      </c>
      <c r="G40" s="20">
        <v>8103</v>
      </c>
      <c r="H40" s="20" t="s">
        <v>1</v>
      </c>
      <c r="J40" s="19"/>
    </row>
    <row r="41" spans="1:10" x14ac:dyDescent="0.25">
      <c r="A41">
        <v>2011</v>
      </c>
      <c r="B41" s="20" t="s">
        <v>46</v>
      </c>
      <c r="C41" s="2">
        <v>40759</v>
      </c>
      <c r="D41">
        <v>61</v>
      </c>
      <c r="E41" t="s">
        <v>94</v>
      </c>
      <c r="F41">
        <v>1424</v>
      </c>
      <c r="G41" s="20" t="s">
        <v>1</v>
      </c>
      <c r="H41" s="20" t="s">
        <v>1</v>
      </c>
    </row>
    <row r="42" spans="1:10" x14ac:dyDescent="0.25">
      <c r="A42">
        <v>2011</v>
      </c>
      <c r="B42" s="20" t="s">
        <v>46</v>
      </c>
      <c r="C42" s="2">
        <v>40759</v>
      </c>
      <c r="D42">
        <v>61</v>
      </c>
      <c r="E42" t="s">
        <v>95</v>
      </c>
      <c r="F42">
        <v>1425</v>
      </c>
      <c r="G42" s="20">
        <v>8117</v>
      </c>
      <c r="H42" s="20">
        <v>8104</v>
      </c>
    </row>
    <row r="43" spans="1:10" x14ac:dyDescent="0.25">
      <c r="A43">
        <v>2011</v>
      </c>
      <c r="B43" s="20" t="s">
        <v>46</v>
      </c>
      <c r="C43" s="2">
        <v>40759</v>
      </c>
      <c r="D43">
        <v>61</v>
      </c>
      <c r="E43" t="s">
        <v>96</v>
      </c>
      <c r="F43">
        <v>1426</v>
      </c>
      <c r="G43" s="20">
        <v>8118</v>
      </c>
      <c r="H43" s="20">
        <v>8105</v>
      </c>
    </row>
    <row r="44" spans="1:10" x14ac:dyDescent="0.25">
      <c r="A44">
        <v>2011</v>
      </c>
      <c r="B44" s="20" t="s">
        <v>46</v>
      </c>
      <c r="C44" s="2">
        <v>40759</v>
      </c>
      <c r="D44">
        <v>61</v>
      </c>
      <c r="E44" t="s">
        <v>98</v>
      </c>
      <c r="F44">
        <v>1427</v>
      </c>
      <c r="G44" s="20">
        <v>8119</v>
      </c>
      <c r="H44" s="20">
        <v>8106</v>
      </c>
      <c r="I44" s="28" t="s">
        <v>108</v>
      </c>
    </row>
    <row r="45" spans="1:10" x14ac:dyDescent="0.25">
      <c r="A45">
        <v>2011</v>
      </c>
      <c r="B45" s="20" t="s">
        <v>46</v>
      </c>
      <c r="C45" s="2">
        <v>40759</v>
      </c>
      <c r="D45">
        <v>61</v>
      </c>
      <c r="E45" t="s">
        <v>99</v>
      </c>
      <c r="F45">
        <v>1428</v>
      </c>
      <c r="G45" s="20">
        <v>8120</v>
      </c>
      <c r="H45" s="20">
        <v>8107</v>
      </c>
    </row>
    <row r="46" spans="1:10" ht="13" x14ac:dyDescent="0.3">
      <c r="A46">
        <v>2011</v>
      </c>
      <c r="B46" s="20" t="s">
        <v>46</v>
      </c>
      <c r="C46" s="2">
        <v>40759</v>
      </c>
      <c r="D46">
        <v>62</v>
      </c>
      <c r="E46" t="s">
        <v>92</v>
      </c>
      <c r="F46" s="20" t="s">
        <v>109</v>
      </c>
      <c r="G46" s="20">
        <v>8078</v>
      </c>
      <c r="H46" s="20" t="s">
        <v>1</v>
      </c>
      <c r="J46" s="19"/>
    </row>
    <row r="47" spans="1:10" x14ac:dyDescent="0.25">
      <c r="A47">
        <v>2011</v>
      </c>
      <c r="B47" s="20" t="s">
        <v>46</v>
      </c>
      <c r="C47" s="2">
        <v>40759</v>
      </c>
      <c r="D47">
        <v>62</v>
      </c>
      <c r="E47" t="s">
        <v>94</v>
      </c>
      <c r="F47">
        <v>1412</v>
      </c>
      <c r="G47" s="20" t="s">
        <v>1</v>
      </c>
      <c r="H47" s="20" t="s">
        <v>1</v>
      </c>
      <c r="I47" s="28" t="s">
        <v>76</v>
      </c>
    </row>
    <row r="48" spans="1:10" x14ac:dyDescent="0.25">
      <c r="A48">
        <v>2011</v>
      </c>
      <c r="B48" s="20" t="s">
        <v>46</v>
      </c>
      <c r="C48" s="2">
        <v>40759</v>
      </c>
      <c r="D48">
        <v>62</v>
      </c>
      <c r="E48" t="s">
        <v>95</v>
      </c>
      <c r="F48">
        <v>1413</v>
      </c>
      <c r="G48" s="20" t="s">
        <v>110</v>
      </c>
      <c r="H48" s="20">
        <v>8083</v>
      </c>
      <c r="I48" s="28" t="s">
        <v>77</v>
      </c>
    </row>
    <row r="49" spans="1:10" x14ac:dyDescent="0.25">
      <c r="A49">
        <v>2011</v>
      </c>
      <c r="B49" s="20" t="s">
        <v>46</v>
      </c>
      <c r="C49" s="2">
        <v>40759</v>
      </c>
      <c r="D49">
        <v>62</v>
      </c>
      <c r="E49" t="s">
        <v>96</v>
      </c>
      <c r="F49">
        <v>1414</v>
      </c>
      <c r="G49" s="20">
        <v>8100</v>
      </c>
      <c r="H49" s="20">
        <v>8094</v>
      </c>
    </row>
    <row r="50" spans="1:10" x14ac:dyDescent="0.25">
      <c r="A50">
        <v>2011</v>
      </c>
      <c r="B50" s="20" t="s">
        <v>46</v>
      </c>
      <c r="C50" s="2">
        <v>40759</v>
      </c>
      <c r="D50">
        <v>62</v>
      </c>
      <c r="E50" t="s">
        <v>98</v>
      </c>
      <c r="F50">
        <v>1415</v>
      </c>
      <c r="G50" s="20">
        <v>8101</v>
      </c>
      <c r="H50" s="20">
        <v>8095</v>
      </c>
    </row>
    <row r="51" spans="1:10" x14ac:dyDescent="0.25">
      <c r="A51">
        <v>2011</v>
      </c>
      <c r="B51" s="20" t="s">
        <v>46</v>
      </c>
      <c r="C51" s="2">
        <v>40759</v>
      </c>
      <c r="D51">
        <v>62</v>
      </c>
      <c r="E51" t="s">
        <v>99</v>
      </c>
      <c r="F51">
        <v>1416</v>
      </c>
      <c r="G51" s="20">
        <v>8102</v>
      </c>
      <c r="H51" s="20" t="s">
        <v>111</v>
      </c>
    </row>
    <row r="52" spans="1:10" ht="13" x14ac:dyDescent="0.3">
      <c r="A52">
        <v>2011</v>
      </c>
      <c r="B52" s="20" t="s">
        <v>46</v>
      </c>
      <c r="C52" s="2">
        <v>40759</v>
      </c>
      <c r="D52">
        <v>63</v>
      </c>
      <c r="E52" t="s">
        <v>92</v>
      </c>
      <c r="F52">
        <v>1429</v>
      </c>
      <c r="G52" s="20">
        <v>8121</v>
      </c>
      <c r="H52" s="20" t="s">
        <v>1</v>
      </c>
      <c r="J52" s="19"/>
    </row>
    <row r="53" spans="1:10" x14ac:dyDescent="0.25">
      <c r="A53">
        <v>2011</v>
      </c>
      <c r="B53" s="20" t="s">
        <v>46</v>
      </c>
      <c r="C53" s="2">
        <v>40759</v>
      </c>
      <c r="D53">
        <v>63</v>
      </c>
      <c r="E53" t="s">
        <v>94</v>
      </c>
      <c r="F53">
        <v>1430</v>
      </c>
      <c r="G53" s="20" t="s">
        <v>1</v>
      </c>
      <c r="H53" s="20" t="s">
        <v>1</v>
      </c>
      <c r="I53" s="28" t="s">
        <v>112</v>
      </c>
    </row>
    <row r="54" spans="1:10" x14ac:dyDescent="0.25">
      <c r="A54">
        <v>2011</v>
      </c>
      <c r="B54" s="20" t="s">
        <v>46</v>
      </c>
      <c r="C54" s="2">
        <v>40759</v>
      </c>
      <c r="D54">
        <v>63</v>
      </c>
      <c r="E54" t="s">
        <v>95</v>
      </c>
      <c r="F54">
        <v>1431</v>
      </c>
      <c r="G54" s="20">
        <v>8133</v>
      </c>
      <c r="H54" s="20">
        <v>8126</v>
      </c>
    </row>
    <row r="55" spans="1:10" x14ac:dyDescent="0.25">
      <c r="A55">
        <v>2011</v>
      </c>
      <c r="B55" s="20" t="s">
        <v>46</v>
      </c>
      <c r="C55" s="2">
        <v>40759</v>
      </c>
      <c r="D55">
        <v>63</v>
      </c>
      <c r="E55" t="s">
        <v>96</v>
      </c>
      <c r="F55">
        <v>1432</v>
      </c>
      <c r="G55" s="20">
        <v>8134</v>
      </c>
      <c r="H55" s="20">
        <v>8127</v>
      </c>
    </row>
    <row r="56" spans="1:10" x14ac:dyDescent="0.25">
      <c r="A56">
        <v>2011</v>
      </c>
      <c r="B56" s="20" t="s">
        <v>46</v>
      </c>
      <c r="C56" s="2">
        <v>40759</v>
      </c>
      <c r="D56">
        <v>63</v>
      </c>
      <c r="E56" t="s">
        <v>98</v>
      </c>
      <c r="F56">
        <v>1433</v>
      </c>
      <c r="G56" s="20" t="s">
        <v>113</v>
      </c>
      <c r="H56" s="20">
        <v>8128</v>
      </c>
      <c r="I56" s="28" t="s">
        <v>114</v>
      </c>
    </row>
    <row r="57" spans="1:10" x14ac:dyDescent="0.25">
      <c r="A57">
        <v>2011</v>
      </c>
      <c r="B57" s="20" t="s">
        <v>46</v>
      </c>
      <c r="C57" s="2">
        <v>40759</v>
      </c>
      <c r="D57">
        <v>63</v>
      </c>
      <c r="E57" t="s">
        <v>99</v>
      </c>
      <c r="F57">
        <v>1434</v>
      </c>
      <c r="G57" s="20">
        <v>8137</v>
      </c>
      <c r="H57" s="20">
        <v>8129</v>
      </c>
      <c r="I57" s="28" t="s">
        <v>115</v>
      </c>
    </row>
    <row r="58" spans="1:10" ht="13" x14ac:dyDescent="0.3">
      <c r="A58">
        <v>2011</v>
      </c>
      <c r="B58" s="20" t="s">
        <v>46</v>
      </c>
      <c r="C58" s="2">
        <v>40759</v>
      </c>
      <c r="D58">
        <v>64</v>
      </c>
      <c r="E58" t="s">
        <v>92</v>
      </c>
      <c r="F58" s="20" t="s">
        <v>116</v>
      </c>
      <c r="G58" s="20">
        <v>8141</v>
      </c>
      <c r="H58" s="20" t="s">
        <v>1</v>
      </c>
      <c r="J58" s="19"/>
    </row>
    <row r="59" spans="1:10" x14ac:dyDescent="0.25">
      <c r="A59">
        <v>2011</v>
      </c>
      <c r="B59" s="20" t="s">
        <v>46</v>
      </c>
      <c r="C59" s="2">
        <v>40759</v>
      </c>
      <c r="D59">
        <v>64</v>
      </c>
      <c r="E59" t="s">
        <v>94</v>
      </c>
      <c r="F59">
        <v>1437</v>
      </c>
      <c r="G59" s="20" t="s">
        <v>1</v>
      </c>
      <c r="H59" s="20" t="s">
        <v>1</v>
      </c>
    </row>
    <row r="60" spans="1:10" x14ac:dyDescent="0.25">
      <c r="A60">
        <v>2011</v>
      </c>
      <c r="B60" s="20" t="s">
        <v>46</v>
      </c>
      <c r="C60" s="2">
        <v>40759</v>
      </c>
      <c r="D60">
        <v>64</v>
      </c>
      <c r="E60" t="s">
        <v>95</v>
      </c>
      <c r="F60">
        <v>1438</v>
      </c>
      <c r="G60" s="20">
        <v>8147</v>
      </c>
      <c r="H60" s="20">
        <v>8142</v>
      </c>
      <c r="I60" s="28" t="s">
        <v>117</v>
      </c>
    </row>
    <row r="61" spans="1:10" x14ac:dyDescent="0.25">
      <c r="A61">
        <v>2011</v>
      </c>
      <c r="B61" s="20" t="s">
        <v>46</v>
      </c>
      <c r="C61" s="2">
        <v>40759</v>
      </c>
      <c r="D61">
        <v>64</v>
      </c>
      <c r="E61" t="s">
        <v>96</v>
      </c>
      <c r="F61">
        <v>1439</v>
      </c>
      <c r="G61" s="20">
        <v>8148</v>
      </c>
      <c r="H61" s="20">
        <v>8143</v>
      </c>
      <c r="I61" s="28" t="s">
        <v>118</v>
      </c>
    </row>
    <row r="62" spans="1:10" x14ac:dyDescent="0.25">
      <c r="A62">
        <v>2011</v>
      </c>
      <c r="B62" s="20" t="s">
        <v>46</v>
      </c>
      <c r="C62" s="2">
        <v>40759</v>
      </c>
      <c r="D62">
        <v>64</v>
      </c>
      <c r="E62" t="s">
        <v>98</v>
      </c>
      <c r="F62">
        <v>1440</v>
      </c>
      <c r="G62" s="20" t="s">
        <v>119</v>
      </c>
      <c r="H62" s="20">
        <v>8144</v>
      </c>
      <c r="I62" s="28" t="s">
        <v>120</v>
      </c>
    </row>
    <row r="63" spans="1:10" x14ac:dyDescent="0.25">
      <c r="A63">
        <v>2011</v>
      </c>
      <c r="B63" s="20" t="s">
        <v>46</v>
      </c>
      <c r="C63" s="2">
        <v>40759</v>
      </c>
      <c r="D63">
        <v>64</v>
      </c>
      <c r="E63" t="s">
        <v>99</v>
      </c>
      <c r="F63">
        <v>1441</v>
      </c>
      <c r="G63" s="20">
        <v>8151</v>
      </c>
      <c r="H63" s="20" t="s">
        <v>121</v>
      </c>
      <c r="I63" s="28" t="s">
        <v>122</v>
      </c>
    </row>
    <row r="64" spans="1:10" ht="13" x14ac:dyDescent="0.3">
      <c r="A64">
        <v>2011</v>
      </c>
      <c r="B64" s="20" t="s">
        <v>46</v>
      </c>
      <c r="C64" s="2">
        <v>40739</v>
      </c>
      <c r="D64">
        <v>65</v>
      </c>
      <c r="E64" t="s">
        <v>92</v>
      </c>
      <c r="F64">
        <v>1010</v>
      </c>
      <c r="G64" s="20" t="s">
        <v>123</v>
      </c>
      <c r="H64" s="20" t="s">
        <v>1</v>
      </c>
      <c r="J64" s="19"/>
    </row>
    <row r="65" spans="1:10" x14ac:dyDescent="0.25">
      <c r="A65">
        <v>2011</v>
      </c>
      <c r="B65" s="20" t="s">
        <v>46</v>
      </c>
      <c r="C65" s="2">
        <v>40739</v>
      </c>
      <c r="D65">
        <v>65</v>
      </c>
      <c r="E65" t="s">
        <v>94</v>
      </c>
      <c r="F65">
        <v>1011</v>
      </c>
      <c r="G65" s="20" t="s">
        <v>1</v>
      </c>
      <c r="H65" s="20" t="s">
        <v>1</v>
      </c>
    </row>
    <row r="66" spans="1:10" x14ac:dyDescent="0.25">
      <c r="A66">
        <v>2011</v>
      </c>
      <c r="B66" s="20" t="s">
        <v>46</v>
      </c>
      <c r="C66" s="2">
        <v>40739</v>
      </c>
      <c r="D66">
        <v>65</v>
      </c>
      <c r="E66" t="s">
        <v>95</v>
      </c>
      <c r="F66">
        <v>1012</v>
      </c>
      <c r="G66" s="20">
        <v>7549</v>
      </c>
      <c r="H66" s="20">
        <v>7545</v>
      </c>
    </row>
    <row r="67" spans="1:10" x14ac:dyDescent="0.25">
      <c r="A67">
        <v>2011</v>
      </c>
      <c r="B67" s="20" t="s">
        <v>46</v>
      </c>
      <c r="C67" s="2">
        <v>40739</v>
      </c>
      <c r="D67">
        <v>65</v>
      </c>
      <c r="E67" t="s">
        <v>96</v>
      </c>
      <c r="F67">
        <v>1013</v>
      </c>
      <c r="G67" s="20">
        <v>7550</v>
      </c>
      <c r="H67" s="20">
        <v>7546</v>
      </c>
    </row>
    <row r="68" spans="1:10" x14ac:dyDescent="0.25">
      <c r="A68">
        <v>2011</v>
      </c>
      <c r="B68" s="20" t="s">
        <v>46</v>
      </c>
      <c r="C68" s="2">
        <v>40739</v>
      </c>
      <c r="D68">
        <v>65</v>
      </c>
      <c r="E68" t="s">
        <v>98</v>
      </c>
      <c r="F68">
        <v>1014</v>
      </c>
      <c r="G68" s="20">
        <v>7551</v>
      </c>
      <c r="H68" s="20">
        <v>7547</v>
      </c>
    </row>
    <row r="69" spans="1:10" x14ac:dyDescent="0.25">
      <c r="A69">
        <v>2011</v>
      </c>
      <c r="B69" s="20" t="s">
        <v>46</v>
      </c>
      <c r="C69" s="2">
        <v>40739</v>
      </c>
      <c r="D69">
        <v>65</v>
      </c>
      <c r="E69" t="s">
        <v>99</v>
      </c>
      <c r="F69">
        <v>1015</v>
      </c>
      <c r="G69" s="20">
        <v>7552</v>
      </c>
      <c r="H69" s="20">
        <v>7548</v>
      </c>
    </row>
    <row r="70" spans="1:10" ht="13" x14ac:dyDescent="0.3">
      <c r="A70">
        <v>2011</v>
      </c>
      <c r="B70" s="20" t="s">
        <v>46</v>
      </c>
      <c r="C70" s="2">
        <v>40739</v>
      </c>
      <c r="D70">
        <v>66</v>
      </c>
      <c r="E70" t="s">
        <v>92</v>
      </c>
      <c r="F70">
        <v>993</v>
      </c>
      <c r="G70" s="20">
        <v>7522</v>
      </c>
      <c r="H70" s="20" t="s">
        <v>1</v>
      </c>
      <c r="J70" s="19"/>
    </row>
    <row r="71" spans="1:10" x14ac:dyDescent="0.25">
      <c r="A71">
        <v>2011</v>
      </c>
      <c r="B71" s="20" t="s">
        <v>46</v>
      </c>
      <c r="C71" s="2">
        <v>40739</v>
      </c>
      <c r="D71">
        <v>66</v>
      </c>
      <c r="E71" t="s">
        <v>94</v>
      </c>
      <c r="F71">
        <v>994</v>
      </c>
      <c r="G71" s="20" t="s">
        <v>1</v>
      </c>
      <c r="H71" s="20" t="s">
        <v>1</v>
      </c>
    </row>
    <row r="72" spans="1:10" x14ac:dyDescent="0.25">
      <c r="A72">
        <v>2011</v>
      </c>
      <c r="B72" s="20" t="s">
        <v>46</v>
      </c>
      <c r="C72" s="2">
        <v>40739</v>
      </c>
      <c r="D72">
        <v>66</v>
      </c>
      <c r="E72" t="s">
        <v>95</v>
      </c>
      <c r="F72">
        <v>995</v>
      </c>
      <c r="G72" s="20" t="s">
        <v>124</v>
      </c>
      <c r="H72" s="20">
        <v>7523</v>
      </c>
      <c r="I72" s="28" t="s">
        <v>125</v>
      </c>
    </row>
    <row r="73" spans="1:10" x14ac:dyDescent="0.25">
      <c r="A73">
        <v>2011</v>
      </c>
      <c r="B73" s="20" t="s">
        <v>46</v>
      </c>
      <c r="C73" s="2">
        <v>40739</v>
      </c>
      <c r="D73">
        <v>66</v>
      </c>
      <c r="E73" t="s">
        <v>96</v>
      </c>
      <c r="F73">
        <v>996</v>
      </c>
      <c r="G73" s="20">
        <v>7539</v>
      </c>
      <c r="H73" s="20">
        <v>7534</v>
      </c>
    </row>
    <row r="74" spans="1:10" x14ac:dyDescent="0.25">
      <c r="A74">
        <v>2011</v>
      </c>
      <c r="B74" s="20" t="s">
        <v>46</v>
      </c>
      <c r="C74" s="2">
        <v>40739</v>
      </c>
      <c r="D74">
        <v>66</v>
      </c>
      <c r="E74" t="s">
        <v>98</v>
      </c>
      <c r="F74">
        <v>997</v>
      </c>
      <c r="G74" s="20" t="s">
        <v>126</v>
      </c>
      <c r="H74" s="20">
        <v>7535</v>
      </c>
    </row>
    <row r="75" spans="1:10" x14ac:dyDescent="0.25">
      <c r="A75">
        <v>2011</v>
      </c>
      <c r="B75" s="20" t="s">
        <v>46</v>
      </c>
      <c r="C75" s="2">
        <v>40739</v>
      </c>
      <c r="D75">
        <v>66</v>
      </c>
      <c r="E75" t="s">
        <v>99</v>
      </c>
      <c r="F75">
        <v>998</v>
      </c>
      <c r="G75">
        <v>7542</v>
      </c>
      <c r="H75" s="20">
        <v>7536</v>
      </c>
    </row>
    <row r="76" spans="1:10" ht="13" x14ac:dyDescent="0.3">
      <c r="B76" s="20"/>
      <c r="F76" s="20"/>
      <c r="H76" s="20"/>
      <c r="J76" s="19"/>
    </row>
    <row r="77" spans="1:10" x14ac:dyDescent="0.25">
      <c r="B77" s="20"/>
      <c r="G77" s="20"/>
      <c r="H77" s="20"/>
    </row>
    <row r="78" spans="1:10" x14ac:dyDescent="0.25">
      <c r="B78" s="20"/>
      <c r="H78" s="20"/>
    </row>
    <row r="79" spans="1:10" x14ac:dyDescent="0.25">
      <c r="B79" s="20"/>
      <c r="H79" s="20"/>
    </row>
    <row r="80" spans="1:10" x14ac:dyDescent="0.25">
      <c r="B80" s="20"/>
      <c r="F80" s="20"/>
      <c r="G80" s="20"/>
      <c r="H80" s="20"/>
    </row>
    <row r="81" spans="2:10" x14ac:dyDescent="0.25">
      <c r="B81" s="20"/>
      <c r="G81" s="20"/>
      <c r="H81" s="20"/>
    </row>
    <row r="82" spans="2:10" ht="13" x14ac:dyDescent="0.3">
      <c r="B82" s="20"/>
      <c r="F82" s="20"/>
      <c r="G82" s="20"/>
      <c r="H82" s="20"/>
      <c r="J82" s="19"/>
    </row>
    <row r="83" spans="2:10" x14ac:dyDescent="0.25">
      <c r="B83" s="20"/>
      <c r="G83" s="20"/>
      <c r="H83" s="20"/>
    </row>
    <row r="84" spans="2:10" x14ac:dyDescent="0.25">
      <c r="B84" s="20"/>
      <c r="F84" s="20"/>
      <c r="G84" s="20"/>
      <c r="H84" s="20"/>
    </row>
    <row r="85" spans="2:10" x14ac:dyDescent="0.25">
      <c r="B85" s="20"/>
      <c r="G85" s="20"/>
      <c r="H85" s="20"/>
    </row>
    <row r="86" spans="2:10" x14ac:dyDescent="0.25">
      <c r="B86" s="20"/>
      <c r="F86" s="20"/>
      <c r="G86" s="20"/>
      <c r="H86" s="20"/>
    </row>
    <row r="87" spans="2:10" x14ac:dyDescent="0.25">
      <c r="B87" s="20"/>
      <c r="G87" s="20"/>
      <c r="H87" s="20"/>
    </row>
    <row r="88" spans="2:10" ht="13" x14ac:dyDescent="0.3">
      <c r="B88" s="20"/>
      <c r="G88" s="20"/>
      <c r="H88" s="20"/>
      <c r="J88" s="19"/>
    </row>
    <row r="89" spans="2:10" x14ac:dyDescent="0.25">
      <c r="B89" s="20"/>
      <c r="G89" s="20"/>
      <c r="H89" s="20"/>
    </row>
    <row r="90" spans="2:10" x14ac:dyDescent="0.25">
      <c r="B90" s="20"/>
      <c r="G90" s="20"/>
      <c r="H90" s="20"/>
    </row>
    <row r="91" spans="2:10" x14ac:dyDescent="0.25">
      <c r="B91" s="20"/>
      <c r="G91" s="20"/>
      <c r="H91" s="20"/>
    </row>
    <row r="92" spans="2:10" x14ac:dyDescent="0.25">
      <c r="B92" s="20"/>
      <c r="G92" s="20"/>
      <c r="H92" s="20"/>
    </row>
    <row r="93" spans="2:10" x14ac:dyDescent="0.25">
      <c r="B93" s="20"/>
      <c r="G93" s="20"/>
      <c r="H93" s="20"/>
    </row>
    <row r="94" spans="2:10" ht="13" x14ac:dyDescent="0.3">
      <c r="B94" s="20"/>
      <c r="G94" s="20"/>
      <c r="H94" s="20"/>
      <c r="J94" s="19"/>
    </row>
    <row r="95" spans="2:10" x14ac:dyDescent="0.25">
      <c r="B95" s="20"/>
      <c r="G95" s="20"/>
      <c r="H95" s="20"/>
    </row>
    <row r="96" spans="2:10" x14ac:dyDescent="0.25">
      <c r="B96" s="20"/>
      <c r="H96" s="20"/>
    </row>
    <row r="97" spans="2:10" x14ac:dyDescent="0.25">
      <c r="B97" s="20"/>
      <c r="H97" s="20"/>
    </row>
    <row r="98" spans="2:10" x14ac:dyDescent="0.25">
      <c r="B98" s="20"/>
      <c r="H98" s="20"/>
    </row>
    <row r="99" spans="2:10" x14ac:dyDescent="0.25">
      <c r="B99" s="20"/>
      <c r="H99" s="20"/>
    </row>
    <row r="100" spans="2:10" ht="13" x14ac:dyDescent="0.3">
      <c r="B100" s="20"/>
      <c r="F100" s="20"/>
      <c r="G100" s="20"/>
      <c r="H100" s="20"/>
      <c r="J100" s="19"/>
    </row>
    <row r="101" spans="2:10" x14ac:dyDescent="0.25">
      <c r="B101" s="20"/>
      <c r="G101" s="20"/>
      <c r="H101" s="20"/>
    </row>
    <row r="102" spans="2:10" x14ac:dyDescent="0.25">
      <c r="B102" s="20"/>
      <c r="G102" s="20"/>
      <c r="H102" s="20"/>
    </row>
    <row r="103" spans="2:10" x14ac:dyDescent="0.25">
      <c r="B103" s="20"/>
      <c r="G103" s="20"/>
    </row>
    <row r="104" spans="2:10" x14ac:dyDescent="0.25">
      <c r="B104" s="20"/>
      <c r="G104" s="20"/>
    </row>
    <row r="105" spans="2:10" x14ac:dyDescent="0.25">
      <c r="B105" s="20"/>
      <c r="G105" s="20"/>
    </row>
    <row r="106" spans="2:10" ht="13" x14ac:dyDescent="0.3">
      <c r="B106" s="20"/>
      <c r="G106" s="20"/>
      <c r="H106" s="20"/>
      <c r="J106" s="19"/>
    </row>
    <row r="107" spans="2:10" x14ac:dyDescent="0.25">
      <c r="B107" s="20"/>
      <c r="G107" s="20"/>
      <c r="H107" s="20"/>
    </row>
    <row r="108" spans="2:10" x14ac:dyDescent="0.25">
      <c r="B108" s="20"/>
      <c r="G108" s="20"/>
      <c r="H108" s="20"/>
    </row>
    <row r="109" spans="2:10" x14ac:dyDescent="0.25">
      <c r="B109" s="20"/>
      <c r="G109" s="20"/>
      <c r="H109" s="20"/>
    </row>
    <row r="110" spans="2:10" x14ac:dyDescent="0.25">
      <c r="B110" s="20"/>
      <c r="H110" s="20"/>
    </row>
    <row r="111" spans="2:10" x14ac:dyDescent="0.25">
      <c r="B111" s="20"/>
      <c r="H111" s="20"/>
    </row>
  </sheetData>
  <sortState xmlns:xlrd2="http://schemas.microsoft.com/office/spreadsheetml/2017/richdata2" ref="A4:J75">
    <sortCondition ref="D4:D75"/>
    <sortCondition ref="C4:C75"/>
  </sortState>
  <phoneticPr fontId="1" type="noConversion"/>
  <pageMargins left="0.75" right="0.75" top="1" bottom="1" header="0.5" footer="0.5"/>
  <pageSetup orientation="portrait" horizontalDpi="4294967293" vertic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9"/>
  <sheetViews>
    <sheetView workbookViewId="0">
      <pane ySplit="4" topLeftCell="A5" activePane="bottomLeft" state="frozen"/>
      <selection pane="bottomLeft" activeCell="H47" sqref="H47"/>
    </sheetView>
  </sheetViews>
  <sheetFormatPr defaultRowHeight="12.5" x14ac:dyDescent="0.25"/>
  <cols>
    <col min="2" max="2" width="9.7265625" customWidth="1"/>
    <col min="3" max="3" width="9.1796875" style="2" customWidth="1"/>
    <col min="5" max="5" width="18.54296875" bestFit="1" customWidth="1"/>
  </cols>
  <sheetData>
    <row r="1" spans="1:13" x14ac:dyDescent="0.25">
      <c r="A1" s="2" t="s">
        <v>127</v>
      </c>
      <c r="D1" s="1"/>
      <c r="E1" s="1"/>
      <c r="F1" s="1"/>
      <c r="G1" s="1"/>
      <c r="H1" s="1"/>
      <c r="I1" s="1"/>
      <c r="J1" s="1"/>
      <c r="K1" s="1"/>
      <c r="L1" s="1"/>
    </row>
    <row r="2" spans="1:13" x14ac:dyDescent="0.25">
      <c r="A2" s="2" t="s">
        <v>128</v>
      </c>
      <c r="D2" s="1"/>
      <c r="E2" s="1"/>
      <c r="F2" s="1"/>
      <c r="G2" s="1"/>
      <c r="H2" s="1"/>
      <c r="I2" s="1"/>
      <c r="J2" s="1"/>
      <c r="K2" s="1"/>
      <c r="L2" s="1"/>
    </row>
    <row r="3" spans="1:13" x14ac:dyDescent="0.25">
      <c r="D3" s="1"/>
      <c r="E3" s="1"/>
      <c r="F3" s="1"/>
      <c r="G3" s="1"/>
      <c r="H3" s="1"/>
      <c r="I3" s="1"/>
      <c r="J3" s="1"/>
      <c r="K3" s="1"/>
      <c r="L3" s="1"/>
    </row>
    <row r="4" spans="1:13" ht="13" thickBot="1" x14ac:dyDescent="0.3">
      <c r="A4" s="24" t="s">
        <v>8</v>
      </c>
      <c r="B4" s="24" t="s">
        <v>9</v>
      </c>
      <c r="C4" s="11" t="s">
        <v>10</v>
      </c>
      <c r="D4" s="7" t="s">
        <v>11</v>
      </c>
      <c r="E4" s="7" t="s">
        <v>12</v>
      </c>
      <c r="F4" s="7" t="s">
        <v>129</v>
      </c>
      <c r="G4" s="21" t="s">
        <v>130</v>
      </c>
      <c r="H4" s="7" t="s">
        <v>131</v>
      </c>
      <c r="I4" s="21" t="s">
        <v>132</v>
      </c>
      <c r="J4" s="7" t="s">
        <v>133</v>
      </c>
      <c r="K4" s="21" t="s">
        <v>134</v>
      </c>
      <c r="L4" s="7" t="s">
        <v>135</v>
      </c>
      <c r="M4" s="7" t="s">
        <v>136</v>
      </c>
    </row>
    <row r="5" spans="1:13" ht="13" thickTop="1" x14ac:dyDescent="0.25">
      <c r="A5">
        <v>2011</v>
      </c>
      <c r="B5" t="s">
        <v>46</v>
      </c>
      <c r="C5" s="2">
        <v>40723</v>
      </c>
      <c r="D5">
        <v>16</v>
      </c>
      <c r="E5" t="s">
        <v>137</v>
      </c>
      <c r="F5">
        <v>61</v>
      </c>
      <c r="G5">
        <v>70</v>
      </c>
      <c r="H5">
        <v>11</v>
      </c>
      <c r="I5">
        <v>15</v>
      </c>
      <c r="J5">
        <v>21</v>
      </c>
      <c r="K5">
        <v>30</v>
      </c>
      <c r="L5">
        <v>81</v>
      </c>
      <c r="M5">
        <v>90</v>
      </c>
    </row>
    <row r="6" spans="1:13" x14ac:dyDescent="0.25">
      <c r="A6">
        <v>2011</v>
      </c>
      <c r="B6" t="s">
        <v>46</v>
      </c>
      <c r="C6" s="2">
        <v>40723</v>
      </c>
      <c r="D6">
        <v>16</v>
      </c>
      <c r="E6" t="s">
        <v>138</v>
      </c>
      <c r="F6">
        <v>61</v>
      </c>
      <c r="G6">
        <v>70</v>
      </c>
      <c r="H6">
        <v>11</v>
      </c>
      <c r="I6">
        <v>15</v>
      </c>
      <c r="J6">
        <v>21</v>
      </c>
      <c r="K6">
        <v>30</v>
      </c>
      <c r="L6">
        <v>81</v>
      </c>
      <c r="M6">
        <v>90</v>
      </c>
    </row>
    <row r="7" spans="1:13" x14ac:dyDescent="0.25">
      <c r="A7">
        <v>2011</v>
      </c>
      <c r="B7" t="s">
        <v>46</v>
      </c>
      <c r="C7" s="2">
        <v>40723</v>
      </c>
      <c r="D7">
        <v>16</v>
      </c>
      <c r="E7" t="s">
        <v>55</v>
      </c>
      <c r="F7" t="s">
        <v>2</v>
      </c>
      <c r="G7">
        <v>0.5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5">
      <c r="A8">
        <v>2011</v>
      </c>
      <c r="B8" t="s">
        <v>46</v>
      </c>
      <c r="C8" s="2">
        <v>40723</v>
      </c>
      <c r="D8">
        <v>16</v>
      </c>
      <c r="E8" t="s">
        <v>139</v>
      </c>
      <c r="F8" t="s">
        <v>2</v>
      </c>
      <c r="G8">
        <v>0.5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5">
      <c r="A9">
        <v>2011</v>
      </c>
      <c r="B9" t="s">
        <v>46</v>
      </c>
      <c r="C9" s="2">
        <v>40723</v>
      </c>
      <c r="D9">
        <v>16</v>
      </c>
      <c r="E9" t="s">
        <v>54</v>
      </c>
      <c r="F9" t="s">
        <v>2</v>
      </c>
      <c r="G9">
        <v>0.5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5">
      <c r="A10">
        <v>2011</v>
      </c>
      <c r="B10" t="s">
        <v>46</v>
      </c>
      <c r="C10" s="2">
        <v>40758</v>
      </c>
      <c r="D10">
        <v>17</v>
      </c>
      <c r="E10" s="20" t="s">
        <v>137</v>
      </c>
      <c r="F10" s="20">
        <v>41</v>
      </c>
      <c r="G10" s="20">
        <v>50</v>
      </c>
      <c r="H10" s="20">
        <v>41</v>
      </c>
      <c r="I10" s="20">
        <v>50</v>
      </c>
      <c r="J10" s="20">
        <v>81</v>
      </c>
      <c r="K10" s="20">
        <v>90</v>
      </c>
      <c r="L10" s="20">
        <v>81</v>
      </c>
      <c r="M10" s="20">
        <v>90</v>
      </c>
    </row>
    <row r="11" spans="1:13" x14ac:dyDescent="0.25">
      <c r="A11">
        <v>2011</v>
      </c>
      <c r="B11" t="s">
        <v>46</v>
      </c>
      <c r="C11" s="2">
        <v>40758</v>
      </c>
      <c r="D11">
        <v>17</v>
      </c>
      <c r="E11" s="20" t="s">
        <v>138</v>
      </c>
      <c r="F11" s="20">
        <v>41</v>
      </c>
      <c r="G11" s="20">
        <v>50</v>
      </c>
      <c r="H11" s="20">
        <v>41</v>
      </c>
      <c r="I11" s="20">
        <v>50</v>
      </c>
      <c r="J11" s="20">
        <v>81</v>
      </c>
      <c r="K11" s="20">
        <v>90</v>
      </c>
      <c r="L11" s="20">
        <v>81</v>
      </c>
      <c r="M11" s="20">
        <v>90</v>
      </c>
    </row>
    <row r="12" spans="1:13" x14ac:dyDescent="0.25">
      <c r="A12">
        <v>2011</v>
      </c>
      <c r="B12" t="s">
        <v>46</v>
      </c>
      <c r="C12" s="2">
        <v>40758</v>
      </c>
      <c r="D12">
        <v>17</v>
      </c>
      <c r="E12" s="20" t="s">
        <v>140</v>
      </c>
      <c r="F12" s="20" t="s">
        <v>2</v>
      </c>
      <c r="G12" s="20">
        <v>0.5</v>
      </c>
      <c r="H12" s="20" t="s">
        <v>2</v>
      </c>
      <c r="I12" s="20">
        <v>0.5</v>
      </c>
      <c r="J12" s="20">
        <v>0</v>
      </c>
      <c r="K12" s="20">
        <v>0</v>
      </c>
      <c r="L12" s="20">
        <v>0</v>
      </c>
      <c r="M12" s="20">
        <v>0</v>
      </c>
    </row>
    <row r="13" spans="1:13" x14ac:dyDescent="0.25">
      <c r="A13">
        <v>2011</v>
      </c>
      <c r="B13" t="s">
        <v>46</v>
      </c>
      <c r="C13" s="2">
        <v>40758</v>
      </c>
      <c r="D13">
        <v>17</v>
      </c>
      <c r="E13" s="20" t="s">
        <v>55</v>
      </c>
      <c r="F13" s="20" t="s">
        <v>2</v>
      </c>
      <c r="G13" s="20">
        <v>0.5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</row>
    <row r="14" spans="1:13" x14ac:dyDescent="0.25">
      <c r="A14">
        <v>2011</v>
      </c>
      <c r="B14" t="s">
        <v>46</v>
      </c>
      <c r="C14" s="25">
        <v>40758</v>
      </c>
      <c r="D14">
        <v>18</v>
      </c>
      <c r="E14" s="20" t="s">
        <v>137</v>
      </c>
      <c r="F14" s="20">
        <v>61</v>
      </c>
      <c r="G14" s="20">
        <v>70</v>
      </c>
      <c r="H14" s="20">
        <v>81</v>
      </c>
      <c r="I14" s="20">
        <v>90</v>
      </c>
      <c r="J14" s="20">
        <v>81</v>
      </c>
      <c r="K14" s="20">
        <v>90</v>
      </c>
      <c r="L14" s="20">
        <v>81</v>
      </c>
      <c r="M14" s="20">
        <v>90</v>
      </c>
    </row>
    <row r="15" spans="1:13" x14ac:dyDescent="0.25">
      <c r="A15">
        <v>2011</v>
      </c>
      <c r="B15" t="s">
        <v>46</v>
      </c>
      <c r="C15" s="25">
        <v>40758</v>
      </c>
      <c r="D15">
        <v>18</v>
      </c>
      <c r="E15" s="20" t="s">
        <v>138</v>
      </c>
      <c r="F15" s="20">
        <v>61</v>
      </c>
      <c r="G15" s="20">
        <v>70</v>
      </c>
      <c r="H15" s="20">
        <v>81</v>
      </c>
      <c r="I15" s="20">
        <v>90</v>
      </c>
      <c r="J15" s="20">
        <v>81</v>
      </c>
      <c r="K15" s="20">
        <v>90</v>
      </c>
      <c r="L15" s="20">
        <v>81</v>
      </c>
      <c r="M15" s="20">
        <v>90</v>
      </c>
    </row>
    <row r="16" spans="1:13" x14ac:dyDescent="0.25">
      <c r="A16">
        <v>2011</v>
      </c>
      <c r="B16" t="s">
        <v>46</v>
      </c>
      <c r="C16" s="25">
        <v>40758</v>
      </c>
      <c r="D16">
        <v>18</v>
      </c>
      <c r="E16" s="20" t="s">
        <v>55</v>
      </c>
      <c r="F16" s="20" t="s">
        <v>2</v>
      </c>
      <c r="G16" s="20">
        <v>0.5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</row>
    <row r="17" spans="1:13" x14ac:dyDescent="0.25">
      <c r="A17">
        <v>2011</v>
      </c>
      <c r="B17" t="s">
        <v>46</v>
      </c>
      <c r="C17" s="25">
        <v>40758</v>
      </c>
      <c r="D17">
        <v>18</v>
      </c>
      <c r="E17" s="20" t="s">
        <v>61</v>
      </c>
      <c r="F17" s="20" t="s">
        <v>2</v>
      </c>
      <c r="G17" s="20">
        <v>0.5</v>
      </c>
      <c r="H17" s="20">
        <v>1</v>
      </c>
      <c r="I17" s="20">
        <v>3</v>
      </c>
      <c r="J17" s="20">
        <v>0</v>
      </c>
      <c r="K17" s="20">
        <v>0</v>
      </c>
      <c r="L17" s="20">
        <v>0</v>
      </c>
      <c r="M17" s="20">
        <v>0</v>
      </c>
    </row>
    <row r="18" spans="1:13" x14ac:dyDescent="0.25">
      <c r="A18">
        <v>2011</v>
      </c>
      <c r="B18" t="s">
        <v>46</v>
      </c>
      <c r="C18" s="2">
        <v>40723</v>
      </c>
      <c r="D18">
        <v>22</v>
      </c>
      <c r="E18" t="s">
        <v>137</v>
      </c>
      <c r="F18">
        <v>41</v>
      </c>
      <c r="G18">
        <v>50</v>
      </c>
      <c r="H18">
        <v>61</v>
      </c>
      <c r="I18">
        <v>70</v>
      </c>
      <c r="J18">
        <v>81</v>
      </c>
      <c r="K18">
        <v>90</v>
      </c>
      <c r="L18">
        <v>81</v>
      </c>
      <c r="M18">
        <v>90</v>
      </c>
    </row>
    <row r="19" spans="1:13" x14ac:dyDescent="0.25">
      <c r="A19">
        <v>2011</v>
      </c>
      <c r="B19" t="s">
        <v>46</v>
      </c>
      <c r="C19" s="2">
        <v>40723</v>
      </c>
      <c r="D19">
        <v>22</v>
      </c>
      <c r="E19" t="s">
        <v>138</v>
      </c>
      <c r="F19">
        <v>41</v>
      </c>
      <c r="G19">
        <v>50</v>
      </c>
      <c r="H19">
        <v>61</v>
      </c>
      <c r="I19">
        <v>70</v>
      </c>
      <c r="J19">
        <v>81</v>
      </c>
      <c r="K19">
        <v>90</v>
      </c>
      <c r="L19">
        <v>81</v>
      </c>
      <c r="M19">
        <v>90</v>
      </c>
    </row>
    <row r="20" spans="1:13" x14ac:dyDescent="0.25">
      <c r="A20">
        <v>2011</v>
      </c>
      <c r="B20" t="s">
        <v>46</v>
      </c>
      <c r="C20" s="2">
        <v>40723</v>
      </c>
      <c r="D20">
        <v>22</v>
      </c>
      <c r="E20" t="s">
        <v>61</v>
      </c>
      <c r="F20" t="s">
        <v>2</v>
      </c>
      <c r="G20">
        <v>0.5</v>
      </c>
      <c r="H20" t="s">
        <v>2</v>
      </c>
      <c r="I20">
        <v>0.5</v>
      </c>
      <c r="J20">
        <v>0</v>
      </c>
      <c r="K20">
        <v>0</v>
      </c>
      <c r="L20">
        <v>0</v>
      </c>
      <c r="M20">
        <v>0</v>
      </c>
    </row>
    <row r="21" spans="1:13" x14ac:dyDescent="0.25">
      <c r="A21">
        <v>2011</v>
      </c>
      <c r="B21" t="s">
        <v>46</v>
      </c>
      <c r="C21" s="2">
        <v>40758</v>
      </c>
      <c r="D21">
        <v>23</v>
      </c>
      <c r="E21" s="20" t="s">
        <v>137</v>
      </c>
      <c r="F21" s="20">
        <v>11</v>
      </c>
      <c r="G21" s="20">
        <v>15</v>
      </c>
      <c r="H21" s="20">
        <v>11</v>
      </c>
      <c r="I21" s="20">
        <v>15</v>
      </c>
      <c r="J21" s="20">
        <v>61</v>
      </c>
      <c r="K21" s="20">
        <v>70</v>
      </c>
      <c r="L21" s="20">
        <v>81</v>
      </c>
      <c r="M21" s="20">
        <v>90</v>
      </c>
    </row>
    <row r="22" spans="1:13" x14ac:dyDescent="0.25">
      <c r="A22">
        <v>2011</v>
      </c>
      <c r="B22" t="s">
        <v>46</v>
      </c>
      <c r="C22" s="2">
        <v>40758</v>
      </c>
      <c r="D22">
        <v>23</v>
      </c>
      <c r="E22" s="20" t="s">
        <v>138</v>
      </c>
      <c r="F22" s="20">
        <v>11</v>
      </c>
      <c r="G22" s="20">
        <v>15</v>
      </c>
      <c r="H22" s="20">
        <v>11</v>
      </c>
      <c r="I22" s="20">
        <v>15</v>
      </c>
      <c r="J22" s="20">
        <v>61</v>
      </c>
      <c r="K22" s="20">
        <v>70</v>
      </c>
      <c r="L22" s="20">
        <v>81</v>
      </c>
      <c r="M22" s="20">
        <v>90</v>
      </c>
    </row>
    <row r="23" spans="1:13" x14ac:dyDescent="0.25">
      <c r="A23">
        <v>2011</v>
      </c>
      <c r="B23" t="s">
        <v>46</v>
      </c>
      <c r="C23" s="2">
        <v>40739</v>
      </c>
      <c r="D23">
        <v>24</v>
      </c>
      <c r="E23" s="20" t="s">
        <v>137</v>
      </c>
      <c r="F23" s="20">
        <v>81</v>
      </c>
      <c r="G23" s="20">
        <v>90</v>
      </c>
      <c r="H23" s="20">
        <v>41</v>
      </c>
      <c r="I23" s="20">
        <v>50</v>
      </c>
      <c r="J23" s="20">
        <v>81</v>
      </c>
      <c r="K23" s="20">
        <v>90</v>
      </c>
      <c r="L23" s="20">
        <v>81</v>
      </c>
      <c r="M23" s="20">
        <v>90</v>
      </c>
    </row>
    <row r="24" spans="1:13" x14ac:dyDescent="0.25">
      <c r="A24">
        <v>2011</v>
      </c>
      <c r="B24" t="s">
        <v>46</v>
      </c>
      <c r="C24" s="2">
        <v>40739</v>
      </c>
      <c r="D24">
        <v>24</v>
      </c>
      <c r="E24" s="20" t="s">
        <v>138</v>
      </c>
      <c r="F24" s="20">
        <v>81</v>
      </c>
      <c r="G24" s="20">
        <v>90</v>
      </c>
      <c r="H24" s="20">
        <v>41</v>
      </c>
      <c r="I24" s="20">
        <v>50</v>
      </c>
      <c r="J24" s="20">
        <v>81</v>
      </c>
      <c r="K24" s="20">
        <v>90</v>
      </c>
      <c r="L24" s="20">
        <v>81</v>
      </c>
      <c r="M24" s="20">
        <v>90</v>
      </c>
    </row>
    <row r="25" spans="1:13" x14ac:dyDescent="0.25">
      <c r="A25">
        <v>2011</v>
      </c>
      <c r="B25" t="s">
        <v>46</v>
      </c>
      <c r="C25" s="2">
        <v>40739</v>
      </c>
      <c r="D25">
        <v>24</v>
      </c>
      <c r="E25" s="20" t="s">
        <v>61</v>
      </c>
      <c r="F25" s="20" t="s">
        <v>2</v>
      </c>
      <c r="G25" s="20">
        <v>0.5</v>
      </c>
      <c r="H25" s="20" t="s">
        <v>2</v>
      </c>
      <c r="I25" s="20">
        <v>0.5</v>
      </c>
      <c r="J25" s="20">
        <v>0</v>
      </c>
      <c r="K25" s="20">
        <v>0</v>
      </c>
      <c r="L25" s="20">
        <v>0</v>
      </c>
      <c r="M25" s="20">
        <v>0</v>
      </c>
    </row>
    <row r="26" spans="1:13" x14ac:dyDescent="0.25">
      <c r="A26">
        <v>2011</v>
      </c>
      <c r="B26" t="s">
        <v>46</v>
      </c>
      <c r="C26" s="2">
        <v>40759</v>
      </c>
      <c r="D26">
        <v>61</v>
      </c>
      <c r="E26" s="20" t="s">
        <v>137</v>
      </c>
      <c r="F26" s="20">
        <v>81</v>
      </c>
      <c r="G26" s="20">
        <v>90</v>
      </c>
      <c r="H26" s="20">
        <v>81</v>
      </c>
      <c r="I26" s="20">
        <v>90</v>
      </c>
      <c r="J26" s="20">
        <v>41</v>
      </c>
      <c r="K26" s="20">
        <v>50</v>
      </c>
      <c r="L26" s="20">
        <v>41</v>
      </c>
      <c r="M26" s="20">
        <v>50</v>
      </c>
    </row>
    <row r="27" spans="1:13" x14ac:dyDescent="0.25">
      <c r="A27">
        <v>2011</v>
      </c>
      <c r="B27" t="s">
        <v>46</v>
      </c>
      <c r="C27" s="2">
        <v>40759</v>
      </c>
      <c r="D27">
        <v>61</v>
      </c>
      <c r="E27" s="20" t="s">
        <v>138</v>
      </c>
      <c r="F27" s="20">
        <v>81</v>
      </c>
      <c r="G27" s="20">
        <v>90</v>
      </c>
      <c r="H27" s="20">
        <v>81</v>
      </c>
      <c r="I27" s="20">
        <v>90</v>
      </c>
      <c r="J27" s="20">
        <v>21</v>
      </c>
      <c r="K27" s="20">
        <v>30</v>
      </c>
      <c r="L27" s="20">
        <v>41</v>
      </c>
      <c r="M27" s="20">
        <v>50</v>
      </c>
    </row>
    <row r="28" spans="1:13" x14ac:dyDescent="0.25">
      <c r="A28">
        <v>2011</v>
      </c>
      <c r="B28" t="s">
        <v>46</v>
      </c>
      <c r="C28" s="2">
        <v>40759</v>
      </c>
      <c r="D28">
        <v>61</v>
      </c>
      <c r="E28" s="20" t="s">
        <v>55</v>
      </c>
      <c r="F28" s="20">
        <v>1</v>
      </c>
      <c r="G28" s="20">
        <v>3</v>
      </c>
      <c r="H28" s="20">
        <v>11</v>
      </c>
      <c r="I28" s="20">
        <v>15</v>
      </c>
      <c r="J28" s="20">
        <v>21</v>
      </c>
      <c r="K28" s="20">
        <v>30</v>
      </c>
      <c r="L28" s="20">
        <v>0</v>
      </c>
      <c r="M28" s="20">
        <v>0</v>
      </c>
    </row>
    <row r="29" spans="1:13" x14ac:dyDescent="0.25">
      <c r="A29">
        <v>2011</v>
      </c>
      <c r="B29" t="s">
        <v>46</v>
      </c>
      <c r="C29" s="2">
        <v>40759</v>
      </c>
      <c r="D29">
        <v>62</v>
      </c>
      <c r="E29" s="20" t="s">
        <v>137</v>
      </c>
      <c r="F29" s="20">
        <v>61</v>
      </c>
      <c r="G29" s="20">
        <v>70</v>
      </c>
      <c r="H29" s="20">
        <v>61</v>
      </c>
      <c r="I29" s="20">
        <v>70</v>
      </c>
      <c r="J29" s="20">
        <v>61</v>
      </c>
      <c r="K29" s="20">
        <v>70</v>
      </c>
      <c r="L29" s="20">
        <v>61</v>
      </c>
      <c r="M29" s="20">
        <v>70</v>
      </c>
    </row>
    <row r="30" spans="1:13" x14ac:dyDescent="0.25">
      <c r="A30">
        <v>2011</v>
      </c>
      <c r="B30" t="s">
        <v>46</v>
      </c>
      <c r="C30" s="2">
        <v>40759</v>
      </c>
      <c r="D30">
        <v>62</v>
      </c>
      <c r="E30" s="20" t="s">
        <v>138</v>
      </c>
      <c r="F30" s="20">
        <v>61</v>
      </c>
      <c r="G30" s="20">
        <v>70</v>
      </c>
      <c r="H30" s="20">
        <v>61</v>
      </c>
      <c r="I30" s="20">
        <v>70</v>
      </c>
      <c r="J30" s="20">
        <v>61</v>
      </c>
      <c r="K30" s="20">
        <v>70</v>
      </c>
      <c r="L30" s="20">
        <v>61</v>
      </c>
      <c r="M30" s="20">
        <v>70</v>
      </c>
    </row>
    <row r="31" spans="1:13" x14ac:dyDescent="0.25">
      <c r="A31">
        <v>2011</v>
      </c>
      <c r="B31" t="s">
        <v>46</v>
      </c>
      <c r="C31" s="2">
        <v>40759</v>
      </c>
      <c r="D31">
        <v>62</v>
      </c>
      <c r="E31" s="20" t="s">
        <v>55</v>
      </c>
      <c r="F31" s="20">
        <v>1</v>
      </c>
      <c r="G31" s="20">
        <v>3</v>
      </c>
      <c r="H31" s="20">
        <v>6</v>
      </c>
      <c r="I31" s="20">
        <v>8</v>
      </c>
      <c r="J31" s="20">
        <v>1</v>
      </c>
      <c r="K31" s="20">
        <v>3</v>
      </c>
      <c r="L31" s="20">
        <v>0</v>
      </c>
      <c r="M31" s="20">
        <v>0</v>
      </c>
    </row>
    <row r="32" spans="1:13" x14ac:dyDescent="0.25">
      <c r="A32">
        <v>2011</v>
      </c>
      <c r="B32" t="s">
        <v>46</v>
      </c>
      <c r="C32" s="2">
        <v>40759</v>
      </c>
      <c r="D32">
        <v>62</v>
      </c>
      <c r="E32" s="20" t="s">
        <v>140</v>
      </c>
      <c r="F32" s="20">
        <v>1</v>
      </c>
      <c r="G32" s="20">
        <v>3</v>
      </c>
      <c r="H32" s="20">
        <v>1</v>
      </c>
      <c r="I32" s="20">
        <v>3</v>
      </c>
      <c r="J32" s="20" t="s">
        <v>2</v>
      </c>
      <c r="K32" s="20">
        <v>0.5</v>
      </c>
      <c r="L32" s="20">
        <v>0</v>
      </c>
      <c r="M32" s="20">
        <v>0</v>
      </c>
    </row>
    <row r="33" spans="1:13" x14ac:dyDescent="0.25">
      <c r="A33">
        <v>2011</v>
      </c>
      <c r="B33" t="s">
        <v>46</v>
      </c>
      <c r="C33" s="2">
        <v>40759</v>
      </c>
      <c r="D33">
        <v>62</v>
      </c>
      <c r="E33" s="20" t="s">
        <v>139</v>
      </c>
      <c r="F33" s="20">
        <v>1</v>
      </c>
      <c r="G33" s="20">
        <v>3</v>
      </c>
      <c r="H33" s="20">
        <v>1</v>
      </c>
      <c r="I33" s="20">
        <v>3</v>
      </c>
      <c r="J33" s="20">
        <v>0</v>
      </c>
      <c r="K33" s="20">
        <v>0</v>
      </c>
      <c r="L33" s="20">
        <v>0</v>
      </c>
      <c r="M33" s="20">
        <v>0</v>
      </c>
    </row>
    <row r="34" spans="1:13" x14ac:dyDescent="0.25">
      <c r="A34">
        <v>2011</v>
      </c>
      <c r="B34" t="s">
        <v>46</v>
      </c>
      <c r="C34" s="2">
        <v>40759</v>
      </c>
      <c r="D34">
        <v>62</v>
      </c>
      <c r="E34" s="20" t="s">
        <v>141</v>
      </c>
      <c r="F34" s="20" t="s">
        <v>2</v>
      </c>
      <c r="G34" s="20">
        <v>0.5</v>
      </c>
      <c r="H34" s="20">
        <v>1</v>
      </c>
      <c r="I34" s="20">
        <v>3</v>
      </c>
      <c r="J34" s="20">
        <v>1</v>
      </c>
      <c r="K34" s="20">
        <v>3</v>
      </c>
      <c r="L34" s="20">
        <v>0</v>
      </c>
      <c r="M34" s="20">
        <v>0</v>
      </c>
    </row>
    <row r="35" spans="1:13" x14ac:dyDescent="0.25">
      <c r="A35">
        <v>2011</v>
      </c>
      <c r="B35" t="s">
        <v>46</v>
      </c>
      <c r="C35" s="2">
        <v>40759</v>
      </c>
      <c r="D35">
        <v>63</v>
      </c>
      <c r="E35" s="20" t="s">
        <v>137</v>
      </c>
      <c r="F35" s="20">
        <v>61</v>
      </c>
      <c r="G35" s="20">
        <v>70</v>
      </c>
      <c r="H35" s="20">
        <v>61</v>
      </c>
      <c r="I35" s="20">
        <v>70</v>
      </c>
      <c r="J35" s="20">
        <v>61</v>
      </c>
      <c r="K35" s="20">
        <v>70</v>
      </c>
      <c r="L35" s="20">
        <v>81</v>
      </c>
      <c r="M35" s="20">
        <v>90</v>
      </c>
    </row>
    <row r="36" spans="1:13" x14ac:dyDescent="0.25">
      <c r="A36">
        <v>2011</v>
      </c>
      <c r="B36" t="s">
        <v>46</v>
      </c>
      <c r="C36" s="2">
        <v>40759</v>
      </c>
      <c r="D36">
        <v>63</v>
      </c>
      <c r="E36" s="20" t="s">
        <v>138</v>
      </c>
      <c r="F36" s="20">
        <v>61</v>
      </c>
      <c r="G36" s="20">
        <v>70</v>
      </c>
      <c r="H36" s="20">
        <v>61</v>
      </c>
      <c r="I36" s="20">
        <v>70</v>
      </c>
      <c r="J36" s="20">
        <v>41</v>
      </c>
      <c r="K36" s="20">
        <v>50</v>
      </c>
      <c r="L36" s="20">
        <v>81</v>
      </c>
      <c r="M36" s="20">
        <v>90</v>
      </c>
    </row>
    <row r="37" spans="1:13" x14ac:dyDescent="0.25">
      <c r="A37">
        <v>2011</v>
      </c>
      <c r="B37" t="s">
        <v>46</v>
      </c>
      <c r="C37" s="2">
        <v>40759</v>
      </c>
      <c r="D37">
        <v>63</v>
      </c>
      <c r="E37" s="20" t="s">
        <v>55</v>
      </c>
      <c r="F37" s="20">
        <v>1</v>
      </c>
      <c r="G37" s="20">
        <v>3</v>
      </c>
      <c r="H37" s="20">
        <v>6</v>
      </c>
      <c r="I37" s="20">
        <v>8</v>
      </c>
      <c r="J37" s="20">
        <v>11</v>
      </c>
      <c r="K37" s="20">
        <v>15</v>
      </c>
      <c r="L37" s="20">
        <v>0</v>
      </c>
      <c r="M37" s="20">
        <v>0</v>
      </c>
    </row>
    <row r="38" spans="1:13" x14ac:dyDescent="0.25">
      <c r="A38">
        <v>2011</v>
      </c>
      <c r="B38" t="s">
        <v>46</v>
      </c>
      <c r="C38" s="2">
        <v>40759</v>
      </c>
      <c r="D38">
        <v>64</v>
      </c>
      <c r="E38" s="20" t="s">
        <v>137</v>
      </c>
      <c r="F38" s="20">
        <v>61</v>
      </c>
      <c r="G38" s="20">
        <v>70</v>
      </c>
      <c r="H38" s="20">
        <v>81</v>
      </c>
      <c r="I38" s="20">
        <v>90</v>
      </c>
      <c r="J38" s="20">
        <v>81</v>
      </c>
      <c r="K38" s="20">
        <v>90</v>
      </c>
      <c r="L38" s="20">
        <v>61</v>
      </c>
      <c r="M38" s="20">
        <v>70</v>
      </c>
    </row>
    <row r="39" spans="1:13" x14ac:dyDescent="0.25">
      <c r="A39">
        <v>2011</v>
      </c>
      <c r="B39" t="s">
        <v>46</v>
      </c>
      <c r="C39" s="2">
        <v>40759</v>
      </c>
      <c r="D39">
        <v>64</v>
      </c>
      <c r="E39" s="20" t="s">
        <v>138</v>
      </c>
      <c r="F39" s="20">
        <v>61</v>
      </c>
      <c r="G39" s="20">
        <v>70</v>
      </c>
      <c r="H39" s="20">
        <v>81</v>
      </c>
      <c r="I39" s="20">
        <v>90</v>
      </c>
      <c r="J39" s="20">
        <v>81</v>
      </c>
      <c r="K39" s="20">
        <v>90</v>
      </c>
      <c r="L39" s="20">
        <v>61</v>
      </c>
      <c r="M39" s="20">
        <v>70</v>
      </c>
    </row>
    <row r="40" spans="1:13" x14ac:dyDescent="0.25">
      <c r="A40">
        <v>2011</v>
      </c>
      <c r="B40" t="s">
        <v>46</v>
      </c>
      <c r="C40" s="2">
        <v>40759</v>
      </c>
      <c r="D40">
        <v>64</v>
      </c>
      <c r="E40" s="20" t="s">
        <v>140</v>
      </c>
      <c r="F40" s="20" t="s">
        <v>2</v>
      </c>
      <c r="G40" s="20">
        <v>0.5</v>
      </c>
      <c r="H40" s="20" t="s">
        <v>2</v>
      </c>
      <c r="I40" s="20">
        <v>0.5</v>
      </c>
      <c r="J40" s="20">
        <v>0</v>
      </c>
      <c r="K40" s="20">
        <v>0</v>
      </c>
      <c r="L40" s="20">
        <v>0</v>
      </c>
      <c r="M40" s="20">
        <v>0</v>
      </c>
    </row>
    <row r="41" spans="1:13" x14ac:dyDescent="0.25">
      <c r="A41">
        <v>2011</v>
      </c>
      <c r="B41" t="s">
        <v>46</v>
      </c>
      <c r="C41" s="2">
        <v>40759</v>
      </c>
      <c r="D41">
        <v>64</v>
      </c>
      <c r="E41" s="20" t="s">
        <v>55</v>
      </c>
      <c r="F41" s="20" t="s">
        <v>2</v>
      </c>
      <c r="G41" s="20">
        <v>0.5</v>
      </c>
      <c r="H41" s="20" t="s">
        <v>2</v>
      </c>
      <c r="I41" s="20">
        <v>0.5</v>
      </c>
      <c r="J41" s="20">
        <v>0</v>
      </c>
      <c r="K41" s="20">
        <v>0</v>
      </c>
      <c r="L41" s="20">
        <v>0</v>
      </c>
      <c r="M41" s="20">
        <v>0</v>
      </c>
    </row>
    <row r="42" spans="1:13" x14ac:dyDescent="0.25">
      <c r="A42">
        <v>2011</v>
      </c>
      <c r="B42" t="s">
        <v>46</v>
      </c>
      <c r="C42" s="2">
        <v>40759</v>
      </c>
      <c r="D42">
        <v>64</v>
      </c>
      <c r="E42" s="20" t="s">
        <v>139</v>
      </c>
      <c r="F42" s="20" t="s">
        <v>2</v>
      </c>
      <c r="G42" s="20">
        <v>0.5</v>
      </c>
      <c r="H42" s="20" t="s">
        <v>2</v>
      </c>
      <c r="I42" s="20">
        <v>0.5</v>
      </c>
      <c r="J42" s="20">
        <v>0</v>
      </c>
      <c r="K42" s="20">
        <v>0</v>
      </c>
      <c r="L42" s="20">
        <v>0</v>
      </c>
      <c r="M42" s="20">
        <v>0</v>
      </c>
    </row>
    <row r="43" spans="1:13" x14ac:dyDescent="0.25">
      <c r="A43">
        <v>2011</v>
      </c>
      <c r="B43" t="s">
        <v>46</v>
      </c>
      <c r="C43" s="2">
        <v>40739</v>
      </c>
      <c r="D43">
        <v>65</v>
      </c>
      <c r="E43" s="20" t="s">
        <v>137</v>
      </c>
      <c r="F43" s="20">
        <v>61</v>
      </c>
      <c r="G43" s="20">
        <v>70</v>
      </c>
      <c r="H43" s="20">
        <v>81</v>
      </c>
      <c r="I43" s="20">
        <v>90</v>
      </c>
      <c r="J43" s="20">
        <v>81</v>
      </c>
      <c r="K43" s="20">
        <v>90</v>
      </c>
      <c r="L43" s="20">
        <v>81</v>
      </c>
      <c r="M43" s="20">
        <v>90</v>
      </c>
    </row>
    <row r="44" spans="1:13" x14ac:dyDescent="0.25">
      <c r="A44">
        <v>2011</v>
      </c>
      <c r="B44" t="s">
        <v>46</v>
      </c>
      <c r="C44" s="2">
        <v>40739</v>
      </c>
      <c r="D44">
        <v>65</v>
      </c>
      <c r="E44" s="20" t="s">
        <v>138</v>
      </c>
      <c r="F44" s="20">
        <v>61</v>
      </c>
      <c r="G44" s="20">
        <v>70</v>
      </c>
      <c r="H44" s="20">
        <v>81</v>
      </c>
      <c r="I44" s="20">
        <v>90</v>
      </c>
      <c r="J44" s="20">
        <v>81</v>
      </c>
      <c r="K44" s="20">
        <v>90</v>
      </c>
      <c r="L44" s="20">
        <v>81</v>
      </c>
      <c r="M44" s="20">
        <v>90</v>
      </c>
    </row>
    <row r="45" spans="1:13" x14ac:dyDescent="0.25">
      <c r="A45">
        <v>2011</v>
      </c>
      <c r="B45" t="s">
        <v>46</v>
      </c>
      <c r="C45" s="2">
        <v>40739</v>
      </c>
      <c r="D45">
        <v>66</v>
      </c>
      <c r="E45" s="20" t="s">
        <v>137</v>
      </c>
      <c r="F45" s="20">
        <v>21</v>
      </c>
      <c r="G45" s="20">
        <v>30</v>
      </c>
      <c r="H45" s="20">
        <v>21</v>
      </c>
      <c r="I45" s="20">
        <v>30</v>
      </c>
      <c r="J45" s="20">
        <v>41</v>
      </c>
      <c r="K45" s="20">
        <v>50</v>
      </c>
      <c r="L45" s="20">
        <v>81</v>
      </c>
      <c r="M45" s="20">
        <v>90</v>
      </c>
    </row>
    <row r="46" spans="1:13" x14ac:dyDescent="0.25">
      <c r="A46">
        <v>2011</v>
      </c>
      <c r="B46" t="s">
        <v>46</v>
      </c>
      <c r="C46" s="2">
        <v>40739</v>
      </c>
      <c r="D46">
        <v>66</v>
      </c>
      <c r="E46" s="20" t="s">
        <v>138</v>
      </c>
      <c r="F46" s="20">
        <v>21</v>
      </c>
      <c r="G46" s="20">
        <v>30</v>
      </c>
      <c r="H46" s="20">
        <v>21</v>
      </c>
      <c r="I46" s="20">
        <v>30</v>
      </c>
      <c r="J46" s="20">
        <v>41</v>
      </c>
      <c r="K46" s="20">
        <v>50</v>
      </c>
      <c r="L46" s="20">
        <v>81</v>
      </c>
      <c r="M46" s="20">
        <v>90</v>
      </c>
    </row>
    <row r="47" spans="1:13" x14ac:dyDescent="0.25">
      <c r="A47">
        <v>2011</v>
      </c>
      <c r="B47" t="s">
        <v>46</v>
      </c>
      <c r="C47" s="2">
        <v>40739</v>
      </c>
      <c r="D47">
        <v>66</v>
      </c>
      <c r="E47" s="20" t="s">
        <v>55</v>
      </c>
      <c r="F47" s="20">
        <v>1</v>
      </c>
      <c r="G47" s="20">
        <v>3</v>
      </c>
      <c r="H47" s="20" t="s">
        <v>2</v>
      </c>
      <c r="I47" s="20">
        <v>0.5</v>
      </c>
      <c r="J47" s="20">
        <v>0</v>
      </c>
      <c r="K47" s="20">
        <v>0</v>
      </c>
      <c r="L47" s="20">
        <v>0</v>
      </c>
      <c r="M47" s="20">
        <v>0</v>
      </c>
    </row>
    <row r="48" spans="1:13" x14ac:dyDescent="0.25">
      <c r="E48" s="20"/>
      <c r="F48" s="20"/>
      <c r="G48" s="20"/>
      <c r="H48" s="20"/>
      <c r="I48" s="20"/>
      <c r="J48" s="20"/>
      <c r="K48" s="20"/>
      <c r="L48" s="20"/>
      <c r="M48" s="20"/>
    </row>
    <row r="49" spans="5:13" x14ac:dyDescent="0.25">
      <c r="E49" s="20"/>
      <c r="F49" s="20"/>
      <c r="G49" s="20"/>
      <c r="H49" s="20"/>
      <c r="I49" s="20"/>
      <c r="J49" s="20"/>
      <c r="K49" s="20"/>
      <c r="L49" s="20"/>
      <c r="M49" s="20"/>
    </row>
    <row r="50" spans="5:13" x14ac:dyDescent="0.25">
      <c r="E50" s="20"/>
      <c r="F50" s="20"/>
      <c r="G50" s="20"/>
      <c r="H50" s="20"/>
      <c r="I50" s="20"/>
      <c r="J50" s="20"/>
      <c r="K50" s="20"/>
      <c r="L50" s="20"/>
      <c r="M50" s="20"/>
    </row>
    <row r="51" spans="5:13" x14ac:dyDescent="0.25">
      <c r="E51" s="20"/>
      <c r="F51" s="20"/>
      <c r="G51" s="20"/>
      <c r="H51" s="20"/>
      <c r="I51" s="20"/>
      <c r="J51" s="20"/>
      <c r="K51" s="20"/>
      <c r="L51" s="20"/>
      <c r="M51" s="20"/>
    </row>
    <row r="52" spans="5:13" x14ac:dyDescent="0.25">
      <c r="E52" s="20"/>
      <c r="F52" s="20"/>
      <c r="G52" s="20"/>
      <c r="H52" s="20"/>
      <c r="I52" s="20"/>
      <c r="J52" s="20"/>
      <c r="K52" s="20"/>
      <c r="L52" s="20"/>
      <c r="M52" s="20"/>
    </row>
    <row r="53" spans="5:13" x14ac:dyDescent="0.25">
      <c r="E53" s="20"/>
      <c r="F53" s="20"/>
      <c r="G53" s="20"/>
      <c r="H53" s="20"/>
      <c r="I53" s="20"/>
      <c r="J53" s="20"/>
      <c r="K53" s="20"/>
      <c r="L53" s="20"/>
      <c r="M53" s="20"/>
    </row>
    <row r="54" spans="5:13" x14ac:dyDescent="0.25">
      <c r="E54" s="20"/>
      <c r="F54" s="20"/>
      <c r="G54" s="20"/>
      <c r="H54" s="20"/>
      <c r="I54" s="20"/>
      <c r="J54" s="20"/>
      <c r="K54" s="20"/>
      <c r="L54" s="20"/>
      <c r="M54" s="20"/>
    </row>
    <row r="55" spans="5:13" x14ac:dyDescent="0.25">
      <c r="E55" s="20"/>
      <c r="F55" s="20"/>
      <c r="G55" s="20"/>
      <c r="H55" s="20"/>
      <c r="I55" s="20"/>
      <c r="J55" s="20"/>
      <c r="K55" s="20"/>
      <c r="L55" s="20"/>
      <c r="M55" s="20"/>
    </row>
    <row r="56" spans="5:13" x14ac:dyDescent="0.25">
      <c r="E56" s="20"/>
      <c r="F56" s="20"/>
      <c r="G56" s="20"/>
      <c r="H56" s="20"/>
      <c r="I56" s="20"/>
      <c r="J56" s="20"/>
      <c r="K56" s="20"/>
      <c r="L56" s="20"/>
      <c r="M56" s="20"/>
    </row>
    <row r="57" spans="5:13" x14ac:dyDescent="0.25">
      <c r="E57" s="20"/>
      <c r="F57" s="20"/>
      <c r="G57" s="20"/>
      <c r="H57" s="20"/>
      <c r="I57" s="20"/>
      <c r="J57" s="20"/>
      <c r="K57" s="20"/>
      <c r="L57" s="20"/>
      <c r="M57" s="20"/>
    </row>
    <row r="58" spans="5:13" x14ac:dyDescent="0.25">
      <c r="E58" s="20"/>
      <c r="F58" s="20"/>
      <c r="G58" s="20"/>
      <c r="H58" s="20"/>
      <c r="I58" s="20"/>
      <c r="J58" s="20"/>
      <c r="K58" s="20"/>
      <c r="L58" s="20"/>
      <c r="M58" s="20"/>
    </row>
    <row r="59" spans="5:13" x14ac:dyDescent="0.25">
      <c r="E59" s="20"/>
      <c r="F59" s="20"/>
      <c r="G59" s="20"/>
      <c r="H59" s="20"/>
      <c r="I59" s="20"/>
      <c r="J59" s="20"/>
      <c r="K59" s="20"/>
      <c r="L59" s="20"/>
      <c r="M59" s="20"/>
    </row>
    <row r="60" spans="5:13" x14ac:dyDescent="0.25">
      <c r="E60" s="20"/>
      <c r="F60" s="20"/>
      <c r="G60" s="20"/>
      <c r="H60" s="20"/>
      <c r="I60" s="20"/>
      <c r="J60" s="20"/>
      <c r="K60" s="20"/>
      <c r="L60" s="20"/>
      <c r="M60" s="20"/>
    </row>
    <row r="61" spans="5:13" x14ac:dyDescent="0.25">
      <c r="E61" s="20"/>
      <c r="F61" s="20"/>
      <c r="G61" s="20"/>
      <c r="H61" s="20"/>
      <c r="I61" s="20"/>
      <c r="J61" s="20"/>
      <c r="K61" s="20"/>
      <c r="L61" s="20"/>
      <c r="M61" s="20"/>
    </row>
    <row r="62" spans="5:13" x14ac:dyDescent="0.25">
      <c r="E62" s="20"/>
      <c r="F62" s="20"/>
      <c r="G62" s="20"/>
      <c r="H62" s="20"/>
      <c r="I62" s="20"/>
      <c r="J62" s="20"/>
      <c r="K62" s="20"/>
      <c r="L62" s="20"/>
      <c r="M62" s="20"/>
    </row>
    <row r="63" spans="5:13" x14ac:dyDescent="0.25">
      <c r="E63" s="20"/>
      <c r="F63" s="20"/>
      <c r="G63" s="20"/>
      <c r="H63" s="20"/>
      <c r="I63" s="20"/>
      <c r="J63" s="20"/>
      <c r="K63" s="20"/>
      <c r="L63" s="20"/>
      <c r="M63" s="20"/>
    </row>
    <row r="64" spans="5:13" x14ac:dyDescent="0.25">
      <c r="E64" s="20"/>
      <c r="F64" s="20"/>
      <c r="G64" s="20"/>
      <c r="H64" s="20"/>
      <c r="I64" s="20"/>
      <c r="J64" s="20"/>
      <c r="K64" s="20"/>
      <c r="L64" s="20"/>
      <c r="M64" s="20"/>
    </row>
    <row r="65" spans="5:13" x14ac:dyDescent="0.25">
      <c r="E65" s="20"/>
      <c r="F65" s="20"/>
      <c r="G65" s="20"/>
      <c r="H65" s="20"/>
      <c r="I65" s="20"/>
      <c r="J65" s="20"/>
      <c r="K65" s="20"/>
      <c r="L65" s="20"/>
      <c r="M65" s="20"/>
    </row>
    <row r="66" spans="5:13" x14ac:dyDescent="0.25">
      <c r="E66" s="20"/>
      <c r="F66" s="20"/>
      <c r="G66" s="20"/>
      <c r="H66" s="20"/>
      <c r="I66" s="20"/>
      <c r="J66" s="20"/>
      <c r="K66" s="20"/>
      <c r="L66" s="20"/>
      <c r="M66" s="20"/>
    </row>
    <row r="67" spans="5:13" x14ac:dyDescent="0.25">
      <c r="E67" s="20"/>
      <c r="F67" s="20"/>
      <c r="G67" s="20"/>
      <c r="H67" s="20"/>
      <c r="I67" s="20"/>
      <c r="J67" s="20"/>
      <c r="K67" s="20"/>
      <c r="L67" s="20"/>
      <c r="M67" s="20"/>
    </row>
    <row r="68" spans="5:13" x14ac:dyDescent="0.25">
      <c r="E68" s="20"/>
      <c r="F68" s="20"/>
      <c r="G68" s="20"/>
      <c r="H68" s="20"/>
      <c r="I68" s="20"/>
      <c r="J68" s="20"/>
      <c r="K68" s="20"/>
      <c r="L68" s="20"/>
      <c r="M68" s="20"/>
    </row>
    <row r="69" spans="5:13" x14ac:dyDescent="0.25">
      <c r="E69" s="20"/>
      <c r="F69" s="20"/>
      <c r="G69" s="20"/>
      <c r="H69" s="20"/>
      <c r="I69" s="20"/>
      <c r="J69" s="20"/>
      <c r="K69" s="20"/>
      <c r="L69" s="20"/>
      <c r="M69" s="20"/>
    </row>
    <row r="70" spans="5:13" x14ac:dyDescent="0.25">
      <c r="E70" s="20"/>
      <c r="F70" s="20"/>
      <c r="G70" s="20"/>
      <c r="H70" s="20"/>
      <c r="I70" s="20"/>
      <c r="J70" s="20"/>
      <c r="K70" s="20"/>
      <c r="L70" s="20"/>
      <c r="M70" s="20"/>
    </row>
    <row r="71" spans="5:13" x14ac:dyDescent="0.25">
      <c r="E71" s="20"/>
      <c r="F71" s="20"/>
      <c r="G71" s="20"/>
      <c r="H71" s="20"/>
      <c r="I71" s="20"/>
      <c r="J71" s="20"/>
      <c r="K71" s="20"/>
      <c r="L71" s="20"/>
      <c r="M71" s="20"/>
    </row>
    <row r="72" spans="5:13" x14ac:dyDescent="0.25">
      <c r="E72" s="20"/>
      <c r="F72" s="20"/>
      <c r="G72" s="20"/>
      <c r="H72" s="20"/>
      <c r="I72" s="20"/>
      <c r="J72" s="20"/>
      <c r="K72" s="20"/>
      <c r="L72" s="20"/>
      <c r="M72" s="20"/>
    </row>
    <row r="73" spans="5:13" x14ac:dyDescent="0.25">
      <c r="E73" s="20"/>
      <c r="F73" s="20"/>
      <c r="G73" s="20"/>
      <c r="H73" s="20"/>
      <c r="I73" s="20"/>
      <c r="J73" s="20"/>
      <c r="K73" s="20"/>
      <c r="L73" s="20"/>
      <c r="M73" s="20"/>
    </row>
    <row r="74" spans="5:13" x14ac:dyDescent="0.25">
      <c r="E74" s="20"/>
      <c r="F74" s="20"/>
      <c r="G74" s="20"/>
      <c r="H74" s="20"/>
      <c r="I74" s="20"/>
      <c r="J74" s="20"/>
      <c r="K74" s="20"/>
      <c r="L74" s="20"/>
      <c r="M74" s="20"/>
    </row>
    <row r="75" spans="5:13" x14ac:dyDescent="0.25">
      <c r="E75" s="20"/>
      <c r="F75" s="20"/>
      <c r="G75" s="20"/>
      <c r="H75" s="20"/>
      <c r="I75" s="20"/>
      <c r="J75" s="20"/>
      <c r="K75" s="20"/>
      <c r="L75" s="20"/>
      <c r="M75" s="20"/>
    </row>
    <row r="76" spans="5:13" x14ac:dyDescent="0.25">
      <c r="E76" s="20"/>
      <c r="F76" s="20"/>
      <c r="G76" s="20"/>
      <c r="H76" s="20"/>
      <c r="I76" s="20"/>
      <c r="J76" s="20"/>
      <c r="K76" s="20"/>
      <c r="L76" s="20"/>
      <c r="M76" s="20"/>
    </row>
    <row r="77" spans="5:13" x14ac:dyDescent="0.25">
      <c r="E77" s="20"/>
      <c r="F77" s="20"/>
      <c r="G77" s="20"/>
      <c r="H77" s="20"/>
      <c r="I77" s="20"/>
      <c r="J77" s="20"/>
      <c r="K77" s="20"/>
      <c r="L77" s="20"/>
      <c r="M77" s="20"/>
    </row>
    <row r="78" spans="5:13" x14ac:dyDescent="0.25">
      <c r="E78" s="20"/>
      <c r="F78" s="20"/>
      <c r="G78" s="20"/>
      <c r="H78" s="20"/>
      <c r="I78" s="20"/>
      <c r="J78" s="20"/>
      <c r="K78" s="20"/>
      <c r="L78" s="20"/>
      <c r="M78" s="20"/>
    </row>
    <row r="79" spans="5:13" x14ac:dyDescent="0.25">
      <c r="E79" s="20"/>
      <c r="F79" s="20"/>
      <c r="G79" s="20"/>
      <c r="H79" s="20"/>
      <c r="I79" s="20"/>
      <c r="J79" s="20"/>
      <c r="K79" s="20"/>
      <c r="L79" s="20"/>
      <c r="M79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6"/>
  <sheetViews>
    <sheetView workbookViewId="0">
      <pane ySplit="3" topLeftCell="A87" activePane="bottomLeft" state="frozen"/>
      <selection pane="bottomLeft" activeCell="E5" sqref="E5"/>
    </sheetView>
  </sheetViews>
  <sheetFormatPr defaultRowHeight="12.5" x14ac:dyDescent="0.25"/>
  <cols>
    <col min="1" max="1" width="8.7265625" customWidth="1"/>
    <col min="2" max="2" width="9.54296875" customWidth="1"/>
    <col min="3" max="3" width="9.1796875" style="2" customWidth="1"/>
    <col min="5" max="5" width="21.26953125" customWidth="1"/>
    <col min="11" max="11" width="8.81640625" style="28"/>
  </cols>
  <sheetData>
    <row r="1" spans="1:11" x14ac:dyDescent="0.25">
      <c r="A1" s="2" t="s">
        <v>142</v>
      </c>
      <c r="F1" t="s">
        <v>143</v>
      </c>
      <c r="G1">
        <f>3.14159*(8*8)</f>
        <v>201.06175999999999</v>
      </c>
    </row>
    <row r="2" spans="1:11" x14ac:dyDescent="0.25">
      <c r="A2" t="s">
        <v>144</v>
      </c>
    </row>
    <row r="3" spans="1:11" ht="13" thickBot="1" x14ac:dyDescent="0.3">
      <c r="A3" s="24" t="s">
        <v>8</v>
      </c>
      <c r="B3" s="24" t="s">
        <v>9</v>
      </c>
      <c r="C3" s="5" t="s">
        <v>10</v>
      </c>
      <c r="D3" s="6" t="s">
        <v>11</v>
      </c>
      <c r="E3" s="6" t="s">
        <v>12</v>
      </c>
      <c r="F3" s="6" t="s">
        <v>145</v>
      </c>
      <c r="G3" s="6" t="s">
        <v>146</v>
      </c>
      <c r="H3" s="6" t="s">
        <v>147</v>
      </c>
      <c r="I3" s="6" t="s">
        <v>148</v>
      </c>
      <c r="J3" s="6" t="s">
        <v>149</v>
      </c>
      <c r="K3" s="20" t="s">
        <v>45</v>
      </c>
    </row>
    <row r="4" spans="1:11" ht="13" thickTop="1" x14ac:dyDescent="0.25">
      <c r="A4">
        <v>2011</v>
      </c>
      <c r="B4" s="20" t="s">
        <v>46</v>
      </c>
      <c r="C4" s="2">
        <v>40723</v>
      </c>
      <c r="D4">
        <v>16</v>
      </c>
      <c r="E4" s="20" t="s">
        <v>50</v>
      </c>
      <c r="F4" s="20">
        <v>1</v>
      </c>
      <c r="G4" s="20">
        <v>2</v>
      </c>
      <c r="H4" s="20">
        <v>0</v>
      </c>
      <c r="I4" s="20">
        <v>0</v>
      </c>
      <c r="J4">
        <f>SUM(F4:I4)</f>
        <v>3</v>
      </c>
    </row>
    <row r="5" spans="1:11" x14ac:dyDescent="0.25">
      <c r="A5">
        <v>2011</v>
      </c>
      <c r="B5" s="20" t="s">
        <v>46</v>
      </c>
      <c r="C5" s="2">
        <v>40723</v>
      </c>
      <c r="D5">
        <v>16</v>
      </c>
      <c r="E5" s="20" t="s">
        <v>56</v>
      </c>
      <c r="F5" s="20">
        <v>8</v>
      </c>
      <c r="G5" s="20">
        <v>6</v>
      </c>
      <c r="H5" s="20">
        <v>0</v>
      </c>
      <c r="I5" s="20">
        <v>0</v>
      </c>
      <c r="J5">
        <f t="shared" ref="J5:J106" si="0">SUM(F5:I5)</f>
        <v>14</v>
      </c>
      <c r="K5" s="28" t="s">
        <v>150</v>
      </c>
    </row>
    <row r="6" spans="1:11" x14ac:dyDescent="0.25">
      <c r="A6">
        <v>2011</v>
      </c>
      <c r="B6" s="20" t="s">
        <v>46</v>
      </c>
      <c r="C6" s="2">
        <v>40723</v>
      </c>
      <c r="D6">
        <v>16</v>
      </c>
      <c r="E6" s="20" t="s">
        <v>151</v>
      </c>
      <c r="F6" s="20">
        <v>1</v>
      </c>
      <c r="G6" s="20">
        <v>0</v>
      </c>
      <c r="H6" s="20">
        <v>1</v>
      </c>
      <c r="I6" s="20">
        <v>0</v>
      </c>
      <c r="J6">
        <f t="shared" si="0"/>
        <v>2</v>
      </c>
    </row>
    <row r="7" spans="1:11" x14ac:dyDescent="0.25">
      <c r="A7">
        <v>2011</v>
      </c>
      <c r="B7" s="20" t="s">
        <v>46</v>
      </c>
      <c r="C7" s="2">
        <v>40723</v>
      </c>
      <c r="D7">
        <v>16</v>
      </c>
      <c r="E7" s="20" t="s">
        <v>48</v>
      </c>
      <c r="F7" s="20">
        <v>0</v>
      </c>
      <c r="G7" s="20">
        <v>1</v>
      </c>
      <c r="H7" s="20">
        <v>0</v>
      </c>
      <c r="I7" s="20">
        <v>0</v>
      </c>
      <c r="J7">
        <f t="shared" si="0"/>
        <v>1</v>
      </c>
    </row>
    <row r="8" spans="1:11" x14ac:dyDescent="0.25">
      <c r="A8">
        <v>2011</v>
      </c>
      <c r="B8" s="20" t="s">
        <v>46</v>
      </c>
      <c r="C8" s="2">
        <v>40723</v>
      </c>
      <c r="D8">
        <v>16</v>
      </c>
      <c r="E8" s="20" t="s">
        <v>57</v>
      </c>
      <c r="F8" s="20">
        <v>0</v>
      </c>
      <c r="G8" s="20">
        <v>2</v>
      </c>
      <c r="H8" s="20">
        <v>0</v>
      </c>
      <c r="I8" s="20">
        <v>0</v>
      </c>
      <c r="J8">
        <f t="shared" si="0"/>
        <v>2</v>
      </c>
    </row>
    <row r="9" spans="1:11" x14ac:dyDescent="0.25">
      <c r="A9">
        <v>2011</v>
      </c>
      <c r="B9" s="20" t="s">
        <v>46</v>
      </c>
      <c r="C9" s="2">
        <v>40723</v>
      </c>
      <c r="D9">
        <v>16</v>
      </c>
      <c r="E9" s="20" t="s">
        <v>49</v>
      </c>
      <c r="F9" s="20">
        <f>(2.6*1.6)</f>
        <v>4.16</v>
      </c>
      <c r="G9" s="20">
        <f>(1.7*1.2)+(1.7*1.9)</f>
        <v>5.27</v>
      </c>
      <c r="H9" s="20">
        <f>(0.8*0.5)</f>
        <v>0.4</v>
      </c>
      <c r="I9" s="20">
        <f>(1.4*1.1)</f>
        <v>1.54</v>
      </c>
      <c r="J9">
        <f t="shared" si="0"/>
        <v>11.370000000000001</v>
      </c>
    </row>
    <row r="10" spans="1:11" x14ac:dyDescent="0.25">
      <c r="A10">
        <v>2011</v>
      </c>
      <c r="B10" s="20" t="s">
        <v>46</v>
      </c>
      <c r="C10" s="2">
        <v>40758</v>
      </c>
      <c r="D10">
        <v>17</v>
      </c>
      <c r="E10" s="20" t="s">
        <v>56</v>
      </c>
      <c r="F10" s="20">
        <v>16</v>
      </c>
      <c r="G10" s="20">
        <v>3</v>
      </c>
      <c r="H10" s="20">
        <v>19</v>
      </c>
      <c r="I10" s="20">
        <v>15</v>
      </c>
      <c r="J10">
        <f t="shared" ref="J10:J23" si="1">SUM(F10:I10)</f>
        <v>53</v>
      </c>
      <c r="K10" s="28" t="s">
        <v>152</v>
      </c>
    </row>
    <row r="11" spans="1:11" x14ac:dyDescent="0.25">
      <c r="A11">
        <v>2011</v>
      </c>
      <c r="B11" s="20" t="s">
        <v>46</v>
      </c>
      <c r="C11" s="2">
        <v>40758</v>
      </c>
      <c r="D11">
        <v>17</v>
      </c>
      <c r="E11" s="20" t="s">
        <v>153</v>
      </c>
      <c r="F11" s="20">
        <v>1</v>
      </c>
      <c r="G11" s="20">
        <v>0</v>
      </c>
      <c r="H11" s="20">
        <v>1</v>
      </c>
      <c r="I11" s="20">
        <v>0</v>
      </c>
      <c r="J11">
        <f t="shared" si="1"/>
        <v>2</v>
      </c>
    </row>
    <row r="12" spans="1:11" x14ac:dyDescent="0.25">
      <c r="A12">
        <v>2011</v>
      </c>
      <c r="B12" s="20" t="s">
        <v>46</v>
      </c>
      <c r="C12" s="2">
        <v>40758</v>
      </c>
      <c r="D12">
        <v>17</v>
      </c>
      <c r="E12" s="20" t="s">
        <v>50</v>
      </c>
      <c r="F12" s="20">
        <v>1</v>
      </c>
      <c r="G12" s="20">
        <v>0</v>
      </c>
      <c r="H12" s="20">
        <v>0</v>
      </c>
      <c r="I12" s="20">
        <v>0</v>
      </c>
      <c r="J12">
        <f t="shared" si="1"/>
        <v>1</v>
      </c>
    </row>
    <row r="13" spans="1:11" x14ac:dyDescent="0.25">
      <c r="A13">
        <v>2011</v>
      </c>
      <c r="B13" s="20" t="s">
        <v>46</v>
      </c>
      <c r="C13" s="2">
        <v>40758</v>
      </c>
      <c r="D13">
        <v>17</v>
      </c>
      <c r="E13" s="20" t="s">
        <v>67</v>
      </c>
      <c r="F13" s="20">
        <v>0</v>
      </c>
      <c r="G13" s="20">
        <v>1</v>
      </c>
      <c r="H13" s="20">
        <v>0</v>
      </c>
      <c r="I13" s="20">
        <v>0</v>
      </c>
      <c r="J13">
        <f t="shared" si="1"/>
        <v>1</v>
      </c>
      <c r="K13" s="28" t="s">
        <v>154</v>
      </c>
    </row>
    <row r="14" spans="1:11" x14ac:dyDescent="0.25">
      <c r="A14">
        <v>2011</v>
      </c>
      <c r="B14" s="20" t="s">
        <v>46</v>
      </c>
      <c r="C14" s="2">
        <v>40758</v>
      </c>
      <c r="D14">
        <v>17</v>
      </c>
      <c r="E14" s="20" t="s">
        <v>68</v>
      </c>
      <c r="F14" s="20">
        <v>0</v>
      </c>
      <c r="G14" s="20">
        <v>0</v>
      </c>
      <c r="H14" s="20">
        <v>0</v>
      </c>
      <c r="I14" s="20">
        <v>1</v>
      </c>
      <c r="J14">
        <f t="shared" si="1"/>
        <v>1</v>
      </c>
    </row>
    <row r="15" spans="1:11" x14ac:dyDescent="0.25">
      <c r="A15">
        <v>2011</v>
      </c>
      <c r="B15" s="20" t="s">
        <v>46</v>
      </c>
      <c r="C15" s="2">
        <v>40758</v>
      </c>
      <c r="D15">
        <v>17</v>
      </c>
      <c r="E15" s="20" t="s">
        <v>155</v>
      </c>
      <c r="F15">
        <f>(201*0.02)</f>
        <v>4.0200000000000005</v>
      </c>
      <c r="G15" s="20">
        <f>(201*0.01)</f>
        <v>2.0100000000000002</v>
      </c>
      <c r="H15" s="20">
        <v>0</v>
      </c>
      <c r="I15">
        <f>(201*0.04)</f>
        <v>8.0400000000000009</v>
      </c>
      <c r="J15">
        <f t="shared" si="1"/>
        <v>14.070000000000002</v>
      </c>
    </row>
    <row r="16" spans="1:11" x14ac:dyDescent="0.25">
      <c r="A16">
        <v>2011</v>
      </c>
      <c r="B16" s="20" t="s">
        <v>46</v>
      </c>
      <c r="C16" s="2">
        <v>40758</v>
      </c>
      <c r="D16">
        <v>17</v>
      </c>
      <c r="E16" s="20" t="s">
        <v>49</v>
      </c>
      <c r="F16" s="20">
        <f>(201*0.01)</f>
        <v>2.0100000000000002</v>
      </c>
      <c r="G16" s="20">
        <f>(201*0.03)</f>
        <v>6.0299999999999994</v>
      </c>
      <c r="H16" s="20">
        <f>(201*0.13)</f>
        <v>26.130000000000003</v>
      </c>
      <c r="I16" s="20">
        <f>(201*0.02)</f>
        <v>4.0200000000000005</v>
      </c>
      <c r="J16">
        <f t="shared" si="1"/>
        <v>38.190000000000005</v>
      </c>
    </row>
    <row r="17" spans="1:11" x14ac:dyDescent="0.25">
      <c r="A17">
        <v>2011</v>
      </c>
      <c r="B17" s="20" t="s">
        <v>46</v>
      </c>
      <c r="C17" s="2">
        <v>40758</v>
      </c>
      <c r="D17">
        <v>18</v>
      </c>
      <c r="E17" s="20" t="s">
        <v>47</v>
      </c>
      <c r="F17" s="20">
        <v>10</v>
      </c>
      <c r="G17" s="20">
        <v>0</v>
      </c>
      <c r="H17" s="20">
        <v>5</v>
      </c>
      <c r="I17" s="20">
        <v>12</v>
      </c>
      <c r="J17">
        <f t="shared" si="1"/>
        <v>27</v>
      </c>
      <c r="K17" s="28" t="s">
        <v>156</v>
      </c>
    </row>
    <row r="18" spans="1:11" x14ac:dyDescent="0.25">
      <c r="A18">
        <v>2011</v>
      </c>
      <c r="B18" s="20" t="s">
        <v>46</v>
      </c>
      <c r="C18" s="2">
        <v>40758</v>
      </c>
      <c r="D18">
        <v>18</v>
      </c>
      <c r="E18" s="20" t="s">
        <v>56</v>
      </c>
      <c r="F18" s="20">
        <v>6</v>
      </c>
      <c r="G18" s="20">
        <v>17</v>
      </c>
      <c r="H18" s="20">
        <v>19</v>
      </c>
      <c r="I18" s="20">
        <v>3</v>
      </c>
      <c r="J18">
        <f t="shared" si="1"/>
        <v>45</v>
      </c>
      <c r="K18" s="28" t="s">
        <v>157</v>
      </c>
    </row>
    <row r="19" spans="1:11" x14ac:dyDescent="0.25">
      <c r="A19">
        <v>2011</v>
      </c>
      <c r="B19" s="20" t="s">
        <v>46</v>
      </c>
      <c r="C19" s="2">
        <v>40758</v>
      </c>
      <c r="D19">
        <v>18</v>
      </c>
      <c r="E19" s="20" t="s">
        <v>67</v>
      </c>
      <c r="F19" s="20">
        <v>1</v>
      </c>
      <c r="G19" s="20">
        <v>1</v>
      </c>
      <c r="H19" s="20">
        <v>0</v>
      </c>
      <c r="I19" s="20">
        <v>5</v>
      </c>
      <c r="J19">
        <f t="shared" si="1"/>
        <v>7</v>
      </c>
      <c r="K19" s="28" t="s">
        <v>158</v>
      </c>
    </row>
    <row r="20" spans="1:11" x14ac:dyDescent="0.25">
      <c r="A20">
        <v>2011</v>
      </c>
      <c r="B20" s="20" t="s">
        <v>46</v>
      </c>
      <c r="C20" s="2">
        <v>40758</v>
      </c>
      <c r="D20">
        <v>18</v>
      </c>
      <c r="E20" s="20" t="s">
        <v>68</v>
      </c>
      <c r="F20" s="20">
        <v>0</v>
      </c>
      <c r="G20" s="20">
        <v>0</v>
      </c>
      <c r="H20" s="20">
        <v>1</v>
      </c>
      <c r="I20" s="20">
        <v>0</v>
      </c>
      <c r="J20">
        <f t="shared" si="1"/>
        <v>1</v>
      </c>
    </row>
    <row r="21" spans="1:11" x14ac:dyDescent="0.25">
      <c r="A21">
        <v>2011</v>
      </c>
      <c r="B21" s="20" t="s">
        <v>46</v>
      </c>
      <c r="C21" s="2">
        <v>40758</v>
      </c>
      <c r="D21">
        <v>18</v>
      </c>
      <c r="E21" s="20" t="s">
        <v>57</v>
      </c>
      <c r="F21" s="20">
        <v>0</v>
      </c>
      <c r="G21" s="20">
        <v>0</v>
      </c>
      <c r="I21" s="20">
        <v>1</v>
      </c>
      <c r="J21">
        <f t="shared" si="1"/>
        <v>1</v>
      </c>
    </row>
    <row r="22" spans="1:11" x14ac:dyDescent="0.25">
      <c r="A22">
        <v>2011</v>
      </c>
      <c r="B22" s="20" t="s">
        <v>46</v>
      </c>
      <c r="C22" s="2">
        <v>40758</v>
      </c>
      <c r="D22">
        <v>18</v>
      </c>
      <c r="E22" s="20" t="s">
        <v>49</v>
      </c>
      <c r="F22">
        <f>(201*0.12)</f>
        <v>24.119999999999997</v>
      </c>
      <c r="G22">
        <f>(201*0.05)</f>
        <v>10.050000000000001</v>
      </c>
      <c r="H22">
        <f>(201*0.08)</f>
        <v>16.080000000000002</v>
      </c>
      <c r="I22">
        <f>(201*0.15)</f>
        <v>30.15</v>
      </c>
      <c r="J22">
        <f t="shared" si="1"/>
        <v>80.400000000000006</v>
      </c>
    </row>
    <row r="23" spans="1:11" x14ac:dyDescent="0.25">
      <c r="A23">
        <v>2011</v>
      </c>
      <c r="B23" s="20" t="s">
        <v>46</v>
      </c>
      <c r="C23" s="2">
        <v>40758</v>
      </c>
      <c r="D23">
        <v>18</v>
      </c>
      <c r="E23" s="20" t="s">
        <v>61</v>
      </c>
      <c r="F23" s="20">
        <v>0</v>
      </c>
      <c r="G23">
        <f>(0.7*0.9)+(1.2*1)</f>
        <v>1.83</v>
      </c>
      <c r="H23">
        <v>0</v>
      </c>
      <c r="I23">
        <v>0</v>
      </c>
      <c r="J23">
        <f t="shared" si="1"/>
        <v>1.83</v>
      </c>
    </row>
    <row r="24" spans="1:11" x14ac:dyDescent="0.25">
      <c r="A24">
        <v>2011</v>
      </c>
      <c r="B24" s="20" t="s">
        <v>46</v>
      </c>
      <c r="C24" s="2">
        <v>40723</v>
      </c>
      <c r="D24">
        <v>22</v>
      </c>
      <c r="E24" s="20" t="s">
        <v>47</v>
      </c>
      <c r="F24" s="20">
        <v>3</v>
      </c>
      <c r="G24" s="20">
        <v>2</v>
      </c>
      <c r="H24" s="20">
        <v>2</v>
      </c>
      <c r="I24" s="20">
        <v>6</v>
      </c>
      <c r="J24">
        <f t="shared" si="0"/>
        <v>13</v>
      </c>
    </row>
    <row r="25" spans="1:11" x14ac:dyDescent="0.25">
      <c r="A25">
        <v>2011</v>
      </c>
      <c r="B25" s="20" t="s">
        <v>46</v>
      </c>
      <c r="C25" s="2">
        <v>40723</v>
      </c>
      <c r="D25">
        <v>22</v>
      </c>
      <c r="E25" s="20" t="s">
        <v>48</v>
      </c>
      <c r="F25" s="20">
        <v>1</v>
      </c>
      <c r="G25" s="20">
        <v>4</v>
      </c>
      <c r="H25" s="20">
        <v>0</v>
      </c>
      <c r="I25" s="20">
        <v>3</v>
      </c>
      <c r="J25">
        <f t="shared" si="0"/>
        <v>8</v>
      </c>
    </row>
    <row r="26" spans="1:11" x14ac:dyDescent="0.25">
      <c r="A26">
        <v>2011</v>
      </c>
      <c r="B26" s="20" t="s">
        <v>46</v>
      </c>
      <c r="C26" s="2">
        <v>40723</v>
      </c>
      <c r="D26">
        <v>22</v>
      </c>
      <c r="E26" s="20" t="s">
        <v>56</v>
      </c>
      <c r="F26" s="20">
        <v>5</v>
      </c>
      <c r="G26" s="20">
        <v>5</v>
      </c>
      <c r="H26" s="20">
        <v>5</v>
      </c>
      <c r="I26" s="20">
        <v>21</v>
      </c>
      <c r="J26">
        <f t="shared" si="0"/>
        <v>36</v>
      </c>
    </row>
    <row r="27" spans="1:11" x14ac:dyDescent="0.25">
      <c r="A27">
        <v>2011</v>
      </c>
      <c r="B27" s="20" t="s">
        <v>46</v>
      </c>
      <c r="C27" s="2">
        <v>40723</v>
      </c>
      <c r="D27">
        <v>22</v>
      </c>
      <c r="E27" s="20" t="s">
        <v>67</v>
      </c>
      <c r="F27" s="20">
        <v>1</v>
      </c>
      <c r="G27" s="20">
        <v>2</v>
      </c>
      <c r="H27" s="20">
        <v>0</v>
      </c>
      <c r="I27" s="20">
        <v>0</v>
      </c>
      <c r="J27">
        <f t="shared" si="0"/>
        <v>3</v>
      </c>
    </row>
    <row r="28" spans="1:11" x14ac:dyDescent="0.25">
      <c r="A28">
        <v>2011</v>
      </c>
      <c r="B28" s="20" t="s">
        <v>46</v>
      </c>
      <c r="C28" s="2">
        <v>40723</v>
      </c>
      <c r="D28">
        <v>22</v>
      </c>
      <c r="E28" s="20" t="s">
        <v>63</v>
      </c>
      <c r="F28" s="20">
        <v>0</v>
      </c>
      <c r="G28" s="20">
        <v>1</v>
      </c>
      <c r="H28" s="20">
        <v>0</v>
      </c>
      <c r="I28" s="20">
        <v>0</v>
      </c>
      <c r="J28">
        <f t="shared" si="0"/>
        <v>1</v>
      </c>
    </row>
    <row r="29" spans="1:11" x14ac:dyDescent="0.25">
      <c r="A29">
        <v>2011</v>
      </c>
      <c r="B29" s="20" t="s">
        <v>46</v>
      </c>
      <c r="C29" s="2">
        <v>40723</v>
      </c>
      <c r="D29">
        <v>22</v>
      </c>
      <c r="E29" s="20" t="s">
        <v>75</v>
      </c>
      <c r="F29" s="20">
        <v>0</v>
      </c>
      <c r="G29" s="20">
        <v>0</v>
      </c>
      <c r="H29" s="20">
        <v>1</v>
      </c>
      <c r="I29" s="20">
        <v>0</v>
      </c>
      <c r="J29">
        <f t="shared" si="0"/>
        <v>1</v>
      </c>
    </row>
    <row r="30" spans="1:11" x14ac:dyDescent="0.25">
      <c r="A30">
        <v>2011</v>
      </c>
      <c r="B30" s="20" t="s">
        <v>46</v>
      </c>
      <c r="C30" s="2">
        <v>40723</v>
      </c>
      <c r="D30">
        <v>22</v>
      </c>
      <c r="E30" s="20" t="s">
        <v>151</v>
      </c>
      <c r="F30" s="20">
        <v>0</v>
      </c>
      <c r="G30" s="20">
        <v>0</v>
      </c>
      <c r="H30" s="20">
        <v>1</v>
      </c>
      <c r="I30" s="20">
        <v>0</v>
      </c>
      <c r="J30">
        <f t="shared" si="0"/>
        <v>1</v>
      </c>
    </row>
    <row r="31" spans="1:11" x14ac:dyDescent="0.25">
      <c r="A31">
        <v>2011</v>
      </c>
      <c r="B31" s="20" t="s">
        <v>46</v>
      </c>
      <c r="C31" s="2">
        <v>40723</v>
      </c>
      <c r="D31">
        <v>22</v>
      </c>
      <c r="E31" s="20" t="s">
        <v>68</v>
      </c>
      <c r="F31" s="20">
        <v>0</v>
      </c>
      <c r="G31" s="20">
        <v>0</v>
      </c>
      <c r="H31" s="20">
        <v>0</v>
      </c>
      <c r="I31" s="20">
        <v>1</v>
      </c>
      <c r="J31">
        <f t="shared" si="0"/>
        <v>1</v>
      </c>
    </row>
    <row r="32" spans="1:11" x14ac:dyDescent="0.25">
      <c r="A32">
        <v>2011</v>
      </c>
      <c r="B32" s="20" t="s">
        <v>46</v>
      </c>
      <c r="C32" s="2">
        <v>40723</v>
      </c>
      <c r="D32">
        <v>22</v>
      </c>
      <c r="E32" s="20" t="s">
        <v>49</v>
      </c>
      <c r="F32" s="20">
        <f>(201*0.02)</f>
        <v>4.0200000000000005</v>
      </c>
      <c r="G32" s="20">
        <f>(201*0.05)</f>
        <v>10.050000000000001</v>
      </c>
      <c r="H32" s="20">
        <f>(201*0.13)</f>
        <v>26.130000000000003</v>
      </c>
      <c r="I32" s="20">
        <f>(201*0.01)</f>
        <v>2.0100000000000002</v>
      </c>
      <c r="J32">
        <f t="shared" si="0"/>
        <v>42.21</v>
      </c>
    </row>
    <row r="33" spans="1:11" x14ac:dyDescent="0.25">
      <c r="A33">
        <v>2011</v>
      </c>
      <c r="B33" s="20" t="s">
        <v>46</v>
      </c>
      <c r="C33" s="2">
        <v>40723</v>
      </c>
      <c r="D33">
        <v>22</v>
      </c>
      <c r="E33" s="20" t="s">
        <v>65</v>
      </c>
      <c r="F33" s="20">
        <f>(201*0.05)</f>
        <v>10.050000000000001</v>
      </c>
      <c r="G33" s="20">
        <f>(201*0.02)</f>
        <v>4.0200000000000005</v>
      </c>
      <c r="H33" s="20">
        <f>(201*0.02)</f>
        <v>4.0200000000000005</v>
      </c>
      <c r="I33" s="20">
        <v>0</v>
      </c>
      <c r="J33">
        <f t="shared" si="0"/>
        <v>18.09</v>
      </c>
    </row>
    <row r="34" spans="1:11" x14ac:dyDescent="0.25">
      <c r="A34">
        <v>2011</v>
      </c>
      <c r="B34" s="20" t="s">
        <v>46</v>
      </c>
      <c r="C34" s="2">
        <v>40723</v>
      </c>
      <c r="D34">
        <v>22</v>
      </c>
      <c r="E34" s="20" t="s">
        <v>61</v>
      </c>
      <c r="F34" s="20">
        <v>0</v>
      </c>
      <c r="G34" s="20">
        <f>(0.8*0.6)</f>
        <v>0.48</v>
      </c>
      <c r="H34" s="20">
        <v>0</v>
      </c>
      <c r="I34" s="20">
        <v>0</v>
      </c>
      <c r="J34">
        <f t="shared" si="0"/>
        <v>0.48</v>
      </c>
    </row>
    <row r="35" spans="1:11" x14ac:dyDescent="0.25">
      <c r="A35">
        <v>2011</v>
      </c>
      <c r="B35" s="20" t="s">
        <v>46</v>
      </c>
      <c r="C35" s="2">
        <v>40723</v>
      </c>
      <c r="D35">
        <v>22</v>
      </c>
      <c r="E35" s="20" t="s">
        <v>159</v>
      </c>
      <c r="F35" s="20">
        <f>(201*0.01)</f>
        <v>2.0100000000000002</v>
      </c>
      <c r="G35" s="20">
        <v>0</v>
      </c>
      <c r="H35" s="20">
        <v>0</v>
      </c>
      <c r="I35" s="20">
        <f>(201*0.01)</f>
        <v>2.0100000000000002</v>
      </c>
      <c r="J35">
        <f t="shared" si="0"/>
        <v>4.0200000000000005</v>
      </c>
    </row>
    <row r="36" spans="1:11" x14ac:dyDescent="0.25">
      <c r="A36">
        <v>2011</v>
      </c>
      <c r="B36" s="20" t="s">
        <v>46</v>
      </c>
      <c r="C36" s="2">
        <v>40759</v>
      </c>
      <c r="D36">
        <v>23</v>
      </c>
      <c r="E36" s="20" t="s">
        <v>69</v>
      </c>
      <c r="F36" s="20">
        <v>2</v>
      </c>
      <c r="G36" s="20">
        <v>1</v>
      </c>
      <c r="H36" s="20">
        <v>1</v>
      </c>
      <c r="I36" s="20">
        <v>3</v>
      </c>
      <c r="J36">
        <f>SUM(F36:I36)</f>
        <v>7</v>
      </c>
    </row>
    <row r="37" spans="1:11" x14ac:dyDescent="0.25">
      <c r="A37">
        <v>2011</v>
      </c>
      <c r="B37" s="20" t="s">
        <v>46</v>
      </c>
      <c r="C37" s="2">
        <v>40759</v>
      </c>
      <c r="D37">
        <v>23</v>
      </c>
      <c r="E37" s="20" t="s">
        <v>56</v>
      </c>
      <c r="F37" s="20">
        <v>6</v>
      </c>
      <c r="G37" s="20">
        <v>0</v>
      </c>
      <c r="H37" s="20">
        <v>0</v>
      </c>
      <c r="I37" s="20">
        <v>0</v>
      </c>
      <c r="J37">
        <f>SUM(F37:I37)</f>
        <v>6</v>
      </c>
      <c r="K37" s="28" t="s">
        <v>160</v>
      </c>
    </row>
    <row r="38" spans="1:11" x14ac:dyDescent="0.25">
      <c r="A38">
        <v>2011</v>
      </c>
      <c r="B38" s="20" t="s">
        <v>46</v>
      </c>
      <c r="C38" s="2">
        <v>40759</v>
      </c>
      <c r="D38">
        <v>23</v>
      </c>
      <c r="E38" s="20" t="s">
        <v>47</v>
      </c>
      <c r="F38" s="20">
        <v>1</v>
      </c>
      <c r="G38" s="20">
        <v>0</v>
      </c>
      <c r="H38" s="20">
        <v>0</v>
      </c>
      <c r="I38" s="20">
        <v>0</v>
      </c>
      <c r="J38">
        <f>SUM(F38:I38)</f>
        <v>1</v>
      </c>
      <c r="K38" s="28" t="s">
        <v>161</v>
      </c>
    </row>
    <row r="39" spans="1:11" x14ac:dyDescent="0.25">
      <c r="A39">
        <v>2011</v>
      </c>
      <c r="B39" s="20" t="s">
        <v>46</v>
      </c>
      <c r="C39" s="2">
        <v>40759</v>
      </c>
      <c r="D39">
        <v>23</v>
      </c>
      <c r="E39" s="20" t="s">
        <v>53</v>
      </c>
      <c r="F39" s="20">
        <v>0</v>
      </c>
      <c r="G39" s="20">
        <v>0</v>
      </c>
      <c r="H39" s="20">
        <v>0</v>
      </c>
      <c r="I39" s="20">
        <v>1</v>
      </c>
      <c r="J39">
        <f>SUM(F39:I39)</f>
        <v>1</v>
      </c>
    </row>
    <row r="40" spans="1:11" x14ac:dyDescent="0.25">
      <c r="A40">
        <v>2011</v>
      </c>
      <c r="B40" s="20" t="s">
        <v>46</v>
      </c>
      <c r="C40" s="2">
        <v>40759</v>
      </c>
      <c r="D40">
        <v>23</v>
      </c>
      <c r="E40" s="20" t="s">
        <v>49</v>
      </c>
      <c r="F40">
        <f>(201*0.09)</f>
        <v>18.09</v>
      </c>
      <c r="G40">
        <f>(3.2*2.6)</f>
        <v>8.32</v>
      </c>
      <c r="H40">
        <f>(1*2)</f>
        <v>2</v>
      </c>
      <c r="I40">
        <f>(201*0.16)</f>
        <v>32.160000000000004</v>
      </c>
      <c r="J40">
        <f>SUM(F40:I40)</f>
        <v>60.570000000000007</v>
      </c>
    </row>
    <row r="41" spans="1:11" x14ac:dyDescent="0.25">
      <c r="A41">
        <v>2011</v>
      </c>
      <c r="B41" s="20" t="s">
        <v>46</v>
      </c>
      <c r="C41" s="2">
        <v>40739</v>
      </c>
      <c r="D41">
        <v>24</v>
      </c>
      <c r="E41" s="20" t="s">
        <v>47</v>
      </c>
      <c r="F41" s="20">
        <v>9</v>
      </c>
      <c r="G41" s="20">
        <v>1</v>
      </c>
      <c r="H41" s="20">
        <v>7</v>
      </c>
      <c r="I41" s="20">
        <v>16</v>
      </c>
      <c r="J41">
        <f t="shared" si="0"/>
        <v>33</v>
      </c>
      <c r="K41" s="28" t="s">
        <v>162</v>
      </c>
    </row>
    <row r="42" spans="1:11" x14ac:dyDescent="0.25">
      <c r="A42">
        <v>2011</v>
      </c>
      <c r="B42" s="20" t="s">
        <v>46</v>
      </c>
      <c r="C42" s="2">
        <v>40739</v>
      </c>
      <c r="D42">
        <v>24</v>
      </c>
      <c r="E42" s="20" t="s">
        <v>67</v>
      </c>
      <c r="F42" s="20">
        <v>1</v>
      </c>
      <c r="G42" s="20">
        <v>1</v>
      </c>
      <c r="H42" s="20">
        <v>0</v>
      </c>
      <c r="I42" s="20">
        <v>0</v>
      </c>
      <c r="J42">
        <f t="shared" si="0"/>
        <v>2</v>
      </c>
    </row>
    <row r="43" spans="1:11" x14ac:dyDescent="0.25">
      <c r="A43">
        <v>2011</v>
      </c>
      <c r="B43" s="20" t="s">
        <v>46</v>
      </c>
      <c r="C43" s="2">
        <v>40739</v>
      </c>
      <c r="D43">
        <v>24</v>
      </c>
      <c r="E43" s="20" t="s">
        <v>69</v>
      </c>
      <c r="F43" s="20">
        <v>1</v>
      </c>
      <c r="G43" s="20">
        <v>1</v>
      </c>
      <c r="H43" s="20">
        <v>2</v>
      </c>
      <c r="I43" s="20">
        <v>0</v>
      </c>
      <c r="J43">
        <f t="shared" si="0"/>
        <v>4</v>
      </c>
    </row>
    <row r="44" spans="1:11" x14ac:dyDescent="0.25">
      <c r="A44">
        <v>2011</v>
      </c>
      <c r="B44" s="20" t="s">
        <v>46</v>
      </c>
      <c r="C44" s="2">
        <v>40739</v>
      </c>
      <c r="D44">
        <v>24</v>
      </c>
      <c r="E44" s="20" t="s">
        <v>56</v>
      </c>
      <c r="F44" s="20">
        <v>1</v>
      </c>
      <c r="G44" s="20">
        <v>0</v>
      </c>
      <c r="H44" s="20">
        <v>18</v>
      </c>
      <c r="I44" s="20">
        <v>2</v>
      </c>
      <c r="J44">
        <f t="shared" si="0"/>
        <v>21</v>
      </c>
      <c r="K44" s="28" t="s">
        <v>163</v>
      </c>
    </row>
    <row r="45" spans="1:11" x14ac:dyDescent="0.25">
      <c r="A45">
        <v>2011</v>
      </c>
      <c r="B45" s="20" t="s">
        <v>46</v>
      </c>
      <c r="C45" s="2">
        <v>40739</v>
      </c>
      <c r="D45">
        <v>24</v>
      </c>
      <c r="E45" s="20" t="s">
        <v>68</v>
      </c>
      <c r="F45" s="20">
        <v>0</v>
      </c>
      <c r="G45" s="20">
        <v>0</v>
      </c>
      <c r="H45" s="20">
        <v>1</v>
      </c>
      <c r="I45" s="20">
        <v>0</v>
      </c>
      <c r="J45">
        <f t="shared" si="0"/>
        <v>1</v>
      </c>
    </row>
    <row r="46" spans="1:11" x14ac:dyDescent="0.25">
      <c r="A46">
        <v>2011</v>
      </c>
      <c r="B46" s="20" t="s">
        <v>46</v>
      </c>
      <c r="C46" s="2">
        <v>40739</v>
      </c>
      <c r="D46">
        <v>24</v>
      </c>
      <c r="E46" s="20" t="s">
        <v>64</v>
      </c>
      <c r="F46" s="20">
        <v>0</v>
      </c>
      <c r="G46" s="20">
        <v>0</v>
      </c>
      <c r="H46" s="20">
        <v>0</v>
      </c>
      <c r="I46" s="20">
        <v>1</v>
      </c>
      <c r="J46">
        <f t="shared" si="0"/>
        <v>1</v>
      </c>
    </row>
    <row r="47" spans="1:11" x14ac:dyDescent="0.25">
      <c r="A47">
        <v>2011</v>
      </c>
      <c r="B47" s="20" t="s">
        <v>46</v>
      </c>
      <c r="C47" s="2">
        <v>40739</v>
      </c>
      <c r="D47">
        <v>24</v>
      </c>
      <c r="E47" s="20" t="s">
        <v>49</v>
      </c>
      <c r="F47" s="20">
        <f>(1.9*2)</f>
        <v>3.8</v>
      </c>
      <c r="G47" s="20">
        <v>0</v>
      </c>
      <c r="H47" s="20">
        <f>(2.5*2)</f>
        <v>5</v>
      </c>
      <c r="I47" s="20">
        <v>0</v>
      </c>
      <c r="J47">
        <f t="shared" si="0"/>
        <v>8.8000000000000007</v>
      </c>
    </row>
    <row r="48" spans="1:11" x14ac:dyDescent="0.25">
      <c r="A48">
        <v>2011</v>
      </c>
      <c r="B48" s="20" t="s">
        <v>46</v>
      </c>
      <c r="C48" s="2">
        <v>40739</v>
      </c>
      <c r="D48">
        <v>24</v>
      </c>
      <c r="E48" s="20" t="s">
        <v>72</v>
      </c>
      <c r="F48" s="20">
        <v>0</v>
      </c>
      <c r="G48" s="20">
        <v>0</v>
      </c>
      <c r="H48">
        <f>(1.3*0.8)+(0.7*0.4)</f>
        <v>1.32</v>
      </c>
      <c r="I48" s="20">
        <v>0</v>
      </c>
      <c r="J48">
        <f t="shared" si="0"/>
        <v>1.32</v>
      </c>
    </row>
    <row r="49" spans="1:11" x14ac:dyDescent="0.25">
      <c r="A49">
        <v>2011</v>
      </c>
      <c r="B49" s="20" t="s">
        <v>46</v>
      </c>
      <c r="C49" s="2">
        <v>40759</v>
      </c>
      <c r="D49">
        <v>61</v>
      </c>
      <c r="E49" s="20" t="s">
        <v>75</v>
      </c>
      <c r="F49" s="20">
        <v>7</v>
      </c>
      <c r="G49" s="20">
        <v>4</v>
      </c>
      <c r="H49" s="20">
        <v>6</v>
      </c>
      <c r="I49" s="20">
        <v>1</v>
      </c>
      <c r="J49">
        <f>SUM(F49:I49)</f>
        <v>18</v>
      </c>
      <c r="K49" s="28" t="s">
        <v>164</v>
      </c>
    </row>
    <row r="50" spans="1:11" x14ac:dyDescent="0.25">
      <c r="A50">
        <v>2011</v>
      </c>
      <c r="B50" s="20" t="s">
        <v>46</v>
      </c>
      <c r="C50" s="2">
        <v>40759</v>
      </c>
      <c r="D50">
        <v>61</v>
      </c>
      <c r="E50" s="20" t="s">
        <v>69</v>
      </c>
      <c r="F50" s="20">
        <v>1</v>
      </c>
      <c r="G50" s="20">
        <v>2</v>
      </c>
      <c r="H50" s="20">
        <v>0</v>
      </c>
      <c r="I50" s="20">
        <v>1</v>
      </c>
      <c r="J50">
        <f>SUM(F50:I50)</f>
        <v>4</v>
      </c>
    </row>
    <row r="51" spans="1:11" x14ac:dyDescent="0.25">
      <c r="A51">
        <v>2011</v>
      </c>
      <c r="B51" s="20" t="s">
        <v>46</v>
      </c>
      <c r="C51" s="2">
        <v>40759</v>
      </c>
      <c r="D51">
        <v>61</v>
      </c>
      <c r="E51" s="20" t="s">
        <v>47</v>
      </c>
      <c r="F51" s="20">
        <v>3</v>
      </c>
      <c r="G51" s="20">
        <v>3</v>
      </c>
      <c r="H51" s="20">
        <v>4</v>
      </c>
      <c r="I51" s="20">
        <v>0</v>
      </c>
      <c r="J51">
        <f>SUM(F51:I51)</f>
        <v>10</v>
      </c>
      <c r="K51" s="28" t="s">
        <v>161</v>
      </c>
    </row>
    <row r="52" spans="1:11" x14ac:dyDescent="0.25">
      <c r="A52">
        <v>2011</v>
      </c>
      <c r="B52" s="20" t="s">
        <v>46</v>
      </c>
      <c r="C52" s="2">
        <v>40759</v>
      </c>
      <c r="D52">
        <v>61</v>
      </c>
      <c r="E52" s="20" t="s">
        <v>64</v>
      </c>
      <c r="F52" s="20">
        <v>0</v>
      </c>
      <c r="G52" s="20">
        <v>1</v>
      </c>
      <c r="H52" s="20">
        <v>1</v>
      </c>
      <c r="I52" s="20">
        <v>0</v>
      </c>
      <c r="J52">
        <f>SUM(F52:I52)</f>
        <v>2</v>
      </c>
    </row>
    <row r="53" spans="1:11" x14ac:dyDescent="0.25">
      <c r="A53">
        <v>2011</v>
      </c>
      <c r="B53" s="20" t="s">
        <v>46</v>
      </c>
      <c r="C53" s="2">
        <v>40759</v>
      </c>
      <c r="D53">
        <v>61</v>
      </c>
      <c r="E53" s="20" t="s">
        <v>74</v>
      </c>
      <c r="F53">
        <f>(201*0.07)</f>
        <v>14.070000000000002</v>
      </c>
      <c r="G53" s="20">
        <v>0</v>
      </c>
      <c r="H53" s="20">
        <v>0</v>
      </c>
      <c r="I53">
        <f>(201*0.06)</f>
        <v>12.059999999999999</v>
      </c>
      <c r="J53">
        <f>SUM(F53:I53)</f>
        <v>26.130000000000003</v>
      </c>
    </row>
    <row r="54" spans="1:11" x14ac:dyDescent="0.25">
      <c r="A54">
        <v>2011</v>
      </c>
      <c r="B54" s="20" t="s">
        <v>46</v>
      </c>
      <c r="C54" s="2">
        <v>40759</v>
      </c>
      <c r="D54">
        <v>61</v>
      </c>
      <c r="E54" s="20" t="s">
        <v>55</v>
      </c>
      <c r="F54">
        <f>(201*0.02)</f>
        <v>4.0200000000000005</v>
      </c>
      <c r="G54">
        <f>(1.3*0.8)+(1*1)+(0.5*0.3)</f>
        <v>2.19</v>
      </c>
      <c r="H54">
        <f>(201*0.14)</f>
        <v>28.140000000000004</v>
      </c>
      <c r="I54">
        <f>(201*0.05)</f>
        <v>10.050000000000001</v>
      </c>
      <c r="J54">
        <f t="shared" ref="J54:J91" si="2">SUM(F54:I54)</f>
        <v>44.400000000000006</v>
      </c>
    </row>
    <row r="55" spans="1:11" x14ac:dyDescent="0.25">
      <c r="A55">
        <v>2011</v>
      </c>
      <c r="B55" s="20" t="s">
        <v>46</v>
      </c>
      <c r="C55" s="2">
        <v>40759</v>
      </c>
      <c r="D55">
        <v>61</v>
      </c>
      <c r="E55" s="20" t="s">
        <v>165</v>
      </c>
      <c r="F55">
        <f>(201*0.01)</f>
        <v>2.0100000000000002</v>
      </c>
      <c r="G55">
        <v>0</v>
      </c>
      <c r="H55">
        <f>(201*0.01)</f>
        <v>2.0100000000000002</v>
      </c>
      <c r="I55">
        <v>0</v>
      </c>
      <c r="J55">
        <f t="shared" si="2"/>
        <v>4.0200000000000005</v>
      </c>
    </row>
    <row r="56" spans="1:11" x14ac:dyDescent="0.25">
      <c r="A56">
        <v>2011</v>
      </c>
      <c r="B56" s="20" t="s">
        <v>46</v>
      </c>
      <c r="C56" s="2">
        <v>40759</v>
      </c>
      <c r="D56">
        <v>61</v>
      </c>
      <c r="E56" s="20" t="s">
        <v>65</v>
      </c>
      <c r="F56">
        <f>(201*0.03)</f>
        <v>6.0299999999999994</v>
      </c>
      <c r="G56">
        <f>(1.3*1.1)</f>
        <v>1.4300000000000002</v>
      </c>
      <c r="H56">
        <f>(1.3*1.2)</f>
        <v>1.56</v>
      </c>
      <c r="I56">
        <f>(201*0.04)</f>
        <v>8.0400000000000009</v>
      </c>
      <c r="J56">
        <f t="shared" si="2"/>
        <v>17.060000000000002</v>
      </c>
    </row>
    <row r="57" spans="1:11" x14ac:dyDescent="0.25">
      <c r="A57">
        <v>2011</v>
      </c>
      <c r="B57" s="20" t="s">
        <v>46</v>
      </c>
      <c r="C57" s="2">
        <v>40759</v>
      </c>
      <c r="D57">
        <v>61</v>
      </c>
      <c r="E57" s="20" t="s">
        <v>72</v>
      </c>
      <c r="F57">
        <f>(1*1)</f>
        <v>1</v>
      </c>
      <c r="G57">
        <f>(0.8*0.7)+(201*0.02)</f>
        <v>4.58</v>
      </c>
      <c r="H57">
        <f>(1.6*1.8)+(1.5*1.3)</f>
        <v>4.83</v>
      </c>
      <c r="I57">
        <f>(201*0.03)</f>
        <v>6.0299999999999994</v>
      </c>
      <c r="J57">
        <f t="shared" si="2"/>
        <v>16.439999999999998</v>
      </c>
    </row>
    <row r="58" spans="1:11" x14ac:dyDescent="0.25">
      <c r="A58">
        <v>2011</v>
      </c>
      <c r="B58" s="20" t="s">
        <v>46</v>
      </c>
      <c r="C58" s="2">
        <v>40759</v>
      </c>
      <c r="D58">
        <v>61</v>
      </c>
      <c r="E58" s="20" t="s">
        <v>166</v>
      </c>
      <c r="F58" s="20">
        <v>0</v>
      </c>
      <c r="G58" s="20">
        <v>0</v>
      </c>
      <c r="H58">
        <f>(201*0.02)</f>
        <v>4.0200000000000005</v>
      </c>
      <c r="I58">
        <f>(201*0.01)</f>
        <v>2.0100000000000002</v>
      </c>
      <c r="J58">
        <f t="shared" si="2"/>
        <v>6.0300000000000011</v>
      </c>
    </row>
    <row r="59" spans="1:11" x14ac:dyDescent="0.25">
      <c r="A59">
        <v>2011</v>
      </c>
      <c r="B59" s="20" t="s">
        <v>46</v>
      </c>
      <c r="C59" s="2">
        <v>40759</v>
      </c>
      <c r="D59">
        <v>62</v>
      </c>
      <c r="E59" s="20" t="s">
        <v>75</v>
      </c>
      <c r="F59" s="20">
        <v>5</v>
      </c>
      <c r="G59" s="20">
        <v>14</v>
      </c>
      <c r="H59" s="20">
        <v>0</v>
      </c>
      <c r="I59" s="20">
        <v>3</v>
      </c>
      <c r="J59">
        <f t="shared" si="2"/>
        <v>22</v>
      </c>
      <c r="K59" s="28" t="s">
        <v>150</v>
      </c>
    </row>
    <row r="60" spans="1:11" x14ac:dyDescent="0.25">
      <c r="A60">
        <v>2011</v>
      </c>
      <c r="B60" s="20" t="s">
        <v>46</v>
      </c>
      <c r="C60" s="2">
        <v>40759</v>
      </c>
      <c r="D60">
        <v>62</v>
      </c>
      <c r="E60" s="20" t="s">
        <v>47</v>
      </c>
      <c r="F60" s="20">
        <v>10</v>
      </c>
      <c r="G60" s="20">
        <v>4</v>
      </c>
      <c r="H60" s="20">
        <v>3</v>
      </c>
      <c r="I60" s="20">
        <v>0</v>
      </c>
      <c r="J60">
        <f t="shared" si="2"/>
        <v>17</v>
      </c>
    </row>
    <row r="61" spans="1:11" x14ac:dyDescent="0.25">
      <c r="A61">
        <v>2011</v>
      </c>
      <c r="B61" s="20" t="s">
        <v>46</v>
      </c>
      <c r="C61" s="2">
        <v>40759</v>
      </c>
      <c r="D61">
        <v>62</v>
      </c>
      <c r="E61" s="20" t="s">
        <v>69</v>
      </c>
      <c r="F61" s="20">
        <v>0</v>
      </c>
      <c r="G61" s="20">
        <v>1</v>
      </c>
      <c r="H61" s="20">
        <v>1</v>
      </c>
      <c r="I61" s="20">
        <v>1</v>
      </c>
      <c r="J61">
        <f t="shared" si="2"/>
        <v>3</v>
      </c>
    </row>
    <row r="62" spans="1:11" x14ac:dyDescent="0.25">
      <c r="A62">
        <v>2011</v>
      </c>
      <c r="B62" s="20" t="s">
        <v>46</v>
      </c>
      <c r="C62" s="2">
        <v>40759</v>
      </c>
      <c r="D62">
        <v>62</v>
      </c>
      <c r="E62" s="20" t="s">
        <v>55</v>
      </c>
      <c r="F62">
        <f>(201*0.06)</f>
        <v>12.059999999999999</v>
      </c>
      <c r="G62" s="20">
        <v>0</v>
      </c>
      <c r="H62" s="20">
        <v>0</v>
      </c>
      <c r="I62">
        <f>(0.4*0.3)+(0.7*0.8)</f>
        <v>0.67999999999999994</v>
      </c>
      <c r="J62">
        <f t="shared" si="2"/>
        <v>12.739999999999998</v>
      </c>
    </row>
    <row r="63" spans="1:11" x14ac:dyDescent="0.25">
      <c r="A63">
        <v>2011</v>
      </c>
      <c r="B63" s="20" t="s">
        <v>46</v>
      </c>
      <c r="C63" s="2">
        <v>40759</v>
      </c>
      <c r="D63">
        <v>62</v>
      </c>
      <c r="E63" s="20" t="s">
        <v>140</v>
      </c>
      <c r="F63">
        <f>(201*0.02)</f>
        <v>4.0200000000000005</v>
      </c>
      <c r="G63" s="20">
        <v>0</v>
      </c>
      <c r="I63">
        <v>0</v>
      </c>
      <c r="J63">
        <f t="shared" si="2"/>
        <v>4.0200000000000005</v>
      </c>
    </row>
    <row r="64" spans="1:11" x14ac:dyDescent="0.25">
      <c r="A64">
        <v>2011</v>
      </c>
      <c r="B64" s="20" t="s">
        <v>46</v>
      </c>
      <c r="C64" s="2">
        <v>40759</v>
      </c>
      <c r="D64">
        <v>62</v>
      </c>
      <c r="E64" s="20" t="s">
        <v>72</v>
      </c>
      <c r="F64">
        <f>(201*0.03)</f>
        <v>6.0299999999999994</v>
      </c>
      <c r="G64">
        <f>(0.7*0.3)+(1*1)</f>
        <v>1.21</v>
      </c>
      <c r="H64">
        <f>(201*0.01)</f>
        <v>2.0100000000000002</v>
      </c>
      <c r="I64">
        <v>0</v>
      </c>
      <c r="J64">
        <f t="shared" si="2"/>
        <v>9.25</v>
      </c>
    </row>
    <row r="65" spans="1:11" x14ac:dyDescent="0.25">
      <c r="A65">
        <v>2011</v>
      </c>
      <c r="B65" s="20" t="s">
        <v>46</v>
      </c>
      <c r="C65" s="2">
        <v>40759</v>
      </c>
      <c r="D65">
        <v>62</v>
      </c>
      <c r="E65" s="20" t="s">
        <v>167</v>
      </c>
      <c r="F65">
        <f t="shared" ref="F65:F67" si="3">(201*0.02)</f>
        <v>4.0200000000000005</v>
      </c>
      <c r="G65">
        <v>0</v>
      </c>
      <c r="H65">
        <v>0</v>
      </c>
      <c r="I65">
        <v>0</v>
      </c>
      <c r="J65">
        <f t="shared" si="2"/>
        <v>4.0200000000000005</v>
      </c>
    </row>
    <row r="66" spans="1:11" x14ac:dyDescent="0.25">
      <c r="A66">
        <v>2011</v>
      </c>
      <c r="B66" s="20" t="s">
        <v>46</v>
      </c>
      <c r="C66" s="2">
        <v>40759</v>
      </c>
      <c r="D66">
        <v>62</v>
      </c>
      <c r="E66" s="20" t="s">
        <v>141</v>
      </c>
      <c r="F66">
        <f t="shared" si="3"/>
        <v>4.0200000000000005</v>
      </c>
      <c r="G66">
        <v>0</v>
      </c>
      <c r="H66">
        <v>0</v>
      </c>
      <c r="I66">
        <v>0</v>
      </c>
      <c r="J66">
        <f t="shared" si="2"/>
        <v>4.0200000000000005</v>
      </c>
    </row>
    <row r="67" spans="1:11" x14ac:dyDescent="0.25">
      <c r="A67">
        <v>2011</v>
      </c>
      <c r="B67" s="20" t="s">
        <v>46</v>
      </c>
      <c r="C67" s="2">
        <v>40759</v>
      </c>
      <c r="D67">
        <v>62</v>
      </c>
      <c r="E67" s="20" t="s">
        <v>139</v>
      </c>
      <c r="F67">
        <f t="shared" si="3"/>
        <v>4.0200000000000005</v>
      </c>
      <c r="G67">
        <v>0</v>
      </c>
      <c r="H67">
        <v>0</v>
      </c>
      <c r="I67">
        <v>0</v>
      </c>
      <c r="J67">
        <f t="shared" si="2"/>
        <v>4.0200000000000005</v>
      </c>
    </row>
    <row r="68" spans="1:11" x14ac:dyDescent="0.25">
      <c r="A68">
        <v>2011</v>
      </c>
      <c r="B68" s="20" t="s">
        <v>46</v>
      </c>
      <c r="C68" s="2">
        <v>40759</v>
      </c>
      <c r="D68">
        <v>62</v>
      </c>
      <c r="E68" s="20" t="s">
        <v>79</v>
      </c>
      <c r="F68">
        <f>(1.5*1)</f>
        <v>1.5</v>
      </c>
      <c r="G68">
        <f>(1.9*1.6)</f>
        <v>3.04</v>
      </c>
      <c r="H68">
        <f>(1.2*1)+(1*0.6)+(1.3*1)+(0.6*0.4)</f>
        <v>3.34</v>
      </c>
      <c r="I68">
        <v>0</v>
      </c>
      <c r="J68">
        <f t="shared" si="2"/>
        <v>7.88</v>
      </c>
    </row>
    <row r="69" spans="1:11" x14ac:dyDescent="0.25">
      <c r="A69">
        <v>2011</v>
      </c>
      <c r="B69" s="20" t="s">
        <v>46</v>
      </c>
      <c r="C69" s="2">
        <v>40759</v>
      </c>
      <c r="D69">
        <v>62</v>
      </c>
      <c r="E69" s="20" t="s">
        <v>65</v>
      </c>
      <c r="F69">
        <f>(201*0.01)</f>
        <v>2.0100000000000002</v>
      </c>
      <c r="G69">
        <f>(1.5*0.8)</f>
        <v>1.2000000000000002</v>
      </c>
      <c r="H69">
        <v>0</v>
      </c>
      <c r="I69">
        <v>0</v>
      </c>
      <c r="J69">
        <f t="shared" si="2"/>
        <v>3.2100000000000004</v>
      </c>
    </row>
    <row r="70" spans="1:11" x14ac:dyDescent="0.25">
      <c r="A70">
        <v>2011</v>
      </c>
      <c r="B70" s="20" t="s">
        <v>46</v>
      </c>
      <c r="C70" s="2">
        <v>40759</v>
      </c>
      <c r="D70">
        <v>62</v>
      </c>
      <c r="E70" s="20" t="s">
        <v>78</v>
      </c>
      <c r="F70">
        <f>(1.5*1)</f>
        <v>1.5</v>
      </c>
      <c r="G70">
        <f>(1.1*0.9)</f>
        <v>0.9900000000000001</v>
      </c>
      <c r="H70">
        <v>0</v>
      </c>
      <c r="I70">
        <v>0</v>
      </c>
      <c r="J70">
        <f t="shared" si="2"/>
        <v>2.4900000000000002</v>
      </c>
    </row>
    <row r="71" spans="1:11" x14ac:dyDescent="0.25">
      <c r="A71">
        <v>2011</v>
      </c>
      <c r="B71" s="20" t="s">
        <v>46</v>
      </c>
      <c r="C71" s="2">
        <v>40759</v>
      </c>
      <c r="D71">
        <v>62</v>
      </c>
      <c r="E71" s="20" t="s">
        <v>166</v>
      </c>
      <c r="F71" s="20">
        <v>0</v>
      </c>
      <c r="G71" s="20">
        <v>0</v>
      </c>
      <c r="H71">
        <f>(201*0.03)</f>
        <v>6.0299999999999994</v>
      </c>
      <c r="I71">
        <v>0</v>
      </c>
      <c r="J71">
        <f t="shared" si="2"/>
        <v>6.0299999999999994</v>
      </c>
    </row>
    <row r="72" spans="1:11" x14ac:dyDescent="0.25">
      <c r="A72">
        <v>2011</v>
      </c>
      <c r="B72" s="20" t="s">
        <v>46</v>
      </c>
      <c r="C72" s="2">
        <v>40759</v>
      </c>
      <c r="D72">
        <v>63</v>
      </c>
      <c r="E72" s="20" t="s">
        <v>47</v>
      </c>
      <c r="F72" s="20">
        <v>10</v>
      </c>
      <c r="G72" s="20">
        <v>21</v>
      </c>
      <c r="H72" s="20">
        <v>35</v>
      </c>
      <c r="I72" s="20">
        <v>37</v>
      </c>
      <c r="J72">
        <f t="shared" si="2"/>
        <v>103</v>
      </c>
    </row>
    <row r="73" spans="1:11" x14ac:dyDescent="0.25">
      <c r="A73">
        <v>2011</v>
      </c>
      <c r="B73" s="20" t="s">
        <v>46</v>
      </c>
      <c r="C73" s="2">
        <v>40759</v>
      </c>
      <c r="D73">
        <v>63</v>
      </c>
      <c r="E73" s="20" t="s">
        <v>69</v>
      </c>
      <c r="F73" s="20">
        <v>1</v>
      </c>
      <c r="G73" s="20">
        <v>3</v>
      </c>
      <c r="H73" s="20">
        <v>2</v>
      </c>
      <c r="I73" s="20">
        <v>1</v>
      </c>
      <c r="J73">
        <f t="shared" si="2"/>
        <v>7</v>
      </c>
      <c r="K73" s="28" t="s">
        <v>168</v>
      </c>
    </row>
    <row r="74" spans="1:11" x14ac:dyDescent="0.25">
      <c r="A74">
        <v>2011</v>
      </c>
      <c r="B74" s="20" t="s">
        <v>46</v>
      </c>
      <c r="C74" s="2">
        <v>40759</v>
      </c>
      <c r="D74">
        <v>63</v>
      </c>
      <c r="E74" s="20" t="s">
        <v>75</v>
      </c>
      <c r="F74" s="20">
        <v>0</v>
      </c>
      <c r="G74" s="20">
        <v>5</v>
      </c>
      <c r="H74" s="20">
        <v>0</v>
      </c>
      <c r="I74" s="20">
        <v>0</v>
      </c>
      <c r="J74">
        <f t="shared" si="2"/>
        <v>5</v>
      </c>
    </row>
    <row r="75" spans="1:11" x14ac:dyDescent="0.25">
      <c r="A75">
        <v>2011</v>
      </c>
      <c r="B75" s="20" t="s">
        <v>46</v>
      </c>
      <c r="C75" s="2">
        <v>40759</v>
      </c>
      <c r="D75">
        <v>63</v>
      </c>
      <c r="E75" s="20" t="s">
        <v>166</v>
      </c>
      <c r="F75">
        <f>(201*0.01)</f>
        <v>2.0100000000000002</v>
      </c>
      <c r="G75">
        <f>(201*0.02)</f>
        <v>4.0200000000000005</v>
      </c>
      <c r="H75" s="20">
        <v>0</v>
      </c>
      <c r="I75" s="20">
        <v>0</v>
      </c>
      <c r="J75">
        <f t="shared" si="2"/>
        <v>6.0300000000000011</v>
      </c>
    </row>
    <row r="76" spans="1:11" x14ac:dyDescent="0.25">
      <c r="A76">
        <v>2011</v>
      </c>
      <c r="B76" s="20" t="s">
        <v>46</v>
      </c>
      <c r="C76" s="2">
        <v>40759</v>
      </c>
      <c r="D76">
        <v>63</v>
      </c>
      <c r="E76" s="20" t="s">
        <v>65</v>
      </c>
      <c r="F76">
        <f>(201*0.01)</f>
        <v>2.0100000000000002</v>
      </c>
      <c r="G76">
        <v>0</v>
      </c>
      <c r="H76" s="20">
        <v>0</v>
      </c>
      <c r="I76">
        <f>(1*0.9)</f>
        <v>0.9</v>
      </c>
      <c r="J76">
        <f t="shared" si="2"/>
        <v>2.91</v>
      </c>
    </row>
    <row r="77" spans="1:11" x14ac:dyDescent="0.25">
      <c r="A77">
        <v>2011</v>
      </c>
      <c r="B77" s="20" t="s">
        <v>46</v>
      </c>
      <c r="C77" s="2">
        <v>40759</v>
      </c>
      <c r="D77">
        <v>63</v>
      </c>
      <c r="E77" s="20" t="s">
        <v>55</v>
      </c>
      <c r="F77">
        <f>(0.9*0.7)+(1.6*1.4)+(0.7*0.6)+(1*0.6)+(0.9*0.8)+(0.4*0.3)</f>
        <v>4.7299999999999995</v>
      </c>
      <c r="G77">
        <f>(201*0.05)</f>
        <v>10.050000000000001</v>
      </c>
      <c r="H77">
        <f>(201*0.03)</f>
        <v>6.0299999999999994</v>
      </c>
      <c r="I77">
        <f>(0.9*0.7)+(0.7*0.6)</f>
        <v>1.05</v>
      </c>
      <c r="J77">
        <f t="shared" si="2"/>
        <v>21.860000000000003</v>
      </c>
    </row>
    <row r="78" spans="1:11" x14ac:dyDescent="0.25">
      <c r="A78">
        <v>2011</v>
      </c>
      <c r="B78" s="20" t="s">
        <v>46</v>
      </c>
      <c r="C78" s="2">
        <v>40759</v>
      </c>
      <c r="D78">
        <v>63</v>
      </c>
      <c r="E78" s="20" t="s">
        <v>74</v>
      </c>
      <c r="F78" s="20">
        <v>0</v>
      </c>
      <c r="G78">
        <f>(1.7*1.8)</f>
        <v>3.06</v>
      </c>
      <c r="H78">
        <v>0</v>
      </c>
      <c r="I78">
        <v>0</v>
      </c>
      <c r="J78">
        <f t="shared" si="2"/>
        <v>3.06</v>
      </c>
    </row>
    <row r="79" spans="1:11" x14ac:dyDescent="0.25">
      <c r="A79">
        <v>2011</v>
      </c>
      <c r="B79" s="20" t="s">
        <v>46</v>
      </c>
      <c r="C79" s="2">
        <v>40759</v>
      </c>
      <c r="D79">
        <v>63</v>
      </c>
      <c r="E79" s="20" t="s">
        <v>72</v>
      </c>
      <c r="F79" s="20">
        <v>0</v>
      </c>
      <c r="G79" s="20">
        <v>0</v>
      </c>
      <c r="H79">
        <f>(201*0.01)</f>
        <v>2.0100000000000002</v>
      </c>
      <c r="I79">
        <v>0</v>
      </c>
      <c r="J79">
        <f t="shared" si="2"/>
        <v>2.0100000000000002</v>
      </c>
    </row>
    <row r="80" spans="1:11" x14ac:dyDescent="0.25">
      <c r="A80">
        <v>2011</v>
      </c>
      <c r="B80" s="20" t="s">
        <v>46</v>
      </c>
      <c r="C80" s="2">
        <v>40759</v>
      </c>
      <c r="D80">
        <v>63</v>
      </c>
      <c r="E80" s="20" t="s">
        <v>165</v>
      </c>
      <c r="F80" s="20">
        <v>0</v>
      </c>
      <c r="G80" s="20">
        <v>0</v>
      </c>
      <c r="H80" s="20">
        <v>0</v>
      </c>
      <c r="I80">
        <f>(0.7*0.6)</f>
        <v>0.42</v>
      </c>
      <c r="J80">
        <f t="shared" si="2"/>
        <v>0.42</v>
      </c>
    </row>
    <row r="81" spans="1:11" x14ac:dyDescent="0.25">
      <c r="A81">
        <v>2011</v>
      </c>
      <c r="B81" s="20" t="s">
        <v>46</v>
      </c>
      <c r="C81" s="2">
        <v>40759</v>
      </c>
      <c r="D81">
        <v>64</v>
      </c>
      <c r="E81" s="20" t="s">
        <v>56</v>
      </c>
      <c r="F81" s="20">
        <v>21</v>
      </c>
      <c r="G81" s="20">
        <v>10</v>
      </c>
      <c r="H81" s="20">
        <v>17</v>
      </c>
      <c r="I81" s="20">
        <v>20</v>
      </c>
      <c r="J81">
        <f t="shared" si="2"/>
        <v>68</v>
      </c>
    </row>
    <row r="82" spans="1:11" x14ac:dyDescent="0.25">
      <c r="A82">
        <v>2011</v>
      </c>
      <c r="B82" s="20" t="s">
        <v>46</v>
      </c>
      <c r="C82" s="2">
        <v>40759</v>
      </c>
      <c r="D82">
        <v>64</v>
      </c>
      <c r="E82" s="20" t="s">
        <v>50</v>
      </c>
      <c r="F82" s="20">
        <v>1</v>
      </c>
      <c r="G82" s="20">
        <v>0</v>
      </c>
      <c r="H82" s="20">
        <v>0</v>
      </c>
      <c r="I82" s="20">
        <v>0</v>
      </c>
      <c r="J82">
        <f t="shared" si="2"/>
        <v>1</v>
      </c>
    </row>
    <row r="83" spans="1:11" x14ac:dyDescent="0.25">
      <c r="A83">
        <v>2011</v>
      </c>
      <c r="B83" s="20" t="s">
        <v>46</v>
      </c>
      <c r="C83" s="2">
        <v>40759</v>
      </c>
      <c r="D83">
        <v>64</v>
      </c>
      <c r="E83" s="20" t="s">
        <v>48</v>
      </c>
      <c r="F83" s="20">
        <v>1</v>
      </c>
      <c r="G83" s="20">
        <v>0</v>
      </c>
      <c r="H83" s="20">
        <v>2</v>
      </c>
      <c r="I83" s="20">
        <v>1</v>
      </c>
      <c r="J83">
        <f t="shared" si="2"/>
        <v>4</v>
      </c>
    </row>
    <row r="84" spans="1:11" x14ac:dyDescent="0.25">
      <c r="A84">
        <v>2011</v>
      </c>
      <c r="B84" s="20" t="s">
        <v>46</v>
      </c>
      <c r="C84" s="2">
        <v>40759</v>
      </c>
      <c r="D84">
        <v>64</v>
      </c>
      <c r="E84" s="20" t="s">
        <v>67</v>
      </c>
      <c r="F84" s="20">
        <v>1</v>
      </c>
      <c r="G84" s="20">
        <v>0</v>
      </c>
      <c r="H84" s="20">
        <v>0</v>
      </c>
      <c r="I84" s="20">
        <v>2</v>
      </c>
      <c r="J84">
        <f t="shared" si="2"/>
        <v>3</v>
      </c>
      <c r="K84" s="28" t="s">
        <v>169</v>
      </c>
    </row>
    <row r="85" spans="1:11" x14ac:dyDescent="0.25">
      <c r="A85">
        <v>2011</v>
      </c>
      <c r="B85" s="20" t="s">
        <v>46</v>
      </c>
      <c r="C85" s="2">
        <v>40759</v>
      </c>
      <c r="D85">
        <v>64</v>
      </c>
      <c r="E85" s="20" t="s">
        <v>47</v>
      </c>
      <c r="F85" s="20">
        <v>0</v>
      </c>
      <c r="G85" s="20">
        <v>0</v>
      </c>
      <c r="H85" s="20">
        <v>1</v>
      </c>
      <c r="I85" s="20">
        <v>2</v>
      </c>
      <c r="J85">
        <f t="shared" si="2"/>
        <v>3</v>
      </c>
      <c r="K85" s="28" t="s">
        <v>156</v>
      </c>
    </row>
    <row r="86" spans="1:11" x14ac:dyDescent="0.25">
      <c r="A86">
        <v>2011</v>
      </c>
      <c r="B86" s="20" t="s">
        <v>46</v>
      </c>
      <c r="C86" s="2">
        <v>40759</v>
      </c>
      <c r="D86">
        <v>64</v>
      </c>
      <c r="E86" s="20" t="s">
        <v>151</v>
      </c>
      <c r="F86" s="20">
        <v>0</v>
      </c>
      <c r="G86" s="20">
        <v>0</v>
      </c>
      <c r="H86" s="20">
        <v>1</v>
      </c>
      <c r="I86" s="20">
        <v>0</v>
      </c>
      <c r="J86">
        <f t="shared" si="2"/>
        <v>1</v>
      </c>
    </row>
    <row r="87" spans="1:11" x14ac:dyDescent="0.25">
      <c r="A87">
        <v>2011</v>
      </c>
      <c r="B87" s="20" t="s">
        <v>46</v>
      </c>
      <c r="C87" s="2">
        <v>40759</v>
      </c>
      <c r="D87">
        <v>64</v>
      </c>
      <c r="E87" s="20" t="s">
        <v>64</v>
      </c>
      <c r="F87" s="20">
        <v>0</v>
      </c>
      <c r="G87" s="20">
        <v>0</v>
      </c>
      <c r="H87" s="20">
        <v>0</v>
      </c>
      <c r="I87" s="20">
        <v>2</v>
      </c>
      <c r="J87">
        <f t="shared" si="2"/>
        <v>2</v>
      </c>
    </row>
    <row r="88" spans="1:11" x14ac:dyDescent="0.25">
      <c r="A88">
        <v>2011</v>
      </c>
      <c r="B88" s="20" t="s">
        <v>46</v>
      </c>
      <c r="C88" s="2">
        <v>40759</v>
      </c>
      <c r="D88">
        <v>64</v>
      </c>
      <c r="E88" s="20" t="s">
        <v>51</v>
      </c>
      <c r="F88">
        <f>(201*0.2)</f>
        <v>40.200000000000003</v>
      </c>
      <c r="G88">
        <f>(201*0.02)</f>
        <v>4.0200000000000005</v>
      </c>
      <c r="H88">
        <f>(0.6*0.4)</f>
        <v>0.24</v>
      </c>
      <c r="I88">
        <f>(201*0.04)</f>
        <v>8.0400000000000009</v>
      </c>
      <c r="J88">
        <f t="shared" si="2"/>
        <v>52.500000000000007</v>
      </c>
    </row>
    <row r="89" spans="1:11" x14ac:dyDescent="0.25">
      <c r="A89">
        <v>2011</v>
      </c>
      <c r="B89" s="20" t="s">
        <v>46</v>
      </c>
      <c r="C89" s="2">
        <v>40759</v>
      </c>
      <c r="D89">
        <v>64</v>
      </c>
      <c r="E89" s="20" t="s">
        <v>49</v>
      </c>
      <c r="F89" s="20">
        <v>0</v>
      </c>
      <c r="G89">
        <f>(201*0.15)</f>
        <v>30.15</v>
      </c>
      <c r="H89">
        <f>(201*0.06)</f>
        <v>12.059999999999999</v>
      </c>
      <c r="I89">
        <f>(1*0.7)</f>
        <v>0.7</v>
      </c>
      <c r="J89">
        <f t="shared" si="2"/>
        <v>42.91</v>
      </c>
    </row>
    <row r="90" spans="1:11" x14ac:dyDescent="0.25">
      <c r="A90">
        <v>2011</v>
      </c>
      <c r="B90" s="20" t="s">
        <v>46</v>
      </c>
      <c r="C90" s="2">
        <v>40759</v>
      </c>
      <c r="D90">
        <v>64</v>
      </c>
      <c r="E90" s="20" t="s">
        <v>58</v>
      </c>
      <c r="F90" s="20">
        <v>0</v>
      </c>
      <c r="G90">
        <f>(1.2*1)</f>
        <v>1.2</v>
      </c>
      <c r="H90">
        <v>0</v>
      </c>
      <c r="I90">
        <v>0</v>
      </c>
      <c r="J90">
        <f t="shared" si="2"/>
        <v>1.2</v>
      </c>
    </row>
    <row r="91" spans="1:11" x14ac:dyDescent="0.25">
      <c r="A91">
        <v>2011</v>
      </c>
      <c r="B91" s="20" t="s">
        <v>46</v>
      </c>
      <c r="C91" s="2">
        <v>40759</v>
      </c>
      <c r="D91">
        <v>64</v>
      </c>
      <c r="E91" s="20" t="s">
        <v>140</v>
      </c>
      <c r="F91" s="20">
        <v>0</v>
      </c>
      <c r="G91" s="20">
        <v>0</v>
      </c>
      <c r="H91">
        <f>(201*0.01)</f>
        <v>2.0100000000000002</v>
      </c>
      <c r="I91">
        <v>0</v>
      </c>
      <c r="J91">
        <f t="shared" si="2"/>
        <v>2.0100000000000002</v>
      </c>
    </row>
    <row r="92" spans="1:11" x14ac:dyDescent="0.25">
      <c r="A92">
        <v>2011</v>
      </c>
      <c r="B92" s="20" t="s">
        <v>46</v>
      </c>
      <c r="C92" s="2">
        <v>40739</v>
      </c>
      <c r="D92">
        <v>65</v>
      </c>
      <c r="E92" s="20" t="s">
        <v>56</v>
      </c>
      <c r="F92" s="20">
        <v>27</v>
      </c>
      <c r="G92" s="20">
        <v>9</v>
      </c>
      <c r="H92" s="20">
        <v>8</v>
      </c>
      <c r="I92" s="20">
        <v>3</v>
      </c>
      <c r="J92">
        <f t="shared" si="0"/>
        <v>47</v>
      </c>
      <c r="K92" s="28" t="s">
        <v>170</v>
      </c>
    </row>
    <row r="93" spans="1:11" x14ac:dyDescent="0.25">
      <c r="A93">
        <v>2011</v>
      </c>
      <c r="B93" s="20" t="s">
        <v>46</v>
      </c>
      <c r="C93" s="2">
        <v>40739</v>
      </c>
      <c r="D93">
        <v>65</v>
      </c>
      <c r="E93" s="20" t="s">
        <v>68</v>
      </c>
      <c r="F93" s="20">
        <v>1</v>
      </c>
      <c r="G93" s="20">
        <v>0</v>
      </c>
      <c r="H93" s="20">
        <v>0</v>
      </c>
      <c r="I93" s="20">
        <v>0</v>
      </c>
      <c r="J93">
        <f t="shared" si="0"/>
        <v>1</v>
      </c>
    </row>
    <row r="94" spans="1:11" x14ac:dyDescent="0.25">
      <c r="A94">
        <v>2011</v>
      </c>
      <c r="B94" s="20" t="s">
        <v>46</v>
      </c>
      <c r="C94" s="2">
        <v>40739</v>
      </c>
      <c r="D94">
        <v>65</v>
      </c>
      <c r="E94" s="20" t="s">
        <v>151</v>
      </c>
      <c r="F94" s="20">
        <v>1</v>
      </c>
      <c r="G94" s="20">
        <v>1</v>
      </c>
      <c r="H94" s="20">
        <v>0</v>
      </c>
      <c r="I94" s="20">
        <v>0</v>
      </c>
      <c r="J94">
        <f t="shared" si="0"/>
        <v>2</v>
      </c>
    </row>
    <row r="95" spans="1:11" x14ac:dyDescent="0.25">
      <c r="A95">
        <v>2011</v>
      </c>
      <c r="B95" s="20" t="s">
        <v>46</v>
      </c>
      <c r="C95" s="2">
        <v>40739</v>
      </c>
      <c r="D95">
        <v>65</v>
      </c>
      <c r="E95" s="20" t="s">
        <v>47</v>
      </c>
      <c r="F95" s="20">
        <v>4</v>
      </c>
      <c r="G95" s="20">
        <v>16</v>
      </c>
      <c r="H95" s="20">
        <v>6</v>
      </c>
      <c r="I95" s="20">
        <v>9</v>
      </c>
      <c r="J95">
        <f t="shared" si="0"/>
        <v>35</v>
      </c>
    </row>
    <row r="96" spans="1:11" x14ac:dyDescent="0.25">
      <c r="A96">
        <v>2011</v>
      </c>
      <c r="B96" s="20" t="s">
        <v>46</v>
      </c>
      <c r="C96" s="2">
        <v>40739</v>
      </c>
      <c r="D96">
        <v>65</v>
      </c>
      <c r="E96" s="20" t="s">
        <v>69</v>
      </c>
      <c r="F96" s="20">
        <v>0</v>
      </c>
      <c r="G96" s="20">
        <v>0</v>
      </c>
      <c r="H96" s="20">
        <v>1</v>
      </c>
      <c r="I96" s="20">
        <v>0</v>
      </c>
      <c r="J96">
        <f t="shared" si="0"/>
        <v>1</v>
      </c>
    </row>
    <row r="97" spans="1:11" x14ac:dyDescent="0.25">
      <c r="A97">
        <v>2011</v>
      </c>
      <c r="B97" s="20" t="s">
        <v>46</v>
      </c>
      <c r="C97" s="2">
        <v>40739</v>
      </c>
      <c r="D97">
        <v>65</v>
      </c>
      <c r="E97" s="20" t="s">
        <v>49</v>
      </c>
      <c r="F97" s="20">
        <f>(201*0.1)</f>
        <v>20.100000000000001</v>
      </c>
      <c r="G97" s="20">
        <f>(201*0.1)</f>
        <v>20.100000000000001</v>
      </c>
      <c r="H97" s="20">
        <f>(201*0.04)</f>
        <v>8.0400000000000009</v>
      </c>
      <c r="I97" s="20">
        <f>(201*0.08)</f>
        <v>16.080000000000002</v>
      </c>
      <c r="J97">
        <f t="shared" si="0"/>
        <v>64.320000000000007</v>
      </c>
    </row>
    <row r="98" spans="1:11" x14ac:dyDescent="0.25">
      <c r="A98">
        <v>2011</v>
      </c>
      <c r="B98" s="20" t="s">
        <v>46</v>
      </c>
      <c r="C98" s="2">
        <v>40739</v>
      </c>
      <c r="D98">
        <v>65</v>
      </c>
      <c r="E98" s="20" t="s">
        <v>51</v>
      </c>
      <c r="F98" s="20">
        <f>(201*0.01)</f>
        <v>2.0100000000000002</v>
      </c>
      <c r="G98" s="20">
        <f>(201*0.02)</f>
        <v>4.0200000000000005</v>
      </c>
      <c r="H98" s="20">
        <v>0</v>
      </c>
      <c r="I98" s="20">
        <f>(201*0.06)</f>
        <v>12.059999999999999</v>
      </c>
      <c r="J98">
        <f t="shared" si="0"/>
        <v>18.09</v>
      </c>
    </row>
    <row r="99" spans="1:11" x14ac:dyDescent="0.25">
      <c r="A99">
        <v>2011</v>
      </c>
      <c r="B99" s="20" t="s">
        <v>46</v>
      </c>
      <c r="C99" s="2">
        <v>40739</v>
      </c>
      <c r="D99">
        <v>65</v>
      </c>
      <c r="E99" s="20" t="s">
        <v>65</v>
      </c>
      <c r="F99" s="20">
        <v>0</v>
      </c>
      <c r="G99" s="20">
        <f>(1.2*0.8)</f>
        <v>0.96</v>
      </c>
      <c r="H99" s="20">
        <v>0</v>
      </c>
      <c r="I99" s="20">
        <v>0</v>
      </c>
      <c r="J99">
        <f t="shared" si="0"/>
        <v>0.96</v>
      </c>
    </row>
    <row r="100" spans="1:11" x14ac:dyDescent="0.25">
      <c r="A100">
        <v>2011</v>
      </c>
      <c r="B100" s="20" t="s">
        <v>46</v>
      </c>
      <c r="C100" s="2">
        <v>40739</v>
      </c>
      <c r="D100">
        <v>65</v>
      </c>
      <c r="E100" s="20" t="s">
        <v>83</v>
      </c>
      <c r="F100" s="20">
        <v>0</v>
      </c>
      <c r="G100" s="20">
        <f>(1.2*0.8)</f>
        <v>0.96</v>
      </c>
      <c r="H100" s="20">
        <f>(0.5*0.8)</f>
        <v>0.4</v>
      </c>
      <c r="I100" s="20">
        <v>0</v>
      </c>
      <c r="J100">
        <f t="shared" si="0"/>
        <v>1.3599999999999999</v>
      </c>
    </row>
    <row r="101" spans="1:11" x14ac:dyDescent="0.25">
      <c r="A101">
        <v>2011</v>
      </c>
      <c r="B101" s="20" t="s">
        <v>46</v>
      </c>
      <c r="C101" s="2">
        <v>40739</v>
      </c>
      <c r="D101">
        <v>65</v>
      </c>
      <c r="E101" s="20" t="s">
        <v>52</v>
      </c>
      <c r="F101" s="20">
        <v>0</v>
      </c>
      <c r="G101" s="20">
        <v>0</v>
      </c>
      <c r="H101">
        <f>(1.4*1.6)</f>
        <v>2.2399999999999998</v>
      </c>
      <c r="I101" s="20">
        <v>0</v>
      </c>
      <c r="J101">
        <f t="shared" si="0"/>
        <v>2.2399999999999998</v>
      </c>
    </row>
    <row r="102" spans="1:11" x14ac:dyDescent="0.25">
      <c r="A102">
        <v>2011</v>
      </c>
      <c r="B102" s="20" t="s">
        <v>46</v>
      </c>
      <c r="C102" s="2">
        <v>40739</v>
      </c>
      <c r="D102">
        <v>66</v>
      </c>
      <c r="E102" s="20" t="s">
        <v>64</v>
      </c>
      <c r="F102" s="20">
        <v>1</v>
      </c>
      <c r="G102" s="20">
        <v>0</v>
      </c>
      <c r="H102" s="20">
        <v>0</v>
      </c>
      <c r="I102" s="20">
        <v>0</v>
      </c>
      <c r="J102">
        <f t="shared" si="0"/>
        <v>1</v>
      </c>
      <c r="K102" s="28" t="s">
        <v>171</v>
      </c>
    </row>
    <row r="103" spans="1:11" x14ac:dyDescent="0.25">
      <c r="A103">
        <v>2011</v>
      </c>
      <c r="B103" s="20" t="s">
        <v>46</v>
      </c>
      <c r="C103" s="2">
        <v>40739</v>
      </c>
      <c r="D103">
        <v>66</v>
      </c>
      <c r="E103" s="20" t="s">
        <v>47</v>
      </c>
      <c r="F103" s="20">
        <v>0</v>
      </c>
      <c r="G103" s="20">
        <v>0</v>
      </c>
      <c r="H103" s="20">
        <v>1</v>
      </c>
      <c r="I103" s="20">
        <v>0</v>
      </c>
      <c r="J103">
        <f t="shared" si="0"/>
        <v>1</v>
      </c>
    </row>
    <row r="104" spans="1:11" x14ac:dyDescent="0.25">
      <c r="A104">
        <v>2011</v>
      </c>
      <c r="B104" s="20" t="s">
        <v>46</v>
      </c>
      <c r="C104" s="2">
        <v>40739</v>
      </c>
      <c r="D104">
        <v>66</v>
      </c>
      <c r="E104" s="20" t="s">
        <v>74</v>
      </c>
      <c r="F104" s="20">
        <f>(0.4*0.3)+(0.7*0.3)+(0.4*0.3)</f>
        <v>0.44999999999999996</v>
      </c>
      <c r="G104" s="20">
        <f>(0.4*0.2)</f>
        <v>8.0000000000000016E-2</v>
      </c>
      <c r="H104" s="20">
        <v>0</v>
      </c>
      <c r="I104" s="20">
        <v>0</v>
      </c>
      <c r="J104">
        <f t="shared" si="0"/>
        <v>0.53</v>
      </c>
    </row>
    <row r="105" spans="1:11" x14ac:dyDescent="0.25">
      <c r="A105">
        <v>2011</v>
      </c>
      <c r="B105" s="20" t="s">
        <v>46</v>
      </c>
      <c r="C105" s="2">
        <v>40739</v>
      </c>
      <c r="D105">
        <v>66</v>
      </c>
      <c r="E105" s="20" t="s">
        <v>166</v>
      </c>
      <c r="F105" s="20">
        <v>0</v>
      </c>
      <c r="G105" s="20">
        <f>(0.7*0.5)</f>
        <v>0.35</v>
      </c>
      <c r="H105" s="20">
        <v>0</v>
      </c>
      <c r="I105" s="20">
        <v>0</v>
      </c>
      <c r="J105">
        <f t="shared" si="0"/>
        <v>0.35</v>
      </c>
    </row>
    <row r="106" spans="1:11" x14ac:dyDescent="0.25">
      <c r="A106">
        <v>2011</v>
      </c>
      <c r="B106" s="20" t="s">
        <v>46</v>
      </c>
      <c r="C106" s="2">
        <v>40739</v>
      </c>
      <c r="D106">
        <v>66</v>
      </c>
      <c r="E106" s="20" t="s">
        <v>165</v>
      </c>
      <c r="F106" s="20">
        <v>0</v>
      </c>
      <c r="G106" s="20">
        <v>0</v>
      </c>
      <c r="H106" s="20">
        <v>0</v>
      </c>
      <c r="I106" s="20">
        <f>(0.8*0.5)+(1.8*1.2)</f>
        <v>2.56</v>
      </c>
      <c r="J106">
        <f t="shared" si="0"/>
        <v>2.56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2"/>
  <sheetViews>
    <sheetView workbookViewId="0">
      <pane ySplit="3" topLeftCell="A4" activePane="bottomLeft" state="frozen"/>
      <selection pane="bottomLeft" activeCell="G17" sqref="G17"/>
    </sheetView>
  </sheetViews>
  <sheetFormatPr defaultRowHeight="12.5" x14ac:dyDescent="0.25"/>
  <cols>
    <col min="2" max="2" width="9.81640625" customWidth="1"/>
    <col min="3" max="3" width="9.1796875" style="2" customWidth="1"/>
    <col min="6" max="6" width="10.81640625" customWidth="1"/>
    <col min="7" max="7" width="10.7265625" bestFit="1" customWidth="1"/>
    <col min="9" max="9" width="8" customWidth="1"/>
    <col min="10" max="10" width="8.81640625" style="28"/>
  </cols>
  <sheetData>
    <row r="1" spans="1:10" x14ac:dyDescent="0.25">
      <c r="A1" s="2" t="s">
        <v>172</v>
      </c>
    </row>
    <row r="3" spans="1:10" ht="13" thickBot="1" x14ac:dyDescent="0.3">
      <c r="A3" s="24" t="s">
        <v>8</v>
      </c>
      <c r="B3" s="24" t="s">
        <v>9</v>
      </c>
      <c r="C3" s="5" t="s">
        <v>10</v>
      </c>
      <c r="D3" s="6" t="s">
        <v>11</v>
      </c>
      <c r="E3" s="6" t="s">
        <v>173</v>
      </c>
      <c r="F3" s="6" t="s">
        <v>174</v>
      </c>
      <c r="G3" s="6" t="s">
        <v>175</v>
      </c>
      <c r="H3" s="6" t="s">
        <v>176</v>
      </c>
      <c r="I3" s="6" t="s">
        <v>177</v>
      </c>
      <c r="J3" s="24" t="s">
        <v>45</v>
      </c>
    </row>
    <row r="4" spans="1:10" ht="13" thickTop="1" x14ac:dyDescent="0.25">
      <c r="A4">
        <v>2011</v>
      </c>
      <c r="B4" s="20" t="s">
        <v>46</v>
      </c>
      <c r="C4" s="2">
        <v>40723</v>
      </c>
      <c r="D4">
        <v>16</v>
      </c>
      <c r="E4">
        <v>1</v>
      </c>
      <c r="F4">
        <v>22.95</v>
      </c>
      <c r="G4">
        <v>17.21</v>
      </c>
      <c r="H4">
        <v>14.6</v>
      </c>
      <c r="I4">
        <v>96</v>
      </c>
    </row>
    <row r="5" spans="1:10" x14ac:dyDescent="0.25">
      <c r="A5">
        <v>2011</v>
      </c>
      <c r="B5" s="20" t="s">
        <v>46</v>
      </c>
      <c r="C5" s="2">
        <v>40723</v>
      </c>
      <c r="D5">
        <v>16</v>
      </c>
      <c r="E5">
        <v>2</v>
      </c>
      <c r="F5">
        <v>24.54</v>
      </c>
      <c r="G5">
        <v>18.690000000000001</v>
      </c>
      <c r="H5">
        <v>14.95</v>
      </c>
      <c r="I5">
        <v>98</v>
      </c>
    </row>
    <row r="6" spans="1:10" x14ac:dyDescent="0.25">
      <c r="A6">
        <v>2011</v>
      </c>
      <c r="B6" s="20" t="s">
        <v>46</v>
      </c>
      <c r="C6" s="2">
        <v>40723</v>
      </c>
      <c r="D6">
        <v>16</v>
      </c>
      <c r="E6">
        <v>3</v>
      </c>
      <c r="F6">
        <v>12.1</v>
      </c>
      <c r="G6">
        <v>8.7799999999999994</v>
      </c>
      <c r="H6">
        <v>17.899999999999999</v>
      </c>
      <c r="I6">
        <v>179</v>
      </c>
    </row>
    <row r="7" spans="1:10" x14ac:dyDescent="0.25">
      <c r="A7">
        <v>2011</v>
      </c>
      <c r="B7" s="20" t="s">
        <v>46</v>
      </c>
      <c r="C7" s="2">
        <v>40758</v>
      </c>
      <c r="D7">
        <v>17</v>
      </c>
      <c r="E7" s="20" t="s">
        <v>178</v>
      </c>
      <c r="F7" s="20" t="s">
        <v>1</v>
      </c>
      <c r="G7" s="20" t="s">
        <v>1</v>
      </c>
      <c r="H7" s="20" t="s">
        <v>1</v>
      </c>
      <c r="I7" s="20" t="s">
        <v>1</v>
      </c>
    </row>
    <row r="8" spans="1:10" x14ac:dyDescent="0.25">
      <c r="A8">
        <v>2011</v>
      </c>
      <c r="B8" s="20" t="s">
        <v>46</v>
      </c>
      <c r="C8" s="2">
        <v>40758</v>
      </c>
      <c r="D8">
        <v>18</v>
      </c>
      <c r="E8" s="20">
        <v>1</v>
      </c>
      <c r="F8" s="20">
        <v>25.62</v>
      </c>
      <c r="G8" s="20">
        <v>18.95</v>
      </c>
      <c r="H8" s="20">
        <v>6.9</v>
      </c>
      <c r="I8" s="20">
        <v>296</v>
      </c>
      <c r="J8" s="28" t="s">
        <v>179</v>
      </c>
    </row>
    <row r="9" spans="1:10" x14ac:dyDescent="0.25">
      <c r="A9">
        <v>2011</v>
      </c>
      <c r="B9" s="20" t="s">
        <v>46</v>
      </c>
      <c r="C9" s="2">
        <v>40758</v>
      </c>
      <c r="D9">
        <v>18</v>
      </c>
      <c r="E9" s="20">
        <v>2</v>
      </c>
      <c r="F9" s="20">
        <v>20.51</v>
      </c>
      <c r="G9" s="20">
        <v>13.34</v>
      </c>
      <c r="H9" s="20">
        <v>11.47</v>
      </c>
      <c r="I9" s="20">
        <v>358</v>
      </c>
      <c r="J9" s="28" t="s">
        <v>179</v>
      </c>
    </row>
    <row r="10" spans="1:10" x14ac:dyDescent="0.25">
      <c r="A10">
        <v>2011</v>
      </c>
      <c r="B10" s="20" t="s">
        <v>46</v>
      </c>
      <c r="C10" s="2">
        <v>40758</v>
      </c>
      <c r="D10">
        <v>18</v>
      </c>
      <c r="E10" s="20">
        <v>3</v>
      </c>
      <c r="F10" s="20">
        <v>13.79</v>
      </c>
      <c r="G10" s="20">
        <v>8.7100000000000009</v>
      </c>
      <c r="H10" s="20">
        <v>13.06</v>
      </c>
      <c r="I10" s="20">
        <v>89</v>
      </c>
      <c r="J10" s="28" t="s">
        <v>179</v>
      </c>
    </row>
    <row r="11" spans="1:10" x14ac:dyDescent="0.25">
      <c r="A11">
        <v>2011</v>
      </c>
      <c r="B11" s="20" t="s">
        <v>46</v>
      </c>
      <c r="C11" s="2">
        <v>40758</v>
      </c>
      <c r="D11">
        <v>18</v>
      </c>
      <c r="E11" s="20">
        <v>4</v>
      </c>
      <c r="F11" s="20">
        <v>18.25</v>
      </c>
      <c r="G11" s="20">
        <v>14.2</v>
      </c>
      <c r="H11" s="20">
        <v>7.8</v>
      </c>
      <c r="I11" s="20">
        <v>357</v>
      </c>
      <c r="J11" s="28" t="s">
        <v>180</v>
      </c>
    </row>
    <row r="12" spans="1:10" x14ac:dyDescent="0.25">
      <c r="A12">
        <v>2011</v>
      </c>
      <c r="B12" s="20" t="s">
        <v>46</v>
      </c>
      <c r="C12" s="2">
        <v>40723</v>
      </c>
      <c r="D12">
        <v>22</v>
      </c>
      <c r="E12">
        <v>1</v>
      </c>
      <c r="F12" s="20">
        <v>15.55</v>
      </c>
      <c r="G12" s="20">
        <v>12.17</v>
      </c>
      <c r="H12" s="20">
        <v>4.18</v>
      </c>
      <c r="I12" s="20">
        <v>329</v>
      </c>
      <c r="J12" s="28" t="s">
        <v>181</v>
      </c>
    </row>
    <row r="13" spans="1:10" x14ac:dyDescent="0.25">
      <c r="A13">
        <v>2011</v>
      </c>
      <c r="B13" s="20" t="s">
        <v>46</v>
      </c>
      <c r="C13" s="2">
        <v>40723</v>
      </c>
      <c r="D13">
        <v>22</v>
      </c>
      <c r="E13">
        <v>2</v>
      </c>
      <c r="F13" s="20">
        <v>19.3</v>
      </c>
      <c r="G13" s="20">
        <v>12.92</v>
      </c>
      <c r="H13" s="20">
        <v>12.28</v>
      </c>
      <c r="I13" s="20">
        <v>339</v>
      </c>
      <c r="J13" s="28" t="s">
        <v>182</v>
      </c>
    </row>
    <row r="14" spans="1:10" x14ac:dyDescent="0.25">
      <c r="A14">
        <v>2011</v>
      </c>
      <c r="B14" s="20" t="s">
        <v>46</v>
      </c>
      <c r="C14" s="2">
        <v>40723</v>
      </c>
      <c r="D14">
        <v>22</v>
      </c>
      <c r="E14">
        <v>3</v>
      </c>
      <c r="F14" s="20">
        <v>13.85</v>
      </c>
      <c r="G14" s="20">
        <v>7.8</v>
      </c>
      <c r="H14" s="20">
        <v>4.9800000000000004</v>
      </c>
      <c r="I14" s="20">
        <v>218</v>
      </c>
      <c r="J14" s="28" t="s">
        <v>182</v>
      </c>
    </row>
    <row r="15" spans="1:10" x14ac:dyDescent="0.25">
      <c r="A15">
        <v>2011</v>
      </c>
      <c r="B15" s="20" t="s">
        <v>46</v>
      </c>
      <c r="C15" s="2">
        <v>40723</v>
      </c>
      <c r="D15">
        <v>22</v>
      </c>
      <c r="E15">
        <v>4</v>
      </c>
      <c r="F15" s="20">
        <v>24.99</v>
      </c>
      <c r="G15" s="20">
        <v>19.53</v>
      </c>
      <c r="H15" s="20">
        <v>8.3000000000000007</v>
      </c>
      <c r="I15" s="20">
        <v>191</v>
      </c>
      <c r="J15" s="28" t="s">
        <v>183</v>
      </c>
    </row>
    <row r="16" spans="1:10" x14ac:dyDescent="0.25">
      <c r="A16">
        <v>2011</v>
      </c>
      <c r="B16" s="20" t="s">
        <v>46</v>
      </c>
      <c r="C16" s="2">
        <v>40723</v>
      </c>
      <c r="D16">
        <v>22</v>
      </c>
      <c r="E16">
        <v>5</v>
      </c>
      <c r="F16" s="20">
        <v>26.04</v>
      </c>
      <c r="G16" s="20">
        <v>20.32</v>
      </c>
      <c r="H16" s="20">
        <v>5.29</v>
      </c>
      <c r="I16" s="20">
        <v>158</v>
      </c>
    </row>
    <row r="17" spans="1:10" x14ac:dyDescent="0.25">
      <c r="A17">
        <v>2011</v>
      </c>
      <c r="B17" s="20" t="s">
        <v>46</v>
      </c>
      <c r="C17" s="2">
        <v>40723</v>
      </c>
      <c r="D17">
        <v>22</v>
      </c>
      <c r="E17">
        <v>6</v>
      </c>
      <c r="F17" s="20">
        <v>8.5399999999999991</v>
      </c>
      <c r="G17" s="20">
        <v>3.67</v>
      </c>
      <c r="H17" s="20">
        <v>12.21</v>
      </c>
      <c r="I17" s="20">
        <v>99</v>
      </c>
      <c r="J17" s="28" t="s">
        <v>184</v>
      </c>
    </row>
    <row r="18" spans="1:10" x14ac:dyDescent="0.25">
      <c r="A18">
        <v>2011</v>
      </c>
      <c r="B18" s="20" t="s">
        <v>46</v>
      </c>
      <c r="C18" s="2">
        <v>40723</v>
      </c>
      <c r="D18">
        <v>22</v>
      </c>
      <c r="E18">
        <v>7</v>
      </c>
      <c r="F18" s="20">
        <v>18.559999999999999</v>
      </c>
      <c r="G18" s="20">
        <v>11.55</v>
      </c>
      <c r="H18" s="20">
        <v>1</v>
      </c>
      <c r="I18" s="20">
        <v>67</v>
      </c>
      <c r="J18" s="28" t="s">
        <v>182</v>
      </c>
    </row>
    <row r="19" spans="1:10" x14ac:dyDescent="0.25">
      <c r="A19">
        <v>2011</v>
      </c>
      <c r="B19" s="20" t="s">
        <v>46</v>
      </c>
      <c r="C19" s="2">
        <v>40723</v>
      </c>
      <c r="D19">
        <v>22</v>
      </c>
      <c r="E19">
        <v>8</v>
      </c>
      <c r="F19" s="20">
        <v>24.75</v>
      </c>
      <c r="G19" s="20">
        <v>20.93</v>
      </c>
      <c r="H19" s="20">
        <v>17.88</v>
      </c>
      <c r="I19" s="20">
        <v>27</v>
      </c>
    </row>
    <row r="20" spans="1:10" x14ac:dyDescent="0.25">
      <c r="A20">
        <v>2011</v>
      </c>
      <c r="B20" s="20" t="s">
        <v>46</v>
      </c>
      <c r="C20" s="2">
        <v>40723</v>
      </c>
      <c r="D20">
        <v>22</v>
      </c>
      <c r="E20">
        <v>9</v>
      </c>
      <c r="F20" s="20">
        <v>36</v>
      </c>
      <c r="G20" s="20">
        <v>29.9</v>
      </c>
      <c r="H20" s="20">
        <v>7.15</v>
      </c>
      <c r="I20" s="20">
        <v>220</v>
      </c>
      <c r="J20" s="28" t="s">
        <v>185</v>
      </c>
    </row>
    <row r="21" spans="1:10" x14ac:dyDescent="0.25">
      <c r="A21">
        <v>2011</v>
      </c>
      <c r="B21" s="20" t="s">
        <v>46</v>
      </c>
      <c r="C21" s="2">
        <v>40758</v>
      </c>
      <c r="D21">
        <v>23</v>
      </c>
      <c r="E21" s="20" t="s">
        <v>178</v>
      </c>
      <c r="F21" s="20" t="s">
        <v>1</v>
      </c>
      <c r="G21" s="20" t="s">
        <v>1</v>
      </c>
      <c r="H21" s="20" t="s">
        <v>1</v>
      </c>
      <c r="I21" s="20" t="s">
        <v>1</v>
      </c>
    </row>
    <row r="22" spans="1:10" x14ac:dyDescent="0.25">
      <c r="A22">
        <v>2011</v>
      </c>
      <c r="B22" s="20" t="s">
        <v>46</v>
      </c>
      <c r="C22" s="2">
        <v>40739</v>
      </c>
      <c r="D22">
        <v>24</v>
      </c>
      <c r="E22" s="20" t="s">
        <v>178</v>
      </c>
      <c r="F22" s="20" t="s">
        <v>1</v>
      </c>
      <c r="G22" s="20" t="s">
        <v>1</v>
      </c>
      <c r="H22" s="20" t="s">
        <v>1</v>
      </c>
      <c r="I22" s="20" t="s">
        <v>1</v>
      </c>
    </row>
    <row r="23" spans="1:10" x14ac:dyDescent="0.25">
      <c r="A23">
        <v>2011</v>
      </c>
      <c r="B23" s="20" t="s">
        <v>46</v>
      </c>
      <c r="C23" s="2">
        <v>40758</v>
      </c>
      <c r="D23">
        <v>61</v>
      </c>
      <c r="E23" s="20" t="s">
        <v>178</v>
      </c>
      <c r="F23" s="20" t="s">
        <v>1</v>
      </c>
      <c r="G23" s="20" t="s">
        <v>1</v>
      </c>
      <c r="H23" s="20" t="s">
        <v>1</v>
      </c>
      <c r="I23" s="20" t="s">
        <v>1</v>
      </c>
    </row>
    <row r="24" spans="1:10" x14ac:dyDescent="0.25">
      <c r="A24">
        <v>2011</v>
      </c>
      <c r="B24" s="20" t="s">
        <v>46</v>
      </c>
      <c r="C24" s="2">
        <v>40759</v>
      </c>
      <c r="D24">
        <v>62</v>
      </c>
      <c r="E24" s="20" t="s">
        <v>178</v>
      </c>
      <c r="F24" s="20" t="s">
        <v>1</v>
      </c>
      <c r="G24" s="20" t="s">
        <v>1</v>
      </c>
      <c r="H24" s="20" t="s">
        <v>1</v>
      </c>
      <c r="I24" s="20" t="s">
        <v>1</v>
      </c>
    </row>
    <row r="25" spans="1:10" x14ac:dyDescent="0.25">
      <c r="A25">
        <v>2011</v>
      </c>
      <c r="B25" s="20" t="s">
        <v>46</v>
      </c>
      <c r="C25" s="2">
        <v>40759</v>
      </c>
      <c r="D25">
        <v>63</v>
      </c>
      <c r="E25">
        <v>1</v>
      </c>
      <c r="F25">
        <v>28.49</v>
      </c>
      <c r="G25">
        <v>17.41</v>
      </c>
      <c r="H25">
        <v>6.77</v>
      </c>
      <c r="I25">
        <v>321</v>
      </c>
      <c r="J25" s="28" t="s">
        <v>182</v>
      </c>
    </row>
    <row r="26" spans="1:10" x14ac:dyDescent="0.25">
      <c r="A26">
        <v>2011</v>
      </c>
      <c r="B26" s="20" t="s">
        <v>46</v>
      </c>
      <c r="C26" s="2">
        <v>40759</v>
      </c>
      <c r="D26">
        <v>63</v>
      </c>
      <c r="E26" s="20">
        <v>2</v>
      </c>
      <c r="F26" s="20">
        <v>31.85</v>
      </c>
      <c r="G26" s="20">
        <v>21.79</v>
      </c>
      <c r="H26">
        <v>16.309999999999999</v>
      </c>
      <c r="I26">
        <v>307</v>
      </c>
      <c r="J26" s="28" t="s">
        <v>186</v>
      </c>
    </row>
    <row r="27" spans="1:10" x14ac:dyDescent="0.25">
      <c r="A27">
        <v>2011</v>
      </c>
      <c r="B27" s="20" t="s">
        <v>46</v>
      </c>
      <c r="C27" s="2">
        <v>40759</v>
      </c>
      <c r="D27">
        <v>63</v>
      </c>
      <c r="E27" s="20">
        <v>3</v>
      </c>
      <c r="F27" s="20">
        <v>25.94</v>
      </c>
      <c r="G27" s="20">
        <v>17.43</v>
      </c>
      <c r="H27">
        <v>2.21</v>
      </c>
      <c r="I27">
        <v>244</v>
      </c>
      <c r="J27" s="28" t="s">
        <v>182</v>
      </c>
    </row>
    <row r="28" spans="1:10" x14ac:dyDescent="0.25">
      <c r="A28">
        <v>2011</v>
      </c>
      <c r="B28" s="20" t="s">
        <v>46</v>
      </c>
      <c r="C28" s="2">
        <v>40759</v>
      </c>
      <c r="D28">
        <v>63</v>
      </c>
      <c r="E28" s="20">
        <v>4</v>
      </c>
      <c r="F28" s="20">
        <v>23.88</v>
      </c>
      <c r="G28" s="20">
        <v>21.16</v>
      </c>
      <c r="H28">
        <v>11.42</v>
      </c>
      <c r="I28">
        <v>240</v>
      </c>
      <c r="J28" s="28" t="s">
        <v>182</v>
      </c>
    </row>
    <row r="29" spans="1:10" x14ac:dyDescent="0.25">
      <c r="A29">
        <v>2011</v>
      </c>
      <c r="B29" s="20" t="s">
        <v>46</v>
      </c>
      <c r="C29" s="2">
        <v>40759</v>
      </c>
      <c r="D29">
        <v>63</v>
      </c>
      <c r="E29" s="20">
        <v>5</v>
      </c>
      <c r="F29" s="20">
        <v>21.7</v>
      </c>
      <c r="G29" s="20">
        <v>14.76</v>
      </c>
      <c r="H29">
        <v>6.46</v>
      </c>
      <c r="I29">
        <v>150</v>
      </c>
      <c r="J29" s="28" t="s">
        <v>187</v>
      </c>
    </row>
    <row r="30" spans="1:10" x14ac:dyDescent="0.25">
      <c r="A30">
        <v>2011</v>
      </c>
      <c r="B30" s="20" t="s">
        <v>46</v>
      </c>
      <c r="C30" s="2">
        <v>40759</v>
      </c>
      <c r="D30">
        <v>63</v>
      </c>
      <c r="E30" s="20">
        <v>6</v>
      </c>
      <c r="F30" s="20">
        <v>31.9</v>
      </c>
      <c r="G30" s="20">
        <v>22.79</v>
      </c>
      <c r="H30">
        <v>11.23</v>
      </c>
      <c r="I30">
        <v>124</v>
      </c>
      <c r="J30" s="28" t="s">
        <v>188</v>
      </c>
    </row>
    <row r="31" spans="1:10" x14ac:dyDescent="0.25">
      <c r="A31">
        <v>2011</v>
      </c>
      <c r="B31" s="20" t="s">
        <v>46</v>
      </c>
      <c r="C31" s="2">
        <v>40759</v>
      </c>
      <c r="D31">
        <v>63</v>
      </c>
      <c r="E31" s="20">
        <v>7</v>
      </c>
      <c r="F31" s="20">
        <v>24.54</v>
      </c>
      <c r="G31" s="20">
        <v>14.69</v>
      </c>
      <c r="H31">
        <v>0.94</v>
      </c>
      <c r="I31">
        <v>60</v>
      </c>
      <c r="J31" s="28" t="s">
        <v>189</v>
      </c>
    </row>
    <row r="32" spans="1:10" x14ac:dyDescent="0.25">
      <c r="A32">
        <v>2011</v>
      </c>
      <c r="B32" s="20" t="s">
        <v>46</v>
      </c>
      <c r="C32" s="2">
        <v>40759</v>
      </c>
      <c r="D32">
        <v>63</v>
      </c>
      <c r="E32" s="20">
        <v>8</v>
      </c>
      <c r="F32" s="20">
        <v>25.03</v>
      </c>
      <c r="G32" s="20">
        <v>19.100000000000001</v>
      </c>
      <c r="H32">
        <v>11.1</v>
      </c>
      <c r="I32">
        <v>56</v>
      </c>
      <c r="J32" s="28" t="s">
        <v>189</v>
      </c>
    </row>
    <row r="33" spans="1:10" x14ac:dyDescent="0.25">
      <c r="A33">
        <v>2011</v>
      </c>
      <c r="B33" s="20" t="s">
        <v>46</v>
      </c>
      <c r="C33" s="2">
        <v>40759</v>
      </c>
      <c r="D33">
        <v>63</v>
      </c>
      <c r="E33" s="20">
        <v>9</v>
      </c>
      <c r="F33" s="20">
        <v>56.51</v>
      </c>
      <c r="G33" s="20">
        <v>33.5</v>
      </c>
      <c r="H33" s="20">
        <v>3.54</v>
      </c>
      <c r="I33" s="20">
        <v>319</v>
      </c>
      <c r="J33" s="28" t="s">
        <v>185</v>
      </c>
    </row>
    <row r="34" spans="1:10" x14ac:dyDescent="0.25">
      <c r="A34">
        <v>2011</v>
      </c>
      <c r="B34" s="20" t="s">
        <v>46</v>
      </c>
      <c r="C34" s="2">
        <v>40759</v>
      </c>
      <c r="D34">
        <v>64</v>
      </c>
      <c r="E34" s="20" t="s">
        <v>178</v>
      </c>
      <c r="F34" s="20" t="s">
        <v>1</v>
      </c>
      <c r="G34" s="20" t="s">
        <v>1</v>
      </c>
      <c r="H34" s="20" t="s">
        <v>1</v>
      </c>
      <c r="I34" s="20" t="s">
        <v>1</v>
      </c>
    </row>
    <row r="35" spans="1:10" x14ac:dyDescent="0.25">
      <c r="A35">
        <v>2011</v>
      </c>
      <c r="B35" s="20" t="s">
        <v>46</v>
      </c>
      <c r="C35" s="2">
        <v>40739</v>
      </c>
      <c r="D35">
        <v>65</v>
      </c>
      <c r="E35" s="20">
        <v>1</v>
      </c>
      <c r="F35" s="20">
        <v>18.32</v>
      </c>
      <c r="G35" s="20">
        <v>14.2</v>
      </c>
      <c r="H35" s="20">
        <v>4.0999999999999996</v>
      </c>
      <c r="I35" s="20">
        <v>9</v>
      </c>
      <c r="J35" s="28" t="s">
        <v>182</v>
      </c>
    </row>
    <row r="36" spans="1:10" x14ac:dyDescent="0.25">
      <c r="A36">
        <v>2011</v>
      </c>
      <c r="B36" s="20" t="s">
        <v>46</v>
      </c>
      <c r="C36" s="2">
        <v>40739</v>
      </c>
      <c r="D36">
        <v>65</v>
      </c>
      <c r="E36" s="20">
        <v>2</v>
      </c>
      <c r="F36" s="20">
        <v>18.12</v>
      </c>
      <c r="G36" s="20">
        <v>14.33</v>
      </c>
      <c r="H36" s="20">
        <v>12.6</v>
      </c>
      <c r="I36" s="20">
        <v>277</v>
      </c>
    </row>
    <row r="37" spans="1:10" x14ac:dyDescent="0.25">
      <c r="A37">
        <v>2011</v>
      </c>
      <c r="B37" s="20" t="s">
        <v>46</v>
      </c>
      <c r="C37" s="2">
        <v>40739</v>
      </c>
      <c r="D37">
        <v>65</v>
      </c>
      <c r="E37" s="20">
        <v>3</v>
      </c>
      <c r="F37" s="20">
        <v>27.4</v>
      </c>
      <c r="G37" s="20">
        <v>23.8</v>
      </c>
      <c r="H37" s="20">
        <v>12.38</v>
      </c>
      <c r="I37" s="20">
        <v>191</v>
      </c>
      <c r="J37" s="28" t="s">
        <v>182</v>
      </c>
    </row>
    <row r="38" spans="1:10" x14ac:dyDescent="0.25">
      <c r="A38">
        <v>2011</v>
      </c>
      <c r="B38" s="20" t="s">
        <v>46</v>
      </c>
      <c r="C38" s="2">
        <v>40739</v>
      </c>
      <c r="D38">
        <v>65</v>
      </c>
      <c r="E38" s="20">
        <v>4</v>
      </c>
      <c r="F38" s="20">
        <v>27.2</v>
      </c>
      <c r="G38" s="20">
        <v>21.9</v>
      </c>
      <c r="H38" s="20">
        <v>8.8699999999999992</v>
      </c>
      <c r="I38" s="20">
        <v>142</v>
      </c>
    </row>
    <row r="39" spans="1:10" x14ac:dyDescent="0.25">
      <c r="A39">
        <v>2011</v>
      </c>
      <c r="B39" s="20" t="s">
        <v>46</v>
      </c>
      <c r="C39" s="2">
        <v>40739</v>
      </c>
      <c r="D39">
        <v>65</v>
      </c>
      <c r="E39" s="20">
        <v>5</v>
      </c>
      <c r="F39" s="20">
        <v>9.1999999999999993</v>
      </c>
      <c r="G39" s="20" t="s">
        <v>1</v>
      </c>
      <c r="H39" s="20">
        <v>7.21</v>
      </c>
      <c r="I39" s="20">
        <v>68</v>
      </c>
    </row>
    <row r="40" spans="1:10" x14ac:dyDescent="0.25">
      <c r="A40">
        <v>2011</v>
      </c>
      <c r="B40" s="20" t="s">
        <v>46</v>
      </c>
      <c r="C40" s="2">
        <v>40739</v>
      </c>
      <c r="D40">
        <v>65</v>
      </c>
      <c r="E40" s="20">
        <v>6</v>
      </c>
      <c r="F40" s="20">
        <v>28.11</v>
      </c>
      <c r="G40" s="20">
        <v>21.19</v>
      </c>
      <c r="H40" s="20">
        <v>3.3</v>
      </c>
      <c r="I40" s="20">
        <v>326</v>
      </c>
      <c r="J40" s="28" t="s">
        <v>190</v>
      </c>
    </row>
    <row r="41" spans="1:10" x14ac:dyDescent="0.25">
      <c r="A41">
        <v>2011</v>
      </c>
      <c r="B41" s="20" t="s">
        <v>46</v>
      </c>
      <c r="C41" s="2">
        <v>40739</v>
      </c>
      <c r="D41">
        <v>65</v>
      </c>
      <c r="E41" s="20">
        <v>7</v>
      </c>
      <c r="F41" s="20">
        <v>40.72</v>
      </c>
      <c r="G41" s="20">
        <v>33.86</v>
      </c>
      <c r="H41" s="20">
        <v>5.05</v>
      </c>
      <c r="I41" s="20">
        <v>315</v>
      </c>
      <c r="J41" s="28" t="s">
        <v>190</v>
      </c>
    </row>
    <row r="42" spans="1:10" x14ac:dyDescent="0.25">
      <c r="A42">
        <v>2011</v>
      </c>
      <c r="B42" s="20" t="s">
        <v>46</v>
      </c>
      <c r="C42" s="2">
        <v>40739</v>
      </c>
      <c r="D42">
        <v>66</v>
      </c>
      <c r="E42" s="20">
        <v>1</v>
      </c>
      <c r="F42" s="20">
        <v>37.840000000000003</v>
      </c>
      <c r="G42" s="20">
        <v>27.8</v>
      </c>
      <c r="H42" s="20">
        <v>6.62</v>
      </c>
      <c r="I42" s="20">
        <v>72</v>
      </c>
      <c r="J42" s="28" t="s">
        <v>182</v>
      </c>
    </row>
    <row r="43" spans="1:10" x14ac:dyDescent="0.25">
      <c r="A43">
        <v>2011</v>
      </c>
      <c r="B43" s="20" t="s">
        <v>46</v>
      </c>
      <c r="C43" s="2">
        <v>40739</v>
      </c>
      <c r="D43">
        <v>66</v>
      </c>
      <c r="E43" s="20">
        <v>2</v>
      </c>
      <c r="F43" s="20">
        <v>8.6</v>
      </c>
      <c r="G43" s="20" t="s">
        <v>1</v>
      </c>
      <c r="H43" s="20">
        <v>12.6</v>
      </c>
      <c r="I43" s="20">
        <v>105</v>
      </c>
      <c r="J43" s="28" t="s">
        <v>182</v>
      </c>
    </row>
    <row r="44" spans="1:10" x14ac:dyDescent="0.25">
      <c r="A44">
        <v>2011</v>
      </c>
      <c r="B44" s="20" t="s">
        <v>46</v>
      </c>
      <c r="C44" s="2">
        <v>40739</v>
      </c>
      <c r="D44">
        <v>66</v>
      </c>
      <c r="E44" s="20">
        <v>3</v>
      </c>
      <c r="F44" s="20">
        <v>32.869999999999997</v>
      </c>
      <c r="G44" s="20">
        <v>25.26</v>
      </c>
      <c r="H44" s="20">
        <v>16.7</v>
      </c>
      <c r="I44" s="20">
        <v>201</v>
      </c>
      <c r="J44" s="28" t="s">
        <v>182</v>
      </c>
    </row>
    <row r="45" spans="1:10" x14ac:dyDescent="0.25">
      <c r="A45">
        <v>2011</v>
      </c>
      <c r="B45" s="20" t="s">
        <v>46</v>
      </c>
      <c r="C45" s="2">
        <v>40739</v>
      </c>
      <c r="D45">
        <v>66</v>
      </c>
      <c r="E45" s="20">
        <v>4</v>
      </c>
      <c r="F45" s="20">
        <v>20.2</v>
      </c>
      <c r="G45" s="20">
        <v>12.16</v>
      </c>
      <c r="H45" s="20">
        <v>14.8</v>
      </c>
      <c r="I45" s="20">
        <v>14</v>
      </c>
    </row>
    <row r="46" spans="1:10" x14ac:dyDescent="0.25">
      <c r="A46">
        <v>2011</v>
      </c>
      <c r="B46" s="20" t="s">
        <v>46</v>
      </c>
      <c r="C46" s="2">
        <v>40739</v>
      </c>
      <c r="D46">
        <v>66</v>
      </c>
      <c r="E46" s="20">
        <v>5</v>
      </c>
      <c r="F46" s="20">
        <v>12.67</v>
      </c>
      <c r="G46" s="20">
        <v>11.27</v>
      </c>
      <c r="H46" s="20">
        <v>14.71</v>
      </c>
      <c r="I46" s="20">
        <v>45</v>
      </c>
      <c r="J46" s="28" t="s">
        <v>191</v>
      </c>
    </row>
    <row r="47" spans="1:10" x14ac:dyDescent="0.25">
      <c r="A47">
        <v>2011</v>
      </c>
      <c r="B47" s="20" t="s">
        <v>46</v>
      </c>
      <c r="C47" s="2">
        <v>40739</v>
      </c>
      <c r="D47">
        <v>66</v>
      </c>
      <c r="E47" s="20">
        <v>6</v>
      </c>
      <c r="F47" s="20">
        <v>21.94</v>
      </c>
      <c r="G47" s="20">
        <v>13.68</v>
      </c>
      <c r="H47" s="20">
        <v>8.4</v>
      </c>
      <c r="I47" s="20">
        <v>20</v>
      </c>
      <c r="J47" s="28" t="s">
        <v>185</v>
      </c>
    </row>
    <row r="48" spans="1:10" x14ac:dyDescent="0.25">
      <c r="B48" s="20"/>
      <c r="G48" s="20"/>
      <c r="H48" s="20"/>
      <c r="I48" s="20"/>
    </row>
    <row r="49" spans="2:9" x14ac:dyDescent="0.25">
      <c r="B49" s="20"/>
      <c r="G49" s="20"/>
      <c r="H49" s="20"/>
      <c r="I49" s="20"/>
    </row>
    <row r="50" spans="2:9" x14ac:dyDescent="0.25">
      <c r="B50" s="20"/>
    </row>
    <row r="51" spans="2:9" x14ac:dyDescent="0.25">
      <c r="B51" s="20"/>
    </row>
    <row r="52" spans="2:9" x14ac:dyDescent="0.25">
      <c r="B52" s="20"/>
    </row>
  </sheetData>
  <phoneticPr fontId="1" type="noConversion"/>
  <pageMargins left="0.75" right="0.75" top="1" bottom="1" header="0.5" footer="0.5"/>
  <pageSetup orientation="portrait" horizontalDpi="4294967293" verticalDpi="4294967293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83"/>
  <sheetViews>
    <sheetView tabSelected="1" workbookViewId="0">
      <pane xSplit="6" ySplit="4" topLeftCell="G7" activePane="bottomRight" state="frozen"/>
      <selection pane="topRight" activeCell="E1" sqref="E1"/>
      <selection pane="bottomLeft" activeCell="A5" sqref="A5"/>
      <selection pane="bottomRight" activeCell="E32" sqref="E32"/>
    </sheetView>
  </sheetViews>
  <sheetFormatPr defaultRowHeight="12.5" x14ac:dyDescent="0.25"/>
  <cols>
    <col min="2" max="2" width="10.26953125" customWidth="1"/>
    <col min="3" max="3" width="9.1796875" style="2" hidden="1" customWidth="1"/>
    <col min="4" max="4" width="5.7265625" customWidth="1"/>
    <col min="5" max="5" width="18.453125" customWidth="1"/>
    <col min="6" max="6" width="9.1796875" style="4" customWidth="1"/>
    <col min="9" max="10" width="9.1796875" customWidth="1"/>
    <col min="12" max="12" width="9.1796875" style="10" customWidth="1"/>
    <col min="13" max="13" width="21.54296875" customWidth="1"/>
    <col min="14" max="14" width="11.81640625" customWidth="1"/>
    <col min="20" max="20" width="9.1796875" style="10" customWidth="1"/>
    <col min="23" max="23" width="39.7265625" style="28" bestFit="1" customWidth="1"/>
  </cols>
  <sheetData>
    <row r="1" spans="1:23" x14ac:dyDescent="0.25">
      <c r="A1" s="2" t="s">
        <v>192</v>
      </c>
      <c r="E1" s="9"/>
      <c r="M1" s="9"/>
      <c r="N1" s="9"/>
      <c r="W1" s="27"/>
    </row>
    <row r="2" spans="1:23" x14ac:dyDescent="0.25">
      <c r="A2" s="2" t="s">
        <v>193</v>
      </c>
      <c r="E2" s="9"/>
      <c r="M2" s="9"/>
      <c r="N2" s="9"/>
      <c r="W2" s="27"/>
    </row>
    <row r="3" spans="1:23" s="3" customFormat="1" x14ac:dyDescent="0.25">
      <c r="C3" s="12"/>
      <c r="E3" s="9" t="s">
        <v>194</v>
      </c>
      <c r="F3" s="4"/>
      <c r="G3" s="3" t="s">
        <v>195</v>
      </c>
      <c r="H3" s="3" t="s">
        <v>195</v>
      </c>
      <c r="I3" s="3" t="s">
        <v>195</v>
      </c>
      <c r="K3" s="13" t="s">
        <v>196</v>
      </c>
      <c r="L3" s="4"/>
      <c r="M3" s="3" t="s">
        <v>138</v>
      </c>
      <c r="O3" s="3" t="s">
        <v>195</v>
      </c>
      <c r="P3" s="3" t="s">
        <v>195</v>
      </c>
      <c r="Q3" s="3" t="s">
        <v>195</v>
      </c>
      <c r="S3" s="31" t="s">
        <v>196</v>
      </c>
      <c r="T3" s="17"/>
      <c r="W3" s="27"/>
    </row>
    <row r="4" spans="1:23" s="7" customFormat="1" ht="13" thickBot="1" x14ac:dyDescent="0.3">
      <c r="A4" s="21" t="s">
        <v>8</v>
      </c>
      <c r="B4" s="21" t="s">
        <v>9</v>
      </c>
      <c r="C4" s="11" t="s">
        <v>10</v>
      </c>
      <c r="D4" s="7" t="s">
        <v>11</v>
      </c>
      <c r="E4" s="7" t="s">
        <v>12</v>
      </c>
      <c r="F4" s="8" t="s">
        <v>197</v>
      </c>
      <c r="G4" s="7" t="s">
        <v>198</v>
      </c>
      <c r="H4" s="7" t="s">
        <v>199</v>
      </c>
      <c r="I4" s="7" t="s">
        <v>200</v>
      </c>
      <c r="J4" s="7" t="s">
        <v>201</v>
      </c>
      <c r="K4" s="15" t="s">
        <v>176</v>
      </c>
      <c r="L4" s="8" t="s">
        <v>177</v>
      </c>
      <c r="M4" s="7" t="s">
        <v>12</v>
      </c>
      <c r="N4" s="7" t="s">
        <v>202</v>
      </c>
      <c r="O4" s="7" t="s">
        <v>198</v>
      </c>
      <c r="P4" s="7" t="s">
        <v>199</v>
      </c>
      <c r="Q4" s="7" t="s">
        <v>200</v>
      </c>
      <c r="R4" s="7" t="s">
        <v>203</v>
      </c>
      <c r="S4" s="14" t="s">
        <v>176</v>
      </c>
      <c r="T4" s="18" t="s">
        <v>177</v>
      </c>
      <c r="U4" s="7" t="s">
        <v>204</v>
      </c>
      <c r="V4" s="7" t="s">
        <v>205</v>
      </c>
      <c r="W4" s="30" t="s">
        <v>45</v>
      </c>
    </row>
    <row r="5" spans="1:23" ht="13" thickTop="1" x14ac:dyDescent="0.25">
      <c r="A5">
        <v>2011</v>
      </c>
      <c r="B5" s="20" t="s">
        <v>46</v>
      </c>
      <c r="C5" s="2">
        <v>40723</v>
      </c>
      <c r="D5">
        <v>16</v>
      </c>
      <c r="E5" s="9" t="s">
        <v>54</v>
      </c>
      <c r="F5" s="23" t="s">
        <v>206</v>
      </c>
      <c r="G5">
        <v>14</v>
      </c>
      <c r="H5">
        <v>10</v>
      </c>
      <c r="I5">
        <v>17</v>
      </c>
      <c r="K5">
        <v>10.23</v>
      </c>
      <c r="L5" s="10">
        <v>304</v>
      </c>
      <c r="M5" s="20" t="s">
        <v>57</v>
      </c>
      <c r="N5" s="20" t="s">
        <v>207</v>
      </c>
      <c r="O5" s="20">
        <v>12</v>
      </c>
      <c r="P5" s="20">
        <v>9</v>
      </c>
      <c r="Q5" s="20">
        <v>10</v>
      </c>
      <c r="S5">
        <v>10.27</v>
      </c>
      <c r="T5" s="10">
        <v>302</v>
      </c>
      <c r="U5">
        <v>27</v>
      </c>
      <c r="V5">
        <v>776</v>
      </c>
    </row>
    <row r="6" spans="1:23" x14ac:dyDescent="0.25">
      <c r="A6">
        <v>2011</v>
      </c>
      <c r="B6" s="20" t="s">
        <v>46</v>
      </c>
      <c r="C6" s="2">
        <v>40723</v>
      </c>
      <c r="D6">
        <v>16</v>
      </c>
      <c r="E6" s="9" t="s">
        <v>54</v>
      </c>
      <c r="F6" s="4" t="s">
        <v>208</v>
      </c>
      <c r="G6">
        <v>13</v>
      </c>
      <c r="H6">
        <v>10</v>
      </c>
      <c r="I6">
        <v>20</v>
      </c>
      <c r="K6">
        <v>13.56</v>
      </c>
      <c r="L6" s="10">
        <v>311</v>
      </c>
      <c r="M6" s="20" t="s">
        <v>48</v>
      </c>
      <c r="N6" s="20" t="s">
        <v>209</v>
      </c>
      <c r="O6" s="20">
        <v>3</v>
      </c>
      <c r="P6" s="20">
        <v>2</v>
      </c>
      <c r="Q6" s="20">
        <v>10</v>
      </c>
      <c r="S6">
        <v>13.68</v>
      </c>
      <c r="T6" s="10">
        <v>314</v>
      </c>
      <c r="U6">
        <v>17</v>
      </c>
      <c r="V6">
        <v>777</v>
      </c>
    </row>
    <row r="7" spans="1:23" x14ac:dyDescent="0.25">
      <c r="A7">
        <v>2011</v>
      </c>
      <c r="B7" s="20" t="s">
        <v>46</v>
      </c>
      <c r="C7" s="2">
        <v>40723</v>
      </c>
      <c r="D7">
        <v>16</v>
      </c>
      <c r="E7" s="9" t="s">
        <v>54</v>
      </c>
      <c r="F7" s="4" t="s">
        <v>208</v>
      </c>
      <c r="G7">
        <v>13</v>
      </c>
      <c r="H7">
        <v>10</v>
      </c>
      <c r="I7">
        <v>20</v>
      </c>
      <c r="K7">
        <v>13.56</v>
      </c>
      <c r="L7" s="10">
        <v>311</v>
      </c>
      <c r="M7" s="20" t="s">
        <v>47</v>
      </c>
      <c r="N7" s="20" t="s">
        <v>210</v>
      </c>
      <c r="O7" s="20">
        <v>12</v>
      </c>
      <c r="P7" s="20">
        <v>9</v>
      </c>
      <c r="Q7" s="20">
        <v>15</v>
      </c>
      <c r="S7">
        <v>13.71</v>
      </c>
      <c r="T7" s="10">
        <v>311</v>
      </c>
      <c r="U7">
        <v>15</v>
      </c>
      <c r="V7">
        <v>777</v>
      </c>
      <c r="W7" s="28" t="s">
        <v>211</v>
      </c>
    </row>
    <row r="8" spans="1:23" x14ac:dyDescent="0.25">
      <c r="A8">
        <v>2011</v>
      </c>
      <c r="B8" s="20" t="s">
        <v>46</v>
      </c>
      <c r="C8" s="2">
        <v>40723</v>
      </c>
      <c r="D8">
        <v>16</v>
      </c>
      <c r="E8" s="9" t="s">
        <v>61</v>
      </c>
      <c r="F8" s="4" t="s">
        <v>212</v>
      </c>
      <c r="G8">
        <v>40</v>
      </c>
      <c r="H8">
        <v>23</v>
      </c>
      <c r="I8">
        <v>55</v>
      </c>
      <c r="K8">
        <v>11.86</v>
      </c>
      <c r="L8" s="10">
        <v>331</v>
      </c>
      <c r="M8" s="20" t="s">
        <v>48</v>
      </c>
      <c r="N8" s="20" t="s">
        <v>213</v>
      </c>
      <c r="O8" s="20">
        <v>31</v>
      </c>
      <c r="P8" s="20">
        <v>28</v>
      </c>
      <c r="Q8" s="20">
        <v>40</v>
      </c>
      <c r="S8">
        <v>11.6</v>
      </c>
      <c r="T8" s="10">
        <v>334</v>
      </c>
      <c r="U8">
        <v>28</v>
      </c>
      <c r="V8">
        <v>778</v>
      </c>
    </row>
    <row r="9" spans="1:23" x14ac:dyDescent="0.25">
      <c r="A9">
        <v>2011</v>
      </c>
      <c r="B9" s="20" t="s">
        <v>46</v>
      </c>
      <c r="C9" s="2">
        <v>40723</v>
      </c>
      <c r="D9">
        <v>16</v>
      </c>
      <c r="E9" s="9" t="s">
        <v>139</v>
      </c>
      <c r="F9" s="23" t="s">
        <v>214</v>
      </c>
      <c r="G9">
        <v>7</v>
      </c>
      <c r="H9">
        <v>6</v>
      </c>
      <c r="I9">
        <v>11</v>
      </c>
      <c r="K9">
        <v>4.43</v>
      </c>
      <c r="L9" s="10">
        <v>226</v>
      </c>
      <c r="M9" s="20" t="s">
        <v>47</v>
      </c>
      <c r="N9" s="20" t="s">
        <v>215</v>
      </c>
      <c r="O9" s="20">
        <v>8</v>
      </c>
      <c r="P9" s="20">
        <v>5</v>
      </c>
      <c r="Q9" s="20">
        <v>15</v>
      </c>
      <c r="S9">
        <v>4.6500000000000004</v>
      </c>
      <c r="T9" s="10">
        <v>231</v>
      </c>
      <c r="U9">
        <v>35</v>
      </c>
      <c r="V9">
        <v>774</v>
      </c>
    </row>
    <row r="10" spans="1:23" x14ac:dyDescent="0.25">
      <c r="A10">
        <v>2011</v>
      </c>
      <c r="B10" s="20" t="s">
        <v>46</v>
      </c>
      <c r="C10" s="2">
        <v>40723</v>
      </c>
      <c r="D10">
        <v>16</v>
      </c>
      <c r="E10" s="9" t="s">
        <v>140</v>
      </c>
      <c r="F10" s="23" t="s">
        <v>216</v>
      </c>
      <c r="G10">
        <v>31</v>
      </c>
      <c r="H10">
        <v>31</v>
      </c>
      <c r="I10">
        <v>36</v>
      </c>
      <c r="K10">
        <v>9.07</v>
      </c>
      <c r="L10" s="10">
        <v>100</v>
      </c>
      <c r="M10" s="20" t="s">
        <v>56</v>
      </c>
      <c r="N10" s="20" t="s">
        <v>217</v>
      </c>
      <c r="O10" s="20">
        <v>10</v>
      </c>
      <c r="P10" s="20">
        <v>7</v>
      </c>
      <c r="Q10" s="20">
        <v>9</v>
      </c>
      <c r="S10">
        <v>8.6300000000000008</v>
      </c>
      <c r="T10" s="10">
        <v>99</v>
      </c>
      <c r="U10">
        <v>41</v>
      </c>
      <c r="V10">
        <v>772</v>
      </c>
      <c r="W10" s="28" t="s">
        <v>218</v>
      </c>
    </row>
    <row r="11" spans="1:23" x14ac:dyDescent="0.25">
      <c r="A11">
        <v>2011</v>
      </c>
      <c r="B11" s="20" t="s">
        <v>46</v>
      </c>
      <c r="C11" s="2">
        <v>40723</v>
      </c>
      <c r="D11">
        <v>16</v>
      </c>
      <c r="E11" s="9" t="s">
        <v>140</v>
      </c>
      <c r="F11" s="23" t="s">
        <v>216</v>
      </c>
      <c r="G11">
        <v>31</v>
      </c>
      <c r="H11">
        <v>31</v>
      </c>
      <c r="I11">
        <v>36</v>
      </c>
      <c r="K11">
        <v>9.07</v>
      </c>
      <c r="L11" s="10">
        <v>100</v>
      </c>
      <c r="M11" s="20" t="s">
        <v>51</v>
      </c>
      <c r="N11" s="20" t="s">
        <v>219</v>
      </c>
      <c r="O11" s="20">
        <v>45</v>
      </c>
      <c r="P11" s="20">
        <v>42</v>
      </c>
      <c r="Q11" s="20">
        <v>40</v>
      </c>
      <c r="S11">
        <v>8.93</v>
      </c>
      <c r="T11" s="10">
        <v>102</v>
      </c>
      <c r="U11">
        <v>47</v>
      </c>
      <c r="V11">
        <v>772</v>
      </c>
      <c r="W11" s="28" t="s">
        <v>220</v>
      </c>
    </row>
    <row r="12" spans="1:23" x14ac:dyDescent="0.25">
      <c r="A12">
        <v>2011</v>
      </c>
      <c r="B12" s="20" t="s">
        <v>46</v>
      </c>
      <c r="C12" s="2">
        <v>40723</v>
      </c>
      <c r="D12">
        <v>16</v>
      </c>
      <c r="E12" s="9" t="s">
        <v>140</v>
      </c>
      <c r="F12" s="23" t="s">
        <v>221</v>
      </c>
      <c r="G12">
        <v>46</v>
      </c>
      <c r="H12">
        <v>45</v>
      </c>
      <c r="I12">
        <v>59</v>
      </c>
      <c r="K12">
        <v>8.81</v>
      </c>
      <c r="L12" s="10">
        <v>173</v>
      </c>
      <c r="M12" s="20" t="s">
        <v>56</v>
      </c>
      <c r="N12" s="20" t="s">
        <v>222</v>
      </c>
      <c r="O12" s="20">
        <v>33</v>
      </c>
      <c r="P12" s="20">
        <v>30</v>
      </c>
      <c r="Q12" s="20">
        <v>29</v>
      </c>
      <c r="S12">
        <v>8.3800000000000008</v>
      </c>
      <c r="T12" s="10">
        <v>170</v>
      </c>
      <c r="U12">
        <v>24</v>
      </c>
      <c r="V12">
        <v>773</v>
      </c>
    </row>
    <row r="13" spans="1:23" x14ac:dyDescent="0.25">
      <c r="A13">
        <v>2011</v>
      </c>
      <c r="B13" s="20" t="s">
        <v>46</v>
      </c>
      <c r="C13" s="2">
        <v>40723</v>
      </c>
      <c r="D13">
        <v>16</v>
      </c>
      <c r="E13" s="20" t="s">
        <v>55</v>
      </c>
      <c r="F13" s="23" t="s">
        <v>223</v>
      </c>
      <c r="G13">
        <v>1</v>
      </c>
      <c r="H13">
        <v>2</v>
      </c>
      <c r="I13">
        <v>6</v>
      </c>
      <c r="K13">
        <v>3.98</v>
      </c>
      <c r="L13" s="10">
        <v>14</v>
      </c>
      <c r="M13" s="20" t="s">
        <v>48</v>
      </c>
      <c r="N13" s="20" t="s">
        <v>224</v>
      </c>
      <c r="O13" s="20">
        <v>8</v>
      </c>
      <c r="P13" s="20">
        <v>8</v>
      </c>
      <c r="Q13" s="20">
        <v>9</v>
      </c>
      <c r="S13">
        <v>3.84</v>
      </c>
      <c r="T13" s="10">
        <v>14</v>
      </c>
      <c r="U13">
        <v>11</v>
      </c>
      <c r="V13">
        <v>770</v>
      </c>
      <c r="W13" s="28" t="s">
        <v>225</v>
      </c>
    </row>
    <row r="14" spans="1:23" x14ac:dyDescent="0.25">
      <c r="A14">
        <v>2011</v>
      </c>
      <c r="B14" s="20" t="s">
        <v>46</v>
      </c>
      <c r="C14" s="2">
        <v>40723</v>
      </c>
      <c r="D14">
        <v>16</v>
      </c>
      <c r="E14" s="9" t="s">
        <v>55</v>
      </c>
      <c r="F14" s="23" t="s">
        <v>226</v>
      </c>
      <c r="G14">
        <v>36</v>
      </c>
      <c r="H14">
        <v>24</v>
      </c>
      <c r="I14">
        <v>87</v>
      </c>
      <c r="K14">
        <v>10.61</v>
      </c>
      <c r="L14" s="10">
        <v>95</v>
      </c>
      <c r="M14" s="20" t="s">
        <v>56</v>
      </c>
      <c r="N14" s="20" t="s">
        <v>227</v>
      </c>
      <c r="O14" s="20">
        <v>100</v>
      </c>
      <c r="P14" s="20">
        <v>77</v>
      </c>
      <c r="Q14" s="20">
        <v>122</v>
      </c>
      <c r="S14">
        <v>10.6</v>
      </c>
      <c r="T14" s="10">
        <v>92</v>
      </c>
      <c r="U14">
        <v>44</v>
      </c>
      <c r="V14">
        <v>771</v>
      </c>
    </row>
    <row r="15" spans="1:23" x14ac:dyDescent="0.25">
      <c r="A15">
        <v>2011</v>
      </c>
      <c r="B15" s="20" t="s">
        <v>46</v>
      </c>
      <c r="C15" s="2">
        <v>40723</v>
      </c>
      <c r="D15">
        <v>16</v>
      </c>
      <c r="E15" s="9" t="s">
        <v>55</v>
      </c>
      <c r="F15" s="4" t="s">
        <v>228</v>
      </c>
      <c r="G15">
        <v>7</v>
      </c>
      <c r="H15">
        <v>5</v>
      </c>
      <c r="I15">
        <v>23</v>
      </c>
      <c r="K15">
        <v>10.18</v>
      </c>
      <c r="L15" s="10">
        <v>330</v>
      </c>
      <c r="M15" s="20" t="s">
        <v>48</v>
      </c>
      <c r="N15" s="20" t="s">
        <v>229</v>
      </c>
      <c r="O15" s="20">
        <v>8</v>
      </c>
      <c r="P15" s="20">
        <v>7</v>
      </c>
      <c r="Q15" s="20">
        <v>9</v>
      </c>
      <c r="S15">
        <v>10.08</v>
      </c>
      <c r="T15" s="10">
        <v>328</v>
      </c>
      <c r="U15">
        <v>27</v>
      </c>
      <c r="V15">
        <v>779</v>
      </c>
      <c r="W15" s="28" t="s">
        <v>230</v>
      </c>
    </row>
    <row r="16" spans="1:23" x14ac:dyDescent="0.25">
      <c r="A16">
        <v>2011</v>
      </c>
      <c r="B16" s="20" t="s">
        <v>46</v>
      </c>
      <c r="C16" s="2">
        <v>40723</v>
      </c>
      <c r="D16">
        <v>16</v>
      </c>
      <c r="E16" s="9" t="s">
        <v>55</v>
      </c>
      <c r="F16" s="23" t="s">
        <v>231</v>
      </c>
      <c r="G16">
        <v>3</v>
      </c>
      <c r="H16">
        <v>2</v>
      </c>
      <c r="I16">
        <v>5</v>
      </c>
      <c r="K16">
        <v>3.3</v>
      </c>
      <c r="L16" s="10">
        <v>265</v>
      </c>
      <c r="M16" s="20" t="s">
        <v>47</v>
      </c>
      <c r="N16" s="20" t="s">
        <v>232</v>
      </c>
      <c r="O16" s="20">
        <v>10</v>
      </c>
      <c r="P16" s="20">
        <v>5</v>
      </c>
      <c r="Q16" s="20">
        <v>8</v>
      </c>
      <c r="S16">
        <v>3.22</v>
      </c>
      <c r="T16" s="10">
        <v>272</v>
      </c>
      <c r="U16">
        <v>31</v>
      </c>
      <c r="V16">
        <v>775</v>
      </c>
    </row>
    <row r="17" spans="1:23" x14ac:dyDescent="0.25">
      <c r="A17">
        <v>2011</v>
      </c>
      <c r="B17" s="20" t="s">
        <v>46</v>
      </c>
      <c r="C17" s="2">
        <v>40723</v>
      </c>
      <c r="D17">
        <v>22</v>
      </c>
      <c r="E17" s="9" t="s">
        <v>61</v>
      </c>
      <c r="F17" s="4" t="s">
        <v>212</v>
      </c>
      <c r="G17">
        <v>30</v>
      </c>
      <c r="H17">
        <v>20</v>
      </c>
      <c r="I17">
        <v>72</v>
      </c>
      <c r="K17">
        <v>15.46</v>
      </c>
      <c r="L17" s="10">
        <v>39</v>
      </c>
      <c r="M17" s="20" t="s">
        <v>56</v>
      </c>
      <c r="N17" s="20" t="s">
        <v>227</v>
      </c>
      <c r="O17" s="20" t="s">
        <v>1</v>
      </c>
      <c r="P17" s="20" t="s">
        <v>1</v>
      </c>
      <c r="Q17" s="20" t="s">
        <v>1</v>
      </c>
      <c r="S17">
        <v>15.38</v>
      </c>
      <c r="T17" s="10">
        <v>38</v>
      </c>
      <c r="U17">
        <v>46</v>
      </c>
      <c r="V17">
        <v>785</v>
      </c>
    </row>
    <row r="18" spans="1:23" x14ac:dyDescent="0.25">
      <c r="A18">
        <v>2011</v>
      </c>
      <c r="B18" s="20" t="s">
        <v>46</v>
      </c>
      <c r="C18" s="2">
        <v>40723</v>
      </c>
      <c r="D18">
        <v>22</v>
      </c>
      <c r="E18" s="9" t="s">
        <v>61</v>
      </c>
      <c r="F18" s="4" t="s">
        <v>233</v>
      </c>
      <c r="G18">
        <v>121</v>
      </c>
      <c r="H18">
        <v>77</v>
      </c>
      <c r="I18">
        <v>140</v>
      </c>
      <c r="K18">
        <v>9.77</v>
      </c>
      <c r="L18" s="10">
        <v>46</v>
      </c>
      <c r="M18" s="20" t="s">
        <v>50</v>
      </c>
      <c r="N18" s="20" t="s">
        <v>234</v>
      </c>
      <c r="O18" s="20">
        <v>55</v>
      </c>
      <c r="P18" s="20">
        <v>50</v>
      </c>
      <c r="Q18" s="20">
        <v>56</v>
      </c>
      <c r="S18">
        <v>10.86</v>
      </c>
      <c r="T18" s="10">
        <v>46</v>
      </c>
      <c r="U18">
        <v>83</v>
      </c>
      <c r="V18">
        <v>786</v>
      </c>
    </row>
    <row r="19" spans="1:23" x14ac:dyDescent="0.25">
      <c r="A19">
        <v>2011</v>
      </c>
      <c r="B19" s="20" t="s">
        <v>46</v>
      </c>
      <c r="C19" s="2">
        <v>40723</v>
      </c>
      <c r="D19">
        <v>22</v>
      </c>
      <c r="E19" s="9" t="s">
        <v>61</v>
      </c>
      <c r="F19" s="4" t="s">
        <v>235</v>
      </c>
      <c r="G19">
        <v>121</v>
      </c>
      <c r="H19">
        <v>56</v>
      </c>
      <c r="I19">
        <v>115</v>
      </c>
      <c r="K19">
        <v>12.09</v>
      </c>
      <c r="L19" s="10">
        <v>107</v>
      </c>
      <c r="M19" s="20" t="s">
        <v>64</v>
      </c>
      <c r="N19" s="20" t="s">
        <v>236</v>
      </c>
      <c r="O19" s="20">
        <v>20</v>
      </c>
      <c r="P19" s="20">
        <v>19</v>
      </c>
      <c r="Q19" s="20">
        <v>24</v>
      </c>
      <c r="S19">
        <v>12.09</v>
      </c>
      <c r="T19" s="10">
        <v>106</v>
      </c>
      <c r="U19">
        <v>32</v>
      </c>
      <c r="V19">
        <v>787</v>
      </c>
    </row>
    <row r="20" spans="1:23" x14ac:dyDescent="0.25">
      <c r="A20">
        <v>2011</v>
      </c>
      <c r="B20" s="20" t="s">
        <v>46</v>
      </c>
      <c r="C20" s="2">
        <v>40723</v>
      </c>
      <c r="D20">
        <v>22</v>
      </c>
      <c r="E20" s="9" t="s">
        <v>61</v>
      </c>
      <c r="F20" s="4" t="s">
        <v>237</v>
      </c>
      <c r="G20">
        <v>83</v>
      </c>
      <c r="H20">
        <v>35</v>
      </c>
      <c r="I20">
        <v>76</v>
      </c>
      <c r="K20">
        <v>11.88</v>
      </c>
      <c r="L20" s="10">
        <v>226</v>
      </c>
      <c r="M20" s="20" t="s">
        <v>53</v>
      </c>
      <c r="N20" s="20" t="s">
        <v>238</v>
      </c>
      <c r="O20" s="20">
        <v>21</v>
      </c>
      <c r="P20" s="20">
        <v>11</v>
      </c>
      <c r="Q20" s="20">
        <v>16</v>
      </c>
      <c r="S20">
        <v>11.57</v>
      </c>
      <c r="T20" s="10">
        <v>225</v>
      </c>
      <c r="U20" t="s">
        <v>239</v>
      </c>
      <c r="V20" t="s">
        <v>240</v>
      </c>
      <c r="W20" s="28" t="s">
        <v>241</v>
      </c>
    </row>
    <row r="21" spans="1:23" x14ac:dyDescent="0.25">
      <c r="A21">
        <v>2011</v>
      </c>
      <c r="B21" s="20" t="s">
        <v>46</v>
      </c>
      <c r="C21" s="2">
        <v>40723</v>
      </c>
      <c r="D21">
        <v>22</v>
      </c>
      <c r="E21" s="9" t="s">
        <v>61</v>
      </c>
      <c r="F21" s="4" t="s">
        <v>242</v>
      </c>
      <c r="G21">
        <v>26</v>
      </c>
      <c r="H21">
        <v>25</v>
      </c>
      <c r="I21">
        <v>50</v>
      </c>
      <c r="K21">
        <v>7.25</v>
      </c>
      <c r="L21" s="10">
        <v>332</v>
      </c>
      <c r="M21" s="20" t="s">
        <v>56</v>
      </c>
      <c r="N21" s="20" t="s">
        <v>217</v>
      </c>
      <c r="O21" s="20">
        <v>35</v>
      </c>
      <c r="P21" s="20">
        <v>20</v>
      </c>
      <c r="Q21" s="20">
        <v>25</v>
      </c>
      <c r="S21">
        <v>7.89</v>
      </c>
      <c r="T21" s="10">
        <v>334</v>
      </c>
      <c r="U21">
        <v>67</v>
      </c>
      <c r="V21">
        <v>791</v>
      </c>
      <c r="W21" s="28" t="s">
        <v>243</v>
      </c>
    </row>
    <row r="22" spans="1:23" x14ac:dyDescent="0.25">
      <c r="A22">
        <v>2011</v>
      </c>
      <c r="B22" s="20" t="s">
        <v>46</v>
      </c>
      <c r="C22" s="2">
        <v>40723</v>
      </c>
      <c r="D22">
        <v>22</v>
      </c>
      <c r="E22" s="9" t="s">
        <v>140</v>
      </c>
      <c r="F22" s="4" t="s">
        <v>216</v>
      </c>
      <c r="G22">
        <v>140</v>
      </c>
      <c r="H22">
        <v>80</v>
      </c>
      <c r="I22">
        <v>90</v>
      </c>
      <c r="K22">
        <v>11.63</v>
      </c>
      <c r="L22" s="10">
        <v>106</v>
      </c>
      <c r="M22" s="20" t="s">
        <v>64</v>
      </c>
      <c r="N22" s="20" t="s">
        <v>236</v>
      </c>
      <c r="O22" s="20">
        <v>20</v>
      </c>
      <c r="P22" s="20">
        <v>19</v>
      </c>
      <c r="Q22" s="20">
        <v>24</v>
      </c>
      <c r="S22">
        <v>12.09</v>
      </c>
      <c r="T22" s="10">
        <v>106</v>
      </c>
      <c r="U22">
        <v>26</v>
      </c>
      <c r="V22">
        <v>787</v>
      </c>
    </row>
    <row r="23" spans="1:23" x14ac:dyDescent="0.25">
      <c r="A23">
        <v>2011</v>
      </c>
      <c r="B23" s="20" t="s">
        <v>46</v>
      </c>
      <c r="C23" s="2">
        <v>40723</v>
      </c>
      <c r="D23">
        <v>22</v>
      </c>
      <c r="E23" s="9" t="s">
        <v>55</v>
      </c>
      <c r="F23" s="4" t="s">
        <v>223</v>
      </c>
      <c r="G23">
        <v>13</v>
      </c>
      <c r="H23">
        <v>10</v>
      </c>
      <c r="I23">
        <v>26</v>
      </c>
      <c r="K23">
        <v>15</v>
      </c>
      <c r="L23" s="10">
        <v>38</v>
      </c>
      <c r="M23" s="20" t="s">
        <v>56</v>
      </c>
      <c r="N23" s="20" t="s">
        <v>227</v>
      </c>
      <c r="O23" s="20" t="s">
        <v>1</v>
      </c>
      <c r="P23" s="20" t="s">
        <v>1</v>
      </c>
      <c r="Q23" s="20" t="s">
        <v>1</v>
      </c>
      <c r="S23">
        <v>15.38</v>
      </c>
      <c r="T23" s="10">
        <v>38</v>
      </c>
      <c r="U23">
        <v>32</v>
      </c>
      <c r="V23">
        <v>785</v>
      </c>
      <c r="W23" s="28" t="s">
        <v>244</v>
      </c>
    </row>
    <row r="24" spans="1:23" x14ac:dyDescent="0.25">
      <c r="A24">
        <v>2011</v>
      </c>
      <c r="B24" s="20" t="s">
        <v>46</v>
      </c>
      <c r="C24" s="2">
        <v>40723</v>
      </c>
      <c r="D24">
        <v>22</v>
      </c>
      <c r="E24" s="9" t="s">
        <v>55</v>
      </c>
      <c r="F24" s="4" t="s">
        <v>226</v>
      </c>
      <c r="G24">
        <v>15</v>
      </c>
      <c r="H24">
        <v>14</v>
      </c>
      <c r="I24">
        <v>26</v>
      </c>
      <c r="K24">
        <v>10.65</v>
      </c>
      <c r="L24" s="10">
        <v>45</v>
      </c>
      <c r="M24" s="20" t="s">
        <v>50</v>
      </c>
      <c r="N24" s="20" t="s">
        <v>234</v>
      </c>
      <c r="O24" s="20">
        <v>55</v>
      </c>
      <c r="P24" s="20">
        <v>50</v>
      </c>
      <c r="Q24" s="20">
        <v>56</v>
      </c>
      <c r="S24">
        <v>10.86</v>
      </c>
      <c r="T24" s="10">
        <v>46</v>
      </c>
      <c r="U24">
        <v>21</v>
      </c>
      <c r="V24">
        <v>786</v>
      </c>
    </row>
    <row r="25" spans="1:23" x14ac:dyDescent="0.25">
      <c r="A25">
        <v>2011</v>
      </c>
      <c r="B25" s="20" t="s">
        <v>46</v>
      </c>
      <c r="C25" s="2">
        <v>40723</v>
      </c>
      <c r="D25">
        <v>22</v>
      </c>
      <c r="E25" s="9" t="s">
        <v>55</v>
      </c>
      <c r="F25" s="4" t="s">
        <v>245</v>
      </c>
      <c r="G25">
        <v>18</v>
      </c>
      <c r="H25">
        <v>18</v>
      </c>
      <c r="I25">
        <v>40</v>
      </c>
      <c r="K25">
        <v>14.26</v>
      </c>
      <c r="L25" s="10">
        <v>216</v>
      </c>
      <c r="M25" s="20" t="s">
        <v>48</v>
      </c>
      <c r="N25" s="20" t="s">
        <v>224</v>
      </c>
      <c r="O25" s="20">
        <v>24</v>
      </c>
      <c r="P25" s="20">
        <v>22</v>
      </c>
      <c r="Q25" s="20">
        <v>29</v>
      </c>
      <c r="S25">
        <v>14.19</v>
      </c>
      <c r="T25" s="10">
        <v>215</v>
      </c>
      <c r="U25">
        <v>8</v>
      </c>
      <c r="V25">
        <v>788</v>
      </c>
      <c r="W25" s="28" t="s">
        <v>246</v>
      </c>
    </row>
    <row r="26" spans="1:23" x14ac:dyDescent="0.25">
      <c r="A26">
        <v>2011</v>
      </c>
      <c r="B26" s="20" t="s">
        <v>46</v>
      </c>
      <c r="C26" s="2">
        <v>40723</v>
      </c>
      <c r="D26">
        <v>22</v>
      </c>
      <c r="E26" s="9" t="s">
        <v>55</v>
      </c>
      <c r="F26" s="4" t="s">
        <v>247</v>
      </c>
      <c r="G26">
        <v>14</v>
      </c>
      <c r="H26">
        <v>13</v>
      </c>
      <c r="I26">
        <v>36</v>
      </c>
      <c r="K26">
        <v>12.2</v>
      </c>
      <c r="L26" s="10">
        <v>227</v>
      </c>
      <c r="M26" s="20" t="s">
        <v>48</v>
      </c>
      <c r="N26" s="20" t="s">
        <v>209</v>
      </c>
      <c r="O26" s="20" t="s">
        <v>1</v>
      </c>
      <c r="P26" s="20" t="s">
        <v>1</v>
      </c>
      <c r="Q26" s="20" t="s">
        <v>1</v>
      </c>
      <c r="S26">
        <v>12.49</v>
      </c>
      <c r="T26" s="10">
        <v>226</v>
      </c>
      <c r="U26" t="s">
        <v>248</v>
      </c>
      <c r="V26" t="s">
        <v>240</v>
      </c>
    </row>
    <row r="27" spans="1:23" x14ac:dyDescent="0.25">
      <c r="A27">
        <v>2011</v>
      </c>
      <c r="B27" s="20" t="s">
        <v>46</v>
      </c>
      <c r="C27" s="2">
        <v>40759</v>
      </c>
      <c r="D27">
        <v>62</v>
      </c>
      <c r="E27" s="22" t="s">
        <v>55</v>
      </c>
      <c r="F27" s="23" t="s">
        <v>226</v>
      </c>
      <c r="G27">
        <v>55</v>
      </c>
      <c r="H27">
        <v>43</v>
      </c>
      <c r="I27">
        <v>113</v>
      </c>
      <c r="K27">
        <v>6.48</v>
      </c>
      <c r="L27" s="10">
        <v>24</v>
      </c>
      <c r="M27" s="20" t="s">
        <v>69</v>
      </c>
      <c r="N27" s="20" t="s">
        <v>249</v>
      </c>
      <c r="O27" s="20">
        <v>37</v>
      </c>
      <c r="P27" s="20">
        <v>25</v>
      </c>
      <c r="Q27" s="20">
        <v>56</v>
      </c>
      <c r="S27">
        <v>5.5</v>
      </c>
      <c r="T27" s="10">
        <v>23</v>
      </c>
      <c r="U27">
        <v>93</v>
      </c>
      <c r="V27">
        <v>1418</v>
      </c>
      <c r="W27" s="28" t="s">
        <v>250</v>
      </c>
    </row>
    <row r="28" spans="1:23" x14ac:dyDescent="0.25">
      <c r="A28">
        <v>2011</v>
      </c>
      <c r="B28" s="20" t="s">
        <v>46</v>
      </c>
      <c r="C28" s="2">
        <v>40759</v>
      </c>
      <c r="D28">
        <v>62</v>
      </c>
      <c r="E28" s="22" t="s">
        <v>55</v>
      </c>
      <c r="F28" s="23" t="s">
        <v>247</v>
      </c>
      <c r="G28">
        <v>28</v>
      </c>
      <c r="H28">
        <v>15</v>
      </c>
      <c r="I28">
        <v>61</v>
      </c>
      <c r="K28">
        <v>14.48</v>
      </c>
      <c r="L28" s="10">
        <v>140</v>
      </c>
      <c r="M28" s="20" t="s">
        <v>47</v>
      </c>
      <c r="N28" s="20" t="s">
        <v>210</v>
      </c>
      <c r="O28" s="20">
        <v>26</v>
      </c>
      <c r="P28" s="20">
        <v>11</v>
      </c>
      <c r="Q28" s="20">
        <v>37</v>
      </c>
      <c r="S28">
        <v>13.87</v>
      </c>
      <c r="T28" s="10">
        <v>144</v>
      </c>
      <c r="U28">
        <v>77</v>
      </c>
      <c r="V28">
        <v>1420</v>
      </c>
      <c r="W28" s="29"/>
    </row>
    <row r="29" spans="1:23" x14ac:dyDescent="0.25">
      <c r="A29">
        <v>2011</v>
      </c>
      <c r="B29" s="20" t="s">
        <v>46</v>
      </c>
      <c r="C29" s="2">
        <v>40759</v>
      </c>
      <c r="D29">
        <v>62</v>
      </c>
      <c r="E29" s="22" t="s">
        <v>55</v>
      </c>
      <c r="F29" s="23" t="s">
        <v>231</v>
      </c>
      <c r="G29">
        <v>64</v>
      </c>
      <c r="H29">
        <v>52</v>
      </c>
      <c r="I29">
        <v>151</v>
      </c>
      <c r="K29">
        <v>10.49</v>
      </c>
      <c r="L29" s="10">
        <v>259</v>
      </c>
      <c r="M29" s="20" t="s">
        <v>47</v>
      </c>
      <c r="N29" s="20" t="s">
        <v>251</v>
      </c>
      <c r="O29" s="20" t="s">
        <v>1</v>
      </c>
      <c r="P29" s="20" t="s">
        <v>1</v>
      </c>
      <c r="Q29" s="20" t="s">
        <v>1</v>
      </c>
      <c r="S29">
        <v>11.71</v>
      </c>
      <c r="T29" s="10">
        <v>261</v>
      </c>
      <c r="U29">
        <v>136</v>
      </c>
      <c r="V29">
        <v>1421</v>
      </c>
      <c r="W29" s="28" t="s">
        <v>252</v>
      </c>
    </row>
    <row r="30" spans="1:23" x14ac:dyDescent="0.25">
      <c r="A30">
        <v>2011</v>
      </c>
      <c r="B30" s="20" t="s">
        <v>46</v>
      </c>
      <c r="C30" s="2">
        <v>40759</v>
      </c>
      <c r="D30">
        <v>62</v>
      </c>
      <c r="E30" s="22" t="s">
        <v>55</v>
      </c>
      <c r="F30" s="23" t="s">
        <v>253</v>
      </c>
      <c r="G30">
        <v>25</v>
      </c>
      <c r="H30">
        <v>20</v>
      </c>
      <c r="I30">
        <v>47</v>
      </c>
      <c r="K30">
        <v>4.88</v>
      </c>
      <c r="L30" s="10">
        <v>1</v>
      </c>
      <c r="M30" s="20" t="s">
        <v>47</v>
      </c>
      <c r="N30" s="20" t="s">
        <v>254</v>
      </c>
      <c r="O30" s="20">
        <v>39</v>
      </c>
      <c r="P30" s="20">
        <v>28</v>
      </c>
      <c r="Q30" s="20">
        <v>47</v>
      </c>
      <c r="S30">
        <v>4.62</v>
      </c>
      <c r="T30" s="10">
        <v>1</v>
      </c>
      <c r="U30">
        <v>35</v>
      </c>
      <c r="V30">
        <v>1417</v>
      </c>
      <c r="W30" s="28" t="s">
        <v>250</v>
      </c>
    </row>
    <row r="31" spans="1:23" x14ac:dyDescent="0.25">
      <c r="A31">
        <v>2011</v>
      </c>
      <c r="B31" s="20" t="s">
        <v>46</v>
      </c>
      <c r="C31" s="2">
        <v>40759</v>
      </c>
      <c r="D31">
        <v>62</v>
      </c>
      <c r="E31" s="22" t="s">
        <v>55</v>
      </c>
      <c r="F31" s="23" t="s">
        <v>255</v>
      </c>
      <c r="G31">
        <v>22</v>
      </c>
      <c r="H31">
        <v>20</v>
      </c>
      <c r="I31">
        <v>88</v>
      </c>
      <c r="K31">
        <v>12.92</v>
      </c>
      <c r="L31" s="10">
        <v>119</v>
      </c>
      <c r="M31" s="20" t="s">
        <v>47</v>
      </c>
      <c r="N31" s="20" t="s">
        <v>256</v>
      </c>
      <c r="O31" s="20">
        <v>60</v>
      </c>
      <c r="P31" s="20">
        <v>48</v>
      </c>
      <c r="Q31" s="20">
        <v>80</v>
      </c>
      <c r="S31">
        <v>13.2</v>
      </c>
      <c r="T31" s="10">
        <v>116</v>
      </c>
      <c r="U31">
        <v>33</v>
      </c>
      <c r="V31">
        <v>1419</v>
      </c>
    </row>
    <row r="32" spans="1:23" x14ac:dyDescent="0.25">
      <c r="A32">
        <v>2011</v>
      </c>
      <c r="B32" s="20" t="s">
        <v>46</v>
      </c>
      <c r="C32" s="2">
        <v>40739</v>
      </c>
      <c r="D32">
        <v>66</v>
      </c>
      <c r="E32" s="22" t="s">
        <v>60</v>
      </c>
      <c r="F32" s="23" t="s">
        <v>257</v>
      </c>
      <c r="G32">
        <v>11</v>
      </c>
      <c r="H32">
        <v>8</v>
      </c>
      <c r="I32">
        <v>13</v>
      </c>
      <c r="K32">
        <v>18.510000000000002</v>
      </c>
      <c r="L32" s="10">
        <v>16</v>
      </c>
      <c r="M32" s="20" t="s">
        <v>49</v>
      </c>
      <c r="N32" s="20" t="s">
        <v>258</v>
      </c>
      <c r="O32" s="20">
        <v>23</v>
      </c>
      <c r="P32" s="20">
        <v>20</v>
      </c>
      <c r="Q32" s="20">
        <v>23</v>
      </c>
      <c r="S32">
        <v>18.25</v>
      </c>
      <c r="T32" s="10">
        <v>17</v>
      </c>
      <c r="U32">
        <v>32</v>
      </c>
      <c r="V32">
        <v>1001</v>
      </c>
    </row>
    <row r="33" spans="1:23" x14ac:dyDescent="0.25">
      <c r="A33">
        <v>2011</v>
      </c>
      <c r="B33" s="20" t="s">
        <v>46</v>
      </c>
      <c r="C33" s="2">
        <v>40739</v>
      </c>
      <c r="D33">
        <v>66</v>
      </c>
      <c r="E33" s="22" t="s">
        <v>54</v>
      </c>
      <c r="F33" s="23" t="s">
        <v>206</v>
      </c>
      <c r="G33">
        <v>30</v>
      </c>
      <c r="H33">
        <v>23</v>
      </c>
      <c r="I33">
        <v>29</v>
      </c>
      <c r="K33">
        <v>21.34</v>
      </c>
      <c r="L33" s="10">
        <v>9</v>
      </c>
      <c r="M33" s="20" t="s">
        <v>57</v>
      </c>
      <c r="N33" s="20" t="s">
        <v>259</v>
      </c>
      <c r="O33" s="20">
        <v>17</v>
      </c>
      <c r="P33" s="20">
        <v>12</v>
      </c>
      <c r="Q33" s="20">
        <v>21</v>
      </c>
      <c r="S33">
        <v>21.26</v>
      </c>
      <c r="T33" s="10">
        <v>7</v>
      </c>
      <c r="U33">
        <v>73</v>
      </c>
      <c r="V33">
        <v>1000</v>
      </c>
      <c r="W33" s="28" t="s">
        <v>260</v>
      </c>
    </row>
    <row r="34" spans="1:23" x14ac:dyDescent="0.25">
      <c r="A34">
        <v>2011</v>
      </c>
      <c r="B34" s="20" t="s">
        <v>46</v>
      </c>
      <c r="C34" s="2">
        <v>40739</v>
      </c>
      <c r="D34">
        <v>66</v>
      </c>
      <c r="E34" s="22" t="s">
        <v>61</v>
      </c>
      <c r="F34" s="23" t="s">
        <v>212</v>
      </c>
      <c r="G34">
        <v>17</v>
      </c>
      <c r="H34">
        <v>13</v>
      </c>
      <c r="I34">
        <v>35</v>
      </c>
      <c r="K34">
        <v>9.24</v>
      </c>
      <c r="L34" s="10">
        <v>4</v>
      </c>
      <c r="M34" s="20" t="s">
        <v>64</v>
      </c>
      <c r="N34" s="20" t="s">
        <v>236</v>
      </c>
      <c r="O34" s="20">
        <v>23</v>
      </c>
      <c r="P34" s="20">
        <v>19</v>
      </c>
      <c r="Q34" s="20">
        <v>28</v>
      </c>
      <c r="S34">
        <v>9.16</v>
      </c>
      <c r="T34" s="10">
        <v>6</v>
      </c>
      <c r="U34">
        <v>30</v>
      </c>
      <c r="V34">
        <v>999</v>
      </c>
      <c r="W34" s="28" t="s">
        <v>261</v>
      </c>
    </row>
    <row r="35" spans="1:23" x14ac:dyDescent="0.25">
      <c r="A35">
        <v>2011</v>
      </c>
      <c r="B35" s="20" t="s">
        <v>46</v>
      </c>
      <c r="C35" s="2">
        <v>40739</v>
      </c>
      <c r="D35">
        <v>66</v>
      </c>
      <c r="E35" s="22" t="s">
        <v>61</v>
      </c>
      <c r="F35" s="23" t="s">
        <v>233</v>
      </c>
      <c r="G35">
        <v>46</v>
      </c>
      <c r="H35">
        <v>41</v>
      </c>
      <c r="I35">
        <v>83</v>
      </c>
      <c r="K35">
        <v>19.8</v>
      </c>
      <c r="L35" s="10">
        <v>62</v>
      </c>
      <c r="M35" s="20" t="s">
        <v>56</v>
      </c>
      <c r="N35" s="20" t="s">
        <v>217</v>
      </c>
      <c r="O35" s="20">
        <v>28</v>
      </c>
      <c r="P35" s="20">
        <v>24</v>
      </c>
      <c r="Q35" s="20">
        <v>29</v>
      </c>
      <c r="S35">
        <v>20.059999999999999</v>
      </c>
      <c r="T35" s="10">
        <v>63</v>
      </c>
      <c r="U35">
        <v>40</v>
      </c>
      <c r="V35">
        <v>1003</v>
      </c>
      <c r="W35" s="28" t="s">
        <v>262</v>
      </c>
    </row>
    <row r="36" spans="1:23" x14ac:dyDescent="0.25">
      <c r="A36">
        <v>2011</v>
      </c>
      <c r="B36" s="20" t="s">
        <v>46</v>
      </c>
      <c r="C36" s="2">
        <v>40739</v>
      </c>
      <c r="D36">
        <v>66</v>
      </c>
      <c r="E36" s="22" t="s">
        <v>61</v>
      </c>
      <c r="F36" s="23" t="s">
        <v>235</v>
      </c>
      <c r="G36">
        <v>50</v>
      </c>
      <c r="H36">
        <v>42</v>
      </c>
      <c r="I36">
        <v>113</v>
      </c>
      <c r="K36">
        <v>21.81</v>
      </c>
      <c r="L36" s="10">
        <v>350</v>
      </c>
      <c r="M36" s="20" t="s">
        <v>63</v>
      </c>
      <c r="N36" s="20" t="s">
        <v>263</v>
      </c>
      <c r="O36" s="20">
        <v>23</v>
      </c>
      <c r="P36" s="20">
        <v>20</v>
      </c>
      <c r="Q36" s="20">
        <v>47</v>
      </c>
      <c r="S36">
        <v>22.18</v>
      </c>
      <c r="T36" s="10">
        <v>349</v>
      </c>
      <c r="U36">
        <v>56</v>
      </c>
      <c r="V36">
        <v>1009</v>
      </c>
      <c r="W36" s="28" t="s">
        <v>264</v>
      </c>
    </row>
    <row r="37" spans="1:23" x14ac:dyDescent="0.25">
      <c r="A37">
        <v>2011</v>
      </c>
      <c r="B37" s="20" t="s">
        <v>46</v>
      </c>
      <c r="C37" s="2">
        <v>40739</v>
      </c>
      <c r="D37">
        <v>66</v>
      </c>
      <c r="E37" s="22" t="s">
        <v>139</v>
      </c>
      <c r="F37" s="23" t="s">
        <v>214</v>
      </c>
      <c r="G37">
        <v>15</v>
      </c>
      <c r="H37">
        <v>12</v>
      </c>
      <c r="I37">
        <v>19</v>
      </c>
      <c r="K37">
        <v>17.82</v>
      </c>
      <c r="L37" s="10">
        <v>20</v>
      </c>
      <c r="M37" s="20" t="s">
        <v>56</v>
      </c>
      <c r="N37" s="20" t="s">
        <v>227</v>
      </c>
      <c r="O37" s="20">
        <v>29</v>
      </c>
      <c r="P37" s="20">
        <v>24</v>
      </c>
      <c r="Q37" s="20">
        <v>35</v>
      </c>
      <c r="S37">
        <v>17.86</v>
      </c>
      <c r="T37" s="10">
        <v>19</v>
      </c>
      <c r="U37">
        <v>16</v>
      </c>
      <c r="V37">
        <v>1002</v>
      </c>
      <c r="W37" s="28" t="s">
        <v>264</v>
      </c>
    </row>
    <row r="38" spans="1:23" x14ac:dyDescent="0.25">
      <c r="A38">
        <v>2011</v>
      </c>
      <c r="B38" s="20" t="s">
        <v>46</v>
      </c>
      <c r="C38" s="2">
        <v>40739</v>
      </c>
      <c r="D38">
        <v>66</v>
      </c>
      <c r="E38" s="22" t="s">
        <v>139</v>
      </c>
      <c r="F38" s="23" t="s">
        <v>265</v>
      </c>
      <c r="G38">
        <v>34</v>
      </c>
      <c r="H38">
        <v>36</v>
      </c>
      <c r="I38">
        <v>40</v>
      </c>
      <c r="K38">
        <v>19.48</v>
      </c>
      <c r="L38" s="10">
        <v>65</v>
      </c>
      <c r="M38" s="20" t="s">
        <v>56</v>
      </c>
      <c r="N38" s="20" t="s">
        <v>217</v>
      </c>
      <c r="O38" s="20">
        <v>28</v>
      </c>
      <c r="P38" s="20">
        <v>24</v>
      </c>
      <c r="Q38" s="20">
        <v>29</v>
      </c>
      <c r="S38">
        <v>20.059999999999999</v>
      </c>
      <c r="T38" s="10">
        <v>63</v>
      </c>
      <c r="U38">
        <v>70</v>
      </c>
      <c r="V38">
        <v>1003</v>
      </c>
      <c r="W38" s="28" t="s">
        <v>266</v>
      </c>
    </row>
    <row r="39" spans="1:23" x14ac:dyDescent="0.25">
      <c r="A39">
        <v>2011</v>
      </c>
      <c r="B39" s="20" t="s">
        <v>46</v>
      </c>
      <c r="C39" s="2">
        <v>40739</v>
      </c>
      <c r="D39">
        <v>66</v>
      </c>
      <c r="E39" s="22" t="s">
        <v>139</v>
      </c>
      <c r="F39" s="23" t="s">
        <v>267</v>
      </c>
      <c r="G39">
        <v>48</v>
      </c>
      <c r="H39">
        <v>38</v>
      </c>
      <c r="I39">
        <v>60</v>
      </c>
      <c r="K39">
        <v>13.7</v>
      </c>
      <c r="L39" s="10">
        <v>225</v>
      </c>
      <c r="M39" s="20" t="s">
        <v>57</v>
      </c>
      <c r="N39" s="20" t="s">
        <v>207</v>
      </c>
      <c r="O39" s="20">
        <v>26</v>
      </c>
      <c r="P39" s="20">
        <v>22</v>
      </c>
      <c r="Q39" s="20">
        <v>24</v>
      </c>
      <c r="S39">
        <v>13.08</v>
      </c>
      <c r="T39" s="10">
        <v>225</v>
      </c>
      <c r="U39">
        <v>60</v>
      </c>
      <c r="V39">
        <v>1006</v>
      </c>
      <c r="W39" s="28" t="s">
        <v>268</v>
      </c>
    </row>
    <row r="40" spans="1:23" x14ac:dyDescent="0.25">
      <c r="A40">
        <v>2011</v>
      </c>
      <c r="B40" s="20" t="s">
        <v>46</v>
      </c>
      <c r="C40" s="2">
        <v>40739</v>
      </c>
      <c r="D40">
        <v>66</v>
      </c>
      <c r="E40" s="22" t="s">
        <v>139</v>
      </c>
      <c r="F40" s="23" t="s">
        <v>269</v>
      </c>
      <c r="G40">
        <v>3</v>
      </c>
      <c r="H40">
        <v>3</v>
      </c>
      <c r="I40">
        <v>8</v>
      </c>
      <c r="K40">
        <v>14.52</v>
      </c>
      <c r="L40" s="10">
        <v>237</v>
      </c>
      <c r="M40" s="20" t="s">
        <v>63</v>
      </c>
      <c r="N40" s="20" t="s">
        <v>270</v>
      </c>
      <c r="O40" s="20">
        <v>12</v>
      </c>
      <c r="P40" s="20">
        <v>11</v>
      </c>
      <c r="Q40" s="20">
        <v>20</v>
      </c>
      <c r="S40">
        <v>14.31</v>
      </c>
      <c r="T40" s="10">
        <v>236</v>
      </c>
      <c r="U40" t="s">
        <v>271</v>
      </c>
      <c r="V40">
        <v>1008</v>
      </c>
      <c r="W40" s="28" t="s">
        <v>272</v>
      </c>
    </row>
    <row r="41" spans="1:23" x14ac:dyDescent="0.25">
      <c r="A41">
        <v>2011</v>
      </c>
      <c r="B41" s="20" t="s">
        <v>46</v>
      </c>
      <c r="C41" s="2">
        <v>40739</v>
      </c>
      <c r="D41">
        <v>66</v>
      </c>
      <c r="E41" s="22" t="s">
        <v>141</v>
      </c>
      <c r="F41" s="23" t="s">
        <v>273</v>
      </c>
      <c r="G41">
        <v>31</v>
      </c>
      <c r="H41">
        <v>18</v>
      </c>
      <c r="I41">
        <v>45</v>
      </c>
      <c r="K41">
        <v>20.41</v>
      </c>
      <c r="L41" s="10">
        <v>149</v>
      </c>
      <c r="M41" s="20" t="s">
        <v>47</v>
      </c>
      <c r="N41" s="20" t="s">
        <v>215</v>
      </c>
      <c r="O41" s="20">
        <v>35</v>
      </c>
      <c r="P41" s="20">
        <v>31</v>
      </c>
      <c r="Q41" s="20">
        <v>24</v>
      </c>
      <c r="S41">
        <v>20.66</v>
      </c>
      <c r="T41" s="10">
        <v>146</v>
      </c>
      <c r="U41">
        <v>62</v>
      </c>
      <c r="V41">
        <v>1004</v>
      </c>
      <c r="W41" s="28" t="s">
        <v>274</v>
      </c>
    </row>
    <row r="42" spans="1:23" x14ac:dyDescent="0.25">
      <c r="A42">
        <v>2011</v>
      </c>
      <c r="B42" s="20" t="s">
        <v>46</v>
      </c>
      <c r="C42" s="2">
        <v>40739</v>
      </c>
      <c r="D42">
        <v>66</v>
      </c>
      <c r="E42" s="22" t="s">
        <v>55</v>
      </c>
      <c r="F42" s="23" t="s">
        <v>223</v>
      </c>
      <c r="G42">
        <v>24</v>
      </c>
      <c r="H42">
        <v>14</v>
      </c>
      <c r="I42">
        <v>74</v>
      </c>
      <c r="K42">
        <v>18.18</v>
      </c>
      <c r="L42" s="10">
        <v>15</v>
      </c>
      <c r="M42" s="20" t="s">
        <v>49</v>
      </c>
      <c r="N42" s="20" t="s">
        <v>258</v>
      </c>
      <c r="O42" s="20">
        <v>23</v>
      </c>
      <c r="P42" s="20">
        <v>20</v>
      </c>
      <c r="Q42" s="20">
        <v>23</v>
      </c>
      <c r="S42">
        <v>18.25</v>
      </c>
      <c r="T42" s="10">
        <v>17</v>
      </c>
      <c r="U42">
        <v>25</v>
      </c>
      <c r="V42">
        <v>1001</v>
      </c>
      <c r="W42" s="28" t="s">
        <v>275</v>
      </c>
    </row>
    <row r="43" spans="1:23" x14ac:dyDescent="0.25">
      <c r="A43">
        <v>2011</v>
      </c>
      <c r="B43" s="20" t="s">
        <v>46</v>
      </c>
      <c r="C43" s="2">
        <v>40739</v>
      </c>
      <c r="D43">
        <v>66</v>
      </c>
      <c r="E43" s="22" t="s">
        <v>55</v>
      </c>
      <c r="F43" s="23" t="s">
        <v>226</v>
      </c>
      <c r="G43">
        <v>34</v>
      </c>
      <c r="H43">
        <v>29</v>
      </c>
      <c r="I43">
        <v>115</v>
      </c>
      <c r="K43">
        <v>13.84</v>
      </c>
      <c r="L43" s="10">
        <v>199</v>
      </c>
      <c r="M43" s="20" t="s">
        <v>75</v>
      </c>
      <c r="N43" s="20" t="s">
        <v>276</v>
      </c>
      <c r="O43" s="20">
        <v>25</v>
      </c>
      <c r="P43" s="20">
        <v>14</v>
      </c>
      <c r="Q43" s="20">
        <v>32</v>
      </c>
      <c r="S43">
        <v>13.71</v>
      </c>
      <c r="T43" s="10">
        <v>198</v>
      </c>
      <c r="U43">
        <v>18</v>
      </c>
      <c r="V43">
        <v>1005</v>
      </c>
      <c r="W43" s="28" t="s">
        <v>277</v>
      </c>
    </row>
    <row r="44" spans="1:23" x14ac:dyDescent="0.25">
      <c r="A44">
        <v>2011</v>
      </c>
      <c r="B44" s="20" t="s">
        <v>46</v>
      </c>
      <c r="C44" s="2">
        <v>40739</v>
      </c>
      <c r="D44">
        <v>66</v>
      </c>
      <c r="E44" s="22" t="s">
        <v>55</v>
      </c>
      <c r="F44" s="23" t="s">
        <v>245</v>
      </c>
      <c r="G44">
        <v>22</v>
      </c>
      <c r="H44">
        <v>16</v>
      </c>
      <c r="I44">
        <v>68</v>
      </c>
      <c r="K44">
        <v>12.55</v>
      </c>
      <c r="L44" s="10">
        <v>230</v>
      </c>
      <c r="M44" s="20" t="s">
        <v>57</v>
      </c>
      <c r="N44" s="20" t="s">
        <v>278</v>
      </c>
      <c r="O44" s="20">
        <v>5</v>
      </c>
      <c r="P44" s="20">
        <v>3</v>
      </c>
      <c r="Q44" s="20">
        <v>7</v>
      </c>
      <c r="S44">
        <v>12.62</v>
      </c>
      <c r="T44" s="10">
        <v>229</v>
      </c>
      <c r="U44">
        <v>37</v>
      </c>
      <c r="V44">
        <v>1007</v>
      </c>
      <c r="W44" s="28" t="s">
        <v>279</v>
      </c>
    </row>
    <row r="45" spans="1:23" x14ac:dyDescent="0.25">
      <c r="A45">
        <v>2011</v>
      </c>
      <c r="B45" s="20" t="s">
        <v>46</v>
      </c>
      <c r="C45" s="2">
        <v>40739</v>
      </c>
      <c r="D45">
        <v>66</v>
      </c>
      <c r="E45" s="22" t="s">
        <v>55</v>
      </c>
      <c r="F45" s="23" t="s">
        <v>247</v>
      </c>
      <c r="G45">
        <v>4</v>
      </c>
      <c r="H45">
        <v>2</v>
      </c>
      <c r="I45">
        <v>8</v>
      </c>
      <c r="K45">
        <v>14.06</v>
      </c>
      <c r="L45" s="10">
        <v>237</v>
      </c>
      <c r="M45" s="20" t="s">
        <v>47</v>
      </c>
      <c r="N45" s="20" t="s">
        <v>210</v>
      </c>
      <c r="O45" s="20">
        <v>37</v>
      </c>
      <c r="P45" s="20">
        <v>32</v>
      </c>
      <c r="Q45" s="20">
        <v>39</v>
      </c>
      <c r="S45">
        <v>13.65</v>
      </c>
      <c r="T45" s="10">
        <v>236</v>
      </c>
      <c r="U45" t="s">
        <v>280</v>
      </c>
      <c r="V45">
        <v>1008</v>
      </c>
    </row>
    <row r="46" spans="1:23" x14ac:dyDescent="0.25">
      <c r="A46">
        <v>2011</v>
      </c>
      <c r="B46" s="20" t="s">
        <v>46</v>
      </c>
      <c r="C46" s="2">
        <v>40739</v>
      </c>
      <c r="D46">
        <v>66</v>
      </c>
      <c r="E46" s="22" t="s">
        <v>55</v>
      </c>
      <c r="F46" s="23" t="s">
        <v>228</v>
      </c>
      <c r="G46">
        <v>48</v>
      </c>
      <c r="H46">
        <v>33</v>
      </c>
      <c r="I46">
        <v>70</v>
      </c>
      <c r="K46">
        <v>22.45</v>
      </c>
      <c r="L46" s="10">
        <v>350</v>
      </c>
      <c r="M46" s="20" t="s">
        <v>63</v>
      </c>
      <c r="N46" s="20" t="s">
        <v>263</v>
      </c>
      <c r="O46" s="20">
        <v>23</v>
      </c>
      <c r="P46" s="20">
        <v>20</v>
      </c>
      <c r="Q46" s="20">
        <v>47</v>
      </c>
      <c r="S46">
        <v>22.18</v>
      </c>
      <c r="T46" s="10">
        <v>349</v>
      </c>
      <c r="U46">
        <v>33</v>
      </c>
      <c r="V46">
        <v>1009</v>
      </c>
    </row>
    <row r="47" spans="1:23" x14ac:dyDescent="0.25">
      <c r="B47" s="20"/>
      <c r="E47" s="22"/>
      <c r="F47" s="23"/>
      <c r="M47" s="20"/>
      <c r="N47" s="20"/>
      <c r="O47" s="20"/>
      <c r="P47" s="20"/>
      <c r="Q47" s="20"/>
      <c r="V47" s="20"/>
    </row>
    <row r="48" spans="1:23" x14ac:dyDescent="0.25">
      <c r="B48" s="20"/>
      <c r="E48" s="22"/>
      <c r="F48" s="23"/>
      <c r="M48" s="20"/>
      <c r="N48" s="20"/>
      <c r="O48" s="20"/>
      <c r="P48" s="20"/>
      <c r="Q48" s="20"/>
      <c r="V48" s="20"/>
    </row>
    <row r="49" spans="2:22" x14ac:dyDescent="0.25">
      <c r="B49" s="20"/>
      <c r="E49" s="22"/>
      <c r="F49" s="23"/>
      <c r="M49" s="20"/>
      <c r="N49" s="20"/>
      <c r="O49" s="20"/>
      <c r="P49" s="20"/>
      <c r="Q49" s="20"/>
      <c r="V49" s="20"/>
    </row>
    <row r="50" spans="2:22" x14ac:dyDescent="0.25">
      <c r="B50" s="20"/>
      <c r="E50" s="22"/>
      <c r="F50" s="23"/>
      <c r="M50" s="20"/>
      <c r="N50" s="20"/>
      <c r="O50" s="20"/>
      <c r="P50" s="20"/>
      <c r="Q50" s="20"/>
      <c r="V50" s="20"/>
    </row>
    <row r="51" spans="2:22" x14ac:dyDescent="0.25">
      <c r="B51" s="20"/>
      <c r="E51" s="22"/>
      <c r="F51" s="23"/>
      <c r="M51" s="20"/>
      <c r="N51" s="20"/>
      <c r="O51" s="20"/>
      <c r="P51" s="20"/>
      <c r="Q51" s="20"/>
      <c r="V51" s="20"/>
    </row>
    <row r="52" spans="2:22" x14ac:dyDescent="0.25">
      <c r="B52" s="20"/>
      <c r="E52" s="22"/>
      <c r="F52" s="23"/>
      <c r="M52" s="20"/>
      <c r="N52" s="20"/>
      <c r="O52" s="20"/>
      <c r="P52" s="20"/>
      <c r="Q52" s="20"/>
      <c r="V52" s="20"/>
    </row>
    <row r="53" spans="2:22" x14ac:dyDescent="0.25">
      <c r="B53" s="20"/>
      <c r="E53" s="22"/>
      <c r="F53" s="23"/>
      <c r="M53" s="20"/>
      <c r="N53" s="20"/>
      <c r="O53" s="20"/>
      <c r="P53" s="20"/>
      <c r="Q53" s="20"/>
      <c r="V53" s="20"/>
    </row>
    <row r="54" spans="2:22" x14ac:dyDescent="0.25">
      <c r="B54" s="20"/>
      <c r="E54" s="22"/>
      <c r="F54" s="23"/>
      <c r="M54" s="20"/>
      <c r="N54" s="20"/>
      <c r="O54" s="20"/>
      <c r="P54" s="20"/>
      <c r="Q54" s="20"/>
      <c r="V54" s="20"/>
    </row>
    <row r="55" spans="2:22" x14ac:dyDescent="0.25">
      <c r="B55" s="20"/>
      <c r="E55" s="22"/>
      <c r="F55" s="23"/>
      <c r="M55" s="20"/>
      <c r="N55" s="20"/>
      <c r="O55" s="20"/>
      <c r="P55" s="20"/>
      <c r="Q55" s="20"/>
      <c r="V55" s="20"/>
    </row>
    <row r="56" spans="2:22" x14ac:dyDescent="0.25">
      <c r="B56" s="20"/>
      <c r="E56" s="22"/>
      <c r="F56" s="23"/>
      <c r="M56" s="20"/>
      <c r="N56" s="20"/>
      <c r="O56" s="20"/>
      <c r="P56" s="20"/>
      <c r="Q56" s="20"/>
      <c r="V56" s="20"/>
    </row>
    <row r="57" spans="2:22" x14ac:dyDescent="0.25">
      <c r="B57" s="20"/>
      <c r="E57" s="22"/>
      <c r="F57" s="23"/>
      <c r="M57" s="20"/>
      <c r="N57" s="20"/>
      <c r="O57" s="20"/>
      <c r="P57" s="20"/>
      <c r="Q57" s="20"/>
      <c r="V57" s="20"/>
    </row>
    <row r="58" spans="2:22" x14ac:dyDescent="0.25">
      <c r="B58" s="20"/>
      <c r="E58" s="22"/>
      <c r="F58" s="23"/>
      <c r="M58" s="20"/>
      <c r="N58" s="20"/>
      <c r="O58" s="20"/>
      <c r="P58" s="20"/>
      <c r="Q58" s="20"/>
      <c r="V58" s="20"/>
    </row>
    <row r="59" spans="2:22" x14ac:dyDescent="0.25">
      <c r="B59" s="20"/>
      <c r="E59" s="22"/>
      <c r="F59" s="23"/>
      <c r="G59" s="20"/>
      <c r="H59" s="20"/>
      <c r="I59" s="20"/>
      <c r="M59" s="20"/>
      <c r="N59" s="20"/>
      <c r="O59" s="20"/>
      <c r="P59" s="20"/>
      <c r="Q59" s="20"/>
      <c r="V59" s="20"/>
    </row>
    <row r="60" spans="2:22" x14ac:dyDescent="0.25">
      <c r="B60" s="20"/>
      <c r="E60" s="22"/>
      <c r="F60" s="23"/>
      <c r="G60" s="20"/>
      <c r="H60" s="20"/>
      <c r="I60" s="20"/>
      <c r="M60" s="20"/>
      <c r="N60" s="20"/>
      <c r="O60" s="20"/>
      <c r="P60" s="20"/>
      <c r="Q60" s="20"/>
      <c r="V60" s="20"/>
    </row>
    <row r="61" spans="2:22" x14ac:dyDescent="0.25">
      <c r="B61" s="20"/>
      <c r="E61" s="22"/>
      <c r="F61" s="23"/>
      <c r="G61" s="20"/>
      <c r="H61" s="20"/>
      <c r="I61" s="20"/>
      <c r="M61" s="20"/>
      <c r="N61" s="20"/>
      <c r="O61" s="20"/>
      <c r="P61" s="20"/>
      <c r="Q61" s="20"/>
      <c r="V61" s="20"/>
    </row>
    <row r="62" spans="2:22" x14ac:dyDescent="0.25">
      <c r="B62" s="20"/>
      <c r="E62" s="22"/>
      <c r="F62" s="23"/>
      <c r="G62" s="20"/>
      <c r="H62" s="20"/>
      <c r="I62" s="20"/>
      <c r="M62" s="20"/>
      <c r="N62" s="20"/>
      <c r="O62" s="20"/>
      <c r="P62" s="20"/>
      <c r="Q62" s="20"/>
      <c r="V62" s="20"/>
    </row>
    <row r="63" spans="2:22" x14ac:dyDescent="0.25">
      <c r="B63" s="20"/>
      <c r="E63" s="22"/>
      <c r="F63" s="23"/>
      <c r="M63" s="20"/>
      <c r="N63" s="20"/>
      <c r="O63" s="20"/>
      <c r="P63" s="20"/>
      <c r="Q63" s="20"/>
    </row>
    <row r="64" spans="2:22" x14ac:dyDescent="0.25">
      <c r="B64" s="20"/>
      <c r="E64" s="22"/>
      <c r="F64" s="23"/>
      <c r="G64" s="20"/>
      <c r="H64" s="20"/>
      <c r="I64" s="20"/>
      <c r="M64" s="20"/>
      <c r="N64" s="20"/>
      <c r="O64" s="20"/>
      <c r="P64" s="20"/>
      <c r="Q64" s="20"/>
      <c r="V64" s="20"/>
    </row>
    <row r="65" spans="2:22" x14ac:dyDescent="0.25">
      <c r="B65" s="20"/>
      <c r="E65" s="22"/>
      <c r="F65" s="23"/>
      <c r="M65" s="20"/>
      <c r="N65" s="20"/>
      <c r="O65" s="20"/>
      <c r="P65" s="20"/>
      <c r="Q65" s="20"/>
    </row>
    <row r="66" spans="2:22" x14ac:dyDescent="0.25">
      <c r="B66" s="20"/>
      <c r="E66" s="22"/>
      <c r="F66" s="23"/>
      <c r="M66" s="20"/>
      <c r="N66" s="20"/>
      <c r="O66" s="20"/>
      <c r="P66" s="20"/>
      <c r="Q66" s="20"/>
    </row>
    <row r="67" spans="2:22" x14ac:dyDescent="0.25">
      <c r="B67" s="20"/>
      <c r="E67" s="22"/>
      <c r="F67" s="23"/>
      <c r="M67" s="20"/>
      <c r="N67" s="20"/>
      <c r="O67" s="20"/>
      <c r="P67" s="20"/>
      <c r="Q67" s="20"/>
    </row>
    <row r="68" spans="2:22" x14ac:dyDescent="0.25">
      <c r="B68" s="20"/>
      <c r="E68" s="22"/>
      <c r="F68" s="23"/>
      <c r="M68" s="20"/>
      <c r="N68" s="20"/>
      <c r="O68" s="20"/>
      <c r="P68" s="20"/>
      <c r="Q68" s="20"/>
    </row>
    <row r="69" spans="2:22" x14ac:dyDescent="0.25">
      <c r="B69" s="20"/>
      <c r="E69" s="22"/>
      <c r="F69" s="23"/>
      <c r="M69" s="20"/>
      <c r="N69" s="20"/>
      <c r="O69" s="20"/>
      <c r="P69" s="20"/>
      <c r="Q69" s="20"/>
    </row>
    <row r="70" spans="2:22" x14ac:dyDescent="0.25">
      <c r="B70" s="20"/>
      <c r="E70" s="22"/>
      <c r="F70" s="23"/>
      <c r="M70" s="20"/>
      <c r="N70" s="20"/>
      <c r="O70" s="20"/>
      <c r="P70" s="20"/>
      <c r="Q70" s="20"/>
    </row>
    <row r="71" spans="2:22" x14ac:dyDescent="0.25">
      <c r="B71" s="20"/>
      <c r="E71" s="22"/>
      <c r="F71" s="23"/>
      <c r="M71" s="20"/>
      <c r="N71" s="20"/>
      <c r="O71" s="20"/>
      <c r="P71" s="20"/>
      <c r="Q71" s="20"/>
    </row>
    <row r="72" spans="2:22" x14ac:dyDescent="0.25">
      <c r="B72" s="20"/>
      <c r="E72" s="22"/>
      <c r="F72" s="23"/>
      <c r="G72" s="20"/>
      <c r="M72" s="20"/>
      <c r="N72" s="20"/>
      <c r="O72" s="20"/>
      <c r="P72" s="20"/>
      <c r="Q72" s="20"/>
      <c r="V72" s="20"/>
    </row>
    <row r="73" spans="2:22" x14ac:dyDescent="0.25">
      <c r="B73" s="20"/>
      <c r="E73" s="22"/>
      <c r="F73" s="23"/>
      <c r="G73" s="20"/>
      <c r="M73" s="20"/>
      <c r="N73" s="20"/>
      <c r="O73" s="20"/>
      <c r="P73" s="20"/>
      <c r="Q73" s="20"/>
      <c r="V73" s="20"/>
    </row>
    <row r="74" spans="2:22" x14ac:dyDescent="0.25">
      <c r="B74" s="20"/>
      <c r="E74" s="22"/>
      <c r="F74" s="23"/>
      <c r="G74" s="20"/>
      <c r="H74" s="20"/>
      <c r="I74" s="20"/>
      <c r="M74" s="20"/>
      <c r="N74" s="20"/>
      <c r="O74" s="20"/>
      <c r="P74" s="20"/>
      <c r="Q74" s="20"/>
      <c r="V74" s="20"/>
    </row>
    <row r="75" spans="2:22" x14ac:dyDescent="0.25">
      <c r="B75" s="20"/>
      <c r="E75" s="22"/>
      <c r="F75" s="23"/>
      <c r="G75" s="20"/>
      <c r="H75" s="20"/>
      <c r="I75" s="20"/>
      <c r="M75" s="20"/>
      <c r="N75" s="20"/>
      <c r="O75" s="20"/>
      <c r="P75" s="20"/>
      <c r="Q75" s="20"/>
      <c r="V75" s="20"/>
    </row>
    <row r="76" spans="2:22" x14ac:dyDescent="0.25">
      <c r="B76" s="20"/>
      <c r="E76" s="22"/>
      <c r="F76" s="23"/>
      <c r="G76" s="20"/>
      <c r="H76" s="20"/>
      <c r="I76" s="20"/>
      <c r="M76" s="20"/>
      <c r="N76" s="20"/>
      <c r="O76" s="20"/>
      <c r="P76" s="20"/>
      <c r="Q76" s="20"/>
      <c r="V76" s="20"/>
    </row>
    <row r="77" spans="2:22" x14ac:dyDescent="0.25">
      <c r="B77" s="20"/>
      <c r="E77" s="22"/>
      <c r="F77" s="23"/>
      <c r="G77" s="20"/>
      <c r="H77" s="20"/>
      <c r="I77" s="20"/>
      <c r="M77" s="20"/>
      <c r="N77" s="20"/>
      <c r="O77" s="20"/>
      <c r="P77" s="20"/>
      <c r="Q77" s="20"/>
      <c r="V77" s="20"/>
    </row>
    <row r="78" spans="2:22" x14ac:dyDescent="0.25">
      <c r="B78" s="20"/>
      <c r="E78" s="22"/>
      <c r="F78" s="23"/>
      <c r="G78" s="20"/>
      <c r="H78" s="20"/>
      <c r="I78" s="20"/>
      <c r="M78" s="20"/>
      <c r="N78" s="20"/>
      <c r="O78" s="20"/>
      <c r="P78" s="20"/>
      <c r="Q78" s="20"/>
      <c r="V78" s="20"/>
    </row>
    <row r="79" spans="2:22" x14ac:dyDescent="0.25">
      <c r="B79" s="20"/>
    </row>
    <row r="80" spans="2:22" x14ac:dyDescent="0.25">
      <c r="B80" s="20"/>
    </row>
    <row r="81" spans="2:2" x14ac:dyDescent="0.25">
      <c r="B81" s="20"/>
    </row>
    <row r="82" spans="2:2" x14ac:dyDescent="0.25">
      <c r="B82" s="20"/>
    </row>
    <row r="83" spans="2:2" x14ac:dyDescent="0.25">
      <c r="B83" s="20"/>
    </row>
  </sheetData>
  <sortState xmlns:xlrd2="http://schemas.microsoft.com/office/spreadsheetml/2017/richdata2" ref="A5:W46">
    <sortCondition ref="D5:D46"/>
    <sortCondition ref="F5:F46"/>
  </sortState>
  <phoneticPr fontId="1" type="noConversion"/>
  <pageMargins left="0.75" right="0.75" top="1" bottom="1" header="0.5" footer="0.5"/>
  <pageSetup orientation="portrait" horizontalDpi="4294967293" verticalDpi="4294967293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dec4b6-adc0-4ae7-a610-9837ec16b1be" xsi:nil="true"/>
    <lcf76f155ced4ddcb4097134ff3c332f xmlns="f6f6290a-188c-431b-bc1b-08909b9edd3c">
      <Terms xmlns="http://schemas.microsoft.com/office/infopath/2007/PartnerControls"/>
    </lcf76f155ced4ddcb4097134ff3c332f>
    <Date xmlns="f6f6290a-188c-431b-bc1b-08909b9edd3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8CD1DE87728B4A91AC01A490840121" ma:contentTypeVersion="14" ma:contentTypeDescription="Create a new document." ma:contentTypeScope="" ma:versionID="0286a0c1720992b0cd926edcb110b1cc">
  <xsd:schema xmlns:xsd="http://www.w3.org/2001/XMLSchema" xmlns:xs="http://www.w3.org/2001/XMLSchema" xmlns:p="http://schemas.microsoft.com/office/2006/metadata/properties" xmlns:ns2="f6f6290a-188c-431b-bc1b-08909b9edd3c" xmlns:ns3="c4dec4b6-adc0-4ae7-a610-9837ec16b1be" targetNamespace="http://schemas.microsoft.com/office/2006/metadata/properties" ma:root="true" ma:fieldsID="7fcb779e9d849f44277e6e1dd1ee1357" ns2:_="" ns3:_="">
    <xsd:import namespace="f6f6290a-188c-431b-bc1b-08909b9edd3c"/>
    <xsd:import namespace="c4dec4b6-adc0-4ae7-a610-9837ec16b1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f6290a-188c-431b-bc1b-08909b9edd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b434354-605c-4a24-9fd5-b21458dd13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Date" ma:index="21" nillable="true" ma:displayName="Date" ma:format="DateOnly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ec4b6-adc0-4ae7-a610-9837ec16b1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5e82eeb-41bc-476c-9695-595138dfca12}" ma:internalName="TaxCatchAll" ma:showField="CatchAllData" ma:web="c4dec4b6-adc0-4ae7-a610-9837ec16b1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456801-30CA-4A2B-8ECE-37929DAD51E2}">
  <ds:schemaRefs>
    <ds:schemaRef ds:uri="http://schemas.microsoft.com/office/2006/metadata/properties"/>
    <ds:schemaRef ds:uri="http://schemas.microsoft.com/office/infopath/2007/PartnerControls"/>
    <ds:schemaRef ds:uri="c4dec4b6-adc0-4ae7-a610-9837ec16b1be"/>
    <ds:schemaRef ds:uri="f6f6290a-188c-431b-bc1b-08909b9edd3c"/>
  </ds:schemaRefs>
</ds:datastoreItem>
</file>

<file path=customXml/itemProps2.xml><?xml version="1.0" encoding="utf-8"?>
<ds:datastoreItem xmlns:ds="http://schemas.openxmlformats.org/officeDocument/2006/customXml" ds:itemID="{76764107-DABE-49C4-8760-1862FA4F54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f6290a-188c-431b-bc1b-08909b9edd3c"/>
    <ds:schemaRef ds:uri="c4dec4b6-adc0-4ae7-a610-9837ec16b1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AA6421-B92B-46D9-A0AB-511FD1656E7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quads.all</vt:lpstr>
      <vt:lpstr>pics</vt:lpstr>
      <vt:lpstr>FIA</vt:lpstr>
      <vt:lpstr>tall-skinny</vt:lpstr>
      <vt:lpstr>ash saplings</vt:lpstr>
      <vt:lpstr>nat&amp;inv</vt:lpstr>
    </vt:vector>
  </TitlesOfParts>
  <Manager/>
  <Company>MSU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Wendy Klooster</dc:creator>
  <cp:keywords/>
  <dc:description/>
  <cp:lastModifiedBy>Aaron Tayal</cp:lastModifiedBy>
  <cp:revision/>
  <dcterms:created xsi:type="dcterms:W3CDTF">2009-07-21T12:27:29Z</dcterms:created>
  <dcterms:modified xsi:type="dcterms:W3CDTF">2024-11-11T17:37:09Z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0x010100838CD1DE87728B4A91AC01A490840121</vt:lpwstr>
  </property>
</Properties>
</file>