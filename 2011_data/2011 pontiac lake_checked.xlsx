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perry_1864_osu_edu/Documents/Documents/Perry Lab/Emerald Ash Borer Projects/2011 MI EAB Microplots_Wendy/"/>
    </mc:Choice>
  </mc:AlternateContent>
  <xr:revisionPtr revIDLastSave="22" documentId="11_9A8932CAE2D48990EFBDC8003B328D2CF9654A6E" xr6:coauthVersionLast="47" xr6:coauthVersionMax="47" xr10:uidLastSave="{1AC04334-0249-46E9-BE97-12F24E42B2DC}"/>
  <bookViews>
    <workbookView xWindow="-120" yWindow="-120" windowWidth="29040" windowHeight="15840" xr2:uid="{00000000-000D-0000-FFFF-FFFF00000000}"/>
  </bookViews>
  <sheets>
    <sheet name="quads.all" sheetId="7" r:id="rId1"/>
    <sheet name="pics" sheetId="5" r:id="rId2"/>
    <sheet name="FIA" sheetId="15" r:id="rId3"/>
    <sheet name="tall-skinny" sheetId="8" r:id="rId4"/>
    <sheet name="ash saplings" sheetId="6" r:id="rId5"/>
    <sheet name="nat&amp;inv" sheetId="2" r:id="rId6"/>
  </sheets>
  <calcPr calcId="191028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9" i="8" l="1"/>
  <c r="J153" i="8"/>
  <c r="J154" i="8"/>
  <c r="J155" i="8"/>
  <c r="J156" i="8"/>
  <c r="H157" i="8"/>
  <c r="G157" i="8"/>
  <c r="AK146" i="7"/>
  <c r="AK147" i="7"/>
  <c r="AH144" i="7"/>
  <c r="AI144" i="7"/>
  <c r="AH145" i="7"/>
  <c r="AI145" i="7"/>
  <c r="AH146" i="7"/>
  <c r="AI146" i="7"/>
  <c r="AH147" i="7"/>
  <c r="AI147" i="7"/>
  <c r="AF143" i="7"/>
  <c r="AG143" i="7"/>
  <c r="AF144" i="7"/>
  <c r="AG144" i="7"/>
  <c r="AF145" i="7"/>
  <c r="AG145" i="7"/>
  <c r="AF146" i="7"/>
  <c r="AG146" i="7"/>
  <c r="AF147" i="7"/>
  <c r="AG147" i="7"/>
  <c r="AK145" i="7"/>
  <c r="AK144" i="7"/>
  <c r="AK143" i="7"/>
  <c r="AD143" i="7"/>
  <c r="AD144" i="7"/>
  <c r="AD145" i="7"/>
  <c r="AD146" i="7"/>
  <c r="AD147" i="7"/>
  <c r="AI143" i="7"/>
  <c r="AH143" i="7"/>
  <c r="X143" i="7"/>
  <c r="X144" i="7"/>
  <c r="X145" i="7"/>
  <c r="X146" i="7"/>
  <c r="X147" i="7"/>
  <c r="R143" i="7"/>
  <c r="R144" i="7"/>
  <c r="R145" i="7"/>
  <c r="R146" i="7"/>
  <c r="R147" i="7"/>
  <c r="L143" i="7"/>
  <c r="L144" i="7"/>
  <c r="L145" i="7"/>
  <c r="L146" i="7"/>
  <c r="L147" i="7"/>
  <c r="J80" i="8"/>
  <c r="J81" i="8"/>
  <c r="J82" i="8"/>
  <c r="J83" i="8"/>
  <c r="I86" i="8"/>
  <c r="J86" i="8" s="1"/>
  <c r="H85" i="8"/>
  <c r="G85" i="8"/>
  <c r="I84" i="8"/>
  <c r="G84" i="8"/>
  <c r="F84" i="8"/>
  <c r="AI85" i="7"/>
  <c r="AI86" i="7"/>
  <c r="AI87" i="7"/>
  <c r="AI88" i="7"/>
  <c r="AI89" i="7"/>
  <c r="AG82" i="7"/>
  <c r="AG83" i="7"/>
  <c r="AG84" i="7"/>
  <c r="AG85" i="7"/>
  <c r="AG86" i="7"/>
  <c r="AG87" i="7"/>
  <c r="AG88" i="7"/>
  <c r="AG89" i="7"/>
  <c r="AF83" i="7"/>
  <c r="AF84" i="7"/>
  <c r="AF85" i="7"/>
  <c r="AF86" i="7"/>
  <c r="AF87" i="7"/>
  <c r="AF88" i="7"/>
  <c r="AF89" i="7"/>
  <c r="AK89" i="7"/>
  <c r="AK88" i="7"/>
  <c r="AK87" i="7"/>
  <c r="AK86" i="7"/>
  <c r="AK85" i="7"/>
  <c r="AK84" i="7"/>
  <c r="AK83" i="7"/>
  <c r="AK82" i="7"/>
  <c r="AD83" i="7"/>
  <c r="AD84" i="7"/>
  <c r="AD85" i="7"/>
  <c r="AD86" i="7"/>
  <c r="AD87" i="7"/>
  <c r="AD88" i="7"/>
  <c r="AD89" i="7"/>
  <c r="AI84" i="7"/>
  <c r="AI83" i="7"/>
  <c r="AD82" i="7"/>
  <c r="AI82" i="7"/>
  <c r="AH89" i="7"/>
  <c r="AH88" i="7"/>
  <c r="AH87" i="7"/>
  <c r="AH86" i="7"/>
  <c r="AH85" i="7"/>
  <c r="AH84" i="7"/>
  <c r="AH83" i="7"/>
  <c r="AH82" i="7"/>
  <c r="AF82" i="7"/>
  <c r="X83" i="7"/>
  <c r="X84" i="7"/>
  <c r="X85" i="7"/>
  <c r="X86" i="7"/>
  <c r="X87" i="7"/>
  <c r="X88" i="7"/>
  <c r="X89" i="7"/>
  <c r="X82" i="7"/>
  <c r="R82" i="7"/>
  <c r="R83" i="7"/>
  <c r="R84" i="7"/>
  <c r="R85" i="7"/>
  <c r="R86" i="7"/>
  <c r="R87" i="7"/>
  <c r="R88" i="7"/>
  <c r="R89" i="7"/>
  <c r="L83" i="7"/>
  <c r="L84" i="7"/>
  <c r="L85" i="7"/>
  <c r="L86" i="7"/>
  <c r="L87" i="7"/>
  <c r="L88" i="7"/>
  <c r="L89" i="7"/>
  <c r="L82" i="7"/>
  <c r="J71" i="8"/>
  <c r="J72" i="8"/>
  <c r="J73" i="8"/>
  <c r="J74" i="8"/>
  <c r="J75" i="8"/>
  <c r="I78" i="8"/>
  <c r="I77" i="8"/>
  <c r="H78" i="8"/>
  <c r="G79" i="8"/>
  <c r="J79" i="8" s="1"/>
  <c r="G78" i="8"/>
  <c r="F78" i="8"/>
  <c r="F77" i="8"/>
  <c r="F76" i="8"/>
  <c r="J76" i="8" s="1"/>
  <c r="AF75" i="7"/>
  <c r="AG75" i="7"/>
  <c r="AH75" i="7"/>
  <c r="AI75" i="7"/>
  <c r="AK75" i="7"/>
  <c r="AF76" i="7"/>
  <c r="AG76" i="7"/>
  <c r="AH76" i="7"/>
  <c r="AI76" i="7"/>
  <c r="AK76" i="7"/>
  <c r="AF77" i="7"/>
  <c r="AG77" i="7"/>
  <c r="AH77" i="7"/>
  <c r="AI77" i="7"/>
  <c r="AK77" i="7"/>
  <c r="AF78" i="7"/>
  <c r="AG78" i="7"/>
  <c r="AH78" i="7"/>
  <c r="AI78" i="7"/>
  <c r="AK78" i="7"/>
  <c r="AF79" i="7"/>
  <c r="AG79" i="7"/>
  <c r="AH79" i="7"/>
  <c r="AI79" i="7"/>
  <c r="AK79" i="7"/>
  <c r="AF80" i="7"/>
  <c r="AG80" i="7"/>
  <c r="AH80" i="7"/>
  <c r="AI80" i="7"/>
  <c r="AK80" i="7"/>
  <c r="AF81" i="7"/>
  <c r="AG81" i="7"/>
  <c r="AH81" i="7"/>
  <c r="AI81" i="7"/>
  <c r="AK81" i="7"/>
  <c r="X75" i="7"/>
  <c r="X76" i="7"/>
  <c r="X77" i="7"/>
  <c r="X78" i="7"/>
  <c r="X79" i="7"/>
  <c r="X80" i="7"/>
  <c r="X81" i="7"/>
  <c r="AD75" i="7"/>
  <c r="AD76" i="7"/>
  <c r="AD77" i="7"/>
  <c r="AD78" i="7"/>
  <c r="AD79" i="7"/>
  <c r="AD80" i="7"/>
  <c r="AD81" i="7"/>
  <c r="R76" i="7"/>
  <c r="R77" i="7"/>
  <c r="R78" i="7"/>
  <c r="R79" i="7"/>
  <c r="R80" i="7"/>
  <c r="R81" i="7"/>
  <c r="R75" i="7"/>
  <c r="L76" i="7"/>
  <c r="L77" i="7"/>
  <c r="L78" i="7"/>
  <c r="L79" i="7"/>
  <c r="L80" i="7"/>
  <c r="L81" i="7"/>
  <c r="L75" i="7"/>
  <c r="J66" i="8"/>
  <c r="J67" i="8"/>
  <c r="J68" i="8"/>
  <c r="H70" i="8"/>
  <c r="J70" i="8" s="1"/>
  <c r="I69" i="8"/>
  <c r="H69" i="8"/>
  <c r="G69" i="8"/>
  <c r="F69" i="8"/>
  <c r="AI67" i="7"/>
  <c r="AI68" i="7"/>
  <c r="AI69" i="7"/>
  <c r="AI70" i="7"/>
  <c r="AI71" i="7"/>
  <c r="AI72" i="7"/>
  <c r="AI73" i="7"/>
  <c r="AI74" i="7"/>
  <c r="AF67" i="7"/>
  <c r="AG67" i="7"/>
  <c r="AF68" i="7"/>
  <c r="AG68" i="7"/>
  <c r="AF69" i="7"/>
  <c r="AG69" i="7"/>
  <c r="AF70" i="7"/>
  <c r="AG70" i="7"/>
  <c r="AF71" i="7"/>
  <c r="AG71" i="7"/>
  <c r="AF72" i="7"/>
  <c r="AG72" i="7"/>
  <c r="AF73" i="7"/>
  <c r="AG73" i="7"/>
  <c r="AF74" i="7"/>
  <c r="AG74" i="7"/>
  <c r="AK74" i="7"/>
  <c r="AK73" i="7"/>
  <c r="AK72" i="7"/>
  <c r="AK71" i="7"/>
  <c r="AK70" i="7"/>
  <c r="AK69" i="7"/>
  <c r="AK68" i="7"/>
  <c r="AK67" i="7"/>
  <c r="AD67" i="7"/>
  <c r="AD68" i="7"/>
  <c r="AD69" i="7"/>
  <c r="AD70" i="7"/>
  <c r="AD71" i="7"/>
  <c r="AD72" i="7"/>
  <c r="AD73" i="7"/>
  <c r="AD74" i="7"/>
  <c r="AH74" i="7"/>
  <c r="AH73" i="7"/>
  <c r="AH72" i="7"/>
  <c r="AH71" i="7"/>
  <c r="AH70" i="7"/>
  <c r="AH69" i="7"/>
  <c r="AH68" i="7"/>
  <c r="AH67" i="7"/>
  <c r="X67" i="7"/>
  <c r="X68" i="7"/>
  <c r="X69" i="7"/>
  <c r="X70" i="7"/>
  <c r="X71" i="7"/>
  <c r="X72" i="7"/>
  <c r="X73" i="7"/>
  <c r="X74" i="7"/>
  <c r="R67" i="7"/>
  <c r="R68" i="7"/>
  <c r="R69" i="7"/>
  <c r="R70" i="7"/>
  <c r="R71" i="7"/>
  <c r="R72" i="7"/>
  <c r="R73" i="7"/>
  <c r="R74" i="7"/>
  <c r="L74" i="7"/>
  <c r="L67" i="7"/>
  <c r="L68" i="7"/>
  <c r="L69" i="7"/>
  <c r="L70" i="7"/>
  <c r="L71" i="7"/>
  <c r="L72" i="7"/>
  <c r="L73" i="7"/>
  <c r="J158" i="8"/>
  <c r="J159" i="8"/>
  <c r="J160" i="8"/>
  <c r="J161" i="8"/>
  <c r="H162" i="8"/>
  <c r="J162" i="8" s="1"/>
  <c r="AH149" i="7"/>
  <c r="AI149" i="7"/>
  <c r="AH150" i="7"/>
  <c r="AI150" i="7"/>
  <c r="AH151" i="7"/>
  <c r="AI151" i="7"/>
  <c r="AH152" i="7"/>
  <c r="AI152" i="7"/>
  <c r="AH153" i="7"/>
  <c r="AI153" i="7"/>
  <c r="AH154" i="7"/>
  <c r="AI154" i="7"/>
  <c r="AF148" i="7"/>
  <c r="AG148" i="7"/>
  <c r="AF149" i="7"/>
  <c r="AG149" i="7"/>
  <c r="AF150" i="7"/>
  <c r="AG150" i="7"/>
  <c r="AF151" i="7"/>
  <c r="AG151" i="7"/>
  <c r="AF152" i="7"/>
  <c r="AG152" i="7"/>
  <c r="AF153" i="7"/>
  <c r="AG153" i="7"/>
  <c r="AF154" i="7"/>
  <c r="AG154" i="7"/>
  <c r="AK154" i="7"/>
  <c r="AK153" i="7"/>
  <c r="AK152" i="7"/>
  <c r="AK151" i="7"/>
  <c r="AK150" i="7"/>
  <c r="AK149" i="7"/>
  <c r="AK148" i="7"/>
  <c r="AD148" i="7"/>
  <c r="AD149" i="7"/>
  <c r="AD150" i="7"/>
  <c r="AD151" i="7"/>
  <c r="AD152" i="7"/>
  <c r="AD153" i="7"/>
  <c r="AD154" i="7"/>
  <c r="AI148" i="7"/>
  <c r="AH148" i="7"/>
  <c r="X148" i="7"/>
  <c r="X149" i="7"/>
  <c r="X150" i="7"/>
  <c r="X151" i="7"/>
  <c r="X152" i="7"/>
  <c r="X153" i="7"/>
  <c r="X154" i="7"/>
  <c r="R148" i="7"/>
  <c r="R149" i="7"/>
  <c r="R150" i="7"/>
  <c r="R151" i="7"/>
  <c r="R152" i="7"/>
  <c r="R153" i="7"/>
  <c r="R154" i="7"/>
  <c r="L148" i="7"/>
  <c r="L149" i="7"/>
  <c r="L150" i="7"/>
  <c r="L151" i="7"/>
  <c r="L152" i="7"/>
  <c r="L153" i="7"/>
  <c r="L154" i="7"/>
  <c r="J144" i="8"/>
  <c r="J145" i="8"/>
  <c r="J146" i="8"/>
  <c r="J147" i="8"/>
  <c r="J148" i="8"/>
  <c r="J149" i="8"/>
  <c r="H152" i="8"/>
  <c r="H150" i="8"/>
  <c r="G152" i="8"/>
  <c r="G151" i="8"/>
  <c r="J151" i="8" s="1"/>
  <c r="G150" i="8"/>
  <c r="F150" i="8"/>
  <c r="AI137" i="7"/>
  <c r="AI138" i="7"/>
  <c r="AI139" i="7"/>
  <c r="AI140" i="7"/>
  <c r="AI141" i="7"/>
  <c r="AI142" i="7"/>
  <c r="AH139" i="7"/>
  <c r="AH140" i="7"/>
  <c r="AH141" i="7"/>
  <c r="AH142" i="7"/>
  <c r="AF137" i="7"/>
  <c r="AG137" i="7"/>
  <c r="AF138" i="7"/>
  <c r="AG138" i="7"/>
  <c r="AF139" i="7"/>
  <c r="AG139" i="7"/>
  <c r="AF140" i="7"/>
  <c r="AG140" i="7"/>
  <c r="AF141" i="7"/>
  <c r="AG141" i="7"/>
  <c r="AF142" i="7"/>
  <c r="AG142" i="7"/>
  <c r="AK142" i="7"/>
  <c r="AK141" i="7"/>
  <c r="AK140" i="7"/>
  <c r="AK139" i="7"/>
  <c r="AK138" i="7"/>
  <c r="AK137" i="7"/>
  <c r="AD137" i="7"/>
  <c r="AD138" i="7"/>
  <c r="AD139" i="7"/>
  <c r="AD140" i="7"/>
  <c r="AD141" i="7"/>
  <c r="AD142" i="7"/>
  <c r="AH138" i="7"/>
  <c r="AH137" i="7"/>
  <c r="X142" i="7"/>
  <c r="X137" i="7"/>
  <c r="X138" i="7"/>
  <c r="X139" i="7"/>
  <c r="X140" i="7"/>
  <c r="X141" i="7"/>
  <c r="R137" i="7"/>
  <c r="R138" i="7"/>
  <c r="R139" i="7"/>
  <c r="R140" i="7"/>
  <c r="R141" i="7"/>
  <c r="R142" i="7"/>
  <c r="L137" i="7"/>
  <c r="L138" i="7"/>
  <c r="L139" i="7"/>
  <c r="L140" i="7"/>
  <c r="L141" i="7"/>
  <c r="L142" i="7"/>
  <c r="J199" i="8"/>
  <c r="I202" i="8"/>
  <c r="H202" i="8"/>
  <c r="G201" i="8"/>
  <c r="J201" i="8" s="1"/>
  <c r="F200" i="8"/>
  <c r="J200" i="8" s="1"/>
  <c r="AI200" i="7"/>
  <c r="AI201" i="7"/>
  <c r="AI202" i="7"/>
  <c r="AI203" i="7"/>
  <c r="AI204" i="7"/>
  <c r="AF201" i="7"/>
  <c r="AG201" i="7"/>
  <c r="AF202" i="7"/>
  <c r="AG202" i="7"/>
  <c r="AF203" i="7"/>
  <c r="AG203" i="7"/>
  <c r="AF204" i="7"/>
  <c r="AG204" i="7"/>
  <c r="AK204" i="7"/>
  <c r="AK203" i="7"/>
  <c r="AK202" i="7"/>
  <c r="AK201" i="7"/>
  <c r="AK200" i="7"/>
  <c r="AD200" i="7"/>
  <c r="AD201" i="7"/>
  <c r="AD202" i="7"/>
  <c r="AD203" i="7"/>
  <c r="AD204" i="7"/>
  <c r="AH204" i="7"/>
  <c r="AH203" i="7"/>
  <c r="AH202" i="7"/>
  <c r="AH201" i="7"/>
  <c r="AH200" i="7"/>
  <c r="AG200" i="7"/>
  <c r="AF200" i="7"/>
  <c r="X200" i="7"/>
  <c r="X201" i="7"/>
  <c r="X202" i="7"/>
  <c r="X203" i="7"/>
  <c r="X204" i="7"/>
  <c r="R201" i="7"/>
  <c r="R202" i="7"/>
  <c r="R203" i="7"/>
  <c r="R204" i="7"/>
  <c r="R200" i="7"/>
  <c r="L201" i="7"/>
  <c r="L202" i="7"/>
  <c r="L203" i="7"/>
  <c r="L204" i="7"/>
  <c r="L200" i="7"/>
  <c r="J196" i="8"/>
  <c r="J197" i="8"/>
  <c r="I198" i="8"/>
  <c r="F198" i="8"/>
  <c r="AI195" i="7"/>
  <c r="AI196" i="7"/>
  <c r="AI197" i="7"/>
  <c r="AI198" i="7"/>
  <c r="AI199" i="7"/>
  <c r="AF193" i="7"/>
  <c r="AG193" i="7"/>
  <c r="AF194" i="7"/>
  <c r="AG194" i="7"/>
  <c r="AF195" i="7"/>
  <c r="AG195" i="7"/>
  <c r="AF196" i="7"/>
  <c r="AG196" i="7"/>
  <c r="AF197" i="7"/>
  <c r="AG197" i="7"/>
  <c r="AF198" i="7"/>
  <c r="AG198" i="7"/>
  <c r="AF199" i="7"/>
  <c r="AG199" i="7"/>
  <c r="AK199" i="7"/>
  <c r="AK198" i="7"/>
  <c r="AK197" i="7"/>
  <c r="AK196" i="7"/>
  <c r="AK195" i="7"/>
  <c r="AK194" i="7"/>
  <c r="AK193" i="7"/>
  <c r="AD193" i="7"/>
  <c r="AD194" i="7"/>
  <c r="AD195" i="7"/>
  <c r="AD196" i="7"/>
  <c r="AD197" i="7"/>
  <c r="AD198" i="7"/>
  <c r="AD199" i="7"/>
  <c r="AI194" i="7"/>
  <c r="AI193" i="7"/>
  <c r="AH199" i="7"/>
  <c r="AH198" i="7"/>
  <c r="AH197" i="7"/>
  <c r="AH196" i="7"/>
  <c r="AH195" i="7"/>
  <c r="AH194" i="7"/>
  <c r="AH193" i="7"/>
  <c r="X193" i="7"/>
  <c r="X194" i="7"/>
  <c r="X195" i="7"/>
  <c r="X196" i="7"/>
  <c r="X197" i="7"/>
  <c r="X198" i="7"/>
  <c r="X199" i="7"/>
  <c r="R193" i="7"/>
  <c r="R194" i="7"/>
  <c r="R195" i="7"/>
  <c r="R196" i="7"/>
  <c r="R197" i="7"/>
  <c r="R198" i="7"/>
  <c r="R199" i="7"/>
  <c r="L193" i="7"/>
  <c r="L194" i="7"/>
  <c r="L195" i="7"/>
  <c r="L196" i="7"/>
  <c r="L197" i="7"/>
  <c r="L198" i="7"/>
  <c r="L199" i="7"/>
  <c r="J186" i="8"/>
  <c r="J187" i="8"/>
  <c r="J188" i="8"/>
  <c r="J189" i="8"/>
  <c r="J190" i="8"/>
  <c r="J191" i="8"/>
  <c r="J192" i="8"/>
  <c r="I195" i="8"/>
  <c r="J195" i="8" s="1"/>
  <c r="I194" i="8"/>
  <c r="I193" i="8"/>
  <c r="H193" i="8"/>
  <c r="G194" i="8"/>
  <c r="G193" i="8"/>
  <c r="F193" i="8"/>
  <c r="AK190" i="7"/>
  <c r="AK191" i="7"/>
  <c r="AK192" i="7"/>
  <c r="AH185" i="7"/>
  <c r="AI185" i="7"/>
  <c r="AH186" i="7"/>
  <c r="AI186" i="7"/>
  <c r="AH187" i="7"/>
  <c r="AI187" i="7"/>
  <c r="AH188" i="7"/>
  <c r="AI188" i="7"/>
  <c r="AH189" i="7"/>
  <c r="AI189" i="7"/>
  <c r="AH190" i="7"/>
  <c r="AI190" i="7"/>
  <c r="AH191" i="7"/>
  <c r="AI191" i="7"/>
  <c r="AH192" i="7"/>
  <c r="AI192" i="7"/>
  <c r="AF184" i="7"/>
  <c r="AG184" i="7"/>
  <c r="AF185" i="7"/>
  <c r="AG185" i="7"/>
  <c r="AF186" i="7"/>
  <c r="AG186" i="7"/>
  <c r="AF187" i="7"/>
  <c r="AG187" i="7"/>
  <c r="AF188" i="7"/>
  <c r="AG188" i="7"/>
  <c r="AF189" i="7"/>
  <c r="AG189" i="7"/>
  <c r="AF190" i="7"/>
  <c r="AG190" i="7"/>
  <c r="AF191" i="7"/>
  <c r="AG191" i="7"/>
  <c r="AF192" i="7"/>
  <c r="AG192" i="7"/>
  <c r="AK189" i="7"/>
  <c r="AK188" i="7"/>
  <c r="AK187" i="7"/>
  <c r="AK186" i="7"/>
  <c r="AK185" i="7"/>
  <c r="AK184" i="7"/>
  <c r="AD184" i="7"/>
  <c r="AD185" i="7"/>
  <c r="AD186" i="7"/>
  <c r="AD187" i="7"/>
  <c r="AD188" i="7"/>
  <c r="AD189" i="7"/>
  <c r="AD190" i="7"/>
  <c r="AD191" i="7"/>
  <c r="AD192" i="7"/>
  <c r="AI184" i="7"/>
  <c r="AH184" i="7"/>
  <c r="X184" i="7"/>
  <c r="X185" i="7"/>
  <c r="X186" i="7"/>
  <c r="X187" i="7"/>
  <c r="X188" i="7"/>
  <c r="X189" i="7"/>
  <c r="X190" i="7"/>
  <c r="X191" i="7"/>
  <c r="X192" i="7"/>
  <c r="R184" i="7"/>
  <c r="R185" i="7"/>
  <c r="R186" i="7"/>
  <c r="R187" i="7"/>
  <c r="R188" i="7"/>
  <c r="R189" i="7"/>
  <c r="R190" i="7"/>
  <c r="R191" i="7"/>
  <c r="R192" i="7"/>
  <c r="L184" i="7"/>
  <c r="L185" i="7"/>
  <c r="L186" i="7"/>
  <c r="L187" i="7"/>
  <c r="L188" i="7"/>
  <c r="L189" i="7"/>
  <c r="L190" i="7"/>
  <c r="L191" i="7"/>
  <c r="L192" i="7"/>
  <c r="J102" i="8"/>
  <c r="J103" i="8"/>
  <c r="J104" i="8"/>
  <c r="J105" i="8"/>
  <c r="J106" i="8"/>
  <c r="J107" i="8"/>
  <c r="I113" i="8"/>
  <c r="J113" i="8" s="1"/>
  <c r="I112" i="8"/>
  <c r="I110" i="8"/>
  <c r="I109" i="8"/>
  <c r="I108" i="8"/>
  <c r="H112" i="8"/>
  <c r="H111" i="8"/>
  <c r="H109" i="8"/>
  <c r="G112" i="8"/>
  <c r="G111" i="8"/>
  <c r="G110" i="8"/>
  <c r="J110" i="8" s="1"/>
  <c r="G109" i="8"/>
  <c r="F109" i="8"/>
  <c r="F108" i="8"/>
  <c r="AF100" i="7"/>
  <c r="AG100" i="7"/>
  <c r="AF101" i="7"/>
  <c r="AG101" i="7"/>
  <c r="AF102" i="7"/>
  <c r="AG102" i="7"/>
  <c r="AF103" i="7"/>
  <c r="AG103" i="7"/>
  <c r="AF104" i="7"/>
  <c r="AG104" i="7"/>
  <c r="AF105" i="7"/>
  <c r="AG105" i="7"/>
  <c r="AK105" i="7"/>
  <c r="AK104" i="7"/>
  <c r="AK103" i="7"/>
  <c r="AK102" i="7"/>
  <c r="AK101" i="7"/>
  <c r="AK100" i="7"/>
  <c r="AD100" i="7"/>
  <c r="AD101" i="7"/>
  <c r="AD102" i="7"/>
  <c r="AD103" i="7"/>
  <c r="AD104" i="7"/>
  <c r="AD105" i="7"/>
  <c r="AI105" i="7"/>
  <c r="AI104" i="7"/>
  <c r="AI103" i="7"/>
  <c r="AI102" i="7"/>
  <c r="AI101" i="7"/>
  <c r="AI100" i="7"/>
  <c r="AH105" i="7"/>
  <c r="AH104" i="7"/>
  <c r="AH103" i="7"/>
  <c r="AH102" i="7"/>
  <c r="AH101" i="7"/>
  <c r="AH100" i="7"/>
  <c r="X100" i="7"/>
  <c r="X101" i="7"/>
  <c r="X102" i="7"/>
  <c r="X103" i="7"/>
  <c r="X104" i="7"/>
  <c r="X105" i="7"/>
  <c r="R100" i="7"/>
  <c r="R101" i="7"/>
  <c r="R102" i="7"/>
  <c r="R103" i="7"/>
  <c r="R104" i="7"/>
  <c r="R105" i="7"/>
  <c r="L100" i="7"/>
  <c r="L101" i="7"/>
  <c r="L102" i="7"/>
  <c r="L103" i="7"/>
  <c r="L104" i="7"/>
  <c r="L105" i="7"/>
  <c r="J87" i="8"/>
  <c r="J88" i="8"/>
  <c r="J89" i="8"/>
  <c r="J90" i="8"/>
  <c r="J91" i="8"/>
  <c r="J92" i="8"/>
  <c r="J93" i="8"/>
  <c r="I99" i="8"/>
  <c r="I98" i="8"/>
  <c r="I97" i="8"/>
  <c r="I96" i="8"/>
  <c r="I95" i="8"/>
  <c r="I94" i="8"/>
  <c r="H101" i="8"/>
  <c r="J101" i="8" s="1"/>
  <c r="H97" i="8"/>
  <c r="H94" i="8"/>
  <c r="G100" i="8"/>
  <c r="J100" i="8" s="1"/>
  <c r="G99" i="8"/>
  <c r="G95" i="8"/>
  <c r="G94" i="8"/>
  <c r="F99" i="8"/>
  <c r="F98" i="8"/>
  <c r="F97" i="8"/>
  <c r="F96" i="8"/>
  <c r="F95" i="8"/>
  <c r="F94" i="8"/>
  <c r="AI90" i="7"/>
  <c r="AI91" i="7"/>
  <c r="AI92" i="7"/>
  <c r="AI93" i="7"/>
  <c r="AI94" i="7"/>
  <c r="AI95" i="7"/>
  <c r="AI96" i="7"/>
  <c r="AI97" i="7"/>
  <c r="AI98" i="7"/>
  <c r="AI99" i="7"/>
  <c r="AF90" i="7"/>
  <c r="AG90" i="7"/>
  <c r="AF91" i="7"/>
  <c r="AG91" i="7"/>
  <c r="AF92" i="7"/>
  <c r="AG92" i="7"/>
  <c r="AF93" i="7"/>
  <c r="AG93" i="7"/>
  <c r="AF94" i="7"/>
  <c r="AG94" i="7"/>
  <c r="AF95" i="7"/>
  <c r="AG95" i="7"/>
  <c r="AF96" i="7"/>
  <c r="AG96" i="7"/>
  <c r="AF97" i="7"/>
  <c r="AG97" i="7"/>
  <c r="AF98" i="7"/>
  <c r="AG98" i="7"/>
  <c r="AF99" i="7"/>
  <c r="AG99" i="7"/>
  <c r="AK99" i="7"/>
  <c r="AK98" i="7"/>
  <c r="AK97" i="7"/>
  <c r="AK96" i="7"/>
  <c r="AK95" i="7"/>
  <c r="AK94" i="7"/>
  <c r="AK93" i="7"/>
  <c r="AK92" i="7"/>
  <c r="AK91" i="7"/>
  <c r="AK90" i="7"/>
  <c r="AD90" i="7"/>
  <c r="AD91" i="7"/>
  <c r="AD92" i="7"/>
  <c r="AD93" i="7"/>
  <c r="AD94" i="7"/>
  <c r="AD95" i="7"/>
  <c r="AD96" i="7"/>
  <c r="AD97" i="7"/>
  <c r="AD98" i="7"/>
  <c r="AD99" i="7"/>
  <c r="AH99" i="7"/>
  <c r="AH98" i="7"/>
  <c r="AH97" i="7"/>
  <c r="AH96" i="7"/>
  <c r="AH95" i="7"/>
  <c r="AH94" i="7"/>
  <c r="AH93" i="7"/>
  <c r="AH92" i="7"/>
  <c r="AH91" i="7"/>
  <c r="AH90" i="7"/>
  <c r="X90" i="7"/>
  <c r="X91" i="7"/>
  <c r="X92" i="7"/>
  <c r="X93" i="7"/>
  <c r="X94" i="7"/>
  <c r="X95" i="7"/>
  <c r="X96" i="7"/>
  <c r="X97" i="7"/>
  <c r="X98" i="7"/>
  <c r="X99" i="7"/>
  <c r="R90" i="7"/>
  <c r="R91" i="7"/>
  <c r="R92" i="7"/>
  <c r="R93" i="7"/>
  <c r="R94" i="7"/>
  <c r="R95" i="7"/>
  <c r="R96" i="7"/>
  <c r="R97" i="7"/>
  <c r="R98" i="7"/>
  <c r="R99" i="7"/>
  <c r="L90" i="7"/>
  <c r="L91" i="7"/>
  <c r="L92" i="7"/>
  <c r="L93" i="7"/>
  <c r="L94" i="7"/>
  <c r="L95" i="7"/>
  <c r="L96" i="7"/>
  <c r="L97" i="7"/>
  <c r="L98" i="7"/>
  <c r="L99" i="7"/>
  <c r="AJ82" i="7" l="1"/>
  <c r="AJ147" i="7"/>
  <c r="J78" i="8"/>
  <c r="AJ146" i="7"/>
  <c r="J152" i="8"/>
  <c r="J157" i="8"/>
  <c r="AJ145" i="7"/>
  <c r="AJ144" i="7"/>
  <c r="J85" i="8"/>
  <c r="J198" i="8"/>
  <c r="J150" i="8"/>
  <c r="J69" i="8"/>
  <c r="J77" i="8"/>
  <c r="J84" i="8"/>
  <c r="AJ89" i="7"/>
  <c r="AJ87" i="7"/>
  <c r="AJ85" i="7"/>
  <c r="AJ83" i="7"/>
  <c r="AJ198" i="7"/>
  <c r="AJ196" i="7"/>
  <c r="AJ88" i="7"/>
  <c r="AJ86" i="7"/>
  <c r="AJ84" i="7"/>
  <c r="AJ143" i="7"/>
  <c r="AJ81" i="7"/>
  <c r="AJ79" i="7"/>
  <c r="AJ77" i="7"/>
  <c r="AJ75" i="7"/>
  <c r="AJ74" i="7"/>
  <c r="AJ73" i="7"/>
  <c r="AJ72" i="7"/>
  <c r="AJ71" i="7"/>
  <c r="AJ70" i="7"/>
  <c r="AJ69" i="7"/>
  <c r="AJ68" i="7"/>
  <c r="AJ67" i="7"/>
  <c r="AJ80" i="7"/>
  <c r="AJ78" i="7"/>
  <c r="AJ76" i="7"/>
  <c r="J95" i="8"/>
  <c r="J97" i="8"/>
  <c r="J99" i="8"/>
  <c r="J109" i="8"/>
  <c r="J112" i="8"/>
  <c r="J193" i="8"/>
  <c r="J194" i="8"/>
  <c r="J202" i="8"/>
  <c r="AJ199" i="7"/>
  <c r="AJ197" i="7"/>
  <c r="AJ195" i="7"/>
  <c r="AJ194" i="7"/>
  <c r="AJ193" i="7"/>
  <c r="AJ192" i="7"/>
  <c r="AJ191" i="7"/>
  <c r="AJ190" i="7"/>
  <c r="AJ189" i="7"/>
  <c r="AJ188" i="7"/>
  <c r="AJ187" i="7"/>
  <c r="AJ186" i="7"/>
  <c r="AJ185" i="7"/>
  <c r="AJ184" i="7"/>
  <c r="AJ200" i="7"/>
  <c r="AJ204" i="7"/>
  <c r="AJ203" i="7"/>
  <c r="AJ202" i="7"/>
  <c r="AJ201" i="7"/>
  <c r="AJ142" i="7"/>
  <c r="AJ141" i="7"/>
  <c r="AJ140" i="7"/>
  <c r="AJ139" i="7"/>
  <c r="AJ138" i="7"/>
  <c r="AJ137" i="7"/>
  <c r="AJ154" i="7"/>
  <c r="AJ153" i="7"/>
  <c r="AJ152" i="7"/>
  <c r="AJ151" i="7"/>
  <c r="AJ150" i="7"/>
  <c r="AJ149" i="7"/>
  <c r="AJ148" i="7"/>
  <c r="J94" i="8"/>
  <c r="J96" i="8"/>
  <c r="J98" i="8"/>
  <c r="J108" i="8"/>
  <c r="J111" i="8"/>
  <c r="AJ105" i="7"/>
  <c r="AJ104" i="7"/>
  <c r="AJ103" i="7"/>
  <c r="AJ102" i="7"/>
  <c r="AJ101" i="7"/>
  <c r="AJ100" i="7"/>
  <c r="AJ98" i="7"/>
  <c r="AJ96" i="7"/>
  <c r="AJ94" i="7"/>
  <c r="AJ92" i="7"/>
  <c r="AJ90" i="7"/>
  <c r="AJ99" i="7"/>
  <c r="AJ97" i="7"/>
  <c r="AJ95" i="7"/>
  <c r="AJ93" i="7"/>
  <c r="AJ91" i="7"/>
  <c r="J174" i="8"/>
  <c r="J175" i="8"/>
  <c r="J176" i="8"/>
  <c r="J177" i="8"/>
  <c r="I178" i="8"/>
  <c r="H182" i="8"/>
  <c r="J182" i="8" s="1"/>
  <c r="H180" i="8"/>
  <c r="G181" i="8"/>
  <c r="J181" i="8" s="1"/>
  <c r="G180" i="8"/>
  <c r="G178" i="8"/>
  <c r="F180" i="8"/>
  <c r="J180" i="8" s="1"/>
  <c r="F179" i="8"/>
  <c r="J179" i="8" s="1"/>
  <c r="F178" i="8"/>
  <c r="AI168" i="7"/>
  <c r="AI169" i="7"/>
  <c r="AI170" i="7"/>
  <c r="AI171" i="7"/>
  <c r="AI172" i="7"/>
  <c r="AI173" i="7"/>
  <c r="AI174" i="7"/>
  <c r="AI175" i="7"/>
  <c r="AI176" i="7"/>
  <c r="AI177" i="7"/>
  <c r="AI178" i="7"/>
  <c r="AF169" i="7"/>
  <c r="AG169" i="7"/>
  <c r="AF170" i="7"/>
  <c r="AG170" i="7"/>
  <c r="AF171" i="7"/>
  <c r="AG171" i="7"/>
  <c r="AF172" i="7"/>
  <c r="AG172" i="7"/>
  <c r="AF173" i="7"/>
  <c r="AG173" i="7"/>
  <c r="AF174" i="7"/>
  <c r="AG174" i="7"/>
  <c r="AF175" i="7"/>
  <c r="AG175" i="7"/>
  <c r="AF176" i="7"/>
  <c r="AG176" i="7"/>
  <c r="AF177" i="7"/>
  <c r="AG177" i="7"/>
  <c r="AF178" i="7"/>
  <c r="AG178" i="7"/>
  <c r="AK178" i="7"/>
  <c r="AK177" i="7"/>
  <c r="AK176" i="7"/>
  <c r="AK175" i="7"/>
  <c r="AK174" i="7"/>
  <c r="AK173" i="7"/>
  <c r="AK172" i="7"/>
  <c r="AK171" i="7"/>
  <c r="AK170" i="7"/>
  <c r="AK169" i="7"/>
  <c r="AK168" i="7"/>
  <c r="AD168" i="7"/>
  <c r="AD169" i="7"/>
  <c r="AD170" i="7"/>
  <c r="AD171" i="7"/>
  <c r="AD172" i="7"/>
  <c r="AD173" i="7"/>
  <c r="AD174" i="7"/>
  <c r="AD175" i="7"/>
  <c r="AD176" i="7"/>
  <c r="AD177" i="7"/>
  <c r="AD178" i="7"/>
  <c r="AH178" i="7"/>
  <c r="AH177" i="7"/>
  <c r="AH176" i="7"/>
  <c r="AH175" i="7"/>
  <c r="AH174" i="7"/>
  <c r="AH173" i="7"/>
  <c r="AH172" i="7"/>
  <c r="AH171" i="7"/>
  <c r="AH170" i="7"/>
  <c r="AH169" i="7"/>
  <c r="AH168" i="7"/>
  <c r="AG168" i="7"/>
  <c r="AF168" i="7"/>
  <c r="X169" i="7"/>
  <c r="X170" i="7"/>
  <c r="X171" i="7"/>
  <c r="X172" i="7"/>
  <c r="X173" i="7"/>
  <c r="X174" i="7"/>
  <c r="X175" i="7"/>
  <c r="X176" i="7"/>
  <c r="X177" i="7"/>
  <c r="X178" i="7"/>
  <c r="X168" i="7"/>
  <c r="R169" i="7"/>
  <c r="R170" i="7"/>
  <c r="R171" i="7"/>
  <c r="R172" i="7"/>
  <c r="R173" i="7"/>
  <c r="R174" i="7"/>
  <c r="R175" i="7"/>
  <c r="R176" i="7"/>
  <c r="R177" i="7"/>
  <c r="R178" i="7"/>
  <c r="R168" i="7"/>
  <c r="L168" i="7"/>
  <c r="L169" i="7"/>
  <c r="L170" i="7"/>
  <c r="L171" i="7"/>
  <c r="L172" i="7"/>
  <c r="L173" i="7"/>
  <c r="L174" i="7"/>
  <c r="L175" i="7"/>
  <c r="L176" i="7"/>
  <c r="L177" i="7"/>
  <c r="L178" i="7"/>
  <c r="J163" i="8"/>
  <c r="J164" i="8"/>
  <c r="J165" i="8"/>
  <c r="J166" i="8"/>
  <c r="J167" i="8"/>
  <c r="J168" i="8"/>
  <c r="J169" i="8"/>
  <c r="I173" i="8"/>
  <c r="I171" i="8"/>
  <c r="I170" i="8"/>
  <c r="H173" i="8"/>
  <c r="H172" i="8"/>
  <c r="H171" i="8"/>
  <c r="G172" i="8"/>
  <c r="G171" i="8"/>
  <c r="G170" i="8"/>
  <c r="F172" i="8"/>
  <c r="F171" i="8"/>
  <c r="F170" i="8"/>
  <c r="J183" i="8"/>
  <c r="I185" i="8"/>
  <c r="J185" i="8" s="1"/>
  <c r="F184" i="8"/>
  <c r="I184" i="8"/>
  <c r="AI155" i="7"/>
  <c r="AI156" i="7"/>
  <c r="AI157" i="7"/>
  <c r="AI158" i="7"/>
  <c r="AI159" i="7"/>
  <c r="AI160" i="7"/>
  <c r="AI161" i="7"/>
  <c r="AI162" i="7"/>
  <c r="AI163" i="7"/>
  <c r="AI164" i="7"/>
  <c r="AI165" i="7"/>
  <c r="AI166" i="7"/>
  <c r="AI167" i="7"/>
  <c r="AF155" i="7"/>
  <c r="AG155" i="7"/>
  <c r="AF156" i="7"/>
  <c r="AG156" i="7"/>
  <c r="AF157" i="7"/>
  <c r="AG157" i="7"/>
  <c r="AF158" i="7"/>
  <c r="AG158" i="7"/>
  <c r="AF159" i="7"/>
  <c r="AG159" i="7"/>
  <c r="AF160" i="7"/>
  <c r="AG160" i="7"/>
  <c r="AF161" i="7"/>
  <c r="AG161" i="7"/>
  <c r="AF162" i="7"/>
  <c r="AG162" i="7"/>
  <c r="AF163" i="7"/>
  <c r="AG163" i="7"/>
  <c r="AF164" i="7"/>
  <c r="AG164" i="7"/>
  <c r="AF165" i="7"/>
  <c r="AG165" i="7"/>
  <c r="AF166" i="7"/>
  <c r="AG166" i="7"/>
  <c r="AF167" i="7"/>
  <c r="AG167" i="7"/>
  <c r="AK167" i="7"/>
  <c r="AK166" i="7"/>
  <c r="AK165" i="7"/>
  <c r="AK164" i="7"/>
  <c r="AK163" i="7"/>
  <c r="AK162" i="7"/>
  <c r="AK161" i="7"/>
  <c r="AK160" i="7"/>
  <c r="AK159" i="7"/>
  <c r="AK158" i="7"/>
  <c r="AK157" i="7"/>
  <c r="AK156" i="7"/>
  <c r="AK155" i="7"/>
  <c r="AD155" i="7"/>
  <c r="AD156" i="7"/>
  <c r="AD157" i="7"/>
  <c r="AD158" i="7"/>
  <c r="AD159" i="7"/>
  <c r="AD160" i="7"/>
  <c r="AD161" i="7"/>
  <c r="AD162" i="7"/>
  <c r="AD163" i="7"/>
  <c r="AD164" i="7"/>
  <c r="AD165" i="7"/>
  <c r="AD166" i="7"/>
  <c r="AD167" i="7"/>
  <c r="AH167" i="7"/>
  <c r="AH166" i="7"/>
  <c r="AH165" i="7"/>
  <c r="AH164" i="7"/>
  <c r="AH163" i="7"/>
  <c r="AH162" i="7"/>
  <c r="AH161" i="7"/>
  <c r="AH160" i="7"/>
  <c r="AH159" i="7"/>
  <c r="AH158" i="7"/>
  <c r="AH157" i="7"/>
  <c r="AH156" i="7"/>
  <c r="AH155" i="7"/>
  <c r="X155" i="7"/>
  <c r="X156" i="7"/>
  <c r="X157" i="7"/>
  <c r="X158" i="7"/>
  <c r="X159" i="7"/>
  <c r="X160" i="7"/>
  <c r="X161" i="7"/>
  <c r="X162" i="7"/>
  <c r="X163" i="7"/>
  <c r="X164" i="7"/>
  <c r="X165" i="7"/>
  <c r="X166" i="7"/>
  <c r="X167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AK181" i="7"/>
  <c r="AK182" i="7"/>
  <c r="AK183" i="7"/>
  <c r="AF179" i="7"/>
  <c r="AG179" i="7"/>
  <c r="AF180" i="7"/>
  <c r="AG180" i="7"/>
  <c r="AF181" i="7"/>
  <c r="AG181" i="7"/>
  <c r="AF182" i="7"/>
  <c r="AG182" i="7"/>
  <c r="AF183" i="7"/>
  <c r="AG183" i="7"/>
  <c r="AK180" i="7"/>
  <c r="AK179" i="7"/>
  <c r="AD179" i="7"/>
  <c r="AD180" i="7"/>
  <c r="AD181" i="7"/>
  <c r="AD182" i="7"/>
  <c r="AD183" i="7"/>
  <c r="AI183" i="7"/>
  <c r="AI182" i="7"/>
  <c r="AI181" i="7"/>
  <c r="AI180" i="7"/>
  <c r="AI179" i="7"/>
  <c r="AH183" i="7"/>
  <c r="AH182" i="7"/>
  <c r="AH181" i="7"/>
  <c r="AH180" i="7"/>
  <c r="AH179" i="7"/>
  <c r="X179" i="7"/>
  <c r="X180" i="7"/>
  <c r="X181" i="7"/>
  <c r="X182" i="7"/>
  <c r="X183" i="7"/>
  <c r="R179" i="7"/>
  <c r="R180" i="7"/>
  <c r="R181" i="7"/>
  <c r="R182" i="7"/>
  <c r="R183" i="7"/>
  <c r="L179" i="7"/>
  <c r="L180" i="7"/>
  <c r="L181" i="7"/>
  <c r="L182" i="7"/>
  <c r="L183" i="7"/>
  <c r="J134" i="8"/>
  <c r="J135" i="8"/>
  <c r="J136" i="8"/>
  <c r="J137" i="8"/>
  <c r="J138" i="8"/>
  <c r="J139" i="8"/>
  <c r="J140" i="8"/>
  <c r="I141" i="8"/>
  <c r="H143" i="8"/>
  <c r="J143" i="8" s="1"/>
  <c r="G141" i="8"/>
  <c r="F142" i="8"/>
  <c r="J142" i="8" s="1"/>
  <c r="F141" i="8"/>
  <c r="J141" i="8" s="1"/>
  <c r="AK128" i="7"/>
  <c r="AK129" i="7"/>
  <c r="AK130" i="7"/>
  <c r="AK131" i="7"/>
  <c r="AK132" i="7"/>
  <c r="AK133" i="7"/>
  <c r="AK134" i="7"/>
  <c r="AK135" i="7"/>
  <c r="AK136" i="7"/>
  <c r="AI126" i="7"/>
  <c r="AI127" i="7"/>
  <c r="AI128" i="7"/>
  <c r="AI129" i="7"/>
  <c r="AI130" i="7"/>
  <c r="AI131" i="7"/>
  <c r="AI132" i="7"/>
  <c r="AI133" i="7"/>
  <c r="AI134" i="7"/>
  <c r="AI135" i="7"/>
  <c r="AI136" i="7"/>
  <c r="AH128" i="7"/>
  <c r="AH129" i="7"/>
  <c r="AH130" i="7"/>
  <c r="AH131" i="7"/>
  <c r="AH132" i="7"/>
  <c r="AH133" i="7"/>
  <c r="AH134" i="7"/>
  <c r="AH135" i="7"/>
  <c r="AH136" i="7"/>
  <c r="AF126" i="7"/>
  <c r="AG126" i="7"/>
  <c r="AF127" i="7"/>
  <c r="AG127" i="7"/>
  <c r="AF128" i="7"/>
  <c r="AG128" i="7"/>
  <c r="AF129" i="7"/>
  <c r="AG129" i="7"/>
  <c r="AF130" i="7"/>
  <c r="AG130" i="7"/>
  <c r="AF131" i="7"/>
  <c r="AG131" i="7"/>
  <c r="AF132" i="7"/>
  <c r="AG132" i="7"/>
  <c r="AF133" i="7"/>
  <c r="AG133" i="7"/>
  <c r="AF134" i="7"/>
  <c r="AG134" i="7"/>
  <c r="AF135" i="7"/>
  <c r="AG135" i="7"/>
  <c r="AF136" i="7"/>
  <c r="AG136" i="7"/>
  <c r="AK127" i="7"/>
  <c r="AK126" i="7"/>
  <c r="AD126" i="7"/>
  <c r="AD127" i="7"/>
  <c r="AD128" i="7"/>
  <c r="AD129" i="7"/>
  <c r="AD130" i="7"/>
  <c r="AD131" i="7"/>
  <c r="AD132" i="7"/>
  <c r="AD133" i="7"/>
  <c r="AD134" i="7"/>
  <c r="AD135" i="7"/>
  <c r="AD136" i="7"/>
  <c r="AH127" i="7"/>
  <c r="AH126" i="7"/>
  <c r="X126" i="7"/>
  <c r="X127" i="7"/>
  <c r="X128" i="7"/>
  <c r="X129" i="7"/>
  <c r="X130" i="7"/>
  <c r="X131" i="7"/>
  <c r="X132" i="7"/>
  <c r="X133" i="7"/>
  <c r="X134" i="7"/>
  <c r="X135" i="7"/>
  <c r="X136" i="7"/>
  <c r="R126" i="7"/>
  <c r="R127" i="7"/>
  <c r="R128" i="7"/>
  <c r="R129" i="7"/>
  <c r="R130" i="7"/>
  <c r="R131" i="7"/>
  <c r="R132" i="7"/>
  <c r="R133" i="7"/>
  <c r="R134" i="7"/>
  <c r="R135" i="7"/>
  <c r="R136" i="7"/>
  <c r="L126" i="7"/>
  <c r="L127" i="7"/>
  <c r="L128" i="7"/>
  <c r="L129" i="7"/>
  <c r="L130" i="7"/>
  <c r="L131" i="7"/>
  <c r="L132" i="7"/>
  <c r="L133" i="7"/>
  <c r="L134" i="7"/>
  <c r="L135" i="7"/>
  <c r="L136" i="7"/>
  <c r="J124" i="8"/>
  <c r="J125" i="8"/>
  <c r="J126" i="8"/>
  <c r="J127" i="8"/>
  <c r="J128" i="8"/>
  <c r="J129" i="8"/>
  <c r="J130" i="8"/>
  <c r="I132" i="8"/>
  <c r="H133" i="8"/>
  <c r="J133" i="8" s="1"/>
  <c r="H132" i="8"/>
  <c r="H131" i="8"/>
  <c r="G132" i="8"/>
  <c r="F132" i="8"/>
  <c r="F131" i="8"/>
  <c r="AK116" i="7"/>
  <c r="AK117" i="7"/>
  <c r="AK118" i="7"/>
  <c r="AK119" i="7"/>
  <c r="AK120" i="7"/>
  <c r="AK121" i="7"/>
  <c r="AK122" i="7"/>
  <c r="AK123" i="7"/>
  <c r="AK124" i="7"/>
  <c r="AK125" i="7"/>
  <c r="AI114" i="7"/>
  <c r="AI115" i="7"/>
  <c r="AI116" i="7"/>
  <c r="AI117" i="7"/>
  <c r="AI118" i="7"/>
  <c r="AI119" i="7"/>
  <c r="AI120" i="7"/>
  <c r="AI121" i="7"/>
  <c r="AI122" i="7"/>
  <c r="AI123" i="7"/>
  <c r="AI124" i="7"/>
  <c r="AI125" i="7"/>
  <c r="AF114" i="7"/>
  <c r="AG114" i="7"/>
  <c r="AF115" i="7"/>
  <c r="AG115" i="7"/>
  <c r="AF116" i="7"/>
  <c r="AG116" i="7"/>
  <c r="AF117" i="7"/>
  <c r="AG117" i="7"/>
  <c r="AF118" i="7"/>
  <c r="AG118" i="7"/>
  <c r="AF119" i="7"/>
  <c r="AG119" i="7"/>
  <c r="AF120" i="7"/>
  <c r="AG120" i="7"/>
  <c r="AF121" i="7"/>
  <c r="AG121" i="7"/>
  <c r="AF122" i="7"/>
  <c r="AG122" i="7"/>
  <c r="AF123" i="7"/>
  <c r="AG123" i="7"/>
  <c r="AF124" i="7"/>
  <c r="AG124" i="7"/>
  <c r="AF125" i="7"/>
  <c r="AG125" i="7"/>
  <c r="AK115" i="7"/>
  <c r="AK114" i="7"/>
  <c r="AD114" i="7"/>
  <c r="AD115" i="7"/>
  <c r="AD116" i="7"/>
  <c r="AD117" i="7"/>
  <c r="AD118" i="7"/>
  <c r="AD119" i="7"/>
  <c r="AD120" i="7"/>
  <c r="AD121" i="7"/>
  <c r="AD122" i="7"/>
  <c r="AD123" i="7"/>
  <c r="AD124" i="7"/>
  <c r="AD125" i="7"/>
  <c r="AH125" i="7"/>
  <c r="AH124" i="7"/>
  <c r="AH123" i="7"/>
  <c r="AH122" i="7"/>
  <c r="AH121" i="7"/>
  <c r="AH120" i="7"/>
  <c r="AH119" i="7"/>
  <c r="AH118" i="7"/>
  <c r="AH117" i="7"/>
  <c r="AH116" i="7"/>
  <c r="AH115" i="7"/>
  <c r="AH114" i="7"/>
  <c r="X114" i="7"/>
  <c r="X115" i="7"/>
  <c r="X116" i="7"/>
  <c r="X117" i="7"/>
  <c r="X118" i="7"/>
  <c r="X119" i="7"/>
  <c r="X120" i="7"/>
  <c r="X121" i="7"/>
  <c r="X122" i="7"/>
  <c r="X123" i="7"/>
  <c r="X124" i="7"/>
  <c r="X125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J132" i="8" l="1"/>
  <c r="J131" i="8"/>
  <c r="AJ136" i="7"/>
  <c r="AJ135" i="7"/>
  <c r="AJ134" i="7"/>
  <c r="AJ133" i="7"/>
  <c r="AJ132" i="7"/>
  <c r="AJ131" i="7"/>
  <c r="AJ130" i="7"/>
  <c r="AJ129" i="7"/>
  <c r="AJ128" i="7"/>
  <c r="AJ127" i="7"/>
  <c r="AJ126" i="7"/>
  <c r="AJ167" i="7"/>
  <c r="AJ166" i="7"/>
  <c r="AJ165" i="7"/>
  <c r="AJ164" i="7"/>
  <c r="AJ163" i="7"/>
  <c r="AJ162" i="7"/>
  <c r="AJ161" i="7"/>
  <c r="AJ160" i="7"/>
  <c r="AJ159" i="7"/>
  <c r="AJ158" i="7"/>
  <c r="AJ157" i="7"/>
  <c r="AJ156" i="7"/>
  <c r="AJ155" i="7"/>
  <c r="AJ168" i="7"/>
  <c r="AJ178" i="7"/>
  <c r="AJ177" i="7"/>
  <c r="AJ176" i="7"/>
  <c r="AJ175" i="7"/>
  <c r="AJ174" i="7"/>
  <c r="AJ173" i="7"/>
  <c r="AJ172" i="7"/>
  <c r="AJ171" i="7"/>
  <c r="AJ183" i="7"/>
  <c r="AJ182" i="7"/>
  <c r="AJ181" i="7"/>
  <c r="AJ180" i="7"/>
  <c r="AJ179" i="7"/>
  <c r="AJ170" i="7"/>
  <c r="AJ169" i="7"/>
  <c r="J184" i="8"/>
  <c r="J170" i="8"/>
  <c r="J172" i="8"/>
  <c r="J171" i="8"/>
  <c r="J173" i="8"/>
  <c r="J178" i="8"/>
  <c r="AJ124" i="7"/>
  <c r="AJ122" i="7"/>
  <c r="AJ120" i="7"/>
  <c r="AJ118" i="7"/>
  <c r="AJ116" i="7"/>
  <c r="AJ114" i="7"/>
  <c r="AJ125" i="7"/>
  <c r="AJ123" i="7"/>
  <c r="AJ121" i="7"/>
  <c r="AJ119" i="7"/>
  <c r="AJ117" i="7"/>
  <c r="AJ115" i="7"/>
  <c r="I122" i="8"/>
  <c r="I120" i="8"/>
  <c r="J120" i="8" s="1"/>
  <c r="I118" i="8"/>
  <c r="H122" i="8"/>
  <c r="H121" i="8"/>
  <c r="G123" i="8"/>
  <c r="J123" i="8" s="1"/>
  <c r="G122" i="8"/>
  <c r="G121" i="8"/>
  <c r="J119" i="8"/>
  <c r="F118" i="8"/>
  <c r="J117" i="8"/>
  <c r="J116" i="8"/>
  <c r="J115" i="8"/>
  <c r="J114" i="8"/>
  <c r="AI106" i="7"/>
  <c r="AI107" i="7"/>
  <c r="AI108" i="7"/>
  <c r="AI109" i="7"/>
  <c r="AI110" i="7"/>
  <c r="AI111" i="7"/>
  <c r="AI112" i="7"/>
  <c r="AI113" i="7"/>
  <c r="AH107" i="7"/>
  <c r="AH108" i="7"/>
  <c r="AH109" i="7"/>
  <c r="AH110" i="7"/>
  <c r="AH111" i="7"/>
  <c r="AH112" i="7"/>
  <c r="AH113" i="7"/>
  <c r="AF106" i="7"/>
  <c r="AG106" i="7"/>
  <c r="AF107" i="7"/>
  <c r="AG107" i="7"/>
  <c r="AF108" i="7"/>
  <c r="AG108" i="7"/>
  <c r="AF109" i="7"/>
  <c r="AG109" i="7"/>
  <c r="AF110" i="7"/>
  <c r="AG110" i="7"/>
  <c r="AF111" i="7"/>
  <c r="AG111" i="7"/>
  <c r="AF112" i="7"/>
  <c r="AG112" i="7"/>
  <c r="AF113" i="7"/>
  <c r="AG113" i="7"/>
  <c r="AK113" i="7"/>
  <c r="AK112" i="7"/>
  <c r="AK111" i="7"/>
  <c r="AK110" i="7"/>
  <c r="AK109" i="7"/>
  <c r="AK108" i="7"/>
  <c r="AK107" i="7"/>
  <c r="AK106" i="7"/>
  <c r="AD106" i="7"/>
  <c r="AD107" i="7"/>
  <c r="AD108" i="7"/>
  <c r="AD109" i="7"/>
  <c r="AD110" i="7"/>
  <c r="AD111" i="7"/>
  <c r="AD112" i="7"/>
  <c r="AD113" i="7"/>
  <c r="AH106" i="7"/>
  <c r="X106" i="7"/>
  <c r="X107" i="7"/>
  <c r="X108" i="7"/>
  <c r="X109" i="7"/>
  <c r="X110" i="7"/>
  <c r="X111" i="7"/>
  <c r="X112" i="7"/>
  <c r="X113" i="7"/>
  <c r="R106" i="7"/>
  <c r="R107" i="7"/>
  <c r="R108" i="7"/>
  <c r="R109" i="7"/>
  <c r="R110" i="7"/>
  <c r="R111" i="7"/>
  <c r="R112" i="7"/>
  <c r="R113" i="7"/>
  <c r="L106" i="7"/>
  <c r="L107" i="7"/>
  <c r="L108" i="7"/>
  <c r="L109" i="7"/>
  <c r="L110" i="7"/>
  <c r="L111" i="7"/>
  <c r="L112" i="7"/>
  <c r="L113" i="7"/>
  <c r="J63" i="8"/>
  <c r="J64" i="8"/>
  <c r="J65" i="8"/>
  <c r="AI63" i="7"/>
  <c r="AI64" i="7"/>
  <c r="AI65" i="7"/>
  <c r="AI66" i="7"/>
  <c r="AF63" i="7"/>
  <c r="AG63" i="7"/>
  <c r="AF64" i="7"/>
  <c r="AG64" i="7"/>
  <c r="AF65" i="7"/>
  <c r="AG65" i="7"/>
  <c r="AF66" i="7"/>
  <c r="AG66" i="7"/>
  <c r="AK66" i="7"/>
  <c r="AK65" i="7"/>
  <c r="AK64" i="7"/>
  <c r="AK63" i="7"/>
  <c r="AD63" i="7"/>
  <c r="AD64" i="7"/>
  <c r="AD65" i="7"/>
  <c r="AD66" i="7"/>
  <c r="AH66" i="7"/>
  <c r="AH65" i="7"/>
  <c r="AH64" i="7"/>
  <c r="AH63" i="7"/>
  <c r="X63" i="7"/>
  <c r="X64" i="7"/>
  <c r="X65" i="7"/>
  <c r="X66" i="7"/>
  <c r="R63" i="7"/>
  <c r="R64" i="7"/>
  <c r="R65" i="7"/>
  <c r="R66" i="7"/>
  <c r="L63" i="7"/>
  <c r="L64" i="7"/>
  <c r="L65" i="7"/>
  <c r="L66" i="7"/>
  <c r="J55" i="8"/>
  <c r="J56" i="8"/>
  <c r="J57" i="8"/>
  <c r="J58" i="8"/>
  <c r="I62" i="8"/>
  <c r="J62" i="8" s="1"/>
  <c r="I61" i="8"/>
  <c r="J61" i="8" s="1"/>
  <c r="I59" i="8"/>
  <c r="G60" i="8"/>
  <c r="J60" i="8" s="1"/>
  <c r="F59" i="8"/>
  <c r="AI55" i="7"/>
  <c r="AI56" i="7"/>
  <c r="AI57" i="7"/>
  <c r="AI58" i="7"/>
  <c r="AI59" i="7"/>
  <c r="AI60" i="7"/>
  <c r="AI61" i="7"/>
  <c r="AI62" i="7"/>
  <c r="AF54" i="7"/>
  <c r="AG54" i="7"/>
  <c r="AF55" i="7"/>
  <c r="AG55" i="7"/>
  <c r="AF56" i="7"/>
  <c r="AG56" i="7"/>
  <c r="AF57" i="7"/>
  <c r="AG57" i="7"/>
  <c r="AF58" i="7"/>
  <c r="AG58" i="7"/>
  <c r="AF59" i="7"/>
  <c r="AG59" i="7"/>
  <c r="AF60" i="7"/>
  <c r="AG60" i="7"/>
  <c r="AF61" i="7"/>
  <c r="AG61" i="7"/>
  <c r="AF62" i="7"/>
  <c r="AG62" i="7"/>
  <c r="AK62" i="7"/>
  <c r="AK61" i="7"/>
  <c r="AK60" i="7"/>
  <c r="AK59" i="7"/>
  <c r="AK58" i="7"/>
  <c r="AK57" i="7"/>
  <c r="AK56" i="7"/>
  <c r="AK55" i="7"/>
  <c r="AK54" i="7"/>
  <c r="AD54" i="7"/>
  <c r="AD55" i="7"/>
  <c r="AD56" i="7"/>
  <c r="AD57" i="7"/>
  <c r="AD58" i="7"/>
  <c r="AD59" i="7"/>
  <c r="AD60" i="7"/>
  <c r="AD61" i="7"/>
  <c r="AD62" i="7"/>
  <c r="AI54" i="7"/>
  <c r="AH62" i="7"/>
  <c r="AH61" i="7"/>
  <c r="AH60" i="7"/>
  <c r="AH59" i="7"/>
  <c r="AH58" i="7"/>
  <c r="AH57" i="7"/>
  <c r="AH56" i="7"/>
  <c r="AH55" i="7"/>
  <c r="AH54" i="7"/>
  <c r="X54" i="7"/>
  <c r="X55" i="7"/>
  <c r="X56" i="7"/>
  <c r="X57" i="7"/>
  <c r="X58" i="7"/>
  <c r="X59" i="7"/>
  <c r="X60" i="7"/>
  <c r="X61" i="7"/>
  <c r="X62" i="7"/>
  <c r="R54" i="7"/>
  <c r="R55" i="7"/>
  <c r="R56" i="7"/>
  <c r="R57" i="7"/>
  <c r="R58" i="7"/>
  <c r="R59" i="7"/>
  <c r="R60" i="7"/>
  <c r="R61" i="7"/>
  <c r="R62" i="7"/>
  <c r="L54" i="7"/>
  <c r="L55" i="7"/>
  <c r="L56" i="7"/>
  <c r="L57" i="7"/>
  <c r="L58" i="7"/>
  <c r="L59" i="7"/>
  <c r="L60" i="7"/>
  <c r="L61" i="7"/>
  <c r="L62" i="7"/>
  <c r="J46" i="8"/>
  <c r="J47" i="8"/>
  <c r="J48" i="8"/>
  <c r="J49" i="8"/>
  <c r="J50" i="8"/>
  <c r="H54" i="8"/>
  <c r="J54" i="8" s="1"/>
  <c r="H53" i="8"/>
  <c r="H52" i="8"/>
  <c r="H51" i="8"/>
  <c r="G53" i="8"/>
  <c r="F52" i="8"/>
  <c r="F51" i="8"/>
  <c r="AK45" i="7"/>
  <c r="AK46" i="7"/>
  <c r="AK47" i="7"/>
  <c r="AK48" i="7"/>
  <c r="AK49" i="7"/>
  <c r="AK50" i="7"/>
  <c r="AK51" i="7"/>
  <c r="AK52" i="7"/>
  <c r="AK53" i="7"/>
  <c r="AI42" i="7"/>
  <c r="AI43" i="7"/>
  <c r="AI44" i="7"/>
  <c r="AI45" i="7"/>
  <c r="AI46" i="7"/>
  <c r="AI47" i="7"/>
  <c r="AI48" i="7"/>
  <c r="AI49" i="7"/>
  <c r="AI50" i="7"/>
  <c r="AI51" i="7"/>
  <c r="AI52" i="7"/>
  <c r="AI53" i="7"/>
  <c r="AH45" i="7"/>
  <c r="AH46" i="7"/>
  <c r="AH47" i="7"/>
  <c r="AH48" i="7"/>
  <c r="AH49" i="7"/>
  <c r="AH50" i="7"/>
  <c r="AH51" i="7"/>
  <c r="AH52" i="7"/>
  <c r="AH53" i="7"/>
  <c r="AF42" i="7"/>
  <c r="AG42" i="7"/>
  <c r="AF43" i="7"/>
  <c r="AG43" i="7"/>
  <c r="AF44" i="7"/>
  <c r="AG44" i="7"/>
  <c r="AF45" i="7"/>
  <c r="AG45" i="7"/>
  <c r="AF46" i="7"/>
  <c r="AG46" i="7"/>
  <c r="AF47" i="7"/>
  <c r="AG47" i="7"/>
  <c r="AF48" i="7"/>
  <c r="AG48" i="7"/>
  <c r="AF49" i="7"/>
  <c r="AG49" i="7"/>
  <c r="AF50" i="7"/>
  <c r="AG50" i="7"/>
  <c r="AF51" i="7"/>
  <c r="AG51" i="7"/>
  <c r="AF52" i="7"/>
  <c r="AG52" i="7"/>
  <c r="AF53" i="7"/>
  <c r="AG53" i="7"/>
  <c r="AK44" i="7"/>
  <c r="AK43" i="7"/>
  <c r="AK42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H44" i="7"/>
  <c r="AH43" i="7"/>
  <c r="AH42" i="7"/>
  <c r="X42" i="7"/>
  <c r="X43" i="7"/>
  <c r="X44" i="7"/>
  <c r="X45" i="7"/>
  <c r="X46" i="7"/>
  <c r="X47" i="7"/>
  <c r="X48" i="7"/>
  <c r="X49" i="7"/>
  <c r="X50" i="7"/>
  <c r="X51" i="7"/>
  <c r="X52" i="7"/>
  <c r="X53" i="7"/>
  <c r="R42" i="7"/>
  <c r="R43" i="7"/>
  <c r="R44" i="7"/>
  <c r="R45" i="7"/>
  <c r="R46" i="7"/>
  <c r="R47" i="7"/>
  <c r="R48" i="7"/>
  <c r="R49" i="7"/>
  <c r="R50" i="7"/>
  <c r="R51" i="7"/>
  <c r="R52" i="7"/>
  <c r="R53" i="7"/>
  <c r="L42" i="7"/>
  <c r="L43" i="7"/>
  <c r="L44" i="7"/>
  <c r="L45" i="7"/>
  <c r="L46" i="7"/>
  <c r="L47" i="7"/>
  <c r="L48" i="7"/>
  <c r="L49" i="7"/>
  <c r="L50" i="7"/>
  <c r="L51" i="7"/>
  <c r="L52" i="7"/>
  <c r="L53" i="7"/>
  <c r="J35" i="8"/>
  <c r="J36" i="8"/>
  <c r="J37" i="8"/>
  <c r="J38" i="8"/>
  <c r="J39" i="8"/>
  <c r="I45" i="8"/>
  <c r="J45" i="8" s="1"/>
  <c r="I42" i="8"/>
  <c r="I41" i="8"/>
  <c r="H42" i="8"/>
  <c r="G44" i="8"/>
  <c r="J44" i="8" s="1"/>
  <c r="F43" i="8"/>
  <c r="J43" i="8" s="1"/>
  <c r="F42" i="8"/>
  <c r="F41" i="8"/>
  <c r="F40" i="8"/>
  <c r="J40" i="8" s="1"/>
  <c r="AF37" i="7"/>
  <c r="AG37" i="7"/>
  <c r="AF38" i="7"/>
  <c r="AG38" i="7"/>
  <c r="AF39" i="7"/>
  <c r="AG39" i="7"/>
  <c r="AF40" i="7"/>
  <c r="AG40" i="7"/>
  <c r="AF41" i="7"/>
  <c r="AG41" i="7"/>
  <c r="AK41" i="7"/>
  <c r="AK40" i="7"/>
  <c r="AK39" i="7"/>
  <c r="AK38" i="7"/>
  <c r="AK37" i="7"/>
  <c r="AD37" i="7"/>
  <c r="AD38" i="7"/>
  <c r="AD39" i="7"/>
  <c r="AD40" i="7"/>
  <c r="AD41" i="7"/>
  <c r="AI41" i="7"/>
  <c r="AI40" i="7"/>
  <c r="AI39" i="7"/>
  <c r="AI38" i="7"/>
  <c r="AI37" i="7"/>
  <c r="AH41" i="7"/>
  <c r="AH40" i="7"/>
  <c r="AH39" i="7"/>
  <c r="AH38" i="7"/>
  <c r="AH37" i="7"/>
  <c r="X37" i="7"/>
  <c r="X38" i="7"/>
  <c r="X39" i="7"/>
  <c r="X40" i="7"/>
  <c r="X41" i="7"/>
  <c r="R37" i="7"/>
  <c r="R38" i="7"/>
  <c r="R39" i="7"/>
  <c r="R40" i="7"/>
  <c r="R41" i="7"/>
  <c r="L37" i="7"/>
  <c r="L38" i="7"/>
  <c r="L39" i="7"/>
  <c r="L40" i="7"/>
  <c r="L41" i="7"/>
  <c r="J23" i="8"/>
  <c r="J24" i="8"/>
  <c r="J25" i="8"/>
  <c r="J26" i="8"/>
  <c r="J27" i="8"/>
  <c r="J28" i="8"/>
  <c r="J29" i="8"/>
  <c r="J30" i="8"/>
  <c r="I34" i="8"/>
  <c r="I32" i="8"/>
  <c r="H34" i="8"/>
  <c r="J34" i="8" s="1"/>
  <c r="H32" i="8"/>
  <c r="H31" i="8"/>
  <c r="G33" i="8"/>
  <c r="J33" i="8" s="1"/>
  <c r="G32" i="8"/>
  <c r="G31" i="8"/>
  <c r="F32" i="8"/>
  <c r="F31" i="8"/>
  <c r="AK28" i="7"/>
  <c r="AK29" i="7"/>
  <c r="AK30" i="7"/>
  <c r="AK31" i="7"/>
  <c r="AK32" i="7"/>
  <c r="AK33" i="7"/>
  <c r="AK34" i="7"/>
  <c r="AK35" i="7"/>
  <c r="AK36" i="7"/>
  <c r="AI26" i="7"/>
  <c r="AI27" i="7"/>
  <c r="AI28" i="7"/>
  <c r="AI29" i="7"/>
  <c r="AI30" i="7"/>
  <c r="AI31" i="7"/>
  <c r="AI32" i="7"/>
  <c r="AI33" i="7"/>
  <c r="AI34" i="7"/>
  <c r="AI35" i="7"/>
  <c r="AI36" i="7"/>
  <c r="AH27" i="7"/>
  <c r="AH28" i="7"/>
  <c r="AH29" i="7"/>
  <c r="AH30" i="7"/>
  <c r="AH31" i="7"/>
  <c r="AH32" i="7"/>
  <c r="AH33" i="7"/>
  <c r="AH34" i="7"/>
  <c r="AH35" i="7"/>
  <c r="AH36" i="7"/>
  <c r="AF26" i="7"/>
  <c r="AG26" i="7"/>
  <c r="AF27" i="7"/>
  <c r="AG27" i="7"/>
  <c r="AF28" i="7"/>
  <c r="AG28" i="7"/>
  <c r="AF29" i="7"/>
  <c r="AG29" i="7"/>
  <c r="AF30" i="7"/>
  <c r="AG30" i="7"/>
  <c r="AF31" i="7"/>
  <c r="AG31" i="7"/>
  <c r="AF32" i="7"/>
  <c r="AG32" i="7"/>
  <c r="AF33" i="7"/>
  <c r="AG33" i="7"/>
  <c r="AF34" i="7"/>
  <c r="AG34" i="7"/>
  <c r="AF35" i="7"/>
  <c r="AG35" i="7"/>
  <c r="AF36" i="7"/>
  <c r="AG36" i="7"/>
  <c r="AK27" i="7"/>
  <c r="AK26" i="7"/>
  <c r="AD26" i="7"/>
  <c r="AD27" i="7"/>
  <c r="AD28" i="7"/>
  <c r="AD29" i="7"/>
  <c r="AD30" i="7"/>
  <c r="AD31" i="7"/>
  <c r="AD32" i="7"/>
  <c r="AD33" i="7"/>
  <c r="AD34" i="7"/>
  <c r="AD35" i="7"/>
  <c r="AD36" i="7"/>
  <c r="AH26" i="7"/>
  <c r="X26" i="7"/>
  <c r="X27" i="7"/>
  <c r="X28" i="7"/>
  <c r="X29" i="7"/>
  <c r="X30" i="7"/>
  <c r="X31" i="7"/>
  <c r="X32" i="7"/>
  <c r="X33" i="7"/>
  <c r="X34" i="7"/>
  <c r="X35" i="7"/>
  <c r="X36" i="7"/>
  <c r="R26" i="7"/>
  <c r="R27" i="7"/>
  <c r="R28" i="7"/>
  <c r="R29" i="7"/>
  <c r="R30" i="7"/>
  <c r="R31" i="7"/>
  <c r="R32" i="7"/>
  <c r="R33" i="7"/>
  <c r="R34" i="7"/>
  <c r="R35" i="7"/>
  <c r="R36" i="7"/>
  <c r="L26" i="7"/>
  <c r="L27" i="7"/>
  <c r="L28" i="7"/>
  <c r="L29" i="7"/>
  <c r="L30" i="7"/>
  <c r="L31" i="7"/>
  <c r="L32" i="7"/>
  <c r="L33" i="7"/>
  <c r="L34" i="7"/>
  <c r="L35" i="7"/>
  <c r="L36" i="7"/>
  <c r="J5" i="8"/>
  <c r="J6" i="8"/>
  <c r="J7" i="8"/>
  <c r="J8" i="8"/>
  <c r="J9" i="8"/>
  <c r="J10" i="8"/>
  <c r="J11" i="8"/>
  <c r="J16" i="8"/>
  <c r="J17" i="8"/>
  <c r="J18" i="8"/>
  <c r="J19" i="8"/>
  <c r="J20" i="8"/>
  <c r="J4" i="8"/>
  <c r="I22" i="8"/>
  <c r="I21" i="8"/>
  <c r="G21" i="8"/>
  <c r="H21" i="8"/>
  <c r="H22" i="8"/>
  <c r="J22" i="8" s="1"/>
  <c r="AI20" i="7"/>
  <c r="AI21" i="7"/>
  <c r="AI22" i="7"/>
  <c r="AI23" i="7"/>
  <c r="AI24" i="7"/>
  <c r="AI25" i="7"/>
  <c r="AF21" i="7"/>
  <c r="AG21" i="7"/>
  <c r="AF22" i="7"/>
  <c r="AG22" i="7"/>
  <c r="AF23" i="7"/>
  <c r="AG23" i="7"/>
  <c r="AF24" i="7"/>
  <c r="AG24" i="7"/>
  <c r="AF25" i="7"/>
  <c r="AG25" i="7"/>
  <c r="AK25" i="7"/>
  <c r="AK24" i="7"/>
  <c r="AK23" i="7"/>
  <c r="AK22" i="7"/>
  <c r="AK21" i="7"/>
  <c r="AK20" i="7"/>
  <c r="AD20" i="7"/>
  <c r="AD21" i="7"/>
  <c r="AD22" i="7"/>
  <c r="AD23" i="7"/>
  <c r="AD24" i="7"/>
  <c r="AD25" i="7"/>
  <c r="AH25" i="7"/>
  <c r="AH24" i="7"/>
  <c r="AH23" i="7"/>
  <c r="AH22" i="7"/>
  <c r="AH21" i="7"/>
  <c r="AH20" i="7"/>
  <c r="AG20" i="7"/>
  <c r="AF20" i="7"/>
  <c r="X20" i="7"/>
  <c r="X21" i="7"/>
  <c r="X22" i="7"/>
  <c r="X23" i="7"/>
  <c r="X24" i="7"/>
  <c r="X25" i="7"/>
  <c r="R20" i="7"/>
  <c r="R21" i="7"/>
  <c r="R22" i="7"/>
  <c r="R23" i="7"/>
  <c r="R24" i="7"/>
  <c r="R25" i="7"/>
  <c r="L20" i="7"/>
  <c r="L21" i="7"/>
  <c r="L22" i="7"/>
  <c r="L23" i="7"/>
  <c r="L24" i="7"/>
  <c r="L25" i="7"/>
  <c r="I13" i="8"/>
  <c r="I12" i="8"/>
  <c r="H15" i="8"/>
  <c r="J15" i="8" s="1"/>
  <c r="H12" i="8"/>
  <c r="G14" i="8"/>
  <c r="J14" i="8" s="1"/>
  <c r="G13" i="8"/>
  <c r="G12" i="8"/>
  <c r="F12" i="8"/>
  <c r="AF7" i="7"/>
  <c r="AG7" i="7"/>
  <c r="AH7" i="7"/>
  <c r="AI7" i="7"/>
  <c r="AK7" i="7"/>
  <c r="AF8" i="7"/>
  <c r="AG8" i="7"/>
  <c r="AH8" i="7"/>
  <c r="AI8" i="7"/>
  <c r="AK8" i="7"/>
  <c r="AF9" i="7"/>
  <c r="AG9" i="7"/>
  <c r="AH9" i="7"/>
  <c r="AI9" i="7"/>
  <c r="AK9" i="7"/>
  <c r="AF10" i="7"/>
  <c r="AG10" i="7"/>
  <c r="AH10" i="7"/>
  <c r="AI10" i="7"/>
  <c r="AK10" i="7"/>
  <c r="AF11" i="7"/>
  <c r="AG11" i="7"/>
  <c r="AH11" i="7"/>
  <c r="AI11" i="7"/>
  <c r="AK11" i="7"/>
  <c r="AF12" i="7"/>
  <c r="AG12" i="7"/>
  <c r="AH12" i="7"/>
  <c r="AI12" i="7"/>
  <c r="AK12" i="7"/>
  <c r="AF13" i="7"/>
  <c r="AG13" i="7"/>
  <c r="AH13" i="7"/>
  <c r="AI13" i="7"/>
  <c r="AK13" i="7"/>
  <c r="AF14" i="7"/>
  <c r="AG14" i="7"/>
  <c r="AH14" i="7"/>
  <c r="AI14" i="7"/>
  <c r="AK14" i="7"/>
  <c r="AF15" i="7"/>
  <c r="AG15" i="7"/>
  <c r="AH15" i="7"/>
  <c r="AI15" i="7"/>
  <c r="AK15" i="7"/>
  <c r="AF16" i="7"/>
  <c r="AG16" i="7"/>
  <c r="AH16" i="7"/>
  <c r="AI16" i="7"/>
  <c r="AK16" i="7"/>
  <c r="AF17" i="7"/>
  <c r="AG17" i="7"/>
  <c r="AH17" i="7"/>
  <c r="AI17" i="7"/>
  <c r="AK17" i="7"/>
  <c r="AF18" i="7"/>
  <c r="AG18" i="7"/>
  <c r="AH18" i="7"/>
  <c r="AI18" i="7"/>
  <c r="AK18" i="7"/>
  <c r="AF19" i="7"/>
  <c r="AG19" i="7"/>
  <c r="AH19" i="7"/>
  <c r="AI19" i="7"/>
  <c r="AK19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G1" i="8"/>
  <c r="AK6" i="7"/>
  <c r="AG6" i="7"/>
  <c r="AH6" i="7"/>
  <c r="AI6" i="7"/>
  <c r="AF6" i="7"/>
  <c r="AD6" i="7"/>
  <c r="X6" i="7"/>
  <c r="R6" i="7"/>
  <c r="L6" i="7"/>
  <c r="AJ51" i="7" l="1"/>
  <c r="AJ50" i="7"/>
  <c r="AJ46" i="7"/>
  <c r="AJ113" i="7"/>
  <c r="AJ112" i="7"/>
  <c r="AJ108" i="7"/>
  <c r="AJ47" i="7"/>
  <c r="AJ109" i="7"/>
  <c r="AJ45" i="7"/>
  <c r="AJ107" i="7"/>
  <c r="AJ53" i="7"/>
  <c r="AJ52" i="7"/>
  <c r="AJ48" i="7"/>
  <c r="J59" i="8"/>
  <c r="AJ110" i="7"/>
  <c r="AJ49" i="7"/>
  <c r="AJ111" i="7"/>
  <c r="J13" i="8"/>
  <c r="J31" i="8"/>
  <c r="J32" i="8"/>
  <c r="J41" i="8"/>
  <c r="J51" i="8"/>
  <c r="J53" i="8"/>
  <c r="J122" i="8"/>
  <c r="AJ65" i="7"/>
  <c r="AJ63" i="7"/>
  <c r="J42" i="8"/>
  <c r="J52" i="8"/>
  <c r="J118" i="8"/>
  <c r="J121" i="8"/>
  <c r="J12" i="8"/>
  <c r="J21" i="8"/>
  <c r="AJ7" i="7"/>
  <c r="AJ20" i="7"/>
  <c r="AJ25" i="7"/>
  <c r="AJ24" i="7"/>
  <c r="AJ23" i="7"/>
  <c r="AJ22" i="7"/>
  <c r="AJ21" i="7"/>
  <c r="AJ36" i="7"/>
  <c r="AJ35" i="7"/>
  <c r="AJ34" i="7"/>
  <c r="AJ33" i="7"/>
  <c r="AJ32" i="7"/>
  <c r="AJ31" i="7"/>
  <c r="AJ30" i="7"/>
  <c r="AJ29" i="7"/>
  <c r="AJ28" i="7"/>
  <c r="AJ27" i="7"/>
  <c r="AJ26" i="7"/>
  <c r="AJ62" i="7"/>
  <c r="AJ61" i="7"/>
  <c r="AJ60" i="7"/>
  <c r="AJ59" i="7"/>
  <c r="AJ58" i="7"/>
  <c r="AJ57" i="7"/>
  <c r="AJ56" i="7"/>
  <c r="AJ55" i="7"/>
  <c r="AJ54" i="7"/>
  <c r="AJ8" i="7"/>
  <c r="AJ41" i="7"/>
  <c r="AJ40" i="7"/>
  <c r="AJ39" i="7"/>
  <c r="AJ38" i="7"/>
  <c r="AJ37" i="7"/>
  <c r="AJ44" i="7"/>
  <c r="AJ43" i="7"/>
  <c r="AJ42" i="7"/>
  <c r="AJ66" i="7"/>
  <c r="AJ64" i="7"/>
  <c r="AJ106" i="7"/>
  <c r="AJ18" i="7"/>
  <c r="AJ16" i="7"/>
  <c r="AJ14" i="7"/>
  <c r="AJ12" i="7"/>
  <c r="AJ10" i="7"/>
  <c r="AJ19" i="7"/>
  <c r="AJ17" i="7"/>
  <c r="AJ15" i="7"/>
  <c r="AJ13" i="7"/>
  <c r="AJ11" i="7"/>
  <c r="AJ9" i="7"/>
  <c r="AJ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Wendy Klooster</author>
  </authors>
  <commentList>
    <comment ref="H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Wendy Klooster:</t>
        </r>
        <r>
          <rPr>
            <sz val="9"/>
            <color indexed="81"/>
            <rFont val="Tahoma"/>
            <family val="2"/>
          </rPr>
          <t xml:space="preserve">
only count new plants for ash and invasives in 2011</t>
        </r>
      </text>
    </comment>
    <comment ref="I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Wendy Klooster:</t>
        </r>
        <r>
          <rPr>
            <sz val="9"/>
            <color indexed="81"/>
            <rFont val="Tahoma"/>
            <family val="2"/>
          </rPr>
          <t xml:space="preserve">
only count short plants for ash and invasives in 2011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Wendy Klooster</author>
  </authors>
  <commentList>
    <comment ref="F68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Wendy Klooster:</t>
        </r>
        <r>
          <rPr>
            <sz val="9"/>
            <color indexed="81"/>
            <rFont val="Tahoma"/>
            <family val="2"/>
          </rPr>
          <t xml:space="preserve">
MF2 or MF5??
(used dist &amp; deg for MF5 from 2010)</t>
        </r>
      </text>
    </comment>
    <comment ref="F87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Wendy Klooster:</t>
        </r>
        <r>
          <rPr>
            <sz val="9"/>
            <color indexed="81"/>
            <rFont val="Tahoma"/>
            <family val="2"/>
          </rPr>
          <t xml:space="preserve">
RF1 or RF7??
(used data for RF1 from 2010)</t>
        </r>
      </text>
    </comment>
  </commentList>
</comments>
</file>

<file path=xl/sharedStrings.xml><?xml version="1.0" encoding="utf-8"?>
<sst xmlns="http://schemas.openxmlformats.org/spreadsheetml/2006/main" count="3864" uniqueCount="444">
  <si>
    <t>QUADRAT SURVEY</t>
  </si>
  <si>
    <t>.</t>
  </si>
  <si>
    <t>&lt;1</t>
  </si>
  <si>
    <t>cover classes: &lt;1, 1, 2-5, 6-10, 11-20, 21-30, …etc.</t>
  </si>
  <si>
    <t>NORTH</t>
  </si>
  <si>
    <t>EAST</t>
  </si>
  <si>
    <t>SOUTH</t>
  </si>
  <si>
    <t>WEST</t>
  </si>
  <si>
    <t>year</t>
  </si>
  <si>
    <t>park</t>
  </si>
  <si>
    <t>date</t>
  </si>
  <si>
    <t>plot</t>
  </si>
  <si>
    <t>species</t>
  </si>
  <si>
    <t>common name</t>
  </si>
  <si>
    <t>type</t>
  </si>
  <si>
    <t>N_new</t>
  </si>
  <si>
    <t>N_short</t>
  </si>
  <si>
    <t>N_mid</t>
  </si>
  <si>
    <t>N_tall</t>
  </si>
  <si>
    <t>N_total</t>
  </si>
  <si>
    <t>N_cov</t>
  </si>
  <si>
    <t>E_new</t>
  </si>
  <si>
    <t>E_short</t>
  </si>
  <si>
    <t>E_mid</t>
  </si>
  <si>
    <t>E_tall</t>
  </si>
  <si>
    <t>E_total</t>
  </si>
  <si>
    <t>E_cov</t>
  </si>
  <si>
    <t>S_new</t>
  </si>
  <si>
    <t>S_short</t>
  </si>
  <si>
    <t>S_mid</t>
  </si>
  <si>
    <t>S_tall</t>
  </si>
  <si>
    <t>S_total</t>
  </si>
  <si>
    <t>S_cov</t>
  </si>
  <si>
    <t>W_new</t>
  </si>
  <si>
    <t>W_short</t>
  </si>
  <si>
    <t>W_mid</t>
  </si>
  <si>
    <t>W_tall</t>
  </si>
  <si>
    <t>W_total</t>
  </si>
  <si>
    <t>W_cov</t>
  </si>
  <si>
    <t>new_ttl</t>
  </si>
  <si>
    <t>short_ttl</t>
  </si>
  <si>
    <t>mid_ttl</t>
  </si>
  <si>
    <t>tall_ttl</t>
  </si>
  <si>
    <t>plot_ttl</t>
  </si>
  <si>
    <t>cov_ttl</t>
  </si>
  <si>
    <t>notes</t>
  </si>
  <si>
    <t>pontiac</t>
  </si>
  <si>
    <t>Fraxinus</t>
  </si>
  <si>
    <t>Juglans</t>
  </si>
  <si>
    <t>Carpinus caroliniana</t>
  </si>
  <si>
    <t>Prunus virginiana</t>
  </si>
  <si>
    <t>Ostrya virginiana</t>
  </si>
  <si>
    <t>Ligustrum vulgare</t>
  </si>
  <si>
    <t>Lonicera bush</t>
  </si>
  <si>
    <t>Acer rubrum</t>
  </si>
  <si>
    <t>Viburnum acerifolium</t>
  </si>
  <si>
    <t>Rhamnus frangula</t>
  </si>
  <si>
    <t>Amelanchier arborea</t>
  </si>
  <si>
    <t>Hamamelis virginiana</t>
  </si>
  <si>
    <t>Fagus grandifolia</t>
  </si>
  <si>
    <t>Celastrus orbiculatus</t>
  </si>
  <si>
    <t>Zanthoxylum americanum</t>
  </si>
  <si>
    <t>Carya spp</t>
  </si>
  <si>
    <t>Crataegus punctata</t>
  </si>
  <si>
    <t>Prunus serotina</t>
  </si>
  <si>
    <t>Cornus racemosa</t>
  </si>
  <si>
    <t>Cornus florida</t>
  </si>
  <si>
    <t>Cornus alternifolia</t>
  </si>
  <si>
    <t>Ribes cynosbati</t>
  </si>
  <si>
    <t>N: mid 1/70 = root sprt; tall 1/5 = root spt</t>
  </si>
  <si>
    <t>Toxicodendron radicans</t>
  </si>
  <si>
    <t>Cornus radicans</t>
  </si>
  <si>
    <t>Carya cordiformis</t>
  </si>
  <si>
    <t>Parthenocissus quinquefolia</t>
  </si>
  <si>
    <t>Rubus</t>
  </si>
  <si>
    <t>Quercus rubra</t>
  </si>
  <si>
    <t>Ulmus americana</t>
  </si>
  <si>
    <t>W: basal sprout</t>
  </si>
  <si>
    <t>S: 1/159 = root sprout</t>
  </si>
  <si>
    <t>N: new tree fall in quad??</t>
  </si>
  <si>
    <t>Corylus americana</t>
  </si>
  <si>
    <t>Populus spp</t>
  </si>
  <si>
    <t>Berberis thunbergii</t>
  </si>
  <si>
    <t>Tilia americana</t>
  </si>
  <si>
    <t>Euonymous alatus</t>
  </si>
  <si>
    <t>Liriodendron tulipifera</t>
  </si>
  <si>
    <t>Vitis spp</t>
  </si>
  <si>
    <t>Rhamnus cathartica</t>
  </si>
  <si>
    <t>Populus grandidentata</t>
  </si>
  <si>
    <t>Viburnum dentatum</t>
  </si>
  <si>
    <t>W mid: root sprout</t>
  </si>
  <si>
    <t>Lonicera dioica</t>
  </si>
  <si>
    <t>Acer saccharum</t>
  </si>
  <si>
    <t>Quercus alba</t>
  </si>
  <si>
    <t>Sassafras albidum</t>
  </si>
  <si>
    <t>W mid: root sprouts</t>
  </si>
  <si>
    <t>W mid: rt spt</t>
  </si>
  <si>
    <t>PHOTOS</t>
  </si>
  <si>
    <t>code</t>
  </si>
  <si>
    <t>hemi</t>
  </si>
  <si>
    <t>plot pics</t>
  </si>
  <si>
    <t>quad</t>
  </si>
  <si>
    <t>tag</t>
  </si>
  <si>
    <t>center</t>
  </si>
  <si>
    <t>north</t>
  </si>
  <si>
    <t>7072-3</t>
  </si>
  <si>
    <t>east</t>
  </si>
  <si>
    <t>south</t>
  </si>
  <si>
    <t>west</t>
  </si>
  <si>
    <t>728-9</t>
  </si>
  <si>
    <t>554-5</t>
  </si>
  <si>
    <t>857, 65</t>
  </si>
  <si>
    <t>556-7</t>
  </si>
  <si>
    <t>558-9</t>
  </si>
  <si>
    <t>858-60</t>
  </si>
  <si>
    <t>560-1</t>
  </si>
  <si>
    <t>562-3</t>
  </si>
  <si>
    <t>862-3</t>
  </si>
  <si>
    <t>546-7,8</t>
  </si>
  <si>
    <t>847, 52</t>
  </si>
  <si>
    <t>plot &amp; hemi pics 6/17/11</t>
  </si>
  <si>
    <t>834: lost raccoon</t>
  </si>
  <si>
    <t>842-3</t>
  </si>
  <si>
    <t>838-9</t>
  </si>
  <si>
    <t>844-5</t>
  </si>
  <si>
    <t>7014-5,66</t>
  </si>
  <si>
    <t>7065,7</t>
  </si>
  <si>
    <t>7016-17</t>
  </si>
  <si>
    <t>7019-20</t>
  </si>
  <si>
    <t>674-5</t>
  </si>
  <si>
    <t>7003-4</t>
  </si>
  <si>
    <t>7005-6</t>
  </si>
  <si>
    <t>7190-1</t>
  </si>
  <si>
    <t>7192-4</t>
  </si>
  <si>
    <t>7946-7</t>
  </si>
  <si>
    <t>7948-9</t>
  </si>
  <si>
    <t>7950-4: gypsy moth laying eggs</t>
  </si>
  <si>
    <t>7955-6</t>
  </si>
  <si>
    <t>1345-6</t>
  </si>
  <si>
    <t>7588-9: mottled/variagated LB by N quad</t>
  </si>
  <si>
    <t>1047-8</t>
  </si>
  <si>
    <t>7595-6</t>
  </si>
  <si>
    <t>hemi: w/ &amp; w/o low branch</t>
  </si>
  <si>
    <t>523-4</t>
  </si>
  <si>
    <t>526-7</t>
  </si>
  <si>
    <t>819, 21</t>
  </si>
  <si>
    <t>hemi: w/ &amp; w/o branch</t>
  </si>
  <si>
    <t>825, 27</t>
  </si>
  <si>
    <t>hemi: #??</t>
  </si>
  <si>
    <t>514-6</t>
  </si>
  <si>
    <t>517-8</t>
  </si>
  <si>
    <t>816-7</t>
  </si>
  <si>
    <t>6811-2</t>
  </si>
  <si>
    <t>499-500</t>
  </si>
  <si>
    <t>6804-5</t>
  </si>
  <si>
    <t>6798-800</t>
  </si>
  <si>
    <t>7934-5</t>
  </si>
  <si>
    <t>1295-7</t>
  </si>
  <si>
    <t>7924-5</t>
  </si>
  <si>
    <t>7179-80</t>
  </si>
  <si>
    <t>826-8</t>
  </si>
  <si>
    <t>793-4</t>
  </si>
  <si>
    <t>7165-6</t>
  </si>
  <si>
    <t>7171-2</t>
  </si>
  <si>
    <t>1016-7</t>
  </si>
  <si>
    <t>1018-9</t>
  </si>
  <si>
    <t>7558-63: small dead ash with D-holes</t>
  </si>
  <si>
    <t>7583-4</t>
  </si>
  <si>
    <t>FIA survey</t>
  </si>
  <si>
    <t>% cover: 0, &lt;1, 1-5, 6-10, 11-20, 21-40, 41-60, 61-80, 81-100</t>
  </si>
  <si>
    <t>0-2 ft</t>
  </si>
  <si>
    <t>0-2 mid</t>
  </si>
  <si>
    <t>2-6 ft</t>
  </si>
  <si>
    <t>2-6 mid</t>
  </si>
  <si>
    <t>6-16 ft</t>
  </si>
  <si>
    <t>6-16 mid</t>
  </si>
  <si>
    <t>&gt;16 ft</t>
  </si>
  <si>
    <t>&gt;16 mid</t>
  </si>
  <si>
    <t>TOTAL</t>
  </si>
  <si>
    <t>NATIVE</t>
  </si>
  <si>
    <t>Rosa multiflora</t>
  </si>
  <si>
    <t>Elaeagnus umbellata</t>
  </si>
  <si>
    <t>MF &amp; more CO in plot outside 8m</t>
  </si>
  <si>
    <t>tall-skinny trees (&gt;bh, &lt;2.5cm dbh) and shrubs (&gt;1m tall)</t>
  </si>
  <si>
    <t>8m2 area:</t>
  </si>
  <si>
    <t>trees = # stems; shrubs = m2</t>
  </si>
  <si>
    <t>NE</t>
  </si>
  <si>
    <t>SE</t>
  </si>
  <si>
    <t>SW</t>
  </si>
  <si>
    <t>NW</t>
  </si>
  <si>
    <t>total</t>
  </si>
  <si>
    <t>SE: 1/2 = root sprout</t>
  </si>
  <si>
    <t>NW: root sprout</t>
  </si>
  <si>
    <t>SE: 2/5 = root sprouts</t>
  </si>
  <si>
    <t>NW = 5 root sprouts</t>
  </si>
  <si>
    <t>SW: root sprout</t>
  </si>
  <si>
    <t>SE: 10/17 = root spts</t>
  </si>
  <si>
    <t>Lindera benzoin</t>
  </si>
  <si>
    <t>root sprouts</t>
  </si>
  <si>
    <t>rt spts: SE=1</t>
  </si>
  <si>
    <t>some CO vining up trees</t>
  </si>
  <si>
    <t>Viburnum lentago</t>
  </si>
  <si>
    <t>root sprouts: NW:1 of 3</t>
  </si>
  <si>
    <t>spp??</t>
  </si>
  <si>
    <t>SE: trunk spt</t>
  </si>
  <si>
    <t>NW: with canker</t>
  </si>
  <si>
    <t>rt spts: NW=7</t>
  </si>
  <si>
    <t>rt spts: SW=1</t>
  </si>
  <si>
    <t>alt or florida?</t>
  </si>
  <si>
    <t>NE: root sprouts</t>
  </si>
  <si>
    <t>ash saplings: &gt;1m tall, &lt;2.5cm dbh</t>
  </si>
  <si>
    <t>label</t>
  </si>
  <si>
    <t>diam @ 12"</t>
  </si>
  <si>
    <t>diam @ bh</t>
  </si>
  <si>
    <t>distance</t>
  </si>
  <si>
    <t>degree</t>
  </si>
  <si>
    <t>healthy</t>
  </si>
  <si>
    <t>leaves deformed</t>
  </si>
  <si>
    <t>fine</t>
  </si>
  <si>
    <t>holes in leaves, ok</t>
  </si>
  <si>
    <t>some leaf deformity</t>
  </si>
  <si>
    <t>dead</t>
  </si>
  <si>
    <t>12" = N branch</t>
  </si>
  <si>
    <t>lost 2010</t>
  </si>
  <si>
    <t>main stem dead</t>
  </si>
  <si>
    <t>new, by trail ~2ft</t>
  </si>
  <si>
    <t>none</t>
  </si>
  <si>
    <t>lower branches dead</t>
  </si>
  <si>
    <t>dead 2011, tag removed</t>
  </si>
  <si>
    <t>top dead</t>
  </si>
  <si>
    <t>tall, healthy</t>
  </si>
  <si>
    <t>main stem dead; tagged sprout</t>
  </si>
  <si>
    <t>top dead (at dbh)</t>
  </si>
  <si>
    <t>new 2011</t>
  </si>
  <si>
    <t>got rained out 6/23/11 (finished 6/28/11)</t>
  </si>
  <si>
    <t>yellow spots on lvs</t>
  </si>
  <si>
    <t>mid-level trunk spots; bark splitting</t>
  </si>
  <si>
    <t>lost in 2010</t>
  </si>
  <si>
    <t>new 6/28/11</t>
  </si>
  <si>
    <t>top dead, side sprt; drop</t>
  </si>
  <si>
    <t>can't find 2011</t>
  </si>
  <si>
    <t>ok</t>
  </si>
  <si>
    <t>4.71, 6.84</t>
  </si>
  <si>
    <t>dbl-stem, dead lower branches</t>
  </si>
  <si>
    <t>small yellowish leaves</t>
  </si>
  <si>
    <t>angle through ctr tree</t>
  </si>
  <si>
    <t>dead; diseased trunk spots</t>
  </si>
  <si>
    <t>yellow leaves</t>
  </si>
  <si>
    <t>top starting to die</t>
  </si>
  <si>
    <t>some disease</t>
  </si>
  <si>
    <t>new in 2011</t>
  </si>
  <si>
    <t>dead, lost?</t>
  </si>
  <si>
    <t>dead, tag removed</t>
  </si>
  <si>
    <t>very tall</t>
  </si>
  <si>
    <t>new 2011 to replace #5</t>
  </si>
  <si>
    <t>dead, broken</t>
  </si>
  <si>
    <t>good</t>
  </si>
  <si>
    <t>ok - tag off, found</t>
  </si>
  <si>
    <t>split top, 2 leaders</t>
  </si>
  <si>
    <t>branch ripped off, stressed</t>
  </si>
  <si>
    <t>tree fell close: broken limbs, top dead</t>
  </si>
  <si>
    <t>spindly</t>
  </si>
  <si>
    <t>healthy but no clear ldr; tag off, prob same</t>
  </si>
  <si>
    <t>5.97, 5.08</t>
  </si>
  <si>
    <t>2 ldrs: S, N</t>
  </si>
  <si>
    <t>4.54, 5.45</t>
  </si>
  <si>
    <t>lost, dead?</t>
  </si>
  <si>
    <t>8.26, 5.28</t>
  </si>
  <si>
    <t>8.84, 11.45</t>
  </si>
  <si>
    <t>2 ldrs: W, E</t>
  </si>
  <si>
    <t>18.67, 6.86</t>
  </si>
  <si>
    <t>2 ldrs: W, E; forgot to get &lt;, dist (approx); new 2011</t>
  </si>
  <si>
    <t>E leader</t>
  </si>
  <si>
    <t>lost</t>
  </si>
  <si>
    <t>lost/ flattened by treefall?</t>
  </si>
  <si>
    <t>tagged natives &amp; invasives</t>
  </si>
  <si>
    <t>* = native?</t>
  </si>
  <si>
    <t>INVASIVE</t>
  </si>
  <si>
    <t>(cm)</t>
  </si>
  <si>
    <t>(m)</t>
  </si>
  <si>
    <t>inv.code</t>
  </si>
  <si>
    <t>length</t>
  </si>
  <si>
    <t>width</t>
  </si>
  <si>
    <t>height</t>
  </si>
  <si>
    <t>inv_vol (m3)</t>
  </si>
  <si>
    <t>nat.code</t>
  </si>
  <si>
    <t>nat_vol (m3)</t>
  </si>
  <si>
    <t>dist b/n</t>
  </si>
  <si>
    <t>photo</t>
  </si>
  <si>
    <t>CO1</t>
  </si>
  <si>
    <t>QURU-1</t>
  </si>
  <si>
    <t>CO2</t>
  </si>
  <si>
    <t>PRVI-1</t>
  </si>
  <si>
    <t>737-8</t>
  </si>
  <si>
    <t>behind big maple past S quad</t>
  </si>
  <si>
    <t>CO3</t>
  </si>
  <si>
    <t>lots of vining honeysuckle</t>
  </si>
  <si>
    <t>CO4</t>
  </si>
  <si>
    <t>FRAXI-1</t>
  </si>
  <si>
    <t>LB2</t>
  </si>
  <si>
    <t>VIAC-2</t>
  </si>
  <si>
    <t>731-2</t>
  </si>
  <si>
    <t>LB: 2 stems = 191*95*125</t>
  </si>
  <si>
    <t>LB3</t>
  </si>
  <si>
    <t>OSVI-1</t>
  </si>
  <si>
    <t>733-6</t>
  </si>
  <si>
    <t>LB: 1 stem, growing sideways (part of clump)</t>
  </si>
  <si>
    <t>LV1</t>
  </si>
  <si>
    <t>FRAXI-3</t>
  </si>
  <si>
    <t>LV: whole shrub (w/ long side branch); in N quad</t>
  </si>
  <si>
    <t>LV2</t>
  </si>
  <si>
    <t>FRAXI-4</t>
  </si>
  <si>
    <t>by center</t>
  </si>
  <si>
    <t>RF2</t>
  </si>
  <si>
    <t>CACO15-1</t>
  </si>
  <si>
    <t>PRVI-3</t>
  </si>
  <si>
    <t>PRVI-4</t>
  </si>
  <si>
    <t>PIC # ???</t>
  </si>
  <si>
    <t>ZAAM-1</t>
  </si>
  <si>
    <t>LV3</t>
  </si>
  <si>
    <t>LV4</t>
  </si>
  <si>
    <t>ZAAM-2</t>
  </si>
  <si>
    <t>LV5</t>
  </si>
  <si>
    <t>CARYA-1</t>
  </si>
  <si>
    <t>MF1</t>
  </si>
  <si>
    <t>FRAXI-2</t>
  </si>
  <si>
    <t>RC1</t>
  </si>
  <si>
    <t>RC2</t>
  </si>
  <si>
    <t>PRVI-2</t>
  </si>
  <si>
    <t>RC3</t>
  </si>
  <si>
    <t>RC4</t>
  </si>
  <si>
    <t>RC5</t>
  </si>
  <si>
    <t>BT1</t>
  </si>
  <si>
    <t>PRSE2-1</t>
  </si>
  <si>
    <t>CO: 1-stm, climbing ZAAM; others nearby</t>
  </si>
  <si>
    <t>Cornus spp</t>
  </si>
  <si>
    <t>CORNU-1</t>
  </si>
  <si>
    <t>behind fallen ash log</t>
  </si>
  <si>
    <t>PRSE2-3</t>
  </si>
  <si>
    <t>MF2</t>
  </si>
  <si>
    <t>by skinny Tilia</t>
  </si>
  <si>
    <t>all in S quad</t>
  </si>
  <si>
    <t>Frax: no tag, same?</t>
  </si>
  <si>
    <t>ACRU-1</t>
  </si>
  <si>
    <t>Acer: 1 lf, almost dead; RC under Hv; iin front of N quad</t>
  </si>
  <si>
    <t>RF1</t>
  </si>
  <si>
    <t>next to tall red oak</t>
  </si>
  <si>
    <t>RF4</t>
  </si>
  <si>
    <t>by fallen log, tiny!</t>
  </si>
  <si>
    <t>RF5</t>
  </si>
  <si>
    <t>Pv: 2-stems; by fallen logs</t>
  </si>
  <si>
    <t>gigantic MF clump; Pr: insect galls on leaves</t>
  </si>
  <si>
    <t>CO: clump, sprawling</t>
  </si>
  <si>
    <t>Euonymus alatus</t>
  </si>
  <si>
    <t>EA1</t>
  </si>
  <si>
    <t>in N quad; Pr: branchy</t>
  </si>
  <si>
    <t>EA2</t>
  </si>
  <si>
    <t>EA: low side branch</t>
  </si>
  <si>
    <t>EU1</t>
  </si>
  <si>
    <t>LITU-2</t>
  </si>
  <si>
    <t>LT: partly dead</t>
  </si>
  <si>
    <t>LB1</t>
  </si>
  <si>
    <t>LB: wht spots - variagation? Virus?</t>
  </si>
  <si>
    <t>PRSE2-2</t>
  </si>
  <si>
    <t>LB: spreading over Pr</t>
  </si>
  <si>
    <t>LITU-1</t>
  </si>
  <si>
    <t>RICY-1</t>
  </si>
  <si>
    <t>Ribes: fruits</t>
  </si>
  <si>
    <t>1064-7</t>
  </si>
  <si>
    <t>LV: dbl-stem, other LV growing by Frax</t>
  </si>
  <si>
    <t>S side of Tilia by rock; CO growing over both</t>
  </si>
  <si>
    <t>FRAXI-5</t>
  </si>
  <si>
    <t>right next to tall Tilia trunk</t>
  </si>
  <si>
    <t>LITU-3</t>
  </si>
  <si>
    <t>RC: side branches</t>
  </si>
  <si>
    <t>RC6</t>
  </si>
  <si>
    <t>Frax growing on edge of hole</t>
  </si>
  <si>
    <t>behind red oak &amp; rotting logs; Frax had CO vining up</t>
  </si>
  <si>
    <t>RF3</t>
  </si>
  <si>
    <t>RF: browsed!</t>
  </si>
  <si>
    <t>LITU-4</t>
  </si>
  <si>
    <t>LT: fallen on by sticks, stm bent, sending up new shoots</t>
  </si>
  <si>
    <t>CACO15-2</t>
  </si>
  <si>
    <t>511-2</t>
  </si>
  <si>
    <t>under snag/tangle; growing sideways</t>
  </si>
  <si>
    <t>extra native for Kevin</t>
  </si>
  <si>
    <t>other CACO nearby</t>
  </si>
  <si>
    <t>Rosa eglanteria</t>
  </si>
  <si>
    <t>ROEG-1</t>
  </si>
  <si>
    <t>other bigger MF nearby</t>
  </si>
  <si>
    <t>MF3</t>
  </si>
  <si>
    <t>Frax dead, left tag on; in front, left of dead Acer??</t>
  </si>
  <si>
    <t>ACSA3-3</t>
  </si>
  <si>
    <t>BT2</t>
  </si>
  <si>
    <t>FRAXI-??</t>
  </si>
  <si>
    <t>dead tree fall, big tangle over plants</t>
  </si>
  <si>
    <t>CO: long side branch</t>
  </si>
  <si>
    <t>PRSE2-4</t>
  </si>
  <si>
    <t>other EU nearby</t>
  </si>
  <si>
    <t>EU2</t>
  </si>
  <si>
    <t>EU: double-stem</t>
  </si>
  <si>
    <t>EU3</t>
  </si>
  <si>
    <t>LB: next to fallen log</t>
  </si>
  <si>
    <t>ACSA3-2</t>
  </si>
  <si>
    <t>CACO15-3</t>
  </si>
  <si>
    <t>ACSA3-1</t>
  </si>
  <si>
    <t>in S quad; RC side branch</t>
  </si>
  <si>
    <t>PV: 1 stem dead; retagged other stem; bhnd red oak</t>
  </si>
  <si>
    <t>RF: mostly dead, few small leaves</t>
  </si>
  <si>
    <t>RF6</t>
  </si>
  <si>
    <t>PRSE2-5</t>
  </si>
  <si>
    <t>RF7</t>
  </si>
  <si>
    <t>maybe PRVI??</t>
  </si>
  <si>
    <t>HAVI4-1</t>
  </si>
  <si>
    <t>CO: just tall stem; just past N quad</t>
  </si>
  <si>
    <t>CO: full plant</t>
  </si>
  <si>
    <t>CO: 1 stem, vining back on itself</t>
  </si>
  <si>
    <t>808-10</t>
  </si>
  <si>
    <t>all getting burried by sloughing ash bark</t>
  </si>
  <si>
    <t>ACRU-3</t>
  </si>
  <si>
    <t>CO: 1 stem</t>
  </si>
  <si>
    <t>CO5</t>
  </si>
  <si>
    <t>CO7</t>
  </si>
  <si>
    <t>QUAL-1</t>
  </si>
  <si>
    <t>by big white oak trunk</t>
  </si>
  <si>
    <t>LB4</t>
  </si>
  <si>
    <t>lost 2011</t>
  </si>
  <si>
    <t>MF: small middle clump</t>
  </si>
  <si>
    <t>MF: whole clump (3 stems)</t>
  </si>
  <si>
    <t>* saw LV and EU but not tagged*</t>
  </si>
  <si>
    <t>VIAC-1</t>
  </si>
  <si>
    <t>Va: 1 stem, whole clump neaby</t>
  </si>
  <si>
    <t>ACRU-2</t>
  </si>
  <si>
    <t>in front of fallen log; Ar = cpl spots on lvs</t>
  </si>
  <si>
    <t>behind dead ash, CO vining up neaby poplar sprout</t>
  </si>
  <si>
    <t>under Frax, P. serotina</t>
  </si>
  <si>
    <t>bhnd falln bre log, othr CO fthr out; CO grwng flat, side brnch</t>
  </si>
  <si>
    <t>Frax bent under log; CO1 sickly, wht spots on lvs</t>
  </si>
  <si>
    <t>CO2: mostly dead (2 sickly lvs)</t>
  </si>
  <si>
    <t>Frax: 2-stm, sickly</t>
  </si>
  <si>
    <t>CO: vining up little ash, sprawling</t>
  </si>
  <si>
    <t>past N quad</t>
  </si>
  <si>
    <t>by N quad &amp; mossy rock</t>
  </si>
  <si>
    <t>by big red oak; CO: sprawling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</si>
</sst>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mmmyy"/>
    <numFmt numFmtId="165" formatCode="0.0000"/>
  </numFmts>
  <fonts count="7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left"/>
    </xf>
    <xf numFmtId="165" fontId="0" fillId="0" borderId="1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164" fontId="2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2" fillId="0" borderId="2" xfId="0" applyFont="1" applyBorder="1" applyAlignment="1">
      <alignment horizontal="left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horizontal="right"/>
    </xf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17"/>
  <sheetViews>
    <sheetView tabSelected="1" workbookViewId="0">
      <pane xSplit="7" ySplit="5" topLeftCell="R183" activePane="bottomRight" state="frozen"/>
      <selection pane="topRight" activeCell="H1" sqref="H1"/>
      <selection pane="bottomLeft" activeCell="A6" sqref="A6"/>
      <selection pane="bottomRight" activeCell="R212" sqref="R212"/>
    </sheetView>
  </sheetViews>
  <sheetFormatPr defaultColWidth="9.140625" defaultRowHeight="12.75" x14ac:dyDescent="0.2"/>
  <cols>
    <col min="2" max="2" width="9.85546875" customWidth="1"/>
    <col min="3" max="3" width="9.85546875" style="12" customWidth="1"/>
    <col min="4" max="4" width="7.42578125" style="3" customWidth="1"/>
    <col min="5" max="5" width="25" customWidth="1"/>
    <col min="6" max="6" width="21.5703125" hidden="1" customWidth="1"/>
    <col min="7" max="7" width="12.5703125" hidden="1" customWidth="1"/>
    <col min="8" max="31" width="9.140625" style="1"/>
    <col min="32" max="36" width="9.140625" style="9" customWidth="1"/>
    <col min="38" max="38" width="29.28515625" style="27" bestFit="1" customWidth="1"/>
  </cols>
  <sheetData>
    <row r="1" spans="1:38" x14ac:dyDescent="0.2">
      <c r="A1" s="16" t="s">
        <v>0</v>
      </c>
      <c r="B1" s="3"/>
      <c r="C1"/>
      <c r="D1"/>
      <c r="F1" s="1" t="s">
        <v>1</v>
      </c>
      <c r="G1" s="1" t="s">
        <v>2</v>
      </c>
      <c r="H1" s="1">
        <v>1</v>
      </c>
      <c r="I1">
        <v>2</v>
      </c>
      <c r="J1">
        <v>6</v>
      </c>
      <c r="K1">
        <v>11</v>
      </c>
      <c r="L1">
        <v>21</v>
      </c>
      <c r="M1">
        <v>31</v>
      </c>
      <c r="N1">
        <v>41</v>
      </c>
      <c r="O1">
        <v>51</v>
      </c>
      <c r="P1">
        <v>61</v>
      </c>
      <c r="Q1">
        <v>71</v>
      </c>
      <c r="R1">
        <v>81</v>
      </c>
      <c r="S1">
        <v>91</v>
      </c>
      <c r="U1" s="9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L1" s="28"/>
    </row>
    <row r="2" spans="1:38" x14ac:dyDescent="0.2">
      <c r="A2" s="16" t="s">
        <v>3</v>
      </c>
      <c r="B2" s="3"/>
      <c r="C2"/>
      <c r="D2"/>
      <c r="F2" s="1">
        <v>0</v>
      </c>
      <c r="G2" s="1">
        <v>0.5</v>
      </c>
      <c r="H2" s="1">
        <v>1.5</v>
      </c>
      <c r="I2">
        <v>3.5</v>
      </c>
      <c r="J2">
        <v>8</v>
      </c>
      <c r="K2">
        <v>15</v>
      </c>
      <c r="L2">
        <v>25</v>
      </c>
      <c r="M2">
        <v>35</v>
      </c>
      <c r="N2">
        <v>45</v>
      </c>
      <c r="O2">
        <v>55</v>
      </c>
      <c r="P2">
        <v>65</v>
      </c>
      <c r="Q2">
        <v>75</v>
      </c>
      <c r="R2">
        <v>85</v>
      </c>
      <c r="S2">
        <v>95</v>
      </c>
      <c r="U2" s="9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L2" s="28"/>
    </row>
    <row r="3" spans="1:38" x14ac:dyDescent="0.2">
      <c r="C3" s="16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8" x14ac:dyDescent="0.2">
      <c r="H4" s="3"/>
      <c r="I4" s="3"/>
      <c r="J4" s="3" t="s">
        <v>4</v>
      </c>
      <c r="K4" s="3"/>
      <c r="L4" s="3"/>
      <c r="M4" s="3"/>
      <c r="N4" s="3"/>
      <c r="O4" s="3"/>
      <c r="P4" s="3" t="s">
        <v>5</v>
      </c>
      <c r="Q4" s="3"/>
      <c r="R4" s="3"/>
      <c r="S4" s="3"/>
      <c r="T4" s="3"/>
      <c r="U4" s="3"/>
      <c r="V4" s="3"/>
      <c r="W4" s="3" t="s">
        <v>6</v>
      </c>
      <c r="X4" s="3"/>
      <c r="Y4" s="3"/>
      <c r="Z4" s="3"/>
      <c r="AA4" s="3"/>
      <c r="AB4" s="3" t="s">
        <v>7</v>
      </c>
      <c r="AC4" s="3"/>
      <c r="AD4" s="3"/>
      <c r="AE4" s="3"/>
    </row>
    <row r="5" spans="1:38" x14ac:dyDescent="0.2">
      <c r="A5" s="20" t="s">
        <v>8</v>
      </c>
      <c r="B5" s="20" t="s">
        <v>9</v>
      </c>
      <c r="C5" s="12" t="s">
        <v>10</v>
      </c>
      <c r="D5" s="3" t="s">
        <v>11</v>
      </c>
      <c r="E5" t="s">
        <v>12</v>
      </c>
      <c r="F5" t="s">
        <v>13</v>
      </c>
      <c r="G5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  <c r="W5" s="3" t="s">
        <v>30</v>
      </c>
      <c r="X5" s="3" t="s">
        <v>31</v>
      </c>
      <c r="Y5" s="3" t="s">
        <v>32</v>
      </c>
      <c r="Z5" s="3" t="s">
        <v>33</v>
      </c>
      <c r="AA5" s="3" t="s">
        <v>34</v>
      </c>
      <c r="AB5" s="3" t="s">
        <v>35</v>
      </c>
      <c r="AC5" s="3" t="s">
        <v>36</v>
      </c>
      <c r="AD5" s="3" t="s">
        <v>37</v>
      </c>
      <c r="AE5" s="3" t="s">
        <v>38</v>
      </c>
      <c r="AF5" s="22" t="s">
        <v>39</v>
      </c>
      <c r="AG5" s="22" t="s">
        <v>40</v>
      </c>
      <c r="AH5" s="22" t="s">
        <v>41</v>
      </c>
      <c r="AI5" s="22" t="s">
        <v>42</v>
      </c>
      <c r="AJ5" s="22" t="s">
        <v>43</v>
      </c>
      <c r="AK5" s="22" t="s">
        <v>44</v>
      </c>
      <c r="AL5" s="22" t="s">
        <v>45</v>
      </c>
    </row>
    <row r="6" spans="1:38" s="36" customFormat="1" x14ac:dyDescent="0.2">
      <c r="A6" s="36">
        <v>2011</v>
      </c>
      <c r="B6" s="31" t="s">
        <v>46</v>
      </c>
      <c r="C6" s="38">
        <v>40722</v>
      </c>
      <c r="D6" s="39">
        <v>49</v>
      </c>
      <c r="E6" s="31" t="s">
        <v>47</v>
      </c>
      <c r="H6" s="37">
        <v>0</v>
      </c>
      <c r="I6" s="35">
        <v>233</v>
      </c>
      <c r="J6" s="37">
        <v>5</v>
      </c>
      <c r="K6" s="37">
        <v>0</v>
      </c>
      <c r="L6" s="35">
        <f>SUM(H6:K6)</f>
        <v>238</v>
      </c>
      <c r="M6" s="35">
        <v>55</v>
      </c>
      <c r="N6" s="37">
        <v>0</v>
      </c>
      <c r="O6" s="35">
        <v>119</v>
      </c>
      <c r="P6" s="37">
        <v>3</v>
      </c>
      <c r="Q6" s="35">
        <v>0</v>
      </c>
      <c r="R6" s="35">
        <f>SUM(N6:Q6)</f>
        <v>122</v>
      </c>
      <c r="S6" s="35">
        <v>35</v>
      </c>
      <c r="T6" s="37">
        <v>0</v>
      </c>
      <c r="U6" s="35">
        <v>77</v>
      </c>
      <c r="V6" s="37">
        <v>4</v>
      </c>
      <c r="W6" s="37">
        <v>0</v>
      </c>
      <c r="X6" s="35">
        <f>SUM(T6:W6)</f>
        <v>81</v>
      </c>
      <c r="Y6" s="35">
        <v>25</v>
      </c>
      <c r="Z6" s="37">
        <v>0</v>
      </c>
      <c r="AA6" s="35">
        <v>118</v>
      </c>
      <c r="AB6" s="37">
        <v>2</v>
      </c>
      <c r="AC6" s="37">
        <v>0</v>
      </c>
      <c r="AD6" s="35">
        <f>SUM(Z6:AC6)</f>
        <v>120</v>
      </c>
      <c r="AE6" s="35">
        <v>45</v>
      </c>
      <c r="AF6" s="40">
        <f>SUM(H6,N6,T6,Z6)</f>
        <v>0</v>
      </c>
      <c r="AG6" s="40">
        <f t="shared" ref="AG6:AI6" si="0">SUM(I6,O6,U6,AA6)</f>
        <v>547</v>
      </c>
      <c r="AH6" s="40">
        <f t="shared" si="0"/>
        <v>14</v>
      </c>
      <c r="AI6" s="40">
        <f t="shared" si="0"/>
        <v>0</v>
      </c>
      <c r="AJ6" s="40">
        <f>SUM(AF6:AI6)</f>
        <v>561</v>
      </c>
      <c r="AK6" s="40">
        <f>M6+S6+Y6+AE6</f>
        <v>160</v>
      </c>
      <c r="AL6" s="41"/>
    </row>
    <row r="7" spans="1:38" x14ac:dyDescent="0.2">
      <c r="A7">
        <v>2011</v>
      </c>
      <c r="B7" s="20" t="s">
        <v>46</v>
      </c>
      <c r="C7" s="12">
        <v>40722</v>
      </c>
      <c r="D7" s="3">
        <v>49</v>
      </c>
      <c r="E7" s="20" t="s">
        <v>48</v>
      </c>
      <c r="H7" s="26" t="s">
        <v>1</v>
      </c>
      <c r="I7" s="26" t="s">
        <v>1</v>
      </c>
      <c r="J7" s="26">
        <v>1</v>
      </c>
      <c r="K7" s="26">
        <v>0</v>
      </c>
      <c r="L7" s="1">
        <f t="shared" ref="L7:L109" si="1">SUM(H7:K7)</f>
        <v>1</v>
      </c>
      <c r="M7" s="35">
        <v>3.5</v>
      </c>
      <c r="N7" s="26" t="s">
        <v>1</v>
      </c>
      <c r="O7" s="26" t="s">
        <v>1</v>
      </c>
      <c r="P7" s="26">
        <v>0</v>
      </c>
      <c r="Q7" s="1">
        <v>0</v>
      </c>
      <c r="R7" s="1">
        <f t="shared" ref="R7:R109" si="2">SUM(N7:Q7)</f>
        <v>0</v>
      </c>
      <c r="S7" s="26">
        <v>0</v>
      </c>
      <c r="T7" s="26" t="s">
        <v>1</v>
      </c>
      <c r="U7" s="26" t="s">
        <v>1</v>
      </c>
      <c r="V7" s="26">
        <v>0</v>
      </c>
      <c r="W7" s="26">
        <v>0</v>
      </c>
      <c r="X7" s="1">
        <f t="shared" ref="X7:X109" si="3">SUM(T7:W7)</f>
        <v>0</v>
      </c>
      <c r="Y7" s="26">
        <v>0</v>
      </c>
      <c r="Z7" s="26" t="s">
        <v>1</v>
      </c>
      <c r="AA7" s="26" t="s">
        <v>1</v>
      </c>
      <c r="AB7" s="26">
        <v>0</v>
      </c>
      <c r="AC7" s="26">
        <v>0</v>
      </c>
      <c r="AD7" s="1">
        <f t="shared" ref="AD7:AD109" si="4">SUM(Z7:AC7)</f>
        <v>0</v>
      </c>
      <c r="AE7" s="26">
        <v>0</v>
      </c>
      <c r="AF7" s="22">
        <f t="shared" ref="AF7:AF20" si="5">SUM(H7,N7,T7,Z7)</f>
        <v>0</v>
      </c>
      <c r="AG7" s="22">
        <f t="shared" ref="AG7:AG20" si="6">SUM(I7,O7,U7,AA7)</f>
        <v>0</v>
      </c>
      <c r="AH7" s="22">
        <f t="shared" ref="AH7:AH109" si="7">SUM(J7,P7,V7,AB7)</f>
        <v>1</v>
      </c>
      <c r="AI7" s="22">
        <f t="shared" ref="AI7:AI19" si="8">SUM(K7,Q7,W7,AC7)</f>
        <v>0</v>
      </c>
      <c r="AJ7" s="22">
        <f t="shared" ref="AJ7:AJ19" si="9">SUM(AF7:AI7)</f>
        <v>1</v>
      </c>
      <c r="AK7" s="22" t="e">
        <f>#REF!+S7+Y7+AE7</f>
        <v>#REF!</v>
      </c>
    </row>
    <row r="8" spans="1:38" x14ac:dyDescent="0.2">
      <c r="A8">
        <v>2011</v>
      </c>
      <c r="B8" s="20" t="s">
        <v>46</v>
      </c>
      <c r="C8" s="12">
        <v>40722</v>
      </c>
      <c r="D8" s="3">
        <v>49</v>
      </c>
      <c r="E8" s="20" t="s">
        <v>49</v>
      </c>
      <c r="H8" s="26" t="s">
        <v>1</v>
      </c>
      <c r="I8" s="26" t="s">
        <v>1</v>
      </c>
      <c r="J8" s="26">
        <v>1</v>
      </c>
      <c r="K8" s="26">
        <v>1</v>
      </c>
      <c r="L8" s="1">
        <f t="shared" si="1"/>
        <v>2</v>
      </c>
      <c r="M8" s="35">
        <v>25</v>
      </c>
      <c r="N8" s="26" t="s">
        <v>1</v>
      </c>
      <c r="O8" s="26" t="s">
        <v>1</v>
      </c>
      <c r="P8" s="26">
        <v>0</v>
      </c>
      <c r="Q8" s="1">
        <v>0</v>
      </c>
      <c r="R8" s="1">
        <f t="shared" si="2"/>
        <v>0</v>
      </c>
      <c r="S8" s="26">
        <v>0</v>
      </c>
      <c r="T8" s="26" t="s">
        <v>1</v>
      </c>
      <c r="U8" s="26" t="s">
        <v>1</v>
      </c>
      <c r="V8" s="26">
        <v>0</v>
      </c>
      <c r="W8" s="26">
        <v>0</v>
      </c>
      <c r="X8" s="1">
        <f t="shared" si="3"/>
        <v>0</v>
      </c>
      <c r="Y8" s="1">
        <v>0</v>
      </c>
      <c r="Z8" s="26" t="s">
        <v>1</v>
      </c>
      <c r="AA8" s="26" t="s">
        <v>1</v>
      </c>
      <c r="AB8" s="26">
        <v>0</v>
      </c>
      <c r="AC8" s="26">
        <v>0</v>
      </c>
      <c r="AD8" s="1">
        <f t="shared" si="4"/>
        <v>0</v>
      </c>
      <c r="AE8" s="1">
        <v>0</v>
      </c>
      <c r="AF8" s="22">
        <f t="shared" si="5"/>
        <v>0</v>
      </c>
      <c r="AG8" s="22">
        <f t="shared" si="6"/>
        <v>0</v>
      </c>
      <c r="AH8" s="22">
        <f t="shared" si="7"/>
        <v>1</v>
      </c>
      <c r="AI8" s="22">
        <f t="shared" si="8"/>
        <v>1</v>
      </c>
      <c r="AJ8" s="22">
        <f t="shared" si="9"/>
        <v>2</v>
      </c>
      <c r="AK8" s="22">
        <f t="shared" ref="AK8:AK14" si="10">M7+S8+Y8+AE8</f>
        <v>3.5</v>
      </c>
    </row>
    <row r="9" spans="1:38" x14ac:dyDescent="0.2">
      <c r="A9">
        <v>2011</v>
      </c>
      <c r="B9" s="20" t="s">
        <v>46</v>
      </c>
      <c r="C9" s="12">
        <v>40722</v>
      </c>
      <c r="D9" s="3">
        <v>49</v>
      </c>
      <c r="E9" s="20" t="s">
        <v>50</v>
      </c>
      <c r="H9" s="26" t="s">
        <v>1</v>
      </c>
      <c r="I9" s="26" t="s">
        <v>1</v>
      </c>
      <c r="J9" s="26">
        <v>0</v>
      </c>
      <c r="K9" s="26">
        <v>1</v>
      </c>
      <c r="L9" s="1">
        <f t="shared" si="1"/>
        <v>1</v>
      </c>
      <c r="M9" s="37">
        <v>8</v>
      </c>
      <c r="N9" s="26" t="s">
        <v>1</v>
      </c>
      <c r="O9" s="26" t="s">
        <v>1</v>
      </c>
      <c r="P9" s="26">
        <v>0</v>
      </c>
      <c r="Q9" s="1">
        <v>0</v>
      </c>
      <c r="R9" s="1">
        <f t="shared" si="2"/>
        <v>0</v>
      </c>
      <c r="S9" s="26">
        <v>0</v>
      </c>
      <c r="T9" s="26" t="s">
        <v>1</v>
      </c>
      <c r="U9" s="26" t="s">
        <v>1</v>
      </c>
      <c r="V9" s="1">
        <v>0</v>
      </c>
      <c r="W9" s="26">
        <v>0</v>
      </c>
      <c r="X9" s="1">
        <f t="shared" si="3"/>
        <v>0</v>
      </c>
      <c r="Y9" s="1">
        <v>0</v>
      </c>
      <c r="Z9" s="26" t="s">
        <v>1</v>
      </c>
      <c r="AA9" s="26" t="s">
        <v>1</v>
      </c>
      <c r="AB9" s="26">
        <v>8</v>
      </c>
      <c r="AC9" s="26">
        <v>0</v>
      </c>
      <c r="AD9" s="1">
        <f t="shared" si="4"/>
        <v>8</v>
      </c>
      <c r="AE9" s="1">
        <v>15</v>
      </c>
      <c r="AF9" s="22">
        <f t="shared" si="5"/>
        <v>0</v>
      </c>
      <c r="AG9" s="22">
        <f t="shared" si="6"/>
        <v>0</v>
      </c>
      <c r="AH9" s="22">
        <f t="shared" si="7"/>
        <v>8</v>
      </c>
      <c r="AI9" s="22">
        <f t="shared" si="8"/>
        <v>1</v>
      </c>
      <c r="AJ9" s="22">
        <f t="shared" si="9"/>
        <v>9</v>
      </c>
      <c r="AK9" s="22">
        <f t="shared" si="10"/>
        <v>40</v>
      </c>
    </row>
    <row r="10" spans="1:38" x14ac:dyDescent="0.2">
      <c r="A10">
        <v>2011</v>
      </c>
      <c r="B10" s="20" t="s">
        <v>46</v>
      </c>
      <c r="C10" s="12">
        <v>40722</v>
      </c>
      <c r="D10" s="3">
        <v>49</v>
      </c>
      <c r="E10" s="20" t="s">
        <v>51</v>
      </c>
      <c r="H10" s="26" t="s">
        <v>1</v>
      </c>
      <c r="I10" s="26" t="s">
        <v>1</v>
      </c>
      <c r="J10" s="26">
        <v>1</v>
      </c>
      <c r="K10" s="26">
        <v>0</v>
      </c>
      <c r="L10" s="1">
        <f t="shared" si="1"/>
        <v>1</v>
      </c>
      <c r="M10" s="37">
        <v>3.5</v>
      </c>
      <c r="N10" s="26" t="s">
        <v>1</v>
      </c>
      <c r="O10" s="26" t="s">
        <v>1</v>
      </c>
      <c r="P10" s="26">
        <v>0</v>
      </c>
      <c r="Q10" s="1">
        <v>0</v>
      </c>
      <c r="R10" s="1">
        <f t="shared" si="2"/>
        <v>0</v>
      </c>
      <c r="S10" s="26">
        <v>0</v>
      </c>
      <c r="T10" s="26" t="s">
        <v>1</v>
      </c>
      <c r="U10" s="26" t="s">
        <v>1</v>
      </c>
      <c r="V10" s="26">
        <v>0</v>
      </c>
      <c r="W10" s="26">
        <v>0</v>
      </c>
      <c r="X10" s="1">
        <f t="shared" si="3"/>
        <v>0</v>
      </c>
      <c r="Y10" s="1">
        <v>0</v>
      </c>
      <c r="Z10" s="26" t="s">
        <v>1</v>
      </c>
      <c r="AA10" s="26" t="s">
        <v>1</v>
      </c>
      <c r="AB10" s="26">
        <v>0</v>
      </c>
      <c r="AC10" s="26">
        <v>0</v>
      </c>
      <c r="AD10" s="1">
        <f t="shared" si="4"/>
        <v>0</v>
      </c>
      <c r="AE10" s="26">
        <v>0</v>
      </c>
      <c r="AF10" s="22">
        <f t="shared" si="5"/>
        <v>0</v>
      </c>
      <c r="AG10" s="22">
        <f t="shared" si="6"/>
        <v>0</v>
      </c>
      <c r="AH10" s="22">
        <f t="shared" si="7"/>
        <v>1</v>
      </c>
      <c r="AI10" s="22">
        <f t="shared" si="8"/>
        <v>0</v>
      </c>
      <c r="AJ10" s="22">
        <f t="shared" si="9"/>
        <v>1</v>
      </c>
      <c r="AK10" s="22">
        <f t="shared" si="10"/>
        <v>8</v>
      </c>
    </row>
    <row r="11" spans="1:38" x14ac:dyDescent="0.2">
      <c r="A11">
        <v>2011</v>
      </c>
      <c r="B11" s="20" t="s">
        <v>46</v>
      </c>
      <c r="C11" s="12">
        <v>40722</v>
      </c>
      <c r="D11" s="3">
        <v>49</v>
      </c>
      <c r="E11" s="20" t="s">
        <v>52</v>
      </c>
      <c r="H11" s="26">
        <v>0</v>
      </c>
      <c r="I11" s="26">
        <v>0</v>
      </c>
      <c r="J11" s="26">
        <v>1</v>
      </c>
      <c r="K11" s="26">
        <v>0</v>
      </c>
      <c r="L11" s="1">
        <f t="shared" si="1"/>
        <v>1</v>
      </c>
      <c r="M11" s="35">
        <v>3.5</v>
      </c>
      <c r="N11" s="26">
        <v>0</v>
      </c>
      <c r="O11" s="26">
        <v>0</v>
      </c>
      <c r="P11" s="26">
        <v>0</v>
      </c>
      <c r="Q11" s="1">
        <v>0</v>
      </c>
      <c r="R11" s="1">
        <f t="shared" si="2"/>
        <v>0</v>
      </c>
      <c r="S11" s="26">
        <v>0</v>
      </c>
      <c r="T11" s="26">
        <v>0</v>
      </c>
      <c r="U11" s="1">
        <v>0</v>
      </c>
      <c r="V11" s="26">
        <v>0</v>
      </c>
      <c r="W11" s="26">
        <v>0</v>
      </c>
      <c r="X11" s="1">
        <f t="shared" si="3"/>
        <v>0</v>
      </c>
      <c r="Y11" s="1">
        <v>0</v>
      </c>
      <c r="Z11" s="26">
        <v>0</v>
      </c>
      <c r="AA11" s="26">
        <v>0</v>
      </c>
      <c r="AB11" s="26">
        <v>0</v>
      </c>
      <c r="AC11" s="26">
        <v>0</v>
      </c>
      <c r="AD11" s="1">
        <f t="shared" si="4"/>
        <v>0</v>
      </c>
      <c r="AE11" s="26">
        <v>0</v>
      </c>
      <c r="AF11" s="22">
        <f t="shared" si="5"/>
        <v>0</v>
      </c>
      <c r="AG11" s="22">
        <f t="shared" si="6"/>
        <v>0</v>
      </c>
      <c r="AH11" s="22">
        <f t="shared" si="7"/>
        <v>1</v>
      </c>
      <c r="AI11" s="22">
        <f t="shared" si="8"/>
        <v>0</v>
      </c>
      <c r="AJ11" s="22">
        <f t="shared" si="9"/>
        <v>1</v>
      </c>
      <c r="AK11" s="22">
        <f t="shared" si="10"/>
        <v>3.5</v>
      </c>
    </row>
    <row r="12" spans="1:38" x14ac:dyDescent="0.2">
      <c r="A12">
        <v>2011</v>
      </c>
      <c r="B12" s="20" t="s">
        <v>46</v>
      </c>
      <c r="C12" s="12">
        <v>40722</v>
      </c>
      <c r="D12" s="3">
        <v>49</v>
      </c>
      <c r="E12" s="20" t="s">
        <v>53</v>
      </c>
      <c r="H12" s="1">
        <v>0</v>
      </c>
      <c r="I12" s="1">
        <v>1</v>
      </c>
      <c r="J12" s="1">
        <v>0</v>
      </c>
      <c r="K12" s="1">
        <v>0</v>
      </c>
      <c r="L12" s="1">
        <f t="shared" si="1"/>
        <v>1</v>
      </c>
      <c r="M12" s="35">
        <v>0.5</v>
      </c>
      <c r="N12" s="1">
        <v>0</v>
      </c>
      <c r="O12" s="1">
        <v>0</v>
      </c>
      <c r="P12" s="1">
        <v>0</v>
      </c>
      <c r="Q12" s="1">
        <v>0</v>
      </c>
      <c r="R12" s="1">
        <f t="shared" si="2"/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f t="shared" si="3"/>
        <v>0</v>
      </c>
      <c r="Y12" s="1">
        <v>0</v>
      </c>
      <c r="Z12" s="26">
        <v>0</v>
      </c>
      <c r="AA12" s="1">
        <v>0</v>
      </c>
      <c r="AB12" s="26">
        <v>0</v>
      </c>
      <c r="AC12" s="26">
        <v>0</v>
      </c>
      <c r="AD12" s="1">
        <f t="shared" si="4"/>
        <v>0</v>
      </c>
      <c r="AE12" s="1">
        <v>0</v>
      </c>
      <c r="AF12" s="22">
        <f t="shared" si="5"/>
        <v>0</v>
      </c>
      <c r="AG12" s="22">
        <f t="shared" si="6"/>
        <v>1</v>
      </c>
      <c r="AH12" s="22">
        <f t="shared" si="7"/>
        <v>0</v>
      </c>
      <c r="AI12" s="22">
        <f t="shared" si="8"/>
        <v>0</v>
      </c>
      <c r="AJ12" s="22">
        <f t="shared" si="9"/>
        <v>1</v>
      </c>
      <c r="AK12" s="22">
        <f t="shared" si="10"/>
        <v>3.5</v>
      </c>
    </row>
    <row r="13" spans="1:38" x14ac:dyDescent="0.2">
      <c r="A13">
        <v>2011</v>
      </c>
      <c r="B13" s="20" t="s">
        <v>46</v>
      </c>
      <c r="C13" s="12">
        <v>40722</v>
      </c>
      <c r="D13" s="3">
        <v>49</v>
      </c>
      <c r="E13" s="20" t="s">
        <v>54</v>
      </c>
      <c r="H13" s="26" t="s">
        <v>1</v>
      </c>
      <c r="I13" s="26" t="s">
        <v>1</v>
      </c>
      <c r="J13" s="1">
        <v>1</v>
      </c>
      <c r="K13" s="1">
        <v>0</v>
      </c>
      <c r="L13" s="1">
        <f t="shared" si="1"/>
        <v>1</v>
      </c>
      <c r="M13" s="35">
        <v>3.5</v>
      </c>
      <c r="N13" s="26" t="s">
        <v>1</v>
      </c>
      <c r="O13" s="26" t="s">
        <v>1</v>
      </c>
      <c r="P13" s="1">
        <v>0</v>
      </c>
      <c r="Q13" s="1">
        <v>0</v>
      </c>
      <c r="R13" s="1">
        <f t="shared" si="2"/>
        <v>0</v>
      </c>
      <c r="S13" s="1">
        <v>0</v>
      </c>
      <c r="T13" s="26" t="s">
        <v>1</v>
      </c>
      <c r="U13" s="26" t="s">
        <v>1</v>
      </c>
      <c r="V13" s="1">
        <v>0</v>
      </c>
      <c r="W13" s="1">
        <v>0</v>
      </c>
      <c r="X13" s="1">
        <f t="shared" si="3"/>
        <v>0</v>
      </c>
      <c r="Y13" s="1">
        <v>0</v>
      </c>
      <c r="Z13" s="26" t="s">
        <v>1</v>
      </c>
      <c r="AA13" s="26" t="s">
        <v>1</v>
      </c>
      <c r="AB13" s="26">
        <v>0</v>
      </c>
      <c r="AC13" s="26">
        <v>0</v>
      </c>
      <c r="AD13" s="1">
        <f t="shared" si="4"/>
        <v>0</v>
      </c>
      <c r="AE13" s="1">
        <v>0</v>
      </c>
      <c r="AF13" s="22">
        <f t="shared" si="5"/>
        <v>0</v>
      </c>
      <c r="AG13" s="22">
        <f t="shared" si="6"/>
        <v>0</v>
      </c>
      <c r="AH13" s="22">
        <f t="shared" si="7"/>
        <v>1</v>
      </c>
      <c r="AI13" s="22">
        <f t="shared" si="8"/>
        <v>0</v>
      </c>
      <c r="AJ13" s="22">
        <f t="shared" si="9"/>
        <v>1</v>
      </c>
      <c r="AK13" s="22">
        <f t="shared" si="10"/>
        <v>0.5</v>
      </c>
    </row>
    <row r="14" spans="1:38" x14ac:dyDescent="0.2">
      <c r="A14">
        <v>2011</v>
      </c>
      <c r="B14" s="20" t="s">
        <v>46</v>
      </c>
      <c r="C14" s="12">
        <v>40722</v>
      </c>
      <c r="D14" s="3">
        <v>49</v>
      </c>
      <c r="E14" s="20" t="s">
        <v>55</v>
      </c>
      <c r="H14" s="26" t="s">
        <v>1</v>
      </c>
      <c r="I14" s="26" t="s">
        <v>1</v>
      </c>
      <c r="J14" s="1">
        <v>0</v>
      </c>
      <c r="K14" s="1">
        <v>0</v>
      </c>
      <c r="L14" s="1">
        <f t="shared" si="1"/>
        <v>0</v>
      </c>
      <c r="M14" s="35">
        <v>0</v>
      </c>
      <c r="N14" s="26" t="s">
        <v>1</v>
      </c>
      <c r="O14" s="26" t="s">
        <v>1</v>
      </c>
      <c r="P14" s="1">
        <v>9</v>
      </c>
      <c r="Q14" s="1">
        <v>10</v>
      </c>
      <c r="R14" s="1">
        <f t="shared" si="2"/>
        <v>19</v>
      </c>
      <c r="S14" s="1">
        <v>25</v>
      </c>
      <c r="T14" s="26" t="s">
        <v>1</v>
      </c>
      <c r="U14" s="26" t="s">
        <v>1</v>
      </c>
      <c r="V14" s="1">
        <v>12</v>
      </c>
      <c r="W14" s="1">
        <v>5</v>
      </c>
      <c r="X14" s="1">
        <f t="shared" si="3"/>
        <v>17</v>
      </c>
      <c r="Y14" s="1">
        <v>15</v>
      </c>
      <c r="Z14" s="26" t="s">
        <v>1</v>
      </c>
      <c r="AA14" s="26" t="s">
        <v>1</v>
      </c>
      <c r="AB14" s="26">
        <v>1</v>
      </c>
      <c r="AC14" s="26">
        <v>0</v>
      </c>
      <c r="AD14" s="1">
        <f t="shared" si="4"/>
        <v>1</v>
      </c>
      <c r="AE14" s="1">
        <v>0.5</v>
      </c>
      <c r="AF14" s="22">
        <f t="shared" si="5"/>
        <v>0</v>
      </c>
      <c r="AG14" s="22">
        <f t="shared" si="6"/>
        <v>0</v>
      </c>
      <c r="AH14" s="22">
        <f t="shared" si="7"/>
        <v>22</v>
      </c>
      <c r="AI14" s="22">
        <f t="shared" si="8"/>
        <v>15</v>
      </c>
      <c r="AJ14" s="22">
        <f t="shared" si="9"/>
        <v>37</v>
      </c>
      <c r="AK14" s="22">
        <f t="shared" si="10"/>
        <v>44</v>
      </c>
    </row>
    <row r="15" spans="1:38" x14ac:dyDescent="0.2">
      <c r="A15">
        <v>2011</v>
      </c>
      <c r="B15" s="20" t="s">
        <v>46</v>
      </c>
      <c r="C15" s="12">
        <v>40722</v>
      </c>
      <c r="D15" s="3">
        <v>49</v>
      </c>
      <c r="E15" s="20" t="s">
        <v>56</v>
      </c>
      <c r="H15" s="1">
        <v>0</v>
      </c>
      <c r="I15" s="1">
        <v>0</v>
      </c>
      <c r="J15" s="1">
        <v>0</v>
      </c>
      <c r="K15" s="1">
        <v>0</v>
      </c>
      <c r="L15" s="1">
        <f t="shared" si="1"/>
        <v>0</v>
      </c>
      <c r="M15" s="1">
        <v>0</v>
      </c>
      <c r="N15" s="1">
        <v>1</v>
      </c>
      <c r="O15" s="1">
        <v>0</v>
      </c>
      <c r="P15" s="1">
        <v>0</v>
      </c>
      <c r="Q15" s="1">
        <v>0</v>
      </c>
      <c r="R15" s="1">
        <f t="shared" si="2"/>
        <v>1</v>
      </c>
      <c r="S15" s="1">
        <v>0.5</v>
      </c>
      <c r="T15" s="1">
        <v>0</v>
      </c>
      <c r="U15" s="1">
        <v>0</v>
      </c>
      <c r="V15" s="1">
        <v>0</v>
      </c>
      <c r="W15" s="1">
        <v>0</v>
      </c>
      <c r="X15" s="1">
        <f t="shared" si="3"/>
        <v>0</v>
      </c>
      <c r="Y15" s="1">
        <v>0</v>
      </c>
      <c r="Z15" s="26">
        <v>0</v>
      </c>
      <c r="AA15" s="1">
        <v>0</v>
      </c>
      <c r="AB15" s="26">
        <v>0</v>
      </c>
      <c r="AC15" s="26">
        <v>0</v>
      </c>
      <c r="AD15" s="1">
        <f t="shared" si="4"/>
        <v>0</v>
      </c>
      <c r="AE15" s="1">
        <v>0</v>
      </c>
      <c r="AF15" s="22">
        <f t="shared" si="5"/>
        <v>1</v>
      </c>
      <c r="AG15" s="22">
        <f t="shared" si="6"/>
        <v>0</v>
      </c>
      <c r="AH15" s="22">
        <f t="shared" si="7"/>
        <v>0</v>
      </c>
      <c r="AI15" s="22">
        <f t="shared" si="8"/>
        <v>0</v>
      </c>
      <c r="AJ15" s="22">
        <f t="shared" si="9"/>
        <v>1</v>
      </c>
      <c r="AK15" s="22">
        <f t="shared" ref="AK15:AK114" si="11">M15+S15+Y15+AE15</f>
        <v>0.5</v>
      </c>
    </row>
    <row r="16" spans="1:38" x14ac:dyDescent="0.2">
      <c r="A16">
        <v>2011</v>
      </c>
      <c r="B16" s="20" t="s">
        <v>46</v>
      </c>
      <c r="C16" s="12">
        <v>40722</v>
      </c>
      <c r="D16" s="3">
        <v>49</v>
      </c>
      <c r="E16" s="20" t="s">
        <v>57</v>
      </c>
      <c r="H16" s="26" t="s">
        <v>1</v>
      </c>
      <c r="I16" s="26" t="s">
        <v>1</v>
      </c>
      <c r="J16" s="1">
        <v>0</v>
      </c>
      <c r="K16" s="1">
        <v>0</v>
      </c>
      <c r="L16" s="1">
        <f t="shared" si="1"/>
        <v>0</v>
      </c>
      <c r="M16" s="1">
        <v>0</v>
      </c>
      <c r="N16" s="26" t="s">
        <v>1</v>
      </c>
      <c r="O16" s="26" t="s">
        <v>1</v>
      </c>
      <c r="P16" s="1">
        <v>0</v>
      </c>
      <c r="Q16" s="1">
        <v>0</v>
      </c>
      <c r="R16" s="1">
        <f t="shared" si="2"/>
        <v>0</v>
      </c>
      <c r="S16" s="1">
        <v>0</v>
      </c>
      <c r="T16" s="26" t="s">
        <v>1</v>
      </c>
      <c r="U16" s="26" t="s">
        <v>1</v>
      </c>
      <c r="V16" s="1">
        <v>1</v>
      </c>
      <c r="W16" s="1">
        <v>1</v>
      </c>
      <c r="X16" s="1">
        <f t="shared" si="3"/>
        <v>2</v>
      </c>
      <c r="Y16" s="1">
        <v>25</v>
      </c>
      <c r="Z16" s="26" t="s">
        <v>1</v>
      </c>
      <c r="AA16" s="26" t="s">
        <v>1</v>
      </c>
      <c r="AB16" s="26">
        <v>0</v>
      </c>
      <c r="AC16" s="26">
        <v>0</v>
      </c>
      <c r="AD16" s="1">
        <f t="shared" si="4"/>
        <v>0</v>
      </c>
      <c r="AE16" s="1">
        <v>0</v>
      </c>
      <c r="AF16" s="22">
        <f t="shared" si="5"/>
        <v>0</v>
      </c>
      <c r="AG16" s="22">
        <f t="shared" si="6"/>
        <v>0</v>
      </c>
      <c r="AH16" s="22">
        <f t="shared" si="7"/>
        <v>1</v>
      </c>
      <c r="AI16" s="22">
        <f t="shared" si="8"/>
        <v>1</v>
      </c>
      <c r="AJ16" s="22">
        <f t="shared" si="9"/>
        <v>2</v>
      </c>
      <c r="AK16" s="22">
        <f t="shared" si="11"/>
        <v>25</v>
      </c>
    </row>
    <row r="17" spans="1:38" x14ac:dyDescent="0.2">
      <c r="A17">
        <v>2011</v>
      </c>
      <c r="B17" s="20" t="s">
        <v>46</v>
      </c>
      <c r="C17" s="12">
        <v>40722</v>
      </c>
      <c r="D17" s="3">
        <v>49</v>
      </c>
      <c r="E17" s="20" t="s">
        <v>58</v>
      </c>
      <c r="H17" s="26" t="s">
        <v>1</v>
      </c>
      <c r="I17" s="26" t="s">
        <v>1</v>
      </c>
      <c r="J17" s="1">
        <v>0</v>
      </c>
      <c r="K17" s="1">
        <v>0</v>
      </c>
      <c r="L17" s="1">
        <f t="shared" si="1"/>
        <v>0</v>
      </c>
      <c r="M17" s="1">
        <v>0</v>
      </c>
      <c r="N17" s="26" t="s">
        <v>1</v>
      </c>
      <c r="O17" s="26" t="s">
        <v>1</v>
      </c>
      <c r="P17" s="1">
        <v>0</v>
      </c>
      <c r="Q17" s="1">
        <v>0</v>
      </c>
      <c r="R17" s="1">
        <f t="shared" si="2"/>
        <v>0</v>
      </c>
      <c r="S17" s="1">
        <v>0</v>
      </c>
      <c r="T17" s="26" t="s">
        <v>1</v>
      </c>
      <c r="U17" s="26" t="s">
        <v>1</v>
      </c>
      <c r="V17" s="1">
        <v>1</v>
      </c>
      <c r="W17" s="1">
        <v>0</v>
      </c>
      <c r="X17" s="1">
        <f t="shared" si="3"/>
        <v>1</v>
      </c>
      <c r="Y17" s="1">
        <v>3</v>
      </c>
      <c r="Z17" s="26" t="s">
        <v>1</v>
      </c>
      <c r="AA17" s="26" t="s">
        <v>1</v>
      </c>
      <c r="AB17" s="26">
        <v>0</v>
      </c>
      <c r="AC17" s="26">
        <v>0</v>
      </c>
      <c r="AD17" s="1">
        <f t="shared" si="4"/>
        <v>0</v>
      </c>
      <c r="AE17" s="1">
        <v>0</v>
      </c>
      <c r="AF17" s="22">
        <f t="shared" si="5"/>
        <v>0</v>
      </c>
      <c r="AG17" s="22">
        <f t="shared" si="6"/>
        <v>0</v>
      </c>
      <c r="AH17" s="22">
        <f t="shared" si="7"/>
        <v>1</v>
      </c>
      <c r="AI17" s="22">
        <f t="shared" si="8"/>
        <v>0</v>
      </c>
      <c r="AJ17" s="22">
        <f t="shared" si="9"/>
        <v>1</v>
      </c>
      <c r="AK17" s="22">
        <f t="shared" si="11"/>
        <v>3</v>
      </c>
    </row>
    <row r="18" spans="1:38" x14ac:dyDescent="0.2">
      <c r="A18">
        <v>2011</v>
      </c>
      <c r="B18" s="20" t="s">
        <v>46</v>
      </c>
      <c r="C18" s="12">
        <v>40722</v>
      </c>
      <c r="D18" s="3">
        <v>49</v>
      </c>
      <c r="E18" s="20" t="s">
        <v>59</v>
      </c>
      <c r="H18" s="26" t="s">
        <v>1</v>
      </c>
      <c r="I18" s="26" t="s">
        <v>1</v>
      </c>
      <c r="J18" s="1">
        <v>0</v>
      </c>
      <c r="K18" s="1">
        <v>0</v>
      </c>
      <c r="L18" s="1">
        <f t="shared" si="1"/>
        <v>0</v>
      </c>
      <c r="M18" s="1">
        <v>0</v>
      </c>
      <c r="N18" s="26" t="s">
        <v>1</v>
      </c>
      <c r="O18" s="26" t="s">
        <v>1</v>
      </c>
      <c r="P18" s="1">
        <v>0</v>
      </c>
      <c r="Q18" s="1">
        <v>0</v>
      </c>
      <c r="R18" s="1">
        <f t="shared" si="2"/>
        <v>0</v>
      </c>
      <c r="S18" s="1">
        <v>0</v>
      </c>
      <c r="T18" s="26" t="s">
        <v>1</v>
      </c>
      <c r="U18" s="26" t="s">
        <v>1</v>
      </c>
      <c r="V18" s="1">
        <v>0</v>
      </c>
      <c r="W18" s="1">
        <v>0</v>
      </c>
      <c r="X18" s="1">
        <f t="shared" si="3"/>
        <v>0</v>
      </c>
      <c r="Y18" s="1">
        <v>0</v>
      </c>
      <c r="Z18" s="26" t="s">
        <v>1</v>
      </c>
      <c r="AA18" s="26" t="s">
        <v>1</v>
      </c>
      <c r="AB18" s="1">
        <v>0</v>
      </c>
      <c r="AC18" s="26">
        <v>1</v>
      </c>
      <c r="AD18" s="1">
        <f t="shared" si="4"/>
        <v>1</v>
      </c>
      <c r="AE18" s="1">
        <v>8</v>
      </c>
      <c r="AF18" s="22">
        <f t="shared" si="5"/>
        <v>0</v>
      </c>
      <c r="AG18" s="22">
        <f t="shared" si="6"/>
        <v>0</v>
      </c>
      <c r="AH18" s="22">
        <f t="shared" si="7"/>
        <v>0</v>
      </c>
      <c r="AI18" s="22">
        <f t="shared" si="8"/>
        <v>1</v>
      </c>
      <c r="AJ18" s="22">
        <f t="shared" si="9"/>
        <v>1</v>
      </c>
      <c r="AK18" s="22">
        <f t="shared" si="11"/>
        <v>8</v>
      </c>
    </row>
    <row r="19" spans="1:38" x14ac:dyDescent="0.2">
      <c r="A19">
        <v>2011</v>
      </c>
      <c r="B19" s="20" t="s">
        <v>46</v>
      </c>
      <c r="C19" s="12">
        <v>40722</v>
      </c>
      <c r="D19" s="3">
        <v>49</v>
      </c>
      <c r="E19" s="20" t="s">
        <v>60</v>
      </c>
      <c r="H19" s="1">
        <v>0</v>
      </c>
      <c r="I19" s="1">
        <v>0</v>
      </c>
      <c r="J19" s="1">
        <v>0</v>
      </c>
      <c r="K19" s="1">
        <v>0</v>
      </c>
      <c r="L19" s="1">
        <f t="shared" si="1"/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f t="shared" si="2"/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f t="shared" si="3"/>
        <v>0</v>
      </c>
      <c r="Y19" s="1">
        <v>0</v>
      </c>
      <c r="Z19" s="1">
        <v>1</v>
      </c>
      <c r="AA19" s="1">
        <v>0</v>
      </c>
      <c r="AB19" s="1">
        <v>0</v>
      </c>
      <c r="AC19" s="26">
        <v>0</v>
      </c>
      <c r="AD19" s="1">
        <f t="shared" si="4"/>
        <v>1</v>
      </c>
      <c r="AE19" s="1">
        <v>0.5</v>
      </c>
      <c r="AF19" s="22">
        <f t="shared" si="5"/>
        <v>1</v>
      </c>
      <c r="AG19" s="22">
        <f t="shared" si="6"/>
        <v>0</v>
      </c>
      <c r="AH19" s="22">
        <f t="shared" si="7"/>
        <v>0</v>
      </c>
      <c r="AI19" s="22">
        <f t="shared" si="8"/>
        <v>0</v>
      </c>
      <c r="AJ19" s="22">
        <f t="shared" si="9"/>
        <v>1</v>
      </c>
      <c r="AK19" s="22">
        <f t="shared" si="11"/>
        <v>0.5</v>
      </c>
    </row>
    <row r="20" spans="1:38" s="36" customFormat="1" x14ac:dyDescent="0.2">
      <c r="A20" s="36">
        <v>2011</v>
      </c>
      <c r="B20" s="31" t="s">
        <v>46</v>
      </c>
      <c r="C20" s="38">
        <v>40711</v>
      </c>
      <c r="D20" s="39">
        <v>50</v>
      </c>
      <c r="E20" s="31" t="s">
        <v>47</v>
      </c>
      <c r="H20" s="35">
        <v>0</v>
      </c>
      <c r="I20" s="35">
        <v>110</v>
      </c>
      <c r="J20" s="35">
        <v>0</v>
      </c>
      <c r="K20" s="35">
        <v>0</v>
      </c>
      <c r="L20" s="35">
        <f t="shared" si="1"/>
        <v>110</v>
      </c>
      <c r="M20" s="35">
        <v>55</v>
      </c>
      <c r="N20" s="35">
        <v>0</v>
      </c>
      <c r="O20" s="35">
        <v>84</v>
      </c>
      <c r="P20" s="35">
        <v>0</v>
      </c>
      <c r="Q20" s="35">
        <v>0</v>
      </c>
      <c r="R20" s="35">
        <f t="shared" si="2"/>
        <v>84</v>
      </c>
      <c r="S20" s="35">
        <v>8</v>
      </c>
      <c r="T20" s="35">
        <v>0</v>
      </c>
      <c r="U20" s="35">
        <v>43</v>
      </c>
      <c r="V20" s="35">
        <v>0</v>
      </c>
      <c r="W20" s="35">
        <v>0</v>
      </c>
      <c r="X20" s="35">
        <f t="shared" si="3"/>
        <v>43</v>
      </c>
      <c r="Y20" s="35">
        <v>3.5</v>
      </c>
      <c r="Z20" s="35">
        <v>0</v>
      </c>
      <c r="AA20" s="35">
        <v>54</v>
      </c>
      <c r="AB20" s="35">
        <v>0</v>
      </c>
      <c r="AC20" s="37">
        <v>0</v>
      </c>
      <c r="AD20" s="35">
        <f t="shared" si="4"/>
        <v>54</v>
      </c>
      <c r="AE20" s="35">
        <v>3.5</v>
      </c>
      <c r="AF20" s="40">
        <f t="shared" si="5"/>
        <v>0</v>
      </c>
      <c r="AG20" s="40">
        <f t="shared" si="6"/>
        <v>291</v>
      </c>
      <c r="AH20" s="40">
        <f t="shared" si="7"/>
        <v>0</v>
      </c>
      <c r="AI20" s="40">
        <f t="shared" ref="AI20:AI25" si="12">SUM(K20,Q20,W20,AC20)</f>
        <v>0</v>
      </c>
      <c r="AJ20" s="40">
        <f t="shared" ref="AJ20:AJ25" si="13">SUM(AF20:AI20)</f>
        <v>291</v>
      </c>
      <c r="AK20" s="40">
        <f t="shared" si="11"/>
        <v>70</v>
      </c>
      <c r="AL20" s="41"/>
    </row>
    <row r="21" spans="1:38" x14ac:dyDescent="0.2">
      <c r="A21">
        <v>2011</v>
      </c>
      <c r="B21" s="20" t="s">
        <v>46</v>
      </c>
      <c r="C21" s="12">
        <v>40711</v>
      </c>
      <c r="D21" s="3">
        <v>50</v>
      </c>
      <c r="E21" s="20" t="s">
        <v>50</v>
      </c>
      <c r="H21" s="26" t="s">
        <v>1</v>
      </c>
      <c r="I21" s="26" t="s">
        <v>1</v>
      </c>
      <c r="J21" s="1">
        <v>5</v>
      </c>
      <c r="K21" s="1">
        <v>0</v>
      </c>
      <c r="L21" s="1">
        <f t="shared" si="1"/>
        <v>5</v>
      </c>
      <c r="M21" s="1">
        <v>3.5</v>
      </c>
      <c r="N21" s="26" t="s">
        <v>1</v>
      </c>
      <c r="O21" s="26" t="s">
        <v>1</v>
      </c>
      <c r="P21" s="1">
        <v>0</v>
      </c>
      <c r="Q21" s="1">
        <v>0</v>
      </c>
      <c r="R21" s="1">
        <f t="shared" si="2"/>
        <v>0</v>
      </c>
      <c r="S21" s="1">
        <v>0</v>
      </c>
      <c r="T21" s="26" t="s">
        <v>1</v>
      </c>
      <c r="U21" s="26" t="s">
        <v>1</v>
      </c>
      <c r="V21" s="1">
        <v>0</v>
      </c>
      <c r="W21" s="1">
        <v>0</v>
      </c>
      <c r="X21" s="1">
        <f t="shared" si="3"/>
        <v>0</v>
      </c>
      <c r="Y21" s="1">
        <v>0</v>
      </c>
      <c r="Z21" s="26" t="s">
        <v>1</v>
      </c>
      <c r="AA21" s="26" t="s">
        <v>1</v>
      </c>
      <c r="AB21" s="1">
        <v>0</v>
      </c>
      <c r="AC21" s="26">
        <v>0</v>
      </c>
      <c r="AD21" s="1">
        <f t="shared" si="4"/>
        <v>0</v>
      </c>
      <c r="AE21" s="1">
        <v>0</v>
      </c>
      <c r="AF21" s="22">
        <f t="shared" ref="AF21:AF25" si="14">SUM(H21,N21,T21,Z21)</f>
        <v>0</v>
      </c>
      <c r="AG21" s="22">
        <f t="shared" ref="AG21:AG25" si="15">SUM(I21,O21,U21,AA21)</f>
        <v>0</v>
      </c>
      <c r="AH21" s="22">
        <f t="shared" si="7"/>
        <v>5</v>
      </c>
      <c r="AI21" s="22">
        <f t="shared" si="12"/>
        <v>0</v>
      </c>
      <c r="AJ21" s="22">
        <f t="shared" si="13"/>
        <v>5</v>
      </c>
      <c r="AK21" s="22">
        <f t="shared" si="11"/>
        <v>3.5</v>
      </c>
    </row>
    <row r="22" spans="1:38" x14ac:dyDescent="0.2">
      <c r="A22">
        <v>2011</v>
      </c>
      <c r="B22" s="20" t="s">
        <v>46</v>
      </c>
      <c r="C22" s="12">
        <v>40711</v>
      </c>
      <c r="D22" s="3">
        <v>50</v>
      </c>
      <c r="E22" s="20" t="s">
        <v>61</v>
      </c>
      <c r="H22" s="26" t="s">
        <v>1</v>
      </c>
      <c r="I22" s="26" t="s">
        <v>1</v>
      </c>
      <c r="J22" s="1">
        <v>0</v>
      </c>
      <c r="K22" s="1">
        <v>0</v>
      </c>
      <c r="L22" s="1">
        <f t="shared" si="1"/>
        <v>0</v>
      </c>
      <c r="M22" s="1">
        <v>0</v>
      </c>
      <c r="N22" s="26" t="s">
        <v>1</v>
      </c>
      <c r="O22" s="26" t="s">
        <v>1</v>
      </c>
      <c r="P22" s="1">
        <v>3</v>
      </c>
      <c r="Q22" s="1">
        <v>0</v>
      </c>
      <c r="R22" s="1">
        <f t="shared" si="2"/>
        <v>3</v>
      </c>
      <c r="S22" s="1">
        <v>3.5</v>
      </c>
      <c r="T22" s="26" t="s">
        <v>1</v>
      </c>
      <c r="U22" s="26" t="s">
        <v>1</v>
      </c>
      <c r="V22" s="1">
        <v>3</v>
      </c>
      <c r="W22" s="1">
        <v>0</v>
      </c>
      <c r="X22" s="1">
        <f t="shared" si="3"/>
        <v>3</v>
      </c>
      <c r="Y22" s="1">
        <v>3.5</v>
      </c>
      <c r="Z22" s="26" t="s">
        <v>1</v>
      </c>
      <c r="AA22" s="26" t="s">
        <v>1</v>
      </c>
      <c r="AB22" s="1">
        <v>2</v>
      </c>
      <c r="AC22" s="26">
        <v>0</v>
      </c>
      <c r="AD22" s="1">
        <f t="shared" si="4"/>
        <v>2</v>
      </c>
      <c r="AE22" s="1">
        <v>3.5</v>
      </c>
      <c r="AF22" s="22">
        <f t="shared" si="14"/>
        <v>0</v>
      </c>
      <c r="AG22" s="22">
        <f t="shared" si="15"/>
        <v>0</v>
      </c>
      <c r="AH22" s="22">
        <f t="shared" si="7"/>
        <v>8</v>
      </c>
      <c r="AI22" s="22">
        <f t="shared" si="12"/>
        <v>0</v>
      </c>
      <c r="AJ22" s="22">
        <f t="shared" si="13"/>
        <v>8</v>
      </c>
      <c r="AK22" s="22">
        <f t="shared" si="11"/>
        <v>10.5</v>
      </c>
    </row>
    <row r="23" spans="1:38" x14ac:dyDescent="0.2">
      <c r="A23">
        <v>2011</v>
      </c>
      <c r="B23" s="20" t="s">
        <v>46</v>
      </c>
      <c r="C23" s="12">
        <v>40711</v>
      </c>
      <c r="D23" s="3">
        <v>50</v>
      </c>
      <c r="E23" s="20" t="s">
        <v>55</v>
      </c>
      <c r="H23" s="26" t="s">
        <v>1</v>
      </c>
      <c r="I23" s="26" t="s">
        <v>1</v>
      </c>
      <c r="J23" s="1">
        <v>0</v>
      </c>
      <c r="K23" s="1">
        <v>0</v>
      </c>
      <c r="L23" s="1">
        <f t="shared" si="1"/>
        <v>0</v>
      </c>
      <c r="M23" s="1">
        <v>0</v>
      </c>
      <c r="N23" s="26" t="s">
        <v>1</v>
      </c>
      <c r="O23" s="26" t="s">
        <v>1</v>
      </c>
      <c r="P23" s="1">
        <v>0</v>
      </c>
      <c r="Q23" s="1">
        <v>0</v>
      </c>
      <c r="R23" s="1">
        <f t="shared" si="2"/>
        <v>0</v>
      </c>
      <c r="S23" s="1">
        <v>0</v>
      </c>
      <c r="T23" s="26" t="s">
        <v>1</v>
      </c>
      <c r="U23" s="26" t="s">
        <v>1</v>
      </c>
      <c r="V23" s="1">
        <v>0</v>
      </c>
      <c r="W23" s="1">
        <v>0</v>
      </c>
      <c r="X23" s="1">
        <f t="shared" si="3"/>
        <v>0</v>
      </c>
      <c r="Y23" s="1">
        <v>0</v>
      </c>
      <c r="Z23" s="26" t="s">
        <v>1</v>
      </c>
      <c r="AA23" s="26" t="s">
        <v>1</v>
      </c>
      <c r="AB23" s="1">
        <v>2</v>
      </c>
      <c r="AC23" s="26">
        <v>0</v>
      </c>
      <c r="AD23" s="1">
        <f t="shared" si="4"/>
        <v>2</v>
      </c>
      <c r="AE23" s="1">
        <v>1.5</v>
      </c>
      <c r="AF23" s="22">
        <f t="shared" si="14"/>
        <v>0</v>
      </c>
      <c r="AG23" s="22">
        <f t="shared" si="15"/>
        <v>0</v>
      </c>
      <c r="AH23" s="22">
        <f t="shared" si="7"/>
        <v>2</v>
      </c>
      <c r="AI23" s="22">
        <f t="shared" si="12"/>
        <v>0</v>
      </c>
      <c r="AJ23" s="22">
        <f t="shared" si="13"/>
        <v>2</v>
      </c>
      <c r="AK23" s="22">
        <f t="shared" si="11"/>
        <v>1.5</v>
      </c>
    </row>
    <row r="24" spans="1:38" x14ac:dyDescent="0.2">
      <c r="A24">
        <v>2011</v>
      </c>
      <c r="B24" s="20" t="s">
        <v>46</v>
      </c>
      <c r="C24" s="12">
        <v>40711</v>
      </c>
      <c r="D24" s="3">
        <v>50</v>
      </c>
      <c r="E24" s="20" t="s">
        <v>62</v>
      </c>
      <c r="H24" s="26" t="s">
        <v>1</v>
      </c>
      <c r="I24" s="26" t="s">
        <v>1</v>
      </c>
      <c r="J24" s="1">
        <v>0</v>
      </c>
      <c r="K24" s="1">
        <v>0</v>
      </c>
      <c r="L24" s="1">
        <f t="shared" si="1"/>
        <v>0</v>
      </c>
      <c r="M24" s="1">
        <v>0</v>
      </c>
      <c r="N24" s="26" t="s">
        <v>1</v>
      </c>
      <c r="O24" s="26" t="s">
        <v>1</v>
      </c>
      <c r="P24" s="1">
        <v>0</v>
      </c>
      <c r="Q24" s="1">
        <v>0</v>
      </c>
      <c r="R24" s="1">
        <f t="shared" si="2"/>
        <v>0</v>
      </c>
      <c r="S24" s="1">
        <v>0</v>
      </c>
      <c r="T24" s="26" t="s">
        <v>1</v>
      </c>
      <c r="U24" s="26" t="s">
        <v>1</v>
      </c>
      <c r="V24" s="1">
        <v>0</v>
      </c>
      <c r="W24" s="1">
        <v>0</v>
      </c>
      <c r="X24" s="1">
        <f t="shared" si="3"/>
        <v>0</v>
      </c>
      <c r="Y24" s="1">
        <v>0</v>
      </c>
      <c r="Z24" s="26" t="s">
        <v>1</v>
      </c>
      <c r="AA24" s="26" t="s">
        <v>1</v>
      </c>
      <c r="AB24" s="1">
        <v>1</v>
      </c>
      <c r="AC24" s="26">
        <v>0</v>
      </c>
      <c r="AD24" s="1">
        <f t="shared" si="4"/>
        <v>1</v>
      </c>
      <c r="AE24" s="1">
        <v>1.5</v>
      </c>
      <c r="AF24" s="22">
        <f t="shared" si="14"/>
        <v>0</v>
      </c>
      <c r="AG24" s="22">
        <f t="shared" si="15"/>
        <v>0</v>
      </c>
      <c r="AH24" s="22">
        <f t="shared" si="7"/>
        <v>1</v>
      </c>
      <c r="AI24" s="22">
        <f t="shared" si="12"/>
        <v>0</v>
      </c>
      <c r="AJ24" s="22">
        <f t="shared" si="13"/>
        <v>1</v>
      </c>
      <c r="AK24" s="22">
        <f t="shared" si="11"/>
        <v>1.5</v>
      </c>
    </row>
    <row r="25" spans="1:38" x14ac:dyDescent="0.2">
      <c r="A25">
        <v>2011</v>
      </c>
      <c r="B25" s="20" t="s">
        <v>46</v>
      </c>
      <c r="C25" s="12">
        <v>40711</v>
      </c>
      <c r="D25" s="3">
        <v>50</v>
      </c>
      <c r="E25" s="20" t="s">
        <v>63</v>
      </c>
      <c r="H25" s="26" t="s">
        <v>1</v>
      </c>
      <c r="I25" s="26" t="s">
        <v>1</v>
      </c>
      <c r="J25" s="1">
        <v>0</v>
      </c>
      <c r="K25" s="1">
        <v>0</v>
      </c>
      <c r="L25" s="1">
        <f t="shared" si="1"/>
        <v>0</v>
      </c>
      <c r="M25" s="1">
        <v>0</v>
      </c>
      <c r="N25" s="26" t="s">
        <v>1</v>
      </c>
      <c r="O25" s="26" t="s">
        <v>1</v>
      </c>
      <c r="P25" s="1">
        <v>0</v>
      </c>
      <c r="Q25" s="1">
        <v>0</v>
      </c>
      <c r="R25" s="1">
        <f t="shared" si="2"/>
        <v>0</v>
      </c>
      <c r="S25" s="1">
        <v>0</v>
      </c>
      <c r="T25" s="26" t="s">
        <v>1</v>
      </c>
      <c r="U25" s="26" t="s">
        <v>1</v>
      </c>
      <c r="V25" s="1">
        <v>0</v>
      </c>
      <c r="W25" s="1">
        <v>0</v>
      </c>
      <c r="X25" s="1">
        <f t="shared" si="3"/>
        <v>0</v>
      </c>
      <c r="Y25" s="1">
        <v>0</v>
      </c>
      <c r="Z25" s="26" t="s">
        <v>1</v>
      </c>
      <c r="AA25" s="26" t="s">
        <v>1</v>
      </c>
      <c r="AB25" s="1">
        <v>1</v>
      </c>
      <c r="AC25" s="26">
        <v>0</v>
      </c>
      <c r="AD25" s="1">
        <f t="shared" si="4"/>
        <v>1</v>
      </c>
      <c r="AE25" s="1">
        <v>1.5</v>
      </c>
      <c r="AF25" s="22">
        <f t="shared" si="14"/>
        <v>0</v>
      </c>
      <c r="AG25" s="22">
        <f t="shared" si="15"/>
        <v>0</v>
      </c>
      <c r="AH25" s="22">
        <f t="shared" si="7"/>
        <v>1</v>
      </c>
      <c r="AI25" s="22">
        <f t="shared" si="12"/>
        <v>0</v>
      </c>
      <c r="AJ25" s="22">
        <f t="shared" si="13"/>
        <v>1</v>
      </c>
      <c r="AK25" s="22">
        <f t="shared" si="11"/>
        <v>1.5</v>
      </c>
    </row>
    <row r="26" spans="1:38" s="36" customFormat="1" x14ac:dyDescent="0.2">
      <c r="A26" s="36">
        <v>2011</v>
      </c>
      <c r="B26" s="31" t="s">
        <v>46</v>
      </c>
      <c r="C26" s="38">
        <v>40710</v>
      </c>
      <c r="D26" s="39">
        <v>51</v>
      </c>
      <c r="E26" s="31" t="s">
        <v>47</v>
      </c>
      <c r="H26" s="35">
        <v>0</v>
      </c>
      <c r="I26" s="35">
        <v>187</v>
      </c>
      <c r="J26" s="35">
        <v>6</v>
      </c>
      <c r="K26" s="35">
        <v>0</v>
      </c>
      <c r="L26" s="35">
        <f t="shared" si="1"/>
        <v>193</v>
      </c>
      <c r="M26" s="35">
        <v>45</v>
      </c>
      <c r="N26" s="35">
        <v>0</v>
      </c>
      <c r="O26" s="35">
        <v>117</v>
      </c>
      <c r="P26" s="35">
        <v>0</v>
      </c>
      <c r="Q26" s="35">
        <v>0</v>
      </c>
      <c r="R26" s="35">
        <f t="shared" si="2"/>
        <v>117</v>
      </c>
      <c r="S26" s="35">
        <v>45</v>
      </c>
      <c r="T26" s="35">
        <v>0</v>
      </c>
      <c r="U26" s="35">
        <v>53</v>
      </c>
      <c r="V26" s="35">
        <v>0</v>
      </c>
      <c r="W26" s="35">
        <v>0</v>
      </c>
      <c r="X26" s="35">
        <f t="shared" si="3"/>
        <v>53</v>
      </c>
      <c r="Y26" s="35">
        <v>8</v>
      </c>
      <c r="Z26" s="35">
        <v>0</v>
      </c>
      <c r="AA26" s="35">
        <v>55</v>
      </c>
      <c r="AB26" s="35">
        <v>0</v>
      </c>
      <c r="AC26" s="37">
        <v>0</v>
      </c>
      <c r="AD26" s="35">
        <f t="shared" si="4"/>
        <v>55</v>
      </c>
      <c r="AE26" s="35">
        <v>8</v>
      </c>
      <c r="AF26" s="40">
        <f t="shared" ref="AF26:AF36" si="16">SUM(H26,N26,T26,Z26)</f>
        <v>0</v>
      </c>
      <c r="AG26" s="40">
        <f t="shared" ref="AG26:AG36" si="17">SUM(I26,O26,U26,AA26)</f>
        <v>412</v>
      </c>
      <c r="AH26" s="40">
        <f t="shared" si="7"/>
        <v>6</v>
      </c>
      <c r="AI26" s="40">
        <f t="shared" ref="AI26:AI41" si="18">SUM(K26,Q26,W26,AC26)</f>
        <v>0</v>
      </c>
      <c r="AJ26" s="40">
        <f t="shared" ref="AJ26:AJ41" si="19">SUM(AF26:AI26)</f>
        <v>418</v>
      </c>
      <c r="AK26" s="40">
        <f t="shared" si="11"/>
        <v>106</v>
      </c>
      <c r="AL26" s="41"/>
    </row>
    <row r="27" spans="1:38" x14ac:dyDescent="0.2">
      <c r="A27">
        <v>2011</v>
      </c>
      <c r="B27" s="20" t="s">
        <v>46</v>
      </c>
      <c r="C27" s="12">
        <v>40710</v>
      </c>
      <c r="D27" s="3">
        <v>51</v>
      </c>
      <c r="E27" s="20" t="s">
        <v>64</v>
      </c>
      <c r="H27" s="26" t="s">
        <v>1</v>
      </c>
      <c r="I27" s="26" t="s">
        <v>1</v>
      </c>
      <c r="J27" s="1">
        <v>2</v>
      </c>
      <c r="K27" s="1">
        <v>0</v>
      </c>
      <c r="L27" s="1">
        <f t="shared" si="1"/>
        <v>2</v>
      </c>
      <c r="M27" s="1">
        <v>3.5</v>
      </c>
      <c r="N27" s="26" t="s">
        <v>1</v>
      </c>
      <c r="O27" s="26" t="s">
        <v>1</v>
      </c>
      <c r="P27" s="1">
        <v>0</v>
      </c>
      <c r="Q27" s="1">
        <v>0</v>
      </c>
      <c r="R27" s="1">
        <f t="shared" si="2"/>
        <v>0</v>
      </c>
      <c r="S27" s="1">
        <v>0</v>
      </c>
      <c r="T27" s="26" t="s">
        <v>1</v>
      </c>
      <c r="U27" s="26" t="s">
        <v>1</v>
      </c>
      <c r="V27" s="1">
        <v>1</v>
      </c>
      <c r="W27" s="1">
        <v>0</v>
      </c>
      <c r="X27" s="1">
        <f t="shared" si="3"/>
        <v>1</v>
      </c>
      <c r="Y27" s="1">
        <v>1.5</v>
      </c>
      <c r="Z27" s="26" t="s">
        <v>1</v>
      </c>
      <c r="AA27" s="26" t="s">
        <v>1</v>
      </c>
      <c r="AB27" s="1">
        <v>0</v>
      </c>
      <c r="AC27" s="26">
        <v>0</v>
      </c>
      <c r="AD27" s="1">
        <f t="shared" si="4"/>
        <v>0</v>
      </c>
      <c r="AE27" s="1">
        <v>0</v>
      </c>
      <c r="AF27" s="22">
        <f t="shared" si="16"/>
        <v>0</v>
      </c>
      <c r="AG27" s="22">
        <f t="shared" si="17"/>
        <v>0</v>
      </c>
      <c r="AH27" s="22">
        <f t="shared" si="7"/>
        <v>3</v>
      </c>
      <c r="AI27" s="22">
        <f t="shared" si="18"/>
        <v>0</v>
      </c>
      <c r="AJ27" s="22">
        <f t="shared" si="19"/>
        <v>3</v>
      </c>
      <c r="AK27" s="22">
        <f t="shared" si="11"/>
        <v>5</v>
      </c>
    </row>
    <row r="28" spans="1:38" x14ac:dyDescent="0.2">
      <c r="A28">
        <v>2011</v>
      </c>
      <c r="B28" s="20" t="s">
        <v>46</v>
      </c>
      <c r="C28" s="12">
        <v>40710</v>
      </c>
      <c r="D28" s="3">
        <v>51</v>
      </c>
      <c r="E28" s="20" t="s">
        <v>65</v>
      </c>
      <c r="H28" s="26" t="s">
        <v>1</v>
      </c>
      <c r="I28" s="26" t="s">
        <v>1</v>
      </c>
      <c r="J28" s="1">
        <v>1</v>
      </c>
      <c r="K28" s="1">
        <v>0</v>
      </c>
      <c r="L28" s="1">
        <f t="shared" si="1"/>
        <v>1</v>
      </c>
      <c r="M28" s="1">
        <v>0.5</v>
      </c>
      <c r="N28" s="26" t="s">
        <v>1</v>
      </c>
      <c r="O28" s="26" t="s">
        <v>1</v>
      </c>
      <c r="P28" s="1">
        <v>0</v>
      </c>
      <c r="Q28" s="1">
        <v>0</v>
      </c>
      <c r="R28" s="1">
        <f t="shared" si="2"/>
        <v>0</v>
      </c>
      <c r="S28" s="1">
        <v>0</v>
      </c>
      <c r="T28" s="26" t="s">
        <v>1</v>
      </c>
      <c r="U28" s="26" t="s">
        <v>1</v>
      </c>
      <c r="V28" s="1">
        <v>0</v>
      </c>
      <c r="W28" s="1">
        <v>0</v>
      </c>
      <c r="X28" s="1">
        <f t="shared" si="3"/>
        <v>0</v>
      </c>
      <c r="Y28" s="1">
        <v>0</v>
      </c>
      <c r="Z28" s="26" t="s">
        <v>1</v>
      </c>
      <c r="AA28" s="26" t="s">
        <v>1</v>
      </c>
      <c r="AB28" s="1">
        <v>0</v>
      </c>
      <c r="AC28" s="26">
        <v>0</v>
      </c>
      <c r="AD28" s="1">
        <f t="shared" si="4"/>
        <v>0</v>
      </c>
      <c r="AE28" s="1">
        <v>0</v>
      </c>
      <c r="AF28" s="22">
        <f t="shared" si="16"/>
        <v>0</v>
      </c>
      <c r="AG28" s="22">
        <f t="shared" si="17"/>
        <v>0</v>
      </c>
      <c r="AH28" s="22">
        <f t="shared" si="7"/>
        <v>1</v>
      </c>
      <c r="AI28" s="22">
        <f t="shared" si="18"/>
        <v>0</v>
      </c>
      <c r="AJ28" s="22">
        <f t="shared" si="19"/>
        <v>1</v>
      </c>
      <c r="AK28" s="22">
        <f t="shared" si="11"/>
        <v>0.5</v>
      </c>
    </row>
    <row r="29" spans="1:38" x14ac:dyDescent="0.2">
      <c r="A29">
        <v>2011</v>
      </c>
      <c r="B29" s="20" t="s">
        <v>46</v>
      </c>
      <c r="C29" s="12">
        <v>40710</v>
      </c>
      <c r="D29" s="3">
        <v>51</v>
      </c>
      <c r="E29" s="20" t="s">
        <v>66</v>
      </c>
      <c r="H29" s="26" t="s">
        <v>1</v>
      </c>
      <c r="I29" s="26" t="s">
        <v>1</v>
      </c>
      <c r="J29" s="1">
        <v>2</v>
      </c>
      <c r="K29" s="1">
        <v>0</v>
      </c>
      <c r="L29" s="1">
        <f t="shared" si="1"/>
        <v>2</v>
      </c>
      <c r="M29" s="1">
        <v>1.5</v>
      </c>
      <c r="N29" s="26" t="s">
        <v>1</v>
      </c>
      <c r="O29" s="26" t="s">
        <v>1</v>
      </c>
      <c r="P29" s="1">
        <v>0</v>
      </c>
      <c r="Q29" s="1">
        <v>0</v>
      </c>
      <c r="R29" s="1">
        <f t="shared" si="2"/>
        <v>0</v>
      </c>
      <c r="S29" s="1">
        <v>0</v>
      </c>
      <c r="T29" s="26" t="s">
        <v>1</v>
      </c>
      <c r="U29" s="26" t="s">
        <v>1</v>
      </c>
      <c r="V29" s="1">
        <v>0</v>
      </c>
      <c r="W29" s="1">
        <v>0</v>
      </c>
      <c r="X29" s="1">
        <f t="shared" si="3"/>
        <v>0</v>
      </c>
      <c r="Y29" s="1">
        <v>0</v>
      </c>
      <c r="Z29" s="26" t="s">
        <v>1</v>
      </c>
      <c r="AA29" s="26" t="s">
        <v>1</v>
      </c>
      <c r="AB29" s="1">
        <v>0</v>
      </c>
      <c r="AC29" s="26">
        <v>0</v>
      </c>
      <c r="AD29" s="1">
        <f t="shared" si="4"/>
        <v>0</v>
      </c>
      <c r="AE29" s="1">
        <v>0</v>
      </c>
      <c r="AF29" s="22">
        <f t="shared" si="16"/>
        <v>0</v>
      </c>
      <c r="AG29" s="22">
        <f t="shared" si="17"/>
        <v>0</v>
      </c>
      <c r="AH29" s="22">
        <f t="shared" si="7"/>
        <v>2</v>
      </c>
      <c r="AI29" s="22">
        <f t="shared" si="18"/>
        <v>0</v>
      </c>
      <c r="AJ29" s="22">
        <f t="shared" si="19"/>
        <v>2</v>
      </c>
      <c r="AK29" s="22">
        <f t="shared" si="11"/>
        <v>1.5</v>
      </c>
    </row>
    <row r="30" spans="1:38" x14ac:dyDescent="0.2">
      <c r="A30">
        <v>2011</v>
      </c>
      <c r="B30" s="20" t="s">
        <v>46</v>
      </c>
      <c r="C30" s="12">
        <v>40710</v>
      </c>
      <c r="D30" s="3">
        <v>51</v>
      </c>
      <c r="E30" s="20" t="s">
        <v>67</v>
      </c>
      <c r="H30" s="26" t="s">
        <v>1</v>
      </c>
      <c r="I30" s="26" t="s">
        <v>1</v>
      </c>
      <c r="J30" s="1">
        <v>0</v>
      </c>
      <c r="K30" s="1">
        <v>0</v>
      </c>
      <c r="L30" s="1">
        <f t="shared" si="1"/>
        <v>0</v>
      </c>
      <c r="M30" s="1">
        <v>0</v>
      </c>
      <c r="N30" s="26" t="s">
        <v>1</v>
      </c>
      <c r="O30" s="26" t="s">
        <v>1</v>
      </c>
      <c r="P30" s="1">
        <v>1</v>
      </c>
      <c r="Q30" s="1">
        <v>0</v>
      </c>
      <c r="R30" s="1">
        <f t="shared" si="2"/>
        <v>1</v>
      </c>
      <c r="S30" s="1">
        <v>0.5</v>
      </c>
      <c r="T30" s="26" t="s">
        <v>1</v>
      </c>
      <c r="U30" s="26" t="s">
        <v>1</v>
      </c>
      <c r="V30" s="1">
        <v>0</v>
      </c>
      <c r="W30" s="1">
        <v>0</v>
      </c>
      <c r="X30" s="1">
        <f t="shared" si="3"/>
        <v>0</v>
      </c>
      <c r="Y30" s="1">
        <v>0</v>
      </c>
      <c r="Z30" s="26" t="s">
        <v>1</v>
      </c>
      <c r="AA30" s="26" t="s">
        <v>1</v>
      </c>
      <c r="AB30" s="1">
        <v>0</v>
      </c>
      <c r="AC30" s="26">
        <v>0</v>
      </c>
      <c r="AD30" s="1">
        <f t="shared" si="4"/>
        <v>0</v>
      </c>
      <c r="AE30" s="1">
        <v>0</v>
      </c>
      <c r="AF30" s="22">
        <f t="shared" si="16"/>
        <v>0</v>
      </c>
      <c r="AG30" s="22">
        <f t="shared" si="17"/>
        <v>0</v>
      </c>
      <c r="AH30" s="22">
        <f t="shared" si="7"/>
        <v>1</v>
      </c>
      <c r="AI30" s="22">
        <f t="shared" si="18"/>
        <v>0</v>
      </c>
      <c r="AJ30" s="22">
        <f t="shared" si="19"/>
        <v>1</v>
      </c>
      <c r="AK30" s="22">
        <f t="shared" si="11"/>
        <v>0.5</v>
      </c>
    </row>
    <row r="31" spans="1:38" x14ac:dyDescent="0.2">
      <c r="A31">
        <v>2011</v>
      </c>
      <c r="B31" s="20" t="s">
        <v>46</v>
      </c>
      <c r="C31" s="12">
        <v>40710</v>
      </c>
      <c r="D31" s="3">
        <v>51</v>
      </c>
      <c r="E31" s="20" t="s">
        <v>51</v>
      </c>
      <c r="H31" s="26" t="s">
        <v>1</v>
      </c>
      <c r="I31" s="26" t="s">
        <v>1</v>
      </c>
      <c r="J31" s="1">
        <v>0</v>
      </c>
      <c r="K31" s="1">
        <v>0</v>
      </c>
      <c r="L31" s="1">
        <f t="shared" si="1"/>
        <v>0</v>
      </c>
      <c r="M31" s="1">
        <v>0</v>
      </c>
      <c r="N31" s="26" t="s">
        <v>1</v>
      </c>
      <c r="O31" s="26" t="s">
        <v>1</v>
      </c>
      <c r="P31" s="1">
        <v>1</v>
      </c>
      <c r="Q31" s="1">
        <v>0</v>
      </c>
      <c r="R31" s="1">
        <f t="shared" si="2"/>
        <v>1</v>
      </c>
      <c r="S31" s="1">
        <v>3.5</v>
      </c>
      <c r="T31" s="26" t="s">
        <v>1</v>
      </c>
      <c r="U31" s="26" t="s">
        <v>1</v>
      </c>
      <c r="V31" s="1">
        <v>0</v>
      </c>
      <c r="W31" s="1">
        <v>0</v>
      </c>
      <c r="X31" s="1">
        <f t="shared" si="3"/>
        <v>0</v>
      </c>
      <c r="Y31" s="1">
        <v>0</v>
      </c>
      <c r="Z31" s="26" t="s">
        <v>1</v>
      </c>
      <c r="AA31" s="26" t="s">
        <v>1</v>
      </c>
      <c r="AB31" s="1">
        <v>0</v>
      </c>
      <c r="AC31" s="26">
        <v>0</v>
      </c>
      <c r="AD31" s="1">
        <f t="shared" si="4"/>
        <v>0</v>
      </c>
      <c r="AE31" s="1">
        <v>0</v>
      </c>
      <c r="AF31" s="22">
        <f t="shared" si="16"/>
        <v>0</v>
      </c>
      <c r="AG31" s="22">
        <f t="shared" si="17"/>
        <v>0</v>
      </c>
      <c r="AH31" s="22">
        <f t="shared" si="7"/>
        <v>1</v>
      </c>
      <c r="AI31" s="22">
        <f t="shared" si="18"/>
        <v>0</v>
      </c>
      <c r="AJ31" s="22">
        <f t="shared" si="19"/>
        <v>1</v>
      </c>
      <c r="AK31" s="22">
        <f t="shared" si="11"/>
        <v>3.5</v>
      </c>
    </row>
    <row r="32" spans="1:38" x14ac:dyDescent="0.2">
      <c r="A32">
        <v>2011</v>
      </c>
      <c r="B32" s="20" t="s">
        <v>46</v>
      </c>
      <c r="C32" s="12">
        <v>40710</v>
      </c>
      <c r="D32" s="3">
        <v>51</v>
      </c>
      <c r="E32" s="20" t="s">
        <v>54</v>
      </c>
      <c r="H32" s="26" t="s">
        <v>1</v>
      </c>
      <c r="I32" s="26" t="s">
        <v>1</v>
      </c>
      <c r="J32" s="1">
        <v>0</v>
      </c>
      <c r="K32" s="1">
        <v>0</v>
      </c>
      <c r="L32" s="1">
        <f t="shared" si="1"/>
        <v>0</v>
      </c>
      <c r="M32" s="1">
        <v>0</v>
      </c>
      <c r="N32" s="26" t="s">
        <v>1</v>
      </c>
      <c r="O32" s="26" t="s">
        <v>1</v>
      </c>
      <c r="P32" s="1">
        <v>2</v>
      </c>
      <c r="Q32" s="1">
        <v>0</v>
      </c>
      <c r="R32" s="1">
        <f t="shared" si="2"/>
        <v>2</v>
      </c>
      <c r="S32" s="1">
        <v>1.5</v>
      </c>
      <c r="T32" s="26" t="s">
        <v>1</v>
      </c>
      <c r="U32" s="26" t="s">
        <v>1</v>
      </c>
      <c r="V32" s="1">
        <v>0</v>
      </c>
      <c r="W32" s="1">
        <v>0</v>
      </c>
      <c r="X32" s="1">
        <f t="shared" si="3"/>
        <v>0</v>
      </c>
      <c r="Y32" s="1">
        <v>0</v>
      </c>
      <c r="Z32" s="26" t="s">
        <v>1</v>
      </c>
      <c r="AA32" s="26" t="s">
        <v>1</v>
      </c>
      <c r="AB32" s="1">
        <v>0</v>
      </c>
      <c r="AC32" s="26">
        <v>0</v>
      </c>
      <c r="AD32" s="1">
        <f t="shared" si="4"/>
        <v>0</v>
      </c>
      <c r="AE32" s="1">
        <v>0</v>
      </c>
      <c r="AF32" s="22">
        <f t="shared" si="16"/>
        <v>0</v>
      </c>
      <c r="AG32" s="22">
        <f t="shared" si="17"/>
        <v>0</v>
      </c>
      <c r="AH32" s="22">
        <f t="shared" si="7"/>
        <v>2</v>
      </c>
      <c r="AI32" s="22">
        <f t="shared" si="18"/>
        <v>0</v>
      </c>
      <c r="AJ32" s="22">
        <f t="shared" si="19"/>
        <v>2</v>
      </c>
      <c r="AK32" s="22">
        <f t="shared" si="11"/>
        <v>1.5</v>
      </c>
    </row>
    <row r="33" spans="1:38" x14ac:dyDescent="0.2">
      <c r="A33">
        <v>2011</v>
      </c>
      <c r="B33" s="20" t="s">
        <v>46</v>
      </c>
      <c r="C33" s="12">
        <v>40710</v>
      </c>
      <c r="D33" s="3">
        <v>51</v>
      </c>
      <c r="E33" s="20" t="s">
        <v>57</v>
      </c>
      <c r="H33" s="26" t="s">
        <v>1</v>
      </c>
      <c r="I33" s="26" t="s">
        <v>1</v>
      </c>
      <c r="J33" s="1">
        <v>0</v>
      </c>
      <c r="K33" s="1">
        <v>0</v>
      </c>
      <c r="L33" s="1">
        <f t="shared" si="1"/>
        <v>0</v>
      </c>
      <c r="M33" s="1">
        <v>0</v>
      </c>
      <c r="N33" s="26" t="s">
        <v>1</v>
      </c>
      <c r="O33" s="26" t="s">
        <v>1</v>
      </c>
      <c r="P33" s="1">
        <v>0</v>
      </c>
      <c r="Q33" s="1">
        <v>0</v>
      </c>
      <c r="R33" s="1">
        <f t="shared" si="2"/>
        <v>0</v>
      </c>
      <c r="S33" s="1">
        <v>0</v>
      </c>
      <c r="T33" s="26" t="s">
        <v>1</v>
      </c>
      <c r="U33" s="26" t="s">
        <v>1</v>
      </c>
      <c r="V33" s="1">
        <v>0</v>
      </c>
      <c r="W33" s="1">
        <v>1</v>
      </c>
      <c r="X33" s="1">
        <f t="shared" si="3"/>
        <v>1</v>
      </c>
      <c r="Y33" s="1">
        <v>25</v>
      </c>
      <c r="Z33" s="26" t="s">
        <v>1</v>
      </c>
      <c r="AA33" s="26" t="s">
        <v>1</v>
      </c>
      <c r="AB33" s="1">
        <v>0</v>
      </c>
      <c r="AC33" s="26">
        <v>0</v>
      </c>
      <c r="AD33" s="1">
        <f t="shared" si="4"/>
        <v>0</v>
      </c>
      <c r="AE33" s="1">
        <v>0</v>
      </c>
      <c r="AF33" s="22">
        <f t="shared" si="16"/>
        <v>0</v>
      </c>
      <c r="AG33" s="22">
        <f t="shared" si="17"/>
        <v>0</v>
      </c>
      <c r="AH33" s="22">
        <f t="shared" si="7"/>
        <v>0</v>
      </c>
      <c r="AI33" s="22">
        <f t="shared" si="18"/>
        <v>1</v>
      </c>
      <c r="AJ33" s="22">
        <f t="shared" si="19"/>
        <v>1</v>
      </c>
      <c r="AK33" s="22">
        <f t="shared" si="11"/>
        <v>25</v>
      </c>
    </row>
    <row r="34" spans="1:38" x14ac:dyDescent="0.2">
      <c r="A34">
        <v>2011</v>
      </c>
      <c r="B34" s="20" t="s">
        <v>46</v>
      </c>
      <c r="C34" s="12">
        <v>40710</v>
      </c>
      <c r="D34" s="3">
        <v>51</v>
      </c>
      <c r="E34" s="20" t="s">
        <v>61</v>
      </c>
      <c r="H34" s="26" t="s">
        <v>1</v>
      </c>
      <c r="I34" s="26" t="s">
        <v>1</v>
      </c>
      <c r="J34" s="1">
        <v>0</v>
      </c>
      <c r="K34" s="1">
        <v>0</v>
      </c>
      <c r="L34" s="1">
        <f t="shared" si="1"/>
        <v>0</v>
      </c>
      <c r="M34" s="1">
        <v>0</v>
      </c>
      <c r="N34" s="26" t="s">
        <v>1</v>
      </c>
      <c r="O34" s="26" t="s">
        <v>1</v>
      </c>
      <c r="P34" s="1">
        <v>0</v>
      </c>
      <c r="Q34" s="1">
        <v>0</v>
      </c>
      <c r="R34" s="1">
        <f t="shared" si="2"/>
        <v>0</v>
      </c>
      <c r="S34" s="1">
        <v>0</v>
      </c>
      <c r="T34" s="26" t="s">
        <v>1</v>
      </c>
      <c r="U34" s="26" t="s">
        <v>1</v>
      </c>
      <c r="V34" s="1">
        <v>2</v>
      </c>
      <c r="W34" s="1">
        <v>3</v>
      </c>
      <c r="X34" s="1">
        <f t="shared" si="3"/>
        <v>5</v>
      </c>
      <c r="Y34" s="1">
        <v>15</v>
      </c>
      <c r="Z34" s="26" t="s">
        <v>1</v>
      </c>
      <c r="AA34" s="26" t="s">
        <v>1</v>
      </c>
      <c r="AB34" s="1">
        <v>0</v>
      </c>
      <c r="AC34" s="26">
        <v>0</v>
      </c>
      <c r="AD34" s="1">
        <f t="shared" si="4"/>
        <v>0</v>
      </c>
      <c r="AE34" s="1">
        <v>0</v>
      </c>
      <c r="AF34" s="22">
        <f t="shared" si="16"/>
        <v>0</v>
      </c>
      <c r="AG34" s="22">
        <f t="shared" si="17"/>
        <v>0</v>
      </c>
      <c r="AH34" s="22">
        <f t="shared" si="7"/>
        <v>2</v>
      </c>
      <c r="AI34" s="22">
        <f t="shared" si="18"/>
        <v>3</v>
      </c>
      <c r="AJ34" s="22">
        <f t="shared" si="19"/>
        <v>5</v>
      </c>
      <c r="AK34" s="22">
        <f t="shared" si="11"/>
        <v>15</v>
      </c>
    </row>
    <row r="35" spans="1:38" x14ac:dyDescent="0.2">
      <c r="A35">
        <v>2011</v>
      </c>
      <c r="B35" s="20" t="s">
        <v>46</v>
      </c>
      <c r="C35" s="12">
        <v>40710</v>
      </c>
      <c r="D35" s="3">
        <v>51</v>
      </c>
      <c r="E35" s="20" t="s">
        <v>50</v>
      </c>
      <c r="H35" s="26" t="s">
        <v>1</v>
      </c>
      <c r="I35" s="26" t="s">
        <v>1</v>
      </c>
      <c r="J35" s="1">
        <v>0</v>
      </c>
      <c r="K35" s="1">
        <v>0</v>
      </c>
      <c r="L35" s="1">
        <f t="shared" si="1"/>
        <v>0</v>
      </c>
      <c r="M35" s="1">
        <v>0</v>
      </c>
      <c r="N35" s="26" t="s">
        <v>1</v>
      </c>
      <c r="O35" s="26" t="s">
        <v>1</v>
      </c>
      <c r="P35" s="1">
        <v>0</v>
      </c>
      <c r="Q35" s="1">
        <v>0</v>
      </c>
      <c r="R35" s="1">
        <f t="shared" si="2"/>
        <v>0</v>
      </c>
      <c r="S35" s="1">
        <v>0</v>
      </c>
      <c r="T35" s="26" t="s">
        <v>1</v>
      </c>
      <c r="U35" s="26" t="s">
        <v>1</v>
      </c>
      <c r="V35" s="1">
        <v>0</v>
      </c>
      <c r="W35" s="1">
        <v>0</v>
      </c>
      <c r="X35" s="1">
        <f t="shared" si="3"/>
        <v>0</v>
      </c>
      <c r="Y35" s="1">
        <v>0</v>
      </c>
      <c r="Z35" s="26" t="s">
        <v>1</v>
      </c>
      <c r="AA35" s="26" t="s">
        <v>1</v>
      </c>
      <c r="AB35" s="1">
        <v>1</v>
      </c>
      <c r="AC35" s="26">
        <v>0</v>
      </c>
      <c r="AD35" s="1">
        <f t="shared" si="4"/>
        <v>1</v>
      </c>
      <c r="AE35" s="1">
        <v>3.5</v>
      </c>
      <c r="AF35" s="22">
        <f t="shared" si="16"/>
        <v>0</v>
      </c>
      <c r="AG35" s="22">
        <f t="shared" si="17"/>
        <v>0</v>
      </c>
      <c r="AH35" s="22">
        <f t="shared" si="7"/>
        <v>1</v>
      </c>
      <c r="AI35" s="22">
        <f t="shared" si="18"/>
        <v>0</v>
      </c>
      <c r="AJ35" s="22">
        <f t="shared" si="19"/>
        <v>1</v>
      </c>
      <c r="AK35" s="22">
        <f t="shared" si="11"/>
        <v>3.5</v>
      </c>
    </row>
    <row r="36" spans="1:38" x14ac:dyDescent="0.2">
      <c r="A36">
        <v>2011</v>
      </c>
      <c r="B36" s="20" t="s">
        <v>46</v>
      </c>
      <c r="C36" s="12">
        <v>40710</v>
      </c>
      <c r="D36" s="3">
        <v>51</v>
      </c>
      <c r="E36" s="20" t="s">
        <v>55</v>
      </c>
      <c r="H36" s="26" t="s">
        <v>1</v>
      </c>
      <c r="I36" s="26" t="s">
        <v>1</v>
      </c>
      <c r="J36" s="1">
        <v>0</v>
      </c>
      <c r="K36" s="1">
        <v>0</v>
      </c>
      <c r="L36" s="1">
        <f t="shared" si="1"/>
        <v>0</v>
      </c>
      <c r="M36" s="1">
        <v>0</v>
      </c>
      <c r="N36" s="26" t="s">
        <v>1</v>
      </c>
      <c r="O36" s="26" t="s">
        <v>1</v>
      </c>
      <c r="P36" s="1">
        <v>0</v>
      </c>
      <c r="Q36" s="1">
        <v>0</v>
      </c>
      <c r="R36" s="1">
        <f t="shared" si="2"/>
        <v>0</v>
      </c>
      <c r="S36" s="1">
        <v>0</v>
      </c>
      <c r="T36" s="26" t="s">
        <v>1</v>
      </c>
      <c r="U36" s="26" t="s">
        <v>1</v>
      </c>
      <c r="V36" s="1">
        <v>0</v>
      </c>
      <c r="W36" s="1">
        <v>0</v>
      </c>
      <c r="X36" s="1">
        <f t="shared" si="3"/>
        <v>0</v>
      </c>
      <c r="Y36" s="1">
        <v>0</v>
      </c>
      <c r="Z36" s="26" t="s">
        <v>1</v>
      </c>
      <c r="AA36" s="26" t="s">
        <v>1</v>
      </c>
      <c r="AB36" s="1">
        <v>1</v>
      </c>
      <c r="AC36" s="26">
        <v>1</v>
      </c>
      <c r="AD36" s="1">
        <f t="shared" si="4"/>
        <v>2</v>
      </c>
      <c r="AE36" s="1">
        <v>3.5</v>
      </c>
      <c r="AF36" s="22">
        <f t="shared" si="16"/>
        <v>0</v>
      </c>
      <c r="AG36" s="22">
        <f t="shared" si="17"/>
        <v>0</v>
      </c>
      <c r="AH36" s="22">
        <f t="shared" si="7"/>
        <v>1</v>
      </c>
      <c r="AI36" s="22">
        <f t="shared" si="18"/>
        <v>1</v>
      </c>
      <c r="AJ36" s="22">
        <f t="shared" si="19"/>
        <v>2</v>
      </c>
      <c r="AK36" s="22">
        <f t="shared" si="11"/>
        <v>3.5</v>
      </c>
    </row>
    <row r="37" spans="1:38" s="36" customFormat="1" x14ac:dyDescent="0.2">
      <c r="A37" s="36">
        <v>2011</v>
      </c>
      <c r="B37" s="31" t="s">
        <v>46</v>
      </c>
      <c r="C37" s="38">
        <v>40710</v>
      </c>
      <c r="D37" s="39">
        <v>52</v>
      </c>
      <c r="E37" s="31" t="s">
        <v>47</v>
      </c>
      <c r="H37" s="35">
        <v>0</v>
      </c>
      <c r="I37" s="35">
        <v>68</v>
      </c>
      <c r="J37" s="35">
        <v>7</v>
      </c>
      <c r="K37" s="35">
        <v>0</v>
      </c>
      <c r="L37" s="35">
        <f t="shared" si="1"/>
        <v>75</v>
      </c>
      <c r="M37" s="35">
        <v>35</v>
      </c>
      <c r="N37" s="35">
        <v>0</v>
      </c>
      <c r="O37" s="35">
        <v>34</v>
      </c>
      <c r="P37" s="35">
        <v>0</v>
      </c>
      <c r="Q37" s="35">
        <v>0</v>
      </c>
      <c r="R37" s="35">
        <f t="shared" si="2"/>
        <v>34</v>
      </c>
      <c r="S37" s="35">
        <v>15</v>
      </c>
      <c r="T37" s="35">
        <v>0</v>
      </c>
      <c r="U37" s="35">
        <v>103</v>
      </c>
      <c r="V37" s="35">
        <v>6</v>
      </c>
      <c r="W37" s="35">
        <v>0</v>
      </c>
      <c r="X37" s="35">
        <f t="shared" si="3"/>
        <v>109</v>
      </c>
      <c r="Y37" s="35">
        <v>65</v>
      </c>
      <c r="Z37" s="35">
        <v>0</v>
      </c>
      <c r="AA37" s="35">
        <v>61</v>
      </c>
      <c r="AB37" s="35">
        <v>7</v>
      </c>
      <c r="AC37" s="35">
        <v>0</v>
      </c>
      <c r="AD37" s="35">
        <f t="shared" si="4"/>
        <v>68</v>
      </c>
      <c r="AE37" s="35">
        <v>45</v>
      </c>
      <c r="AF37" s="40">
        <f t="shared" ref="AF37:AF41" si="20">SUM(H37,N37,T37,Z37)</f>
        <v>0</v>
      </c>
      <c r="AG37" s="40">
        <f t="shared" ref="AG37:AG41" si="21">SUM(I37,O37,U37,AA37)</f>
        <v>266</v>
      </c>
      <c r="AH37" s="40">
        <f t="shared" si="7"/>
        <v>20</v>
      </c>
      <c r="AI37" s="40">
        <f t="shared" si="18"/>
        <v>0</v>
      </c>
      <c r="AJ37" s="40">
        <f t="shared" si="19"/>
        <v>286</v>
      </c>
      <c r="AK37" s="40">
        <f t="shared" si="11"/>
        <v>160</v>
      </c>
      <c r="AL37" s="41"/>
    </row>
    <row r="38" spans="1:38" x14ac:dyDescent="0.2">
      <c r="A38">
        <v>2011</v>
      </c>
      <c r="B38" s="20" t="s">
        <v>46</v>
      </c>
      <c r="C38" s="12">
        <v>40710</v>
      </c>
      <c r="D38" s="3">
        <v>52</v>
      </c>
      <c r="E38" s="20" t="s">
        <v>61</v>
      </c>
      <c r="H38" s="26" t="s">
        <v>1</v>
      </c>
      <c r="I38" s="26" t="s">
        <v>1</v>
      </c>
      <c r="J38" s="1">
        <v>2</v>
      </c>
      <c r="K38" s="1">
        <v>5</v>
      </c>
      <c r="L38" s="1">
        <f t="shared" si="1"/>
        <v>7</v>
      </c>
      <c r="M38" s="1">
        <v>25</v>
      </c>
      <c r="N38" s="26" t="s">
        <v>1</v>
      </c>
      <c r="O38" s="26" t="s">
        <v>1</v>
      </c>
      <c r="P38" s="1">
        <v>0</v>
      </c>
      <c r="Q38" s="1">
        <v>0</v>
      </c>
      <c r="R38" s="1">
        <f t="shared" si="2"/>
        <v>0</v>
      </c>
      <c r="S38" s="1">
        <v>0</v>
      </c>
      <c r="T38" s="26" t="s">
        <v>1</v>
      </c>
      <c r="U38" s="26" t="s">
        <v>1</v>
      </c>
      <c r="V38" s="1">
        <v>0</v>
      </c>
      <c r="W38" s="1">
        <v>0</v>
      </c>
      <c r="X38" s="1">
        <f t="shared" si="3"/>
        <v>0</v>
      </c>
      <c r="Y38" s="1">
        <v>0</v>
      </c>
      <c r="Z38" s="26" t="s">
        <v>1</v>
      </c>
      <c r="AA38" s="26" t="s">
        <v>1</v>
      </c>
      <c r="AB38" s="1">
        <v>1</v>
      </c>
      <c r="AC38" s="1">
        <v>0</v>
      </c>
      <c r="AD38" s="1">
        <f t="shared" si="4"/>
        <v>1</v>
      </c>
      <c r="AE38" s="1">
        <v>1.5</v>
      </c>
      <c r="AF38" s="22">
        <f t="shared" si="20"/>
        <v>0</v>
      </c>
      <c r="AG38" s="22">
        <f t="shared" si="21"/>
        <v>0</v>
      </c>
      <c r="AH38" s="22">
        <f t="shared" si="7"/>
        <v>3</v>
      </c>
      <c r="AI38" s="22">
        <f t="shared" si="18"/>
        <v>5</v>
      </c>
      <c r="AJ38" s="22">
        <f t="shared" si="19"/>
        <v>8</v>
      </c>
      <c r="AK38" s="22">
        <f t="shared" si="11"/>
        <v>26.5</v>
      </c>
    </row>
    <row r="39" spans="1:38" x14ac:dyDescent="0.2">
      <c r="A39">
        <v>2011</v>
      </c>
      <c r="B39" s="20" t="s">
        <v>46</v>
      </c>
      <c r="C39" s="12">
        <v>40710</v>
      </c>
      <c r="D39" s="3">
        <v>52</v>
      </c>
      <c r="E39" s="20" t="s">
        <v>64</v>
      </c>
      <c r="H39" s="26" t="s">
        <v>1</v>
      </c>
      <c r="I39" s="26" t="s">
        <v>1</v>
      </c>
      <c r="J39" s="1">
        <v>1</v>
      </c>
      <c r="K39" s="1">
        <v>0</v>
      </c>
      <c r="L39" s="1">
        <f t="shared" si="1"/>
        <v>1</v>
      </c>
      <c r="M39" s="1">
        <v>1.5</v>
      </c>
      <c r="N39" s="26" t="s">
        <v>1</v>
      </c>
      <c r="O39" s="26" t="s">
        <v>1</v>
      </c>
      <c r="P39" s="1">
        <v>0</v>
      </c>
      <c r="Q39" s="1">
        <v>0</v>
      </c>
      <c r="R39" s="1">
        <f t="shared" si="2"/>
        <v>0</v>
      </c>
      <c r="S39" s="1">
        <v>0</v>
      </c>
      <c r="T39" s="26" t="s">
        <v>1</v>
      </c>
      <c r="U39" s="26" t="s">
        <v>1</v>
      </c>
      <c r="V39" s="1">
        <v>0</v>
      </c>
      <c r="W39" s="1">
        <v>0</v>
      </c>
      <c r="X39" s="1">
        <f t="shared" si="3"/>
        <v>0</v>
      </c>
      <c r="Y39" s="1">
        <v>0</v>
      </c>
      <c r="Z39" s="26" t="s">
        <v>1</v>
      </c>
      <c r="AA39" s="26" t="s">
        <v>1</v>
      </c>
      <c r="AB39" s="1">
        <v>0</v>
      </c>
      <c r="AC39" s="1">
        <v>1</v>
      </c>
      <c r="AD39" s="1">
        <f t="shared" si="4"/>
        <v>1</v>
      </c>
      <c r="AE39" s="1">
        <v>8</v>
      </c>
      <c r="AF39" s="22">
        <f t="shared" si="20"/>
        <v>0</v>
      </c>
      <c r="AG39" s="22">
        <f t="shared" si="21"/>
        <v>0</v>
      </c>
      <c r="AH39" s="22">
        <f t="shared" si="7"/>
        <v>1</v>
      </c>
      <c r="AI39" s="22">
        <f t="shared" si="18"/>
        <v>1</v>
      </c>
      <c r="AJ39" s="22">
        <f t="shared" si="19"/>
        <v>2</v>
      </c>
      <c r="AK39" s="22">
        <f t="shared" si="11"/>
        <v>9.5</v>
      </c>
    </row>
    <row r="40" spans="1:38" x14ac:dyDescent="0.2">
      <c r="A40">
        <v>2011</v>
      </c>
      <c r="B40" s="20" t="s">
        <v>46</v>
      </c>
      <c r="C40" s="12">
        <v>40710</v>
      </c>
      <c r="D40" s="3">
        <v>52</v>
      </c>
      <c r="E40" s="20" t="s">
        <v>50</v>
      </c>
      <c r="H40" s="26" t="s">
        <v>1</v>
      </c>
      <c r="I40" s="26" t="s">
        <v>1</v>
      </c>
      <c r="J40" s="1">
        <v>2</v>
      </c>
      <c r="K40" s="1">
        <v>0</v>
      </c>
      <c r="L40" s="1">
        <f t="shared" si="1"/>
        <v>2</v>
      </c>
      <c r="M40" s="1">
        <v>3.5</v>
      </c>
      <c r="N40" s="26" t="s">
        <v>1</v>
      </c>
      <c r="O40" s="26" t="s">
        <v>1</v>
      </c>
      <c r="P40" s="1">
        <v>1</v>
      </c>
      <c r="Q40" s="1">
        <v>0</v>
      </c>
      <c r="R40" s="1">
        <f t="shared" si="2"/>
        <v>1</v>
      </c>
      <c r="S40" s="1">
        <v>3.5</v>
      </c>
      <c r="T40" s="26" t="s">
        <v>1</v>
      </c>
      <c r="U40" s="26" t="s">
        <v>1</v>
      </c>
      <c r="V40" s="1">
        <v>0</v>
      </c>
      <c r="W40" s="1">
        <v>0</v>
      </c>
      <c r="X40" s="1">
        <f t="shared" si="3"/>
        <v>0</v>
      </c>
      <c r="Y40" s="1">
        <v>0</v>
      </c>
      <c r="Z40" s="26" t="s">
        <v>1</v>
      </c>
      <c r="AA40" s="26" t="s">
        <v>1</v>
      </c>
      <c r="AB40" s="1">
        <v>8</v>
      </c>
      <c r="AC40" s="1">
        <v>0</v>
      </c>
      <c r="AD40" s="1">
        <f t="shared" si="4"/>
        <v>8</v>
      </c>
      <c r="AE40" s="1">
        <v>8</v>
      </c>
      <c r="AF40" s="22">
        <f t="shared" si="20"/>
        <v>0</v>
      </c>
      <c r="AG40" s="22">
        <f t="shared" si="21"/>
        <v>0</v>
      </c>
      <c r="AH40" s="22">
        <f t="shared" si="7"/>
        <v>11</v>
      </c>
      <c r="AI40" s="22">
        <f t="shared" si="18"/>
        <v>0</v>
      </c>
      <c r="AJ40" s="22">
        <f t="shared" si="19"/>
        <v>11</v>
      </c>
      <c r="AK40" s="22">
        <f t="shared" si="11"/>
        <v>15</v>
      </c>
    </row>
    <row r="41" spans="1:38" x14ac:dyDescent="0.2">
      <c r="A41">
        <v>2011</v>
      </c>
      <c r="B41" s="20" t="s">
        <v>46</v>
      </c>
      <c r="C41" s="12">
        <v>40710</v>
      </c>
      <c r="D41" s="3">
        <v>52</v>
      </c>
      <c r="E41" s="20" t="s">
        <v>68</v>
      </c>
      <c r="H41" s="26" t="s">
        <v>1</v>
      </c>
      <c r="I41" s="26" t="s">
        <v>1</v>
      </c>
      <c r="J41" s="1">
        <v>0</v>
      </c>
      <c r="K41" s="1">
        <v>0</v>
      </c>
      <c r="L41" s="1">
        <f t="shared" si="1"/>
        <v>0</v>
      </c>
      <c r="M41" s="1">
        <v>0</v>
      </c>
      <c r="N41" s="26" t="s">
        <v>1</v>
      </c>
      <c r="O41" s="26" t="s">
        <v>1</v>
      </c>
      <c r="P41" s="1">
        <v>1</v>
      </c>
      <c r="Q41" s="1">
        <v>0</v>
      </c>
      <c r="R41" s="1">
        <f t="shared" si="2"/>
        <v>1</v>
      </c>
      <c r="S41" s="1">
        <v>8</v>
      </c>
      <c r="T41" s="26" t="s">
        <v>1</v>
      </c>
      <c r="U41" s="26" t="s">
        <v>1</v>
      </c>
      <c r="V41" s="1">
        <v>0</v>
      </c>
      <c r="W41" s="1">
        <v>0</v>
      </c>
      <c r="X41" s="1">
        <f t="shared" si="3"/>
        <v>0</v>
      </c>
      <c r="Y41" s="1">
        <v>0</v>
      </c>
      <c r="Z41" s="26" t="s">
        <v>1</v>
      </c>
      <c r="AA41" s="26" t="s">
        <v>1</v>
      </c>
      <c r="AB41" s="1">
        <v>0</v>
      </c>
      <c r="AC41" s="1">
        <v>0</v>
      </c>
      <c r="AD41" s="1">
        <f t="shared" si="4"/>
        <v>0</v>
      </c>
      <c r="AE41" s="1">
        <v>0</v>
      </c>
      <c r="AF41" s="22">
        <f t="shared" si="20"/>
        <v>0</v>
      </c>
      <c r="AG41" s="22">
        <f t="shared" si="21"/>
        <v>0</v>
      </c>
      <c r="AH41" s="22">
        <f t="shared" si="7"/>
        <v>1</v>
      </c>
      <c r="AI41" s="22">
        <f t="shared" si="18"/>
        <v>0</v>
      </c>
      <c r="AJ41" s="22">
        <f t="shared" si="19"/>
        <v>1</v>
      </c>
      <c r="AK41" s="22">
        <f t="shared" si="11"/>
        <v>8</v>
      </c>
    </row>
    <row r="42" spans="1:38" s="36" customFormat="1" x14ac:dyDescent="0.2">
      <c r="A42" s="36">
        <v>2011</v>
      </c>
      <c r="B42" s="31" t="s">
        <v>46</v>
      </c>
      <c r="C42" s="38">
        <v>40717</v>
      </c>
      <c r="D42" s="39">
        <v>53</v>
      </c>
      <c r="E42" s="31" t="s">
        <v>47</v>
      </c>
      <c r="H42" s="35">
        <v>0</v>
      </c>
      <c r="I42" s="35">
        <v>70</v>
      </c>
      <c r="J42" s="35">
        <v>5</v>
      </c>
      <c r="K42" s="35">
        <v>1</v>
      </c>
      <c r="L42" s="35">
        <f t="shared" si="1"/>
        <v>76</v>
      </c>
      <c r="M42" s="35">
        <v>15</v>
      </c>
      <c r="N42" s="35">
        <v>0</v>
      </c>
      <c r="O42" s="35">
        <v>89</v>
      </c>
      <c r="P42" s="35">
        <v>25</v>
      </c>
      <c r="Q42" s="35">
        <v>1</v>
      </c>
      <c r="R42" s="35">
        <f t="shared" si="2"/>
        <v>115</v>
      </c>
      <c r="S42" s="35">
        <v>75</v>
      </c>
      <c r="T42" s="35">
        <v>0</v>
      </c>
      <c r="U42" s="35">
        <v>18</v>
      </c>
      <c r="V42" s="35">
        <v>6</v>
      </c>
      <c r="W42" s="35">
        <v>0</v>
      </c>
      <c r="X42" s="35">
        <f t="shared" si="3"/>
        <v>24</v>
      </c>
      <c r="Y42" s="35">
        <v>25</v>
      </c>
      <c r="Z42" s="35">
        <v>0</v>
      </c>
      <c r="AA42" s="35">
        <v>33</v>
      </c>
      <c r="AB42" s="35">
        <v>1</v>
      </c>
      <c r="AC42" s="35">
        <v>0</v>
      </c>
      <c r="AD42" s="35">
        <f t="shared" si="4"/>
        <v>34</v>
      </c>
      <c r="AE42" s="35">
        <v>8</v>
      </c>
      <c r="AF42" s="40">
        <f t="shared" ref="AF42:AF53" si="22">SUM(H42,N42,T42,Z42)</f>
        <v>0</v>
      </c>
      <c r="AG42" s="40">
        <f t="shared" ref="AG42:AG53" si="23">SUM(I42,O42,U42,AA42)</f>
        <v>210</v>
      </c>
      <c r="AH42" s="40">
        <f t="shared" si="7"/>
        <v>37</v>
      </c>
      <c r="AI42" s="40">
        <f t="shared" ref="AI42:AI62" si="24">SUM(K42,Q42,W42,AC42)</f>
        <v>2</v>
      </c>
      <c r="AJ42" s="40">
        <f t="shared" ref="AJ42:AJ62" si="25">SUM(AF42:AI42)</f>
        <v>249</v>
      </c>
      <c r="AK42" s="40">
        <f t="shared" si="11"/>
        <v>123</v>
      </c>
      <c r="AL42" s="41" t="s">
        <v>69</v>
      </c>
    </row>
    <row r="43" spans="1:38" x14ac:dyDescent="0.2">
      <c r="A43">
        <v>2011</v>
      </c>
      <c r="B43" s="20" t="s">
        <v>46</v>
      </c>
      <c r="C43" s="12">
        <v>40717</v>
      </c>
      <c r="D43" s="3">
        <v>53</v>
      </c>
      <c r="E43" s="20" t="s">
        <v>70</v>
      </c>
      <c r="H43" s="26" t="s">
        <v>1</v>
      </c>
      <c r="I43" s="26" t="s">
        <v>1</v>
      </c>
      <c r="J43" s="1">
        <v>3</v>
      </c>
      <c r="K43" s="1">
        <v>0</v>
      </c>
      <c r="L43" s="1">
        <f t="shared" si="1"/>
        <v>3</v>
      </c>
      <c r="M43" s="35">
        <v>8</v>
      </c>
      <c r="N43" s="26" t="s">
        <v>1</v>
      </c>
      <c r="O43" s="26" t="s">
        <v>1</v>
      </c>
      <c r="P43" s="1">
        <v>0</v>
      </c>
      <c r="Q43" s="1">
        <v>0</v>
      </c>
      <c r="R43" s="1">
        <f t="shared" si="2"/>
        <v>0</v>
      </c>
      <c r="S43" s="1">
        <v>0</v>
      </c>
      <c r="T43" s="26" t="s">
        <v>1</v>
      </c>
      <c r="U43" s="26" t="s">
        <v>1</v>
      </c>
      <c r="V43" s="1">
        <v>0</v>
      </c>
      <c r="W43" s="1">
        <v>0</v>
      </c>
      <c r="X43" s="1">
        <f t="shared" si="3"/>
        <v>0</v>
      </c>
      <c r="Y43" s="1">
        <v>0</v>
      </c>
      <c r="Z43" s="26" t="s">
        <v>1</v>
      </c>
      <c r="AA43" s="26" t="s">
        <v>1</v>
      </c>
      <c r="AB43" s="1">
        <v>1</v>
      </c>
      <c r="AC43" s="1">
        <v>0</v>
      </c>
      <c r="AD43" s="1">
        <f t="shared" si="4"/>
        <v>1</v>
      </c>
      <c r="AE43" s="1">
        <v>0.5</v>
      </c>
      <c r="AF43" s="22">
        <f t="shared" si="22"/>
        <v>0</v>
      </c>
      <c r="AG43" s="22">
        <f t="shared" si="23"/>
        <v>0</v>
      </c>
      <c r="AH43" s="22">
        <f t="shared" si="7"/>
        <v>4</v>
      </c>
      <c r="AI43" s="22">
        <f t="shared" si="24"/>
        <v>0</v>
      </c>
      <c r="AJ43" s="22">
        <f t="shared" si="25"/>
        <v>4</v>
      </c>
      <c r="AK43" s="22" t="e">
        <f>#REF!+S43+Y43+AE43</f>
        <v>#REF!</v>
      </c>
    </row>
    <row r="44" spans="1:38" x14ac:dyDescent="0.2">
      <c r="A44">
        <v>2011</v>
      </c>
      <c r="B44" s="20" t="s">
        <v>46</v>
      </c>
      <c r="C44" s="12">
        <v>40717</v>
      </c>
      <c r="D44" s="3">
        <v>53</v>
      </c>
      <c r="E44" s="20" t="s">
        <v>71</v>
      </c>
      <c r="H44" s="26" t="s">
        <v>1</v>
      </c>
      <c r="I44" s="26" t="s">
        <v>1</v>
      </c>
      <c r="J44" s="1">
        <v>9</v>
      </c>
      <c r="K44" s="1">
        <v>0</v>
      </c>
      <c r="L44" s="1">
        <f t="shared" si="1"/>
        <v>9</v>
      </c>
      <c r="M44" s="35">
        <v>8</v>
      </c>
      <c r="N44" s="26" t="s">
        <v>1</v>
      </c>
      <c r="O44" s="26" t="s">
        <v>1</v>
      </c>
      <c r="P44" s="1">
        <v>0</v>
      </c>
      <c r="Q44" s="1">
        <v>0</v>
      </c>
      <c r="R44" s="1">
        <f t="shared" si="2"/>
        <v>0</v>
      </c>
      <c r="S44" s="1">
        <v>0</v>
      </c>
      <c r="T44" s="26" t="s">
        <v>1</v>
      </c>
      <c r="U44" s="26" t="s">
        <v>1</v>
      </c>
      <c r="V44" s="1">
        <v>1</v>
      </c>
      <c r="W44" s="1">
        <v>0</v>
      </c>
      <c r="X44" s="1">
        <f t="shared" si="3"/>
        <v>1</v>
      </c>
      <c r="Y44" s="1">
        <v>1.5</v>
      </c>
      <c r="Z44" s="26" t="s">
        <v>1</v>
      </c>
      <c r="AA44" s="26" t="s">
        <v>1</v>
      </c>
      <c r="AB44" s="1">
        <v>0</v>
      </c>
      <c r="AC44" s="1">
        <v>0</v>
      </c>
      <c r="AD44" s="1">
        <f t="shared" si="4"/>
        <v>0</v>
      </c>
      <c r="AE44" s="1">
        <v>0</v>
      </c>
      <c r="AF44" s="22">
        <f t="shared" si="22"/>
        <v>0</v>
      </c>
      <c r="AG44" s="22">
        <f t="shared" si="23"/>
        <v>0</v>
      </c>
      <c r="AH44" s="22">
        <f t="shared" si="7"/>
        <v>10</v>
      </c>
      <c r="AI44" s="22">
        <f t="shared" si="24"/>
        <v>0</v>
      </c>
      <c r="AJ44" s="22">
        <f t="shared" si="25"/>
        <v>10</v>
      </c>
      <c r="AK44" s="22">
        <f>M43+S44+Y44+AE44</f>
        <v>9.5</v>
      </c>
    </row>
    <row r="45" spans="1:38" x14ac:dyDescent="0.2">
      <c r="A45">
        <v>2011</v>
      </c>
      <c r="B45" s="20" t="s">
        <v>46</v>
      </c>
      <c r="C45" s="12">
        <v>40717</v>
      </c>
      <c r="D45" s="3">
        <v>53</v>
      </c>
      <c r="E45" s="20" t="s">
        <v>72</v>
      </c>
      <c r="H45" s="26" t="s">
        <v>1</v>
      </c>
      <c r="I45" s="26" t="s">
        <v>1</v>
      </c>
      <c r="J45" s="1">
        <v>1</v>
      </c>
      <c r="K45" s="1">
        <v>0</v>
      </c>
      <c r="L45" s="1">
        <f t="shared" si="1"/>
        <v>1</v>
      </c>
      <c r="M45" s="35">
        <v>3.5</v>
      </c>
      <c r="N45" s="26" t="s">
        <v>1</v>
      </c>
      <c r="O45" s="26" t="s">
        <v>1</v>
      </c>
      <c r="P45" s="1">
        <v>2</v>
      </c>
      <c r="Q45" s="1">
        <v>0</v>
      </c>
      <c r="R45" s="1">
        <f t="shared" si="2"/>
        <v>2</v>
      </c>
      <c r="S45" s="1">
        <v>8</v>
      </c>
      <c r="T45" s="26" t="s">
        <v>1</v>
      </c>
      <c r="U45" s="26" t="s">
        <v>1</v>
      </c>
      <c r="V45" s="1">
        <v>0</v>
      </c>
      <c r="W45" s="1">
        <v>0</v>
      </c>
      <c r="X45" s="1">
        <f t="shared" si="3"/>
        <v>0</v>
      </c>
      <c r="Y45" s="1">
        <v>0</v>
      </c>
      <c r="Z45" s="26" t="s">
        <v>1</v>
      </c>
      <c r="AA45" s="26" t="s">
        <v>1</v>
      </c>
      <c r="AB45" s="1">
        <v>0</v>
      </c>
      <c r="AC45" s="1">
        <v>0</v>
      </c>
      <c r="AD45" s="1">
        <f t="shared" si="4"/>
        <v>0</v>
      </c>
      <c r="AE45" s="1">
        <v>0</v>
      </c>
      <c r="AF45" s="22">
        <f t="shared" si="22"/>
        <v>0</v>
      </c>
      <c r="AG45" s="22">
        <f t="shared" si="23"/>
        <v>0</v>
      </c>
      <c r="AH45" s="22">
        <f t="shared" si="7"/>
        <v>3</v>
      </c>
      <c r="AI45" s="22">
        <f t="shared" si="24"/>
        <v>0</v>
      </c>
      <c r="AJ45" s="22">
        <f t="shared" si="25"/>
        <v>3</v>
      </c>
      <c r="AK45" s="22">
        <f>M44+S45+Y45+AE45</f>
        <v>16</v>
      </c>
    </row>
    <row r="46" spans="1:38" x14ac:dyDescent="0.2">
      <c r="A46">
        <v>2011</v>
      </c>
      <c r="B46" s="20" t="s">
        <v>46</v>
      </c>
      <c r="C46" s="12">
        <v>40717</v>
      </c>
      <c r="D46" s="3">
        <v>53</v>
      </c>
      <c r="E46" s="20" t="s">
        <v>51</v>
      </c>
      <c r="H46" s="26" t="s">
        <v>1</v>
      </c>
      <c r="I46" s="26" t="s">
        <v>1</v>
      </c>
      <c r="J46" s="1">
        <v>1</v>
      </c>
      <c r="K46" s="1">
        <v>0</v>
      </c>
      <c r="L46" s="1">
        <f t="shared" si="1"/>
        <v>1</v>
      </c>
      <c r="M46" s="35">
        <v>3.5</v>
      </c>
      <c r="N46" s="26" t="s">
        <v>1</v>
      </c>
      <c r="O46" s="26" t="s">
        <v>1</v>
      </c>
      <c r="P46" s="1">
        <v>0</v>
      </c>
      <c r="Q46" s="1">
        <v>0</v>
      </c>
      <c r="R46" s="1">
        <f t="shared" si="2"/>
        <v>0</v>
      </c>
      <c r="S46" s="1">
        <v>0</v>
      </c>
      <c r="T46" s="26" t="s">
        <v>1</v>
      </c>
      <c r="U46" s="26" t="s">
        <v>1</v>
      </c>
      <c r="V46" s="1">
        <v>0</v>
      </c>
      <c r="W46" s="1">
        <v>0</v>
      </c>
      <c r="X46" s="1">
        <f t="shared" si="3"/>
        <v>0</v>
      </c>
      <c r="Y46" s="1">
        <v>0</v>
      </c>
      <c r="Z46" s="26" t="s">
        <v>1</v>
      </c>
      <c r="AA46" s="26" t="s">
        <v>1</v>
      </c>
      <c r="AB46" s="1">
        <v>0</v>
      </c>
      <c r="AC46" s="1">
        <v>0</v>
      </c>
      <c r="AD46" s="1">
        <f t="shared" si="4"/>
        <v>0</v>
      </c>
      <c r="AE46" s="1">
        <v>0</v>
      </c>
      <c r="AF46" s="22">
        <f t="shared" si="22"/>
        <v>0</v>
      </c>
      <c r="AG46" s="22">
        <f t="shared" si="23"/>
        <v>0</v>
      </c>
      <c r="AH46" s="22">
        <f t="shared" si="7"/>
        <v>1</v>
      </c>
      <c r="AI46" s="22">
        <f t="shared" si="24"/>
        <v>0</v>
      </c>
      <c r="AJ46" s="22">
        <f t="shared" si="25"/>
        <v>1</v>
      </c>
      <c r="AK46" s="22">
        <f>M45+S46+Y46+AE46</f>
        <v>3.5</v>
      </c>
    </row>
    <row r="47" spans="1:38" x14ac:dyDescent="0.2">
      <c r="A47">
        <v>2011</v>
      </c>
      <c r="B47" s="20" t="s">
        <v>46</v>
      </c>
      <c r="C47" s="12">
        <v>40717</v>
      </c>
      <c r="D47" s="3">
        <v>53</v>
      </c>
      <c r="E47" s="20" t="s">
        <v>73</v>
      </c>
      <c r="H47" s="26" t="s">
        <v>1</v>
      </c>
      <c r="I47" s="26" t="s">
        <v>1</v>
      </c>
      <c r="J47" s="1">
        <v>0</v>
      </c>
      <c r="K47" s="1">
        <v>0</v>
      </c>
      <c r="L47" s="1">
        <f t="shared" si="1"/>
        <v>0</v>
      </c>
      <c r="M47" s="35">
        <v>0</v>
      </c>
      <c r="N47" s="26" t="s">
        <v>1</v>
      </c>
      <c r="O47" s="26" t="s">
        <v>1</v>
      </c>
      <c r="P47" s="1">
        <v>1</v>
      </c>
      <c r="Q47" s="1">
        <v>1</v>
      </c>
      <c r="R47" s="1">
        <f t="shared" si="2"/>
        <v>2</v>
      </c>
      <c r="S47" s="1">
        <v>3.5</v>
      </c>
      <c r="T47" s="26" t="s">
        <v>1</v>
      </c>
      <c r="U47" s="26" t="s">
        <v>1</v>
      </c>
      <c r="V47" s="1">
        <v>0</v>
      </c>
      <c r="W47" s="1">
        <v>1</v>
      </c>
      <c r="X47" s="1">
        <f t="shared" si="3"/>
        <v>1</v>
      </c>
      <c r="Y47" s="1">
        <v>1.5</v>
      </c>
      <c r="Z47" s="26" t="s">
        <v>1</v>
      </c>
      <c r="AA47" s="26" t="s">
        <v>1</v>
      </c>
      <c r="AB47" s="1">
        <v>0</v>
      </c>
      <c r="AC47" s="1">
        <v>0</v>
      </c>
      <c r="AD47" s="1">
        <f t="shared" si="4"/>
        <v>0</v>
      </c>
      <c r="AE47" s="1">
        <v>0</v>
      </c>
      <c r="AF47" s="22">
        <f t="shared" si="22"/>
        <v>0</v>
      </c>
      <c r="AG47" s="22">
        <f t="shared" si="23"/>
        <v>0</v>
      </c>
      <c r="AH47" s="22">
        <f t="shared" si="7"/>
        <v>1</v>
      </c>
      <c r="AI47" s="22">
        <f t="shared" si="24"/>
        <v>2</v>
      </c>
      <c r="AJ47" s="22">
        <f t="shared" si="25"/>
        <v>3</v>
      </c>
      <c r="AK47" s="22">
        <f>M46+S47+Y47+AE47</f>
        <v>8.5</v>
      </c>
    </row>
    <row r="48" spans="1:38" x14ac:dyDescent="0.2">
      <c r="A48">
        <v>2011</v>
      </c>
      <c r="B48" s="20" t="s">
        <v>46</v>
      </c>
      <c r="C48" s="12">
        <v>40717</v>
      </c>
      <c r="D48" s="3">
        <v>53</v>
      </c>
      <c r="E48" s="20" t="s">
        <v>53</v>
      </c>
      <c r="H48" s="1">
        <v>0</v>
      </c>
      <c r="I48" s="1">
        <v>0</v>
      </c>
      <c r="J48" s="1">
        <v>0</v>
      </c>
      <c r="K48" s="1">
        <v>0</v>
      </c>
      <c r="L48" s="1">
        <f t="shared" si="1"/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f t="shared" si="2"/>
        <v>0</v>
      </c>
      <c r="S48" s="1">
        <v>0</v>
      </c>
      <c r="T48" s="1">
        <v>0</v>
      </c>
      <c r="U48" s="1">
        <v>0</v>
      </c>
      <c r="V48" s="1">
        <v>0</v>
      </c>
      <c r="W48" s="1">
        <v>1</v>
      </c>
      <c r="X48" s="1">
        <f t="shared" si="3"/>
        <v>1</v>
      </c>
      <c r="Y48" s="1">
        <v>8</v>
      </c>
      <c r="Z48" s="1">
        <v>0</v>
      </c>
      <c r="AA48" s="1">
        <v>0</v>
      </c>
      <c r="AB48" s="1">
        <v>0</v>
      </c>
      <c r="AC48" s="1">
        <v>0</v>
      </c>
      <c r="AD48" s="1">
        <f t="shared" si="4"/>
        <v>0</v>
      </c>
      <c r="AE48" s="1">
        <v>0</v>
      </c>
      <c r="AF48" s="22">
        <f t="shared" si="22"/>
        <v>0</v>
      </c>
      <c r="AG48" s="22">
        <f t="shared" si="23"/>
        <v>0</v>
      </c>
      <c r="AH48" s="22">
        <f t="shared" si="7"/>
        <v>0</v>
      </c>
      <c r="AI48" s="22">
        <f t="shared" si="24"/>
        <v>1</v>
      </c>
      <c r="AJ48" s="22">
        <f t="shared" si="25"/>
        <v>1</v>
      </c>
      <c r="AK48" s="22">
        <f t="shared" si="11"/>
        <v>8</v>
      </c>
    </row>
    <row r="49" spans="1:38" x14ac:dyDescent="0.2">
      <c r="A49">
        <v>2011</v>
      </c>
      <c r="B49" s="20" t="s">
        <v>46</v>
      </c>
      <c r="C49" s="12">
        <v>40717</v>
      </c>
      <c r="D49" s="3">
        <v>53</v>
      </c>
      <c r="E49" s="20" t="s">
        <v>60</v>
      </c>
      <c r="H49" s="1">
        <v>0</v>
      </c>
      <c r="I49" s="1">
        <v>0</v>
      </c>
      <c r="J49" s="1">
        <v>0</v>
      </c>
      <c r="K49" s="1">
        <v>0</v>
      </c>
      <c r="L49" s="1">
        <f t="shared" si="1"/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f t="shared" si="2"/>
        <v>0</v>
      </c>
      <c r="S49" s="1">
        <v>0</v>
      </c>
      <c r="T49" s="1">
        <v>0</v>
      </c>
      <c r="U49" s="1">
        <v>0</v>
      </c>
      <c r="V49" s="1">
        <v>1</v>
      </c>
      <c r="W49" s="1">
        <v>1</v>
      </c>
      <c r="X49" s="1">
        <f t="shared" si="3"/>
        <v>2</v>
      </c>
      <c r="Y49" s="1">
        <v>1.5</v>
      </c>
      <c r="Z49" s="1">
        <v>0</v>
      </c>
      <c r="AA49" s="1">
        <v>0</v>
      </c>
      <c r="AB49" s="1">
        <v>0</v>
      </c>
      <c r="AC49" s="1">
        <v>0</v>
      </c>
      <c r="AD49" s="1">
        <f t="shared" si="4"/>
        <v>0</v>
      </c>
      <c r="AE49" s="1">
        <v>0</v>
      </c>
      <c r="AF49" s="22">
        <f t="shared" si="22"/>
        <v>0</v>
      </c>
      <c r="AG49" s="22">
        <f t="shared" si="23"/>
        <v>0</v>
      </c>
      <c r="AH49" s="22">
        <f t="shared" si="7"/>
        <v>1</v>
      </c>
      <c r="AI49" s="22">
        <f t="shared" si="24"/>
        <v>1</v>
      </c>
      <c r="AJ49" s="22">
        <f t="shared" si="25"/>
        <v>2</v>
      </c>
      <c r="AK49" s="22">
        <f t="shared" si="11"/>
        <v>1.5</v>
      </c>
    </row>
    <row r="50" spans="1:38" x14ac:dyDescent="0.2">
      <c r="A50">
        <v>2011</v>
      </c>
      <c r="B50" s="20" t="s">
        <v>46</v>
      </c>
      <c r="C50" s="12">
        <v>40717</v>
      </c>
      <c r="D50" s="3">
        <v>53</v>
      </c>
      <c r="E50" s="20" t="s">
        <v>74</v>
      </c>
      <c r="H50" s="26" t="s">
        <v>1</v>
      </c>
      <c r="I50" s="26" t="s">
        <v>1</v>
      </c>
      <c r="J50" s="1">
        <v>0</v>
      </c>
      <c r="K50" s="1">
        <v>0</v>
      </c>
      <c r="L50" s="1">
        <f t="shared" si="1"/>
        <v>0</v>
      </c>
      <c r="M50" s="1">
        <v>0</v>
      </c>
      <c r="N50" s="26" t="s">
        <v>1</v>
      </c>
      <c r="O50" s="26" t="s">
        <v>1</v>
      </c>
      <c r="P50" s="1">
        <v>0</v>
      </c>
      <c r="Q50" s="1">
        <v>0</v>
      </c>
      <c r="R50" s="1">
        <f t="shared" si="2"/>
        <v>0</v>
      </c>
      <c r="S50" s="1">
        <v>0</v>
      </c>
      <c r="T50" s="26" t="s">
        <v>1</v>
      </c>
      <c r="U50" s="26" t="s">
        <v>1</v>
      </c>
      <c r="V50" s="1">
        <v>4</v>
      </c>
      <c r="W50" s="1">
        <v>0</v>
      </c>
      <c r="X50" s="1">
        <f t="shared" si="3"/>
        <v>4</v>
      </c>
      <c r="Y50" s="1">
        <v>1.5</v>
      </c>
      <c r="Z50" s="26" t="s">
        <v>1</v>
      </c>
      <c r="AA50" s="26" t="s">
        <v>1</v>
      </c>
      <c r="AB50" s="1">
        <v>0</v>
      </c>
      <c r="AC50" s="1">
        <v>0</v>
      </c>
      <c r="AD50" s="1">
        <f t="shared" si="4"/>
        <v>0</v>
      </c>
      <c r="AE50" s="1">
        <v>0</v>
      </c>
      <c r="AF50" s="22">
        <f t="shared" si="22"/>
        <v>0</v>
      </c>
      <c r="AG50" s="22">
        <f t="shared" si="23"/>
        <v>0</v>
      </c>
      <c r="AH50" s="22">
        <f t="shared" si="7"/>
        <v>4</v>
      </c>
      <c r="AI50" s="22">
        <f t="shared" si="24"/>
        <v>0</v>
      </c>
      <c r="AJ50" s="22">
        <f t="shared" si="25"/>
        <v>4</v>
      </c>
      <c r="AK50" s="22">
        <f t="shared" si="11"/>
        <v>1.5</v>
      </c>
    </row>
    <row r="51" spans="1:38" x14ac:dyDescent="0.2">
      <c r="A51">
        <v>2011</v>
      </c>
      <c r="B51" s="20" t="s">
        <v>46</v>
      </c>
      <c r="C51" s="12">
        <v>40717</v>
      </c>
      <c r="D51" s="3">
        <v>53</v>
      </c>
      <c r="E51" s="20" t="s">
        <v>50</v>
      </c>
      <c r="H51" s="26" t="s">
        <v>1</v>
      </c>
      <c r="I51" s="26" t="s">
        <v>1</v>
      </c>
      <c r="J51" s="1">
        <v>0</v>
      </c>
      <c r="K51" s="1">
        <v>0</v>
      </c>
      <c r="L51" s="1">
        <f t="shared" si="1"/>
        <v>0</v>
      </c>
      <c r="M51" s="1">
        <v>0</v>
      </c>
      <c r="N51" s="26" t="s">
        <v>1</v>
      </c>
      <c r="O51" s="26" t="s">
        <v>1</v>
      </c>
      <c r="P51" s="1">
        <v>0</v>
      </c>
      <c r="Q51" s="1">
        <v>0</v>
      </c>
      <c r="R51" s="1">
        <f t="shared" si="2"/>
        <v>0</v>
      </c>
      <c r="S51" s="1">
        <v>0</v>
      </c>
      <c r="T51" s="26" t="s">
        <v>1</v>
      </c>
      <c r="U51" s="26" t="s">
        <v>1</v>
      </c>
      <c r="V51" s="1">
        <v>3</v>
      </c>
      <c r="W51" s="1">
        <v>0</v>
      </c>
      <c r="X51" s="1">
        <f t="shared" si="3"/>
        <v>3</v>
      </c>
      <c r="Y51" s="1">
        <v>3.5</v>
      </c>
      <c r="Z51" s="26" t="s">
        <v>1</v>
      </c>
      <c r="AA51" s="26" t="s">
        <v>1</v>
      </c>
      <c r="AB51" s="1">
        <v>0</v>
      </c>
      <c r="AC51" s="1">
        <v>0</v>
      </c>
      <c r="AD51" s="1">
        <f t="shared" si="4"/>
        <v>0</v>
      </c>
      <c r="AE51" s="1">
        <v>0</v>
      </c>
      <c r="AF51" s="22">
        <f t="shared" si="22"/>
        <v>0</v>
      </c>
      <c r="AG51" s="22">
        <f t="shared" si="23"/>
        <v>0</v>
      </c>
      <c r="AH51" s="22">
        <f t="shared" si="7"/>
        <v>3</v>
      </c>
      <c r="AI51" s="22">
        <f t="shared" si="24"/>
        <v>0</v>
      </c>
      <c r="AJ51" s="22">
        <f t="shared" si="25"/>
        <v>3</v>
      </c>
      <c r="AK51" s="22">
        <f t="shared" si="11"/>
        <v>3.5</v>
      </c>
    </row>
    <row r="52" spans="1:38" x14ac:dyDescent="0.2">
      <c r="A52">
        <v>2011</v>
      </c>
      <c r="B52" s="20" t="s">
        <v>46</v>
      </c>
      <c r="C52" s="12">
        <v>40717</v>
      </c>
      <c r="D52" s="3">
        <v>53</v>
      </c>
      <c r="E52" s="20" t="s">
        <v>75</v>
      </c>
      <c r="H52" s="26" t="s">
        <v>1</v>
      </c>
      <c r="I52" s="26" t="s">
        <v>1</v>
      </c>
      <c r="J52" s="1">
        <v>0</v>
      </c>
      <c r="K52" s="1">
        <v>0</v>
      </c>
      <c r="L52" s="1">
        <f t="shared" si="1"/>
        <v>0</v>
      </c>
      <c r="M52" s="1">
        <v>0</v>
      </c>
      <c r="N52" s="26" t="s">
        <v>1</v>
      </c>
      <c r="O52" s="26" t="s">
        <v>1</v>
      </c>
      <c r="P52" s="1">
        <v>0</v>
      </c>
      <c r="Q52" s="1">
        <v>0</v>
      </c>
      <c r="R52" s="1">
        <f t="shared" si="2"/>
        <v>0</v>
      </c>
      <c r="S52" s="1">
        <v>0</v>
      </c>
      <c r="T52" s="26" t="s">
        <v>1</v>
      </c>
      <c r="U52" s="26" t="s">
        <v>1</v>
      </c>
      <c r="V52" s="1">
        <v>0</v>
      </c>
      <c r="W52" s="1">
        <v>0</v>
      </c>
      <c r="X52" s="1">
        <f t="shared" si="3"/>
        <v>0</v>
      </c>
      <c r="Y52" s="1">
        <v>0</v>
      </c>
      <c r="Z52" s="26" t="s">
        <v>1</v>
      </c>
      <c r="AA52" s="26" t="s">
        <v>1</v>
      </c>
      <c r="AB52" s="1">
        <v>1</v>
      </c>
      <c r="AC52" s="1">
        <v>0</v>
      </c>
      <c r="AD52" s="1">
        <f t="shared" si="4"/>
        <v>1</v>
      </c>
      <c r="AE52" s="1">
        <v>3.5</v>
      </c>
      <c r="AF52" s="22">
        <f t="shared" si="22"/>
        <v>0</v>
      </c>
      <c r="AG52" s="22">
        <f t="shared" si="23"/>
        <v>0</v>
      </c>
      <c r="AH52" s="22">
        <f t="shared" si="7"/>
        <v>1</v>
      </c>
      <c r="AI52" s="22">
        <f t="shared" si="24"/>
        <v>0</v>
      </c>
      <c r="AJ52" s="22">
        <f t="shared" si="25"/>
        <v>1</v>
      </c>
      <c r="AK52" s="22">
        <f t="shared" si="11"/>
        <v>3.5</v>
      </c>
    </row>
    <row r="53" spans="1:38" x14ac:dyDescent="0.2">
      <c r="A53">
        <v>2011</v>
      </c>
      <c r="B53" s="20" t="s">
        <v>46</v>
      </c>
      <c r="C53" s="12">
        <v>40717</v>
      </c>
      <c r="D53" s="3">
        <v>53</v>
      </c>
      <c r="E53" s="20" t="s">
        <v>76</v>
      </c>
      <c r="H53" s="26" t="s">
        <v>1</v>
      </c>
      <c r="I53" s="26" t="s">
        <v>1</v>
      </c>
      <c r="J53" s="1">
        <v>0</v>
      </c>
      <c r="K53" s="1">
        <v>0</v>
      </c>
      <c r="L53" s="1">
        <f t="shared" si="1"/>
        <v>0</v>
      </c>
      <c r="M53" s="1">
        <v>0</v>
      </c>
      <c r="N53" s="26" t="s">
        <v>1</v>
      </c>
      <c r="O53" s="26" t="s">
        <v>1</v>
      </c>
      <c r="P53" s="1">
        <v>0</v>
      </c>
      <c r="Q53" s="1">
        <v>0</v>
      </c>
      <c r="R53" s="1">
        <f t="shared" si="2"/>
        <v>0</v>
      </c>
      <c r="S53" s="1">
        <v>0</v>
      </c>
      <c r="T53" s="26" t="s">
        <v>1</v>
      </c>
      <c r="U53" s="26" t="s">
        <v>1</v>
      </c>
      <c r="V53" s="1">
        <v>0</v>
      </c>
      <c r="W53" s="1">
        <v>0</v>
      </c>
      <c r="X53" s="1">
        <f t="shared" si="3"/>
        <v>0</v>
      </c>
      <c r="Y53" s="1">
        <v>0</v>
      </c>
      <c r="Z53" s="26" t="s">
        <v>1</v>
      </c>
      <c r="AA53" s="26" t="s">
        <v>1</v>
      </c>
      <c r="AB53" s="1">
        <v>0</v>
      </c>
      <c r="AC53" s="1">
        <v>1</v>
      </c>
      <c r="AD53" s="1">
        <f t="shared" si="4"/>
        <v>1</v>
      </c>
      <c r="AE53" s="1">
        <v>3.5</v>
      </c>
      <c r="AF53" s="22">
        <f t="shared" si="22"/>
        <v>0</v>
      </c>
      <c r="AG53" s="22">
        <f t="shared" si="23"/>
        <v>0</v>
      </c>
      <c r="AH53" s="22">
        <f t="shared" si="7"/>
        <v>0</v>
      </c>
      <c r="AI53" s="22">
        <f t="shared" si="24"/>
        <v>1</v>
      </c>
      <c r="AJ53" s="22">
        <f t="shared" si="25"/>
        <v>1</v>
      </c>
      <c r="AK53" s="22">
        <f t="shared" si="11"/>
        <v>3.5</v>
      </c>
      <c r="AL53" s="27" t="s">
        <v>77</v>
      </c>
    </row>
    <row r="54" spans="1:38" s="36" customFormat="1" x14ac:dyDescent="0.2">
      <c r="A54" s="36">
        <v>2011</v>
      </c>
      <c r="B54" s="31" t="s">
        <v>46</v>
      </c>
      <c r="C54" s="38">
        <v>40717</v>
      </c>
      <c r="D54" s="39">
        <v>54</v>
      </c>
      <c r="E54" s="31" t="s">
        <v>47</v>
      </c>
      <c r="H54" s="35">
        <v>0</v>
      </c>
      <c r="I54" s="35">
        <v>340</v>
      </c>
      <c r="J54" s="35">
        <v>0</v>
      </c>
      <c r="K54" s="35">
        <v>0</v>
      </c>
      <c r="L54" s="35">
        <f t="shared" si="1"/>
        <v>340</v>
      </c>
      <c r="M54" s="35">
        <v>75</v>
      </c>
      <c r="N54" s="35">
        <v>0</v>
      </c>
      <c r="O54" s="35">
        <v>298</v>
      </c>
      <c r="P54" s="35">
        <v>0</v>
      </c>
      <c r="Q54" s="35">
        <v>0</v>
      </c>
      <c r="R54" s="35">
        <f t="shared" si="2"/>
        <v>298</v>
      </c>
      <c r="S54" s="35">
        <v>35</v>
      </c>
      <c r="T54" s="35">
        <v>0</v>
      </c>
      <c r="U54" s="35">
        <v>159</v>
      </c>
      <c r="V54" s="35">
        <v>0</v>
      </c>
      <c r="W54" s="35">
        <v>0</v>
      </c>
      <c r="X54" s="35">
        <f t="shared" si="3"/>
        <v>159</v>
      </c>
      <c r="Y54" s="35">
        <v>25</v>
      </c>
      <c r="Z54" s="35">
        <v>0</v>
      </c>
      <c r="AA54" s="35">
        <v>234</v>
      </c>
      <c r="AB54" s="35">
        <v>3</v>
      </c>
      <c r="AC54" s="35">
        <v>0</v>
      </c>
      <c r="AD54" s="35">
        <f t="shared" si="4"/>
        <v>237</v>
      </c>
      <c r="AE54" s="35">
        <v>75</v>
      </c>
      <c r="AF54" s="40">
        <f t="shared" ref="AF54:AF62" si="26">SUM(H54,N54,T54,Z54)</f>
        <v>0</v>
      </c>
      <c r="AG54" s="40">
        <f t="shared" ref="AG54:AG62" si="27">SUM(I54,O54,U54,AA54)</f>
        <v>1031</v>
      </c>
      <c r="AH54" s="40">
        <f t="shared" si="7"/>
        <v>3</v>
      </c>
      <c r="AI54" s="40">
        <f t="shared" si="24"/>
        <v>0</v>
      </c>
      <c r="AJ54" s="40">
        <f t="shared" si="25"/>
        <v>1034</v>
      </c>
      <c r="AK54" s="40">
        <f t="shared" si="11"/>
        <v>210</v>
      </c>
      <c r="AL54" s="41" t="s">
        <v>78</v>
      </c>
    </row>
    <row r="55" spans="1:38" x14ac:dyDescent="0.2">
      <c r="A55">
        <v>2011</v>
      </c>
      <c r="B55" s="20" t="s">
        <v>46</v>
      </c>
      <c r="C55" s="12">
        <v>40717</v>
      </c>
      <c r="D55" s="3">
        <v>54</v>
      </c>
      <c r="E55" s="20" t="s">
        <v>61</v>
      </c>
      <c r="H55" s="1" t="s">
        <v>1</v>
      </c>
      <c r="I55" s="1" t="s">
        <v>1</v>
      </c>
      <c r="J55" s="1">
        <v>5</v>
      </c>
      <c r="K55" s="1">
        <v>0</v>
      </c>
      <c r="L55" s="1">
        <f t="shared" si="1"/>
        <v>5</v>
      </c>
      <c r="M55" s="1">
        <v>55</v>
      </c>
      <c r="N55" s="1" t="s">
        <v>1</v>
      </c>
      <c r="O55" s="1" t="s">
        <v>1</v>
      </c>
      <c r="P55" s="1">
        <v>0</v>
      </c>
      <c r="Q55" s="1">
        <v>0</v>
      </c>
      <c r="R55" s="1">
        <f t="shared" si="2"/>
        <v>0</v>
      </c>
      <c r="S55" s="1">
        <v>0</v>
      </c>
      <c r="T55" s="1" t="s">
        <v>1</v>
      </c>
      <c r="U55" s="1" t="s">
        <v>1</v>
      </c>
      <c r="V55" s="1">
        <v>0</v>
      </c>
      <c r="W55" s="1">
        <v>0</v>
      </c>
      <c r="X55" s="1">
        <f t="shared" si="3"/>
        <v>0</v>
      </c>
      <c r="Y55" s="1">
        <v>0</v>
      </c>
      <c r="Z55" s="1" t="s">
        <v>1</v>
      </c>
      <c r="AA55" s="1" t="s">
        <v>1</v>
      </c>
      <c r="AB55" s="1">
        <v>0</v>
      </c>
      <c r="AC55" s="1">
        <v>0</v>
      </c>
      <c r="AD55" s="1">
        <f t="shared" si="4"/>
        <v>0</v>
      </c>
      <c r="AE55" s="1">
        <v>0</v>
      </c>
      <c r="AF55" s="22">
        <f t="shared" si="26"/>
        <v>0</v>
      </c>
      <c r="AG55" s="22">
        <f t="shared" si="27"/>
        <v>0</v>
      </c>
      <c r="AH55" s="22">
        <f t="shared" si="7"/>
        <v>5</v>
      </c>
      <c r="AI55" s="22">
        <f t="shared" si="24"/>
        <v>0</v>
      </c>
      <c r="AJ55" s="22">
        <f t="shared" si="25"/>
        <v>5</v>
      </c>
      <c r="AK55" s="22">
        <f t="shared" si="11"/>
        <v>55</v>
      </c>
      <c r="AL55" s="27" t="s">
        <v>79</v>
      </c>
    </row>
    <row r="56" spans="1:38" x14ac:dyDescent="0.2">
      <c r="A56">
        <v>2011</v>
      </c>
      <c r="B56" s="20" t="s">
        <v>46</v>
      </c>
      <c r="C56" s="12">
        <v>40717</v>
      </c>
      <c r="D56" s="3">
        <v>54</v>
      </c>
      <c r="E56" s="20" t="s">
        <v>50</v>
      </c>
      <c r="H56" s="1" t="s">
        <v>1</v>
      </c>
      <c r="I56" s="1" t="s">
        <v>1</v>
      </c>
      <c r="J56" s="1">
        <v>4</v>
      </c>
      <c r="K56" s="1">
        <v>0</v>
      </c>
      <c r="L56" s="1">
        <f t="shared" si="1"/>
        <v>4</v>
      </c>
      <c r="M56" s="1">
        <v>3.5</v>
      </c>
      <c r="N56" s="1" t="s">
        <v>1</v>
      </c>
      <c r="O56" s="1" t="s">
        <v>1</v>
      </c>
      <c r="P56" s="1">
        <v>0</v>
      </c>
      <c r="Q56" s="1">
        <v>0</v>
      </c>
      <c r="R56" s="1">
        <f t="shared" si="2"/>
        <v>0</v>
      </c>
      <c r="S56" s="1">
        <v>0</v>
      </c>
      <c r="T56" s="1" t="s">
        <v>1</v>
      </c>
      <c r="U56" s="1" t="s">
        <v>1</v>
      </c>
      <c r="V56" s="1">
        <v>3</v>
      </c>
      <c r="W56" s="1">
        <v>0</v>
      </c>
      <c r="X56" s="1">
        <f t="shared" si="3"/>
        <v>3</v>
      </c>
      <c r="Y56" s="1">
        <v>3.5</v>
      </c>
      <c r="Z56" s="1" t="s">
        <v>1</v>
      </c>
      <c r="AA56" s="1" t="s">
        <v>1</v>
      </c>
      <c r="AB56" s="1">
        <v>2</v>
      </c>
      <c r="AC56" s="1">
        <v>0</v>
      </c>
      <c r="AD56" s="1">
        <f t="shared" si="4"/>
        <v>2</v>
      </c>
      <c r="AE56" s="1">
        <v>1.5</v>
      </c>
      <c r="AF56" s="22">
        <f t="shared" si="26"/>
        <v>0</v>
      </c>
      <c r="AG56" s="22">
        <f t="shared" si="27"/>
        <v>0</v>
      </c>
      <c r="AH56" s="9">
        <f t="shared" si="7"/>
        <v>9</v>
      </c>
      <c r="AI56" s="22">
        <f t="shared" si="24"/>
        <v>0</v>
      </c>
      <c r="AJ56" s="22">
        <f t="shared" si="25"/>
        <v>9</v>
      </c>
      <c r="AK56" s="22">
        <f t="shared" si="11"/>
        <v>8.5</v>
      </c>
    </row>
    <row r="57" spans="1:38" x14ac:dyDescent="0.2">
      <c r="A57">
        <v>2011</v>
      </c>
      <c r="B57" s="20" t="s">
        <v>46</v>
      </c>
      <c r="C57" s="12">
        <v>40717</v>
      </c>
      <c r="D57" s="3">
        <v>54</v>
      </c>
      <c r="E57" s="20" t="s">
        <v>64</v>
      </c>
      <c r="H57" s="1" t="s">
        <v>1</v>
      </c>
      <c r="I57" s="1" t="s">
        <v>1</v>
      </c>
      <c r="J57" s="1">
        <v>0</v>
      </c>
      <c r="K57" s="1">
        <v>0</v>
      </c>
      <c r="L57" s="1">
        <f t="shared" si="1"/>
        <v>0</v>
      </c>
      <c r="M57" s="1">
        <v>0</v>
      </c>
      <c r="N57" s="1" t="s">
        <v>1</v>
      </c>
      <c r="O57" s="1" t="s">
        <v>1</v>
      </c>
      <c r="P57" s="1">
        <v>4</v>
      </c>
      <c r="Q57" s="1">
        <v>0</v>
      </c>
      <c r="R57" s="1">
        <f t="shared" si="2"/>
        <v>4</v>
      </c>
      <c r="S57" s="1">
        <v>15</v>
      </c>
      <c r="T57" s="1" t="s">
        <v>1</v>
      </c>
      <c r="U57" s="1" t="s">
        <v>1</v>
      </c>
      <c r="V57" s="1">
        <v>0</v>
      </c>
      <c r="W57" s="1">
        <v>0</v>
      </c>
      <c r="X57" s="1">
        <f t="shared" si="3"/>
        <v>0</v>
      </c>
      <c r="Y57" s="1">
        <v>0</v>
      </c>
      <c r="Z57" s="1" t="s">
        <v>1</v>
      </c>
      <c r="AA57" s="1" t="s">
        <v>1</v>
      </c>
      <c r="AB57" s="1">
        <v>0</v>
      </c>
      <c r="AC57" s="1">
        <v>0</v>
      </c>
      <c r="AD57" s="1">
        <f t="shared" si="4"/>
        <v>0</v>
      </c>
      <c r="AE57" s="1">
        <v>0</v>
      </c>
      <c r="AF57" s="22">
        <f t="shared" si="26"/>
        <v>0</v>
      </c>
      <c r="AG57" s="22">
        <f t="shared" si="27"/>
        <v>0</v>
      </c>
      <c r="AH57" s="9">
        <f t="shared" si="7"/>
        <v>4</v>
      </c>
      <c r="AI57" s="22">
        <f t="shared" si="24"/>
        <v>0</v>
      </c>
      <c r="AJ57" s="22">
        <f t="shared" si="25"/>
        <v>4</v>
      </c>
      <c r="AK57" s="22">
        <f t="shared" si="11"/>
        <v>15</v>
      </c>
    </row>
    <row r="58" spans="1:38" x14ac:dyDescent="0.2">
      <c r="A58">
        <v>2011</v>
      </c>
      <c r="B58" s="20" t="s">
        <v>46</v>
      </c>
      <c r="C58" s="12">
        <v>40717</v>
      </c>
      <c r="D58" s="3">
        <v>54</v>
      </c>
      <c r="E58" s="20" t="s">
        <v>60</v>
      </c>
      <c r="H58" s="1">
        <v>0</v>
      </c>
      <c r="I58" s="1">
        <v>0</v>
      </c>
      <c r="J58" s="1">
        <v>0</v>
      </c>
      <c r="K58" s="1">
        <v>0</v>
      </c>
      <c r="L58" s="1">
        <f t="shared" si="1"/>
        <v>0</v>
      </c>
      <c r="M58" s="1">
        <v>0</v>
      </c>
      <c r="N58" s="1">
        <v>3</v>
      </c>
      <c r="O58" s="1">
        <v>0</v>
      </c>
      <c r="P58" s="1">
        <v>0</v>
      </c>
      <c r="Q58" s="1">
        <v>0</v>
      </c>
      <c r="R58" s="1">
        <f t="shared" si="2"/>
        <v>3</v>
      </c>
      <c r="S58" s="1">
        <v>0.5</v>
      </c>
      <c r="T58" s="1">
        <v>0</v>
      </c>
      <c r="U58" s="1">
        <v>0</v>
      </c>
      <c r="V58" s="1">
        <v>0</v>
      </c>
      <c r="W58" s="1">
        <v>0</v>
      </c>
      <c r="X58" s="1">
        <f t="shared" si="3"/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f t="shared" si="4"/>
        <v>0</v>
      </c>
      <c r="AE58" s="1">
        <v>0</v>
      </c>
      <c r="AF58" s="22">
        <f t="shared" si="26"/>
        <v>3</v>
      </c>
      <c r="AG58" s="22">
        <f t="shared" si="27"/>
        <v>0</v>
      </c>
      <c r="AH58" s="9">
        <f t="shared" si="7"/>
        <v>0</v>
      </c>
      <c r="AI58" s="22">
        <f t="shared" si="24"/>
        <v>0</v>
      </c>
      <c r="AJ58" s="22">
        <f t="shared" si="25"/>
        <v>3</v>
      </c>
      <c r="AK58" s="22">
        <f t="shared" si="11"/>
        <v>0.5</v>
      </c>
    </row>
    <row r="59" spans="1:38" x14ac:dyDescent="0.2">
      <c r="A59">
        <v>2011</v>
      </c>
      <c r="B59" s="20" t="s">
        <v>46</v>
      </c>
      <c r="C59" s="12">
        <v>40717</v>
      </c>
      <c r="D59" s="3">
        <v>54</v>
      </c>
      <c r="E59" s="20" t="s">
        <v>51</v>
      </c>
      <c r="H59" s="1" t="s">
        <v>1</v>
      </c>
      <c r="I59" s="1" t="s">
        <v>1</v>
      </c>
      <c r="J59" s="1">
        <v>0</v>
      </c>
      <c r="K59" s="1">
        <v>0</v>
      </c>
      <c r="L59" s="1">
        <f t="shared" si="1"/>
        <v>0</v>
      </c>
      <c r="M59" s="1">
        <v>0</v>
      </c>
      <c r="N59" s="1" t="s">
        <v>1</v>
      </c>
      <c r="O59" s="1" t="s">
        <v>1</v>
      </c>
      <c r="P59" s="1">
        <v>0</v>
      </c>
      <c r="Q59" s="1">
        <v>2</v>
      </c>
      <c r="R59" s="1">
        <f t="shared" si="2"/>
        <v>2</v>
      </c>
      <c r="S59" s="1">
        <v>8</v>
      </c>
      <c r="T59" s="1" t="s">
        <v>1</v>
      </c>
      <c r="U59" s="1" t="s">
        <v>1</v>
      </c>
      <c r="V59" s="1">
        <v>0</v>
      </c>
      <c r="W59" s="1">
        <v>1</v>
      </c>
      <c r="X59" s="1">
        <f t="shared" si="3"/>
        <v>1</v>
      </c>
      <c r="Y59" s="1">
        <v>25</v>
      </c>
      <c r="Z59" s="1" t="s">
        <v>1</v>
      </c>
      <c r="AA59" s="1" t="s">
        <v>1</v>
      </c>
      <c r="AB59" s="1">
        <v>0</v>
      </c>
      <c r="AC59" s="1">
        <v>0</v>
      </c>
      <c r="AD59" s="1">
        <f t="shared" si="4"/>
        <v>0</v>
      </c>
      <c r="AE59" s="1">
        <v>0</v>
      </c>
      <c r="AF59" s="22">
        <f t="shared" si="26"/>
        <v>0</v>
      </c>
      <c r="AG59" s="22">
        <f t="shared" si="27"/>
        <v>0</v>
      </c>
      <c r="AH59" s="9">
        <f t="shared" si="7"/>
        <v>0</v>
      </c>
      <c r="AI59" s="22">
        <f t="shared" si="24"/>
        <v>3</v>
      </c>
      <c r="AJ59" s="22">
        <f t="shared" si="25"/>
        <v>3</v>
      </c>
      <c r="AK59" s="22">
        <f t="shared" si="11"/>
        <v>33</v>
      </c>
    </row>
    <row r="60" spans="1:38" x14ac:dyDescent="0.2">
      <c r="A60">
        <v>2011</v>
      </c>
      <c r="B60" s="20" t="s">
        <v>46</v>
      </c>
      <c r="C60" s="12">
        <v>40717</v>
      </c>
      <c r="D60" s="3">
        <v>54</v>
      </c>
      <c r="E60" s="20" t="s">
        <v>66</v>
      </c>
      <c r="H60" s="1" t="s">
        <v>1</v>
      </c>
      <c r="I60" s="1" t="s">
        <v>1</v>
      </c>
      <c r="J60" s="1">
        <v>0</v>
      </c>
      <c r="K60" s="1">
        <v>0</v>
      </c>
      <c r="L60" s="1">
        <f t="shared" si="1"/>
        <v>0</v>
      </c>
      <c r="M60" s="1">
        <v>0</v>
      </c>
      <c r="N60" s="1" t="s">
        <v>1</v>
      </c>
      <c r="O60" s="1" t="s">
        <v>1</v>
      </c>
      <c r="P60" s="1">
        <v>0</v>
      </c>
      <c r="Q60" s="1">
        <v>0</v>
      </c>
      <c r="R60" s="1">
        <f t="shared" si="2"/>
        <v>0</v>
      </c>
      <c r="S60" s="1">
        <v>0</v>
      </c>
      <c r="T60" s="1" t="s">
        <v>1</v>
      </c>
      <c r="U60" s="1" t="s">
        <v>1</v>
      </c>
      <c r="V60" s="1">
        <v>1</v>
      </c>
      <c r="W60" s="1">
        <v>0</v>
      </c>
      <c r="X60" s="1">
        <f t="shared" si="3"/>
        <v>1</v>
      </c>
      <c r="Y60" s="1">
        <v>1.5</v>
      </c>
      <c r="Z60" s="1" t="s">
        <v>1</v>
      </c>
      <c r="AA60" s="1" t="s">
        <v>1</v>
      </c>
      <c r="AB60" s="1">
        <v>0</v>
      </c>
      <c r="AC60" s="1">
        <v>0</v>
      </c>
      <c r="AD60" s="1">
        <f t="shared" si="4"/>
        <v>0</v>
      </c>
      <c r="AE60" s="1">
        <v>0</v>
      </c>
      <c r="AF60" s="22">
        <f t="shared" si="26"/>
        <v>0</v>
      </c>
      <c r="AG60" s="22">
        <f t="shared" si="27"/>
        <v>0</v>
      </c>
      <c r="AH60" s="9">
        <f t="shared" si="7"/>
        <v>1</v>
      </c>
      <c r="AI60" s="22">
        <f t="shared" si="24"/>
        <v>0</v>
      </c>
      <c r="AJ60" s="22">
        <f t="shared" si="25"/>
        <v>1</v>
      </c>
      <c r="AK60" s="22">
        <f t="shared" si="11"/>
        <v>1.5</v>
      </c>
    </row>
    <row r="61" spans="1:38" x14ac:dyDescent="0.2">
      <c r="A61">
        <v>2011</v>
      </c>
      <c r="B61" s="20" t="s">
        <v>46</v>
      </c>
      <c r="C61" s="12">
        <v>40717</v>
      </c>
      <c r="D61" s="3">
        <v>54</v>
      </c>
      <c r="E61" s="20" t="s">
        <v>80</v>
      </c>
      <c r="H61" s="1" t="s">
        <v>1</v>
      </c>
      <c r="I61" s="1" t="s">
        <v>1</v>
      </c>
      <c r="J61" s="1">
        <v>0</v>
      </c>
      <c r="K61" s="1">
        <v>0</v>
      </c>
      <c r="L61" s="1">
        <f t="shared" si="1"/>
        <v>0</v>
      </c>
      <c r="M61" s="1">
        <v>0</v>
      </c>
      <c r="N61" s="1" t="s">
        <v>1</v>
      </c>
      <c r="O61" s="1" t="s">
        <v>1</v>
      </c>
      <c r="P61" s="1">
        <v>0</v>
      </c>
      <c r="Q61" s="1">
        <v>0</v>
      </c>
      <c r="R61" s="1">
        <f t="shared" si="2"/>
        <v>0</v>
      </c>
      <c r="S61" s="1">
        <v>0</v>
      </c>
      <c r="T61" s="1" t="s">
        <v>1</v>
      </c>
      <c r="U61" s="1" t="s">
        <v>1</v>
      </c>
      <c r="V61" s="1">
        <v>0</v>
      </c>
      <c r="W61" s="1">
        <v>0</v>
      </c>
      <c r="X61" s="1">
        <f t="shared" si="3"/>
        <v>0</v>
      </c>
      <c r="Y61" s="1">
        <v>0</v>
      </c>
      <c r="Z61" s="1" t="s">
        <v>1</v>
      </c>
      <c r="AA61" s="1" t="s">
        <v>1</v>
      </c>
      <c r="AB61" s="1">
        <v>3</v>
      </c>
      <c r="AC61" s="1">
        <v>0</v>
      </c>
      <c r="AD61" s="1">
        <f t="shared" si="4"/>
        <v>3</v>
      </c>
      <c r="AE61" s="1">
        <v>3.5</v>
      </c>
      <c r="AF61" s="22">
        <f t="shared" si="26"/>
        <v>0</v>
      </c>
      <c r="AG61" s="22">
        <f t="shared" si="27"/>
        <v>0</v>
      </c>
      <c r="AH61" s="9">
        <f t="shared" si="7"/>
        <v>3</v>
      </c>
      <c r="AI61" s="22">
        <f t="shared" si="24"/>
        <v>0</v>
      </c>
      <c r="AJ61" s="22">
        <f t="shared" si="25"/>
        <v>3</v>
      </c>
      <c r="AK61" s="22">
        <f t="shared" si="11"/>
        <v>3.5</v>
      </c>
    </row>
    <row r="62" spans="1:38" x14ac:dyDescent="0.2">
      <c r="A62">
        <v>2011</v>
      </c>
      <c r="B62" s="20" t="s">
        <v>46</v>
      </c>
      <c r="C62" s="12">
        <v>40717</v>
      </c>
      <c r="D62" s="3">
        <v>54</v>
      </c>
      <c r="E62" s="20" t="s">
        <v>72</v>
      </c>
      <c r="H62" s="26" t="s">
        <v>1</v>
      </c>
      <c r="I62" s="26" t="s">
        <v>1</v>
      </c>
      <c r="J62" s="1">
        <v>0</v>
      </c>
      <c r="K62" s="1">
        <v>0</v>
      </c>
      <c r="L62" s="1">
        <f t="shared" si="1"/>
        <v>0</v>
      </c>
      <c r="M62" s="1">
        <v>0</v>
      </c>
      <c r="N62" s="26" t="s">
        <v>1</v>
      </c>
      <c r="O62" s="26" t="s">
        <v>1</v>
      </c>
      <c r="P62" s="1">
        <v>0</v>
      </c>
      <c r="Q62" s="1">
        <v>0</v>
      </c>
      <c r="R62" s="1">
        <f t="shared" si="2"/>
        <v>0</v>
      </c>
      <c r="S62" s="1">
        <v>0</v>
      </c>
      <c r="T62" s="26" t="s">
        <v>1</v>
      </c>
      <c r="U62" s="26" t="s">
        <v>1</v>
      </c>
      <c r="V62" s="1">
        <v>0</v>
      </c>
      <c r="W62" s="1">
        <v>0</v>
      </c>
      <c r="X62" s="1">
        <f t="shared" si="3"/>
        <v>0</v>
      </c>
      <c r="Y62" s="1">
        <v>0</v>
      </c>
      <c r="Z62" s="26" t="s">
        <v>1</v>
      </c>
      <c r="AA62" s="26" t="s">
        <v>1</v>
      </c>
      <c r="AB62" s="1">
        <v>1</v>
      </c>
      <c r="AC62" s="1">
        <v>0</v>
      </c>
      <c r="AD62" s="1">
        <f t="shared" si="4"/>
        <v>1</v>
      </c>
      <c r="AE62" s="1">
        <v>3.5</v>
      </c>
      <c r="AF62" s="22">
        <f t="shared" si="26"/>
        <v>0</v>
      </c>
      <c r="AG62" s="22">
        <f t="shared" si="27"/>
        <v>0</v>
      </c>
      <c r="AH62" s="9">
        <f t="shared" si="7"/>
        <v>1</v>
      </c>
      <c r="AI62" s="22">
        <f t="shared" si="24"/>
        <v>0</v>
      </c>
      <c r="AJ62" s="22">
        <f t="shared" si="25"/>
        <v>1</v>
      </c>
      <c r="AK62" s="22">
        <f t="shared" si="11"/>
        <v>3.5</v>
      </c>
    </row>
    <row r="63" spans="1:38" s="36" customFormat="1" x14ac:dyDescent="0.2">
      <c r="A63" s="36">
        <v>2011</v>
      </c>
      <c r="B63" s="31" t="s">
        <v>46</v>
      </c>
      <c r="C63" s="38">
        <v>40724</v>
      </c>
      <c r="D63" s="39">
        <v>55</v>
      </c>
      <c r="E63" s="31" t="s">
        <v>47</v>
      </c>
      <c r="H63" s="35">
        <v>0</v>
      </c>
      <c r="I63" s="35">
        <v>36</v>
      </c>
      <c r="J63" s="35">
        <v>0</v>
      </c>
      <c r="K63" s="35">
        <v>0</v>
      </c>
      <c r="L63" s="35">
        <f t="shared" si="1"/>
        <v>36</v>
      </c>
      <c r="M63" s="35">
        <v>8</v>
      </c>
      <c r="N63" s="35">
        <v>0</v>
      </c>
      <c r="O63" s="35">
        <v>28</v>
      </c>
      <c r="P63" s="35">
        <v>0</v>
      </c>
      <c r="Q63" s="35">
        <v>0</v>
      </c>
      <c r="R63" s="35">
        <f t="shared" si="2"/>
        <v>28</v>
      </c>
      <c r="S63" s="35">
        <v>3.5</v>
      </c>
      <c r="T63" s="35">
        <v>0</v>
      </c>
      <c r="U63" s="35">
        <v>44</v>
      </c>
      <c r="V63" s="35">
        <v>0</v>
      </c>
      <c r="W63" s="35">
        <v>0</v>
      </c>
      <c r="X63" s="35">
        <f t="shared" si="3"/>
        <v>44</v>
      </c>
      <c r="Y63" s="35">
        <v>3.5</v>
      </c>
      <c r="Z63" s="35">
        <v>0</v>
      </c>
      <c r="AA63" s="35">
        <v>39</v>
      </c>
      <c r="AB63" s="35">
        <v>0</v>
      </c>
      <c r="AC63" s="35">
        <v>0</v>
      </c>
      <c r="AD63" s="35">
        <f t="shared" si="4"/>
        <v>39</v>
      </c>
      <c r="AE63" s="35">
        <v>3.5</v>
      </c>
      <c r="AF63" s="40">
        <f t="shared" ref="AF63:AF66" si="28">SUM(H63,N63,T63,Z63)</f>
        <v>0</v>
      </c>
      <c r="AG63" s="40">
        <f t="shared" ref="AG63:AG66" si="29">SUM(I63,O63,U63,AA63)</f>
        <v>147</v>
      </c>
      <c r="AH63" s="42">
        <f t="shared" si="7"/>
        <v>0</v>
      </c>
      <c r="AI63" s="40">
        <f t="shared" ref="AI63:AI66" si="30">SUM(K63,Q63,W63,AC63)</f>
        <v>0</v>
      </c>
      <c r="AJ63" s="40">
        <f t="shared" ref="AJ63:AJ66" si="31">SUM(AF63:AI63)</f>
        <v>147</v>
      </c>
      <c r="AK63" s="40">
        <f t="shared" si="11"/>
        <v>18.5</v>
      </c>
      <c r="AL63" s="41"/>
    </row>
    <row r="64" spans="1:38" x14ac:dyDescent="0.2">
      <c r="A64">
        <v>2011</v>
      </c>
      <c r="B64" s="20" t="s">
        <v>46</v>
      </c>
      <c r="C64" s="12">
        <v>40724</v>
      </c>
      <c r="D64" s="3">
        <v>55</v>
      </c>
      <c r="E64" s="20" t="s">
        <v>81</v>
      </c>
      <c r="H64" s="26" t="s">
        <v>1</v>
      </c>
      <c r="I64" s="26" t="s">
        <v>1</v>
      </c>
      <c r="J64" s="1">
        <v>1</v>
      </c>
      <c r="K64" s="1">
        <v>0</v>
      </c>
      <c r="L64" s="1">
        <f t="shared" si="1"/>
        <v>1</v>
      </c>
      <c r="M64" s="1">
        <v>1.5</v>
      </c>
      <c r="N64" s="26" t="s">
        <v>1</v>
      </c>
      <c r="O64" s="26" t="s">
        <v>1</v>
      </c>
      <c r="P64" s="1">
        <v>0</v>
      </c>
      <c r="Q64" s="1">
        <v>0</v>
      </c>
      <c r="R64" s="1">
        <f t="shared" si="2"/>
        <v>0</v>
      </c>
      <c r="S64" s="1">
        <v>0</v>
      </c>
      <c r="T64" s="26" t="s">
        <v>1</v>
      </c>
      <c r="U64" s="26" t="s">
        <v>1</v>
      </c>
      <c r="V64" s="1">
        <v>0</v>
      </c>
      <c r="W64" s="1">
        <v>0</v>
      </c>
      <c r="X64" s="1">
        <f t="shared" si="3"/>
        <v>0</v>
      </c>
      <c r="Y64" s="1">
        <v>0</v>
      </c>
      <c r="Z64" s="26" t="s">
        <v>1</v>
      </c>
      <c r="AA64" s="26" t="s">
        <v>1</v>
      </c>
      <c r="AB64" s="1">
        <v>0</v>
      </c>
      <c r="AC64" s="1">
        <v>0</v>
      </c>
      <c r="AD64" s="1">
        <f t="shared" si="4"/>
        <v>0</v>
      </c>
      <c r="AE64" s="1">
        <v>0</v>
      </c>
      <c r="AF64" s="22">
        <f t="shared" si="28"/>
        <v>0</v>
      </c>
      <c r="AG64" s="22">
        <f t="shared" si="29"/>
        <v>0</v>
      </c>
      <c r="AH64" s="9">
        <f t="shared" si="7"/>
        <v>1</v>
      </c>
      <c r="AI64" s="22">
        <f t="shared" si="30"/>
        <v>0</v>
      </c>
      <c r="AJ64" s="22">
        <f t="shared" si="31"/>
        <v>1</v>
      </c>
      <c r="AK64" s="22">
        <f t="shared" si="11"/>
        <v>1.5</v>
      </c>
    </row>
    <row r="65" spans="1:38" x14ac:dyDescent="0.2">
      <c r="A65">
        <v>2011</v>
      </c>
      <c r="B65" s="20" t="s">
        <v>46</v>
      </c>
      <c r="C65" s="12">
        <v>40724</v>
      </c>
      <c r="D65" s="3">
        <v>55</v>
      </c>
      <c r="E65" s="20" t="s">
        <v>56</v>
      </c>
      <c r="H65" s="26">
        <v>0</v>
      </c>
      <c r="I65" s="26">
        <v>0</v>
      </c>
      <c r="J65" s="1">
        <v>0</v>
      </c>
      <c r="K65" s="1">
        <v>0</v>
      </c>
      <c r="L65" s="1">
        <f t="shared" si="1"/>
        <v>0</v>
      </c>
      <c r="M65" s="1">
        <v>0</v>
      </c>
      <c r="N65" s="26">
        <v>0</v>
      </c>
      <c r="O65" s="26">
        <v>0</v>
      </c>
      <c r="P65" s="1">
        <v>0</v>
      </c>
      <c r="Q65" s="1">
        <v>0</v>
      </c>
      <c r="R65" s="1">
        <f t="shared" si="2"/>
        <v>0</v>
      </c>
      <c r="S65" s="1">
        <v>0</v>
      </c>
      <c r="T65" s="26">
        <v>2</v>
      </c>
      <c r="U65" s="26">
        <v>0</v>
      </c>
      <c r="V65" s="1">
        <v>0</v>
      </c>
      <c r="W65" s="1">
        <v>0</v>
      </c>
      <c r="X65" s="1">
        <f t="shared" si="3"/>
        <v>2</v>
      </c>
      <c r="Y65" s="1">
        <v>0.5</v>
      </c>
      <c r="Z65" s="26">
        <v>0</v>
      </c>
      <c r="AA65" s="26">
        <v>0</v>
      </c>
      <c r="AB65" s="1">
        <v>0</v>
      </c>
      <c r="AC65" s="1">
        <v>0</v>
      </c>
      <c r="AD65" s="1">
        <f t="shared" si="4"/>
        <v>0</v>
      </c>
      <c r="AE65" s="1">
        <v>0</v>
      </c>
      <c r="AF65" s="22">
        <f t="shared" si="28"/>
        <v>2</v>
      </c>
      <c r="AG65" s="22">
        <f t="shared" si="29"/>
        <v>0</v>
      </c>
      <c r="AH65" s="9">
        <f t="shared" si="7"/>
        <v>0</v>
      </c>
      <c r="AI65" s="22">
        <f t="shared" si="30"/>
        <v>0</v>
      </c>
      <c r="AJ65" s="22">
        <f t="shared" si="31"/>
        <v>2</v>
      </c>
      <c r="AK65" s="22">
        <f t="shared" si="11"/>
        <v>0.5</v>
      </c>
    </row>
    <row r="66" spans="1:38" x14ac:dyDescent="0.2">
      <c r="A66">
        <v>2011</v>
      </c>
      <c r="B66" s="20" t="s">
        <v>46</v>
      </c>
      <c r="C66" s="12">
        <v>40724</v>
      </c>
      <c r="D66" s="3">
        <v>55</v>
      </c>
      <c r="E66" s="20" t="s">
        <v>61</v>
      </c>
      <c r="H66" s="1" t="s">
        <v>1</v>
      </c>
      <c r="I66" s="1" t="s">
        <v>1</v>
      </c>
      <c r="J66" s="1">
        <v>0</v>
      </c>
      <c r="K66" s="1">
        <v>0</v>
      </c>
      <c r="L66" s="1">
        <f t="shared" si="1"/>
        <v>0</v>
      </c>
      <c r="M66" s="1">
        <v>0</v>
      </c>
      <c r="N66" s="1" t="s">
        <v>1</v>
      </c>
      <c r="O66" s="1" t="s">
        <v>1</v>
      </c>
      <c r="P66" s="1">
        <v>0</v>
      </c>
      <c r="Q66" s="1">
        <v>0</v>
      </c>
      <c r="R66" s="1">
        <f t="shared" si="2"/>
        <v>0</v>
      </c>
      <c r="S66" s="1">
        <v>0</v>
      </c>
      <c r="T66" s="1" t="s">
        <v>1</v>
      </c>
      <c r="U66" s="1" t="s">
        <v>1</v>
      </c>
      <c r="V66" s="1">
        <v>0</v>
      </c>
      <c r="W66" s="1">
        <v>0</v>
      </c>
      <c r="X66" s="1">
        <f t="shared" si="3"/>
        <v>0</v>
      </c>
      <c r="Y66" s="1">
        <v>0</v>
      </c>
      <c r="Z66" s="1" t="s">
        <v>1</v>
      </c>
      <c r="AA66" s="1" t="s">
        <v>1</v>
      </c>
      <c r="AB66" s="1">
        <v>1</v>
      </c>
      <c r="AC66" s="1">
        <v>0</v>
      </c>
      <c r="AD66" s="1">
        <f t="shared" si="4"/>
        <v>1</v>
      </c>
      <c r="AE66" s="1">
        <v>1.5</v>
      </c>
      <c r="AF66" s="22">
        <f t="shared" si="28"/>
        <v>0</v>
      </c>
      <c r="AG66" s="22">
        <f t="shared" si="29"/>
        <v>0</v>
      </c>
      <c r="AH66" s="9">
        <f t="shared" si="7"/>
        <v>1</v>
      </c>
      <c r="AI66" s="22">
        <f t="shared" si="30"/>
        <v>0</v>
      </c>
      <c r="AJ66" s="22">
        <f t="shared" si="31"/>
        <v>1</v>
      </c>
      <c r="AK66" s="22">
        <f t="shared" si="11"/>
        <v>1.5</v>
      </c>
    </row>
    <row r="67" spans="1:38" s="36" customFormat="1" x14ac:dyDescent="0.2">
      <c r="A67" s="36">
        <v>2011</v>
      </c>
      <c r="B67" s="31" t="s">
        <v>46</v>
      </c>
      <c r="C67" s="38">
        <v>40757</v>
      </c>
      <c r="D67" s="39">
        <v>56</v>
      </c>
      <c r="E67" s="31" t="s">
        <v>47</v>
      </c>
      <c r="H67" s="35">
        <v>0</v>
      </c>
      <c r="I67" s="35">
        <v>43</v>
      </c>
      <c r="J67" s="35">
        <v>0</v>
      </c>
      <c r="K67" s="35">
        <v>0</v>
      </c>
      <c r="L67" s="35">
        <f t="shared" ref="L67:L89" si="32">SUM(H67:K67)</f>
        <v>43</v>
      </c>
      <c r="M67" s="35">
        <v>8</v>
      </c>
      <c r="N67" s="35">
        <v>0</v>
      </c>
      <c r="O67" s="35">
        <v>112</v>
      </c>
      <c r="P67" s="35">
        <v>0</v>
      </c>
      <c r="Q67" s="35">
        <v>0</v>
      </c>
      <c r="R67" s="35">
        <f t="shared" ref="R67:R89" si="33">SUM(N67:Q67)</f>
        <v>112</v>
      </c>
      <c r="S67" s="35">
        <v>15</v>
      </c>
      <c r="T67" s="35">
        <v>0</v>
      </c>
      <c r="U67" s="35">
        <v>57</v>
      </c>
      <c r="V67" s="35">
        <v>0</v>
      </c>
      <c r="W67" s="35">
        <v>0</v>
      </c>
      <c r="X67" s="35">
        <f t="shared" ref="X67:X89" si="34">SUM(T67:W67)</f>
        <v>57</v>
      </c>
      <c r="Y67" s="35">
        <v>8</v>
      </c>
      <c r="Z67" s="35">
        <v>0</v>
      </c>
      <c r="AA67" s="35">
        <v>107</v>
      </c>
      <c r="AB67" s="35">
        <v>0</v>
      </c>
      <c r="AC67" s="35">
        <v>0</v>
      </c>
      <c r="AD67" s="35">
        <f>SUM(Z67:AC67)</f>
        <v>107</v>
      </c>
      <c r="AE67" s="35">
        <v>15</v>
      </c>
      <c r="AF67" s="42">
        <f t="shared" ref="AF67:AF74" si="35">SUM(H67,N67,T67,Z67)</f>
        <v>0</v>
      </c>
      <c r="AG67" s="42">
        <f t="shared" ref="AG67:AG74" si="36">SUM(I67,O67,U67,AA67)</f>
        <v>319</v>
      </c>
      <c r="AH67" s="42">
        <f t="shared" ref="AH67:AH89" si="37">SUM(J67,P67,V67,AB67)</f>
        <v>0</v>
      </c>
      <c r="AI67" s="42">
        <f t="shared" ref="AI67:AI74" si="38">SUM(K67,Q67,W67,AC67)</f>
        <v>0</v>
      </c>
      <c r="AJ67" s="40">
        <f t="shared" ref="AJ67:AJ74" si="39">SUM(AF67:AI67)</f>
        <v>319</v>
      </c>
      <c r="AK67" s="40">
        <f t="shared" ref="AK67:AK89" si="40">M67+S67+Y67+AE67</f>
        <v>46</v>
      </c>
      <c r="AL67" s="41"/>
    </row>
    <row r="68" spans="1:38" x14ac:dyDescent="0.2">
      <c r="A68">
        <v>2011</v>
      </c>
      <c r="B68" s="20" t="s">
        <v>46</v>
      </c>
      <c r="C68" s="12">
        <v>40757</v>
      </c>
      <c r="D68" s="3">
        <v>56</v>
      </c>
      <c r="E68" s="20" t="s">
        <v>55</v>
      </c>
      <c r="H68" s="1" t="s">
        <v>1</v>
      </c>
      <c r="I68" s="1" t="s">
        <v>1</v>
      </c>
      <c r="J68" s="1">
        <v>1</v>
      </c>
      <c r="K68" s="1">
        <v>0</v>
      </c>
      <c r="L68" s="1">
        <f t="shared" si="32"/>
        <v>1</v>
      </c>
      <c r="M68" s="1">
        <v>1.5</v>
      </c>
      <c r="N68" s="1" t="s">
        <v>1</v>
      </c>
      <c r="O68" s="1" t="s">
        <v>1</v>
      </c>
      <c r="P68" s="1">
        <v>0</v>
      </c>
      <c r="Q68" s="1">
        <v>0</v>
      </c>
      <c r="R68" s="1">
        <f t="shared" si="33"/>
        <v>0</v>
      </c>
      <c r="S68" s="1">
        <v>0</v>
      </c>
      <c r="T68" s="1" t="s">
        <v>1</v>
      </c>
      <c r="U68" s="1" t="s">
        <v>1</v>
      </c>
      <c r="V68" s="1">
        <v>0</v>
      </c>
      <c r="W68" s="1">
        <v>0</v>
      </c>
      <c r="X68" s="1">
        <f t="shared" si="34"/>
        <v>0</v>
      </c>
      <c r="Y68" s="1">
        <v>0</v>
      </c>
      <c r="Z68" s="1" t="s">
        <v>1</v>
      </c>
      <c r="AA68" s="1" t="s">
        <v>1</v>
      </c>
      <c r="AB68" s="1">
        <v>0</v>
      </c>
      <c r="AC68" s="1">
        <v>0</v>
      </c>
      <c r="AD68" s="1">
        <f t="shared" ref="AD68:AD74" si="41">SUM(Z68:AC68)</f>
        <v>0</v>
      </c>
      <c r="AE68" s="1">
        <v>0</v>
      </c>
      <c r="AF68" s="9">
        <f t="shared" si="35"/>
        <v>0</v>
      </c>
      <c r="AG68" s="9">
        <f t="shared" si="36"/>
        <v>0</v>
      </c>
      <c r="AH68" s="9">
        <f t="shared" si="37"/>
        <v>1</v>
      </c>
      <c r="AI68" s="9">
        <f t="shared" si="38"/>
        <v>0</v>
      </c>
      <c r="AJ68" s="22">
        <f t="shared" si="39"/>
        <v>1</v>
      </c>
      <c r="AK68" s="22">
        <f t="shared" si="40"/>
        <v>1.5</v>
      </c>
    </row>
    <row r="69" spans="1:38" x14ac:dyDescent="0.2">
      <c r="A69">
        <v>2011</v>
      </c>
      <c r="B69" s="20" t="s">
        <v>46</v>
      </c>
      <c r="C69" s="12">
        <v>40757</v>
      </c>
      <c r="D69" s="3">
        <v>56</v>
      </c>
      <c r="E69" s="20" t="s">
        <v>58</v>
      </c>
      <c r="H69" s="1" t="s">
        <v>1</v>
      </c>
      <c r="I69" s="1" t="s">
        <v>1</v>
      </c>
      <c r="J69" s="1">
        <v>0</v>
      </c>
      <c r="K69" s="1">
        <v>0</v>
      </c>
      <c r="L69" s="1">
        <f t="shared" si="32"/>
        <v>0</v>
      </c>
      <c r="M69" s="1">
        <v>0</v>
      </c>
      <c r="N69" s="1" t="s">
        <v>1</v>
      </c>
      <c r="O69" s="1" t="s">
        <v>1</v>
      </c>
      <c r="P69" s="1">
        <v>1</v>
      </c>
      <c r="Q69" s="1">
        <v>0</v>
      </c>
      <c r="R69" s="1">
        <f t="shared" si="33"/>
        <v>1</v>
      </c>
      <c r="S69" s="1">
        <v>1.5</v>
      </c>
      <c r="T69" s="1" t="s">
        <v>1</v>
      </c>
      <c r="U69" s="1" t="s">
        <v>1</v>
      </c>
      <c r="V69" s="1">
        <v>2</v>
      </c>
      <c r="W69" s="1">
        <v>1</v>
      </c>
      <c r="X69" s="1">
        <f t="shared" si="34"/>
        <v>3</v>
      </c>
      <c r="Y69" s="1">
        <v>15</v>
      </c>
      <c r="Z69" s="1" t="s">
        <v>1</v>
      </c>
      <c r="AA69" s="1" t="s">
        <v>1</v>
      </c>
      <c r="AB69" s="1">
        <v>2</v>
      </c>
      <c r="AC69" s="1">
        <v>0</v>
      </c>
      <c r="AD69" s="1">
        <f t="shared" si="41"/>
        <v>2</v>
      </c>
      <c r="AE69" s="1">
        <v>8</v>
      </c>
      <c r="AF69" s="9">
        <f t="shared" si="35"/>
        <v>0</v>
      </c>
      <c r="AG69" s="9">
        <f t="shared" si="36"/>
        <v>0</v>
      </c>
      <c r="AH69" s="9">
        <f t="shared" si="37"/>
        <v>5</v>
      </c>
      <c r="AI69" s="9">
        <f t="shared" si="38"/>
        <v>1</v>
      </c>
      <c r="AJ69" s="22">
        <f t="shared" si="39"/>
        <v>6</v>
      </c>
      <c r="AK69" s="22">
        <f t="shared" si="40"/>
        <v>24.5</v>
      </c>
    </row>
    <row r="70" spans="1:38" x14ac:dyDescent="0.2">
      <c r="A70">
        <v>2011</v>
      </c>
      <c r="B70" s="20" t="s">
        <v>46</v>
      </c>
      <c r="C70" s="12">
        <v>40757</v>
      </c>
      <c r="D70" s="3">
        <v>56</v>
      </c>
      <c r="E70" s="20" t="s">
        <v>64</v>
      </c>
      <c r="H70" s="1" t="s">
        <v>1</v>
      </c>
      <c r="I70" s="1" t="s">
        <v>1</v>
      </c>
      <c r="J70" s="1">
        <v>0</v>
      </c>
      <c r="K70" s="1">
        <v>0</v>
      </c>
      <c r="L70" s="1">
        <f t="shared" si="32"/>
        <v>0</v>
      </c>
      <c r="M70" s="1">
        <v>0</v>
      </c>
      <c r="N70" s="1" t="s">
        <v>1</v>
      </c>
      <c r="O70" s="1" t="s">
        <v>1</v>
      </c>
      <c r="P70" s="1">
        <v>1</v>
      </c>
      <c r="Q70" s="1">
        <v>0</v>
      </c>
      <c r="R70" s="1">
        <f t="shared" si="33"/>
        <v>1</v>
      </c>
      <c r="S70" s="1">
        <v>3.5</v>
      </c>
      <c r="T70" s="1" t="s">
        <v>1</v>
      </c>
      <c r="U70" s="1" t="s">
        <v>1</v>
      </c>
      <c r="V70" s="1">
        <v>0</v>
      </c>
      <c r="W70" s="1">
        <v>0</v>
      </c>
      <c r="X70" s="1">
        <f t="shared" si="34"/>
        <v>0</v>
      </c>
      <c r="Y70" s="1">
        <v>0</v>
      </c>
      <c r="Z70" s="1" t="s">
        <v>1</v>
      </c>
      <c r="AA70" s="1" t="s">
        <v>1</v>
      </c>
      <c r="AB70" s="1">
        <v>0</v>
      </c>
      <c r="AC70" s="1">
        <v>0</v>
      </c>
      <c r="AD70" s="1">
        <f t="shared" si="41"/>
        <v>0</v>
      </c>
      <c r="AE70" s="1">
        <v>0</v>
      </c>
      <c r="AF70" s="9">
        <f t="shared" si="35"/>
        <v>0</v>
      </c>
      <c r="AG70" s="9">
        <f t="shared" si="36"/>
        <v>0</v>
      </c>
      <c r="AH70" s="9">
        <f t="shared" si="37"/>
        <v>1</v>
      </c>
      <c r="AI70" s="9">
        <f t="shared" si="38"/>
        <v>0</v>
      </c>
      <c r="AJ70" s="22">
        <f t="shared" si="39"/>
        <v>1</v>
      </c>
      <c r="AK70" s="22">
        <f t="shared" si="40"/>
        <v>3.5</v>
      </c>
    </row>
    <row r="71" spans="1:38" x14ac:dyDescent="0.2">
      <c r="A71">
        <v>2011</v>
      </c>
      <c r="B71" s="20" t="s">
        <v>46</v>
      </c>
      <c r="C71" s="12">
        <v>40757</v>
      </c>
      <c r="D71" s="3">
        <v>56</v>
      </c>
      <c r="E71" s="20" t="s">
        <v>49</v>
      </c>
      <c r="H71" s="1" t="s">
        <v>1</v>
      </c>
      <c r="I71" s="1" t="s">
        <v>1</v>
      </c>
      <c r="J71" s="1">
        <v>0</v>
      </c>
      <c r="K71" s="1">
        <v>0</v>
      </c>
      <c r="L71" s="1">
        <f t="shared" si="32"/>
        <v>0</v>
      </c>
      <c r="M71" s="1">
        <v>0</v>
      </c>
      <c r="N71" s="1" t="s">
        <v>1</v>
      </c>
      <c r="O71" s="1" t="s">
        <v>1</v>
      </c>
      <c r="P71" s="1">
        <v>0</v>
      </c>
      <c r="Q71" s="1">
        <v>0</v>
      </c>
      <c r="R71" s="1">
        <f t="shared" si="33"/>
        <v>0</v>
      </c>
      <c r="S71" s="1">
        <v>0</v>
      </c>
      <c r="T71" s="1" t="s">
        <v>1</v>
      </c>
      <c r="U71" s="1" t="s">
        <v>1</v>
      </c>
      <c r="V71" s="1">
        <v>1</v>
      </c>
      <c r="W71" s="1">
        <v>1</v>
      </c>
      <c r="X71" s="1">
        <f t="shared" si="34"/>
        <v>2</v>
      </c>
      <c r="Y71" s="1">
        <v>15</v>
      </c>
      <c r="Z71" s="1" t="s">
        <v>1</v>
      </c>
      <c r="AA71" s="1" t="s">
        <v>1</v>
      </c>
      <c r="AB71" s="1">
        <v>0</v>
      </c>
      <c r="AC71" s="1">
        <v>0</v>
      </c>
      <c r="AD71" s="1">
        <f t="shared" si="41"/>
        <v>0</v>
      </c>
      <c r="AE71" s="1">
        <v>0</v>
      </c>
      <c r="AF71" s="9">
        <f t="shared" si="35"/>
        <v>0</v>
      </c>
      <c r="AG71" s="9">
        <f t="shared" si="36"/>
        <v>0</v>
      </c>
      <c r="AH71" s="9">
        <f t="shared" si="37"/>
        <v>1</v>
      </c>
      <c r="AI71" s="9">
        <f t="shared" si="38"/>
        <v>1</v>
      </c>
      <c r="AJ71" s="22">
        <f t="shared" si="39"/>
        <v>2</v>
      </c>
      <c r="AK71" s="22">
        <f t="shared" si="40"/>
        <v>15</v>
      </c>
    </row>
    <row r="72" spans="1:38" x14ac:dyDescent="0.2">
      <c r="A72">
        <v>2011</v>
      </c>
      <c r="B72" s="20" t="s">
        <v>46</v>
      </c>
      <c r="C72" s="12">
        <v>40757</v>
      </c>
      <c r="D72" s="3">
        <v>56</v>
      </c>
      <c r="E72" s="20" t="s">
        <v>67</v>
      </c>
      <c r="H72" s="1" t="s">
        <v>1</v>
      </c>
      <c r="I72" s="1" t="s">
        <v>1</v>
      </c>
      <c r="J72" s="1">
        <v>0</v>
      </c>
      <c r="K72" s="1">
        <v>0</v>
      </c>
      <c r="L72" s="1">
        <f t="shared" si="32"/>
        <v>0</v>
      </c>
      <c r="M72" s="1">
        <v>0</v>
      </c>
      <c r="N72" s="1" t="s">
        <v>1</v>
      </c>
      <c r="O72" s="1" t="s">
        <v>1</v>
      </c>
      <c r="P72" s="1">
        <v>0</v>
      </c>
      <c r="Q72" s="1">
        <v>0</v>
      </c>
      <c r="R72" s="1">
        <f t="shared" si="33"/>
        <v>0</v>
      </c>
      <c r="S72" s="1">
        <v>0</v>
      </c>
      <c r="T72" s="1" t="s">
        <v>1</v>
      </c>
      <c r="U72" s="1" t="s">
        <v>1</v>
      </c>
      <c r="V72" s="1">
        <v>1</v>
      </c>
      <c r="W72" s="1">
        <v>0</v>
      </c>
      <c r="X72" s="1">
        <f t="shared" si="34"/>
        <v>1</v>
      </c>
      <c r="Y72" s="1">
        <v>1.5</v>
      </c>
      <c r="Z72" s="1" t="s">
        <v>1</v>
      </c>
      <c r="AA72" s="1" t="s">
        <v>1</v>
      </c>
      <c r="AB72" s="1">
        <v>0</v>
      </c>
      <c r="AC72" s="1">
        <v>0</v>
      </c>
      <c r="AD72" s="1">
        <f t="shared" si="41"/>
        <v>0</v>
      </c>
      <c r="AE72" s="1">
        <v>0</v>
      </c>
      <c r="AF72" s="9">
        <f t="shared" si="35"/>
        <v>0</v>
      </c>
      <c r="AG72" s="9">
        <f t="shared" si="36"/>
        <v>0</v>
      </c>
      <c r="AH72" s="9">
        <f t="shared" si="37"/>
        <v>1</v>
      </c>
      <c r="AI72" s="9">
        <f t="shared" si="38"/>
        <v>0</v>
      </c>
      <c r="AJ72" s="22">
        <f t="shared" si="39"/>
        <v>1</v>
      </c>
      <c r="AK72" s="22">
        <f t="shared" si="40"/>
        <v>1.5</v>
      </c>
    </row>
    <row r="73" spans="1:38" x14ac:dyDescent="0.2">
      <c r="A73">
        <v>2011</v>
      </c>
      <c r="B73" s="20" t="s">
        <v>46</v>
      </c>
      <c r="C73" s="12">
        <v>40757</v>
      </c>
      <c r="D73" s="3">
        <v>56</v>
      </c>
      <c r="E73" s="20" t="s">
        <v>56</v>
      </c>
      <c r="H73" s="1">
        <v>0</v>
      </c>
      <c r="I73" s="1">
        <v>0</v>
      </c>
      <c r="J73" s="1">
        <v>0</v>
      </c>
      <c r="K73" s="1">
        <v>0</v>
      </c>
      <c r="L73" s="1">
        <f t="shared" si="32"/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f t="shared" si="33"/>
        <v>0</v>
      </c>
      <c r="S73" s="1">
        <v>0</v>
      </c>
      <c r="T73" s="1">
        <v>1</v>
      </c>
      <c r="U73" s="1">
        <v>0</v>
      </c>
      <c r="V73" s="1">
        <v>0</v>
      </c>
      <c r="W73" s="1">
        <v>0</v>
      </c>
      <c r="X73" s="1">
        <f t="shared" si="34"/>
        <v>1</v>
      </c>
      <c r="Y73" s="1">
        <v>0.5</v>
      </c>
      <c r="Z73" s="1">
        <v>0</v>
      </c>
      <c r="AA73" s="1">
        <v>0</v>
      </c>
      <c r="AB73" s="1">
        <v>0</v>
      </c>
      <c r="AC73" s="1">
        <v>0</v>
      </c>
      <c r="AD73" s="1">
        <f t="shared" si="41"/>
        <v>0</v>
      </c>
      <c r="AE73" s="1">
        <v>0</v>
      </c>
      <c r="AF73" s="9">
        <f t="shared" si="35"/>
        <v>1</v>
      </c>
      <c r="AG73" s="9">
        <f t="shared" si="36"/>
        <v>0</v>
      </c>
      <c r="AH73" s="9">
        <f t="shared" si="37"/>
        <v>0</v>
      </c>
      <c r="AI73" s="9">
        <f t="shared" si="38"/>
        <v>0</v>
      </c>
      <c r="AJ73" s="22">
        <f t="shared" si="39"/>
        <v>1</v>
      </c>
      <c r="AK73" s="22">
        <f t="shared" si="40"/>
        <v>0.5</v>
      </c>
    </row>
    <row r="74" spans="1:38" x14ac:dyDescent="0.2">
      <c r="A74">
        <v>2011</v>
      </c>
      <c r="B74" s="20" t="s">
        <v>46</v>
      </c>
      <c r="C74" s="12">
        <v>40757</v>
      </c>
      <c r="D74" s="3">
        <v>56</v>
      </c>
      <c r="E74" s="20" t="s">
        <v>60</v>
      </c>
      <c r="H74" s="1">
        <v>0</v>
      </c>
      <c r="I74" s="1">
        <v>0</v>
      </c>
      <c r="J74" s="1">
        <v>0</v>
      </c>
      <c r="K74" s="1">
        <v>0</v>
      </c>
      <c r="L74" s="1">
        <f t="shared" si="32"/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f t="shared" si="33"/>
        <v>0</v>
      </c>
      <c r="S74" s="1">
        <v>0</v>
      </c>
      <c r="T74" s="1">
        <v>0</v>
      </c>
      <c r="U74" s="1">
        <v>1</v>
      </c>
      <c r="V74" s="1">
        <v>0</v>
      </c>
      <c r="W74" s="1">
        <v>0</v>
      </c>
      <c r="X74" s="1">
        <f t="shared" si="34"/>
        <v>1</v>
      </c>
      <c r="Y74" s="1">
        <v>0.5</v>
      </c>
      <c r="Z74" s="1">
        <v>0</v>
      </c>
      <c r="AA74" s="1">
        <v>0</v>
      </c>
      <c r="AB74" s="1">
        <v>0</v>
      </c>
      <c r="AC74" s="1">
        <v>0</v>
      </c>
      <c r="AD74" s="1">
        <f t="shared" si="41"/>
        <v>0</v>
      </c>
      <c r="AE74" s="1">
        <v>0</v>
      </c>
      <c r="AF74" s="9">
        <f t="shared" si="35"/>
        <v>0</v>
      </c>
      <c r="AG74" s="9">
        <f t="shared" si="36"/>
        <v>1</v>
      </c>
      <c r="AH74" s="9">
        <f t="shared" si="37"/>
        <v>0</v>
      </c>
      <c r="AI74" s="9">
        <f t="shared" si="38"/>
        <v>0</v>
      </c>
      <c r="AJ74" s="22">
        <f t="shared" si="39"/>
        <v>1</v>
      </c>
      <c r="AK74" s="22">
        <f t="shared" si="40"/>
        <v>0.5</v>
      </c>
    </row>
    <row r="75" spans="1:38" s="36" customFormat="1" x14ac:dyDescent="0.2">
      <c r="A75" s="36">
        <v>2011</v>
      </c>
      <c r="B75" s="31" t="s">
        <v>46</v>
      </c>
      <c r="C75" s="38">
        <v>40757</v>
      </c>
      <c r="D75" s="39">
        <v>57</v>
      </c>
      <c r="E75" s="31" t="s">
        <v>47</v>
      </c>
      <c r="H75" s="35">
        <v>0</v>
      </c>
      <c r="I75" s="35">
        <v>94</v>
      </c>
      <c r="J75" s="35">
        <v>0</v>
      </c>
      <c r="K75" s="35">
        <v>0</v>
      </c>
      <c r="L75" s="35">
        <f t="shared" si="32"/>
        <v>94</v>
      </c>
      <c r="M75" s="35">
        <v>15</v>
      </c>
      <c r="N75" s="35">
        <v>0</v>
      </c>
      <c r="O75" s="35">
        <v>96</v>
      </c>
      <c r="P75" s="35">
        <v>0</v>
      </c>
      <c r="Q75" s="35">
        <v>0</v>
      </c>
      <c r="R75" s="35">
        <f t="shared" si="33"/>
        <v>96</v>
      </c>
      <c r="S75" s="35">
        <v>8</v>
      </c>
      <c r="T75" s="35">
        <v>0</v>
      </c>
      <c r="U75" s="35">
        <v>21</v>
      </c>
      <c r="V75" s="35">
        <v>0</v>
      </c>
      <c r="W75" s="35">
        <v>0</v>
      </c>
      <c r="X75" s="35">
        <f t="shared" si="34"/>
        <v>21</v>
      </c>
      <c r="Y75" s="35">
        <v>3.5</v>
      </c>
      <c r="Z75" s="35">
        <v>0</v>
      </c>
      <c r="AA75" s="35">
        <v>126</v>
      </c>
      <c r="AB75" s="35">
        <v>3</v>
      </c>
      <c r="AC75" s="35">
        <v>0</v>
      </c>
      <c r="AD75" s="35">
        <f t="shared" ref="AD75:AD82" si="42">SUM(AA75:AC75)</f>
        <v>129</v>
      </c>
      <c r="AE75" s="35">
        <v>25</v>
      </c>
      <c r="AF75" s="42">
        <f t="shared" ref="AF75:AF89" si="43">SUM(H75,N75,T75,Z75)</f>
        <v>0</v>
      </c>
      <c r="AG75" s="42">
        <f t="shared" ref="AG75:AG89" si="44">SUM(I75,O75,U75,AA75)</f>
        <v>337</v>
      </c>
      <c r="AH75" s="42">
        <f t="shared" si="37"/>
        <v>3</v>
      </c>
      <c r="AI75" s="42">
        <f t="shared" ref="AI75:AI89" si="45">SUM(K75,Q75,W75,AC75)</f>
        <v>0</v>
      </c>
      <c r="AJ75" s="40">
        <f t="shared" ref="AJ75:AJ89" si="46">SUM(AF75:AI75)</f>
        <v>340</v>
      </c>
      <c r="AK75" s="40">
        <f t="shared" si="40"/>
        <v>51.5</v>
      </c>
      <c r="AL75" s="41"/>
    </row>
    <row r="76" spans="1:38" x14ac:dyDescent="0.2">
      <c r="A76">
        <v>2011</v>
      </c>
      <c r="B76" s="20" t="s">
        <v>46</v>
      </c>
      <c r="C76" s="12">
        <v>40757</v>
      </c>
      <c r="D76" s="3">
        <v>57</v>
      </c>
      <c r="E76" s="20" t="s">
        <v>61</v>
      </c>
      <c r="H76" s="1" t="s">
        <v>1</v>
      </c>
      <c r="I76" s="1" t="s">
        <v>1</v>
      </c>
      <c r="J76" s="1">
        <v>1</v>
      </c>
      <c r="K76" s="1">
        <v>0</v>
      </c>
      <c r="L76" s="1">
        <f t="shared" si="32"/>
        <v>1</v>
      </c>
      <c r="M76" s="1">
        <v>3.5</v>
      </c>
      <c r="N76" s="1" t="s">
        <v>1</v>
      </c>
      <c r="O76" s="1" t="s">
        <v>1</v>
      </c>
      <c r="P76" s="1">
        <v>0</v>
      </c>
      <c r="Q76" s="1">
        <v>0</v>
      </c>
      <c r="R76" s="1">
        <f t="shared" si="33"/>
        <v>0</v>
      </c>
      <c r="S76" s="1">
        <v>0</v>
      </c>
      <c r="T76" s="1" t="s">
        <v>1</v>
      </c>
      <c r="U76" s="1" t="s">
        <v>1</v>
      </c>
      <c r="V76" s="1">
        <v>0</v>
      </c>
      <c r="W76" s="1">
        <v>0</v>
      </c>
      <c r="X76" s="1">
        <f t="shared" si="34"/>
        <v>0</v>
      </c>
      <c r="Y76" s="1">
        <v>0</v>
      </c>
      <c r="Z76" s="1" t="s">
        <v>1</v>
      </c>
      <c r="AA76" s="1" t="s">
        <v>1</v>
      </c>
      <c r="AB76" s="1">
        <v>1</v>
      </c>
      <c r="AC76" s="1">
        <v>0</v>
      </c>
      <c r="AD76" s="1">
        <f t="shared" si="42"/>
        <v>1</v>
      </c>
      <c r="AE76" s="1">
        <v>1.5</v>
      </c>
      <c r="AF76" s="9">
        <f t="shared" si="43"/>
        <v>0</v>
      </c>
      <c r="AG76" s="9">
        <f t="shared" si="44"/>
        <v>0</v>
      </c>
      <c r="AH76" s="9">
        <f t="shared" si="37"/>
        <v>2</v>
      </c>
      <c r="AI76" s="9">
        <f t="shared" si="45"/>
        <v>0</v>
      </c>
      <c r="AJ76" s="22">
        <f t="shared" si="46"/>
        <v>2</v>
      </c>
      <c r="AK76" s="22">
        <f t="shared" si="40"/>
        <v>5</v>
      </c>
    </row>
    <row r="77" spans="1:38" x14ac:dyDescent="0.2">
      <c r="A77">
        <v>2011</v>
      </c>
      <c r="B77" s="20" t="s">
        <v>46</v>
      </c>
      <c r="C77" s="12">
        <v>40757</v>
      </c>
      <c r="D77" s="3">
        <v>57</v>
      </c>
      <c r="E77" s="20" t="s">
        <v>64</v>
      </c>
      <c r="H77" s="1" t="s">
        <v>1</v>
      </c>
      <c r="I77" s="1" t="s">
        <v>1</v>
      </c>
      <c r="J77" s="1">
        <v>0</v>
      </c>
      <c r="K77" s="1">
        <v>0</v>
      </c>
      <c r="L77" s="1">
        <f t="shared" si="32"/>
        <v>0</v>
      </c>
      <c r="M77" s="1">
        <v>0</v>
      </c>
      <c r="N77" s="1" t="s">
        <v>1</v>
      </c>
      <c r="O77" s="1" t="s">
        <v>1</v>
      </c>
      <c r="P77" s="1">
        <v>2</v>
      </c>
      <c r="Q77" s="1">
        <v>0</v>
      </c>
      <c r="R77" s="1">
        <f t="shared" si="33"/>
        <v>2</v>
      </c>
      <c r="S77" s="1">
        <v>3.5</v>
      </c>
      <c r="T77" s="1" t="s">
        <v>1</v>
      </c>
      <c r="U77" s="1" t="s">
        <v>1</v>
      </c>
      <c r="V77" s="1">
        <v>0</v>
      </c>
      <c r="W77" s="1">
        <v>0</v>
      </c>
      <c r="X77" s="1">
        <f t="shared" si="34"/>
        <v>0</v>
      </c>
      <c r="Y77" s="1">
        <v>0</v>
      </c>
      <c r="Z77" s="1" t="s">
        <v>1</v>
      </c>
      <c r="AA77" s="1" t="s">
        <v>1</v>
      </c>
      <c r="AB77" s="1">
        <v>0</v>
      </c>
      <c r="AC77" s="1">
        <v>0</v>
      </c>
      <c r="AD77" s="1">
        <f t="shared" si="42"/>
        <v>0</v>
      </c>
      <c r="AE77" s="1">
        <v>0</v>
      </c>
      <c r="AF77" s="9">
        <f t="shared" si="43"/>
        <v>0</v>
      </c>
      <c r="AG77" s="9">
        <f t="shared" si="44"/>
        <v>0</v>
      </c>
      <c r="AH77" s="9">
        <f t="shared" si="37"/>
        <v>2</v>
      </c>
      <c r="AI77" s="9">
        <f t="shared" si="45"/>
        <v>0</v>
      </c>
      <c r="AJ77" s="22">
        <f t="shared" si="46"/>
        <v>2</v>
      </c>
      <c r="AK77" s="22">
        <f t="shared" si="40"/>
        <v>3.5</v>
      </c>
    </row>
    <row r="78" spans="1:38" x14ac:dyDescent="0.2">
      <c r="A78">
        <v>2011</v>
      </c>
      <c r="B78" s="20" t="s">
        <v>46</v>
      </c>
      <c r="C78" s="12">
        <v>40757</v>
      </c>
      <c r="D78" s="3">
        <v>57</v>
      </c>
      <c r="E78" s="20" t="s">
        <v>57</v>
      </c>
      <c r="H78" s="1" t="s">
        <v>1</v>
      </c>
      <c r="I78" s="1" t="s">
        <v>1</v>
      </c>
      <c r="J78" s="1">
        <v>0</v>
      </c>
      <c r="K78" s="1">
        <v>0</v>
      </c>
      <c r="L78" s="1">
        <f t="shared" si="32"/>
        <v>0</v>
      </c>
      <c r="M78" s="1">
        <v>0</v>
      </c>
      <c r="N78" s="1" t="s">
        <v>1</v>
      </c>
      <c r="O78" s="1" t="s">
        <v>1</v>
      </c>
      <c r="P78" s="1">
        <v>1</v>
      </c>
      <c r="Q78" s="1">
        <v>2</v>
      </c>
      <c r="R78" s="1">
        <f t="shared" si="33"/>
        <v>3</v>
      </c>
      <c r="S78" s="1">
        <v>55</v>
      </c>
      <c r="T78" s="1" t="s">
        <v>1</v>
      </c>
      <c r="U78" s="1" t="s">
        <v>1</v>
      </c>
      <c r="V78" s="1">
        <v>0</v>
      </c>
      <c r="W78" s="1">
        <v>0</v>
      </c>
      <c r="X78" s="1">
        <f t="shared" si="34"/>
        <v>0</v>
      </c>
      <c r="Y78" s="1">
        <v>0</v>
      </c>
      <c r="Z78" s="1" t="s">
        <v>1</v>
      </c>
      <c r="AA78" s="1" t="s">
        <v>1</v>
      </c>
      <c r="AB78" s="1">
        <v>0</v>
      </c>
      <c r="AC78" s="1">
        <v>0</v>
      </c>
      <c r="AD78" s="1">
        <f t="shared" si="42"/>
        <v>0</v>
      </c>
      <c r="AE78" s="1">
        <v>0</v>
      </c>
      <c r="AF78" s="9">
        <f t="shared" si="43"/>
        <v>0</v>
      </c>
      <c r="AG78" s="9">
        <f t="shared" si="44"/>
        <v>0</v>
      </c>
      <c r="AH78" s="9">
        <f t="shared" si="37"/>
        <v>1</v>
      </c>
      <c r="AI78" s="9">
        <f t="shared" si="45"/>
        <v>2</v>
      </c>
      <c r="AJ78" s="22">
        <f t="shared" si="46"/>
        <v>3</v>
      </c>
      <c r="AK78" s="22">
        <f t="shared" si="40"/>
        <v>55</v>
      </c>
    </row>
    <row r="79" spans="1:38" x14ac:dyDescent="0.2">
      <c r="A79">
        <v>2011</v>
      </c>
      <c r="B79" s="20" t="s">
        <v>46</v>
      </c>
      <c r="C79" s="12">
        <v>40757</v>
      </c>
      <c r="D79" s="3">
        <v>57</v>
      </c>
      <c r="E79" s="20" t="s">
        <v>50</v>
      </c>
      <c r="H79" s="1" t="s">
        <v>1</v>
      </c>
      <c r="I79" s="1" t="s">
        <v>1</v>
      </c>
      <c r="J79" s="1">
        <v>0</v>
      </c>
      <c r="K79" s="1">
        <v>0</v>
      </c>
      <c r="L79" s="1">
        <f t="shared" si="32"/>
        <v>0</v>
      </c>
      <c r="M79" s="1">
        <v>0</v>
      </c>
      <c r="N79" s="1" t="s">
        <v>1</v>
      </c>
      <c r="O79" s="1" t="s">
        <v>1</v>
      </c>
      <c r="P79" s="1">
        <v>3</v>
      </c>
      <c r="Q79" s="1">
        <v>0</v>
      </c>
      <c r="R79" s="1">
        <f t="shared" si="33"/>
        <v>3</v>
      </c>
      <c r="S79" s="1">
        <v>3.5</v>
      </c>
      <c r="T79" s="1" t="s">
        <v>1</v>
      </c>
      <c r="U79" s="1" t="s">
        <v>1</v>
      </c>
      <c r="V79" s="1">
        <v>0</v>
      </c>
      <c r="W79" s="1">
        <v>0</v>
      </c>
      <c r="X79" s="1">
        <f t="shared" si="34"/>
        <v>0</v>
      </c>
      <c r="Y79" s="1">
        <v>0</v>
      </c>
      <c r="Z79" s="1" t="s">
        <v>1</v>
      </c>
      <c r="AA79" s="1" t="s">
        <v>1</v>
      </c>
      <c r="AB79" s="1">
        <v>0</v>
      </c>
      <c r="AC79" s="1">
        <v>0</v>
      </c>
      <c r="AD79" s="1">
        <f t="shared" si="42"/>
        <v>0</v>
      </c>
      <c r="AE79" s="1">
        <v>0</v>
      </c>
      <c r="AF79" s="9">
        <f t="shared" si="43"/>
        <v>0</v>
      </c>
      <c r="AG79" s="9">
        <f t="shared" si="44"/>
        <v>0</v>
      </c>
      <c r="AH79" s="9">
        <f t="shared" si="37"/>
        <v>3</v>
      </c>
      <c r="AI79" s="9">
        <f t="shared" si="45"/>
        <v>0</v>
      </c>
      <c r="AJ79" s="22">
        <f t="shared" si="46"/>
        <v>3</v>
      </c>
      <c r="AK79" s="22">
        <f t="shared" si="40"/>
        <v>3.5</v>
      </c>
    </row>
    <row r="80" spans="1:38" x14ac:dyDescent="0.2">
      <c r="A80">
        <v>2011</v>
      </c>
      <c r="B80" s="20" t="s">
        <v>46</v>
      </c>
      <c r="C80" s="12">
        <v>40757</v>
      </c>
      <c r="D80" s="3">
        <v>57</v>
      </c>
      <c r="E80" s="20" t="s">
        <v>68</v>
      </c>
      <c r="H80" s="1" t="s">
        <v>1</v>
      </c>
      <c r="I80" s="1" t="s">
        <v>1</v>
      </c>
      <c r="J80" s="1">
        <v>0</v>
      </c>
      <c r="K80" s="1">
        <v>0</v>
      </c>
      <c r="L80" s="1">
        <f t="shared" si="32"/>
        <v>0</v>
      </c>
      <c r="M80" s="1">
        <v>0</v>
      </c>
      <c r="N80" s="1" t="s">
        <v>1</v>
      </c>
      <c r="O80" s="1" t="s">
        <v>1</v>
      </c>
      <c r="P80" s="1">
        <v>1</v>
      </c>
      <c r="Q80" s="1">
        <v>0</v>
      </c>
      <c r="R80" s="1">
        <f t="shared" si="33"/>
        <v>1</v>
      </c>
      <c r="S80" s="1">
        <v>0.5</v>
      </c>
      <c r="T80" s="1" t="s">
        <v>1</v>
      </c>
      <c r="U80" s="1" t="s">
        <v>1</v>
      </c>
      <c r="V80" s="1">
        <v>0</v>
      </c>
      <c r="W80" s="1">
        <v>0</v>
      </c>
      <c r="X80" s="1">
        <f t="shared" si="34"/>
        <v>0</v>
      </c>
      <c r="Y80" s="1">
        <v>0</v>
      </c>
      <c r="Z80" s="1" t="s">
        <v>1</v>
      </c>
      <c r="AA80" s="1" t="s">
        <v>1</v>
      </c>
      <c r="AB80" s="1">
        <v>0</v>
      </c>
      <c r="AC80" s="1">
        <v>0</v>
      </c>
      <c r="AD80" s="1">
        <f t="shared" si="42"/>
        <v>0</v>
      </c>
      <c r="AE80" s="1">
        <v>0</v>
      </c>
      <c r="AF80" s="9">
        <f t="shared" si="43"/>
        <v>0</v>
      </c>
      <c r="AG80" s="9">
        <f t="shared" si="44"/>
        <v>0</v>
      </c>
      <c r="AH80" s="9">
        <f t="shared" si="37"/>
        <v>1</v>
      </c>
      <c r="AI80" s="9">
        <f t="shared" si="45"/>
        <v>0</v>
      </c>
      <c r="AJ80" s="22">
        <f t="shared" si="46"/>
        <v>1</v>
      </c>
      <c r="AK80" s="22">
        <f t="shared" si="40"/>
        <v>0.5</v>
      </c>
    </row>
    <row r="81" spans="1:38" x14ac:dyDescent="0.2">
      <c r="A81">
        <v>2011</v>
      </c>
      <c r="B81" s="20" t="s">
        <v>46</v>
      </c>
      <c r="C81" s="12">
        <v>40757</v>
      </c>
      <c r="D81" s="3">
        <v>57</v>
      </c>
      <c r="E81" s="20" t="s">
        <v>82</v>
      </c>
      <c r="H81" s="1">
        <v>0</v>
      </c>
      <c r="I81" s="1">
        <v>0</v>
      </c>
      <c r="J81" s="1">
        <v>0</v>
      </c>
      <c r="K81" s="1">
        <v>0</v>
      </c>
      <c r="L81" s="1">
        <f t="shared" si="32"/>
        <v>0</v>
      </c>
      <c r="M81" s="1">
        <v>0</v>
      </c>
      <c r="N81" s="1">
        <v>0</v>
      </c>
      <c r="O81" s="1">
        <v>1</v>
      </c>
      <c r="P81" s="1">
        <v>0</v>
      </c>
      <c r="Q81" s="1">
        <v>0</v>
      </c>
      <c r="R81" s="1">
        <f t="shared" si="33"/>
        <v>1</v>
      </c>
      <c r="S81" s="1">
        <v>0.5</v>
      </c>
      <c r="T81" s="1">
        <v>0</v>
      </c>
      <c r="U81" s="1">
        <v>0</v>
      </c>
      <c r="V81" s="1">
        <v>0</v>
      </c>
      <c r="W81" s="1">
        <v>0</v>
      </c>
      <c r="X81" s="1">
        <f t="shared" si="34"/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f t="shared" si="42"/>
        <v>0</v>
      </c>
      <c r="AE81" s="1">
        <v>0</v>
      </c>
      <c r="AF81" s="9">
        <f t="shared" si="43"/>
        <v>0</v>
      </c>
      <c r="AG81" s="9">
        <f t="shared" si="44"/>
        <v>1</v>
      </c>
      <c r="AH81" s="9">
        <f t="shared" si="37"/>
        <v>0</v>
      </c>
      <c r="AI81" s="9">
        <f t="shared" si="45"/>
        <v>0</v>
      </c>
      <c r="AJ81" s="22">
        <f t="shared" si="46"/>
        <v>1</v>
      </c>
      <c r="AK81" s="22">
        <f t="shared" si="40"/>
        <v>0.5</v>
      </c>
    </row>
    <row r="82" spans="1:38" s="36" customFormat="1" x14ac:dyDescent="0.2">
      <c r="A82" s="36">
        <v>2011</v>
      </c>
      <c r="B82" s="31" t="s">
        <v>46</v>
      </c>
      <c r="C82" s="38">
        <v>40757</v>
      </c>
      <c r="D82" s="39">
        <v>58</v>
      </c>
      <c r="E82" s="31" t="s">
        <v>47</v>
      </c>
      <c r="H82" s="35">
        <v>0</v>
      </c>
      <c r="I82" s="35">
        <v>63</v>
      </c>
      <c r="J82" s="35">
        <v>4</v>
      </c>
      <c r="K82" s="35">
        <v>0</v>
      </c>
      <c r="L82" s="35">
        <f t="shared" si="32"/>
        <v>67</v>
      </c>
      <c r="M82" s="35">
        <v>25</v>
      </c>
      <c r="N82" s="35">
        <v>0</v>
      </c>
      <c r="O82" s="35">
        <v>85</v>
      </c>
      <c r="P82" s="35">
        <v>2</v>
      </c>
      <c r="Q82" s="35">
        <v>0</v>
      </c>
      <c r="R82" s="35">
        <f t="shared" si="33"/>
        <v>87</v>
      </c>
      <c r="S82" s="35">
        <v>25</v>
      </c>
      <c r="T82" s="35">
        <v>0</v>
      </c>
      <c r="U82" s="35">
        <v>141</v>
      </c>
      <c r="V82" s="35">
        <v>0</v>
      </c>
      <c r="W82" s="35">
        <v>0</v>
      </c>
      <c r="X82" s="35">
        <f t="shared" si="34"/>
        <v>141</v>
      </c>
      <c r="Y82" s="35">
        <v>35</v>
      </c>
      <c r="Z82" s="35">
        <v>0</v>
      </c>
      <c r="AA82" s="35">
        <v>16</v>
      </c>
      <c r="AB82" s="35">
        <v>2</v>
      </c>
      <c r="AC82" s="35">
        <v>0</v>
      </c>
      <c r="AD82" s="35">
        <f t="shared" si="42"/>
        <v>18</v>
      </c>
      <c r="AE82" s="35">
        <v>15</v>
      </c>
      <c r="AF82" s="42">
        <f t="shared" si="43"/>
        <v>0</v>
      </c>
      <c r="AG82" s="42">
        <f t="shared" si="44"/>
        <v>305</v>
      </c>
      <c r="AH82" s="42">
        <f t="shared" si="37"/>
        <v>8</v>
      </c>
      <c r="AI82" s="42">
        <f t="shared" si="45"/>
        <v>0</v>
      </c>
      <c r="AJ82" s="40">
        <f t="shared" si="46"/>
        <v>313</v>
      </c>
      <c r="AK82" s="40">
        <f t="shared" si="40"/>
        <v>100</v>
      </c>
      <c r="AL82" s="41"/>
    </row>
    <row r="83" spans="1:38" x14ac:dyDescent="0.2">
      <c r="A83">
        <v>2011</v>
      </c>
      <c r="B83" s="20" t="s">
        <v>46</v>
      </c>
      <c r="C83" s="12">
        <v>40757</v>
      </c>
      <c r="D83" s="3">
        <v>58</v>
      </c>
      <c r="E83" s="20" t="s">
        <v>55</v>
      </c>
      <c r="H83" s="1" t="s">
        <v>1</v>
      </c>
      <c r="I83" s="1" t="s">
        <v>1</v>
      </c>
      <c r="J83" s="1">
        <v>0</v>
      </c>
      <c r="K83" s="1">
        <v>0</v>
      </c>
      <c r="L83" s="1">
        <f t="shared" si="32"/>
        <v>0</v>
      </c>
      <c r="M83" s="1">
        <v>0</v>
      </c>
      <c r="N83" s="1" t="s">
        <v>1</v>
      </c>
      <c r="O83" s="1" t="s">
        <v>1</v>
      </c>
      <c r="P83" s="1">
        <v>4</v>
      </c>
      <c r="Q83" s="1">
        <v>0</v>
      </c>
      <c r="R83" s="1">
        <f t="shared" si="33"/>
        <v>4</v>
      </c>
      <c r="S83" s="1">
        <v>8</v>
      </c>
      <c r="T83" s="1" t="s">
        <v>1</v>
      </c>
      <c r="U83" s="1" t="s">
        <v>1</v>
      </c>
      <c r="V83" s="1">
        <v>1</v>
      </c>
      <c r="W83" s="1">
        <v>0</v>
      </c>
      <c r="X83" s="1">
        <f t="shared" si="34"/>
        <v>1</v>
      </c>
      <c r="Y83" s="1">
        <v>1.5</v>
      </c>
      <c r="Z83" s="1" t="s">
        <v>1</v>
      </c>
      <c r="AA83" s="1" t="s">
        <v>1</v>
      </c>
      <c r="AB83" s="1">
        <v>0</v>
      </c>
      <c r="AC83" s="1">
        <v>1</v>
      </c>
      <c r="AD83" s="1">
        <f t="shared" ref="AD83:AD89" si="47">SUM(AA83:AC83)</f>
        <v>1</v>
      </c>
      <c r="AE83" s="1">
        <v>3.5</v>
      </c>
      <c r="AF83" s="9">
        <f t="shared" si="43"/>
        <v>0</v>
      </c>
      <c r="AG83" s="9">
        <f t="shared" si="44"/>
        <v>0</v>
      </c>
      <c r="AH83" s="9">
        <f t="shared" si="37"/>
        <v>5</v>
      </c>
      <c r="AI83" s="9">
        <f t="shared" si="45"/>
        <v>1</v>
      </c>
      <c r="AJ83" s="22">
        <f t="shared" si="46"/>
        <v>6</v>
      </c>
      <c r="AK83" s="22">
        <f t="shared" si="40"/>
        <v>13</v>
      </c>
    </row>
    <row r="84" spans="1:38" x14ac:dyDescent="0.2">
      <c r="A84">
        <v>2011</v>
      </c>
      <c r="B84" s="20" t="s">
        <v>46</v>
      </c>
      <c r="C84" s="12">
        <v>40757</v>
      </c>
      <c r="D84" s="3">
        <v>58</v>
      </c>
      <c r="E84" s="20" t="s">
        <v>61</v>
      </c>
      <c r="H84" s="1" t="s">
        <v>1</v>
      </c>
      <c r="I84" s="1" t="s">
        <v>1</v>
      </c>
      <c r="J84" s="1">
        <v>0</v>
      </c>
      <c r="K84" s="1">
        <v>0</v>
      </c>
      <c r="L84" s="1">
        <f t="shared" si="32"/>
        <v>0</v>
      </c>
      <c r="M84" s="1">
        <v>0</v>
      </c>
      <c r="N84" s="1" t="s">
        <v>1</v>
      </c>
      <c r="O84" s="1" t="s">
        <v>1</v>
      </c>
      <c r="P84" s="1">
        <v>1</v>
      </c>
      <c r="Q84" s="1">
        <v>0</v>
      </c>
      <c r="R84" s="1">
        <f t="shared" si="33"/>
        <v>1</v>
      </c>
      <c r="S84" s="1">
        <v>1.5</v>
      </c>
      <c r="T84" s="1" t="s">
        <v>1</v>
      </c>
      <c r="U84" s="1" t="s">
        <v>1</v>
      </c>
      <c r="V84" s="1">
        <v>0</v>
      </c>
      <c r="W84" s="1">
        <v>0</v>
      </c>
      <c r="X84" s="1">
        <f t="shared" si="34"/>
        <v>0</v>
      </c>
      <c r="Y84" s="1">
        <v>0</v>
      </c>
      <c r="Z84" s="1" t="s">
        <v>1</v>
      </c>
      <c r="AA84" s="1" t="s">
        <v>1</v>
      </c>
      <c r="AB84" s="1">
        <v>0</v>
      </c>
      <c r="AC84" s="1">
        <v>0</v>
      </c>
      <c r="AD84" s="1">
        <f t="shared" si="47"/>
        <v>0</v>
      </c>
      <c r="AE84" s="1">
        <v>0</v>
      </c>
      <c r="AF84" s="9">
        <f t="shared" si="43"/>
        <v>0</v>
      </c>
      <c r="AG84" s="9">
        <f t="shared" si="44"/>
        <v>0</v>
      </c>
      <c r="AH84" s="9">
        <f t="shared" si="37"/>
        <v>1</v>
      </c>
      <c r="AI84" s="9">
        <f t="shared" si="45"/>
        <v>0</v>
      </c>
      <c r="AJ84" s="22">
        <f t="shared" si="46"/>
        <v>1</v>
      </c>
      <c r="AK84" s="22">
        <f t="shared" si="40"/>
        <v>1.5</v>
      </c>
    </row>
    <row r="85" spans="1:38" x14ac:dyDescent="0.2">
      <c r="A85">
        <v>2011</v>
      </c>
      <c r="B85" s="20" t="s">
        <v>46</v>
      </c>
      <c r="C85" s="12">
        <v>40757</v>
      </c>
      <c r="D85" s="3">
        <v>58</v>
      </c>
      <c r="E85" s="20" t="s">
        <v>56</v>
      </c>
      <c r="H85" s="1">
        <v>0</v>
      </c>
      <c r="I85" s="1">
        <v>0</v>
      </c>
      <c r="J85" s="1">
        <v>0</v>
      </c>
      <c r="K85" s="1">
        <v>0</v>
      </c>
      <c r="L85" s="1">
        <f t="shared" si="32"/>
        <v>0</v>
      </c>
      <c r="M85" s="1">
        <v>0</v>
      </c>
      <c r="N85" s="1">
        <v>0</v>
      </c>
      <c r="O85" s="1">
        <v>1</v>
      </c>
      <c r="P85" s="1">
        <v>0</v>
      </c>
      <c r="Q85" s="1">
        <v>0</v>
      </c>
      <c r="R85" s="1">
        <f t="shared" si="33"/>
        <v>1</v>
      </c>
      <c r="S85" s="1">
        <v>0.5</v>
      </c>
      <c r="T85" s="1">
        <v>0</v>
      </c>
      <c r="U85" s="1">
        <v>0</v>
      </c>
      <c r="V85" s="1">
        <v>0</v>
      </c>
      <c r="W85" s="1">
        <v>0</v>
      </c>
      <c r="X85" s="1">
        <f t="shared" si="34"/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f t="shared" si="47"/>
        <v>0</v>
      </c>
      <c r="AE85" s="1">
        <v>0</v>
      </c>
      <c r="AF85" s="9">
        <f t="shared" si="43"/>
        <v>0</v>
      </c>
      <c r="AG85" s="9">
        <f t="shared" si="44"/>
        <v>1</v>
      </c>
      <c r="AH85" s="9">
        <f t="shared" si="37"/>
        <v>0</v>
      </c>
      <c r="AI85" s="9">
        <f t="shared" si="45"/>
        <v>0</v>
      </c>
      <c r="AJ85" s="22">
        <f t="shared" si="46"/>
        <v>1</v>
      </c>
      <c r="AK85" s="22">
        <f t="shared" si="40"/>
        <v>0.5</v>
      </c>
    </row>
    <row r="86" spans="1:38" x14ac:dyDescent="0.2">
      <c r="A86">
        <v>2011</v>
      </c>
      <c r="B86" s="20" t="s">
        <v>46</v>
      </c>
      <c r="C86" s="12">
        <v>40757</v>
      </c>
      <c r="D86" s="3">
        <v>58</v>
      </c>
      <c r="E86" s="20" t="s">
        <v>57</v>
      </c>
      <c r="H86" s="1" t="s">
        <v>1</v>
      </c>
      <c r="I86" s="1" t="s">
        <v>1</v>
      </c>
      <c r="J86" s="1">
        <v>0</v>
      </c>
      <c r="K86" s="1">
        <v>0</v>
      </c>
      <c r="L86" s="1">
        <f t="shared" si="32"/>
        <v>0</v>
      </c>
      <c r="M86" s="1">
        <v>0</v>
      </c>
      <c r="N86" s="1" t="s">
        <v>1</v>
      </c>
      <c r="O86" s="1" t="s">
        <v>1</v>
      </c>
      <c r="P86" s="1">
        <v>0</v>
      </c>
      <c r="Q86" s="1">
        <v>0</v>
      </c>
      <c r="R86" s="1">
        <f t="shared" si="33"/>
        <v>0</v>
      </c>
      <c r="S86" s="1">
        <v>0</v>
      </c>
      <c r="T86" s="1" t="s">
        <v>1</v>
      </c>
      <c r="U86" s="1" t="s">
        <v>1</v>
      </c>
      <c r="V86" s="1">
        <v>0</v>
      </c>
      <c r="W86" s="1">
        <v>1</v>
      </c>
      <c r="X86" s="1">
        <f t="shared" si="34"/>
        <v>1</v>
      </c>
      <c r="Y86" s="1">
        <v>75</v>
      </c>
      <c r="Z86" s="1" t="s">
        <v>1</v>
      </c>
      <c r="AA86" s="1" t="s">
        <v>1</v>
      </c>
      <c r="AB86" s="1">
        <v>0</v>
      </c>
      <c r="AC86" s="1">
        <v>0</v>
      </c>
      <c r="AD86" s="1">
        <f t="shared" si="47"/>
        <v>0</v>
      </c>
      <c r="AE86" s="1">
        <v>0</v>
      </c>
      <c r="AF86" s="9">
        <f t="shared" si="43"/>
        <v>0</v>
      </c>
      <c r="AG86" s="9">
        <f t="shared" si="44"/>
        <v>0</v>
      </c>
      <c r="AH86" s="9">
        <f t="shared" si="37"/>
        <v>0</v>
      </c>
      <c r="AI86" s="9">
        <f t="shared" si="45"/>
        <v>1</v>
      </c>
      <c r="AJ86" s="22">
        <f t="shared" si="46"/>
        <v>1</v>
      </c>
      <c r="AK86" s="22">
        <f t="shared" si="40"/>
        <v>75</v>
      </c>
    </row>
    <row r="87" spans="1:38" x14ac:dyDescent="0.2">
      <c r="A87">
        <v>2011</v>
      </c>
      <c r="B87" s="20" t="s">
        <v>46</v>
      </c>
      <c r="C87" s="12">
        <v>40757</v>
      </c>
      <c r="D87" s="3">
        <v>58</v>
      </c>
      <c r="E87" s="20" t="s">
        <v>50</v>
      </c>
      <c r="H87" s="1" t="s">
        <v>1</v>
      </c>
      <c r="I87" s="1" t="s">
        <v>1</v>
      </c>
      <c r="J87" s="1">
        <v>0</v>
      </c>
      <c r="K87" s="1">
        <v>0</v>
      </c>
      <c r="L87" s="1">
        <f t="shared" si="32"/>
        <v>0</v>
      </c>
      <c r="M87" s="1">
        <v>0</v>
      </c>
      <c r="N87" s="1" t="s">
        <v>1</v>
      </c>
      <c r="O87" s="1" t="s">
        <v>1</v>
      </c>
      <c r="P87" s="1">
        <v>0</v>
      </c>
      <c r="Q87" s="1">
        <v>0</v>
      </c>
      <c r="R87" s="1">
        <f t="shared" si="33"/>
        <v>0</v>
      </c>
      <c r="S87" s="1">
        <v>0</v>
      </c>
      <c r="T87" s="1" t="s">
        <v>1</v>
      </c>
      <c r="U87" s="1" t="s">
        <v>1</v>
      </c>
      <c r="V87" s="1">
        <v>0</v>
      </c>
      <c r="W87" s="1">
        <v>0</v>
      </c>
      <c r="X87" s="1">
        <f t="shared" si="34"/>
        <v>0</v>
      </c>
      <c r="Y87" s="1">
        <v>0</v>
      </c>
      <c r="Z87" s="1" t="s">
        <v>1</v>
      </c>
      <c r="AA87" s="1" t="s">
        <v>1</v>
      </c>
      <c r="AB87" s="1">
        <v>1</v>
      </c>
      <c r="AC87" s="1">
        <v>0</v>
      </c>
      <c r="AD87" s="1">
        <f t="shared" si="47"/>
        <v>1</v>
      </c>
      <c r="AE87" s="1">
        <v>1.5</v>
      </c>
      <c r="AF87" s="9">
        <f t="shared" si="43"/>
        <v>0</v>
      </c>
      <c r="AG87" s="9">
        <f t="shared" si="44"/>
        <v>0</v>
      </c>
      <c r="AH87" s="9">
        <f t="shared" si="37"/>
        <v>1</v>
      </c>
      <c r="AI87" s="9">
        <f t="shared" si="45"/>
        <v>0</v>
      </c>
      <c r="AJ87" s="22">
        <f t="shared" si="46"/>
        <v>1</v>
      </c>
      <c r="AK87" s="22">
        <f t="shared" si="40"/>
        <v>1.5</v>
      </c>
    </row>
    <row r="88" spans="1:38" x14ac:dyDescent="0.2">
      <c r="A88">
        <v>2011</v>
      </c>
      <c r="B88" s="20" t="s">
        <v>46</v>
      </c>
      <c r="C88" s="12">
        <v>40757</v>
      </c>
      <c r="D88" s="3">
        <v>58</v>
      </c>
      <c r="E88" s="20" t="s">
        <v>83</v>
      </c>
      <c r="H88" s="1" t="s">
        <v>1</v>
      </c>
      <c r="I88" s="1" t="s">
        <v>1</v>
      </c>
      <c r="J88" s="1">
        <v>0</v>
      </c>
      <c r="K88" s="1">
        <v>0</v>
      </c>
      <c r="L88" s="1">
        <f t="shared" si="32"/>
        <v>0</v>
      </c>
      <c r="M88" s="1">
        <v>0</v>
      </c>
      <c r="N88" s="1" t="s">
        <v>1</v>
      </c>
      <c r="O88" s="1" t="s">
        <v>1</v>
      </c>
      <c r="P88" s="1">
        <v>0</v>
      </c>
      <c r="Q88" s="1">
        <v>0</v>
      </c>
      <c r="R88" s="1">
        <f t="shared" si="33"/>
        <v>0</v>
      </c>
      <c r="S88" s="1">
        <v>0</v>
      </c>
      <c r="T88" s="1" t="s">
        <v>1</v>
      </c>
      <c r="U88" s="1" t="s">
        <v>1</v>
      </c>
      <c r="V88" s="1">
        <v>0</v>
      </c>
      <c r="W88" s="1">
        <v>0</v>
      </c>
      <c r="X88" s="1">
        <f t="shared" si="34"/>
        <v>0</v>
      </c>
      <c r="Y88" s="1">
        <v>0</v>
      </c>
      <c r="Z88" s="1" t="s">
        <v>1</v>
      </c>
      <c r="AA88" s="1" t="s">
        <v>1</v>
      </c>
      <c r="AB88" s="1">
        <v>1</v>
      </c>
      <c r="AC88" s="1">
        <v>0</v>
      </c>
      <c r="AD88" s="1">
        <f t="shared" si="47"/>
        <v>1</v>
      </c>
      <c r="AE88" s="1">
        <v>3.5</v>
      </c>
      <c r="AF88" s="9">
        <f t="shared" si="43"/>
        <v>0</v>
      </c>
      <c r="AG88" s="9">
        <f t="shared" si="44"/>
        <v>0</v>
      </c>
      <c r="AH88" s="9">
        <f t="shared" si="37"/>
        <v>1</v>
      </c>
      <c r="AI88" s="9">
        <f t="shared" si="45"/>
        <v>0</v>
      </c>
      <c r="AJ88" s="22">
        <f t="shared" si="46"/>
        <v>1</v>
      </c>
      <c r="AK88" s="22">
        <f t="shared" si="40"/>
        <v>3.5</v>
      </c>
    </row>
    <row r="89" spans="1:38" x14ac:dyDescent="0.2">
      <c r="A89">
        <v>2011</v>
      </c>
      <c r="B89" s="20" t="s">
        <v>46</v>
      </c>
      <c r="C89" s="12">
        <v>40757</v>
      </c>
      <c r="D89" s="3">
        <v>58</v>
      </c>
      <c r="E89" s="20" t="s">
        <v>67</v>
      </c>
      <c r="H89" s="1" t="s">
        <v>1</v>
      </c>
      <c r="I89" s="1" t="s">
        <v>1</v>
      </c>
      <c r="J89" s="1">
        <v>0</v>
      </c>
      <c r="K89" s="1">
        <v>0</v>
      </c>
      <c r="L89" s="1">
        <f t="shared" si="32"/>
        <v>0</v>
      </c>
      <c r="M89" s="1">
        <v>0</v>
      </c>
      <c r="N89" s="1" t="s">
        <v>1</v>
      </c>
      <c r="O89" s="1" t="s">
        <v>1</v>
      </c>
      <c r="P89" s="1">
        <v>0</v>
      </c>
      <c r="Q89" s="1">
        <v>0</v>
      </c>
      <c r="R89" s="1">
        <f t="shared" si="33"/>
        <v>0</v>
      </c>
      <c r="S89" s="1">
        <v>0</v>
      </c>
      <c r="T89" s="1" t="s">
        <v>1</v>
      </c>
      <c r="U89" s="1" t="s">
        <v>1</v>
      </c>
      <c r="V89" s="1">
        <v>0</v>
      </c>
      <c r="W89" s="1">
        <v>0</v>
      </c>
      <c r="X89" s="1">
        <f t="shared" si="34"/>
        <v>0</v>
      </c>
      <c r="Y89" s="1">
        <v>0</v>
      </c>
      <c r="Z89" s="1" t="s">
        <v>1</v>
      </c>
      <c r="AA89" s="1" t="s">
        <v>1</v>
      </c>
      <c r="AB89" s="1">
        <v>1</v>
      </c>
      <c r="AC89" s="1">
        <v>0</v>
      </c>
      <c r="AD89" s="1">
        <f t="shared" si="47"/>
        <v>1</v>
      </c>
      <c r="AE89" s="1">
        <v>1.5</v>
      </c>
      <c r="AF89" s="9">
        <f t="shared" si="43"/>
        <v>0</v>
      </c>
      <c r="AG89" s="9">
        <f t="shared" si="44"/>
        <v>0</v>
      </c>
      <c r="AH89" s="9">
        <f t="shared" si="37"/>
        <v>1</v>
      </c>
      <c r="AI89" s="9">
        <f t="shared" si="45"/>
        <v>0</v>
      </c>
      <c r="AJ89" s="22">
        <f t="shared" si="46"/>
        <v>1</v>
      </c>
      <c r="AK89" s="22">
        <f t="shared" si="40"/>
        <v>1.5</v>
      </c>
    </row>
    <row r="90" spans="1:38" s="36" customFormat="1" x14ac:dyDescent="0.2">
      <c r="A90" s="36">
        <v>2011</v>
      </c>
      <c r="B90" s="31" t="s">
        <v>46</v>
      </c>
      <c r="C90" s="38">
        <v>40744</v>
      </c>
      <c r="D90" s="39">
        <v>59</v>
      </c>
      <c r="E90" s="31" t="s">
        <v>47</v>
      </c>
      <c r="H90" s="35">
        <v>0</v>
      </c>
      <c r="I90" s="35">
        <v>142</v>
      </c>
      <c r="J90" s="35">
        <v>30</v>
      </c>
      <c r="K90" s="35">
        <v>0</v>
      </c>
      <c r="L90" s="35">
        <f t="shared" ref="L90:L97" si="48">SUM(H90:K90)</f>
        <v>172</v>
      </c>
      <c r="M90" s="35">
        <v>75</v>
      </c>
      <c r="N90" s="35">
        <v>0</v>
      </c>
      <c r="O90" s="35">
        <v>16</v>
      </c>
      <c r="P90" s="35">
        <v>0</v>
      </c>
      <c r="Q90" s="35">
        <v>0</v>
      </c>
      <c r="R90" s="35">
        <f t="shared" ref="R90:R97" si="49">SUM(N90:Q90)</f>
        <v>16</v>
      </c>
      <c r="S90" s="35">
        <v>3.5</v>
      </c>
      <c r="T90" s="35">
        <v>0</v>
      </c>
      <c r="U90" s="35">
        <v>27</v>
      </c>
      <c r="V90" s="35">
        <v>0</v>
      </c>
      <c r="W90" s="35">
        <v>0</v>
      </c>
      <c r="X90" s="35">
        <f t="shared" ref="X90:X97" si="50">SUM(T90:W90)</f>
        <v>27</v>
      </c>
      <c r="Y90" s="35">
        <v>3.5</v>
      </c>
      <c r="Z90" s="35">
        <v>0</v>
      </c>
      <c r="AA90" s="35">
        <v>157</v>
      </c>
      <c r="AB90" s="35">
        <v>1</v>
      </c>
      <c r="AC90" s="35">
        <v>0</v>
      </c>
      <c r="AD90" s="35">
        <f t="shared" ref="AD90:AD105" si="51">SUM(Z90:AC90)</f>
        <v>158</v>
      </c>
      <c r="AE90" s="35">
        <v>35</v>
      </c>
      <c r="AF90" s="42">
        <f t="shared" ref="AF90:AF99" si="52">SUM(H90,N90,T90,Z90)</f>
        <v>0</v>
      </c>
      <c r="AG90" s="42">
        <f t="shared" ref="AG90:AG99" si="53">SUM(I90,O90,U90,AA90)</f>
        <v>342</v>
      </c>
      <c r="AH90" s="42">
        <f t="shared" ref="AH90:AH105" si="54">SUM(J90,P90,V90,AB90)</f>
        <v>31</v>
      </c>
      <c r="AI90" s="42">
        <f t="shared" ref="AI90:AI99" si="55">SUM(K90,Q90,W90,AC90)</f>
        <v>0</v>
      </c>
      <c r="AJ90" s="40">
        <f t="shared" ref="AJ90:AJ99" si="56">SUM(AF90:AI90)</f>
        <v>373</v>
      </c>
      <c r="AK90" s="40">
        <f t="shared" ref="AK90:AK105" si="57">M90+S90+Y90+AE90</f>
        <v>117</v>
      </c>
      <c r="AL90" s="41"/>
    </row>
    <row r="91" spans="1:38" x14ac:dyDescent="0.2">
      <c r="A91">
        <v>2011</v>
      </c>
      <c r="B91" s="20" t="s">
        <v>46</v>
      </c>
      <c r="C91" s="12">
        <v>40744</v>
      </c>
      <c r="D91" s="3">
        <v>59</v>
      </c>
      <c r="E91" s="20" t="s">
        <v>60</v>
      </c>
      <c r="H91" s="1">
        <v>0</v>
      </c>
      <c r="I91" s="1">
        <v>1</v>
      </c>
      <c r="J91" s="1">
        <v>1</v>
      </c>
      <c r="K91" s="1">
        <v>0</v>
      </c>
      <c r="L91" s="1">
        <f t="shared" si="48"/>
        <v>2</v>
      </c>
      <c r="M91" s="1">
        <v>0.5</v>
      </c>
      <c r="N91" s="1">
        <v>0</v>
      </c>
      <c r="O91" s="1">
        <v>0</v>
      </c>
      <c r="P91" s="1">
        <v>0</v>
      </c>
      <c r="Q91" s="1">
        <v>0</v>
      </c>
      <c r="R91" s="1">
        <f t="shared" si="49"/>
        <v>0</v>
      </c>
      <c r="S91" s="1">
        <v>0</v>
      </c>
      <c r="T91" s="1">
        <v>1</v>
      </c>
      <c r="U91" s="1">
        <v>2</v>
      </c>
      <c r="V91" s="1">
        <v>2</v>
      </c>
      <c r="W91" s="1">
        <v>0</v>
      </c>
      <c r="X91" s="1">
        <f t="shared" si="50"/>
        <v>5</v>
      </c>
      <c r="Y91" s="1">
        <v>8</v>
      </c>
      <c r="Z91" s="1">
        <v>0</v>
      </c>
      <c r="AA91" s="1">
        <v>0</v>
      </c>
      <c r="AB91" s="1">
        <v>0</v>
      </c>
      <c r="AC91" s="1">
        <v>0</v>
      </c>
      <c r="AD91" s="1">
        <f t="shared" si="51"/>
        <v>0</v>
      </c>
      <c r="AE91" s="1">
        <v>0</v>
      </c>
      <c r="AF91" s="9">
        <f t="shared" si="52"/>
        <v>1</v>
      </c>
      <c r="AG91" s="9">
        <f t="shared" si="53"/>
        <v>3</v>
      </c>
      <c r="AH91" s="9">
        <f t="shared" si="54"/>
        <v>3</v>
      </c>
      <c r="AI91" s="9">
        <f t="shared" si="55"/>
        <v>0</v>
      </c>
      <c r="AJ91" s="22">
        <f t="shared" si="56"/>
        <v>7</v>
      </c>
      <c r="AK91" s="22">
        <f t="shared" si="57"/>
        <v>8.5</v>
      </c>
    </row>
    <row r="92" spans="1:38" x14ac:dyDescent="0.2">
      <c r="A92">
        <v>2011</v>
      </c>
      <c r="B92" s="20" t="s">
        <v>46</v>
      </c>
      <c r="C92" s="12">
        <v>40744</v>
      </c>
      <c r="D92" s="3">
        <v>59</v>
      </c>
      <c r="E92" s="20" t="s">
        <v>84</v>
      </c>
      <c r="H92" s="1">
        <v>0</v>
      </c>
      <c r="I92" s="1">
        <v>0</v>
      </c>
      <c r="J92" s="1">
        <v>0</v>
      </c>
      <c r="K92" s="1">
        <v>1</v>
      </c>
      <c r="L92" s="1">
        <f t="shared" si="48"/>
        <v>1</v>
      </c>
      <c r="M92" s="1">
        <v>3.5</v>
      </c>
      <c r="N92" s="1">
        <v>0</v>
      </c>
      <c r="O92" s="1">
        <v>0</v>
      </c>
      <c r="P92" s="1">
        <v>0</v>
      </c>
      <c r="Q92" s="1">
        <v>0</v>
      </c>
      <c r="R92" s="1">
        <f t="shared" si="49"/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f t="shared" si="50"/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f t="shared" si="51"/>
        <v>0</v>
      </c>
      <c r="AE92" s="1">
        <v>0</v>
      </c>
      <c r="AF92" s="9">
        <f t="shared" si="52"/>
        <v>0</v>
      </c>
      <c r="AG92" s="9">
        <f t="shared" si="53"/>
        <v>0</v>
      </c>
      <c r="AH92" s="9">
        <f t="shared" si="54"/>
        <v>0</v>
      </c>
      <c r="AI92" s="9">
        <f t="shared" si="55"/>
        <v>1</v>
      </c>
      <c r="AJ92" s="22">
        <f t="shared" si="56"/>
        <v>1</v>
      </c>
      <c r="AK92" s="22">
        <f t="shared" si="57"/>
        <v>3.5</v>
      </c>
    </row>
    <row r="93" spans="1:38" x14ac:dyDescent="0.2">
      <c r="A93">
        <v>2011</v>
      </c>
      <c r="B93" s="20" t="s">
        <v>46</v>
      </c>
      <c r="C93" s="12">
        <v>40744</v>
      </c>
      <c r="D93" s="3">
        <v>59</v>
      </c>
      <c r="E93" s="20" t="s">
        <v>64</v>
      </c>
      <c r="H93" s="1" t="s">
        <v>1</v>
      </c>
      <c r="I93" s="1" t="s">
        <v>1</v>
      </c>
      <c r="J93" s="1">
        <v>1</v>
      </c>
      <c r="K93" s="1">
        <v>0</v>
      </c>
      <c r="L93" s="1">
        <f t="shared" si="48"/>
        <v>1</v>
      </c>
      <c r="M93" s="1">
        <v>3.5</v>
      </c>
      <c r="N93" s="1" t="s">
        <v>1</v>
      </c>
      <c r="O93" s="1" t="s">
        <v>1</v>
      </c>
      <c r="P93" s="1">
        <v>0</v>
      </c>
      <c r="Q93" s="1">
        <v>1</v>
      </c>
      <c r="R93" s="1">
        <f t="shared" si="49"/>
        <v>1</v>
      </c>
      <c r="S93" s="1">
        <v>1.5</v>
      </c>
      <c r="T93" s="1" t="s">
        <v>1</v>
      </c>
      <c r="U93" s="1" t="s">
        <v>1</v>
      </c>
      <c r="V93" s="1">
        <v>0</v>
      </c>
      <c r="W93" s="1">
        <v>0</v>
      </c>
      <c r="X93" s="1">
        <f t="shared" si="50"/>
        <v>0</v>
      </c>
      <c r="Y93" s="1">
        <v>0</v>
      </c>
      <c r="Z93" s="1" t="s">
        <v>1</v>
      </c>
      <c r="AA93" s="1" t="s">
        <v>1</v>
      </c>
      <c r="AB93" s="1">
        <v>0</v>
      </c>
      <c r="AC93" s="1">
        <v>0</v>
      </c>
      <c r="AD93" s="1">
        <f t="shared" si="51"/>
        <v>0</v>
      </c>
      <c r="AE93" s="1">
        <v>0</v>
      </c>
      <c r="AF93" s="9">
        <f t="shared" si="52"/>
        <v>0</v>
      </c>
      <c r="AG93" s="9">
        <f t="shared" si="53"/>
        <v>0</v>
      </c>
      <c r="AH93" s="9">
        <f t="shared" si="54"/>
        <v>1</v>
      </c>
      <c r="AI93" s="9">
        <f t="shared" si="55"/>
        <v>1</v>
      </c>
      <c r="AJ93" s="22">
        <f t="shared" si="56"/>
        <v>2</v>
      </c>
      <c r="AK93" s="22">
        <f t="shared" si="57"/>
        <v>5</v>
      </c>
    </row>
    <row r="94" spans="1:38" x14ac:dyDescent="0.2">
      <c r="A94">
        <v>2011</v>
      </c>
      <c r="B94" s="20" t="s">
        <v>46</v>
      </c>
      <c r="C94" s="12">
        <v>40744</v>
      </c>
      <c r="D94" s="3">
        <v>59</v>
      </c>
      <c r="E94" s="20" t="s">
        <v>50</v>
      </c>
      <c r="H94" s="1" t="s">
        <v>1</v>
      </c>
      <c r="I94" s="1" t="s">
        <v>1</v>
      </c>
      <c r="J94" s="1">
        <v>2</v>
      </c>
      <c r="K94" s="1">
        <v>2</v>
      </c>
      <c r="L94" s="1">
        <f t="shared" si="48"/>
        <v>4</v>
      </c>
      <c r="M94" s="1">
        <v>8</v>
      </c>
      <c r="N94" s="1" t="s">
        <v>1</v>
      </c>
      <c r="O94" s="1" t="s">
        <v>1</v>
      </c>
      <c r="P94" s="1">
        <v>0</v>
      </c>
      <c r="Q94" s="1">
        <v>0</v>
      </c>
      <c r="R94" s="1">
        <f t="shared" si="49"/>
        <v>0</v>
      </c>
      <c r="S94" s="1">
        <v>0</v>
      </c>
      <c r="T94" s="1" t="s">
        <v>1</v>
      </c>
      <c r="U94" s="1" t="s">
        <v>1</v>
      </c>
      <c r="V94" s="1">
        <v>0</v>
      </c>
      <c r="W94" s="1">
        <v>0</v>
      </c>
      <c r="X94" s="1">
        <f t="shared" si="50"/>
        <v>0</v>
      </c>
      <c r="Y94" s="1">
        <v>0</v>
      </c>
      <c r="Z94" s="1" t="s">
        <v>1</v>
      </c>
      <c r="AA94" s="1" t="s">
        <v>1</v>
      </c>
      <c r="AB94" s="1">
        <v>0</v>
      </c>
      <c r="AC94" s="1">
        <v>0</v>
      </c>
      <c r="AD94" s="1">
        <f t="shared" si="51"/>
        <v>0</v>
      </c>
      <c r="AE94" s="1">
        <v>0</v>
      </c>
      <c r="AF94" s="9">
        <f t="shared" si="52"/>
        <v>0</v>
      </c>
      <c r="AG94" s="9">
        <f t="shared" si="53"/>
        <v>0</v>
      </c>
      <c r="AH94" s="9">
        <f t="shared" si="54"/>
        <v>2</v>
      </c>
      <c r="AI94" s="9">
        <f t="shared" si="55"/>
        <v>2</v>
      </c>
      <c r="AJ94" s="22">
        <f t="shared" si="56"/>
        <v>4</v>
      </c>
      <c r="AK94" s="22">
        <f t="shared" si="57"/>
        <v>8</v>
      </c>
    </row>
    <row r="95" spans="1:38" x14ac:dyDescent="0.2">
      <c r="A95">
        <v>2011</v>
      </c>
      <c r="B95" s="20" t="s">
        <v>46</v>
      </c>
      <c r="C95" s="12">
        <v>40744</v>
      </c>
      <c r="D95" s="3">
        <v>59</v>
      </c>
      <c r="E95" s="20" t="s">
        <v>62</v>
      </c>
      <c r="H95" s="1" t="s">
        <v>1</v>
      </c>
      <c r="I95" s="1" t="s">
        <v>1</v>
      </c>
      <c r="J95" s="1">
        <v>0</v>
      </c>
      <c r="K95" s="1">
        <v>1</v>
      </c>
      <c r="L95" s="1">
        <f t="shared" si="48"/>
        <v>1</v>
      </c>
      <c r="M95" s="1">
        <v>8</v>
      </c>
      <c r="N95" s="1" t="s">
        <v>1</v>
      </c>
      <c r="O95" s="1" t="s">
        <v>1</v>
      </c>
      <c r="P95" s="1">
        <v>1</v>
      </c>
      <c r="Q95" s="1">
        <v>0</v>
      </c>
      <c r="R95" s="1">
        <f t="shared" si="49"/>
        <v>1</v>
      </c>
      <c r="S95" s="1">
        <v>1.5</v>
      </c>
      <c r="T95" s="1" t="s">
        <v>1</v>
      </c>
      <c r="U95" s="1" t="s">
        <v>1</v>
      </c>
      <c r="V95" s="1">
        <v>0</v>
      </c>
      <c r="W95" s="1">
        <v>0</v>
      </c>
      <c r="X95" s="1">
        <f t="shared" si="50"/>
        <v>0</v>
      </c>
      <c r="Y95" s="1">
        <v>0</v>
      </c>
      <c r="Z95" s="1" t="s">
        <v>1</v>
      </c>
      <c r="AA95" s="1" t="s">
        <v>1</v>
      </c>
      <c r="AB95" s="1">
        <v>0</v>
      </c>
      <c r="AC95" s="1">
        <v>0</v>
      </c>
      <c r="AD95" s="1">
        <f t="shared" si="51"/>
        <v>0</v>
      </c>
      <c r="AE95" s="1">
        <v>0</v>
      </c>
      <c r="AF95" s="9">
        <f t="shared" si="52"/>
        <v>0</v>
      </c>
      <c r="AG95" s="9">
        <f t="shared" si="53"/>
        <v>0</v>
      </c>
      <c r="AH95" s="9">
        <f t="shared" si="54"/>
        <v>1</v>
      </c>
      <c r="AI95" s="9">
        <f t="shared" si="55"/>
        <v>1</v>
      </c>
      <c r="AJ95" s="22">
        <f t="shared" si="56"/>
        <v>2</v>
      </c>
      <c r="AK95" s="22">
        <f t="shared" si="57"/>
        <v>9.5</v>
      </c>
    </row>
    <row r="96" spans="1:38" x14ac:dyDescent="0.2">
      <c r="A96">
        <v>2011</v>
      </c>
      <c r="B96" s="20" t="s">
        <v>46</v>
      </c>
      <c r="C96" s="12">
        <v>40744</v>
      </c>
      <c r="D96" s="3">
        <v>59</v>
      </c>
      <c r="E96" s="20" t="s">
        <v>85</v>
      </c>
      <c r="H96" s="1" t="s">
        <v>1</v>
      </c>
      <c r="I96" s="1" t="s">
        <v>1</v>
      </c>
      <c r="J96" s="1">
        <v>1</v>
      </c>
      <c r="K96" s="1">
        <v>0</v>
      </c>
      <c r="L96" s="1">
        <f t="shared" si="48"/>
        <v>1</v>
      </c>
      <c r="M96" s="1">
        <v>3.5</v>
      </c>
      <c r="N96" s="1" t="s">
        <v>1</v>
      </c>
      <c r="O96" s="1" t="s">
        <v>1</v>
      </c>
      <c r="P96" s="1">
        <v>0</v>
      </c>
      <c r="Q96" s="1">
        <v>0</v>
      </c>
      <c r="R96" s="1">
        <f t="shared" si="49"/>
        <v>0</v>
      </c>
      <c r="S96" s="1">
        <v>0</v>
      </c>
      <c r="T96" s="1" t="s">
        <v>1</v>
      </c>
      <c r="U96" s="1" t="s">
        <v>1</v>
      </c>
      <c r="V96" s="1">
        <v>0</v>
      </c>
      <c r="W96" s="1">
        <v>0</v>
      </c>
      <c r="X96" s="1">
        <f t="shared" si="50"/>
        <v>0</v>
      </c>
      <c r="Y96" s="1">
        <v>0</v>
      </c>
      <c r="Z96" s="1" t="s">
        <v>1</v>
      </c>
      <c r="AA96" s="1" t="s">
        <v>1</v>
      </c>
      <c r="AB96" s="1">
        <v>0</v>
      </c>
      <c r="AC96" s="1">
        <v>0</v>
      </c>
      <c r="AD96" s="1">
        <f t="shared" si="51"/>
        <v>0</v>
      </c>
      <c r="AE96" s="1">
        <v>0</v>
      </c>
      <c r="AF96" s="9">
        <f t="shared" si="52"/>
        <v>0</v>
      </c>
      <c r="AG96" s="9">
        <f t="shared" si="53"/>
        <v>0</v>
      </c>
      <c r="AH96" s="9">
        <f t="shared" si="54"/>
        <v>1</v>
      </c>
      <c r="AI96" s="9">
        <f t="shared" si="55"/>
        <v>0</v>
      </c>
      <c r="AJ96" s="22">
        <f t="shared" si="56"/>
        <v>1</v>
      </c>
      <c r="AK96" s="22">
        <f t="shared" si="57"/>
        <v>3.5</v>
      </c>
    </row>
    <row r="97" spans="1:38" x14ac:dyDescent="0.2">
      <c r="A97">
        <v>2011</v>
      </c>
      <c r="B97" s="20" t="s">
        <v>46</v>
      </c>
      <c r="C97" s="12">
        <v>40744</v>
      </c>
      <c r="D97" s="3">
        <v>59</v>
      </c>
      <c r="E97" s="20" t="s">
        <v>58</v>
      </c>
      <c r="H97" s="1" t="s">
        <v>1</v>
      </c>
      <c r="I97" s="1" t="s">
        <v>1</v>
      </c>
      <c r="J97" s="1">
        <v>0</v>
      </c>
      <c r="K97" s="1">
        <v>0</v>
      </c>
      <c r="L97" s="1">
        <f t="shared" si="48"/>
        <v>0</v>
      </c>
      <c r="M97" s="1">
        <v>0</v>
      </c>
      <c r="N97" s="1" t="s">
        <v>1</v>
      </c>
      <c r="O97" s="1" t="s">
        <v>1</v>
      </c>
      <c r="P97" s="1">
        <v>0</v>
      </c>
      <c r="Q97" s="1">
        <v>5</v>
      </c>
      <c r="R97" s="1">
        <f t="shared" si="49"/>
        <v>5</v>
      </c>
      <c r="S97" s="1">
        <v>85</v>
      </c>
      <c r="T97" s="1" t="s">
        <v>1</v>
      </c>
      <c r="U97" s="1" t="s">
        <v>1</v>
      </c>
      <c r="V97" s="1">
        <v>2</v>
      </c>
      <c r="W97" s="1">
        <v>1</v>
      </c>
      <c r="X97" s="1">
        <f t="shared" si="50"/>
        <v>3</v>
      </c>
      <c r="Y97" s="1">
        <v>25</v>
      </c>
      <c r="Z97" s="1" t="s">
        <v>1</v>
      </c>
      <c r="AA97" s="1" t="s">
        <v>1</v>
      </c>
      <c r="AB97" s="1">
        <v>1</v>
      </c>
      <c r="AC97" s="1">
        <v>1</v>
      </c>
      <c r="AD97" s="1">
        <f t="shared" si="51"/>
        <v>2</v>
      </c>
      <c r="AE97" s="1">
        <v>55</v>
      </c>
      <c r="AF97" s="9">
        <f t="shared" si="52"/>
        <v>0</v>
      </c>
      <c r="AG97" s="9">
        <f t="shared" si="53"/>
        <v>0</v>
      </c>
      <c r="AH97" s="9">
        <f t="shared" si="54"/>
        <v>3</v>
      </c>
      <c r="AI97" s="9">
        <f t="shared" si="55"/>
        <v>7</v>
      </c>
      <c r="AJ97" s="22">
        <f t="shared" si="56"/>
        <v>10</v>
      </c>
      <c r="AK97" s="22">
        <f t="shared" si="57"/>
        <v>165</v>
      </c>
    </row>
    <row r="98" spans="1:38" x14ac:dyDescent="0.2">
      <c r="A98">
        <v>2011</v>
      </c>
      <c r="B98" s="20" t="s">
        <v>46</v>
      </c>
      <c r="C98" s="12">
        <v>40744</v>
      </c>
      <c r="D98" s="3">
        <v>59</v>
      </c>
      <c r="E98" s="20" t="s">
        <v>75</v>
      </c>
      <c r="H98" s="1" t="s">
        <v>1</v>
      </c>
      <c r="I98" s="1" t="s">
        <v>1</v>
      </c>
      <c r="J98" s="1">
        <v>0</v>
      </c>
      <c r="K98" s="1">
        <v>0</v>
      </c>
      <c r="L98" s="1">
        <f t="shared" ref="L98:L99" si="58">SUM(H98:K98)</f>
        <v>0</v>
      </c>
      <c r="M98" s="1">
        <v>0</v>
      </c>
      <c r="N98" s="1" t="s">
        <v>1</v>
      </c>
      <c r="O98" s="1" t="s">
        <v>1</v>
      </c>
      <c r="P98" s="1">
        <v>0</v>
      </c>
      <c r="Q98" s="1">
        <v>0</v>
      </c>
      <c r="R98" s="1">
        <f t="shared" ref="R98:R99" si="59">SUM(N98:Q98)</f>
        <v>0</v>
      </c>
      <c r="S98" s="1">
        <v>0</v>
      </c>
      <c r="T98" s="1" t="s">
        <v>1</v>
      </c>
      <c r="U98" s="1" t="s">
        <v>1</v>
      </c>
      <c r="V98" s="1">
        <v>1</v>
      </c>
      <c r="W98" s="1">
        <v>0</v>
      </c>
      <c r="X98" s="1">
        <f t="shared" ref="X98:X99" si="60">SUM(T98:W98)</f>
        <v>1</v>
      </c>
      <c r="Y98" s="1">
        <v>0.5</v>
      </c>
      <c r="Z98" s="1" t="s">
        <v>1</v>
      </c>
      <c r="AA98" s="1" t="s">
        <v>1</v>
      </c>
      <c r="AB98" s="1">
        <v>0</v>
      </c>
      <c r="AC98" s="1">
        <v>0</v>
      </c>
      <c r="AD98" s="1">
        <f t="shared" si="51"/>
        <v>0</v>
      </c>
      <c r="AE98" s="1">
        <v>0</v>
      </c>
      <c r="AF98" s="9">
        <f t="shared" si="52"/>
        <v>0</v>
      </c>
      <c r="AG98" s="9">
        <f t="shared" si="53"/>
        <v>0</v>
      </c>
      <c r="AH98" s="9">
        <f t="shared" si="54"/>
        <v>1</v>
      </c>
      <c r="AI98" s="9">
        <f t="shared" si="55"/>
        <v>0</v>
      </c>
      <c r="AJ98" s="22">
        <f t="shared" si="56"/>
        <v>1</v>
      </c>
      <c r="AK98" s="22">
        <f t="shared" si="57"/>
        <v>0.5</v>
      </c>
    </row>
    <row r="99" spans="1:38" x14ac:dyDescent="0.2">
      <c r="A99">
        <v>2011</v>
      </c>
      <c r="B99" s="20" t="s">
        <v>46</v>
      </c>
      <c r="C99" s="12">
        <v>40744</v>
      </c>
      <c r="D99" s="3">
        <v>59</v>
      </c>
      <c r="E99" s="20" t="s">
        <v>55</v>
      </c>
      <c r="H99" s="1" t="s">
        <v>1</v>
      </c>
      <c r="I99" s="1" t="s">
        <v>1</v>
      </c>
      <c r="J99" s="1">
        <v>0</v>
      </c>
      <c r="K99" s="1">
        <v>0</v>
      </c>
      <c r="L99" s="1">
        <f t="shared" si="58"/>
        <v>0</v>
      </c>
      <c r="M99" s="1">
        <v>0</v>
      </c>
      <c r="N99" s="1" t="s">
        <v>1</v>
      </c>
      <c r="O99" s="1" t="s">
        <v>1</v>
      </c>
      <c r="P99" s="1">
        <v>0</v>
      </c>
      <c r="Q99" s="1">
        <v>0</v>
      </c>
      <c r="R99" s="1">
        <f t="shared" si="59"/>
        <v>0</v>
      </c>
      <c r="S99" s="1">
        <v>0</v>
      </c>
      <c r="T99" s="1" t="s">
        <v>1</v>
      </c>
      <c r="U99" s="1" t="s">
        <v>1</v>
      </c>
      <c r="V99" s="1">
        <v>0</v>
      </c>
      <c r="W99" s="1">
        <v>0</v>
      </c>
      <c r="X99" s="1">
        <f t="shared" si="60"/>
        <v>0</v>
      </c>
      <c r="Y99" s="1">
        <v>0</v>
      </c>
      <c r="Z99" s="1" t="s">
        <v>1</v>
      </c>
      <c r="AA99" s="1" t="s">
        <v>1</v>
      </c>
      <c r="AB99" s="1">
        <v>2</v>
      </c>
      <c r="AC99" s="1">
        <v>0</v>
      </c>
      <c r="AD99" s="1">
        <f t="shared" si="51"/>
        <v>2</v>
      </c>
      <c r="AE99" s="1">
        <v>1.5</v>
      </c>
      <c r="AF99" s="9">
        <f t="shared" si="52"/>
        <v>0</v>
      </c>
      <c r="AG99" s="9">
        <f t="shared" si="53"/>
        <v>0</v>
      </c>
      <c r="AH99" s="9">
        <f t="shared" si="54"/>
        <v>2</v>
      </c>
      <c r="AI99" s="9">
        <f t="shared" si="55"/>
        <v>0</v>
      </c>
      <c r="AJ99" s="22">
        <f t="shared" si="56"/>
        <v>2</v>
      </c>
      <c r="AK99" s="22">
        <f t="shared" si="57"/>
        <v>1.5</v>
      </c>
    </row>
    <row r="100" spans="1:38" s="36" customFormat="1" x14ac:dyDescent="0.2">
      <c r="A100" s="36">
        <v>2011</v>
      </c>
      <c r="B100" s="31" t="s">
        <v>46</v>
      </c>
      <c r="C100" s="38">
        <v>40744</v>
      </c>
      <c r="D100" s="39">
        <v>60</v>
      </c>
      <c r="E100" s="31" t="s">
        <v>47</v>
      </c>
      <c r="H100" s="35">
        <v>0</v>
      </c>
      <c r="I100" s="35">
        <v>105</v>
      </c>
      <c r="J100" s="35">
        <v>8</v>
      </c>
      <c r="K100" s="35">
        <v>4</v>
      </c>
      <c r="L100" s="35">
        <f t="shared" ref="L100:L105" si="61">SUM(H100:K100)</f>
        <v>117</v>
      </c>
      <c r="M100" s="35">
        <v>75</v>
      </c>
      <c r="N100" s="35">
        <v>0</v>
      </c>
      <c r="O100" s="35">
        <v>112</v>
      </c>
      <c r="P100" s="35">
        <v>9</v>
      </c>
      <c r="Q100" s="35">
        <v>1</v>
      </c>
      <c r="R100" s="35">
        <f t="shared" ref="R100:R105" si="62">SUM(N100:Q100)</f>
        <v>122</v>
      </c>
      <c r="S100" s="35">
        <v>65</v>
      </c>
      <c r="T100" s="35">
        <v>0</v>
      </c>
      <c r="U100" s="35">
        <v>107</v>
      </c>
      <c r="V100" s="35">
        <v>6</v>
      </c>
      <c r="W100" s="35">
        <v>1</v>
      </c>
      <c r="X100" s="35">
        <f t="shared" ref="X100:X105" si="63">SUM(T100:W100)</f>
        <v>114</v>
      </c>
      <c r="Y100" s="35">
        <v>55</v>
      </c>
      <c r="Z100" s="35">
        <v>0</v>
      </c>
      <c r="AA100" s="35">
        <v>157</v>
      </c>
      <c r="AB100" s="35">
        <v>10</v>
      </c>
      <c r="AC100" s="35">
        <v>1</v>
      </c>
      <c r="AD100" s="35">
        <f t="shared" si="51"/>
        <v>168</v>
      </c>
      <c r="AE100" s="35">
        <v>65</v>
      </c>
      <c r="AF100" s="42">
        <f t="shared" ref="AF100:AF105" si="64">SUM(H100,N100,T100,Z100)</f>
        <v>0</v>
      </c>
      <c r="AG100" s="42">
        <f t="shared" ref="AG100:AG105" si="65">SUM(I100,O100,U100,AA100)</f>
        <v>481</v>
      </c>
      <c r="AH100" s="42">
        <f t="shared" si="54"/>
        <v>33</v>
      </c>
      <c r="AI100" s="42">
        <f t="shared" ref="AI100:AI105" si="66">SUM(K100,Q100,W100,AC100)</f>
        <v>7</v>
      </c>
      <c r="AJ100" s="40">
        <f t="shared" ref="AJ100:AJ105" si="67">SUM(AF100:AI100)</f>
        <v>521</v>
      </c>
      <c r="AK100" s="40">
        <f t="shared" si="57"/>
        <v>260</v>
      </c>
      <c r="AL100" s="41"/>
    </row>
    <row r="101" spans="1:38" x14ac:dyDescent="0.2">
      <c r="A101">
        <v>2011</v>
      </c>
      <c r="B101" s="20" t="s">
        <v>46</v>
      </c>
      <c r="C101" s="12">
        <v>40744</v>
      </c>
      <c r="D101" s="3">
        <v>60</v>
      </c>
      <c r="E101" s="20" t="s">
        <v>86</v>
      </c>
      <c r="H101" s="26" t="s">
        <v>1</v>
      </c>
      <c r="I101" s="26" t="s">
        <v>1</v>
      </c>
      <c r="J101" s="1">
        <v>0</v>
      </c>
      <c r="K101" s="1">
        <v>1</v>
      </c>
      <c r="L101" s="1">
        <f t="shared" si="61"/>
        <v>1</v>
      </c>
      <c r="M101" s="1">
        <v>3.5</v>
      </c>
      <c r="N101" s="26" t="s">
        <v>1</v>
      </c>
      <c r="O101" s="26" t="s">
        <v>1</v>
      </c>
      <c r="P101" s="1">
        <v>0</v>
      </c>
      <c r="Q101" s="1">
        <v>0</v>
      </c>
      <c r="R101" s="1">
        <f t="shared" si="62"/>
        <v>0</v>
      </c>
      <c r="S101" s="1">
        <v>0</v>
      </c>
      <c r="T101" s="26" t="s">
        <v>1</v>
      </c>
      <c r="U101" s="26" t="s">
        <v>1</v>
      </c>
      <c r="V101" s="1">
        <v>0</v>
      </c>
      <c r="W101" s="1">
        <v>0</v>
      </c>
      <c r="X101" s="1">
        <f t="shared" si="63"/>
        <v>0</v>
      </c>
      <c r="Y101" s="1">
        <v>0</v>
      </c>
      <c r="Z101" s="26" t="s">
        <v>1</v>
      </c>
      <c r="AA101" s="26" t="s">
        <v>1</v>
      </c>
      <c r="AB101" s="1">
        <v>0</v>
      </c>
      <c r="AC101" s="1">
        <v>0</v>
      </c>
      <c r="AD101" s="1">
        <f t="shared" si="51"/>
        <v>0</v>
      </c>
      <c r="AE101" s="1">
        <v>0</v>
      </c>
      <c r="AF101" s="9">
        <f t="shared" si="64"/>
        <v>0</v>
      </c>
      <c r="AG101" s="9">
        <f t="shared" si="65"/>
        <v>0</v>
      </c>
      <c r="AH101" s="9">
        <f t="shared" si="54"/>
        <v>0</v>
      </c>
      <c r="AI101" s="9">
        <f t="shared" si="66"/>
        <v>1</v>
      </c>
      <c r="AJ101" s="22">
        <f t="shared" si="67"/>
        <v>1</v>
      </c>
      <c r="AK101" s="22">
        <f t="shared" si="57"/>
        <v>3.5</v>
      </c>
    </row>
    <row r="102" spans="1:38" x14ac:dyDescent="0.2">
      <c r="A102">
        <v>2011</v>
      </c>
      <c r="B102" s="20" t="s">
        <v>46</v>
      </c>
      <c r="C102" s="12">
        <v>40744</v>
      </c>
      <c r="D102" s="3">
        <v>60</v>
      </c>
      <c r="E102" s="20" t="s">
        <v>64</v>
      </c>
      <c r="H102" s="26" t="s">
        <v>1</v>
      </c>
      <c r="I102" s="26" t="s">
        <v>1</v>
      </c>
      <c r="J102" s="1">
        <v>0</v>
      </c>
      <c r="K102" s="1">
        <v>0</v>
      </c>
      <c r="L102" s="1">
        <f t="shared" si="61"/>
        <v>0</v>
      </c>
      <c r="M102" s="1">
        <v>0</v>
      </c>
      <c r="N102" s="26" t="s">
        <v>1</v>
      </c>
      <c r="O102" s="26" t="s">
        <v>1</v>
      </c>
      <c r="P102" s="1">
        <v>2</v>
      </c>
      <c r="Q102" s="1">
        <v>0</v>
      </c>
      <c r="R102" s="1">
        <f t="shared" si="62"/>
        <v>2</v>
      </c>
      <c r="S102" s="1">
        <v>3.5</v>
      </c>
      <c r="T102" s="26" t="s">
        <v>1</v>
      </c>
      <c r="U102" s="26" t="s">
        <v>1</v>
      </c>
      <c r="V102" s="1">
        <v>0</v>
      </c>
      <c r="W102" s="1">
        <v>0</v>
      </c>
      <c r="X102" s="1">
        <f t="shared" si="63"/>
        <v>0</v>
      </c>
      <c r="Y102" s="1">
        <v>0</v>
      </c>
      <c r="Z102" s="26" t="s">
        <v>1</v>
      </c>
      <c r="AA102" s="26" t="s">
        <v>1</v>
      </c>
      <c r="AB102" s="1">
        <v>0</v>
      </c>
      <c r="AC102" s="1">
        <v>1</v>
      </c>
      <c r="AD102" s="1">
        <f t="shared" si="51"/>
        <v>1</v>
      </c>
      <c r="AE102" s="1">
        <v>35</v>
      </c>
      <c r="AF102" s="9">
        <f t="shared" si="64"/>
        <v>0</v>
      </c>
      <c r="AG102" s="9">
        <f t="shared" si="65"/>
        <v>0</v>
      </c>
      <c r="AH102" s="9">
        <f t="shared" si="54"/>
        <v>2</v>
      </c>
      <c r="AI102" s="9">
        <f t="shared" si="66"/>
        <v>1</v>
      </c>
      <c r="AJ102" s="22">
        <f t="shared" si="67"/>
        <v>3</v>
      </c>
      <c r="AK102" s="22">
        <f t="shared" si="57"/>
        <v>38.5</v>
      </c>
    </row>
    <row r="103" spans="1:38" x14ac:dyDescent="0.2">
      <c r="A103">
        <v>2011</v>
      </c>
      <c r="B103" s="20" t="s">
        <v>46</v>
      </c>
      <c r="C103" s="12">
        <v>40744</v>
      </c>
      <c r="D103" s="3">
        <v>60</v>
      </c>
      <c r="E103" s="20" t="s">
        <v>55</v>
      </c>
      <c r="H103" s="26" t="s">
        <v>1</v>
      </c>
      <c r="I103" s="26" t="s">
        <v>1</v>
      </c>
      <c r="J103" s="1">
        <v>0</v>
      </c>
      <c r="K103" s="1">
        <v>0</v>
      </c>
      <c r="L103" s="1">
        <f t="shared" si="61"/>
        <v>0</v>
      </c>
      <c r="M103" s="1">
        <v>0</v>
      </c>
      <c r="N103" s="26" t="s">
        <v>1</v>
      </c>
      <c r="O103" s="26" t="s">
        <v>1</v>
      </c>
      <c r="P103" s="1">
        <v>1</v>
      </c>
      <c r="Q103" s="1">
        <v>0</v>
      </c>
      <c r="R103" s="1">
        <f t="shared" si="62"/>
        <v>1</v>
      </c>
      <c r="S103" s="1">
        <v>0.5</v>
      </c>
      <c r="T103" s="26" t="s">
        <v>1</v>
      </c>
      <c r="U103" s="26" t="s">
        <v>1</v>
      </c>
      <c r="V103" s="1">
        <v>14</v>
      </c>
      <c r="W103" s="1">
        <v>7</v>
      </c>
      <c r="X103" s="1">
        <f t="shared" si="63"/>
        <v>21</v>
      </c>
      <c r="Y103" s="1">
        <v>55</v>
      </c>
      <c r="Z103" s="26" t="s">
        <v>1</v>
      </c>
      <c r="AA103" s="26" t="s">
        <v>1</v>
      </c>
      <c r="AB103" s="1">
        <v>8</v>
      </c>
      <c r="AC103" s="1">
        <v>1</v>
      </c>
      <c r="AD103" s="1">
        <f t="shared" si="51"/>
        <v>9</v>
      </c>
      <c r="AE103" s="1">
        <v>8</v>
      </c>
      <c r="AF103" s="9">
        <f t="shared" si="64"/>
        <v>0</v>
      </c>
      <c r="AG103" s="9">
        <f t="shared" si="65"/>
        <v>0</v>
      </c>
      <c r="AH103" s="9">
        <f t="shared" si="54"/>
        <v>23</v>
      </c>
      <c r="AI103" s="9">
        <f t="shared" si="66"/>
        <v>8</v>
      </c>
      <c r="AJ103" s="22">
        <f t="shared" si="67"/>
        <v>31</v>
      </c>
      <c r="AK103" s="22">
        <f t="shared" si="57"/>
        <v>63.5</v>
      </c>
    </row>
    <row r="104" spans="1:38" x14ac:dyDescent="0.2">
      <c r="A104">
        <v>2011</v>
      </c>
      <c r="B104" s="20" t="s">
        <v>46</v>
      </c>
      <c r="C104" s="12">
        <v>40744</v>
      </c>
      <c r="D104" s="3">
        <v>60</v>
      </c>
      <c r="E104" s="20" t="s">
        <v>87</v>
      </c>
      <c r="H104" s="1">
        <v>0</v>
      </c>
      <c r="I104" s="1">
        <v>0</v>
      </c>
      <c r="J104" s="1">
        <v>0</v>
      </c>
      <c r="K104" s="1">
        <v>0</v>
      </c>
      <c r="L104" s="1">
        <f t="shared" si="61"/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f t="shared" si="62"/>
        <v>0</v>
      </c>
      <c r="S104" s="1">
        <v>0</v>
      </c>
      <c r="T104" s="1">
        <v>0</v>
      </c>
      <c r="U104" s="1">
        <v>0</v>
      </c>
      <c r="V104" s="1">
        <v>0</v>
      </c>
      <c r="W104" s="1">
        <v>1</v>
      </c>
      <c r="X104" s="1">
        <f t="shared" si="63"/>
        <v>1</v>
      </c>
      <c r="Y104" s="1">
        <v>3.5</v>
      </c>
      <c r="Z104" s="1">
        <v>0</v>
      </c>
      <c r="AA104" s="1">
        <v>0</v>
      </c>
      <c r="AB104" s="1">
        <v>0</v>
      </c>
      <c r="AC104" s="1">
        <v>0</v>
      </c>
      <c r="AD104" s="1">
        <f t="shared" si="51"/>
        <v>0</v>
      </c>
      <c r="AE104" s="1">
        <v>0</v>
      </c>
      <c r="AF104" s="9">
        <f t="shared" si="64"/>
        <v>0</v>
      </c>
      <c r="AG104" s="9">
        <f t="shared" si="65"/>
        <v>0</v>
      </c>
      <c r="AH104" s="9">
        <f t="shared" si="54"/>
        <v>0</v>
      </c>
      <c r="AI104" s="9">
        <f t="shared" si="66"/>
        <v>1</v>
      </c>
      <c r="AJ104" s="22">
        <f t="shared" si="67"/>
        <v>1</v>
      </c>
      <c r="AK104" s="22">
        <f t="shared" si="57"/>
        <v>3.5</v>
      </c>
    </row>
    <row r="105" spans="1:38" x14ac:dyDescent="0.2">
      <c r="A105">
        <v>2011</v>
      </c>
      <c r="B105" s="20" t="s">
        <v>46</v>
      </c>
      <c r="C105" s="12">
        <v>40744</v>
      </c>
      <c r="D105" s="3">
        <v>60</v>
      </c>
      <c r="E105" s="20" t="s">
        <v>88</v>
      </c>
      <c r="H105" s="26" t="s">
        <v>1</v>
      </c>
      <c r="I105" s="26" t="s">
        <v>1</v>
      </c>
      <c r="J105" s="1">
        <v>0</v>
      </c>
      <c r="K105" s="1">
        <v>0</v>
      </c>
      <c r="L105" s="1">
        <f t="shared" si="61"/>
        <v>0</v>
      </c>
      <c r="M105" s="1">
        <v>0</v>
      </c>
      <c r="N105" s="26" t="s">
        <v>1</v>
      </c>
      <c r="O105" s="26" t="s">
        <v>1</v>
      </c>
      <c r="P105" s="1">
        <v>0</v>
      </c>
      <c r="Q105" s="1">
        <v>0</v>
      </c>
      <c r="R105" s="1">
        <f t="shared" si="62"/>
        <v>0</v>
      </c>
      <c r="S105" s="1">
        <v>0</v>
      </c>
      <c r="T105" s="26" t="s">
        <v>1</v>
      </c>
      <c r="U105" s="26" t="s">
        <v>1</v>
      </c>
      <c r="V105" s="1">
        <v>0</v>
      </c>
      <c r="W105" s="1">
        <v>0</v>
      </c>
      <c r="X105" s="1">
        <f t="shared" si="63"/>
        <v>0</v>
      </c>
      <c r="Y105" s="1">
        <v>0</v>
      </c>
      <c r="Z105" s="26" t="s">
        <v>1</v>
      </c>
      <c r="AA105" s="26" t="s">
        <v>1</v>
      </c>
      <c r="AB105" s="1">
        <v>1</v>
      </c>
      <c r="AC105" s="1">
        <v>0</v>
      </c>
      <c r="AD105" s="1">
        <f t="shared" si="51"/>
        <v>1</v>
      </c>
      <c r="AE105" s="1">
        <v>1.5</v>
      </c>
      <c r="AF105" s="9">
        <f t="shared" si="64"/>
        <v>0</v>
      </c>
      <c r="AG105" s="9">
        <f t="shared" si="65"/>
        <v>0</v>
      </c>
      <c r="AH105" s="9">
        <f t="shared" si="54"/>
        <v>1</v>
      </c>
      <c r="AI105" s="9">
        <f t="shared" si="66"/>
        <v>0</v>
      </c>
      <c r="AJ105" s="22">
        <f t="shared" si="67"/>
        <v>1</v>
      </c>
      <c r="AK105" s="22">
        <f t="shared" si="57"/>
        <v>1.5</v>
      </c>
    </row>
    <row r="106" spans="1:38" s="36" customFormat="1" x14ac:dyDescent="0.2">
      <c r="A106" s="36">
        <v>2011</v>
      </c>
      <c r="B106" s="31" t="s">
        <v>46</v>
      </c>
      <c r="C106" s="38">
        <v>40710</v>
      </c>
      <c r="D106" s="39">
        <v>94</v>
      </c>
      <c r="E106" s="31" t="s">
        <v>47</v>
      </c>
      <c r="H106" s="37">
        <v>0</v>
      </c>
      <c r="I106" s="37">
        <v>1</v>
      </c>
      <c r="J106" s="35">
        <v>0</v>
      </c>
      <c r="K106" s="35">
        <v>0</v>
      </c>
      <c r="L106" s="35">
        <f t="shared" si="1"/>
        <v>1</v>
      </c>
      <c r="M106" s="35">
        <v>0.5</v>
      </c>
      <c r="N106" s="37">
        <v>0</v>
      </c>
      <c r="O106" s="37">
        <v>62</v>
      </c>
      <c r="P106" s="35">
        <v>3</v>
      </c>
      <c r="Q106" s="35">
        <v>0</v>
      </c>
      <c r="R106" s="35">
        <f t="shared" si="2"/>
        <v>65</v>
      </c>
      <c r="S106" s="35">
        <v>35</v>
      </c>
      <c r="T106" s="37">
        <v>0</v>
      </c>
      <c r="U106" s="37">
        <v>20</v>
      </c>
      <c r="V106" s="35">
        <v>11</v>
      </c>
      <c r="W106" s="35">
        <v>0</v>
      </c>
      <c r="X106" s="35">
        <f t="shared" si="3"/>
        <v>31</v>
      </c>
      <c r="Y106" s="35">
        <v>65</v>
      </c>
      <c r="Z106" s="37">
        <v>0</v>
      </c>
      <c r="AA106" s="37">
        <v>19</v>
      </c>
      <c r="AB106" s="35">
        <v>0</v>
      </c>
      <c r="AC106" s="35">
        <v>0</v>
      </c>
      <c r="AD106" s="35">
        <f t="shared" si="4"/>
        <v>19</v>
      </c>
      <c r="AE106" s="35">
        <v>3.5</v>
      </c>
      <c r="AF106" s="40">
        <f t="shared" ref="AF106:AF113" si="68">SUM(H106,N106,T106,Z106)</f>
        <v>0</v>
      </c>
      <c r="AG106" s="40">
        <f t="shared" ref="AG106:AH128" si="69">SUM(I106,O106,U106,AA106)</f>
        <v>102</v>
      </c>
      <c r="AH106" s="42">
        <f t="shared" si="7"/>
        <v>14</v>
      </c>
      <c r="AI106" s="40">
        <f t="shared" ref="AI106:AI113" si="70">SUM(K106,Q106,W106,AC106)</f>
        <v>0</v>
      </c>
      <c r="AJ106" s="40">
        <f t="shared" ref="AJ106:AJ113" si="71">SUM(AF106:AI106)</f>
        <v>116</v>
      </c>
      <c r="AK106" s="40">
        <f t="shared" si="11"/>
        <v>104</v>
      </c>
      <c r="AL106" s="41"/>
    </row>
    <row r="107" spans="1:38" x14ac:dyDescent="0.2">
      <c r="A107">
        <v>2011</v>
      </c>
      <c r="B107" s="20" t="s">
        <v>46</v>
      </c>
      <c r="C107" s="12">
        <v>40710</v>
      </c>
      <c r="D107" s="3">
        <v>94</v>
      </c>
      <c r="E107" s="20" t="s">
        <v>58</v>
      </c>
      <c r="H107" s="26" t="s">
        <v>1</v>
      </c>
      <c r="I107" s="26" t="s">
        <v>1</v>
      </c>
      <c r="J107" s="1">
        <v>0</v>
      </c>
      <c r="K107" s="1">
        <v>1</v>
      </c>
      <c r="L107" s="1">
        <f t="shared" si="1"/>
        <v>1</v>
      </c>
      <c r="M107" s="1">
        <v>65</v>
      </c>
      <c r="N107" s="26" t="s">
        <v>1</v>
      </c>
      <c r="O107" s="26" t="s">
        <v>1</v>
      </c>
      <c r="P107" s="1">
        <v>1</v>
      </c>
      <c r="Q107" s="1">
        <v>0</v>
      </c>
      <c r="R107" s="1">
        <f t="shared" si="2"/>
        <v>1</v>
      </c>
      <c r="S107" s="1">
        <v>1.5</v>
      </c>
      <c r="T107" s="26" t="s">
        <v>1</v>
      </c>
      <c r="U107" s="26" t="s">
        <v>1</v>
      </c>
      <c r="V107" s="1">
        <v>0</v>
      </c>
      <c r="W107" s="1">
        <v>0</v>
      </c>
      <c r="X107" s="1">
        <f t="shared" si="3"/>
        <v>0</v>
      </c>
      <c r="Y107" s="1">
        <v>0</v>
      </c>
      <c r="Z107" s="26" t="s">
        <v>1</v>
      </c>
      <c r="AA107" s="26" t="s">
        <v>1</v>
      </c>
      <c r="AB107" s="1">
        <v>0</v>
      </c>
      <c r="AC107" s="1">
        <v>0</v>
      </c>
      <c r="AD107" s="1">
        <f t="shared" si="4"/>
        <v>0</v>
      </c>
      <c r="AE107" s="1">
        <v>0</v>
      </c>
      <c r="AF107" s="22">
        <f t="shared" si="68"/>
        <v>0</v>
      </c>
      <c r="AG107" s="22">
        <f t="shared" si="69"/>
        <v>0</v>
      </c>
      <c r="AH107" s="9">
        <f t="shared" si="7"/>
        <v>1</v>
      </c>
      <c r="AI107" s="22">
        <f t="shared" si="70"/>
        <v>1</v>
      </c>
      <c r="AJ107" s="22">
        <f t="shared" si="71"/>
        <v>2</v>
      </c>
      <c r="AK107" s="22">
        <f t="shared" si="11"/>
        <v>66.5</v>
      </c>
    </row>
    <row r="108" spans="1:38" x14ac:dyDescent="0.2">
      <c r="A108">
        <v>2011</v>
      </c>
      <c r="B108" s="20" t="s">
        <v>46</v>
      </c>
      <c r="C108" s="12">
        <v>40710</v>
      </c>
      <c r="D108" s="3">
        <v>94</v>
      </c>
      <c r="E108" s="20" t="s">
        <v>51</v>
      </c>
      <c r="H108" s="26" t="s">
        <v>1</v>
      </c>
      <c r="I108" s="26" t="s">
        <v>1</v>
      </c>
      <c r="J108" s="1">
        <v>0</v>
      </c>
      <c r="K108" s="1">
        <v>0</v>
      </c>
      <c r="L108" s="1">
        <f t="shared" si="1"/>
        <v>0</v>
      </c>
      <c r="M108" s="1">
        <v>0</v>
      </c>
      <c r="N108" s="26" t="s">
        <v>1</v>
      </c>
      <c r="O108" s="26" t="s">
        <v>1</v>
      </c>
      <c r="P108" s="1">
        <v>2</v>
      </c>
      <c r="Q108" s="1">
        <v>0</v>
      </c>
      <c r="R108" s="1">
        <f t="shared" si="2"/>
        <v>2</v>
      </c>
      <c r="S108" s="1">
        <v>3.5</v>
      </c>
      <c r="T108" s="26" t="s">
        <v>1</v>
      </c>
      <c r="U108" s="26" t="s">
        <v>1</v>
      </c>
      <c r="V108" s="1">
        <v>1</v>
      </c>
      <c r="W108" s="1">
        <v>0</v>
      </c>
      <c r="X108" s="1">
        <f t="shared" si="3"/>
        <v>1</v>
      </c>
      <c r="Y108" s="1">
        <v>25</v>
      </c>
      <c r="Z108" s="26" t="s">
        <v>1</v>
      </c>
      <c r="AA108" s="26" t="s">
        <v>1</v>
      </c>
      <c r="AB108" s="1">
        <v>0</v>
      </c>
      <c r="AC108" s="1">
        <v>0</v>
      </c>
      <c r="AD108" s="1">
        <f t="shared" si="4"/>
        <v>0</v>
      </c>
      <c r="AE108" s="1">
        <v>0</v>
      </c>
      <c r="AF108" s="22">
        <f t="shared" si="68"/>
        <v>0</v>
      </c>
      <c r="AG108" s="22">
        <f t="shared" si="69"/>
        <v>0</v>
      </c>
      <c r="AH108" s="9">
        <f t="shared" si="7"/>
        <v>3</v>
      </c>
      <c r="AI108" s="22">
        <f t="shared" si="70"/>
        <v>0</v>
      </c>
      <c r="AJ108" s="22">
        <f t="shared" si="71"/>
        <v>3</v>
      </c>
      <c r="AK108" s="22">
        <f t="shared" si="11"/>
        <v>28.5</v>
      </c>
    </row>
    <row r="109" spans="1:38" x14ac:dyDescent="0.2">
      <c r="A109">
        <v>2011</v>
      </c>
      <c r="B109" s="20" t="s">
        <v>46</v>
      </c>
      <c r="C109" s="12">
        <v>40710</v>
      </c>
      <c r="D109" s="3">
        <v>94</v>
      </c>
      <c r="E109" s="20" t="s">
        <v>64</v>
      </c>
      <c r="H109" s="1" t="s">
        <v>1</v>
      </c>
      <c r="I109" s="1" t="s">
        <v>1</v>
      </c>
      <c r="J109" s="1">
        <v>0</v>
      </c>
      <c r="K109" s="1">
        <v>0</v>
      </c>
      <c r="L109" s="1">
        <f t="shared" si="1"/>
        <v>0</v>
      </c>
      <c r="M109" s="1">
        <v>0</v>
      </c>
      <c r="N109" s="1" t="s">
        <v>1</v>
      </c>
      <c r="O109" s="1" t="s">
        <v>1</v>
      </c>
      <c r="P109" s="1">
        <v>0</v>
      </c>
      <c r="Q109" s="1">
        <v>1</v>
      </c>
      <c r="R109" s="1">
        <f t="shared" si="2"/>
        <v>1</v>
      </c>
      <c r="S109" s="1">
        <v>1.5</v>
      </c>
      <c r="T109" s="1" t="s">
        <v>1</v>
      </c>
      <c r="U109" s="1" t="s">
        <v>1</v>
      </c>
      <c r="V109" s="1">
        <v>0</v>
      </c>
      <c r="W109" s="1">
        <v>0</v>
      </c>
      <c r="X109" s="1">
        <f t="shared" si="3"/>
        <v>0</v>
      </c>
      <c r="Y109" s="1">
        <v>0</v>
      </c>
      <c r="Z109" s="1" t="s">
        <v>1</v>
      </c>
      <c r="AA109" s="1" t="s">
        <v>1</v>
      </c>
      <c r="AB109" s="1">
        <v>0</v>
      </c>
      <c r="AC109" s="1">
        <v>0</v>
      </c>
      <c r="AD109" s="1">
        <f t="shared" si="4"/>
        <v>0</v>
      </c>
      <c r="AE109" s="1">
        <v>0</v>
      </c>
      <c r="AF109" s="22">
        <f t="shared" si="68"/>
        <v>0</v>
      </c>
      <c r="AG109" s="22">
        <f t="shared" si="69"/>
        <v>0</v>
      </c>
      <c r="AH109" s="9">
        <f t="shared" si="7"/>
        <v>0</v>
      </c>
      <c r="AI109" s="22">
        <f t="shared" si="70"/>
        <v>1</v>
      </c>
      <c r="AJ109" s="22">
        <f t="shared" si="71"/>
        <v>1</v>
      </c>
      <c r="AK109" s="22">
        <f t="shared" si="11"/>
        <v>1.5</v>
      </c>
    </row>
    <row r="110" spans="1:38" x14ac:dyDescent="0.2">
      <c r="A110">
        <v>2011</v>
      </c>
      <c r="B110" s="20" t="s">
        <v>46</v>
      </c>
      <c r="C110" s="12">
        <v>40710</v>
      </c>
      <c r="D110" s="3">
        <v>94</v>
      </c>
      <c r="E110" s="20" t="s">
        <v>61</v>
      </c>
      <c r="H110" s="1" t="s">
        <v>1</v>
      </c>
      <c r="I110" s="1" t="s">
        <v>1</v>
      </c>
      <c r="J110" s="1">
        <v>0</v>
      </c>
      <c r="K110" s="1">
        <v>0</v>
      </c>
      <c r="L110" s="1">
        <f t="shared" ref="L110:L191" si="72">SUM(H110:K110)</f>
        <v>0</v>
      </c>
      <c r="M110" s="1">
        <v>0</v>
      </c>
      <c r="N110" s="1" t="s">
        <v>1</v>
      </c>
      <c r="O110" s="1" t="s">
        <v>1</v>
      </c>
      <c r="P110" s="1">
        <v>0</v>
      </c>
      <c r="Q110" s="1">
        <v>0</v>
      </c>
      <c r="R110" s="1">
        <f t="shared" ref="R110:R191" si="73">SUM(N110:Q110)</f>
        <v>0</v>
      </c>
      <c r="S110" s="1">
        <v>0</v>
      </c>
      <c r="T110" s="1" t="s">
        <v>1</v>
      </c>
      <c r="U110" s="1" t="s">
        <v>1</v>
      </c>
      <c r="V110" s="1">
        <v>6</v>
      </c>
      <c r="W110" s="1">
        <v>0</v>
      </c>
      <c r="X110" s="1">
        <f t="shared" ref="X110:X191" si="74">SUM(T110:W110)</f>
        <v>6</v>
      </c>
      <c r="Y110" s="1">
        <v>25</v>
      </c>
      <c r="Z110" s="1" t="s">
        <v>1</v>
      </c>
      <c r="AA110" s="1" t="s">
        <v>1</v>
      </c>
      <c r="AB110" s="1">
        <v>8</v>
      </c>
      <c r="AC110" s="1">
        <v>1</v>
      </c>
      <c r="AD110" s="1">
        <f t="shared" ref="AD110:AD124" si="75">SUM(Z110:AC110)</f>
        <v>9</v>
      </c>
      <c r="AE110" s="1">
        <v>35</v>
      </c>
      <c r="AF110" s="22">
        <f t="shared" si="68"/>
        <v>0</v>
      </c>
      <c r="AG110" s="22">
        <f t="shared" si="69"/>
        <v>0</v>
      </c>
      <c r="AH110" s="9">
        <f t="shared" si="69"/>
        <v>14</v>
      </c>
      <c r="AI110" s="22">
        <f t="shared" si="70"/>
        <v>1</v>
      </c>
      <c r="AJ110" s="22">
        <f t="shared" si="71"/>
        <v>15</v>
      </c>
      <c r="AK110" s="22">
        <f t="shared" si="11"/>
        <v>60</v>
      </c>
    </row>
    <row r="111" spans="1:38" x14ac:dyDescent="0.2">
      <c r="A111">
        <v>2011</v>
      </c>
      <c r="B111" s="20" t="s">
        <v>46</v>
      </c>
      <c r="C111" s="12">
        <v>40710</v>
      </c>
      <c r="D111" s="3">
        <v>94</v>
      </c>
      <c r="E111" s="20" t="s">
        <v>50</v>
      </c>
      <c r="H111" s="1" t="s">
        <v>1</v>
      </c>
      <c r="I111" s="1" t="s">
        <v>1</v>
      </c>
      <c r="J111" s="1">
        <v>0</v>
      </c>
      <c r="K111" s="1">
        <v>0</v>
      </c>
      <c r="L111" s="1">
        <f t="shared" si="72"/>
        <v>0</v>
      </c>
      <c r="M111" s="1">
        <v>0</v>
      </c>
      <c r="N111" s="1" t="s">
        <v>1</v>
      </c>
      <c r="O111" s="1" t="s">
        <v>1</v>
      </c>
      <c r="P111" s="1">
        <v>0</v>
      </c>
      <c r="Q111" s="1">
        <v>0</v>
      </c>
      <c r="R111" s="1">
        <f t="shared" si="73"/>
        <v>0</v>
      </c>
      <c r="S111" s="1">
        <v>0</v>
      </c>
      <c r="T111" s="1" t="s">
        <v>1</v>
      </c>
      <c r="U111" s="1" t="s">
        <v>1</v>
      </c>
      <c r="V111" s="1">
        <v>2</v>
      </c>
      <c r="W111" s="1">
        <v>0</v>
      </c>
      <c r="X111" s="1">
        <f t="shared" si="74"/>
        <v>2</v>
      </c>
      <c r="Y111" s="1">
        <v>0.5</v>
      </c>
      <c r="Z111" s="1" t="s">
        <v>1</v>
      </c>
      <c r="AA111" s="1" t="s">
        <v>1</v>
      </c>
      <c r="AB111" s="1">
        <v>0</v>
      </c>
      <c r="AC111" s="1">
        <v>0</v>
      </c>
      <c r="AD111" s="1">
        <f t="shared" si="75"/>
        <v>0</v>
      </c>
      <c r="AE111" s="1">
        <v>0</v>
      </c>
      <c r="AF111" s="22">
        <f t="shared" si="68"/>
        <v>0</v>
      </c>
      <c r="AG111" s="22">
        <f t="shared" si="69"/>
        <v>0</v>
      </c>
      <c r="AH111" s="9">
        <f t="shared" si="69"/>
        <v>2</v>
      </c>
      <c r="AI111" s="22">
        <f t="shared" si="70"/>
        <v>0</v>
      </c>
      <c r="AJ111" s="22">
        <f t="shared" si="71"/>
        <v>2</v>
      </c>
      <c r="AK111" s="22">
        <f t="shared" si="11"/>
        <v>0.5</v>
      </c>
    </row>
    <row r="112" spans="1:38" x14ac:dyDescent="0.2">
      <c r="A112">
        <v>2011</v>
      </c>
      <c r="B112" s="20" t="s">
        <v>46</v>
      </c>
      <c r="C112" s="12">
        <v>40710</v>
      </c>
      <c r="D112" s="3">
        <v>94</v>
      </c>
      <c r="E112" s="20" t="s">
        <v>89</v>
      </c>
      <c r="H112" s="26" t="s">
        <v>1</v>
      </c>
      <c r="I112" s="26" t="s">
        <v>1</v>
      </c>
      <c r="J112" s="1">
        <v>0</v>
      </c>
      <c r="K112" s="1">
        <v>0</v>
      </c>
      <c r="L112" s="1">
        <f t="shared" si="72"/>
        <v>0</v>
      </c>
      <c r="M112" s="1">
        <v>0</v>
      </c>
      <c r="N112" s="26" t="s">
        <v>1</v>
      </c>
      <c r="O112" s="26" t="s">
        <v>1</v>
      </c>
      <c r="P112" s="1">
        <v>0</v>
      </c>
      <c r="Q112" s="1">
        <v>0</v>
      </c>
      <c r="R112" s="1">
        <f t="shared" si="73"/>
        <v>0</v>
      </c>
      <c r="S112" s="1">
        <v>0</v>
      </c>
      <c r="T112" s="26" t="s">
        <v>1</v>
      </c>
      <c r="U112" s="26" t="s">
        <v>1</v>
      </c>
      <c r="V112" s="1">
        <v>3</v>
      </c>
      <c r="W112" s="1">
        <v>1</v>
      </c>
      <c r="X112" s="1">
        <f t="shared" si="74"/>
        <v>4</v>
      </c>
      <c r="Y112" s="1">
        <v>8</v>
      </c>
      <c r="Z112" s="26" t="s">
        <v>1</v>
      </c>
      <c r="AA112" s="26" t="s">
        <v>1</v>
      </c>
      <c r="AB112" s="1">
        <v>0</v>
      </c>
      <c r="AC112" s="1">
        <v>0</v>
      </c>
      <c r="AD112" s="1">
        <f t="shared" si="75"/>
        <v>0</v>
      </c>
      <c r="AE112" s="1">
        <v>0</v>
      </c>
      <c r="AF112" s="22">
        <f t="shared" si="68"/>
        <v>0</v>
      </c>
      <c r="AG112" s="22">
        <f t="shared" si="69"/>
        <v>0</v>
      </c>
      <c r="AH112" s="9">
        <f t="shared" si="69"/>
        <v>3</v>
      </c>
      <c r="AI112" s="22">
        <f t="shared" si="70"/>
        <v>1</v>
      </c>
      <c r="AJ112" s="22">
        <f t="shared" si="71"/>
        <v>4</v>
      </c>
      <c r="AK112" s="22">
        <f t="shared" si="11"/>
        <v>8</v>
      </c>
    </row>
    <row r="113" spans="1:38" x14ac:dyDescent="0.2">
      <c r="A113">
        <v>2011</v>
      </c>
      <c r="B113" s="20" t="s">
        <v>46</v>
      </c>
      <c r="C113" s="12">
        <v>40710</v>
      </c>
      <c r="D113" s="3">
        <v>94</v>
      </c>
      <c r="E113" s="20" t="s">
        <v>72</v>
      </c>
      <c r="H113" s="1" t="s">
        <v>1</v>
      </c>
      <c r="I113" s="1" t="s">
        <v>1</v>
      </c>
      <c r="J113" s="1">
        <v>0</v>
      </c>
      <c r="K113" s="1">
        <v>0</v>
      </c>
      <c r="L113" s="1">
        <f t="shared" si="72"/>
        <v>0</v>
      </c>
      <c r="M113" s="1">
        <v>0</v>
      </c>
      <c r="N113" s="1" t="s">
        <v>1</v>
      </c>
      <c r="O113" s="1" t="s">
        <v>1</v>
      </c>
      <c r="P113" s="1">
        <v>0</v>
      </c>
      <c r="Q113" s="1">
        <v>0</v>
      </c>
      <c r="R113" s="1">
        <f t="shared" si="73"/>
        <v>0</v>
      </c>
      <c r="S113" s="1">
        <v>0</v>
      </c>
      <c r="T113" s="1" t="s">
        <v>1</v>
      </c>
      <c r="U113" s="1" t="s">
        <v>1</v>
      </c>
      <c r="V113" s="1">
        <v>0</v>
      </c>
      <c r="W113" s="1">
        <v>0</v>
      </c>
      <c r="X113" s="1">
        <f t="shared" si="74"/>
        <v>0</v>
      </c>
      <c r="Y113" s="1">
        <v>0</v>
      </c>
      <c r="Z113" s="1" t="s">
        <v>1</v>
      </c>
      <c r="AA113" s="1" t="s">
        <v>1</v>
      </c>
      <c r="AB113" s="1">
        <v>1</v>
      </c>
      <c r="AC113" s="1">
        <v>0</v>
      </c>
      <c r="AD113" s="1">
        <f t="shared" si="75"/>
        <v>1</v>
      </c>
      <c r="AE113" s="1">
        <v>3.5</v>
      </c>
      <c r="AF113" s="22">
        <f t="shared" si="68"/>
        <v>0</v>
      </c>
      <c r="AG113" s="22">
        <f t="shared" si="69"/>
        <v>0</v>
      </c>
      <c r="AH113" s="9">
        <f t="shared" si="69"/>
        <v>1</v>
      </c>
      <c r="AI113" s="22">
        <f t="shared" si="70"/>
        <v>0</v>
      </c>
      <c r="AJ113" s="22">
        <f t="shared" si="71"/>
        <v>1</v>
      </c>
      <c r="AK113" s="22">
        <f t="shared" si="11"/>
        <v>3.5</v>
      </c>
    </row>
    <row r="114" spans="1:38" s="36" customFormat="1" x14ac:dyDescent="0.2">
      <c r="A114" s="36">
        <v>2011</v>
      </c>
      <c r="B114" s="31" t="s">
        <v>46</v>
      </c>
      <c r="C114" s="38">
        <v>40710</v>
      </c>
      <c r="D114" s="39">
        <v>95</v>
      </c>
      <c r="E114" s="31" t="s">
        <v>47</v>
      </c>
      <c r="H114" s="37">
        <v>0</v>
      </c>
      <c r="I114" s="37">
        <v>96</v>
      </c>
      <c r="J114" s="35">
        <v>3</v>
      </c>
      <c r="K114" s="35">
        <v>0</v>
      </c>
      <c r="L114" s="35">
        <f t="shared" si="72"/>
        <v>99</v>
      </c>
      <c r="M114" s="35">
        <v>15</v>
      </c>
      <c r="N114" s="37">
        <v>0</v>
      </c>
      <c r="O114" s="37">
        <v>60</v>
      </c>
      <c r="P114" s="35">
        <v>1</v>
      </c>
      <c r="Q114" s="35">
        <v>0</v>
      </c>
      <c r="R114" s="35">
        <f t="shared" si="73"/>
        <v>61</v>
      </c>
      <c r="S114" s="35">
        <v>8</v>
      </c>
      <c r="T114" s="37">
        <v>0</v>
      </c>
      <c r="U114" s="37">
        <v>22</v>
      </c>
      <c r="V114" s="35">
        <v>0</v>
      </c>
      <c r="W114" s="35">
        <v>0</v>
      </c>
      <c r="X114" s="35">
        <f t="shared" si="74"/>
        <v>22</v>
      </c>
      <c r="Y114" s="35">
        <v>8</v>
      </c>
      <c r="Z114" s="37">
        <v>0</v>
      </c>
      <c r="AA114" s="37">
        <v>40</v>
      </c>
      <c r="AB114" s="35">
        <v>1</v>
      </c>
      <c r="AC114" s="35">
        <v>0</v>
      </c>
      <c r="AD114" s="35">
        <f t="shared" si="75"/>
        <v>41</v>
      </c>
      <c r="AE114" s="35">
        <v>3.5</v>
      </c>
      <c r="AF114" s="40">
        <f t="shared" ref="AF114:AF125" si="76">SUM(H114,N114,T114,Z114)</f>
        <v>0</v>
      </c>
      <c r="AG114" s="40">
        <f t="shared" ref="AG114:AG125" si="77">SUM(I114,O114,U114,AA114)</f>
        <v>218</v>
      </c>
      <c r="AH114" s="42">
        <f t="shared" si="69"/>
        <v>5</v>
      </c>
      <c r="AI114" s="40">
        <f t="shared" ref="AI114:AI125" si="78">SUM(K114,Q114,W114,AC114)</f>
        <v>0</v>
      </c>
      <c r="AJ114" s="40">
        <f t="shared" ref="AJ114:AJ125" si="79">SUM(AF114:AI114)</f>
        <v>223</v>
      </c>
      <c r="AK114" s="40">
        <f t="shared" si="11"/>
        <v>34.5</v>
      </c>
      <c r="AL114" s="41"/>
    </row>
    <row r="115" spans="1:38" x14ac:dyDescent="0.2">
      <c r="A115">
        <v>2011</v>
      </c>
      <c r="B115" s="20" t="s">
        <v>46</v>
      </c>
      <c r="C115" s="12">
        <v>40710</v>
      </c>
      <c r="D115" s="3">
        <v>95</v>
      </c>
      <c r="E115" s="20" t="s">
        <v>64</v>
      </c>
      <c r="H115" s="1" t="s">
        <v>1</v>
      </c>
      <c r="I115" s="1" t="s">
        <v>1</v>
      </c>
      <c r="J115" s="1">
        <v>0</v>
      </c>
      <c r="K115" s="1">
        <v>1</v>
      </c>
      <c r="L115" s="1">
        <f t="shared" si="72"/>
        <v>1</v>
      </c>
      <c r="M115" s="1">
        <v>3.5</v>
      </c>
      <c r="N115" s="1" t="s">
        <v>1</v>
      </c>
      <c r="O115" s="1" t="s">
        <v>1</v>
      </c>
      <c r="P115" s="1">
        <v>0</v>
      </c>
      <c r="Q115" s="1">
        <v>0</v>
      </c>
      <c r="R115" s="1">
        <f t="shared" si="73"/>
        <v>0</v>
      </c>
      <c r="S115" s="1">
        <v>0</v>
      </c>
      <c r="T115" s="1" t="s">
        <v>1</v>
      </c>
      <c r="U115" s="1" t="s">
        <v>1</v>
      </c>
      <c r="V115" s="1">
        <v>0</v>
      </c>
      <c r="W115" s="1">
        <v>0</v>
      </c>
      <c r="X115" s="1">
        <f t="shared" si="74"/>
        <v>0</v>
      </c>
      <c r="Y115" s="1">
        <v>0</v>
      </c>
      <c r="Z115" s="1" t="s">
        <v>1</v>
      </c>
      <c r="AA115" s="1" t="s">
        <v>1</v>
      </c>
      <c r="AB115" s="1">
        <v>0</v>
      </c>
      <c r="AC115" s="1">
        <v>0</v>
      </c>
      <c r="AD115" s="1">
        <f t="shared" si="75"/>
        <v>0</v>
      </c>
      <c r="AE115" s="1">
        <v>0</v>
      </c>
      <c r="AF115" s="22">
        <f t="shared" si="76"/>
        <v>0</v>
      </c>
      <c r="AG115" s="22">
        <f t="shared" si="77"/>
        <v>0</v>
      </c>
      <c r="AH115" s="9">
        <f t="shared" si="69"/>
        <v>0</v>
      </c>
      <c r="AI115" s="22">
        <f t="shared" si="78"/>
        <v>1</v>
      </c>
      <c r="AJ115" s="22">
        <f t="shared" si="79"/>
        <v>1</v>
      </c>
      <c r="AK115" s="22">
        <f>M115+S115+Y115+AE115</f>
        <v>3.5</v>
      </c>
    </row>
    <row r="116" spans="1:38" x14ac:dyDescent="0.2">
      <c r="A116">
        <v>2011</v>
      </c>
      <c r="B116" s="20" t="s">
        <v>46</v>
      </c>
      <c r="C116" s="12">
        <v>40710</v>
      </c>
      <c r="D116" s="3">
        <v>95</v>
      </c>
      <c r="E116" s="20" t="s">
        <v>50</v>
      </c>
      <c r="H116" s="26" t="s">
        <v>1</v>
      </c>
      <c r="I116" s="26" t="s">
        <v>1</v>
      </c>
      <c r="J116" s="1">
        <v>1</v>
      </c>
      <c r="K116" s="1">
        <v>0</v>
      </c>
      <c r="L116" s="1">
        <f t="shared" si="72"/>
        <v>1</v>
      </c>
      <c r="M116" s="1">
        <v>0.5</v>
      </c>
      <c r="N116" s="26" t="s">
        <v>1</v>
      </c>
      <c r="O116" s="26" t="s">
        <v>1</v>
      </c>
      <c r="P116" s="1">
        <v>0</v>
      </c>
      <c r="Q116" s="1">
        <v>0</v>
      </c>
      <c r="R116" s="1">
        <f t="shared" si="73"/>
        <v>0</v>
      </c>
      <c r="S116" s="1">
        <v>0</v>
      </c>
      <c r="T116" s="26" t="s">
        <v>1</v>
      </c>
      <c r="U116" s="26" t="s">
        <v>1</v>
      </c>
      <c r="V116" s="1">
        <v>2</v>
      </c>
      <c r="W116" s="1">
        <v>0</v>
      </c>
      <c r="X116" s="1">
        <f t="shared" si="74"/>
        <v>2</v>
      </c>
      <c r="Y116" s="1">
        <v>1.5</v>
      </c>
      <c r="Z116" s="26" t="s">
        <v>1</v>
      </c>
      <c r="AA116" s="26" t="s">
        <v>1</v>
      </c>
      <c r="AB116" s="1">
        <v>0</v>
      </c>
      <c r="AC116" s="1">
        <v>0</v>
      </c>
      <c r="AD116" s="1">
        <f t="shared" si="75"/>
        <v>0</v>
      </c>
      <c r="AE116" s="1">
        <v>0</v>
      </c>
      <c r="AF116" s="22">
        <f t="shared" si="76"/>
        <v>0</v>
      </c>
      <c r="AG116" s="22">
        <f t="shared" si="77"/>
        <v>0</v>
      </c>
      <c r="AH116" s="9">
        <f t="shared" si="69"/>
        <v>3</v>
      </c>
      <c r="AI116" s="22">
        <f t="shared" si="78"/>
        <v>0</v>
      </c>
      <c r="AJ116" s="22">
        <f t="shared" si="79"/>
        <v>3</v>
      </c>
      <c r="AK116" s="22">
        <f t="shared" ref="AK116:AK204" si="80">M116+S116+Y116+AE116</f>
        <v>2</v>
      </c>
    </row>
    <row r="117" spans="1:38" x14ac:dyDescent="0.2">
      <c r="A117">
        <v>2011</v>
      </c>
      <c r="B117" s="20" t="s">
        <v>46</v>
      </c>
      <c r="C117" s="12">
        <v>40710</v>
      </c>
      <c r="D117" s="3">
        <v>95</v>
      </c>
      <c r="E117" s="20" t="s">
        <v>73</v>
      </c>
      <c r="H117" s="1" t="s">
        <v>1</v>
      </c>
      <c r="I117" s="1" t="s">
        <v>1</v>
      </c>
      <c r="J117" s="1">
        <v>1</v>
      </c>
      <c r="K117" s="1">
        <v>1</v>
      </c>
      <c r="L117" s="1">
        <f t="shared" si="72"/>
        <v>2</v>
      </c>
      <c r="M117" s="1">
        <v>3.5</v>
      </c>
      <c r="N117" s="1" t="s">
        <v>1</v>
      </c>
      <c r="O117" s="1" t="s">
        <v>1</v>
      </c>
      <c r="P117" s="1">
        <v>0</v>
      </c>
      <c r="Q117" s="1">
        <v>0</v>
      </c>
      <c r="R117" s="1">
        <f t="shared" si="73"/>
        <v>0</v>
      </c>
      <c r="S117" s="1">
        <v>0</v>
      </c>
      <c r="T117" s="1" t="s">
        <v>1</v>
      </c>
      <c r="U117" s="1" t="s">
        <v>1</v>
      </c>
      <c r="V117" s="1">
        <v>0</v>
      </c>
      <c r="W117" s="1">
        <v>0</v>
      </c>
      <c r="X117" s="1">
        <f t="shared" si="74"/>
        <v>0</v>
      </c>
      <c r="Y117" s="1">
        <v>0</v>
      </c>
      <c r="Z117" s="1" t="s">
        <v>1</v>
      </c>
      <c r="AA117" s="1" t="s">
        <v>1</v>
      </c>
      <c r="AB117" s="1">
        <v>0</v>
      </c>
      <c r="AC117" s="1">
        <v>0</v>
      </c>
      <c r="AD117" s="1">
        <f t="shared" si="75"/>
        <v>0</v>
      </c>
      <c r="AE117" s="1">
        <v>0</v>
      </c>
      <c r="AF117" s="22">
        <f t="shared" si="76"/>
        <v>0</v>
      </c>
      <c r="AG117" s="22">
        <f t="shared" si="77"/>
        <v>0</v>
      </c>
      <c r="AH117" s="9">
        <f t="shared" si="69"/>
        <v>1</v>
      </c>
      <c r="AI117" s="22">
        <f t="shared" si="78"/>
        <v>1</v>
      </c>
      <c r="AJ117" s="22">
        <f t="shared" si="79"/>
        <v>2</v>
      </c>
      <c r="AK117" s="22">
        <f t="shared" si="80"/>
        <v>3.5</v>
      </c>
    </row>
    <row r="118" spans="1:38" x14ac:dyDescent="0.2">
      <c r="A118">
        <v>2011</v>
      </c>
      <c r="B118" s="20" t="s">
        <v>46</v>
      </c>
      <c r="C118" s="12">
        <v>40710</v>
      </c>
      <c r="D118" s="3">
        <v>95</v>
      </c>
      <c r="E118" s="20" t="s">
        <v>74</v>
      </c>
      <c r="H118" s="26" t="s">
        <v>1</v>
      </c>
      <c r="I118" s="26" t="s">
        <v>1</v>
      </c>
      <c r="J118" s="1">
        <v>2</v>
      </c>
      <c r="K118" s="1">
        <v>0</v>
      </c>
      <c r="L118" s="1">
        <f t="shared" si="72"/>
        <v>2</v>
      </c>
      <c r="M118" s="1">
        <v>3.5</v>
      </c>
      <c r="N118" s="26" t="s">
        <v>1</v>
      </c>
      <c r="O118" s="26" t="s">
        <v>1</v>
      </c>
      <c r="P118" s="1">
        <v>0</v>
      </c>
      <c r="Q118" s="1">
        <v>0</v>
      </c>
      <c r="R118" s="1">
        <f t="shared" si="73"/>
        <v>0</v>
      </c>
      <c r="S118" s="1">
        <v>0</v>
      </c>
      <c r="T118" s="26" t="s">
        <v>1</v>
      </c>
      <c r="U118" s="26" t="s">
        <v>1</v>
      </c>
      <c r="V118" s="1">
        <v>0</v>
      </c>
      <c r="W118" s="1">
        <v>0</v>
      </c>
      <c r="X118" s="1">
        <f t="shared" si="74"/>
        <v>0</v>
      </c>
      <c r="Y118" s="1">
        <v>0</v>
      </c>
      <c r="Z118" s="26" t="s">
        <v>1</v>
      </c>
      <c r="AA118" s="26" t="s">
        <v>1</v>
      </c>
      <c r="AB118" s="1">
        <v>0</v>
      </c>
      <c r="AC118" s="1">
        <v>0</v>
      </c>
      <c r="AD118" s="1">
        <f t="shared" si="75"/>
        <v>0</v>
      </c>
      <c r="AE118" s="1">
        <v>0</v>
      </c>
      <c r="AF118" s="22">
        <f t="shared" si="76"/>
        <v>0</v>
      </c>
      <c r="AG118" s="22">
        <f t="shared" si="77"/>
        <v>0</v>
      </c>
      <c r="AH118" s="9">
        <f t="shared" si="69"/>
        <v>2</v>
      </c>
      <c r="AI118" s="22">
        <f t="shared" si="78"/>
        <v>0</v>
      </c>
      <c r="AJ118" s="22">
        <f t="shared" si="79"/>
        <v>2</v>
      </c>
      <c r="AK118" s="22">
        <f t="shared" si="80"/>
        <v>3.5</v>
      </c>
    </row>
    <row r="119" spans="1:38" x14ac:dyDescent="0.2">
      <c r="A119">
        <v>2011</v>
      </c>
      <c r="B119" s="20" t="s">
        <v>46</v>
      </c>
      <c r="C119" s="12">
        <v>40710</v>
      </c>
      <c r="D119" s="3">
        <v>95</v>
      </c>
      <c r="E119" s="20" t="s">
        <v>87</v>
      </c>
      <c r="H119" s="1">
        <v>0</v>
      </c>
      <c r="I119" s="1">
        <v>0</v>
      </c>
      <c r="J119" s="1">
        <v>0</v>
      </c>
      <c r="K119" s="1">
        <v>0</v>
      </c>
      <c r="L119" s="1">
        <f t="shared" si="72"/>
        <v>0</v>
      </c>
      <c r="M119" s="1">
        <v>0</v>
      </c>
      <c r="N119" s="1">
        <v>1</v>
      </c>
      <c r="O119" s="1">
        <v>0</v>
      </c>
      <c r="P119" s="1">
        <v>0</v>
      </c>
      <c r="Q119" s="1">
        <v>0</v>
      </c>
      <c r="R119" s="1">
        <f t="shared" si="73"/>
        <v>1</v>
      </c>
      <c r="S119" s="1">
        <v>0.5</v>
      </c>
      <c r="T119" s="1">
        <v>0</v>
      </c>
      <c r="U119" s="1">
        <v>0</v>
      </c>
      <c r="V119" s="1">
        <v>0</v>
      </c>
      <c r="W119" s="1">
        <v>0</v>
      </c>
      <c r="X119" s="1">
        <f t="shared" si="74"/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f t="shared" si="75"/>
        <v>0</v>
      </c>
      <c r="AE119" s="1">
        <v>0</v>
      </c>
      <c r="AF119" s="22">
        <f t="shared" si="76"/>
        <v>1</v>
      </c>
      <c r="AG119" s="22">
        <f t="shared" si="77"/>
        <v>0</v>
      </c>
      <c r="AH119" s="9">
        <f t="shared" si="69"/>
        <v>0</v>
      </c>
      <c r="AI119" s="22">
        <f t="shared" si="78"/>
        <v>0</v>
      </c>
      <c r="AJ119" s="22">
        <f t="shared" si="79"/>
        <v>1</v>
      </c>
      <c r="AK119" s="22">
        <f t="shared" si="80"/>
        <v>0.5</v>
      </c>
    </row>
    <row r="120" spans="1:38" x14ac:dyDescent="0.2">
      <c r="A120">
        <v>2011</v>
      </c>
      <c r="B120" s="20" t="s">
        <v>46</v>
      </c>
      <c r="C120" s="12">
        <v>40710</v>
      </c>
      <c r="D120" s="3">
        <v>95</v>
      </c>
      <c r="E120" s="20" t="s">
        <v>83</v>
      </c>
      <c r="H120" s="26" t="s">
        <v>1</v>
      </c>
      <c r="I120" s="26" t="s">
        <v>1</v>
      </c>
      <c r="J120" s="1">
        <v>0</v>
      </c>
      <c r="K120" s="1">
        <v>0</v>
      </c>
      <c r="L120" s="1">
        <f t="shared" si="72"/>
        <v>0</v>
      </c>
      <c r="M120" s="1">
        <v>0</v>
      </c>
      <c r="N120" s="26" t="s">
        <v>1</v>
      </c>
      <c r="O120" s="26" t="s">
        <v>1</v>
      </c>
      <c r="P120" s="1">
        <v>0</v>
      </c>
      <c r="Q120" s="1">
        <v>1</v>
      </c>
      <c r="R120" s="1">
        <f t="shared" si="73"/>
        <v>1</v>
      </c>
      <c r="S120" s="1">
        <v>8</v>
      </c>
      <c r="T120" s="26" t="s">
        <v>1</v>
      </c>
      <c r="U120" s="26" t="s">
        <v>1</v>
      </c>
      <c r="V120" s="1">
        <v>0</v>
      </c>
      <c r="W120" s="1">
        <v>0</v>
      </c>
      <c r="X120" s="1">
        <f t="shared" si="74"/>
        <v>0</v>
      </c>
      <c r="Y120" s="1">
        <v>0</v>
      </c>
      <c r="Z120" s="26" t="s">
        <v>1</v>
      </c>
      <c r="AA120" s="26" t="s">
        <v>1</v>
      </c>
      <c r="AB120" s="1">
        <v>0</v>
      </c>
      <c r="AC120" s="1">
        <v>0</v>
      </c>
      <c r="AD120" s="1">
        <f t="shared" si="75"/>
        <v>0</v>
      </c>
      <c r="AE120" s="1">
        <v>0</v>
      </c>
      <c r="AF120" s="22">
        <f t="shared" si="76"/>
        <v>0</v>
      </c>
      <c r="AG120" s="22">
        <f t="shared" si="77"/>
        <v>0</v>
      </c>
      <c r="AH120" s="9">
        <f t="shared" si="69"/>
        <v>0</v>
      </c>
      <c r="AI120" s="22">
        <f t="shared" si="78"/>
        <v>1</v>
      </c>
      <c r="AJ120" s="22">
        <f t="shared" si="79"/>
        <v>1</v>
      </c>
      <c r="AK120" s="22">
        <f t="shared" si="80"/>
        <v>8</v>
      </c>
    </row>
    <row r="121" spans="1:38" x14ac:dyDescent="0.2">
      <c r="A121">
        <v>2011</v>
      </c>
      <c r="B121" s="20" t="s">
        <v>46</v>
      </c>
      <c r="C121" s="12">
        <v>40710</v>
      </c>
      <c r="D121" s="3">
        <v>95</v>
      </c>
      <c r="E121" s="20" t="s">
        <v>58</v>
      </c>
      <c r="H121" s="26" t="s">
        <v>1</v>
      </c>
      <c r="I121" s="26" t="s">
        <v>1</v>
      </c>
      <c r="J121" s="1">
        <v>0</v>
      </c>
      <c r="K121" s="1">
        <v>0</v>
      </c>
      <c r="L121" s="1">
        <f t="shared" si="72"/>
        <v>0</v>
      </c>
      <c r="M121" s="1">
        <v>0</v>
      </c>
      <c r="N121" s="26" t="s">
        <v>1</v>
      </c>
      <c r="O121" s="26" t="s">
        <v>1</v>
      </c>
      <c r="P121" s="1">
        <v>0</v>
      </c>
      <c r="Q121" s="1">
        <v>0</v>
      </c>
      <c r="R121" s="1">
        <f t="shared" si="73"/>
        <v>0</v>
      </c>
      <c r="S121" s="1">
        <v>0</v>
      </c>
      <c r="T121" s="26" t="s">
        <v>1</v>
      </c>
      <c r="U121" s="26" t="s">
        <v>1</v>
      </c>
      <c r="V121" s="1">
        <v>2</v>
      </c>
      <c r="W121" s="1">
        <v>4</v>
      </c>
      <c r="X121" s="1">
        <f t="shared" si="74"/>
        <v>6</v>
      </c>
      <c r="Y121" s="1">
        <v>15</v>
      </c>
      <c r="Z121" s="26" t="s">
        <v>1</v>
      </c>
      <c r="AA121" s="26" t="s">
        <v>1</v>
      </c>
      <c r="AB121" s="1">
        <v>1</v>
      </c>
      <c r="AC121" s="1">
        <v>1</v>
      </c>
      <c r="AD121" s="1">
        <f t="shared" si="75"/>
        <v>2</v>
      </c>
      <c r="AE121" s="1">
        <v>8</v>
      </c>
      <c r="AF121" s="22">
        <f t="shared" si="76"/>
        <v>0</v>
      </c>
      <c r="AG121" s="22">
        <f t="shared" si="77"/>
        <v>0</v>
      </c>
      <c r="AH121" s="9">
        <f t="shared" si="69"/>
        <v>3</v>
      </c>
      <c r="AI121" s="22">
        <f t="shared" si="78"/>
        <v>5</v>
      </c>
      <c r="AJ121" s="22">
        <f t="shared" si="79"/>
        <v>8</v>
      </c>
      <c r="AK121" s="22">
        <f t="shared" si="80"/>
        <v>23</v>
      </c>
    </row>
    <row r="122" spans="1:38" x14ac:dyDescent="0.2">
      <c r="A122">
        <v>2011</v>
      </c>
      <c r="B122" s="20" t="s">
        <v>46</v>
      </c>
      <c r="C122" s="12">
        <v>40710</v>
      </c>
      <c r="D122" s="3">
        <v>95</v>
      </c>
      <c r="E122" s="20" t="s">
        <v>67</v>
      </c>
      <c r="H122" s="1" t="s">
        <v>1</v>
      </c>
      <c r="I122" s="1" t="s">
        <v>1</v>
      </c>
      <c r="J122" s="1">
        <v>0</v>
      </c>
      <c r="K122" s="1">
        <v>0</v>
      </c>
      <c r="L122" s="1">
        <f t="shared" si="72"/>
        <v>0</v>
      </c>
      <c r="M122" s="1">
        <v>0</v>
      </c>
      <c r="N122" s="1" t="s">
        <v>1</v>
      </c>
      <c r="O122" s="1" t="s">
        <v>1</v>
      </c>
      <c r="P122" s="1">
        <v>0</v>
      </c>
      <c r="Q122" s="1">
        <v>0</v>
      </c>
      <c r="R122" s="1">
        <f t="shared" si="73"/>
        <v>0</v>
      </c>
      <c r="S122" s="1">
        <v>0</v>
      </c>
      <c r="T122" s="1" t="s">
        <v>1</v>
      </c>
      <c r="U122" s="1" t="s">
        <v>1</v>
      </c>
      <c r="V122" s="1">
        <v>0</v>
      </c>
      <c r="W122" s="1">
        <v>1</v>
      </c>
      <c r="X122" s="1">
        <f t="shared" si="74"/>
        <v>1</v>
      </c>
      <c r="Y122" s="1">
        <v>1.5</v>
      </c>
      <c r="Z122" s="1" t="s">
        <v>1</v>
      </c>
      <c r="AA122" s="1" t="s">
        <v>1</v>
      </c>
      <c r="AB122" s="1">
        <v>0</v>
      </c>
      <c r="AC122" s="1">
        <v>0</v>
      </c>
      <c r="AD122" s="1">
        <f t="shared" si="75"/>
        <v>0</v>
      </c>
      <c r="AE122" s="1">
        <v>0</v>
      </c>
      <c r="AF122" s="22">
        <f t="shared" si="76"/>
        <v>0</v>
      </c>
      <c r="AG122" s="22">
        <f t="shared" si="77"/>
        <v>0</v>
      </c>
      <c r="AH122" s="9">
        <f t="shared" si="69"/>
        <v>0</v>
      </c>
      <c r="AI122" s="22">
        <f t="shared" si="78"/>
        <v>1</v>
      </c>
      <c r="AJ122" s="22">
        <f t="shared" si="79"/>
        <v>1</v>
      </c>
      <c r="AK122" s="22">
        <f t="shared" si="80"/>
        <v>1.5</v>
      </c>
    </row>
    <row r="123" spans="1:38" x14ac:dyDescent="0.2">
      <c r="A123">
        <v>2011</v>
      </c>
      <c r="B123" s="20" t="s">
        <v>46</v>
      </c>
      <c r="C123" s="12">
        <v>40710</v>
      </c>
      <c r="D123" s="3">
        <v>95</v>
      </c>
      <c r="E123" s="20" t="s">
        <v>89</v>
      </c>
      <c r="H123" s="26" t="s">
        <v>1</v>
      </c>
      <c r="I123" s="26" t="s">
        <v>1</v>
      </c>
      <c r="J123" s="1">
        <v>0</v>
      </c>
      <c r="K123" s="1">
        <v>0</v>
      </c>
      <c r="L123" s="1">
        <f t="shared" si="72"/>
        <v>0</v>
      </c>
      <c r="M123" s="1">
        <v>0</v>
      </c>
      <c r="N123" s="26" t="s">
        <v>1</v>
      </c>
      <c r="O123" s="26" t="s">
        <v>1</v>
      </c>
      <c r="P123" s="1">
        <v>0</v>
      </c>
      <c r="Q123" s="1">
        <v>0</v>
      </c>
      <c r="R123" s="1">
        <f t="shared" si="73"/>
        <v>0</v>
      </c>
      <c r="S123" s="1">
        <v>0</v>
      </c>
      <c r="T123" s="26" t="s">
        <v>1</v>
      </c>
      <c r="U123" s="1" t="s">
        <v>1</v>
      </c>
      <c r="V123" s="1">
        <v>1</v>
      </c>
      <c r="W123" s="1">
        <v>0</v>
      </c>
      <c r="X123" s="1">
        <f t="shared" si="74"/>
        <v>1</v>
      </c>
      <c r="Y123" s="1">
        <v>0.5</v>
      </c>
      <c r="Z123" s="1" t="s">
        <v>1</v>
      </c>
      <c r="AA123" s="1" t="s">
        <v>1</v>
      </c>
      <c r="AB123" s="1">
        <v>0</v>
      </c>
      <c r="AC123" s="1">
        <v>0</v>
      </c>
      <c r="AD123" s="1">
        <f t="shared" si="75"/>
        <v>0</v>
      </c>
      <c r="AE123" s="1">
        <v>0</v>
      </c>
      <c r="AF123" s="22">
        <f t="shared" si="76"/>
        <v>0</v>
      </c>
      <c r="AG123" s="22">
        <f t="shared" si="77"/>
        <v>0</v>
      </c>
      <c r="AH123" s="9">
        <f t="shared" si="69"/>
        <v>1</v>
      </c>
      <c r="AI123" s="22">
        <f t="shared" si="78"/>
        <v>0</v>
      </c>
      <c r="AJ123" s="22">
        <f t="shared" si="79"/>
        <v>1</v>
      </c>
      <c r="AK123" s="22">
        <f t="shared" si="80"/>
        <v>0.5</v>
      </c>
    </row>
    <row r="124" spans="1:38" x14ac:dyDescent="0.2">
      <c r="A124">
        <v>2011</v>
      </c>
      <c r="B124" s="20" t="s">
        <v>46</v>
      </c>
      <c r="C124" s="12">
        <v>40710</v>
      </c>
      <c r="D124" s="3">
        <v>95</v>
      </c>
      <c r="E124" s="20" t="s">
        <v>61</v>
      </c>
      <c r="H124" s="1" t="s">
        <v>1</v>
      </c>
      <c r="I124" s="1" t="s">
        <v>1</v>
      </c>
      <c r="J124" s="1">
        <v>0</v>
      </c>
      <c r="K124" s="1">
        <v>0</v>
      </c>
      <c r="L124" s="1">
        <f t="shared" si="72"/>
        <v>0</v>
      </c>
      <c r="M124" s="1">
        <v>0</v>
      </c>
      <c r="N124" s="1" t="s">
        <v>1</v>
      </c>
      <c r="O124" s="1" t="s">
        <v>1</v>
      </c>
      <c r="P124" s="1">
        <v>0</v>
      </c>
      <c r="Q124" s="1">
        <v>0</v>
      </c>
      <c r="R124" s="1">
        <f t="shared" si="73"/>
        <v>0</v>
      </c>
      <c r="S124" s="1">
        <v>0</v>
      </c>
      <c r="T124" s="1" t="s">
        <v>1</v>
      </c>
      <c r="U124" s="1" t="s">
        <v>1</v>
      </c>
      <c r="V124" s="1">
        <v>0</v>
      </c>
      <c r="W124" s="1">
        <v>0</v>
      </c>
      <c r="X124" s="1">
        <f t="shared" si="74"/>
        <v>0</v>
      </c>
      <c r="Y124" s="1">
        <v>0</v>
      </c>
      <c r="Z124" s="1" t="s">
        <v>1</v>
      </c>
      <c r="AA124" s="1" t="s">
        <v>1</v>
      </c>
      <c r="AB124" s="1">
        <v>2</v>
      </c>
      <c r="AC124" s="1">
        <v>2</v>
      </c>
      <c r="AD124" s="1">
        <f t="shared" si="75"/>
        <v>4</v>
      </c>
      <c r="AE124" s="1">
        <v>8</v>
      </c>
      <c r="AF124" s="22">
        <f t="shared" si="76"/>
        <v>0</v>
      </c>
      <c r="AG124" s="22">
        <f t="shared" si="77"/>
        <v>0</v>
      </c>
      <c r="AH124" s="9">
        <f t="shared" si="69"/>
        <v>2</v>
      </c>
      <c r="AI124" s="22">
        <f t="shared" si="78"/>
        <v>2</v>
      </c>
      <c r="AJ124" s="22">
        <f t="shared" si="79"/>
        <v>4</v>
      </c>
      <c r="AK124" s="22">
        <f t="shared" si="80"/>
        <v>8</v>
      </c>
    </row>
    <row r="125" spans="1:38" x14ac:dyDescent="0.2">
      <c r="A125">
        <v>2011</v>
      </c>
      <c r="B125" s="20" t="s">
        <v>46</v>
      </c>
      <c r="C125" s="12">
        <v>40710</v>
      </c>
      <c r="D125" s="3">
        <v>95</v>
      </c>
      <c r="E125" s="20" t="s">
        <v>55</v>
      </c>
      <c r="H125" s="26" t="s">
        <v>1</v>
      </c>
      <c r="I125" s="26" t="s">
        <v>1</v>
      </c>
      <c r="J125" s="1">
        <v>0</v>
      </c>
      <c r="K125" s="1">
        <v>0</v>
      </c>
      <c r="L125" s="1">
        <f t="shared" si="72"/>
        <v>0</v>
      </c>
      <c r="M125" s="1">
        <v>0</v>
      </c>
      <c r="N125" s="26" t="s">
        <v>1</v>
      </c>
      <c r="O125" s="26" t="s">
        <v>1</v>
      </c>
      <c r="P125" s="1">
        <v>0</v>
      </c>
      <c r="Q125" s="1">
        <v>0</v>
      </c>
      <c r="R125" s="1">
        <f t="shared" si="73"/>
        <v>0</v>
      </c>
      <c r="S125" s="1">
        <v>0</v>
      </c>
      <c r="T125" s="26" t="s">
        <v>1</v>
      </c>
      <c r="U125" s="26" t="s">
        <v>1</v>
      </c>
      <c r="V125" s="1">
        <v>0</v>
      </c>
      <c r="W125" s="1">
        <v>0</v>
      </c>
      <c r="X125" s="1">
        <f t="shared" si="74"/>
        <v>0</v>
      </c>
      <c r="Y125" s="1">
        <v>0</v>
      </c>
      <c r="Z125" s="26" t="s">
        <v>1</v>
      </c>
      <c r="AA125" s="26" t="s">
        <v>1</v>
      </c>
      <c r="AB125" s="1">
        <v>1</v>
      </c>
      <c r="AC125" s="1">
        <v>0</v>
      </c>
      <c r="AD125" s="1">
        <f>SUM(Z125:AC125)</f>
        <v>1</v>
      </c>
      <c r="AE125" s="1">
        <v>1.5</v>
      </c>
      <c r="AF125" s="22">
        <f t="shared" si="76"/>
        <v>0</v>
      </c>
      <c r="AG125" s="22">
        <f t="shared" si="77"/>
        <v>0</v>
      </c>
      <c r="AH125" s="9">
        <f t="shared" si="69"/>
        <v>1</v>
      </c>
      <c r="AI125" s="22">
        <f t="shared" si="78"/>
        <v>0</v>
      </c>
      <c r="AJ125" s="22">
        <f t="shared" si="79"/>
        <v>1</v>
      </c>
      <c r="AK125" s="22">
        <f t="shared" si="80"/>
        <v>1.5</v>
      </c>
    </row>
    <row r="126" spans="1:38" s="36" customFormat="1" x14ac:dyDescent="0.2">
      <c r="A126" s="36">
        <v>2011</v>
      </c>
      <c r="B126" s="31" t="s">
        <v>46</v>
      </c>
      <c r="C126" s="38">
        <v>40710</v>
      </c>
      <c r="D126" s="39">
        <v>96</v>
      </c>
      <c r="E126" s="31" t="s">
        <v>47</v>
      </c>
      <c r="H126" s="37">
        <v>0</v>
      </c>
      <c r="I126" s="37">
        <v>150</v>
      </c>
      <c r="J126" s="35">
        <v>0</v>
      </c>
      <c r="K126" s="35">
        <v>0</v>
      </c>
      <c r="L126" s="35">
        <f t="shared" si="72"/>
        <v>150</v>
      </c>
      <c r="M126" s="35">
        <v>25</v>
      </c>
      <c r="N126" s="37">
        <v>0</v>
      </c>
      <c r="O126" s="37">
        <v>111</v>
      </c>
      <c r="P126" s="35">
        <v>6</v>
      </c>
      <c r="Q126" s="35">
        <v>0</v>
      </c>
      <c r="R126" s="35">
        <f t="shared" si="73"/>
        <v>117</v>
      </c>
      <c r="S126" s="35">
        <v>25</v>
      </c>
      <c r="T126" s="37">
        <v>0</v>
      </c>
      <c r="U126" s="37">
        <v>66</v>
      </c>
      <c r="V126" s="35">
        <v>0</v>
      </c>
      <c r="W126" s="35">
        <v>0</v>
      </c>
      <c r="X126" s="35">
        <f t="shared" si="74"/>
        <v>66</v>
      </c>
      <c r="Y126" s="35">
        <v>15</v>
      </c>
      <c r="Z126" s="37">
        <v>0</v>
      </c>
      <c r="AA126" s="37">
        <v>82</v>
      </c>
      <c r="AB126" s="35">
        <v>1</v>
      </c>
      <c r="AC126" s="35">
        <v>0</v>
      </c>
      <c r="AD126" s="35">
        <f t="shared" ref="AD126:AD204" si="81">SUM(Z126:AC126)</f>
        <v>83</v>
      </c>
      <c r="AE126" s="35">
        <v>55</v>
      </c>
      <c r="AF126" s="40">
        <f t="shared" ref="AF126:AF136" si="82">SUM(H126,N126,T126,Z126)</f>
        <v>0</v>
      </c>
      <c r="AG126" s="40">
        <f t="shared" ref="AG126:AH184" si="83">SUM(I126,O126,U126,AA126)</f>
        <v>409</v>
      </c>
      <c r="AH126" s="42">
        <f t="shared" si="69"/>
        <v>7</v>
      </c>
      <c r="AI126" s="40">
        <f t="shared" ref="AI126:AI136" si="84">SUM(K126,Q126,W126,AC126)</f>
        <v>0</v>
      </c>
      <c r="AJ126" s="40">
        <f t="shared" ref="AJ126:AJ136" si="85">SUM(AF126:AI126)</f>
        <v>416</v>
      </c>
      <c r="AK126" s="40">
        <f t="shared" si="80"/>
        <v>120</v>
      </c>
      <c r="AL126" s="41" t="s">
        <v>90</v>
      </c>
    </row>
    <row r="127" spans="1:38" x14ac:dyDescent="0.2">
      <c r="A127">
        <v>2011</v>
      </c>
      <c r="B127" s="20" t="s">
        <v>46</v>
      </c>
      <c r="C127" s="12">
        <v>40710</v>
      </c>
      <c r="D127" s="3">
        <v>96</v>
      </c>
      <c r="E127" s="20" t="s">
        <v>61</v>
      </c>
      <c r="H127" s="26" t="s">
        <v>1</v>
      </c>
      <c r="I127" s="26" t="s">
        <v>1</v>
      </c>
      <c r="J127" s="1">
        <v>9</v>
      </c>
      <c r="K127" s="1">
        <v>7</v>
      </c>
      <c r="L127" s="1">
        <f t="shared" si="72"/>
        <v>16</v>
      </c>
      <c r="M127" s="1">
        <v>55</v>
      </c>
      <c r="N127" s="26" t="s">
        <v>1</v>
      </c>
      <c r="O127" s="26" t="s">
        <v>1</v>
      </c>
      <c r="P127" s="1">
        <v>0</v>
      </c>
      <c r="Q127" s="1">
        <v>0</v>
      </c>
      <c r="R127" s="1">
        <f t="shared" si="73"/>
        <v>0</v>
      </c>
      <c r="S127" s="1">
        <v>0</v>
      </c>
      <c r="T127" s="26" t="s">
        <v>1</v>
      </c>
      <c r="U127" s="26" t="s">
        <v>1</v>
      </c>
      <c r="V127" s="1">
        <v>1</v>
      </c>
      <c r="W127" s="1">
        <v>0</v>
      </c>
      <c r="X127" s="1">
        <f t="shared" si="74"/>
        <v>1</v>
      </c>
      <c r="Y127" s="1">
        <v>1.5</v>
      </c>
      <c r="Z127" s="26" t="s">
        <v>1</v>
      </c>
      <c r="AA127" s="26" t="s">
        <v>1</v>
      </c>
      <c r="AB127" s="1">
        <v>0</v>
      </c>
      <c r="AC127" s="1">
        <v>0</v>
      </c>
      <c r="AD127" s="1">
        <f t="shared" si="81"/>
        <v>0</v>
      </c>
      <c r="AE127" s="1">
        <v>0</v>
      </c>
      <c r="AF127" s="22">
        <f t="shared" si="82"/>
        <v>0</v>
      </c>
      <c r="AG127" s="22">
        <f t="shared" si="83"/>
        <v>0</v>
      </c>
      <c r="AH127" s="9">
        <f t="shared" si="69"/>
        <v>10</v>
      </c>
      <c r="AI127" s="22">
        <f t="shared" si="84"/>
        <v>7</v>
      </c>
      <c r="AJ127" s="22">
        <f t="shared" si="85"/>
        <v>17</v>
      </c>
      <c r="AK127" s="22">
        <f t="shared" si="80"/>
        <v>56.5</v>
      </c>
    </row>
    <row r="128" spans="1:38" x14ac:dyDescent="0.2">
      <c r="A128">
        <v>2011</v>
      </c>
      <c r="B128" s="20" t="s">
        <v>46</v>
      </c>
      <c r="C128" s="12">
        <v>40710</v>
      </c>
      <c r="D128" s="3">
        <v>96</v>
      </c>
      <c r="E128" s="20" t="s">
        <v>91</v>
      </c>
      <c r="H128" s="26" t="s">
        <v>1</v>
      </c>
      <c r="I128" s="26" t="s">
        <v>1</v>
      </c>
      <c r="J128" s="1">
        <v>2</v>
      </c>
      <c r="K128" s="1">
        <v>0</v>
      </c>
      <c r="L128" s="1">
        <f t="shared" si="72"/>
        <v>2</v>
      </c>
      <c r="M128" s="1">
        <v>0.5</v>
      </c>
      <c r="N128" s="26" t="s">
        <v>1</v>
      </c>
      <c r="O128" s="26" t="s">
        <v>1</v>
      </c>
      <c r="P128" s="1">
        <v>0</v>
      </c>
      <c r="Q128" s="1">
        <v>0</v>
      </c>
      <c r="R128" s="1">
        <f t="shared" si="73"/>
        <v>0</v>
      </c>
      <c r="S128" s="1">
        <v>0</v>
      </c>
      <c r="T128" s="26" t="s">
        <v>1</v>
      </c>
      <c r="U128" s="26" t="s">
        <v>1</v>
      </c>
      <c r="V128" s="1">
        <v>0</v>
      </c>
      <c r="W128" s="1">
        <v>0</v>
      </c>
      <c r="X128" s="1">
        <f t="shared" si="74"/>
        <v>0</v>
      </c>
      <c r="Y128" s="1">
        <v>0</v>
      </c>
      <c r="Z128" s="26" t="s">
        <v>1</v>
      </c>
      <c r="AA128" s="26" t="s">
        <v>1</v>
      </c>
      <c r="AB128" s="1">
        <v>0</v>
      </c>
      <c r="AC128" s="1">
        <v>0</v>
      </c>
      <c r="AD128" s="1">
        <f t="shared" si="81"/>
        <v>0</v>
      </c>
      <c r="AE128" s="1">
        <v>0</v>
      </c>
      <c r="AF128" s="22">
        <f t="shared" si="82"/>
        <v>0</v>
      </c>
      <c r="AG128" s="22">
        <f t="shared" si="83"/>
        <v>0</v>
      </c>
      <c r="AH128" s="9">
        <f t="shared" si="69"/>
        <v>2</v>
      </c>
      <c r="AI128" s="22">
        <f t="shared" si="84"/>
        <v>0</v>
      </c>
      <c r="AJ128" s="22">
        <f t="shared" si="85"/>
        <v>2</v>
      </c>
      <c r="AK128" s="22">
        <f t="shared" si="80"/>
        <v>0.5</v>
      </c>
    </row>
    <row r="129" spans="1:38" x14ac:dyDescent="0.2">
      <c r="A129">
        <v>2011</v>
      </c>
      <c r="B129" s="20" t="s">
        <v>46</v>
      </c>
      <c r="C129" s="12">
        <v>40710</v>
      </c>
      <c r="D129" s="3">
        <v>96</v>
      </c>
      <c r="E129" s="20" t="s">
        <v>74</v>
      </c>
      <c r="H129" s="1" t="s">
        <v>1</v>
      </c>
      <c r="I129" s="1" t="s">
        <v>1</v>
      </c>
      <c r="J129" s="1">
        <v>1</v>
      </c>
      <c r="K129" s="1">
        <v>0</v>
      </c>
      <c r="L129" s="1">
        <f t="shared" si="72"/>
        <v>1</v>
      </c>
      <c r="M129" s="1">
        <v>1.5</v>
      </c>
      <c r="N129" s="1" t="s">
        <v>1</v>
      </c>
      <c r="O129" s="1" t="s">
        <v>1</v>
      </c>
      <c r="P129" s="1">
        <v>0</v>
      </c>
      <c r="Q129" s="1">
        <v>0</v>
      </c>
      <c r="R129" s="1">
        <f t="shared" si="73"/>
        <v>0</v>
      </c>
      <c r="S129" s="1">
        <v>0</v>
      </c>
      <c r="T129" s="1" t="s">
        <v>1</v>
      </c>
      <c r="U129" s="1" t="s">
        <v>1</v>
      </c>
      <c r="V129" s="1">
        <v>0</v>
      </c>
      <c r="W129" s="1">
        <v>0</v>
      </c>
      <c r="X129" s="1">
        <f t="shared" si="74"/>
        <v>0</v>
      </c>
      <c r="Y129" s="1">
        <v>0</v>
      </c>
      <c r="Z129" s="1" t="s">
        <v>1</v>
      </c>
      <c r="AA129" s="1" t="s">
        <v>1</v>
      </c>
      <c r="AB129" s="1">
        <v>0</v>
      </c>
      <c r="AC129" s="1">
        <v>0</v>
      </c>
      <c r="AD129" s="1">
        <f t="shared" si="81"/>
        <v>0</v>
      </c>
      <c r="AE129" s="1">
        <v>0</v>
      </c>
      <c r="AF129" s="22">
        <f t="shared" si="82"/>
        <v>0</v>
      </c>
      <c r="AG129" s="22">
        <f t="shared" si="83"/>
        <v>0</v>
      </c>
      <c r="AH129" s="9">
        <f t="shared" si="83"/>
        <v>1</v>
      </c>
      <c r="AI129" s="22">
        <f t="shared" si="84"/>
        <v>0</v>
      </c>
      <c r="AJ129" s="22">
        <f t="shared" si="85"/>
        <v>1</v>
      </c>
      <c r="AK129" s="22">
        <f t="shared" si="80"/>
        <v>1.5</v>
      </c>
    </row>
    <row r="130" spans="1:38" x14ac:dyDescent="0.2">
      <c r="A130">
        <v>2011</v>
      </c>
      <c r="B130" s="20" t="s">
        <v>46</v>
      </c>
      <c r="C130" s="12">
        <v>40710</v>
      </c>
      <c r="D130" s="3">
        <v>96</v>
      </c>
      <c r="E130" s="20" t="s">
        <v>75</v>
      </c>
      <c r="H130" s="1" t="s">
        <v>1</v>
      </c>
      <c r="I130" s="1" t="s">
        <v>1</v>
      </c>
      <c r="J130" s="1">
        <v>1</v>
      </c>
      <c r="K130" s="1">
        <v>0</v>
      </c>
      <c r="L130" s="1">
        <f t="shared" si="72"/>
        <v>1</v>
      </c>
      <c r="M130" s="1">
        <v>1.5</v>
      </c>
      <c r="N130" s="1" t="s">
        <v>1</v>
      </c>
      <c r="O130" s="1" t="s">
        <v>1</v>
      </c>
      <c r="P130" s="1">
        <v>0</v>
      </c>
      <c r="Q130" s="1">
        <v>0</v>
      </c>
      <c r="R130" s="1">
        <f t="shared" si="73"/>
        <v>0</v>
      </c>
      <c r="S130" s="1">
        <v>0</v>
      </c>
      <c r="T130" s="1" t="s">
        <v>1</v>
      </c>
      <c r="U130" s="1" t="s">
        <v>1</v>
      </c>
      <c r="V130" s="1">
        <v>0</v>
      </c>
      <c r="W130" s="1">
        <v>0</v>
      </c>
      <c r="X130" s="1">
        <f t="shared" si="74"/>
        <v>0</v>
      </c>
      <c r="Y130" s="1">
        <v>0</v>
      </c>
      <c r="Z130" s="1" t="s">
        <v>1</v>
      </c>
      <c r="AA130" s="1" t="s">
        <v>1</v>
      </c>
      <c r="AB130" s="1">
        <v>0</v>
      </c>
      <c r="AC130" s="1">
        <v>0</v>
      </c>
      <c r="AD130" s="1">
        <f t="shared" si="81"/>
        <v>0</v>
      </c>
      <c r="AE130" s="1">
        <v>0</v>
      </c>
      <c r="AF130" s="22">
        <f t="shared" si="82"/>
        <v>0</v>
      </c>
      <c r="AG130" s="22">
        <f t="shared" si="83"/>
        <v>0</v>
      </c>
      <c r="AH130" s="9">
        <f t="shared" si="83"/>
        <v>1</v>
      </c>
      <c r="AI130" s="22">
        <f t="shared" si="84"/>
        <v>0</v>
      </c>
      <c r="AJ130" s="22">
        <f t="shared" si="85"/>
        <v>1</v>
      </c>
      <c r="AK130" s="22">
        <f t="shared" si="80"/>
        <v>1.5</v>
      </c>
    </row>
    <row r="131" spans="1:38" x14ac:dyDescent="0.2">
      <c r="A131">
        <v>2011</v>
      </c>
      <c r="B131" s="20" t="s">
        <v>46</v>
      </c>
      <c r="C131" s="12">
        <v>40710</v>
      </c>
      <c r="D131" s="3">
        <v>96</v>
      </c>
      <c r="E131" s="20" t="s">
        <v>50</v>
      </c>
      <c r="H131" s="1" t="s">
        <v>1</v>
      </c>
      <c r="I131" s="1" t="s">
        <v>1</v>
      </c>
      <c r="J131" s="1">
        <v>0</v>
      </c>
      <c r="K131" s="1">
        <v>0</v>
      </c>
      <c r="L131" s="1">
        <f t="shared" si="72"/>
        <v>0</v>
      </c>
      <c r="M131" s="1">
        <v>0</v>
      </c>
      <c r="N131" s="1" t="s">
        <v>1</v>
      </c>
      <c r="O131" s="1" t="s">
        <v>1</v>
      </c>
      <c r="P131" s="1">
        <v>1</v>
      </c>
      <c r="Q131" s="1">
        <v>0</v>
      </c>
      <c r="R131" s="1">
        <f t="shared" si="73"/>
        <v>1</v>
      </c>
      <c r="S131" s="1">
        <v>0.5</v>
      </c>
      <c r="T131" s="1" t="s">
        <v>1</v>
      </c>
      <c r="U131" s="1" t="s">
        <v>1</v>
      </c>
      <c r="V131" s="1">
        <v>0</v>
      </c>
      <c r="W131" s="1">
        <v>0</v>
      </c>
      <c r="X131" s="1">
        <f t="shared" si="74"/>
        <v>0</v>
      </c>
      <c r="Y131" s="1">
        <v>0</v>
      </c>
      <c r="Z131" s="1" t="s">
        <v>1</v>
      </c>
      <c r="AA131" s="1" t="s">
        <v>1</v>
      </c>
      <c r="AB131" s="1">
        <v>0</v>
      </c>
      <c r="AC131" s="1">
        <v>0</v>
      </c>
      <c r="AD131" s="1">
        <f t="shared" si="81"/>
        <v>0</v>
      </c>
      <c r="AE131" s="1">
        <v>0</v>
      </c>
      <c r="AF131" s="22">
        <f t="shared" si="82"/>
        <v>0</v>
      </c>
      <c r="AG131" s="22">
        <f t="shared" si="83"/>
        <v>0</v>
      </c>
      <c r="AH131" s="9">
        <f t="shared" si="83"/>
        <v>1</v>
      </c>
      <c r="AI131" s="22">
        <f t="shared" si="84"/>
        <v>0</v>
      </c>
      <c r="AJ131" s="22">
        <f t="shared" si="85"/>
        <v>1</v>
      </c>
      <c r="AK131" s="22">
        <f t="shared" si="80"/>
        <v>0.5</v>
      </c>
    </row>
    <row r="132" spans="1:38" x14ac:dyDescent="0.2">
      <c r="A132">
        <v>2011</v>
      </c>
      <c r="B132" s="20" t="s">
        <v>46</v>
      </c>
      <c r="C132" s="12">
        <v>40710</v>
      </c>
      <c r="D132" s="3">
        <v>96</v>
      </c>
      <c r="E132" s="20" t="s">
        <v>81</v>
      </c>
      <c r="H132" s="1" t="s">
        <v>1</v>
      </c>
      <c r="I132" s="1" t="s">
        <v>1</v>
      </c>
      <c r="J132" s="1">
        <v>0</v>
      </c>
      <c r="K132" s="1">
        <v>0</v>
      </c>
      <c r="L132" s="1">
        <f t="shared" si="72"/>
        <v>0</v>
      </c>
      <c r="M132" s="1">
        <v>0</v>
      </c>
      <c r="N132" s="1" t="s">
        <v>1</v>
      </c>
      <c r="O132" s="1" t="s">
        <v>1</v>
      </c>
      <c r="P132" s="1">
        <v>0</v>
      </c>
      <c r="Q132" s="1">
        <v>0</v>
      </c>
      <c r="R132" s="1">
        <f t="shared" si="73"/>
        <v>0</v>
      </c>
      <c r="S132" s="1">
        <v>0</v>
      </c>
      <c r="T132" s="1" t="s">
        <v>1</v>
      </c>
      <c r="U132" s="1" t="s">
        <v>1</v>
      </c>
      <c r="V132" s="1">
        <v>1</v>
      </c>
      <c r="W132" s="1">
        <v>0</v>
      </c>
      <c r="X132" s="1">
        <f t="shared" si="74"/>
        <v>1</v>
      </c>
      <c r="Y132" s="1">
        <v>1.5</v>
      </c>
      <c r="Z132" s="1" t="s">
        <v>1</v>
      </c>
      <c r="AA132" s="1" t="s">
        <v>1</v>
      </c>
      <c r="AB132" s="1">
        <v>0</v>
      </c>
      <c r="AC132" s="1">
        <v>0</v>
      </c>
      <c r="AD132" s="1">
        <f t="shared" si="81"/>
        <v>0</v>
      </c>
      <c r="AE132" s="1">
        <v>0</v>
      </c>
      <c r="AF132" s="22">
        <f t="shared" si="82"/>
        <v>0</v>
      </c>
      <c r="AG132" s="22">
        <f t="shared" si="83"/>
        <v>0</v>
      </c>
      <c r="AH132" s="9">
        <f t="shared" si="83"/>
        <v>1</v>
      </c>
      <c r="AI132" s="22">
        <f t="shared" si="84"/>
        <v>0</v>
      </c>
      <c r="AJ132" s="22">
        <f t="shared" si="85"/>
        <v>1</v>
      </c>
      <c r="AK132" s="22">
        <f t="shared" si="80"/>
        <v>1.5</v>
      </c>
    </row>
    <row r="133" spans="1:38" x14ac:dyDescent="0.2">
      <c r="A133">
        <v>2011</v>
      </c>
      <c r="B133" s="20" t="s">
        <v>46</v>
      </c>
      <c r="C133" s="12">
        <v>40710</v>
      </c>
      <c r="D133" s="3">
        <v>96</v>
      </c>
      <c r="E133" s="20" t="s">
        <v>56</v>
      </c>
      <c r="H133" s="1">
        <v>0</v>
      </c>
      <c r="I133" s="1">
        <v>0</v>
      </c>
      <c r="J133" s="1">
        <v>0</v>
      </c>
      <c r="K133" s="1">
        <v>0</v>
      </c>
      <c r="L133" s="1">
        <f t="shared" si="72"/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f t="shared" si="73"/>
        <v>0</v>
      </c>
      <c r="S133" s="1">
        <v>0</v>
      </c>
      <c r="T133" s="1">
        <v>0</v>
      </c>
      <c r="U133" s="1">
        <v>1</v>
      </c>
      <c r="V133" s="1">
        <v>0</v>
      </c>
      <c r="W133" s="1">
        <v>0</v>
      </c>
      <c r="X133" s="1">
        <f t="shared" si="74"/>
        <v>1</v>
      </c>
      <c r="Y133" s="1">
        <v>0.5</v>
      </c>
      <c r="Z133" s="1">
        <v>0</v>
      </c>
      <c r="AA133" s="1">
        <v>0</v>
      </c>
      <c r="AB133" s="1">
        <v>0</v>
      </c>
      <c r="AC133" s="1">
        <v>0</v>
      </c>
      <c r="AD133" s="1">
        <f t="shared" si="81"/>
        <v>0</v>
      </c>
      <c r="AE133" s="1">
        <v>0</v>
      </c>
      <c r="AF133" s="22">
        <f t="shared" si="82"/>
        <v>0</v>
      </c>
      <c r="AG133" s="22">
        <f t="shared" si="83"/>
        <v>1</v>
      </c>
      <c r="AH133" s="9">
        <f t="shared" si="83"/>
        <v>0</v>
      </c>
      <c r="AI133" s="22">
        <f t="shared" si="84"/>
        <v>0</v>
      </c>
      <c r="AJ133" s="22">
        <f t="shared" si="85"/>
        <v>1</v>
      </c>
      <c r="AK133" s="22">
        <f t="shared" si="80"/>
        <v>0.5</v>
      </c>
    </row>
    <row r="134" spans="1:38" x14ac:dyDescent="0.2">
      <c r="A134">
        <v>2011</v>
      </c>
      <c r="B134" s="20" t="s">
        <v>46</v>
      </c>
      <c r="C134" s="12">
        <v>40710</v>
      </c>
      <c r="D134" s="3">
        <v>96</v>
      </c>
      <c r="E134" s="20" t="s">
        <v>51</v>
      </c>
      <c r="H134" s="1" t="s">
        <v>1</v>
      </c>
      <c r="I134" s="1" t="s">
        <v>1</v>
      </c>
      <c r="J134" s="1">
        <v>0</v>
      </c>
      <c r="K134" s="1">
        <v>0</v>
      </c>
      <c r="L134" s="1">
        <f t="shared" si="72"/>
        <v>0</v>
      </c>
      <c r="M134" s="1">
        <v>0</v>
      </c>
      <c r="N134" s="1" t="s">
        <v>1</v>
      </c>
      <c r="O134" s="1" t="s">
        <v>1</v>
      </c>
      <c r="P134" s="1">
        <v>0</v>
      </c>
      <c r="Q134" s="1">
        <v>0</v>
      </c>
      <c r="R134" s="1">
        <f t="shared" si="73"/>
        <v>0</v>
      </c>
      <c r="S134" s="1">
        <v>0</v>
      </c>
      <c r="T134" s="1" t="s">
        <v>1</v>
      </c>
      <c r="U134" s="1" t="s">
        <v>1</v>
      </c>
      <c r="V134" s="1">
        <v>2</v>
      </c>
      <c r="W134" s="1">
        <v>5</v>
      </c>
      <c r="X134" s="1">
        <f t="shared" si="74"/>
        <v>7</v>
      </c>
      <c r="Y134" s="1">
        <v>65</v>
      </c>
      <c r="Z134" s="1" t="s">
        <v>1</v>
      </c>
      <c r="AA134" s="1" t="s">
        <v>1</v>
      </c>
      <c r="AB134" s="1">
        <v>0</v>
      </c>
      <c r="AC134" s="1">
        <v>0</v>
      </c>
      <c r="AD134" s="1">
        <f t="shared" si="81"/>
        <v>0</v>
      </c>
      <c r="AE134" s="1">
        <v>0</v>
      </c>
      <c r="AF134" s="22">
        <f t="shared" si="82"/>
        <v>0</v>
      </c>
      <c r="AG134" s="22">
        <f t="shared" si="83"/>
        <v>0</v>
      </c>
      <c r="AH134" s="9">
        <f t="shared" si="83"/>
        <v>2</v>
      </c>
      <c r="AI134" s="22">
        <f t="shared" si="84"/>
        <v>5</v>
      </c>
      <c r="AJ134" s="22">
        <f t="shared" si="85"/>
        <v>7</v>
      </c>
      <c r="AK134" s="22">
        <f t="shared" si="80"/>
        <v>65</v>
      </c>
    </row>
    <row r="135" spans="1:38" x14ac:dyDescent="0.2">
      <c r="A135">
        <v>2011</v>
      </c>
      <c r="B135" s="20" t="s">
        <v>46</v>
      </c>
      <c r="C135" s="12">
        <v>40710</v>
      </c>
      <c r="D135" s="3">
        <v>96</v>
      </c>
      <c r="E135" s="20" t="s">
        <v>62</v>
      </c>
      <c r="H135" s="1" t="s">
        <v>1</v>
      </c>
      <c r="I135" s="1" t="s">
        <v>1</v>
      </c>
      <c r="J135" s="1">
        <v>0</v>
      </c>
      <c r="K135" s="1">
        <v>0</v>
      </c>
      <c r="L135" s="1">
        <f t="shared" si="72"/>
        <v>0</v>
      </c>
      <c r="M135" s="1">
        <v>0</v>
      </c>
      <c r="N135" s="1" t="s">
        <v>1</v>
      </c>
      <c r="O135" s="1" t="s">
        <v>1</v>
      </c>
      <c r="P135" s="1">
        <v>0</v>
      </c>
      <c r="Q135" s="1">
        <v>0</v>
      </c>
      <c r="R135" s="1">
        <f t="shared" si="73"/>
        <v>0</v>
      </c>
      <c r="S135" s="1">
        <v>0</v>
      </c>
      <c r="T135" s="1" t="s">
        <v>1</v>
      </c>
      <c r="U135" s="1" t="s">
        <v>1</v>
      </c>
      <c r="V135" s="1">
        <v>0</v>
      </c>
      <c r="W135" s="1">
        <v>0</v>
      </c>
      <c r="X135" s="1">
        <f t="shared" si="74"/>
        <v>0</v>
      </c>
      <c r="Y135" s="1">
        <v>0</v>
      </c>
      <c r="Z135" s="1" t="s">
        <v>1</v>
      </c>
      <c r="AA135" s="1" t="s">
        <v>1</v>
      </c>
      <c r="AB135" s="1">
        <v>2</v>
      </c>
      <c r="AC135" s="1">
        <v>0</v>
      </c>
      <c r="AD135" s="1">
        <f t="shared" si="81"/>
        <v>2</v>
      </c>
      <c r="AE135" s="1">
        <v>3.5</v>
      </c>
      <c r="AF135" s="22">
        <f t="shared" si="82"/>
        <v>0</v>
      </c>
      <c r="AG135" s="22">
        <f t="shared" si="83"/>
        <v>0</v>
      </c>
      <c r="AH135" s="9">
        <f t="shared" si="83"/>
        <v>2</v>
      </c>
      <c r="AI135" s="22">
        <f t="shared" si="84"/>
        <v>0</v>
      </c>
      <c r="AJ135" s="22">
        <f t="shared" si="85"/>
        <v>2</v>
      </c>
      <c r="AK135" s="22">
        <f t="shared" si="80"/>
        <v>3.5</v>
      </c>
    </row>
    <row r="136" spans="1:38" x14ac:dyDescent="0.2">
      <c r="A136">
        <v>2011</v>
      </c>
      <c r="B136" s="20" t="s">
        <v>46</v>
      </c>
      <c r="C136" s="12">
        <v>40710</v>
      </c>
      <c r="D136" s="3">
        <v>96</v>
      </c>
      <c r="E136" s="20" t="s">
        <v>68</v>
      </c>
      <c r="H136" s="1" t="s">
        <v>1</v>
      </c>
      <c r="I136" s="1" t="s">
        <v>1</v>
      </c>
      <c r="J136" s="1">
        <v>0</v>
      </c>
      <c r="K136" s="1">
        <v>0</v>
      </c>
      <c r="L136" s="1">
        <f t="shared" si="72"/>
        <v>0</v>
      </c>
      <c r="M136" s="1">
        <v>0</v>
      </c>
      <c r="N136" s="1" t="s">
        <v>1</v>
      </c>
      <c r="O136" s="1" t="s">
        <v>1</v>
      </c>
      <c r="P136" s="1">
        <v>0</v>
      </c>
      <c r="Q136" s="1">
        <v>0</v>
      </c>
      <c r="R136" s="1">
        <f t="shared" si="73"/>
        <v>0</v>
      </c>
      <c r="S136" s="1">
        <v>0</v>
      </c>
      <c r="T136" s="1" t="s">
        <v>1</v>
      </c>
      <c r="U136" s="1" t="s">
        <v>1</v>
      </c>
      <c r="V136" s="1">
        <v>0</v>
      </c>
      <c r="W136" s="1">
        <v>0</v>
      </c>
      <c r="X136" s="1">
        <f t="shared" si="74"/>
        <v>0</v>
      </c>
      <c r="Y136" s="1">
        <v>0</v>
      </c>
      <c r="Z136" s="1" t="s">
        <v>1</v>
      </c>
      <c r="AA136" s="1" t="s">
        <v>1</v>
      </c>
      <c r="AB136" s="1">
        <v>4</v>
      </c>
      <c r="AC136" s="1">
        <v>0</v>
      </c>
      <c r="AD136" s="1">
        <f t="shared" si="81"/>
        <v>4</v>
      </c>
      <c r="AE136" s="1">
        <v>15</v>
      </c>
      <c r="AF136" s="22">
        <f t="shared" si="82"/>
        <v>0</v>
      </c>
      <c r="AG136" s="22">
        <f t="shared" si="83"/>
        <v>0</v>
      </c>
      <c r="AH136" s="9">
        <f t="shared" si="83"/>
        <v>4</v>
      </c>
      <c r="AI136" s="22">
        <f t="shared" si="84"/>
        <v>0</v>
      </c>
      <c r="AJ136" s="22">
        <f t="shared" si="85"/>
        <v>4</v>
      </c>
      <c r="AK136" s="22">
        <f t="shared" si="80"/>
        <v>15</v>
      </c>
    </row>
    <row r="137" spans="1:38" s="36" customFormat="1" x14ac:dyDescent="0.2">
      <c r="A137" s="36">
        <v>2011</v>
      </c>
      <c r="B137" s="31" t="s">
        <v>46</v>
      </c>
      <c r="C137" s="38">
        <v>40751</v>
      </c>
      <c r="D137" s="39">
        <v>97</v>
      </c>
      <c r="E137" s="31" t="s">
        <v>47</v>
      </c>
      <c r="H137" s="35">
        <v>0</v>
      </c>
      <c r="I137" s="35">
        <v>20</v>
      </c>
      <c r="J137" s="35">
        <v>0</v>
      </c>
      <c r="K137" s="35">
        <v>0</v>
      </c>
      <c r="L137" s="35">
        <f t="shared" ref="L137:L154" si="86">SUM(H137:K137)</f>
        <v>20</v>
      </c>
      <c r="M137" s="35">
        <v>1.5</v>
      </c>
      <c r="N137" s="35">
        <v>0</v>
      </c>
      <c r="O137" s="35">
        <v>10</v>
      </c>
      <c r="P137" s="35">
        <v>0</v>
      </c>
      <c r="Q137" s="35">
        <v>0</v>
      </c>
      <c r="R137" s="35">
        <f t="shared" ref="R137:R154" si="87">SUM(N137:Q137)</f>
        <v>10</v>
      </c>
      <c r="S137" s="35">
        <v>3.5</v>
      </c>
      <c r="T137" s="35">
        <v>0</v>
      </c>
      <c r="U137" s="35">
        <v>45</v>
      </c>
      <c r="V137" s="35">
        <v>0</v>
      </c>
      <c r="W137" s="35">
        <v>0</v>
      </c>
      <c r="X137" s="35">
        <f t="shared" ref="X137:X154" si="88">SUM(T137:W137)</f>
        <v>45</v>
      </c>
      <c r="Y137" s="35">
        <v>3.5</v>
      </c>
      <c r="Z137" s="35">
        <v>0</v>
      </c>
      <c r="AA137" s="35">
        <v>75</v>
      </c>
      <c r="AB137" s="35">
        <v>2</v>
      </c>
      <c r="AC137" s="35">
        <v>0</v>
      </c>
      <c r="AD137" s="35">
        <f>SUM(Z137:AC137)</f>
        <v>77</v>
      </c>
      <c r="AE137" s="35">
        <v>45</v>
      </c>
      <c r="AF137" s="42">
        <f t="shared" ref="AF137:AF142" si="89">SUM(H137,N137,T137,Z137)</f>
        <v>0</v>
      </c>
      <c r="AG137" s="42">
        <f t="shared" ref="AG137:AG142" si="90">SUM(I137,O137,U137,AA137)</f>
        <v>150</v>
      </c>
      <c r="AH137" s="42">
        <f t="shared" ref="AH137:AH148" si="91">SUM(J137,P137,V137,AB137)</f>
        <v>2</v>
      </c>
      <c r="AI137" s="42">
        <f t="shared" ref="AI137:AI148" si="92">SUM(K137,Q137,W137,AC137)</f>
        <v>0</v>
      </c>
      <c r="AJ137" s="40">
        <f t="shared" ref="AJ137:AJ154" si="93">SUM(AF137:AI137)</f>
        <v>152</v>
      </c>
      <c r="AK137" s="40">
        <f t="shared" ref="AK137:AK154" si="94">M137+S137+Y137+AE137</f>
        <v>53.5</v>
      </c>
      <c r="AL137" s="41"/>
    </row>
    <row r="138" spans="1:38" x14ac:dyDescent="0.2">
      <c r="A138">
        <v>2011</v>
      </c>
      <c r="B138" s="20" t="s">
        <v>46</v>
      </c>
      <c r="C138" s="12">
        <v>40751</v>
      </c>
      <c r="D138" s="3">
        <v>97</v>
      </c>
      <c r="E138" s="20" t="s">
        <v>61</v>
      </c>
      <c r="H138" s="1" t="s">
        <v>1</v>
      </c>
      <c r="I138" s="1" t="s">
        <v>1</v>
      </c>
      <c r="J138" s="1">
        <v>5</v>
      </c>
      <c r="K138" s="1">
        <v>0</v>
      </c>
      <c r="L138" s="1">
        <f t="shared" si="86"/>
        <v>5</v>
      </c>
      <c r="M138" s="1">
        <v>8</v>
      </c>
      <c r="N138" s="1" t="s">
        <v>1</v>
      </c>
      <c r="O138" s="1" t="s">
        <v>1</v>
      </c>
      <c r="P138" s="1">
        <v>1</v>
      </c>
      <c r="Q138" s="1">
        <v>0</v>
      </c>
      <c r="R138" s="1">
        <f t="shared" si="87"/>
        <v>1</v>
      </c>
      <c r="S138" s="1">
        <v>1.5</v>
      </c>
      <c r="T138" s="1" t="s">
        <v>1</v>
      </c>
      <c r="U138" s="1" t="s">
        <v>1</v>
      </c>
      <c r="V138" s="1">
        <v>0</v>
      </c>
      <c r="W138" s="1">
        <v>5</v>
      </c>
      <c r="X138" s="1">
        <f t="shared" si="88"/>
        <v>5</v>
      </c>
      <c r="Y138" s="1">
        <v>85</v>
      </c>
      <c r="Z138" s="1" t="s">
        <v>1</v>
      </c>
      <c r="AA138" s="1" t="s">
        <v>1</v>
      </c>
      <c r="AB138" s="1">
        <v>1</v>
      </c>
      <c r="AC138" s="1">
        <v>0</v>
      </c>
      <c r="AD138" s="1">
        <f>SUM(Z138:AC138)</f>
        <v>1</v>
      </c>
      <c r="AE138" s="1">
        <v>1.5</v>
      </c>
      <c r="AF138" s="9">
        <f t="shared" si="89"/>
        <v>0</v>
      </c>
      <c r="AG138" s="9">
        <f t="shared" si="90"/>
        <v>0</v>
      </c>
      <c r="AH138" s="9">
        <f t="shared" si="91"/>
        <v>7</v>
      </c>
      <c r="AI138" s="9">
        <f t="shared" si="92"/>
        <v>5</v>
      </c>
      <c r="AJ138" s="22">
        <f t="shared" si="93"/>
        <v>12</v>
      </c>
      <c r="AK138" s="22">
        <f t="shared" si="94"/>
        <v>96</v>
      </c>
    </row>
    <row r="139" spans="1:38" x14ac:dyDescent="0.2">
      <c r="A139">
        <v>2011</v>
      </c>
      <c r="B139" s="20" t="s">
        <v>46</v>
      </c>
      <c r="C139" s="12">
        <v>40751</v>
      </c>
      <c r="D139" s="3">
        <v>97</v>
      </c>
      <c r="E139" s="20" t="s">
        <v>49</v>
      </c>
      <c r="H139" s="1" t="s">
        <v>1</v>
      </c>
      <c r="I139" s="1" t="s">
        <v>1</v>
      </c>
      <c r="J139" s="1">
        <v>4</v>
      </c>
      <c r="K139" s="1">
        <v>0</v>
      </c>
      <c r="L139" s="1">
        <f t="shared" si="86"/>
        <v>4</v>
      </c>
      <c r="M139" s="1">
        <v>8</v>
      </c>
      <c r="N139" s="1" t="s">
        <v>1</v>
      </c>
      <c r="O139" s="1" t="s">
        <v>1</v>
      </c>
      <c r="P139" s="1">
        <v>3</v>
      </c>
      <c r="Q139" s="1">
        <v>1</v>
      </c>
      <c r="R139" s="1">
        <f t="shared" si="87"/>
        <v>4</v>
      </c>
      <c r="S139" s="1">
        <v>55</v>
      </c>
      <c r="T139" s="1" t="s">
        <v>1</v>
      </c>
      <c r="U139" s="1" t="s">
        <v>1</v>
      </c>
      <c r="V139" s="1">
        <v>0</v>
      </c>
      <c r="W139" s="1">
        <v>0</v>
      </c>
      <c r="X139" s="1">
        <f t="shared" si="88"/>
        <v>0</v>
      </c>
      <c r="Y139" s="1">
        <v>0</v>
      </c>
      <c r="Z139" s="1" t="s">
        <v>1</v>
      </c>
      <c r="AA139" s="1" t="s">
        <v>1</v>
      </c>
      <c r="AB139" s="1">
        <v>0</v>
      </c>
      <c r="AC139" s="1">
        <v>0</v>
      </c>
      <c r="AD139" s="1">
        <f>SUM(Z139:AC139)</f>
        <v>0</v>
      </c>
      <c r="AE139" s="1">
        <v>0</v>
      </c>
      <c r="AF139" s="9">
        <f t="shared" si="89"/>
        <v>0</v>
      </c>
      <c r="AG139" s="9">
        <f t="shared" si="90"/>
        <v>0</v>
      </c>
      <c r="AH139" s="9">
        <f t="shared" si="91"/>
        <v>7</v>
      </c>
      <c r="AI139" s="9">
        <f t="shared" si="92"/>
        <v>1</v>
      </c>
      <c r="AJ139" s="22">
        <f t="shared" si="93"/>
        <v>8</v>
      </c>
      <c r="AK139" s="22">
        <f t="shared" si="94"/>
        <v>63</v>
      </c>
    </row>
    <row r="140" spans="1:38" x14ac:dyDescent="0.2">
      <c r="A140">
        <v>2011</v>
      </c>
      <c r="B140" s="20" t="s">
        <v>46</v>
      </c>
      <c r="C140" s="12">
        <v>40751</v>
      </c>
      <c r="D140" s="3">
        <v>97</v>
      </c>
      <c r="E140" s="20" t="s">
        <v>70</v>
      </c>
      <c r="H140" s="1" t="s">
        <v>1</v>
      </c>
      <c r="I140" s="1" t="s">
        <v>1</v>
      </c>
      <c r="J140" s="1">
        <v>0</v>
      </c>
      <c r="K140" s="1">
        <v>0</v>
      </c>
      <c r="L140" s="1">
        <f t="shared" si="86"/>
        <v>0</v>
      </c>
      <c r="M140" s="1">
        <v>0</v>
      </c>
      <c r="N140" s="1" t="s">
        <v>1</v>
      </c>
      <c r="O140" s="1" t="s">
        <v>1</v>
      </c>
      <c r="P140" s="1">
        <v>1</v>
      </c>
      <c r="Q140" s="1">
        <v>0</v>
      </c>
      <c r="R140" s="1">
        <f t="shared" si="87"/>
        <v>1</v>
      </c>
      <c r="S140" s="1">
        <v>0.5</v>
      </c>
      <c r="T140" s="1" t="s">
        <v>1</v>
      </c>
      <c r="U140" s="1" t="s">
        <v>1</v>
      </c>
      <c r="V140" s="1">
        <v>0</v>
      </c>
      <c r="W140" s="1">
        <v>0</v>
      </c>
      <c r="X140" s="1">
        <f t="shared" si="88"/>
        <v>0</v>
      </c>
      <c r="Y140" s="1">
        <v>0</v>
      </c>
      <c r="Z140" s="1" t="s">
        <v>1</v>
      </c>
      <c r="AA140" s="1" t="s">
        <v>1</v>
      </c>
      <c r="AB140" s="1">
        <v>0</v>
      </c>
      <c r="AC140" s="1">
        <v>0</v>
      </c>
      <c r="AD140" s="1">
        <f t="shared" ref="AD140:AD154" si="95">SUM(Z140:AC140)</f>
        <v>0</v>
      </c>
      <c r="AE140" s="1">
        <v>0</v>
      </c>
      <c r="AF140" s="9">
        <f t="shared" si="89"/>
        <v>0</v>
      </c>
      <c r="AG140" s="9">
        <f t="shared" si="90"/>
        <v>0</v>
      </c>
      <c r="AH140" s="9">
        <f t="shared" si="91"/>
        <v>1</v>
      </c>
      <c r="AI140" s="9">
        <f t="shared" si="92"/>
        <v>0</v>
      </c>
      <c r="AJ140" s="22">
        <f t="shared" si="93"/>
        <v>1</v>
      </c>
      <c r="AK140" s="22">
        <f t="shared" si="94"/>
        <v>0.5</v>
      </c>
    </row>
    <row r="141" spans="1:38" x14ac:dyDescent="0.2">
      <c r="A141">
        <v>2011</v>
      </c>
      <c r="B141" s="20" t="s">
        <v>46</v>
      </c>
      <c r="C141" s="12">
        <v>40751</v>
      </c>
      <c r="D141" s="3">
        <v>97</v>
      </c>
      <c r="E141" s="20" t="s">
        <v>56</v>
      </c>
      <c r="H141" s="1">
        <v>0</v>
      </c>
      <c r="I141" s="1">
        <v>0</v>
      </c>
      <c r="J141" s="1">
        <v>0</v>
      </c>
      <c r="K141" s="1">
        <v>0</v>
      </c>
      <c r="L141" s="1">
        <f t="shared" si="86"/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f t="shared" si="87"/>
        <v>0</v>
      </c>
      <c r="S141" s="1">
        <v>0</v>
      </c>
      <c r="T141" s="1">
        <v>0</v>
      </c>
      <c r="U141" s="1">
        <v>1</v>
      </c>
      <c r="V141" s="1">
        <v>0</v>
      </c>
      <c r="W141" s="1">
        <v>0</v>
      </c>
      <c r="X141" s="1">
        <f t="shared" si="88"/>
        <v>1</v>
      </c>
      <c r="Y141" s="1">
        <v>0.5</v>
      </c>
      <c r="Z141" s="1">
        <v>0</v>
      </c>
      <c r="AA141" s="1">
        <v>2</v>
      </c>
      <c r="AB141" s="1">
        <v>0</v>
      </c>
      <c r="AC141" s="1">
        <v>0</v>
      </c>
      <c r="AD141" s="1">
        <f t="shared" si="95"/>
        <v>2</v>
      </c>
      <c r="AE141" s="1">
        <v>0.5</v>
      </c>
      <c r="AF141" s="9">
        <f t="shared" si="89"/>
        <v>0</v>
      </c>
      <c r="AG141" s="9">
        <f t="shared" si="90"/>
        <v>3</v>
      </c>
      <c r="AH141" s="9">
        <f t="shared" si="91"/>
        <v>0</v>
      </c>
      <c r="AI141" s="9">
        <f t="shared" si="92"/>
        <v>0</v>
      </c>
      <c r="AJ141" s="22">
        <f t="shared" si="93"/>
        <v>3</v>
      </c>
      <c r="AK141" s="22">
        <f t="shared" si="94"/>
        <v>1</v>
      </c>
    </row>
    <row r="142" spans="1:38" x14ac:dyDescent="0.2">
      <c r="A142">
        <v>2011</v>
      </c>
      <c r="B142" s="20" t="s">
        <v>46</v>
      </c>
      <c r="C142" s="12">
        <v>40751</v>
      </c>
      <c r="D142" s="3">
        <v>97</v>
      </c>
      <c r="E142" s="20" t="s">
        <v>55</v>
      </c>
      <c r="H142" s="1" t="s">
        <v>1</v>
      </c>
      <c r="I142" s="1" t="s">
        <v>1</v>
      </c>
      <c r="J142" s="1">
        <v>0</v>
      </c>
      <c r="K142" s="1">
        <v>0</v>
      </c>
      <c r="L142" s="1">
        <f t="shared" si="86"/>
        <v>0</v>
      </c>
      <c r="M142" s="1">
        <v>0</v>
      </c>
      <c r="N142" s="1" t="s">
        <v>1</v>
      </c>
      <c r="O142" s="1" t="s">
        <v>1</v>
      </c>
      <c r="P142" s="1">
        <v>0</v>
      </c>
      <c r="Q142" s="1">
        <v>0</v>
      </c>
      <c r="R142" s="1">
        <f t="shared" si="87"/>
        <v>0</v>
      </c>
      <c r="S142" s="1">
        <v>0</v>
      </c>
      <c r="T142" s="1" t="s">
        <v>1</v>
      </c>
      <c r="U142" s="1" t="s">
        <v>1</v>
      </c>
      <c r="V142" s="1">
        <v>0</v>
      </c>
      <c r="W142" s="1">
        <v>0</v>
      </c>
      <c r="X142" s="1">
        <f t="shared" si="88"/>
        <v>0</v>
      </c>
      <c r="Y142" s="1">
        <v>0</v>
      </c>
      <c r="Z142" s="1" t="s">
        <v>1</v>
      </c>
      <c r="AA142" s="1" t="s">
        <v>1</v>
      </c>
      <c r="AB142" s="1">
        <v>1</v>
      </c>
      <c r="AC142" s="1">
        <v>0</v>
      </c>
      <c r="AD142" s="1">
        <f t="shared" si="95"/>
        <v>1</v>
      </c>
      <c r="AE142" s="1">
        <v>1.5</v>
      </c>
      <c r="AF142" s="9">
        <f t="shared" si="89"/>
        <v>0</v>
      </c>
      <c r="AG142" s="9">
        <f t="shared" si="90"/>
        <v>0</v>
      </c>
      <c r="AH142" s="9">
        <f t="shared" si="91"/>
        <v>1</v>
      </c>
      <c r="AI142" s="9">
        <f t="shared" si="92"/>
        <v>0</v>
      </c>
      <c r="AJ142" s="22">
        <f t="shared" si="93"/>
        <v>1</v>
      </c>
      <c r="AK142" s="22">
        <f t="shared" si="94"/>
        <v>1.5</v>
      </c>
    </row>
    <row r="143" spans="1:38" s="36" customFormat="1" x14ac:dyDescent="0.2">
      <c r="A143" s="36">
        <v>2011</v>
      </c>
      <c r="B143" s="31" t="s">
        <v>46</v>
      </c>
      <c r="C143" s="38">
        <v>40757</v>
      </c>
      <c r="D143" s="39">
        <v>98</v>
      </c>
      <c r="E143" s="31" t="s">
        <v>47</v>
      </c>
      <c r="H143" s="35">
        <v>0</v>
      </c>
      <c r="I143" s="35">
        <v>0</v>
      </c>
      <c r="J143" s="35">
        <v>0</v>
      </c>
      <c r="K143" s="35">
        <v>0</v>
      </c>
      <c r="L143" s="35">
        <f>SUM(H143:K143)</f>
        <v>0</v>
      </c>
      <c r="M143" s="35">
        <v>0</v>
      </c>
      <c r="N143" s="35">
        <v>0</v>
      </c>
      <c r="O143" s="35">
        <v>107</v>
      </c>
      <c r="P143" s="35">
        <v>0</v>
      </c>
      <c r="Q143" s="35">
        <v>0</v>
      </c>
      <c r="R143" s="35">
        <f>SUM(N143:Q143)</f>
        <v>107</v>
      </c>
      <c r="S143" s="35">
        <v>25</v>
      </c>
      <c r="T143" s="35">
        <v>0</v>
      </c>
      <c r="U143" s="35">
        <v>17</v>
      </c>
      <c r="V143" s="35">
        <v>0</v>
      </c>
      <c r="W143" s="35">
        <v>0</v>
      </c>
      <c r="X143" s="35">
        <f>SUM(T143:W143)</f>
        <v>17</v>
      </c>
      <c r="Y143" s="35">
        <v>0.5</v>
      </c>
      <c r="Z143" s="35">
        <v>0</v>
      </c>
      <c r="AA143" s="35">
        <v>29</v>
      </c>
      <c r="AB143" s="35">
        <v>0</v>
      </c>
      <c r="AC143" s="35">
        <v>0</v>
      </c>
      <c r="AD143" s="35">
        <f t="shared" ref="AD143:AD147" si="96">SUM(AA143:AC143)</f>
        <v>29</v>
      </c>
      <c r="AE143" s="35">
        <v>1.5</v>
      </c>
      <c r="AF143" s="42">
        <f t="shared" ref="AF143:AF147" si="97">SUM(H143,N143,T143,Z143)</f>
        <v>0</v>
      </c>
      <c r="AG143" s="42">
        <f t="shared" ref="AG143:AG147" si="98">SUM(I143,O143,U143,AA143)</f>
        <v>153</v>
      </c>
      <c r="AH143" s="42">
        <f t="shared" ref="AH143" si="99">SUM(J143,P143,V143,AB143)</f>
        <v>0</v>
      </c>
      <c r="AI143" s="42">
        <f t="shared" ref="AI143" si="100">SUM(K143,Q143,W143,AC143)</f>
        <v>0</v>
      </c>
      <c r="AJ143" s="40">
        <f t="shared" ref="AJ143:AJ147" si="101">SUM(AF143:AI143)</f>
        <v>153</v>
      </c>
      <c r="AK143" s="40">
        <f t="shared" ref="AK143:AK147" si="102">M143+S143+Y143+AE143</f>
        <v>27</v>
      </c>
      <c r="AL143" s="41"/>
    </row>
    <row r="144" spans="1:38" x14ac:dyDescent="0.2">
      <c r="A144">
        <v>2011</v>
      </c>
      <c r="B144" s="20" t="s">
        <v>46</v>
      </c>
      <c r="C144" s="12">
        <v>40757</v>
      </c>
      <c r="D144" s="3">
        <v>98</v>
      </c>
      <c r="E144" s="20" t="s">
        <v>92</v>
      </c>
      <c r="H144" s="1" t="s">
        <v>1</v>
      </c>
      <c r="I144" s="1" t="s">
        <v>1</v>
      </c>
      <c r="J144" s="1">
        <v>0</v>
      </c>
      <c r="K144" s="1">
        <v>0</v>
      </c>
      <c r="L144" s="1">
        <f>SUM(H144:K144)</f>
        <v>0</v>
      </c>
      <c r="M144" s="1">
        <v>0</v>
      </c>
      <c r="N144" s="1" t="s">
        <v>1</v>
      </c>
      <c r="O144" s="1" t="s">
        <v>1</v>
      </c>
      <c r="P144" s="1">
        <v>1</v>
      </c>
      <c r="Q144" s="1">
        <v>0</v>
      </c>
      <c r="R144" s="1">
        <f>SUM(N144:Q144)</f>
        <v>1</v>
      </c>
      <c r="S144" s="1">
        <v>1.5</v>
      </c>
      <c r="T144" s="1" t="s">
        <v>1</v>
      </c>
      <c r="U144" s="1" t="s">
        <v>1</v>
      </c>
      <c r="V144" s="1">
        <v>0</v>
      </c>
      <c r="W144" s="1">
        <v>0</v>
      </c>
      <c r="X144" s="1">
        <f>SUM(T144:W144)</f>
        <v>0</v>
      </c>
      <c r="Y144" s="1">
        <v>0</v>
      </c>
      <c r="Z144" s="1" t="s">
        <v>1</v>
      </c>
      <c r="AA144" s="1" t="s">
        <v>1</v>
      </c>
      <c r="AB144" s="1">
        <v>0</v>
      </c>
      <c r="AC144" s="1">
        <v>0</v>
      </c>
      <c r="AD144" s="1">
        <f t="shared" si="96"/>
        <v>0</v>
      </c>
      <c r="AE144" s="1">
        <v>0</v>
      </c>
      <c r="AF144" s="9">
        <f t="shared" si="97"/>
        <v>0</v>
      </c>
      <c r="AG144" s="9">
        <f t="shared" si="98"/>
        <v>0</v>
      </c>
      <c r="AH144" s="9">
        <f t="shared" ref="AH144:AH147" si="103">SUM(J144,P144,V144,AB144)</f>
        <v>1</v>
      </c>
      <c r="AI144" s="9">
        <f t="shared" ref="AI144:AI147" si="104">SUM(K144,Q144,W144,AC144)</f>
        <v>0</v>
      </c>
      <c r="AJ144" s="22">
        <f t="shared" si="101"/>
        <v>1</v>
      </c>
      <c r="AK144" s="22">
        <f t="shared" si="102"/>
        <v>1.5</v>
      </c>
    </row>
    <row r="145" spans="1:38" x14ac:dyDescent="0.2">
      <c r="A145">
        <v>2011</v>
      </c>
      <c r="B145" s="20" t="s">
        <v>46</v>
      </c>
      <c r="C145" s="12">
        <v>40757</v>
      </c>
      <c r="D145" s="3">
        <v>98</v>
      </c>
      <c r="E145" s="20" t="s">
        <v>56</v>
      </c>
      <c r="H145" s="1">
        <v>0</v>
      </c>
      <c r="I145" s="1">
        <v>0</v>
      </c>
      <c r="J145" s="1">
        <v>0</v>
      </c>
      <c r="K145" s="1">
        <v>0</v>
      </c>
      <c r="L145" s="1">
        <f>SUM(H145:K145)</f>
        <v>0</v>
      </c>
      <c r="M145" s="1">
        <v>0</v>
      </c>
      <c r="N145" s="1">
        <v>1</v>
      </c>
      <c r="O145" s="1">
        <v>1</v>
      </c>
      <c r="P145" s="1">
        <v>0</v>
      </c>
      <c r="Q145" s="1">
        <v>0</v>
      </c>
      <c r="R145" s="1">
        <f>SUM(N145:Q145)</f>
        <v>2</v>
      </c>
      <c r="S145" s="1">
        <v>0.5</v>
      </c>
      <c r="T145" s="1">
        <v>0</v>
      </c>
      <c r="U145" s="1">
        <v>0</v>
      </c>
      <c r="V145" s="1">
        <v>0</v>
      </c>
      <c r="W145" s="1">
        <v>0</v>
      </c>
      <c r="X145" s="1">
        <f>SUM(T145:W145)</f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f t="shared" si="96"/>
        <v>0</v>
      </c>
      <c r="AE145" s="1">
        <v>0</v>
      </c>
      <c r="AF145" s="9">
        <f t="shared" si="97"/>
        <v>1</v>
      </c>
      <c r="AG145" s="9">
        <f t="shared" si="98"/>
        <v>1</v>
      </c>
      <c r="AH145" s="9">
        <f t="shared" si="103"/>
        <v>0</v>
      </c>
      <c r="AI145" s="9">
        <f t="shared" si="104"/>
        <v>0</v>
      </c>
      <c r="AJ145" s="22">
        <f t="shared" si="101"/>
        <v>2</v>
      </c>
      <c r="AK145" s="22">
        <f t="shared" si="102"/>
        <v>0.5</v>
      </c>
    </row>
    <row r="146" spans="1:38" x14ac:dyDescent="0.2">
      <c r="A146">
        <v>2011</v>
      </c>
      <c r="B146" s="20" t="s">
        <v>46</v>
      </c>
      <c r="C146" s="12">
        <v>40757</v>
      </c>
      <c r="D146" s="3">
        <v>98</v>
      </c>
      <c r="E146" s="20" t="s">
        <v>58</v>
      </c>
      <c r="H146" s="1" t="s">
        <v>1</v>
      </c>
      <c r="I146" s="1" t="s">
        <v>1</v>
      </c>
      <c r="J146" s="1">
        <v>0</v>
      </c>
      <c r="K146" s="1">
        <v>0</v>
      </c>
      <c r="L146" s="1">
        <f>SUM(H146:K146)</f>
        <v>0</v>
      </c>
      <c r="M146" s="1">
        <v>0</v>
      </c>
      <c r="N146" s="1" t="s">
        <v>1</v>
      </c>
      <c r="O146" s="1" t="s">
        <v>1</v>
      </c>
      <c r="P146" s="1">
        <v>0</v>
      </c>
      <c r="Q146" s="1">
        <v>0</v>
      </c>
      <c r="R146" s="1">
        <f>SUM(N146:Q146)</f>
        <v>0</v>
      </c>
      <c r="S146" s="1">
        <v>0</v>
      </c>
      <c r="T146" s="1" t="s">
        <v>1</v>
      </c>
      <c r="U146" s="1" t="s">
        <v>1</v>
      </c>
      <c r="V146" s="1">
        <v>5</v>
      </c>
      <c r="W146" s="1">
        <v>2</v>
      </c>
      <c r="X146" s="1">
        <f>SUM(T146:W146)</f>
        <v>7</v>
      </c>
      <c r="Y146" s="1">
        <v>25</v>
      </c>
      <c r="Z146" s="1" t="s">
        <v>1</v>
      </c>
      <c r="AA146" s="1" t="s">
        <v>1</v>
      </c>
      <c r="AB146" s="1">
        <v>0</v>
      </c>
      <c r="AC146" s="1">
        <v>0</v>
      </c>
      <c r="AD146" s="1">
        <f t="shared" si="96"/>
        <v>0</v>
      </c>
      <c r="AE146" s="1">
        <v>0</v>
      </c>
      <c r="AF146" s="9">
        <f t="shared" si="97"/>
        <v>0</v>
      </c>
      <c r="AG146" s="9">
        <f t="shared" si="98"/>
        <v>0</v>
      </c>
      <c r="AH146" s="9">
        <f t="shared" si="103"/>
        <v>5</v>
      </c>
      <c r="AI146" s="9">
        <f t="shared" si="104"/>
        <v>2</v>
      </c>
      <c r="AJ146" s="22">
        <f t="shared" si="101"/>
        <v>7</v>
      </c>
      <c r="AK146" s="22">
        <f t="shared" si="102"/>
        <v>25</v>
      </c>
    </row>
    <row r="147" spans="1:38" x14ac:dyDescent="0.2">
      <c r="A147">
        <v>2011</v>
      </c>
      <c r="B147" s="20" t="s">
        <v>46</v>
      </c>
      <c r="C147" s="12">
        <v>40757</v>
      </c>
      <c r="D147" s="3">
        <v>98</v>
      </c>
      <c r="E147" s="20" t="s">
        <v>87</v>
      </c>
      <c r="H147" s="1">
        <v>0</v>
      </c>
      <c r="I147" s="1">
        <v>0</v>
      </c>
      <c r="J147" s="1">
        <v>0</v>
      </c>
      <c r="K147" s="1">
        <v>0</v>
      </c>
      <c r="L147" s="1">
        <f>SUM(H147:K147)</f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f>SUM(N147:Q147)</f>
        <v>0</v>
      </c>
      <c r="S147" s="1">
        <v>0</v>
      </c>
      <c r="T147" s="1">
        <v>0</v>
      </c>
      <c r="U147" s="1">
        <v>1</v>
      </c>
      <c r="V147" s="1">
        <v>0</v>
      </c>
      <c r="W147" s="1">
        <v>0</v>
      </c>
      <c r="X147" s="1">
        <f>SUM(T147:W147)</f>
        <v>1</v>
      </c>
      <c r="Y147" s="1">
        <v>0.5</v>
      </c>
      <c r="Z147" s="1">
        <v>0</v>
      </c>
      <c r="AA147" s="1">
        <v>0</v>
      </c>
      <c r="AB147" s="1">
        <v>0</v>
      </c>
      <c r="AC147" s="1">
        <v>0</v>
      </c>
      <c r="AD147" s="1">
        <f t="shared" si="96"/>
        <v>0</v>
      </c>
      <c r="AE147" s="1">
        <v>0</v>
      </c>
      <c r="AF147" s="9">
        <f t="shared" si="97"/>
        <v>0</v>
      </c>
      <c r="AG147" s="9">
        <f t="shared" si="98"/>
        <v>1</v>
      </c>
      <c r="AH147" s="9">
        <f t="shared" si="103"/>
        <v>0</v>
      </c>
      <c r="AI147" s="9">
        <f t="shared" si="104"/>
        <v>0</v>
      </c>
      <c r="AJ147" s="22">
        <f t="shared" si="101"/>
        <v>1</v>
      </c>
      <c r="AK147" s="22">
        <f t="shared" si="102"/>
        <v>0.5</v>
      </c>
    </row>
    <row r="148" spans="1:38" s="36" customFormat="1" x14ac:dyDescent="0.2">
      <c r="A148" s="36">
        <v>2011</v>
      </c>
      <c r="B148" s="31" t="s">
        <v>46</v>
      </c>
      <c r="C148" s="38">
        <v>40751</v>
      </c>
      <c r="D148" s="39">
        <v>99</v>
      </c>
      <c r="E148" s="31" t="s">
        <v>47</v>
      </c>
      <c r="H148" s="35">
        <v>0</v>
      </c>
      <c r="I148" s="35">
        <v>27</v>
      </c>
      <c r="J148" s="35">
        <v>0</v>
      </c>
      <c r="K148" s="35">
        <v>0</v>
      </c>
      <c r="L148" s="35">
        <f t="shared" si="86"/>
        <v>27</v>
      </c>
      <c r="M148" s="35">
        <v>1.5</v>
      </c>
      <c r="N148" s="35">
        <v>0</v>
      </c>
      <c r="O148" s="35">
        <v>6</v>
      </c>
      <c r="P148" s="35">
        <v>0</v>
      </c>
      <c r="Q148" s="35">
        <v>0</v>
      </c>
      <c r="R148" s="35">
        <f t="shared" si="87"/>
        <v>6</v>
      </c>
      <c r="S148" s="35">
        <v>0.5</v>
      </c>
      <c r="T148" s="35">
        <v>0</v>
      </c>
      <c r="U148" s="35">
        <v>13</v>
      </c>
      <c r="V148" s="35">
        <v>2</v>
      </c>
      <c r="W148" s="35">
        <v>0</v>
      </c>
      <c r="X148" s="35">
        <f t="shared" si="88"/>
        <v>15</v>
      </c>
      <c r="Y148" s="35">
        <v>3.5</v>
      </c>
      <c r="Z148" s="35">
        <v>0</v>
      </c>
      <c r="AA148" s="35">
        <v>20</v>
      </c>
      <c r="AB148" s="35">
        <v>0</v>
      </c>
      <c r="AC148" s="35">
        <v>0</v>
      </c>
      <c r="AD148" s="35">
        <f t="shared" si="95"/>
        <v>20</v>
      </c>
      <c r="AE148" s="35">
        <v>0.5</v>
      </c>
      <c r="AF148" s="42">
        <f t="shared" ref="AF148:AF154" si="105">SUM(H148,N148,T148,Z148)</f>
        <v>0</v>
      </c>
      <c r="AG148" s="42">
        <f t="shared" ref="AG148:AG154" si="106">SUM(I148,O148,U148,AA148)</f>
        <v>66</v>
      </c>
      <c r="AH148" s="42">
        <f t="shared" si="91"/>
        <v>2</v>
      </c>
      <c r="AI148" s="42">
        <f t="shared" si="92"/>
        <v>0</v>
      </c>
      <c r="AJ148" s="40">
        <f t="shared" si="93"/>
        <v>68</v>
      </c>
      <c r="AK148" s="40">
        <f t="shared" si="94"/>
        <v>6</v>
      </c>
      <c r="AL148" s="41"/>
    </row>
    <row r="149" spans="1:38" x14ac:dyDescent="0.2">
      <c r="A149">
        <v>2011</v>
      </c>
      <c r="B149" s="20" t="s">
        <v>46</v>
      </c>
      <c r="C149" s="12">
        <v>40751</v>
      </c>
      <c r="D149" s="3">
        <v>99</v>
      </c>
      <c r="E149" s="20" t="s">
        <v>56</v>
      </c>
      <c r="H149" s="1">
        <v>0</v>
      </c>
      <c r="I149" s="1">
        <v>0</v>
      </c>
      <c r="J149" s="1">
        <v>0</v>
      </c>
      <c r="K149" s="1">
        <v>0</v>
      </c>
      <c r="L149" s="1">
        <f t="shared" si="86"/>
        <v>0</v>
      </c>
      <c r="M149" s="1">
        <v>0</v>
      </c>
      <c r="N149" s="1">
        <v>1</v>
      </c>
      <c r="O149" s="1">
        <v>0</v>
      </c>
      <c r="P149" s="1">
        <v>0</v>
      </c>
      <c r="Q149" s="1">
        <v>0</v>
      </c>
      <c r="R149" s="1">
        <f t="shared" si="87"/>
        <v>1</v>
      </c>
      <c r="S149" s="1">
        <v>0.5</v>
      </c>
      <c r="T149" s="1">
        <v>0</v>
      </c>
      <c r="U149" s="1">
        <v>0</v>
      </c>
      <c r="V149" s="1">
        <v>0</v>
      </c>
      <c r="W149" s="1">
        <v>0</v>
      </c>
      <c r="X149" s="1">
        <f t="shared" si="88"/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f t="shared" si="95"/>
        <v>0</v>
      </c>
      <c r="AE149" s="1">
        <v>0</v>
      </c>
      <c r="AF149" s="9">
        <f t="shared" si="105"/>
        <v>1</v>
      </c>
      <c r="AG149" s="9">
        <f t="shared" si="106"/>
        <v>0</v>
      </c>
      <c r="AH149" s="9">
        <f t="shared" ref="AH149:AH154" si="107">SUM(J149,P149,V149,AB149)</f>
        <v>0</v>
      </c>
      <c r="AI149" s="9">
        <f t="shared" ref="AI149:AI154" si="108">SUM(K149,Q149,W149,AC149)</f>
        <v>0</v>
      </c>
      <c r="AJ149" s="22">
        <f t="shared" si="93"/>
        <v>1</v>
      </c>
      <c r="AK149" s="22">
        <f t="shared" si="94"/>
        <v>0.5</v>
      </c>
    </row>
    <row r="150" spans="1:38" x14ac:dyDescent="0.2">
      <c r="A150">
        <v>2011</v>
      </c>
      <c r="B150" s="20" t="s">
        <v>46</v>
      </c>
      <c r="C150" s="12">
        <v>40751</v>
      </c>
      <c r="D150" s="3">
        <v>99</v>
      </c>
      <c r="E150" s="20" t="s">
        <v>87</v>
      </c>
      <c r="H150" s="1">
        <v>0</v>
      </c>
      <c r="I150" s="1">
        <v>0</v>
      </c>
      <c r="J150" s="1">
        <v>0</v>
      </c>
      <c r="K150" s="1">
        <v>0</v>
      </c>
      <c r="L150" s="1">
        <f t="shared" si="86"/>
        <v>0</v>
      </c>
      <c r="M150" s="1">
        <v>0</v>
      </c>
      <c r="N150" s="1">
        <v>0</v>
      </c>
      <c r="O150" s="1">
        <v>1</v>
      </c>
      <c r="P150" s="1">
        <v>0</v>
      </c>
      <c r="Q150" s="1">
        <v>0</v>
      </c>
      <c r="R150" s="1">
        <f t="shared" si="87"/>
        <v>1</v>
      </c>
      <c r="S150" s="1">
        <v>0.5</v>
      </c>
      <c r="T150" s="1">
        <v>0</v>
      </c>
      <c r="U150" s="1">
        <v>0</v>
      </c>
      <c r="V150" s="1">
        <v>0</v>
      </c>
      <c r="W150" s="1">
        <v>0</v>
      </c>
      <c r="X150" s="1">
        <f t="shared" si="88"/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f t="shared" si="95"/>
        <v>0</v>
      </c>
      <c r="AE150" s="1">
        <v>0</v>
      </c>
      <c r="AF150" s="9">
        <f t="shared" si="105"/>
        <v>0</v>
      </c>
      <c r="AG150" s="9">
        <f t="shared" si="106"/>
        <v>1</v>
      </c>
      <c r="AH150" s="9">
        <f t="shared" si="107"/>
        <v>0</v>
      </c>
      <c r="AI150" s="9">
        <f t="shared" si="108"/>
        <v>0</v>
      </c>
      <c r="AJ150" s="22">
        <f t="shared" si="93"/>
        <v>1</v>
      </c>
      <c r="AK150" s="22">
        <f t="shared" si="94"/>
        <v>0.5</v>
      </c>
    </row>
    <row r="151" spans="1:38" x14ac:dyDescent="0.2">
      <c r="A151">
        <v>2011</v>
      </c>
      <c r="B151" s="20" t="s">
        <v>46</v>
      </c>
      <c r="C151" s="12">
        <v>40751</v>
      </c>
      <c r="D151" s="3">
        <v>99</v>
      </c>
      <c r="E151" s="20" t="s">
        <v>93</v>
      </c>
      <c r="H151" s="1" t="s">
        <v>1</v>
      </c>
      <c r="I151" s="1" t="s">
        <v>1</v>
      </c>
      <c r="J151" s="1">
        <v>0</v>
      </c>
      <c r="K151" s="1">
        <v>0</v>
      </c>
      <c r="L151" s="1">
        <f t="shared" si="86"/>
        <v>0</v>
      </c>
      <c r="M151" s="1">
        <v>0</v>
      </c>
      <c r="N151" s="1" t="s">
        <v>1</v>
      </c>
      <c r="O151" s="1" t="s">
        <v>1</v>
      </c>
      <c r="P151" s="1">
        <v>0</v>
      </c>
      <c r="Q151" s="1">
        <v>0</v>
      </c>
      <c r="R151" s="1">
        <f t="shared" si="87"/>
        <v>0</v>
      </c>
      <c r="S151" s="1">
        <v>0</v>
      </c>
      <c r="T151" s="1" t="s">
        <v>1</v>
      </c>
      <c r="U151" s="1" t="s">
        <v>1</v>
      </c>
      <c r="V151" s="1">
        <v>3</v>
      </c>
      <c r="W151" s="1">
        <v>0</v>
      </c>
      <c r="X151" s="1">
        <f t="shared" si="88"/>
        <v>3</v>
      </c>
      <c r="Y151" s="1">
        <v>8</v>
      </c>
      <c r="Z151" s="1" t="s">
        <v>1</v>
      </c>
      <c r="AA151" s="1" t="s">
        <v>1</v>
      </c>
      <c r="AB151" s="1">
        <v>0</v>
      </c>
      <c r="AC151" s="1">
        <v>0</v>
      </c>
      <c r="AD151" s="1">
        <f t="shared" si="95"/>
        <v>0</v>
      </c>
      <c r="AE151" s="1">
        <v>0</v>
      </c>
      <c r="AF151" s="9">
        <f t="shared" si="105"/>
        <v>0</v>
      </c>
      <c r="AG151" s="9">
        <f t="shared" si="106"/>
        <v>0</v>
      </c>
      <c r="AH151" s="9">
        <f t="shared" si="107"/>
        <v>3</v>
      </c>
      <c r="AI151" s="9">
        <f t="shared" si="108"/>
        <v>0</v>
      </c>
      <c r="AJ151" s="22">
        <f t="shared" si="93"/>
        <v>3</v>
      </c>
      <c r="AK151" s="22">
        <f t="shared" si="94"/>
        <v>8</v>
      </c>
    </row>
    <row r="152" spans="1:38" x14ac:dyDescent="0.2">
      <c r="A152">
        <v>2011</v>
      </c>
      <c r="B152" s="20" t="s">
        <v>46</v>
      </c>
      <c r="C152" s="12">
        <v>40751</v>
      </c>
      <c r="D152" s="3">
        <v>99</v>
      </c>
      <c r="E152" s="20" t="s">
        <v>65</v>
      </c>
      <c r="H152" s="1" t="s">
        <v>1</v>
      </c>
      <c r="I152" s="1" t="s">
        <v>1</v>
      </c>
      <c r="J152" s="1">
        <v>0</v>
      </c>
      <c r="K152" s="1">
        <v>0</v>
      </c>
      <c r="L152" s="1">
        <f t="shared" si="86"/>
        <v>0</v>
      </c>
      <c r="M152" s="1">
        <v>0</v>
      </c>
      <c r="N152" s="1" t="s">
        <v>1</v>
      </c>
      <c r="O152" s="1" t="s">
        <v>1</v>
      </c>
      <c r="P152" s="1">
        <v>0</v>
      </c>
      <c r="Q152" s="1">
        <v>0</v>
      </c>
      <c r="R152" s="1">
        <f t="shared" si="87"/>
        <v>0</v>
      </c>
      <c r="S152" s="1">
        <v>0</v>
      </c>
      <c r="T152" s="1" t="s">
        <v>1</v>
      </c>
      <c r="U152" s="1" t="s">
        <v>1</v>
      </c>
      <c r="V152" s="1">
        <v>1</v>
      </c>
      <c r="W152" s="1">
        <v>0</v>
      </c>
      <c r="X152" s="1">
        <f t="shared" si="88"/>
        <v>1</v>
      </c>
      <c r="Y152" s="1">
        <v>1.5</v>
      </c>
      <c r="Z152" s="1" t="s">
        <v>1</v>
      </c>
      <c r="AA152" s="1" t="s">
        <v>1</v>
      </c>
      <c r="AB152" s="1">
        <v>0</v>
      </c>
      <c r="AC152" s="1">
        <v>0</v>
      </c>
      <c r="AD152" s="1">
        <f t="shared" si="95"/>
        <v>0</v>
      </c>
      <c r="AE152" s="1">
        <v>0</v>
      </c>
      <c r="AF152" s="9">
        <f t="shared" si="105"/>
        <v>0</v>
      </c>
      <c r="AG152" s="9">
        <f t="shared" si="106"/>
        <v>0</v>
      </c>
      <c r="AH152" s="9">
        <f t="shared" si="107"/>
        <v>1</v>
      </c>
      <c r="AI152" s="9">
        <f t="shared" si="108"/>
        <v>0</v>
      </c>
      <c r="AJ152" s="22">
        <f t="shared" si="93"/>
        <v>1</v>
      </c>
      <c r="AK152" s="22">
        <f t="shared" si="94"/>
        <v>1.5</v>
      </c>
    </row>
    <row r="153" spans="1:38" x14ac:dyDescent="0.2">
      <c r="A153">
        <v>2011</v>
      </c>
      <c r="B153" s="20" t="s">
        <v>46</v>
      </c>
      <c r="C153" s="12">
        <v>40751</v>
      </c>
      <c r="D153" s="3">
        <v>99</v>
      </c>
      <c r="E153" s="20" t="s">
        <v>76</v>
      </c>
      <c r="H153" s="1" t="s">
        <v>1</v>
      </c>
      <c r="I153" s="1" t="s">
        <v>1</v>
      </c>
      <c r="J153" s="1">
        <v>0</v>
      </c>
      <c r="K153" s="1">
        <v>0</v>
      </c>
      <c r="L153" s="1">
        <f t="shared" si="86"/>
        <v>0</v>
      </c>
      <c r="M153" s="1">
        <v>0</v>
      </c>
      <c r="N153" s="1" t="s">
        <v>1</v>
      </c>
      <c r="O153" s="1" t="s">
        <v>1</v>
      </c>
      <c r="P153" s="1">
        <v>0</v>
      </c>
      <c r="Q153" s="1">
        <v>0</v>
      </c>
      <c r="R153" s="1">
        <f t="shared" si="87"/>
        <v>0</v>
      </c>
      <c r="S153" s="1">
        <v>0</v>
      </c>
      <c r="T153" s="1" t="s">
        <v>1</v>
      </c>
      <c r="U153" s="1" t="s">
        <v>1</v>
      </c>
      <c r="V153" s="1">
        <v>3</v>
      </c>
      <c r="W153" s="1">
        <v>0</v>
      </c>
      <c r="X153" s="1">
        <f t="shared" si="88"/>
        <v>3</v>
      </c>
      <c r="Y153" s="1">
        <v>1.5</v>
      </c>
      <c r="Z153" s="1" t="s">
        <v>1</v>
      </c>
      <c r="AA153" s="1" t="s">
        <v>1</v>
      </c>
      <c r="AB153" s="1">
        <v>0</v>
      </c>
      <c r="AC153" s="1">
        <v>0</v>
      </c>
      <c r="AD153" s="1">
        <f t="shared" si="95"/>
        <v>0</v>
      </c>
      <c r="AE153" s="1">
        <v>0</v>
      </c>
      <c r="AF153" s="9">
        <f t="shared" si="105"/>
        <v>0</v>
      </c>
      <c r="AG153" s="9">
        <f t="shared" si="106"/>
        <v>0</v>
      </c>
      <c r="AH153" s="9">
        <f t="shared" si="107"/>
        <v>3</v>
      </c>
      <c r="AI153" s="9">
        <f t="shared" si="108"/>
        <v>0</v>
      </c>
      <c r="AJ153" s="22">
        <f t="shared" si="93"/>
        <v>3</v>
      </c>
      <c r="AK153" s="22">
        <f t="shared" si="94"/>
        <v>1.5</v>
      </c>
    </row>
    <row r="154" spans="1:38" x14ac:dyDescent="0.2">
      <c r="A154">
        <v>2011</v>
      </c>
      <c r="B154" s="20" t="s">
        <v>46</v>
      </c>
      <c r="C154" s="12">
        <v>40751</v>
      </c>
      <c r="D154" s="3">
        <v>99</v>
      </c>
      <c r="E154" s="20" t="s">
        <v>49</v>
      </c>
      <c r="H154" s="1" t="s">
        <v>1</v>
      </c>
      <c r="I154" s="1" t="s">
        <v>1</v>
      </c>
      <c r="J154" s="1">
        <v>0</v>
      </c>
      <c r="K154" s="1">
        <v>0</v>
      </c>
      <c r="L154" s="1">
        <f t="shared" si="86"/>
        <v>0</v>
      </c>
      <c r="M154" s="1">
        <v>0</v>
      </c>
      <c r="N154" s="1" t="s">
        <v>1</v>
      </c>
      <c r="O154" s="1" t="s">
        <v>1</v>
      </c>
      <c r="P154" s="1">
        <v>0</v>
      </c>
      <c r="Q154" s="1">
        <v>0</v>
      </c>
      <c r="R154" s="1">
        <f t="shared" si="87"/>
        <v>0</v>
      </c>
      <c r="S154" s="1">
        <v>0</v>
      </c>
      <c r="T154" s="1" t="s">
        <v>1</v>
      </c>
      <c r="U154" s="1" t="s">
        <v>1</v>
      </c>
      <c r="V154" s="1">
        <v>0</v>
      </c>
      <c r="W154" s="1">
        <v>0</v>
      </c>
      <c r="X154" s="1">
        <f t="shared" si="88"/>
        <v>0</v>
      </c>
      <c r="Y154" s="1">
        <v>0</v>
      </c>
      <c r="Z154" s="1" t="s">
        <v>1</v>
      </c>
      <c r="AA154" s="1" t="s">
        <v>1</v>
      </c>
      <c r="AB154" s="1">
        <v>2</v>
      </c>
      <c r="AC154" s="1">
        <v>2</v>
      </c>
      <c r="AD154" s="1">
        <f t="shared" si="95"/>
        <v>4</v>
      </c>
      <c r="AE154" s="1">
        <v>65</v>
      </c>
      <c r="AF154" s="9">
        <f t="shared" si="105"/>
        <v>0</v>
      </c>
      <c r="AG154" s="9">
        <f t="shared" si="106"/>
        <v>0</v>
      </c>
      <c r="AH154" s="9">
        <f t="shared" si="107"/>
        <v>2</v>
      </c>
      <c r="AI154" s="9">
        <f t="shared" si="108"/>
        <v>2</v>
      </c>
      <c r="AJ154" s="22">
        <f t="shared" si="93"/>
        <v>4</v>
      </c>
      <c r="AK154" s="22">
        <f t="shared" si="94"/>
        <v>65</v>
      </c>
    </row>
    <row r="155" spans="1:38" s="36" customFormat="1" x14ac:dyDescent="0.2">
      <c r="A155" s="36">
        <v>2011</v>
      </c>
      <c r="B155" s="31" t="s">
        <v>46</v>
      </c>
      <c r="C155" s="38">
        <v>40724</v>
      </c>
      <c r="D155" s="39">
        <v>100</v>
      </c>
      <c r="E155" s="31" t="s">
        <v>47</v>
      </c>
      <c r="H155" s="35">
        <v>0</v>
      </c>
      <c r="I155" s="35">
        <v>167</v>
      </c>
      <c r="J155" s="35">
        <v>0</v>
      </c>
      <c r="K155" s="35">
        <v>0</v>
      </c>
      <c r="L155" s="35">
        <f t="shared" si="72"/>
        <v>167</v>
      </c>
      <c r="M155" s="35">
        <v>15</v>
      </c>
      <c r="N155" s="35">
        <v>0</v>
      </c>
      <c r="O155" s="35">
        <v>183</v>
      </c>
      <c r="P155" s="35">
        <v>4</v>
      </c>
      <c r="Q155" s="35">
        <v>0</v>
      </c>
      <c r="R155" s="35">
        <f t="shared" si="73"/>
        <v>187</v>
      </c>
      <c r="S155" s="35">
        <v>25</v>
      </c>
      <c r="T155" s="35">
        <v>0</v>
      </c>
      <c r="U155" s="35">
        <v>142</v>
      </c>
      <c r="V155" s="35">
        <v>0</v>
      </c>
      <c r="W155" s="35">
        <v>0</v>
      </c>
      <c r="X155" s="35">
        <f t="shared" si="74"/>
        <v>142</v>
      </c>
      <c r="Y155" s="35">
        <v>8</v>
      </c>
      <c r="Z155" s="35">
        <v>0</v>
      </c>
      <c r="AA155" s="35">
        <v>150</v>
      </c>
      <c r="AB155" s="35">
        <v>4</v>
      </c>
      <c r="AC155" s="35">
        <v>0</v>
      </c>
      <c r="AD155" s="35">
        <f t="shared" si="81"/>
        <v>154</v>
      </c>
      <c r="AE155" s="35">
        <v>35</v>
      </c>
      <c r="AF155" s="40">
        <f t="shared" ref="AF155:AF168" si="109">SUM(H155,N155,T155,Z155)</f>
        <v>0</v>
      </c>
      <c r="AG155" s="40">
        <f t="shared" ref="AG155:AG168" si="110">SUM(I155,O155,U155,AA155)</f>
        <v>642</v>
      </c>
      <c r="AH155" s="42">
        <f t="shared" si="83"/>
        <v>8</v>
      </c>
      <c r="AI155" s="42">
        <f t="shared" ref="AI155:AI167" si="111">SUM(K155,Q155,W155,AC155)</f>
        <v>0</v>
      </c>
      <c r="AJ155" s="40">
        <f t="shared" ref="AJ155:AJ167" si="112">SUM(AF155:AI155)</f>
        <v>650</v>
      </c>
      <c r="AK155" s="40">
        <f t="shared" si="80"/>
        <v>83</v>
      </c>
      <c r="AL155" s="41"/>
    </row>
    <row r="156" spans="1:38" x14ac:dyDescent="0.2">
      <c r="A156">
        <v>2011</v>
      </c>
      <c r="B156" s="20" t="s">
        <v>46</v>
      </c>
      <c r="C156" s="12">
        <v>40724</v>
      </c>
      <c r="D156" s="3">
        <v>100</v>
      </c>
      <c r="E156" s="20" t="s">
        <v>61</v>
      </c>
      <c r="H156" s="1" t="s">
        <v>1</v>
      </c>
      <c r="I156" s="1" t="s">
        <v>1</v>
      </c>
      <c r="J156" s="1">
        <v>16</v>
      </c>
      <c r="K156" s="1">
        <v>4</v>
      </c>
      <c r="L156" s="1">
        <f t="shared" si="72"/>
        <v>20</v>
      </c>
      <c r="M156" s="1">
        <v>35</v>
      </c>
      <c r="N156" s="1" t="s">
        <v>1</v>
      </c>
      <c r="O156" s="1" t="s">
        <v>1</v>
      </c>
      <c r="P156" s="1">
        <v>0</v>
      </c>
      <c r="Q156" s="1">
        <v>0</v>
      </c>
      <c r="R156" s="1">
        <f t="shared" si="73"/>
        <v>0</v>
      </c>
      <c r="S156" s="1">
        <v>0</v>
      </c>
      <c r="T156" s="1" t="s">
        <v>1</v>
      </c>
      <c r="U156" s="1" t="s">
        <v>1</v>
      </c>
      <c r="V156" s="1">
        <v>0</v>
      </c>
      <c r="W156" s="1">
        <v>0</v>
      </c>
      <c r="X156" s="1">
        <f t="shared" si="74"/>
        <v>0</v>
      </c>
      <c r="Y156" s="1">
        <v>0</v>
      </c>
      <c r="Z156" s="1" t="s">
        <v>1</v>
      </c>
      <c r="AA156" s="1" t="s">
        <v>1</v>
      </c>
      <c r="AB156" s="1">
        <v>0</v>
      </c>
      <c r="AC156" s="1">
        <v>0</v>
      </c>
      <c r="AD156" s="1">
        <f t="shared" si="81"/>
        <v>0</v>
      </c>
      <c r="AE156" s="1">
        <v>0</v>
      </c>
      <c r="AF156" s="22">
        <f t="shared" si="109"/>
        <v>0</v>
      </c>
      <c r="AG156" s="22">
        <f t="shared" si="110"/>
        <v>0</v>
      </c>
      <c r="AH156" s="9">
        <f t="shared" si="83"/>
        <v>16</v>
      </c>
      <c r="AI156" s="9">
        <f t="shared" si="111"/>
        <v>4</v>
      </c>
      <c r="AJ156" s="22">
        <f t="shared" si="112"/>
        <v>20</v>
      </c>
      <c r="AK156" s="22">
        <f t="shared" si="80"/>
        <v>35</v>
      </c>
    </row>
    <row r="157" spans="1:38" x14ac:dyDescent="0.2">
      <c r="A157">
        <v>2011</v>
      </c>
      <c r="B157" s="20" t="s">
        <v>46</v>
      </c>
      <c r="C157" s="12">
        <v>40724</v>
      </c>
      <c r="D157" s="3">
        <v>100</v>
      </c>
      <c r="E157" s="20" t="s">
        <v>70</v>
      </c>
      <c r="H157" s="1" t="s">
        <v>1</v>
      </c>
      <c r="I157" s="1" t="s">
        <v>1</v>
      </c>
      <c r="J157" s="1">
        <v>1</v>
      </c>
      <c r="K157" s="1">
        <v>0</v>
      </c>
      <c r="L157" s="1">
        <f t="shared" si="72"/>
        <v>1</v>
      </c>
      <c r="M157" s="1">
        <v>1.5</v>
      </c>
      <c r="N157" s="1" t="s">
        <v>1</v>
      </c>
      <c r="O157" s="1" t="s">
        <v>1</v>
      </c>
      <c r="P157" s="1">
        <v>0</v>
      </c>
      <c r="Q157" s="1">
        <v>0</v>
      </c>
      <c r="R157" s="1">
        <f t="shared" si="73"/>
        <v>0</v>
      </c>
      <c r="S157" s="1">
        <v>0</v>
      </c>
      <c r="T157" s="1" t="s">
        <v>1</v>
      </c>
      <c r="U157" s="1" t="s">
        <v>1</v>
      </c>
      <c r="V157" s="1">
        <v>0</v>
      </c>
      <c r="W157" s="1">
        <v>0</v>
      </c>
      <c r="X157" s="1">
        <f t="shared" si="74"/>
        <v>0</v>
      </c>
      <c r="Y157" s="1">
        <v>0</v>
      </c>
      <c r="Z157" s="1" t="s">
        <v>1</v>
      </c>
      <c r="AA157" s="1" t="s">
        <v>1</v>
      </c>
      <c r="AB157" s="1">
        <v>0</v>
      </c>
      <c r="AC157" s="1">
        <v>0</v>
      </c>
      <c r="AD157" s="1">
        <f t="shared" si="81"/>
        <v>0</v>
      </c>
      <c r="AE157" s="1">
        <v>0</v>
      </c>
      <c r="AF157" s="22">
        <f t="shared" si="109"/>
        <v>0</v>
      </c>
      <c r="AG157" s="22">
        <f t="shared" si="110"/>
        <v>0</v>
      </c>
      <c r="AH157" s="9">
        <f t="shared" si="83"/>
        <v>1</v>
      </c>
      <c r="AI157" s="9">
        <f t="shared" si="111"/>
        <v>0</v>
      </c>
      <c r="AJ157" s="22">
        <f t="shared" si="112"/>
        <v>1</v>
      </c>
      <c r="AK157" s="22">
        <f t="shared" si="80"/>
        <v>1.5</v>
      </c>
    </row>
    <row r="158" spans="1:38" x14ac:dyDescent="0.2">
      <c r="A158">
        <v>2011</v>
      </c>
      <c r="B158" s="20" t="s">
        <v>46</v>
      </c>
      <c r="C158" s="12">
        <v>40724</v>
      </c>
      <c r="D158" s="3">
        <v>100</v>
      </c>
      <c r="E158" s="20" t="s">
        <v>83</v>
      </c>
      <c r="H158" s="1" t="s">
        <v>1</v>
      </c>
      <c r="I158" s="1" t="s">
        <v>1</v>
      </c>
      <c r="J158" s="1">
        <v>1</v>
      </c>
      <c r="K158" s="1">
        <v>0</v>
      </c>
      <c r="L158" s="1">
        <f t="shared" si="72"/>
        <v>1</v>
      </c>
      <c r="M158" s="1">
        <v>3.5</v>
      </c>
      <c r="N158" s="1" t="s">
        <v>1</v>
      </c>
      <c r="O158" s="1" t="s">
        <v>1</v>
      </c>
      <c r="P158" s="1">
        <v>0</v>
      </c>
      <c r="Q158" s="1">
        <v>0</v>
      </c>
      <c r="R158" s="1">
        <f t="shared" si="73"/>
        <v>0</v>
      </c>
      <c r="S158" s="1">
        <v>0</v>
      </c>
      <c r="T158" s="1" t="s">
        <v>1</v>
      </c>
      <c r="U158" s="1" t="s">
        <v>1</v>
      </c>
      <c r="V158" s="1">
        <v>0</v>
      </c>
      <c r="W158" s="1">
        <v>0</v>
      </c>
      <c r="X158" s="1">
        <f t="shared" si="74"/>
        <v>0</v>
      </c>
      <c r="Y158" s="1">
        <v>0</v>
      </c>
      <c r="Z158" s="1" t="s">
        <v>1</v>
      </c>
      <c r="AA158" s="1" t="s">
        <v>1</v>
      </c>
      <c r="AB158" s="1">
        <v>0</v>
      </c>
      <c r="AC158" s="1">
        <v>0</v>
      </c>
      <c r="AD158" s="1">
        <f t="shared" si="81"/>
        <v>0</v>
      </c>
      <c r="AE158" s="1">
        <v>0</v>
      </c>
      <c r="AF158" s="22">
        <f t="shared" si="109"/>
        <v>0</v>
      </c>
      <c r="AG158" s="22">
        <f t="shared" si="110"/>
        <v>0</v>
      </c>
      <c r="AH158" s="9">
        <f t="shared" si="83"/>
        <v>1</v>
      </c>
      <c r="AI158" s="9">
        <f t="shared" si="111"/>
        <v>0</v>
      </c>
      <c r="AJ158" s="22">
        <f t="shared" si="112"/>
        <v>1</v>
      </c>
      <c r="AK158" s="22">
        <f t="shared" si="80"/>
        <v>3.5</v>
      </c>
    </row>
    <row r="159" spans="1:38" x14ac:dyDescent="0.2">
      <c r="A159">
        <v>2011</v>
      </c>
      <c r="B159" s="20" t="s">
        <v>46</v>
      </c>
      <c r="C159" s="12">
        <v>40724</v>
      </c>
      <c r="D159" s="3">
        <v>100</v>
      </c>
      <c r="E159" s="20" t="s">
        <v>62</v>
      </c>
      <c r="H159" s="1" t="s">
        <v>1</v>
      </c>
      <c r="I159" s="1" t="s">
        <v>1</v>
      </c>
      <c r="J159" s="1">
        <v>1</v>
      </c>
      <c r="K159" s="1">
        <v>0</v>
      </c>
      <c r="L159" s="1">
        <f t="shared" si="72"/>
        <v>1</v>
      </c>
      <c r="M159" s="1">
        <v>3.5</v>
      </c>
      <c r="N159" s="1" t="s">
        <v>1</v>
      </c>
      <c r="O159" s="1" t="s">
        <v>1</v>
      </c>
      <c r="P159" s="1">
        <v>0</v>
      </c>
      <c r="Q159" s="1">
        <v>0</v>
      </c>
      <c r="R159" s="1">
        <f t="shared" si="73"/>
        <v>0</v>
      </c>
      <c r="S159" s="1">
        <v>0</v>
      </c>
      <c r="T159" s="1" t="s">
        <v>1</v>
      </c>
      <c r="U159" s="1" t="s">
        <v>1</v>
      </c>
      <c r="V159" s="1">
        <v>2</v>
      </c>
      <c r="W159" s="1">
        <v>0</v>
      </c>
      <c r="X159" s="1">
        <f t="shared" si="74"/>
        <v>2</v>
      </c>
      <c r="Y159" s="1">
        <v>8</v>
      </c>
      <c r="Z159" s="1" t="s">
        <v>1</v>
      </c>
      <c r="AA159" s="1" t="s">
        <v>1</v>
      </c>
      <c r="AB159" s="1">
        <v>1</v>
      </c>
      <c r="AC159" s="1">
        <v>0</v>
      </c>
      <c r="AD159" s="1">
        <f t="shared" si="81"/>
        <v>1</v>
      </c>
      <c r="AE159" s="1">
        <v>0.5</v>
      </c>
      <c r="AF159" s="22">
        <f t="shared" si="109"/>
        <v>0</v>
      </c>
      <c r="AG159" s="22">
        <f t="shared" si="110"/>
        <v>0</v>
      </c>
      <c r="AH159" s="9">
        <f t="shared" si="83"/>
        <v>4</v>
      </c>
      <c r="AI159" s="9">
        <f t="shared" si="111"/>
        <v>0</v>
      </c>
      <c r="AJ159" s="22">
        <f t="shared" si="112"/>
        <v>4</v>
      </c>
      <c r="AK159" s="22">
        <f t="shared" si="80"/>
        <v>12</v>
      </c>
    </row>
    <row r="160" spans="1:38" x14ac:dyDescent="0.2">
      <c r="A160">
        <v>2011</v>
      </c>
      <c r="B160" s="20" t="s">
        <v>46</v>
      </c>
      <c r="C160" s="12">
        <v>40724</v>
      </c>
      <c r="D160" s="3">
        <v>100</v>
      </c>
      <c r="E160" s="20" t="s">
        <v>60</v>
      </c>
      <c r="H160" s="1">
        <v>0</v>
      </c>
      <c r="I160" s="1">
        <v>0</v>
      </c>
      <c r="J160" s="1">
        <v>0</v>
      </c>
      <c r="K160" s="1">
        <v>0</v>
      </c>
      <c r="L160" s="1">
        <f t="shared" si="72"/>
        <v>0</v>
      </c>
      <c r="M160" s="1">
        <v>0</v>
      </c>
      <c r="N160" s="1">
        <v>0</v>
      </c>
      <c r="O160" s="1">
        <v>1</v>
      </c>
      <c r="P160" s="1">
        <v>0</v>
      </c>
      <c r="Q160" s="1">
        <v>0</v>
      </c>
      <c r="R160" s="1">
        <f t="shared" si="73"/>
        <v>1</v>
      </c>
      <c r="S160" s="1">
        <v>0.5</v>
      </c>
      <c r="T160" s="1">
        <v>0</v>
      </c>
      <c r="U160" s="1">
        <v>0</v>
      </c>
      <c r="V160" s="1">
        <v>0</v>
      </c>
      <c r="W160" s="1">
        <v>0</v>
      </c>
      <c r="X160" s="1">
        <f t="shared" si="74"/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f t="shared" si="81"/>
        <v>0</v>
      </c>
      <c r="AE160" s="1">
        <v>0</v>
      </c>
      <c r="AF160" s="22">
        <f t="shared" si="109"/>
        <v>0</v>
      </c>
      <c r="AG160" s="22">
        <f t="shared" si="110"/>
        <v>1</v>
      </c>
      <c r="AH160" s="9">
        <f t="shared" si="83"/>
        <v>0</v>
      </c>
      <c r="AI160" s="9">
        <f t="shared" si="111"/>
        <v>0</v>
      </c>
      <c r="AJ160" s="22">
        <f t="shared" si="112"/>
        <v>1</v>
      </c>
      <c r="AK160" s="22">
        <f t="shared" si="80"/>
        <v>0.5</v>
      </c>
    </row>
    <row r="161" spans="1:38" x14ac:dyDescent="0.2">
      <c r="A161">
        <v>2011</v>
      </c>
      <c r="B161" s="20" t="s">
        <v>46</v>
      </c>
      <c r="C161" s="12">
        <v>40724</v>
      </c>
      <c r="D161" s="3">
        <v>100</v>
      </c>
      <c r="E161" s="20" t="s">
        <v>64</v>
      </c>
      <c r="H161" s="1" t="s">
        <v>1</v>
      </c>
      <c r="I161" s="1" t="s">
        <v>1</v>
      </c>
      <c r="J161" s="1">
        <v>0</v>
      </c>
      <c r="K161" s="1">
        <v>0</v>
      </c>
      <c r="L161" s="1">
        <f t="shared" si="72"/>
        <v>0</v>
      </c>
      <c r="M161" s="1">
        <v>0</v>
      </c>
      <c r="N161" s="1" t="s">
        <v>1</v>
      </c>
      <c r="O161" s="1" t="s">
        <v>1</v>
      </c>
      <c r="P161" s="1">
        <v>1</v>
      </c>
      <c r="Q161" s="1">
        <v>1</v>
      </c>
      <c r="R161" s="1">
        <f t="shared" si="73"/>
        <v>2</v>
      </c>
      <c r="S161" s="1">
        <v>3.5</v>
      </c>
      <c r="T161" s="1" t="s">
        <v>1</v>
      </c>
      <c r="U161" s="1" t="s">
        <v>1</v>
      </c>
      <c r="V161" s="1">
        <v>0</v>
      </c>
      <c r="W161" s="1">
        <v>0</v>
      </c>
      <c r="X161" s="1">
        <f t="shared" si="74"/>
        <v>0</v>
      </c>
      <c r="Y161" s="1">
        <v>0</v>
      </c>
      <c r="Z161" s="1" t="s">
        <v>1</v>
      </c>
      <c r="AA161" s="1" t="s">
        <v>1</v>
      </c>
      <c r="AB161" s="1">
        <v>1</v>
      </c>
      <c r="AC161" s="1">
        <v>0</v>
      </c>
      <c r="AD161" s="1">
        <f t="shared" si="81"/>
        <v>1</v>
      </c>
      <c r="AE161" s="1">
        <v>1.5</v>
      </c>
      <c r="AF161" s="22">
        <f t="shared" si="109"/>
        <v>0</v>
      </c>
      <c r="AG161" s="22">
        <f t="shared" si="110"/>
        <v>0</v>
      </c>
      <c r="AH161" s="9">
        <f t="shared" si="83"/>
        <v>2</v>
      </c>
      <c r="AI161" s="9">
        <f t="shared" si="111"/>
        <v>1</v>
      </c>
      <c r="AJ161" s="22">
        <f t="shared" si="112"/>
        <v>3</v>
      </c>
      <c r="AK161" s="22">
        <f t="shared" si="80"/>
        <v>5</v>
      </c>
    </row>
    <row r="162" spans="1:38" x14ac:dyDescent="0.2">
      <c r="A162">
        <v>2011</v>
      </c>
      <c r="B162" s="20" t="s">
        <v>46</v>
      </c>
      <c r="C162" s="12">
        <v>40724</v>
      </c>
      <c r="D162" s="3">
        <v>100</v>
      </c>
      <c r="E162" s="20" t="s">
        <v>55</v>
      </c>
      <c r="H162" s="1" t="s">
        <v>1</v>
      </c>
      <c r="I162" s="1" t="s">
        <v>1</v>
      </c>
      <c r="J162" s="1">
        <v>0</v>
      </c>
      <c r="K162" s="1">
        <v>0</v>
      </c>
      <c r="L162" s="1">
        <f t="shared" si="72"/>
        <v>0</v>
      </c>
      <c r="M162" s="1">
        <v>0</v>
      </c>
      <c r="N162" s="1" t="s">
        <v>1</v>
      </c>
      <c r="O162" s="1" t="s">
        <v>1</v>
      </c>
      <c r="P162" s="1">
        <v>0</v>
      </c>
      <c r="Q162" s="1">
        <v>0</v>
      </c>
      <c r="R162" s="1">
        <f t="shared" si="73"/>
        <v>0</v>
      </c>
      <c r="S162" s="1">
        <v>0</v>
      </c>
      <c r="T162" s="1" t="s">
        <v>1</v>
      </c>
      <c r="U162" s="1" t="s">
        <v>1</v>
      </c>
      <c r="V162" s="1">
        <v>6</v>
      </c>
      <c r="W162" s="1">
        <v>4</v>
      </c>
      <c r="X162" s="1">
        <f t="shared" si="74"/>
        <v>10</v>
      </c>
      <c r="Y162" s="1">
        <v>15</v>
      </c>
      <c r="Z162" s="1" t="s">
        <v>1</v>
      </c>
      <c r="AA162" s="1" t="s">
        <v>1</v>
      </c>
      <c r="AB162" s="1">
        <v>0</v>
      </c>
      <c r="AC162" s="1">
        <v>0</v>
      </c>
      <c r="AD162" s="1">
        <f t="shared" si="81"/>
        <v>0</v>
      </c>
      <c r="AE162" s="1">
        <v>0</v>
      </c>
      <c r="AF162" s="22">
        <f t="shared" si="109"/>
        <v>0</v>
      </c>
      <c r="AG162" s="22">
        <f t="shared" si="110"/>
        <v>0</v>
      </c>
      <c r="AH162" s="9">
        <f t="shared" si="83"/>
        <v>6</v>
      </c>
      <c r="AI162" s="9">
        <f t="shared" si="111"/>
        <v>4</v>
      </c>
      <c r="AJ162" s="22">
        <f t="shared" si="112"/>
        <v>10</v>
      </c>
      <c r="AK162" s="22">
        <f t="shared" si="80"/>
        <v>15</v>
      </c>
    </row>
    <row r="163" spans="1:38" x14ac:dyDescent="0.2">
      <c r="A163">
        <v>2011</v>
      </c>
      <c r="B163" s="20" t="s">
        <v>46</v>
      </c>
      <c r="C163" s="12">
        <v>40724</v>
      </c>
      <c r="D163" s="3">
        <v>100</v>
      </c>
      <c r="E163" s="20" t="s">
        <v>92</v>
      </c>
      <c r="H163" s="1" t="s">
        <v>1</v>
      </c>
      <c r="I163" s="1" t="s">
        <v>1</v>
      </c>
      <c r="J163" s="1">
        <v>0</v>
      </c>
      <c r="K163" s="1">
        <v>0</v>
      </c>
      <c r="L163" s="1">
        <f t="shared" si="72"/>
        <v>0</v>
      </c>
      <c r="M163" s="1">
        <v>0</v>
      </c>
      <c r="N163" s="1" t="s">
        <v>1</v>
      </c>
      <c r="O163" s="1" t="s">
        <v>1</v>
      </c>
      <c r="P163" s="1">
        <v>0</v>
      </c>
      <c r="Q163" s="1">
        <v>0</v>
      </c>
      <c r="R163" s="1">
        <f t="shared" si="73"/>
        <v>0</v>
      </c>
      <c r="S163" s="1">
        <v>0</v>
      </c>
      <c r="T163" s="1" t="s">
        <v>1</v>
      </c>
      <c r="U163" s="1" t="s">
        <v>1</v>
      </c>
      <c r="V163" s="1">
        <v>1</v>
      </c>
      <c r="W163" s="1">
        <v>0</v>
      </c>
      <c r="X163" s="1">
        <f t="shared" si="74"/>
        <v>1</v>
      </c>
      <c r="Y163" s="1">
        <v>1.5</v>
      </c>
      <c r="Z163" s="1" t="s">
        <v>1</v>
      </c>
      <c r="AA163" s="1" t="s">
        <v>1</v>
      </c>
      <c r="AB163" s="1">
        <v>0</v>
      </c>
      <c r="AC163" s="1">
        <v>0</v>
      </c>
      <c r="AD163" s="1">
        <f t="shared" si="81"/>
        <v>0</v>
      </c>
      <c r="AE163" s="1">
        <v>0</v>
      </c>
      <c r="AF163" s="22">
        <f t="shared" si="109"/>
        <v>0</v>
      </c>
      <c r="AG163" s="22">
        <f t="shared" si="110"/>
        <v>0</v>
      </c>
      <c r="AH163" s="9">
        <f t="shared" si="83"/>
        <v>1</v>
      </c>
      <c r="AI163" s="9">
        <f t="shared" si="111"/>
        <v>0</v>
      </c>
      <c r="AJ163" s="22">
        <f t="shared" si="112"/>
        <v>1</v>
      </c>
      <c r="AK163" s="22">
        <f t="shared" si="80"/>
        <v>1.5</v>
      </c>
    </row>
    <row r="164" spans="1:38" x14ac:dyDescent="0.2">
      <c r="A164">
        <v>2011</v>
      </c>
      <c r="B164" s="20" t="s">
        <v>46</v>
      </c>
      <c r="C164" s="12">
        <v>40724</v>
      </c>
      <c r="D164" s="3">
        <v>100</v>
      </c>
      <c r="E164" s="20" t="s">
        <v>50</v>
      </c>
      <c r="H164" s="1" t="s">
        <v>1</v>
      </c>
      <c r="I164" s="1" t="s">
        <v>1</v>
      </c>
      <c r="J164" s="1">
        <v>0</v>
      </c>
      <c r="K164" s="1">
        <v>0</v>
      </c>
      <c r="L164" s="1">
        <f t="shared" si="72"/>
        <v>0</v>
      </c>
      <c r="M164" s="1">
        <v>0</v>
      </c>
      <c r="N164" s="1" t="s">
        <v>1</v>
      </c>
      <c r="O164" s="1" t="s">
        <v>1</v>
      </c>
      <c r="P164" s="1">
        <v>0</v>
      </c>
      <c r="Q164" s="1">
        <v>0</v>
      </c>
      <c r="R164" s="1">
        <f t="shared" si="73"/>
        <v>0</v>
      </c>
      <c r="S164" s="1">
        <v>0</v>
      </c>
      <c r="T164" s="1" t="s">
        <v>1</v>
      </c>
      <c r="U164" s="1" t="s">
        <v>1</v>
      </c>
      <c r="V164" s="1">
        <v>2</v>
      </c>
      <c r="W164" s="1">
        <v>0</v>
      </c>
      <c r="X164" s="1">
        <f t="shared" si="74"/>
        <v>2</v>
      </c>
      <c r="Y164" s="1">
        <v>3.5</v>
      </c>
      <c r="Z164" s="1" t="s">
        <v>1</v>
      </c>
      <c r="AA164" s="1" t="s">
        <v>1</v>
      </c>
      <c r="AB164" s="1">
        <v>0</v>
      </c>
      <c r="AC164" s="1">
        <v>0</v>
      </c>
      <c r="AD164" s="1">
        <f t="shared" si="81"/>
        <v>0</v>
      </c>
      <c r="AE164" s="1">
        <v>0</v>
      </c>
      <c r="AF164" s="22">
        <f t="shared" si="109"/>
        <v>0</v>
      </c>
      <c r="AG164" s="22">
        <f t="shared" si="110"/>
        <v>0</v>
      </c>
      <c r="AH164" s="9">
        <f t="shared" si="83"/>
        <v>2</v>
      </c>
      <c r="AI164" s="9">
        <f t="shared" si="111"/>
        <v>0</v>
      </c>
      <c r="AJ164" s="22">
        <f t="shared" si="112"/>
        <v>2</v>
      </c>
      <c r="AK164" s="22">
        <f t="shared" si="80"/>
        <v>3.5</v>
      </c>
    </row>
    <row r="165" spans="1:38" x14ac:dyDescent="0.2">
      <c r="A165">
        <v>2011</v>
      </c>
      <c r="B165" s="20" t="s">
        <v>46</v>
      </c>
      <c r="C165" s="12">
        <v>40724</v>
      </c>
      <c r="D165" s="3">
        <v>100</v>
      </c>
      <c r="E165" s="20" t="s">
        <v>87</v>
      </c>
      <c r="H165" s="1">
        <v>0</v>
      </c>
      <c r="I165" s="1">
        <v>0</v>
      </c>
      <c r="J165" s="1">
        <v>0</v>
      </c>
      <c r="K165" s="1">
        <v>0</v>
      </c>
      <c r="L165" s="1">
        <f t="shared" si="72"/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f t="shared" si="73"/>
        <v>0</v>
      </c>
      <c r="S165" s="1">
        <v>0</v>
      </c>
      <c r="T165" s="1">
        <v>0</v>
      </c>
      <c r="U165" s="1">
        <v>1</v>
      </c>
      <c r="V165" s="1">
        <v>0</v>
      </c>
      <c r="W165" s="1">
        <v>0</v>
      </c>
      <c r="X165" s="1">
        <f t="shared" si="74"/>
        <v>1</v>
      </c>
      <c r="Y165" s="1">
        <v>0.5</v>
      </c>
      <c r="Z165" s="1">
        <v>0</v>
      </c>
      <c r="AA165" s="1">
        <v>0</v>
      </c>
      <c r="AB165" s="1">
        <v>0</v>
      </c>
      <c r="AC165" s="1">
        <v>0</v>
      </c>
      <c r="AD165" s="1">
        <f t="shared" si="81"/>
        <v>0</v>
      </c>
      <c r="AE165" s="1">
        <v>0</v>
      </c>
      <c r="AF165" s="22">
        <f t="shared" si="109"/>
        <v>0</v>
      </c>
      <c r="AG165" s="22">
        <f t="shared" si="110"/>
        <v>1</v>
      </c>
      <c r="AH165" s="9">
        <f t="shared" si="83"/>
        <v>0</v>
      </c>
      <c r="AI165" s="9">
        <f t="shared" si="111"/>
        <v>0</v>
      </c>
      <c r="AJ165" s="22">
        <f t="shared" si="112"/>
        <v>1</v>
      </c>
      <c r="AK165" s="22">
        <f t="shared" si="80"/>
        <v>0.5</v>
      </c>
    </row>
    <row r="166" spans="1:38" x14ac:dyDescent="0.2">
      <c r="A166">
        <v>2011</v>
      </c>
      <c r="B166" s="20" t="s">
        <v>46</v>
      </c>
      <c r="C166" s="12">
        <v>40724</v>
      </c>
      <c r="D166" s="3">
        <v>100</v>
      </c>
      <c r="E166" s="20" t="s">
        <v>66</v>
      </c>
      <c r="H166" s="1" t="s">
        <v>1</v>
      </c>
      <c r="I166" s="1" t="s">
        <v>1</v>
      </c>
      <c r="J166" s="1">
        <v>0</v>
      </c>
      <c r="K166" s="1">
        <v>0</v>
      </c>
      <c r="L166" s="1">
        <f t="shared" si="72"/>
        <v>0</v>
      </c>
      <c r="M166" s="1">
        <v>0</v>
      </c>
      <c r="N166" s="1" t="s">
        <v>1</v>
      </c>
      <c r="O166" s="1" t="s">
        <v>1</v>
      </c>
      <c r="P166" s="1">
        <v>0</v>
      </c>
      <c r="Q166" s="1">
        <v>0</v>
      </c>
      <c r="R166" s="1">
        <f t="shared" si="73"/>
        <v>0</v>
      </c>
      <c r="S166" s="1">
        <v>0</v>
      </c>
      <c r="T166" s="1" t="s">
        <v>1</v>
      </c>
      <c r="U166" s="1" t="s">
        <v>1</v>
      </c>
      <c r="V166" s="1">
        <v>0</v>
      </c>
      <c r="W166" s="1">
        <v>0</v>
      </c>
      <c r="X166" s="1">
        <f t="shared" si="74"/>
        <v>0</v>
      </c>
      <c r="Y166" s="1">
        <v>0</v>
      </c>
      <c r="Z166" s="1" t="s">
        <v>1</v>
      </c>
      <c r="AA166" s="1" t="s">
        <v>1</v>
      </c>
      <c r="AB166" s="1">
        <v>2</v>
      </c>
      <c r="AC166" s="1">
        <v>0</v>
      </c>
      <c r="AD166" s="1">
        <f t="shared" si="81"/>
        <v>2</v>
      </c>
      <c r="AE166" s="1">
        <v>3.5</v>
      </c>
      <c r="AF166" s="22">
        <f t="shared" si="109"/>
        <v>0</v>
      </c>
      <c r="AG166" s="22">
        <f t="shared" si="110"/>
        <v>0</v>
      </c>
      <c r="AH166" s="9">
        <f t="shared" si="83"/>
        <v>2</v>
      </c>
      <c r="AI166" s="9">
        <f t="shared" si="111"/>
        <v>0</v>
      </c>
      <c r="AJ166" s="22">
        <f t="shared" si="112"/>
        <v>2</v>
      </c>
      <c r="AK166" s="22">
        <f t="shared" si="80"/>
        <v>3.5</v>
      </c>
    </row>
    <row r="167" spans="1:38" x14ac:dyDescent="0.2">
      <c r="A167">
        <v>2011</v>
      </c>
      <c r="B167" s="20" t="s">
        <v>46</v>
      </c>
      <c r="C167" s="12">
        <v>40724</v>
      </c>
      <c r="D167" s="3">
        <v>100</v>
      </c>
      <c r="E167" s="20" t="s">
        <v>84</v>
      </c>
      <c r="H167" s="1">
        <v>0</v>
      </c>
      <c r="I167" s="1">
        <v>0</v>
      </c>
      <c r="J167" s="1">
        <v>0</v>
      </c>
      <c r="K167" s="1">
        <v>0</v>
      </c>
      <c r="L167" s="1">
        <f t="shared" si="72"/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f t="shared" si="73"/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f t="shared" si="74"/>
        <v>0</v>
      </c>
      <c r="Y167" s="1">
        <v>0</v>
      </c>
      <c r="Z167" s="1">
        <v>0</v>
      </c>
      <c r="AA167" s="1">
        <v>1</v>
      </c>
      <c r="AB167" s="1">
        <v>1</v>
      </c>
      <c r="AC167" s="1">
        <v>0</v>
      </c>
      <c r="AD167" s="1">
        <f t="shared" si="81"/>
        <v>2</v>
      </c>
      <c r="AE167" s="1">
        <v>1.5</v>
      </c>
      <c r="AF167" s="22">
        <f t="shared" si="109"/>
        <v>0</v>
      </c>
      <c r="AG167" s="22">
        <f t="shared" si="110"/>
        <v>1</v>
      </c>
      <c r="AH167" s="9">
        <f t="shared" si="83"/>
        <v>1</v>
      </c>
      <c r="AI167" s="9">
        <f t="shared" si="111"/>
        <v>0</v>
      </c>
      <c r="AJ167" s="22">
        <f t="shared" si="112"/>
        <v>2</v>
      </c>
      <c r="AK167" s="22">
        <f t="shared" si="80"/>
        <v>1.5</v>
      </c>
    </row>
    <row r="168" spans="1:38" s="36" customFormat="1" x14ac:dyDescent="0.2">
      <c r="A168" s="36">
        <v>2011</v>
      </c>
      <c r="B168" s="31" t="s">
        <v>46</v>
      </c>
      <c r="C168" s="38">
        <v>40724</v>
      </c>
      <c r="D168" s="39">
        <v>101</v>
      </c>
      <c r="E168" s="31" t="s">
        <v>47</v>
      </c>
      <c r="H168" s="35">
        <v>0</v>
      </c>
      <c r="I168" s="35">
        <v>95</v>
      </c>
      <c r="J168" s="35">
        <v>0</v>
      </c>
      <c r="K168" s="35">
        <v>0</v>
      </c>
      <c r="L168" s="35">
        <f t="shared" si="72"/>
        <v>95</v>
      </c>
      <c r="M168" s="35">
        <v>8</v>
      </c>
      <c r="N168" s="35">
        <v>0</v>
      </c>
      <c r="O168" s="35">
        <v>32</v>
      </c>
      <c r="P168" s="35">
        <v>3</v>
      </c>
      <c r="Q168" s="35">
        <v>1</v>
      </c>
      <c r="R168" s="35">
        <f t="shared" si="73"/>
        <v>36</v>
      </c>
      <c r="S168" s="35">
        <v>15</v>
      </c>
      <c r="T168" s="35">
        <v>0</v>
      </c>
      <c r="U168" s="35">
        <v>84</v>
      </c>
      <c r="V168" s="35">
        <v>1</v>
      </c>
      <c r="W168" s="35">
        <v>0</v>
      </c>
      <c r="X168" s="35">
        <f t="shared" si="74"/>
        <v>85</v>
      </c>
      <c r="Y168" s="35">
        <v>35</v>
      </c>
      <c r="Z168" s="35">
        <v>0</v>
      </c>
      <c r="AA168" s="35">
        <v>42</v>
      </c>
      <c r="AB168" s="35">
        <v>0</v>
      </c>
      <c r="AC168" s="35">
        <v>0</v>
      </c>
      <c r="AD168" s="35">
        <f t="shared" si="81"/>
        <v>42</v>
      </c>
      <c r="AE168" s="35">
        <v>3.5</v>
      </c>
      <c r="AF168" s="42">
        <f t="shared" si="109"/>
        <v>0</v>
      </c>
      <c r="AG168" s="42">
        <f t="shared" si="110"/>
        <v>253</v>
      </c>
      <c r="AH168" s="42">
        <f t="shared" si="83"/>
        <v>4</v>
      </c>
      <c r="AI168" s="42">
        <f t="shared" ref="AI168:AI184" si="113">SUM(K168,Q168,W168,AC168)</f>
        <v>1</v>
      </c>
      <c r="AJ168" s="40">
        <f t="shared" ref="AJ168:AJ199" si="114">SUM(AF168:AI168)</f>
        <v>258</v>
      </c>
      <c r="AK168" s="40">
        <f t="shared" si="80"/>
        <v>61.5</v>
      </c>
      <c r="AL168" s="41"/>
    </row>
    <row r="169" spans="1:38" x14ac:dyDescent="0.2">
      <c r="A169">
        <v>2011</v>
      </c>
      <c r="B169" s="20" t="s">
        <v>46</v>
      </c>
      <c r="C169" s="12">
        <v>40724</v>
      </c>
      <c r="D169" s="3">
        <v>101</v>
      </c>
      <c r="E169" s="20" t="s">
        <v>51</v>
      </c>
      <c r="H169" s="26" t="s">
        <v>1</v>
      </c>
      <c r="I169" s="26" t="s">
        <v>1</v>
      </c>
      <c r="J169" s="1">
        <v>2</v>
      </c>
      <c r="K169" s="1">
        <v>0</v>
      </c>
      <c r="L169" s="1">
        <f t="shared" si="72"/>
        <v>2</v>
      </c>
      <c r="M169" s="1">
        <v>8</v>
      </c>
      <c r="N169" s="26" t="s">
        <v>1</v>
      </c>
      <c r="O169" s="26" t="s">
        <v>1</v>
      </c>
      <c r="P169" s="1">
        <v>1</v>
      </c>
      <c r="Q169" s="1">
        <v>0</v>
      </c>
      <c r="R169" s="1">
        <f t="shared" si="73"/>
        <v>1</v>
      </c>
      <c r="S169" s="1">
        <v>8</v>
      </c>
      <c r="T169" s="26" t="s">
        <v>1</v>
      </c>
      <c r="U169" s="26" t="s">
        <v>1</v>
      </c>
      <c r="V169" s="1">
        <v>2</v>
      </c>
      <c r="W169" s="1">
        <v>1</v>
      </c>
      <c r="X169" s="1">
        <f t="shared" si="74"/>
        <v>3</v>
      </c>
      <c r="Y169" s="1">
        <v>8</v>
      </c>
      <c r="Z169" s="26" t="s">
        <v>1</v>
      </c>
      <c r="AA169" s="26" t="s">
        <v>1</v>
      </c>
      <c r="AB169" s="1">
        <v>1</v>
      </c>
      <c r="AC169" s="1">
        <v>0</v>
      </c>
      <c r="AD169" s="1">
        <f t="shared" si="81"/>
        <v>1</v>
      </c>
      <c r="AE169" s="1">
        <v>3.5</v>
      </c>
      <c r="AF169" s="9">
        <f t="shared" ref="AF169:AF178" si="115">SUM(H169,N169,T169,Z169)</f>
        <v>0</v>
      </c>
      <c r="AG169" s="9">
        <f t="shared" ref="AG169:AG178" si="116">SUM(I169,O169,U169,AA169)</f>
        <v>0</v>
      </c>
      <c r="AH169" s="9">
        <f t="shared" si="83"/>
        <v>6</v>
      </c>
      <c r="AI169" s="9">
        <f t="shared" si="113"/>
        <v>1</v>
      </c>
      <c r="AJ169" s="22">
        <f t="shared" si="114"/>
        <v>7</v>
      </c>
      <c r="AK169" s="22">
        <f t="shared" si="80"/>
        <v>27.5</v>
      </c>
    </row>
    <row r="170" spans="1:38" x14ac:dyDescent="0.2">
      <c r="A170">
        <v>2011</v>
      </c>
      <c r="B170" s="20" t="s">
        <v>46</v>
      </c>
      <c r="C170" s="12">
        <v>40724</v>
      </c>
      <c r="D170" s="3">
        <v>101</v>
      </c>
      <c r="E170" s="20" t="s">
        <v>58</v>
      </c>
      <c r="H170" s="26" t="s">
        <v>1</v>
      </c>
      <c r="I170" s="26" t="s">
        <v>1</v>
      </c>
      <c r="J170" s="1">
        <v>1</v>
      </c>
      <c r="K170" s="1">
        <v>0</v>
      </c>
      <c r="L170" s="1">
        <f t="shared" si="72"/>
        <v>1</v>
      </c>
      <c r="M170" s="1">
        <v>0.5</v>
      </c>
      <c r="N170" s="26" t="s">
        <v>1</v>
      </c>
      <c r="O170" s="26" t="s">
        <v>1</v>
      </c>
      <c r="P170" s="1">
        <v>0</v>
      </c>
      <c r="Q170" s="1">
        <v>0</v>
      </c>
      <c r="R170" s="1">
        <f t="shared" si="73"/>
        <v>0</v>
      </c>
      <c r="S170" s="1">
        <v>0</v>
      </c>
      <c r="T170" s="26" t="s">
        <v>1</v>
      </c>
      <c r="U170" s="26" t="s">
        <v>1</v>
      </c>
      <c r="V170" s="1">
        <v>0</v>
      </c>
      <c r="W170" s="1">
        <v>0</v>
      </c>
      <c r="X170" s="1">
        <f t="shared" si="74"/>
        <v>0</v>
      </c>
      <c r="Y170" s="1">
        <v>0</v>
      </c>
      <c r="Z170" s="26" t="s">
        <v>1</v>
      </c>
      <c r="AA170" s="26" t="s">
        <v>1</v>
      </c>
      <c r="AB170" s="1">
        <v>0</v>
      </c>
      <c r="AC170" s="1">
        <v>5</v>
      </c>
      <c r="AD170" s="1">
        <f t="shared" si="81"/>
        <v>5</v>
      </c>
      <c r="AE170" s="1">
        <v>65</v>
      </c>
      <c r="AF170" s="9">
        <f t="shared" si="115"/>
        <v>0</v>
      </c>
      <c r="AG170" s="9">
        <f t="shared" si="116"/>
        <v>0</v>
      </c>
      <c r="AH170" s="9">
        <f t="shared" si="83"/>
        <v>1</v>
      </c>
      <c r="AI170" s="9">
        <f t="shared" si="113"/>
        <v>5</v>
      </c>
      <c r="AJ170" s="22">
        <f t="shared" si="114"/>
        <v>6</v>
      </c>
      <c r="AK170" s="22">
        <f t="shared" si="80"/>
        <v>65.5</v>
      </c>
    </row>
    <row r="171" spans="1:38" x14ac:dyDescent="0.2">
      <c r="A171">
        <v>2011</v>
      </c>
      <c r="B171" s="20" t="s">
        <v>46</v>
      </c>
      <c r="C171" s="12">
        <v>40724</v>
      </c>
      <c r="D171" s="3">
        <v>101</v>
      </c>
      <c r="E171" s="20" t="s">
        <v>60</v>
      </c>
      <c r="H171" s="1">
        <v>0</v>
      </c>
      <c r="I171" s="1">
        <v>1</v>
      </c>
      <c r="J171" s="1">
        <v>1</v>
      </c>
      <c r="K171" s="1">
        <v>0</v>
      </c>
      <c r="L171" s="1">
        <f t="shared" si="72"/>
        <v>2</v>
      </c>
      <c r="M171" s="1">
        <v>1.5</v>
      </c>
      <c r="N171" s="1">
        <v>0</v>
      </c>
      <c r="O171" s="1">
        <v>0</v>
      </c>
      <c r="P171" s="1">
        <v>0</v>
      </c>
      <c r="Q171" s="1">
        <v>0</v>
      </c>
      <c r="R171" s="1">
        <f t="shared" si="73"/>
        <v>0</v>
      </c>
      <c r="S171" s="1">
        <v>0</v>
      </c>
      <c r="T171" s="26">
        <v>0</v>
      </c>
      <c r="U171" s="1">
        <v>0</v>
      </c>
      <c r="V171" s="1">
        <v>0</v>
      </c>
      <c r="W171" s="1">
        <v>0</v>
      </c>
      <c r="X171" s="1">
        <f t="shared" si="74"/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f t="shared" si="81"/>
        <v>0</v>
      </c>
      <c r="AE171" s="1">
        <v>0</v>
      </c>
      <c r="AF171" s="9">
        <f t="shared" si="115"/>
        <v>0</v>
      </c>
      <c r="AG171" s="9">
        <f t="shared" si="116"/>
        <v>1</v>
      </c>
      <c r="AH171" s="9">
        <f t="shared" si="83"/>
        <v>1</v>
      </c>
      <c r="AI171" s="9">
        <f t="shared" si="113"/>
        <v>0</v>
      </c>
      <c r="AJ171" s="22">
        <f t="shared" si="114"/>
        <v>2</v>
      </c>
      <c r="AK171" s="22">
        <f t="shared" si="80"/>
        <v>1.5</v>
      </c>
    </row>
    <row r="172" spans="1:38" x14ac:dyDescent="0.2">
      <c r="A172">
        <v>2011</v>
      </c>
      <c r="B172" s="20" t="s">
        <v>46</v>
      </c>
      <c r="C172" s="12">
        <v>40724</v>
      </c>
      <c r="D172" s="3">
        <v>101</v>
      </c>
      <c r="E172" s="20" t="s">
        <v>56</v>
      </c>
      <c r="H172" s="1">
        <v>1</v>
      </c>
      <c r="I172" s="1">
        <v>0</v>
      </c>
      <c r="J172" s="1">
        <v>0</v>
      </c>
      <c r="K172" s="1">
        <v>0</v>
      </c>
      <c r="L172" s="1">
        <f t="shared" si="72"/>
        <v>1</v>
      </c>
      <c r="M172" s="1">
        <v>0.5</v>
      </c>
      <c r="N172" s="1">
        <v>0</v>
      </c>
      <c r="O172" s="1">
        <v>0</v>
      </c>
      <c r="P172" s="1">
        <v>0</v>
      </c>
      <c r="Q172" s="1">
        <v>0</v>
      </c>
      <c r="R172" s="1">
        <f t="shared" si="73"/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f t="shared" si="74"/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f t="shared" si="81"/>
        <v>0</v>
      </c>
      <c r="AE172" s="1">
        <v>0</v>
      </c>
      <c r="AF172" s="9">
        <f t="shared" si="115"/>
        <v>1</v>
      </c>
      <c r="AG172" s="9">
        <f t="shared" si="116"/>
        <v>0</v>
      </c>
      <c r="AH172" s="9">
        <f t="shared" si="83"/>
        <v>0</v>
      </c>
      <c r="AI172" s="9">
        <f t="shared" si="113"/>
        <v>0</v>
      </c>
      <c r="AJ172" s="22">
        <f t="shared" si="114"/>
        <v>1</v>
      </c>
      <c r="AK172" s="22">
        <f t="shared" si="80"/>
        <v>0.5</v>
      </c>
    </row>
    <row r="173" spans="1:38" x14ac:dyDescent="0.2">
      <c r="A173">
        <v>2011</v>
      </c>
      <c r="B173" s="20" t="s">
        <v>46</v>
      </c>
      <c r="C173" s="12">
        <v>40724</v>
      </c>
      <c r="D173" s="3">
        <v>101</v>
      </c>
      <c r="E173" s="20" t="s">
        <v>55</v>
      </c>
      <c r="H173" s="26" t="s">
        <v>1</v>
      </c>
      <c r="I173" s="26" t="s">
        <v>1</v>
      </c>
      <c r="J173" s="1">
        <v>0</v>
      </c>
      <c r="K173" s="1">
        <v>0</v>
      </c>
      <c r="L173" s="1">
        <f t="shared" si="72"/>
        <v>0</v>
      </c>
      <c r="M173" s="1">
        <v>0</v>
      </c>
      <c r="N173" s="26" t="s">
        <v>1</v>
      </c>
      <c r="O173" s="26" t="s">
        <v>1</v>
      </c>
      <c r="P173" s="1">
        <v>20</v>
      </c>
      <c r="Q173" s="1">
        <v>14</v>
      </c>
      <c r="R173" s="1">
        <f t="shared" si="73"/>
        <v>34</v>
      </c>
      <c r="S173" s="1">
        <v>45</v>
      </c>
      <c r="T173" s="26" t="s">
        <v>1</v>
      </c>
      <c r="U173" s="26" t="s">
        <v>1</v>
      </c>
      <c r="V173" s="1">
        <v>2</v>
      </c>
      <c r="W173" s="1">
        <v>0</v>
      </c>
      <c r="X173" s="1">
        <f t="shared" si="74"/>
        <v>2</v>
      </c>
      <c r="Y173" s="1">
        <v>1.5</v>
      </c>
      <c r="Z173" s="26" t="s">
        <v>1</v>
      </c>
      <c r="AA173" s="26" t="s">
        <v>1</v>
      </c>
      <c r="AB173" s="1">
        <v>0</v>
      </c>
      <c r="AC173" s="1">
        <v>0</v>
      </c>
      <c r="AD173" s="1">
        <f t="shared" si="81"/>
        <v>0</v>
      </c>
      <c r="AE173" s="1">
        <v>0</v>
      </c>
      <c r="AF173" s="9">
        <f t="shared" si="115"/>
        <v>0</v>
      </c>
      <c r="AG173" s="9">
        <f t="shared" si="116"/>
        <v>0</v>
      </c>
      <c r="AH173" s="9">
        <f t="shared" si="83"/>
        <v>22</v>
      </c>
      <c r="AI173" s="9">
        <f t="shared" si="113"/>
        <v>14</v>
      </c>
      <c r="AJ173" s="22">
        <f t="shared" si="114"/>
        <v>36</v>
      </c>
      <c r="AK173" s="22">
        <f t="shared" si="80"/>
        <v>46.5</v>
      </c>
    </row>
    <row r="174" spans="1:38" x14ac:dyDescent="0.2">
      <c r="A174">
        <v>2011</v>
      </c>
      <c r="B174" s="20" t="s">
        <v>46</v>
      </c>
      <c r="C174" s="12">
        <v>40724</v>
      </c>
      <c r="D174" s="3">
        <v>101</v>
      </c>
      <c r="E174" s="20" t="s">
        <v>74</v>
      </c>
      <c r="H174" s="26" t="s">
        <v>1</v>
      </c>
      <c r="I174" s="26" t="s">
        <v>1</v>
      </c>
      <c r="J174" s="1">
        <v>0</v>
      </c>
      <c r="K174" s="1">
        <v>0</v>
      </c>
      <c r="L174" s="1">
        <f t="shared" si="72"/>
        <v>0</v>
      </c>
      <c r="M174" s="1">
        <v>0</v>
      </c>
      <c r="N174" s="26" t="s">
        <v>1</v>
      </c>
      <c r="O174" s="26" t="s">
        <v>1</v>
      </c>
      <c r="P174" s="1">
        <v>3</v>
      </c>
      <c r="Q174" s="1">
        <v>0</v>
      </c>
      <c r="R174" s="1">
        <f t="shared" si="73"/>
        <v>3</v>
      </c>
      <c r="S174" s="1">
        <v>3.5</v>
      </c>
      <c r="T174" s="26" t="s">
        <v>1</v>
      </c>
      <c r="U174" s="26" t="s">
        <v>1</v>
      </c>
      <c r="V174" s="1">
        <v>0</v>
      </c>
      <c r="W174" s="1">
        <v>0</v>
      </c>
      <c r="X174" s="1">
        <f t="shared" si="74"/>
        <v>0</v>
      </c>
      <c r="Y174" s="1">
        <v>0</v>
      </c>
      <c r="Z174" s="26" t="s">
        <v>1</v>
      </c>
      <c r="AA174" s="26" t="s">
        <v>1</v>
      </c>
      <c r="AB174" s="1">
        <v>4</v>
      </c>
      <c r="AC174" s="1">
        <v>0</v>
      </c>
      <c r="AD174" s="1">
        <f t="shared" si="81"/>
        <v>4</v>
      </c>
      <c r="AE174" s="1">
        <v>8</v>
      </c>
      <c r="AF174" s="9">
        <f t="shared" si="115"/>
        <v>0</v>
      </c>
      <c r="AG174" s="9">
        <f t="shared" si="116"/>
        <v>0</v>
      </c>
      <c r="AH174" s="9">
        <f t="shared" si="83"/>
        <v>7</v>
      </c>
      <c r="AI174" s="9">
        <f t="shared" si="113"/>
        <v>0</v>
      </c>
      <c r="AJ174" s="22">
        <f t="shared" si="114"/>
        <v>7</v>
      </c>
      <c r="AK174" s="22">
        <f t="shared" si="80"/>
        <v>11.5</v>
      </c>
    </row>
    <row r="175" spans="1:38" x14ac:dyDescent="0.2">
      <c r="A175">
        <v>2011</v>
      </c>
      <c r="B175" s="20" t="s">
        <v>46</v>
      </c>
      <c r="C175" s="12">
        <v>40724</v>
      </c>
      <c r="D175" s="3">
        <v>101</v>
      </c>
      <c r="E175" s="20" t="s">
        <v>54</v>
      </c>
      <c r="H175" s="26" t="s">
        <v>1</v>
      </c>
      <c r="I175" s="26" t="s">
        <v>1</v>
      </c>
      <c r="J175" s="1">
        <v>0</v>
      </c>
      <c r="K175" s="1">
        <v>0</v>
      </c>
      <c r="L175" s="1">
        <f t="shared" si="72"/>
        <v>0</v>
      </c>
      <c r="M175" s="1">
        <v>0</v>
      </c>
      <c r="N175" s="26" t="s">
        <v>1</v>
      </c>
      <c r="O175" s="26" t="s">
        <v>1</v>
      </c>
      <c r="P175" s="1">
        <v>1</v>
      </c>
      <c r="Q175" s="1">
        <v>0</v>
      </c>
      <c r="R175" s="1">
        <f t="shared" si="73"/>
        <v>1</v>
      </c>
      <c r="S175" s="1">
        <v>3.5</v>
      </c>
      <c r="T175" s="26" t="s">
        <v>1</v>
      </c>
      <c r="U175" s="26" t="s">
        <v>1</v>
      </c>
      <c r="V175" s="1">
        <v>0</v>
      </c>
      <c r="W175" s="1">
        <v>0</v>
      </c>
      <c r="X175" s="1">
        <f t="shared" si="74"/>
        <v>0</v>
      </c>
      <c r="Y175" s="1">
        <v>0</v>
      </c>
      <c r="Z175" s="26" t="s">
        <v>1</v>
      </c>
      <c r="AA175" s="26" t="s">
        <v>1</v>
      </c>
      <c r="AB175" s="1">
        <v>0</v>
      </c>
      <c r="AC175" s="1">
        <v>0</v>
      </c>
      <c r="AD175" s="1">
        <f t="shared" si="81"/>
        <v>0</v>
      </c>
      <c r="AE175" s="1">
        <v>0</v>
      </c>
      <c r="AF175" s="9">
        <f t="shared" si="115"/>
        <v>0</v>
      </c>
      <c r="AG175" s="9">
        <f t="shared" si="116"/>
        <v>0</v>
      </c>
      <c r="AH175" s="9">
        <f t="shared" si="83"/>
        <v>1</v>
      </c>
      <c r="AI175" s="9">
        <f t="shared" si="113"/>
        <v>0</v>
      </c>
      <c r="AJ175" s="22">
        <f t="shared" si="114"/>
        <v>1</v>
      </c>
      <c r="AK175" s="22">
        <f t="shared" si="80"/>
        <v>3.5</v>
      </c>
    </row>
    <row r="176" spans="1:38" x14ac:dyDescent="0.2">
      <c r="A176">
        <v>2011</v>
      </c>
      <c r="B176" s="20" t="s">
        <v>46</v>
      </c>
      <c r="C176" s="12">
        <v>40724</v>
      </c>
      <c r="D176" s="3">
        <v>101</v>
      </c>
      <c r="E176" s="20" t="s">
        <v>94</v>
      </c>
      <c r="H176" s="26" t="s">
        <v>1</v>
      </c>
      <c r="I176" s="26" t="s">
        <v>1</v>
      </c>
      <c r="J176" s="1">
        <v>0</v>
      </c>
      <c r="K176" s="1">
        <v>0</v>
      </c>
      <c r="L176" s="1">
        <f t="shared" si="72"/>
        <v>0</v>
      </c>
      <c r="M176" s="1">
        <v>0</v>
      </c>
      <c r="N176" s="26" t="s">
        <v>1</v>
      </c>
      <c r="O176" s="26" t="s">
        <v>1</v>
      </c>
      <c r="P176" s="1">
        <v>0</v>
      </c>
      <c r="Q176" s="1">
        <v>0</v>
      </c>
      <c r="R176" s="1">
        <f t="shared" si="73"/>
        <v>0</v>
      </c>
      <c r="S176" s="1">
        <v>0</v>
      </c>
      <c r="T176" s="26" t="s">
        <v>1</v>
      </c>
      <c r="U176" s="26" t="s">
        <v>1</v>
      </c>
      <c r="V176" s="1">
        <v>1</v>
      </c>
      <c r="W176" s="1">
        <v>0</v>
      </c>
      <c r="X176" s="1">
        <f t="shared" si="74"/>
        <v>1</v>
      </c>
      <c r="Y176" s="1">
        <v>1.5</v>
      </c>
      <c r="Z176" s="26" t="s">
        <v>1</v>
      </c>
      <c r="AA176" s="26" t="s">
        <v>1</v>
      </c>
      <c r="AB176" s="1">
        <v>3</v>
      </c>
      <c r="AC176" s="1">
        <v>0</v>
      </c>
      <c r="AD176" s="1">
        <f t="shared" si="81"/>
        <v>3</v>
      </c>
      <c r="AE176" s="1">
        <v>8</v>
      </c>
      <c r="AF176" s="9">
        <f t="shared" si="115"/>
        <v>0</v>
      </c>
      <c r="AG176" s="9">
        <f t="shared" si="116"/>
        <v>0</v>
      </c>
      <c r="AH176" s="9">
        <f t="shared" si="83"/>
        <v>4</v>
      </c>
      <c r="AI176" s="9">
        <f t="shared" si="113"/>
        <v>0</v>
      </c>
      <c r="AJ176" s="22">
        <f t="shared" si="114"/>
        <v>4</v>
      </c>
      <c r="AK176" s="22">
        <f t="shared" si="80"/>
        <v>9.5</v>
      </c>
      <c r="AL176" s="27" t="s">
        <v>95</v>
      </c>
    </row>
    <row r="177" spans="1:38" x14ac:dyDescent="0.2">
      <c r="A177">
        <v>2011</v>
      </c>
      <c r="B177" s="20" t="s">
        <v>46</v>
      </c>
      <c r="C177" s="12">
        <v>40724</v>
      </c>
      <c r="D177" s="3">
        <v>101</v>
      </c>
      <c r="E177" s="20" t="s">
        <v>66</v>
      </c>
      <c r="H177" s="26" t="s">
        <v>1</v>
      </c>
      <c r="I177" s="26" t="s">
        <v>1</v>
      </c>
      <c r="J177" s="1">
        <v>0</v>
      </c>
      <c r="K177" s="1">
        <v>0</v>
      </c>
      <c r="L177" s="1">
        <f t="shared" si="72"/>
        <v>0</v>
      </c>
      <c r="M177" s="1">
        <v>0</v>
      </c>
      <c r="N177" s="26" t="s">
        <v>1</v>
      </c>
      <c r="O177" s="26" t="s">
        <v>1</v>
      </c>
      <c r="P177" s="1">
        <v>0</v>
      </c>
      <c r="Q177" s="1">
        <v>0</v>
      </c>
      <c r="R177" s="1">
        <f t="shared" si="73"/>
        <v>0</v>
      </c>
      <c r="S177" s="1">
        <v>0</v>
      </c>
      <c r="T177" s="26" t="s">
        <v>1</v>
      </c>
      <c r="U177" s="26" t="s">
        <v>1</v>
      </c>
      <c r="V177" s="1">
        <v>1</v>
      </c>
      <c r="W177" s="1">
        <v>0</v>
      </c>
      <c r="X177" s="1">
        <f t="shared" si="74"/>
        <v>1</v>
      </c>
      <c r="Y177" s="1">
        <v>1.5</v>
      </c>
      <c r="Z177" s="26" t="s">
        <v>1</v>
      </c>
      <c r="AA177" s="26" t="s">
        <v>1</v>
      </c>
      <c r="AB177" s="1">
        <v>0</v>
      </c>
      <c r="AC177" s="1">
        <v>0</v>
      </c>
      <c r="AD177" s="1">
        <f t="shared" si="81"/>
        <v>0</v>
      </c>
      <c r="AE177" s="1">
        <v>0</v>
      </c>
      <c r="AF177" s="9">
        <f t="shared" si="115"/>
        <v>0</v>
      </c>
      <c r="AG177" s="9">
        <f t="shared" si="116"/>
        <v>0</v>
      </c>
      <c r="AH177" s="9">
        <f t="shared" si="83"/>
        <v>1</v>
      </c>
      <c r="AI177" s="9">
        <f t="shared" si="113"/>
        <v>0</v>
      </c>
      <c r="AJ177" s="22">
        <f t="shared" si="114"/>
        <v>1</v>
      </c>
      <c r="AK177" s="22">
        <f t="shared" si="80"/>
        <v>1.5</v>
      </c>
    </row>
    <row r="178" spans="1:38" x14ac:dyDescent="0.2">
      <c r="A178">
        <v>2011</v>
      </c>
      <c r="B178" s="20" t="s">
        <v>46</v>
      </c>
      <c r="C178" s="12">
        <v>40724</v>
      </c>
      <c r="D178" s="3">
        <v>101</v>
      </c>
      <c r="E178" s="20" t="s">
        <v>81</v>
      </c>
      <c r="H178" s="26" t="s">
        <v>1</v>
      </c>
      <c r="I178" s="26" t="s">
        <v>1</v>
      </c>
      <c r="J178" s="1">
        <v>0</v>
      </c>
      <c r="K178" s="1">
        <v>0</v>
      </c>
      <c r="L178" s="1">
        <f t="shared" si="72"/>
        <v>0</v>
      </c>
      <c r="M178" s="1">
        <v>0</v>
      </c>
      <c r="N178" s="26" t="s">
        <v>1</v>
      </c>
      <c r="O178" s="26" t="s">
        <v>1</v>
      </c>
      <c r="P178" s="1">
        <v>0</v>
      </c>
      <c r="Q178" s="1">
        <v>0</v>
      </c>
      <c r="R178" s="1">
        <f t="shared" si="73"/>
        <v>0</v>
      </c>
      <c r="S178" s="1">
        <v>0</v>
      </c>
      <c r="T178" s="26" t="s">
        <v>1</v>
      </c>
      <c r="U178" s="26" t="s">
        <v>1</v>
      </c>
      <c r="V178" s="1">
        <v>1</v>
      </c>
      <c r="W178" s="1">
        <v>0</v>
      </c>
      <c r="X178" s="1">
        <f t="shared" si="74"/>
        <v>1</v>
      </c>
      <c r="Y178" s="1">
        <v>0.5</v>
      </c>
      <c r="Z178" s="26" t="s">
        <v>1</v>
      </c>
      <c r="AA178" s="26" t="s">
        <v>1</v>
      </c>
      <c r="AB178" s="1">
        <v>1</v>
      </c>
      <c r="AC178" s="1">
        <v>0</v>
      </c>
      <c r="AD178" s="1">
        <f t="shared" si="81"/>
        <v>1</v>
      </c>
      <c r="AE178" s="1">
        <v>1.5</v>
      </c>
      <c r="AF178" s="9">
        <f t="shared" si="115"/>
        <v>0</v>
      </c>
      <c r="AG178" s="9">
        <f t="shared" si="116"/>
        <v>0</v>
      </c>
      <c r="AH178" s="9">
        <f t="shared" si="83"/>
        <v>2</v>
      </c>
      <c r="AI178" s="9">
        <f t="shared" si="113"/>
        <v>0</v>
      </c>
      <c r="AJ178" s="22">
        <f t="shared" si="114"/>
        <v>2</v>
      </c>
      <c r="AK178" s="22">
        <f t="shared" si="80"/>
        <v>2</v>
      </c>
    </row>
    <row r="179" spans="1:38" s="36" customFormat="1" x14ac:dyDescent="0.2">
      <c r="A179" s="36">
        <v>2011</v>
      </c>
      <c r="B179" s="31" t="s">
        <v>46</v>
      </c>
      <c r="C179" s="38">
        <v>40724</v>
      </c>
      <c r="D179" s="39">
        <v>102</v>
      </c>
      <c r="E179" s="31" t="s">
        <v>47</v>
      </c>
      <c r="H179" s="35">
        <v>0</v>
      </c>
      <c r="I179" s="35">
        <v>51</v>
      </c>
      <c r="J179" s="35">
        <v>8</v>
      </c>
      <c r="K179" s="35">
        <v>0</v>
      </c>
      <c r="L179" s="35">
        <f>SUM(H179:K179)</f>
        <v>59</v>
      </c>
      <c r="M179" s="35">
        <v>35</v>
      </c>
      <c r="N179" s="35">
        <v>0</v>
      </c>
      <c r="O179" s="35">
        <v>34</v>
      </c>
      <c r="P179" s="35">
        <v>0</v>
      </c>
      <c r="Q179" s="35">
        <v>0</v>
      </c>
      <c r="R179" s="35">
        <f>SUM(N179:Q179)</f>
        <v>34</v>
      </c>
      <c r="S179" s="35">
        <v>8</v>
      </c>
      <c r="T179" s="35">
        <v>0</v>
      </c>
      <c r="U179" s="35">
        <v>52</v>
      </c>
      <c r="V179" s="35">
        <v>0</v>
      </c>
      <c r="W179" s="35">
        <v>0</v>
      </c>
      <c r="X179" s="35">
        <f>SUM(T179:W179)</f>
        <v>52</v>
      </c>
      <c r="Y179" s="35">
        <v>15</v>
      </c>
      <c r="Z179" s="35">
        <v>0</v>
      </c>
      <c r="AA179" s="35">
        <v>36</v>
      </c>
      <c r="AB179" s="35">
        <v>0</v>
      </c>
      <c r="AC179" s="35">
        <v>0</v>
      </c>
      <c r="AD179" s="35">
        <f>SUM(Z179:AC179)</f>
        <v>36</v>
      </c>
      <c r="AE179" s="35">
        <v>8</v>
      </c>
      <c r="AF179" s="40">
        <f t="shared" ref="AF179:AF183" si="117">SUM(H179,N179,T179,Z179)</f>
        <v>0</v>
      </c>
      <c r="AG179" s="40">
        <f t="shared" ref="AG179:AG183" si="118">SUM(I179,O179,U179,AA179)</f>
        <v>173</v>
      </c>
      <c r="AH179" s="42">
        <f t="shared" ref="AH179:AI183" si="119">SUM(J179,P179,V179,AB179)</f>
        <v>8</v>
      </c>
      <c r="AI179" s="42">
        <f t="shared" si="119"/>
        <v>0</v>
      </c>
      <c r="AJ179" s="40">
        <f>SUM(AF179:AI179)</f>
        <v>181</v>
      </c>
      <c r="AK179" s="40">
        <f>M179+S179+Y179+AE179</f>
        <v>66</v>
      </c>
      <c r="AL179" s="41"/>
    </row>
    <row r="180" spans="1:38" x14ac:dyDescent="0.2">
      <c r="A180">
        <v>2011</v>
      </c>
      <c r="B180" s="20" t="s">
        <v>46</v>
      </c>
      <c r="C180" s="12">
        <v>40724</v>
      </c>
      <c r="D180" s="3">
        <v>102</v>
      </c>
      <c r="E180" s="20" t="s">
        <v>60</v>
      </c>
      <c r="H180" s="1">
        <v>0</v>
      </c>
      <c r="I180" s="1">
        <v>4</v>
      </c>
      <c r="J180" s="1">
        <v>0</v>
      </c>
      <c r="K180" s="1">
        <v>0</v>
      </c>
      <c r="L180" s="1">
        <f>SUM(H180:K180)</f>
        <v>4</v>
      </c>
      <c r="M180" s="1">
        <v>3.5</v>
      </c>
      <c r="N180" s="1">
        <v>0</v>
      </c>
      <c r="O180" s="1">
        <v>0</v>
      </c>
      <c r="P180" s="1">
        <v>0</v>
      </c>
      <c r="Q180" s="1">
        <v>0</v>
      </c>
      <c r="R180" s="1">
        <f>SUM(N180:Q180)</f>
        <v>0</v>
      </c>
      <c r="S180" s="1">
        <v>0</v>
      </c>
      <c r="T180" s="1">
        <v>0</v>
      </c>
      <c r="U180" s="1">
        <v>1</v>
      </c>
      <c r="V180" s="1">
        <v>0</v>
      </c>
      <c r="W180" s="1">
        <v>0</v>
      </c>
      <c r="X180" s="1">
        <f>SUM(T180:W180)</f>
        <v>1</v>
      </c>
      <c r="Y180" s="1">
        <v>0.5</v>
      </c>
      <c r="Z180" s="1">
        <v>0</v>
      </c>
      <c r="AA180" s="1">
        <v>0</v>
      </c>
      <c r="AB180" s="1">
        <v>0</v>
      </c>
      <c r="AC180" s="1">
        <v>0</v>
      </c>
      <c r="AD180" s="1">
        <f>SUM(Z180:AC180)</f>
        <v>0</v>
      </c>
      <c r="AE180" s="1">
        <v>0</v>
      </c>
      <c r="AF180" s="22">
        <f t="shared" si="117"/>
        <v>0</v>
      </c>
      <c r="AG180" s="22">
        <f t="shared" si="118"/>
        <v>5</v>
      </c>
      <c r="AH180" s="9">
        <f t="shared" si="119"/>
        <v>0</v>
      </c>
      <c r="AI180" s="9">
        <f t="shared" si="119"/>
        <v>0</v>
      </c>
      <c r="AJ180" s="22">
        <f>SUM(AF180:AI180)</f>
        <v>5</v>
      </c>
      <c r="AK180" s="22">
        <f>M180+S180+Y180+AE180</f>
        <v>4</v>
      </c>
    </row>
    <row r="181" spans="1:38" x14ac:dyDescent="0.2">
      <c r="A181">
        <v>2011</v>
      </c>
      <c r="B181" s="20" t="s">
        <v>46</v>
      </c>
      <c r="C181" s="12">
        <v>40724</v>
      </c>
      <c r="D181" s="3">
        <v>102</v>
      </c>
      <c r="E181" s="20" t="s">
        <v>66</v>
      </c>
      <c r="H181" s="1" t="s">
        <v>1</v>
      </c>
      <c r="I181" s="1" t="s">
        <v>1</v>
      </c>
      <c r="J181" s="1">
        <v>1</v>
      </c>
      <c r="K181" s="1">
        <v>0</v>
      </c>
      <c r="L181" s="1">
        <f>SUM(H181:K181)</f>
        <v>1</v>
      </c>
      <c r="M181" s="1">
        <v>1.5</v>
      </c>
      <c r="N181" s="1" t="s">
        <v>1</v>
      </c>
      <c r="O181" s="1" t="s">
        <v>1</v>
      </c>
      <c r="P181" s="1">
        <v>1</v>
      </c>
      <c r="Q181" s="1">
        <v>0</v>
      </c>
      <c r="R181" s="1">
        <f>SUM(N181:Q181)</f>
        <v>1</v>
      </c>
      <c r="S181" s="1">
        <v>0.5</v>
      </c>
      <c r="T181" s="1" t="s">
        <v>1</v>
      </c>
      <c r="U181" s="1" t="s">
        <v>1</v>
      </c>
      <c r="V181" s="1">
        <v>0</v>
      </c>
      <c r="W181" s="1">
        <v>0</v>
      </c>
      <c r="X181" s="1">
        <f>SUM(T181:W181)</f>
        <v>0</v>
      </c>
      <c r="Y181" s="1">
        <v>0</v>
      </c>
      <c r="Z181" s="1" t="s">
        <v>1</v>
      </c>
      <c r="AA181" s="1" t="s">
        <v>1</v>
      </c>
      <c r="AB181" s="1">
        <v>0</v>
      </c>
      <c r="AC181" s="1">
        <v>0</v>
      </c>
      <c r="AD181" s="1">
        <f>SUM(Z181:AC181)</f>
        <v>0</v>
      </c>
      <c r="AE181" s="1">
        <v>0</v>
      </c>
      <c r="AF181" s="22">
        <f t="shared" si="117"/>
        <v>0</v>
      </c>
      <c r="AG181" s="22">
        <f t="shared" si="118"/>
        <v>0</v>
      </c>
      <c r="AH181" s="9">
        <f t="shared" si="119"/>
        <v>2</v>
      </c>
      <c r="AI181" s="9">
        <f t="shared" si="119"/>
        <v>0</v>
      </c>
      <c r="AJ181" s="22">
        <f>SUM(AF181:AI181)</f>
        <v>2</v>
      </c>
      <c r="AK181" s="22">
        <f>M181+S181+Y181+AE181</f>
        <v>2</v>
      </c>
    </row>
    <row r="182" spans="1:38" x14ac:dyDescent="0.2">
      <c r="A182">
        <v>2011</v>
      </c>
      <c r="B182" s="20" t="s">
        <v>46</v>
      </c>
      <c r="C182" s="12">
        <v>40724</v>
      </c>
      <c r="D182" s="3">
        <v>102</v>
      </c>
      <c r="E182" s="20" t="s">
        <v>68</v>
      </c>
      <c r="H182" s="1" t="s">
        <v>1</v>
      </c>
      <c r="I182" s="1" t="s">
        <v>1</v>
      </c>
      <c r="J182" s="1">
        <v>2</v>
      </c>
      <c r="K182" s="1">
        <v>0</v>
      </c>
      <c r="L182" s="1">
        <f>SUM(H182:K182)</f>
        <v>2</v>
      </c>
      <c r="M182" s="1">
        <v>3.5</v>
      </c>
      <c r="N182" s="1" t="s">
        <v>1</v>
      </c>
      <c r="O182" s="1" t="s">
        <v>1</v>
      </c>
      <c r="P182" s="1">
        <v>0</v>
      </c>
      <c r="Q182" s="1">
        <v>0</v>
      </c>
      <c r="R182" s="1">
        <f>SUM(N182:Q182)</f>
        <v>0</v>
      </c>
      <c r="S182" s="1">
        <v>0</v>
      </c>
      <c r="T182" s="1" t="s">
        <v>1</v>
      </c>
      <c r="U182" s="1" t="s">
        <v>1</v>
      </c>
      <c r="V182" s="1">
        <v>0</v>
      </c>
      <c r="W182" s="1">
        <v>0</v>
      </c>
      <c r="X182" s="1">
        <f>SUM(T182:W182)</f>
        <v>0</v>
      </c>
      <c r="Y182" s="1">
        <v>0</v>
      </c>
      <c r="Z182" s="1" t="s">
        <v>1</v>
      </c>
      <c r="AA182" s="1" t="s">
        <v>1</v>
      </c>
      <c r="AB182" s="1">
        <v>0</v>
      </c>
      <c r="AC182" s="1">
        <v>0</v>
      </c>
      <c r="AD182" s="1">
        <f>SUM(Z182:AC182)</f>
        <v>0</v>
      </c>
      <c r="AE182" s="1">
        <v>0</v>
      </c>
      <c r="AF182" s="22">
        <f t="shared" si="117"/>
        <v>0</v>
      </c>
      <c r="AG182" s="22">
        <f t="shared" si="118"/>
        <v>0</v>
      </c>
      <c r="AH182" s="9">
        <f t="shared" si="119"/>
        <v>2</v>
      </c>
      <c r="AI182" s="9">
        <f t="shared" si="119"/>
        <v>0</v>
      </c>
      <c r="AJ182" s="22">
        <f>SUM(AF182:AI182)</f>
        <v>2</v>
      </c>
      <c r="AK182" s="22">
        <f>M182+S182+Y182+AE182</f>
        <v>3.5</v>
      </c>
    </row>
    <row r="183" spans="1:38" x14ac:dyDescent="0.2">
      <c r="A183">
        <v>2011</v>
      </c>
      <c r="B183" s="20" t="s">
        <v>46</v>
      </c>
      <c r="C183" s="12">
        <v>40724</v>
      </c>
      <c r="D183" s="3">
        <v>102</v>
      </c>
      <c r="E183" s="20" t="s">
        <v>55</v>
      </c>
      <c r="H183" s="1" t="s">
        <v>1</v>
      </c>
      <c r="I183" s="1" t="s">
        <v>1</v>
      </c>
      <c r="J183" s="1">
        <v>0</v>
      </c>
      <c r="K183" s="1">
        <v>0</v>
      </c>
      <c r="L183" s="1">
        <f>SUM(H183:K183)</f>
        <v>0</v>
      </c>
      <c r="M183" s="1">
        <v>0</v>
      </c>
      <c r="N183" s="1" t="s">
        <v>1</v>
      </c>
      <c r="O183" s="1" t="s">
        <v>1</v>
      </c>
      <c r="P183" s="1">
        <v>6</v>
      </c>
      <c r="Q183" s="1">
        <v>0</v>
      </c>
      <c r="R183" s="1">
        <f>SUM(N183:Q183)</f>
        <v>6</v>
      </c>
      <c r="S183" s="1">
        <v>8</v>
      </c>
      <c r="T183" s="1" t="s">
        <v>1</v>
      </c>
      <c r="U183" s="1" t="s">
        <v>1</v>
      </c>
      <c r="V183" s="1">
        <v>0</v>
      </c>
      <c r="W183" s="1">
        <v>0</v>
      </c>
      <c r="X183" s="1">
        <f>SUM(T183:W183)</f>
        <v>0</v>
      </c>
      <c r="Y183" s="1">
        <v>0</v>
      </c>
      <c r="Z183" s="1" t="s">
        <v>1</v>
      </c>
      <c r="AA183" s="1" t="s">
        <v>1</v>
      </c>
      <c r="AB183" s="1">
        <v>0</v>
      </c>
      <c r="AC183" s="1">
        <v>0</v>
      </c>
      <c r="AD183" s="1">
        <f>SUM(Z183:AC183)</f>
        <v>0</v>
      </c>
      <c r="AE183" s="1">
        <v>0</v>
      </c>
      <c r="AF183" s="22">
        <f t="shared" si="117"/>
        <v>0</v>
      </c>
      <c r="AG183" s="22">
        <f t="shared" si="118"/>
        <v>0</v>
      </c>
      <c r="AH183" s="9">
        <f t="shared" si="119"/>
        <v>6</v>
      </c>
      <c r="AI183" s="9">
        <f t="shared" si="119"/>
        <v>0</v>
      </c>
      <c r="AJ183" s="22">
        <f>SUM(AF183:AI183)</f>
        <v>6</v>
      </c>
      <c r="AK183" s="22">
        <f>M183+S183+Y183+AE183</f>
        <v>8</v>
      </c>
    </row>
    <row r="184" spans="1:38" x14ac:dyDescent="0.2">
      <c r="A184">
        <v>2011</v>
      </c>
      <c r="B184" s="20" t="s">
        <v>46</v>
      </c>
      <c r="C184" s="12">
        <v>40743</v>
      </c>
      <c r="D184" s="3">
        <v>121</v>
      </c>
      <c r="E184" s="20" t="s">
        <v>47</v>
      </c>
      <c r="H184" s="1">
        <v>0</v>
      </c>
      <c r="I184" s="1">
        <v>5</v>
      </c>
      <c r="J184" s="1">
        <v>4</v>
      </c>
      <c r="K184" s="1">
        <v>0</v>
      </c>
      <c r="L184" s="1">
        <f t="shared" si="72"/>
        <v>9</v>
      </c>
      <c r="M184" s="1">
        <v>15</v>
      </c>
      <c r="N184" s="1">
        <v>0</v>
      </c>
      <c r="O184" s="1">
        <v>3</v>
      </c>
      <c r="P184" s="1">
        <v>1</v>
      </c>
      <c r="Q184" s="1">
        <v>0</v>
      </c>
      <c r="R184" s="1">
        <f t="shared" si="73"/>
        <v>4</v>
      </c>
      <c r="S184" s="1">
        <v>1.5</v>
      </c>
      <c r="T184" s="1">
        <v>0</v>
      </c>
      <c r="U184" s="1">
        <v>1</v>
      </c>
      <c r="V184" s="1">
        <v>0</v>
      </c>
      <c r="W184" s="1">
        <v>0</v>
      </c>
      <c r="X184" s="1">
        <f t="shared" si="74"/>
        <v>1</v>
      </c>
      <c r="Y184" s="1">
        <v>3.5</v>
      </c>
      <c r="Z184" s="1">
        <v>0</v>
      </c>
      <c r="AA184" s="1">
        <v>10</v>
      </c>
      <c r="AB184" s="1">
        <v>0</v>
      </c>
      <c r="AC184" s="1">
        <v>0</v>
      </c>
      <c r="AD184" s="1">
        <f t="shared" si="81"/>
        <v>10</v>
      </c>
      <c r="AE184" s="1">
        <v>3.5</v>
      </c>
      <c r="AF184" s="9">
        <f t="shared" ref="AF184:AF192" si="120">SUM(H184,N184,T184,Z184)</f>
        <v>0</v>
      </c>
      <c r="AG184" s="9">
        <f t="shared" ref="AG184:AG192" si="121">SUM(I184,O184,U184,AA184)</f>
        <v>19</v>
      </c>
      <c r="AH184" s="9">
        <f t="shared" si="83"/>
        <v>5</v>
      </c>
      <c r="AI184" s="9">
        <f t="shared" si="113"/>
        <v>0</v>
      </c>
      <c r="AJ184" s="22">
        <f t="shared" si="114"/>
        <v>24</v>
      </c>
      <c r="AK184" s="22">
        <f t="shared" si="80"/>
        <v>23.5</v>
      </c>
    </row>
    <row r="185" spans="1:38" x14ac:dyDescent="0.2">
      <c r="A185">
        <v>2011</v>
      </c>
      <c r="B185" s="20" t="s">
        <v>46</v>
      </c>
      <c r="C185" s="12">
        <v>40743</v>
      </c>
      <c r="D185" s="3">
        <v>121</v>
      </c>
      <c r="E185" s="20" t="s">
        <v>74</v>
      </c>
      <c r="H185" s="26" t="s">
        <v>1</v>
      </c>
      <c r="I185" s="26" t="s">
        <v>1</v>
      </c>
      <c r="J185" s="1">
        <v>3</v>
      </c>
      <c r="K185" s="1">
        <v>0</v>
      </c>
      <c r="L185" s="1">
        <f t="shared" si="72"/>
        <v>3</v>
      </c>
      <c r="M185" s="1">
        <v>15</v>
      </c>
      <c r="N185" s="26" t="s">
        <v>1</v>
      </c>
      <c r="O185" s="26" t="s">
        <v>1</v>
      </c>
      <c r="P185" s="1">
        <v>0</v>
      </c>
      <c r="Q185" s="1">
        <v>0</v>
      </c>
      <c r="R185" s="1">
        <f t="shared" si="73"/>
        <v>0</v>
      </c>
      <c r="S185" s="1">
        <v>0</v>
      </c>
      <c r="T185" s="26" t="s">
        <v>1</v>
      </c>
      <c r="U185" s="26" t="s">
        <v>1</v>
      </c>
      <c r="V185" s="1">
        <v>0</v>
      </c>
      <c r="W185" s="1">
        <v>0</v>
      </c>
      <c r="X185" s="1">
        <f t="shared" si="74"/>
        <v>0</v>
      </c>
      <c r="Y185" s="1">
        <v>0</v>
      </c>
      <c r="Z185" s="26" t="s">
        <v>1</v>
      </c>
      <c r="AA185" s="26" t="s">
        <v>1</v>
      </c>
      <c r="AB185" s="1">
        <v>0</v>
      </c>
      <c r="AC185" s="1">
        <v>0</v>
      </c>
      <c r="AD185" s="1">
        <f t="shared" si="81"/>
        <v>0</v>
      </c>
      <c r="AE185" s="1">
        <v>0</v>
      </c>
      <c r="AF185" s="9">
        <f t="shared" si="120"/>
        <v>0</v>
      </c>
      <c r="AG185" s="9">
        <f t="shared" si="121"/>
        <v>0</v>
      </c>
      <c r="AH185" s="9">
        <f t="shared" ref="AH185:AH204" si="122">SUM(J185,P185,V185,AB185)</f>
        <v>3</v>
      </c>
      <c r="AI185" s="9">
        <f t="shared" ref="AI185:AI199" si="123">SUM(K185,Q185,W185,AC185)</f>
        <v>0</v>
      </c>
      <c r="AJ185" s="22">
        <f t="shared" si="114"/>
        <v>3</v>
      </c>
      <c r="AK185" s="22">
        <f t="shared" si="80"/>
        <v>15</v>
      </c>
    </row>
    <row r="186" spans="1:38" x14ac:dyDescent="0.2">
      <c r="A186">
        <v>2011</v>
      </c>
      <c r="B186" s="20" t="s">
        <v>46</v>
      </c>
      <c r="C186" s="12">
        <v>40743</v>
      </c>
      <c r="D186" s="3">
        <v>121</v>
      </c>
      <c r="E186" s="20" t="s">
        <v>68</v>
      </c>
      <c r="H186" s="26" t="s">
        <v>1</v>
      </c>
      <c r="I186" s="26" t="s">
        <v>1</v>
      </c>
      <c r="J186" s="1">
        <v>1</v>
      </c>
      <c r="K186" s="1">
        <v>0</v>
      </c>
      <c r="L186" s="1">
        <f t="shared" si="72"/>
        <v>1</v>
      </c>
      <c r="M186" s="1">
        <v>1.5</v>
      </c>
      <c r="N186" s="26" t="s">
        <v>1</v>
      </c>
      <c r="O186" s="26" t="s">
        <v>1</v>
      </c>
      <c r="P186" s="1">
        <v>0</v>
      </c>
      <c r="Q186" s="1">
        <v>0</v>
      </c>
      <c r="R186" s="1">
        <f t="shared" si="73"/>
        <v>0</v>
      </c>
      <c r="S186" s="1">
        <v>0</v>
      </c>
      <c r="T186" s="26" t="s">
        <v>1</v>
      </c>
      <c r="U186" s="26" t="s">
        <v>1</v>
      </c>
      <c r="V186" s="1">
        <v>0</v>
      </c>
      <c r="W186" s="1">
        <v>0</v>
      </c>
      <c r="X186" s="1">
        <f t="shared" si="74"/>
        <v>0</v>
      </c>
      <c r="Y186" s="1">
        <v>0</v>
      </c>
      <c r="Z186" s="26" t="s">
        <v>1</v>
      </c>
      <c r="AA186" s="26" t="s">
        <v>1</v>
      </c>
      <c r="AB186" s="1">
        <v>0</v>
      </c>
      <c r="AC186" s="1">
        <v>0</v>
      </c>
      <c r="AD186" s="1">
        <f t="shared" si="81"/>
        <v>0</v>
      </c>
      <c r="AE186" s="1">
        <v>0</v>
      </c>
      <c r="AF186" s="9">
        <f t="shared" si="120"/>
        <v>0</v>
      </c>
      <c r="AG186" s="9">
        <f t="shared" si="121"/>
        <v>0</v>
      </c>
      <c r="AH186" s="9">
        <f t="shared" si="122"/>
        <v>1</v>
      </c>
      <c r="AI186" s="9">
        <f t="shared" si="123"/>
        <v>0</v>
      </c>
      <c r="AJ186" s="22">
        <f t="shared" si="114"/>
        <v>1</v>
      </c>
      <c r="AK186" s="22">
        <f t="shared" si="80"/>
        <v>1.5</v>
      </c>
    </row>
    <row r="187" spans="1:38" x14ac:dyDescent="0.2">
      <c r="A187">
        <v>2011</v>
      </c>
      <c r="B187" s="20" t="s">
        <v>46</v>
      </c>
      <c r="C187" s="12">
        <v>40743</v>
      </c>
      <c r="D187" s="3">
        <v>121</v>
      </c>
      <c r="E187" s="20" t="s">
        <v>50</v>
      </c>
      <c r="H187" s="26" t="s">
        <v>1</v>
      </c>
      <c r="I187" s="26" t="s">
        <v>1</v>
      </c>
      <c r="J187" s="1">
        <v>3</v>
      </c>
      <c r="K187" s="1">
        <v>0</v>
      </c>
      <c r="L187" s="1">
        <f t="shared" si="72"/>
        <v>3</v>
      </c>
      <c r="M187" s="1">
        <v>1.5</v>
      </c>
      <c r="N187" s="26" t="s">
        <v>1</v>
      </c>
      <c r="O187" s="26" t="s">
        <v>1</v>
      </c>
      <c r="P187" s="1">
        <v>0</v>
      </c>
      <c r="Q187" s="1">
        <v>0</v>
      </c>
      <c r="R187" s="1">
        <f t="shared" si="73"/>
        <v>0</v>
      </c>
      <c r="S187" s="1">
        <v>0</v>
      </c>
      <c r="T187" s="26" t="s">
        <v>1</v>
      </c>
      <c r="U187" s="26" t="s">
        <v>1</v>
      </c>
      <c r="V187" s="1">
        <v>0</v>
      </c>
      <c r="W187" s="1">
        <v>0</v>
      </c>
      <c r="X187" s="1">
        <f t="shared" si="74"/>
        <v>0</v>
      </c>
      <c r="Y187" s="1">
        <v>0</v>
      </c>
      <c r="Z187" s="26" t="s">
        <v>1</v>
      </c>
      <c r="AA187" s="26" t="s">
        <v>1</v>
      </c>
      <c r="AB187" s="1">
        <v>0</v>
      </c>
      <c r="AC187" s="1">
        <v>0</v>
      </c>
      <c r="AD187" s="1">
        <f t="shared" si="81"/>
        <v>0</v>
      </c>
      <c r="AE187" s="1">
        <v>0</v>
      </c>
      <c r="AF187" s="9">
        <f t="shared" si="120"/>
        <v>0</v>
      </c>
      <c r="AG187" s="9">
        <f t="shared" si="121"/>
        <v>0</v>
      </c>
      <c r="AH187" s="9">
        <f t="shared" si="122"/>
        <v>3</v>
      </c>
      <c r="AI187" s="9">
        <f t="shared" si="123"/>
        <v>0</v>
      </c>
      <c r="AJ187" s="22">
        <f t="shared" si="114"/>
        <v>3</v>
      </c>
      <c r="AK187" s="22">
        <f t="shared" si="80"/>
        <v>1.5</v>
      </c>
    </row>
    <row r="188" spans="1:38" x14ac:dyDescent="0.2">
      <c r="A188">
        <v>2011</v>
      </c>
      <c r="B188" s="20" t="s">
        <v>46</v>
      </c>
      <c r="C188" s="12">
        <v>40743</v>
      </c>
      <c r="D188" s="3">
        <v>121</v>
      </c>
      <c r="E188" s="20" t="s">
        <v>58</v>
      </c>
      <c r="H188" s="26" t="s">
        <v>1</v>
      </c>
      <c r="I188" s="26" t="s">
        <v>1</v>
      </c>
      <c r="J188" s="1">
        <v>0</v>
      </c>
      <c r="K188" s="1">
        <v>0</v>
      </c>
      <c r="L188" s="1">
        <f t="shared" si="72"/>
        <v>0</v>
      </c>
      <c r="M188" s="1">
        <v>0</v>
      </c>
      <c r="N188" s="26" t="s">
        <v>1</v>
      </c>
      <c r="O188" s="26" t="s">
        <v>1</v>
      </c>
      <c r="P188" s="1">
        <v>6</v>
      </c>
      <c r="Q188" s="1">
        <v>3</v>
      </c>
      <c r="R188" s="1">
        <f t="shared" si="73"/>
        <v>9</v>
      </c>
      <c r="S188" s="1">
        <v>65</v>
      </c>
      <c r="T188" s="26" t="s">
        <v>1</v>
      </c>
      <c r="U188" s="26" t="s">
        <v>1</v>
      </c>
      <c r="V188" s="1">
        <v>0</v>
      </c>
      <c r="W188" s="1">
        <v>0</v>
      </c>
      <c r="X188" s="1">
        <f t="shared" si="74"/>
        <v>0</v>
      </c>
      <c r="Y188" s="1">
        <v>0</v>
      </c>
      <c r="Z188" s="26" t="s">
        <v>1</v>
      </c>
      <c r="AA188" s="26" t="s">
        <v>1</v>
      </c>
      <c r="AB188" s="1">
        <v>0</v>
      </c>
      <c r="AC188" s="1">
        <v>0</v>
      </c>
      <c r="AD188" s="1">
        <f t="shared" si="81"/>
        <v>0</v>
      </c>
      <c r="AE188" s="1">
        <v>0</v>
      </c>
      <c r="AF188" s="9">
        <f t="shared" si="120"/>
        <v>0</v>
      </c>
      <c r="AG188" s="9">
        <f t="shared" si="121"/>
        <v>0</v>
      </c>
      <c r="AH188" s="9">
        <f t="shared" si="122"/>
        <v>6</v>
      </c>
      <c r="AI188" s="9">
        <f t="shared" si="123"/>
        <v>3</v>
      </c>
      <c r="AJ188" s="22">
        <f t="shared" si="114"/>
        <v>9</v>
      </c>
      <c r="AK188" s="22">
        <f t="shared" si="80"/>
        <v>65</v>
      </c>
    </row>
    <row r="189" spans="1:38" x14ac:dyDescent="0.2">
      <c r="A189">
        <v>2011</v>
      </c>
      <c r="B189" s="20" t="s">
        <v>46</v>
      </c>
      <c r="C189" s="12">
        <v>40743</v>
      </c>
      <c r="D189" s="3">
        <v>121</v>
      </c>
      <c r="E189" s="20" t="s">
        <v>83</v>
      </c>
      <c r="H189" s="26" t="s">
        <v>1</v>
      </c>
      <c r="I189" s="26" t="s">
        <v>1</v>
      </c>
      <c r="J189" s="1">
        <v>0</v>
      </c>
      <c r="K189" s="1">
        <v>0</v>
      </c>
      <c r="L189" s="1">
        <f t="shared" si="72"/>
        <v>0</v>
      </c>
      <c r="M189" s="1">
        <v>0</v>
      </c>
      <c r="N189" s="26" t="s">
        <v>1</v>
      </c>
      <c r="O189" s="26" t="s">
        <v>1</v>
      </c>
      <c r="P189" s="1">
        <v>0</v>
      </c>
      <c r="Q189" s="1">
        <v>0</v>
      </c>
      <c r="R189" s="1">
        <f t="shared" si="73"/>
        <v>0</v>
      </c>
      <c r="S189" s="1">
        <v>0</v>
      </c>
      <c r="T189" s="26" t="s">
        <v>1</v>
      </c>
      <c r="U189" s="26" t="s">
        <v>1</v>
      </c>
      <c r="V189" s="1">
        <v>1</v>
      </c>
      <c r="W189" s="1">
        <v>0</v>
      </c>
      <c r="X189" s="1">
        <f t="shared" si="74"/>
        <v>1</v>
      </c>
      <c r="Y189" s="1">
        <v>3.5</v>
      </c>
      <c r="Z189" s="26" t="s">
        <v>1</v>
      </c>
      <c r="AA189" s="26" t="s">
        <v>1</v>
      </c>
      <c r="AB189" s="1">
        <v>0</v>
      </c>
      <c r="AC189" s="1">
        <v>0</v>
      </c>
      <c r="AD189" s="1">
        <f t="shared" si="81"/>
        <v>0</v>
      </c>
      <c r="AE189" s="1">
        <v>0</v>
      </c>
      <c r="AF189" s="9">
        <f t="shared" si="120"/>
        <v>0</v>
      </c>
      <c r="AG189" s="9">
        <f t="shared" si="121"/>
        <v>0</v>
      </c>
      <c r="AH189" s="9">
        <f t="shared" si="122"/>
        <v>1</v>
      </c>
      <c r="AI189" s="9">
        <f t="shared" si="123"/>
        <v>0</v>
      </c>
      <c r="AJ189" s="22">
        <f t="shared" si="114"/>
        <v>1</v>
      </c>
      <c r="AK189" s="22">
        <f t="shared" si="80"/>
        <v>3.5</v>
      </c>
    </row>
    <row r="190" spans="1:38" x14ac:dyDescent="0.2">
      <c r="A190">
        <v>2011</v>
      </c>
      <c r="B190" s="20" t="s">
        <v>46</v>
      </c>
      <c r="C190" s="12">
        <v>40743</v>
      </c>
      <c r="D190" s="3">
        <v>121</v>
      </c>
      <c r="E190" s="20" t="s">
        <v>70</v>
      </c>
      <c r="H190" s="26" t="s">
        <v>1</v>
      </c>
      <c r="I190" s="26" t="s">
        <v>1</v>
      </c>
      <c r="J190" s="1">
        <v>0</v>
      </c>
      <c r="K190" s="1">
        <v>0</v>
      </c>
      <c r="L190" s="1">
        <f t="shared" si="72"/>
        <v>0</v>
      </c>
      <c r="M190" s="1">
        <v>0</v>
      </c>
      <c r="N190" s="26" t="s">
        <v>1</v>
      </c>
      <c r="O190" s="26" t="s">
        <v>1</v>
      </c>
      <c r="P190" s="1">
        <v>0</v>
      </c>
      <c r="Q190" s="1">
        <v>0</v>
      </c>
      <c r="R190" s="1">
        <f t="shared" si="73"/>
        <v>0</v>
      </c>
      <c r="S190" s="1">
        <v>0</v>
      </c>
      <c r="T190" s="26" t="s">
        <v>1</v>
      </c>
      <c r="U190" s="26" t="s">
        <v>1</v>
      </c>
      <c r="V190" s="1">
        <v>3</v>
      </c>
      <c r="W190" s="1">
        <v>0</v>
      </c>
      <c r="X190" s="1">
        <f t="shared" si="74"/>
        <v>3</v>
      </c>
      <c r="Y190" s="1">
        <v>3.5</v>
      </c>
      <c r="Z190" s="26" t="s">
        <v>1</v>
      </c>
      <c r="AA190" s="26" t="s">
        <v>1</v>
      </c>
      <c r="AB190" s="1">
        <v>1</v>
      </c>
      <c r="AC190" s="1">
        <v>0</v>
      </c>
      <c r="AD190" s="1">
        <f t="shared" si="81"/>
        <v>1</v>
      </c>
      <c r="AE190" s="1">
        <v>1.5</v>
      </c>
      <c r="AF190" s="9">
        <f t="shared" si="120"/>
        <v>0</v>
      </c>
      <c r="AG190" s="9">
        <f t="shared" si="121"/>
        <v>0</v>
      </c>
      <c r="AH190" s="9">
        <f t="shared" si="122"/>
        <v>4</v>
      </c>
      <c r="AI190" s="9">
        <f t="shared" si="123"/>
        <v>0</v>
      </c>
      <c r="AJ190" s="22">
        <f t="shared" si="114"/>
        <v>4</v>
      </c>
      <c r="AK190" s="22">
        <f t="shared" si="80"/>
        <v>5</v>
      </c>
    </row>
    <row r="191" spans="1:38" x14ac:dyDescent="0.2">
      <c r="A191">
        <v>2011</v>
      </c>
      <c r="B191" s="20" t="s">
        <v>46</v>
      </c>
      <c r="C191" s="12">
        <v>40743</v>
      </c>
      <c r="D191" s="3">
        <v>121</v>
      </c>
      <c r="E191" s="20" t="s">
        <v>65</v>
      </c>
      <c r="H191" s="26" t="s">
        <v>1</v>
      </c>
      <c r="I191" s="26" t="s">
        <v>1</v>
      </c>
      <c r="J191" s="1">
        <v>0</v>
      </c>
      <c r="K191" s="1">
        <v>0</v>
      </c>
      <c r="L191" s="1">
        <f t="shared" si="72"/>
        <v>0</v>
      </c>
      <c r="M191" s="1">
        <v>0</v>
      </c>
      <c r="N191" s="26" t="s">
        <v>1</v>
      </c>
      <c r="O191" s="26" t="s">
        <v>1</v>
      </c>
      <c r="P191" s="1">
        <v>0</v>
      </c>
      <c r="Q191" s="1">
        <v>0</v>
      </c>
      <c r="R191" s="1">
        <f t="shared" si="73"/>
        <v>0</v>
      </c>
      <c r="S191" s="1">
        <v>0</v>
      </c>
      <c r="T191" s="26" t="s">
        <v>1</v>
      </c>
      <c r="U191" s="26" t="s">
        <v>1</v>
      </c>
      <c r="V191" s="1">
        <v>0</v>
      </c>
      <c r="W191" s="1">
        <v>0</v>
      </c>
      <c r="X191" s="1">
        <f t="shared" si="74"/>
        <v>0</v>
      </c>
      <c r="Y191" s="1">
        <v>0</v>
      </c>
      <c r="Z191" s="26" t="s">
        <v>1</v>
      </c>
      <c r="AA191" s="26" t="s">
        <v>1</v>
      </c>
      <c r="AB191" s="1">
        <v>1</v>
      </c>
      <c r="AC191" s="1">
        <v>0</v>
      </c>
      <c r="AD191" s="1">
        <f t="shared" si="81"/>
        <v>1</v>
      </c>
      <c r="AE191" s="1">
        <v>1.5</v>
      </c>
      <c r="AF191" s="9">
        <f t="shared" si="120"/>
        <v>0</v>
      </c>
      <c r="AG191" s="9">
        <f t="shared" si="121"/>
        <v>0</v>
      </c>
      <c r="AH191" s="9">
        <f t="shared" si="122"/>
        <v>1</v>
      </c>
      <c r="AI191" s="9">
        <f t="shared" si="123"/>
        <v>0</v>
      </c>
      <c r="AJ191" s="22">
        <f t="shared" si="114"/>
        <v>1</v>
      </c>
      <c r="AK191" s="22">
        <f t="shared" si="80"/>
        <v>1.5</v>
      </c>
    </row>
    <row r="192" spans="1:38" x14ac:dyDescent="0.2">
      <c r="A192">
        <v>2011</v>
      </c>
      <c r="B192" s="20" t="s">
        <v>46</v>
      </c>
      <c r="C192" s="12">
        <v>40743</v>
      </c>
      <c r="D192" s="3">
        <v>121</v>
      </c>
      <c r="E192" s="20" t="s">
        <v>64</v>
      </c>
      <c r="H192" s="26" t="s">
        <v>1</v>
      </c>
      <c r="I192" s="26" t="s">
        <v>1</v>
      </c>
      <c r="J192" s="1">
        <v>0</v>
      </c>
      <c r="K192" s="1">
        <v>0</v>
      </c>
      <c r="L192" s="1">
        <f t="shared" ref="L192:L204" si="124">SUM(H192:K192)</f>
        <v>0</v>
      </c>
      <c r="M192" s="1">
        <v>0</v>
      </c>
      <c r="N192" s="26" t="s">
        <v>1</v>
      </c>
      <c r="O192" s="26" t="s">
        <v>1</v>
      </c>
      <c r="P192" s="1">
        <v>0</v>
      </c>
      <c r="Q192" s="1">
        <v>0</v>
      </c>
      <c r="R192" s="1">
        <f t="shared" ref="R192:R204" si="125">SUM(N192:Q192)</f>
        <v>0</v>
      </c>
      <c r="S192" s="1">
        <v>0</v>
      </c>
      <c r="T192" s="26" t="s">
        <v>1</v>
      </c>
      <c r="U192" s="26" t="s">
        <v>1</v>
      </c>
      <c r="V192" s="1">
        <v>0</v>
      </c>
      <c r="W192" s="1">
        <v>0</v>
      </c>
      <c r="X192" s="1">
        <f t="shared" ref="X192:X204" si="126">SUM(T192:W192)</f>
        <v>0</v>
      </c>
      <c r="Y192" s="1">
        <v>0</v>
      </c>
      <c r="Z192" s="26" t="s">
        <v>1</v>
      </c>
      <c r="AA192" s="26" t="s">
        <v>1</v>
      </c>
      <c r="AB192" s="1">
        <v>0</v>
      </c>
      <c r="AC192" s="1">
        <v>1</v>
      </c>
      <c r="AD192" s="1">
        <f t="shared" si="81"/>
        <v>1</v>
      </c>
      <c r="AE192" s="1">
        <v>25</v>
      </c>
      <c r="AF192" s="9">
        <f t="shared" si="120"/>
        <v>0</v>
      </c>
      <c r="AG192" s="9">
        <f t="shared" si="121"/>
        <v>0</v>
      </c>
      <c r="AH192" s="9">
        <f t="shared" si="122"/>
        <v>0</v>
      </c>
      <c r="AI192" s="9">
        <f t="shared" si="123"/>
        <v>1</v>
      </c>
      <c r="AJ192" s="22">
        <f t="shared" si="114"/>
        <v>1</v>
      </c>
      <c r="AK192" s="22">
        <f t="shared" si="80"/>
        <v>25</v>
      </c>
    </row>
    <row r="193" spans="1:38" x14ac:dyDescent="0.2">
      <c r="A193">
        <v>2011</v>
      </c>
      <c r="B193" s="20" t="s">
        <v>46</v>
      </c>
      <c r="C193" s="12">
        <v>40743</v>
      </c>
      <c r="D193" s="3">
        <v>122</v>
      </c>
      <c r="E193" s="20" t="s">
        <v>47</v>
      </c>
      <c r="H193" s="1">
        <v>0</v>
      </c>
      <c r="I193" s="1">
        <v>3</v>
      </c>
      <c r="J193" s="1">
        <v>0</v>
      </c>
      <c r="K193" s="1">
        <v>0</v>
      </c>
      <c r="L193" s="1">
        <f t="shared" si="124"/>
        <v>3</v>
      </c>
      <c r="M193" s="1">
        <v>1.5</v>
      </c>
      <c r="N193" s="1">
        <v>0</v>
      </c>
      <c r="O193" s="1">
        <v>4</v>
      </c>
      <c r="P193" s="1">
        <v>4</v>
      </c>
      <c r="Q193" s="1">
        <v>1</v>
      </c>
      <c r="R193" s="1">
        <f t="shared" si="125"/>
        <v>9</v>
      </c>
      <c r="S193" s="1">
        <v>25</v>
      </c>
      <c r="T193" s="1">
        <v>0</v>
      </c>
      <c r="U193" s="1">
        <v>6</v>
      </c>
      <c r="V193" s="1">
        <v>2</v>
      </c>
      <c r="W193" s="1">
        <v>1</v>
      </c>
      <c r="X193" s="1">
        <f t="shared" si="126"/>
        <v>9</v>
      </c>
      <c r="Y193" s="1">
        <v>15</v>
      </c>
      <c r="Z193" s="1">
        <v>0</v>
      </c>
      <c r="AA193" s="1">
        <v>9</v>
      </c>
      <c r="AB193" s="1">
        <v>8</v>
      </c>
      <c r="AC193" s="1">
        <v>1</v>
      </c>
      <c r="AD193" s="1">
        <f t="shared" si="81"/>
        <v>18</v>
      </c>
      <c r="AE193" s="1">
        <v>25</v>
      </c>
      <c r="AF193" s="9">
        <f t="shared" ref="AF193:AF200" si="127">SUM(H193,N193,T193,Z193)</f>
        <v>0</v>
      </c>
      <c r="AG193" s="9">
        <f t="shared" ref="AG193:AG200" si="128">SUM(I193,O193,U193,AA193)</f>
        <v>22</v>
      </c>
      <c r="AH193" s="9">
        <f t="shared" si="122"/>
        <v>14</v>
      </c>
      <c r="AI193" s="9">
        <f t="shared" si="123"/>
        <v>3</v>
      </c>
      <c r="AJ193" s="22">
        <f t="shared" si="114"/>
        <v>39</v>
      </c>
      <c r="AK193" s="22">
        <f t="shared" si="80"/>
        <v>66.5</v>
      </c>
    </row>
    <row r="194" spans="1:38" x14ac:dyDescent="0.2">
      <c r="A194">
        <v>2011</v>
      </c>
      <c r="B194" s="20" t="s">
        <v>46</v>
      </c>
      <c r="C194" s="12">
        <v>40743</v>
      </c>
      <c r="D194" s="3">
        <v>122</v>
      </c>
      <c r="E194" s="20" t="s">
        <v>55</v>
      </c>
      <c r="H194" s="26" t="s">
        <v>1</v>
      </c>
      <c r="I194" s="26" t="s">
        <v>1</v>
      </c>
      <c r="J194" s="1">
        <v>16</v>
      </c>
      <c r="K194" s="1">
        <v>6</v>
      </c>
      <c r="L194" s="1">
        <f t="shared" si="124"/>
        <v>22</v>
      </c>
      <c r="M194" s="1">
        <v>55</v>
      </c>
      <c r="N194" s="26" t="s">
        <v>1</v>
      </c>
      <c r="O194" s="26" t="s">
        <v>1</v>
      </c>
      <c r="P194" s="1">
        <v>0</v>
      </c>
      <c r="Q194" s="1">
        <v>0</v>
      </c>
      <c r="R194" s="1">
        <f t="shared" si="125"/>
        <v>0</v>
      </c>
      <c r="S194" s="1">
        <v>0</v>
      </c>
      <c r="T194" s="26" t="s">
        <v>1</v>
      </c>
      <c r="U194" s="26" t="s">
        <v>1</v>
      </c>
      <c r="V194" s="1">
        <v>0</v>
      </c>
      <c r="W194" s="1">
        <v>0</v>
      </c>
      <c r="X194" s="1">
        <f t="shared" si="126"/>
        <v>0</v>
      </c>
      <c r="Y194" s="1">
        <v>0</v>
      </c>
      <c r="Z194" s="26" t="s">
        <v>1</v>
      </c>
      <c r="AA194" s="26" t="s">
        <v>1</v>
      </c>
      <c r="AB194" s="1">
        <v>0</v>
      </c>
      <c r="AC194" s="1">
        <v>0</v>
      </c>
      <c r="AD194" s="1">
        <f t="shared" si="81"/>
        <v>0</v>
      </c>
      <c r="AE194" s="1">
        <v>0</v>
      </c>
      <c r="AF194" s="9">
        <f t="shared" si="127"/>
        <v>0</v>
      </c>
      <c r="AG194" s="9">
        <f t="shared" si="128"/>
        <v>0</v>
      </c>
      <c r="AH194" s="9">
        <f t="shared" si="122"/>
        <v>16</v>
      </c>
      <c r="AI194" s="9">
        <f t="shared" si="123"/>
        <v>6</v>
      </c>
      <c r="AJ194" s="22">
        <f t="shared" si="114"/>
        <v>22</v>
      </c>
      <c r="AK194" s="22">
        <f t="shared" si="80"/>
        <v>55</v>
      </c>
    </row>
    <row r="195" spans="1:38" x14ac:dyDescent="0.2">
      <c r="A195">
        <v>2011</v>
      </c>
      <c r="B195" s="20" t="s">
        <v>46</v>
      </c>
      <c r="C195" s="12">
        <v>40743</v>
      </c>
      <c r="D195" s="3">
        <v>122</v>
      </c>
      <c r="E195" s="20" t="s">
        <v>64</v>
      </c>
      <c r="H195" s="26" t="s">
        <v>1</v>
      </c>
      <c r="I195" s="26" t="s">
        <v>1</v>
      </c>
      <c r="J195" s="1">
        <v>1</v>
      </c>
      <c r="K195" s="1">
        <v>0</v>
      </c>
      <c r="L195" s="1">
        <f t="shared" si="124"/>
        <v>1</v>
      </c>
      <c r="M195" s="1">
        <v>1.5</v>
      </c>
      <c r="N195" s="26" t="s">
        <v>1</v>
      </c>
      <c r="O195" s="26" t="s">
        <v>1</v>
      </c>
      <c r="P195" s="1">
        <v>1</v>
      </c>
      <c r="Q195" s="1">
        <v>0</v>
      </c>
      <c r="R195" s="1">
        <f t="shared" si="125"/>
        <v>1</v>
      </c>
      <c r="S195" s="1">
        <v>8</v>
      </c>
      <c r="T195" s="26" t="s">
        <v>1</v>
      </c>
      <c r="U195" s="26" t="s">
        <v>1</v>
      </c>
      <c r="V195" s="1">
        <v>0</v>
      </c>
      <c r="W195" s="1">
        <v>0</v>
      </c>
      <c r="X195" s="1">
        <f t="shared" si="126"/>
        <v>0</v>
      </c>
      <c r="Y195" s="1">
        <v>0</v>
      </c>
      <c r="Z195" s="26" t="s">
        <v>1</v>
      </c>
      <c r="AA195" s="26" t="s">
        <v>1</v>
      </c>
      <c r="AB195" s="1">
        <v>0</v>
      </c>
      <c r="AC195" s="1">
        <v>0</v>
      </c>
      <c r="AD195" s="1">
        <f t="shared" si="81"/>
        <v>0</v>
      </c>
      <c r="AE195" s="1">
        <v>0</v>
      </c>
      <c r="AF195" s="9">
        <f t="shared" si="127"/>
        <v>0</v>
      </c>
      <c r="AG195" s="9">
        <f t="shared" si="128"/>
        <v>0</v>
      </c>
      <c r="AH195" s="9">
        <f t="shared" si="122"/>
        <v>2</v>
      </c>
      <c r="AI195" s="9">
        <f t="shared" si="123"/>
        <v>0</v>
      </c>
      <c r="AJ195" s="22">
        <f t="shared" si="114"/>
        <v>2</v>
      </c>
      <c r="AK195" s="22">
        <f t="shared" si="80"/>
        <v>9.5</v>
      </c>
    </row>
    <row r="196" spans="1:38" x14ac:dyDescent="0.2">
      <c r="A196">
        <v>2011</v>
      </c>
      <c r="B196" s="20" t="s">
        <v>46</v>
      </c>
      <c r="C196" s="12">
        <v>40743</v>
      </c>
      <c r="D196" s="3">
        <v>122</v>
      </c>
      <c r="E196" s="20" t="s">
        <v>68</v>
      </c>
      <c r="H196" s="26" t="s">
        <v>1</v>
      </c>
      <c r="I196" s="26" t="s">
        <v>1</v>
      </c>
      <c r="J196" s="1">
        <v>0</v>
      </c>
      <c r="K196" s="1">
        <v>0</v>
      </c>
      <c r="L196" s="1">
        <f t="shared" si="124"/>
        <v>0</v>
      </c>
      <c r="M196" s="1">
        <v>0</v>
      </c>
      <c r="N196" s="26" t="s">
        <v>1</v>
      </c>
      <c r="O196" s="26" t="s">
        <v>1</v>
      </c>
      <c r="P196" s="1">
        <v>2</v>
      </c>
      <c r="Q196" s="1">
        <v>0</v>
      </c>
      <c r="R196" s="1">
        <f t="shared" si="125"/>
        <v>2</v>
      </c>
      <c r="S196" s="1">
        <v>3.5</v>
      </c>
      <c r="T196" s="26" t="s">
        <v>1</v>
      </c>
      <c r="U196" s="26" t="s">
        <v>1</v>
      </c>
      <c r="V196" s="1">
        <v>0</v>
      </c>
      <c r="W196" s="1">
        <v>0</v>
      </c>
      <c r="X196" s="1">
        <f t="shared" si="126"/>
        <v>0</v>
      </c>
      <c r="Y196" s="1">
        <v>0</v>
      </c>
      <c r="Z196" s="26" t="s">
        <v>1</v>
      </c>
      <c r="AA196" s="26" t="s">
        <v>1</v>
      </c>
      <c r="AB196" s="1">
        <v>2</v>
      </c>
      <c r="AC196" s="1">
        <v>0</v>
      </c>
      <c r="AD196" s="1">
        <f t="shared" si="81"/>
        <v>2</v>
      </c>
      <c r="AE196" s="1">
        <v>15</v>
      </c>
      <c r="AF196" s="9">
        <f t="shared" si="127"/>
        <v>0</v>
      </c>
      <c r="AG196" s="9">
        <f t="shared" si="128"/>
        <v>0</v>
      </c>
      <c r="AH196" s="9">
        <f t="shared" si="122"/>
        <v>4</v>
      </c>
      <c r="AI196" s="9">
        <f t="shared" si="123"/>
        <v>0</v>
      </c>
      <c r="AJ196" s="22">
        <f t="shared" si="114"/>
        <v>4</v>
      </c>
      <c r="AK196" s="22">
        <f t="shared" si="80"/>
        <v>18.5</v>
      </c>
    </row>
    <row r="197" spans="1:38" x14ac:dyDescent="0.2">
      <c r="A197">
        <v>2011</v>
      </c>
      <c r="B197" s="20" t="s">
        <v>46</v>
      </c>
      <c r="C197" s="12">
        <v>40743</v>
      </c>
      <c r="D197" s="3">
        <v>122</v>
      </c>
      <c r="E197" s="20" t="s">
        <v>94</v>
      </c>
      <c r="H197" s="26" t="s">
        <v>1</v>
      </c>
      <c r="I197" s="26" t="s">
        <v>1</v>
      </c>
      <c r="J197" s="1">
        <v>0</v>
      </c>
      <c r="K197" s="1">
        <v>0</v>
      </c>
      <c r="L197" s="1">
        <f t="shared" si="124"/>
        <v>0</v>
      </c>
      <c r="M197" s="1">
        <v>0</v>
      </c>
      <c r="N197" s="26" t="s">
        <v>1</v>
      </c>
      <c r="O197" s="26" t="s">
        <v>1</v>
      </c>
      <c r="P197" s="1">
        <v>0</v>
      </c>
      <c r="Q197" s="1">
        <v>0</v>
      </c>
      <c r="R197" s="1">
        <f t="shared" si="125"/>
        <v>0</v>
      </c>
      <c r="S197" s="1">
        <v>0</v>
      </c>
      <c r="T197" s="26" t="s">
        <v>1</v>
      </c>
      <c r="U197" s="26" t="s">
        <v>1</v>
      </c>
      <c r="V197" s="1">
        <v>1</v>
      </c>
      <c r="W197" s="1">
        <v>0</v>
      </c>
      <c r="X197" s="1">
        <f t="shared" si="126"/>
        <v>1</v>
      </c>
      <c r="Y197" s="1">
        <v>1</v>
      </c>
      <c r="Z197" s="26" t="s">
        <v>1</v>
      </c>
      <c r="AA197" s="26" t="s">
        <v>1</v>
      </c>
      <c r="AB197" s="1">
        <v>0</v>
      </c>
      <c r="AC197" s="1">
        <v>0</v>
      </c>
      <c r="AD197" s="1">
        <f t="shared" si="81"/>
        <v>0</v>
      </c>
      <c r="AE197" s="1">
        <v>0</v>
      </c>
      <c r="AF197" s="9">
        <f t="shared" si="127"/>
        <v>0</v>
      </c>
      <c r="AG197" s="9">
        <f t="shared" si="128"/>
        <v>0</v>
      </c>
      <c r="AH197" s="9">
        <f t="shared" si="122"/>
        <v>1</v>
      </c>
      <c r="AI197" s="9">
        <f t="shared" si="123"/>
        <v>0</v>
      </c>
      <c r="AJ197" s="22">
        <f t="shared" si="114"/>
        <v>1</v>
      </c>
      <c r="AK197" s="22">
        <f t="shared" si="80"/>
        <v>1</v>
      </c>
    </row>
    <row r="198" spans="1:38" x14ac:dyDescent="0.2">
      <c r="A198">
        <v>2011</v>
      </c>
      <c r="B198" s="20" t="s">
        <v>46</v>
      </c>
      <c r="C198" s="12">
        <v>40743</v>
      </c>
      <c r="D198" s="3">
        <v>122</v>
      </c>
      <c r="E198" s="20" t="s">
        <v>70</v>
      </c>
      <c r="H198" s="26" t="s">
        <v>1</v>
      </c>
      <c r="I198" s="26" t="s">
        <v>1</v>
      </c>
      <c r="J198" s="1">
        <v>0</v>
      </c>
      <c r="K198" s="1">
        <v>0</v>
      </c>
      <c r="L198" s="1">
        <f t="shared" si="124"/>
        <v>0</v>
      </c>
      <c r="M198" s="1">
        <v>0</v>
      </c>
      <c r="N198" s="26" t="s">
        <v>1</v>
      </c>
      <c r="O198" s="26" t="s">
        <v>1</v>
      </c>
      <c r="P198" s="1">
        <v>0</v>
      </c>
      <c r="Q198" s="1">
        <v>0</v>
      </c>
      <c r="R198" s="1">
        <f t="shared" si="125"/>
        <v>0</v>
      </c>
      <c r="S198" s="1">
        <v>0</v>
      </c>
      <c r="T198" s="26" t="s">
        <v>1</v>
      </c>
      <c r="U198" s="26" t="s">
        <v>1</v>
      </c>
      <c r="V198" s="1">
        <v>0</v>
      </c>
      <c r="W198" s="1">
        <v>0</v>
      </c>
      <c r="X198" s="1">
        <f t="shared" si="126"/>
        <v>0</v>
      </c>
      <c r="Y198" s="1">
        <v>0</v>
      </c>
      <c r="Z198" s="26" t="s">
        <v>1</v>
      </c>
      <c r="AA198" s="26" t="s">
        <v>1</v>
      </c>
      <c r="AB198" s="1">
        <v>2</v>
      </c>
      <c r="AC198" s="1">
        <v>0</v>
      </c>
      <c r="AD198" s="1">
        <f t="shared" si="81"/>
        <v>2</v>
      </c>
      <c r="AE198" s="1">
        <v>1.5</v>
      </c>
      <c r="AF198" s="9">
        <f t="shared" si="127"/>
        <v>0</v>
      </c>
      <c r="AG198" s="9">
        <f t="shared" si="128"/>
        <v>0</v>
      </c>
      <c r="AH198" s="9">
        <f t="shared" si="122"/>
        <v>2</v>
      </c>
      <c r="AI198" s="9">
        <f t="shared" si="123"/>
        <v>0</v>
      </c>
      <c r="AJ198" s="22">
        <f t="shared" si="114"/>
        <v>2</v>
      </c>
      <c r="AK198" s="22">
        <f t="shared" si="80"/>
        <v>1.5</v>
      </c>
    </row>
    <row r="199" spans="1:38" x14ac:dyDescent="0.2">
      <c r="A199">
        <v>2011</v>
      </c>
      <c r="B199" s="20" t="s">
        <v>46</v>
      </c>
      <c r="C199" s="12">
        <v>40743</v>
      </c>
      <c r="D199" s="3">
        <v>122</v>
      </c>
      <c r="E199" s="20" t="s">
        <v>60</v>
      </c>
      <c r="H199" s="1">
        <v>0</v>
      </c>
      <c r="I199" s="1">
        <v>0</v>
      </c>
      <c r="J199" s="1">
        <v>0</v>
      </c>
      <c r="K199" s="1">
        <v>0</v>
      </c>
      <c r="L199" s="1">
        <f t="shared" si="124"/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f t="shared" si="125"/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f t="shared" si="126"/>
        <v>0</v>
      </c>
      <c r="Y199" s="1">
        <v>0</v>
      </c>
      <c r="Z199" s="1">
        <v>0</v>
      </c>
      <c r="AA199" s="1">
        <v>1</v>
      </c>
      <c r="AB199" s="1">
        <v>0</v>
      </c>
      <c r="AC199" s="1">
        <v>0</v>
      </c>
      <c r="AD199" s="1">
        <f t="shared" si="81"/>
        <v>1</v>
      </c>
      <c r="AE199" s="1">
        <v>1.5</v>
      </c>
      <c r="AF199" s="9">
        <f t="shared" si="127"/>
        <v>0</v>
      </c>
      <c r="AG199" s="9">
        <f t="shared" si="128"/>
        <v>1</v>
      </c>
      <c r="AH199" s="9">
        <f t="shared" si="122"/>
        <v>0</v>
      </c>
      <c r="AI199" s="9">
        <f t="shared" si="123"/>
        <v>0</v>
      </c>
      <c r="AJ199" s="22">
        <f t="shared" si="114"/>
        <v>1</v>
      </c>
      <c r="AK199" s="22">
        <f t="shared" si="80"/>
        <v>1.5</v>
      </c>
    </row>
    <row r="200" spans="1:38" s="36" customFormat="1" x14ac:dyDescent="0.2">
      <c r="A200" s="36">
        <v>2011</v>
      </c>
      <c r="B200" s="31" t="s">
        <v>46</v>
      </c>
      <c r="C200" s="38">
        <v>40743</v>
      </c>
      <c r="D200" s="39">
        <v>123</v>
      </c>
      <c r="E200" s="31" t="s">
        <v>47</v>
      </c>
      <c r="H200" s="35">
        <v>0</v>
      </c>
      <c r="I200" s="35">
        <v>5</v>
      </c>
      <c r="J200" s="35">
        <v>6</v>
      </c>
      <c r="K200" s="35">
        <v>1</v>
      </c>
      <c r="L200" s="35">
        <f t="shared" si="124"/>
        <v>12</v>
      </c>
      <c r="M200" s="35">
        <v>25</v>
      </c>
      <c r="N200" s="35">
        <v>0</v>
      </c>
      <c r="O200" s="35">
        <v>3</v>
      </c>
      <c r="P200" s="35">
        <v>2</v>
      </c>
      <c r="Q200" s="35">
        <v>1</v>
      </c>
      <c r="R200" s="35">
        <f t="shared" si="125"/>
        <v>6</v>
      </c>
      <c r="S200" s="35">
        <v>8</v>
      </c>
      <c r="T200" s="35">
        <v>0</v>
      </c>
      <c r="U200" s="35">
        <v>17</v>
      </c>
      <c r="V200" s="35">
        <v>0</v>
      </c>
      <c r="W200" s="35">
        <v>0</v>
      </c>
      <c r="X200" s="35">
        <f t="shared" si="126"/>
        <v>17</v>
      </c>
      <c r="Y200" s="35">
        <v>15</v>
      </c>
      <c r="Z200" s="35">
        <v>0</v>
      </c>
      <c r="AA200" s="35">
        <v>9</v>
      </c>
      <c r="AB200" s="35">
        <v>6</v>
      </c>
      <c r="AC200" s="35">
        <v>0</v>
      </c>
      <c r="AD200" s="35">
        <f t="shared" si="81"/>
        <v>15</v>
      </c>
      <c r="AE200" s="35">
        <v>15</v>
      </c>
      <c r="AF200" s="42">
        <f t="shared" si="127"/>
        <v>0</v>
      </c>
      <c r="AG200" s="42">
        <f t="shared" si="128"/>
        <v>34</v>
      </c>
      <c r="AH200" s="42">
        <f t="shared" si="122"/>
        <v>14</v>
      </c>
      <c r="AI200" s="42">
        <f t="shared" ref="AI200:AI204" si="129">SUM(K200,Q200,W200,AC200)</f>
        <v>2</v>
      </c>
      <c r="AJ200" s="40">
        <f t="shared" ref="AJ200:AJ204" si="130">SUM(AF200:AI200)</f>
        <v>50</v>
      </c>
      <c r="AK200" s="40">
        <f t="shared" si="80"/>
        <v>63</v>
      </c>
      <c r="AL200" s="41"/>
    </row>
    <row r="201" spans="1:38" x14ac:dyDescent="0.2">
      <c r="A201">
        <v>2011</v>
      </c>
      <c r="B201" s="20" t="s">
        <v>46</v>
      </c>
      <c r="C201" s="12">
        <v>40743</v>
      </c>
      <c r="D201" s="3">
        <v>123</v>
      </c>
      <c r="E201" s="20" t="s">
        <v>50</v>
      </c>
      <c r="H201" s="26" t="s">
        <v>1</v>
      </c>
      <c r="I201" s="26" t="s">
        <v>1</v>
      </c>
      <c r="J201" s="1">
        <v>1</v>
      </c>
      <c r="K201" s="1">
        <v>0</v>
      </c>
      <c r="L201" s="1">
        <f t="shared" si="124"/>
        <v>1</v>
      </c>
      <c r="M201" s="1">
        <v>1.5</v>
      </c>
      <c r="N201" s="26" t="s">
        <v>1</v>
      </c>
      <c r="O201" s="26" t="s">
        <v>1</v>
      </c>
      <c r="P201" s="1">
        <v>0</v>
      </c>
      <c r="Q201" s="1">
        <v>0</v>
      </c>
      <c r="R201" s="1">
        <f t="shared" si="125"/>
        <v>0</v>
      </c>
      <c r="S201" s="1">
        <v>0</v>
      </c>
      <c r="T201" s="26" t="s">
        <v>1</v>
      </c>
      <c r="U201" s="26" t="s">
        <v>1</v>
      </c>
      <c r="V201" s="1">
        <v>0</v>
      </c>
      <c r="W201" s="1">
        <v>0</v>
      </c>
      <c r="X201" s="1">
        <f t="shared" si="126"/>
        <v>0</v>
      </c>
      <c r="Y201" s="1">
        <v>0</v>
      </c>
      <c r="Z201" s="26" t="s">
        <v>1</v>
      </c>
      <c r="AA201" s="26" t="s">
        <v>1</v>
      </c>
      <c r="AB201" s="1">
        <v>2</v>
      </c>
      <c r="AC201" s="1">
        <v>0</v>
      </c>
      <c r="AD201" s="1">
        <f t="shared" si="81"/>
        <v>2</v>
      </c>
      <c r="AE201" s="1">
        <v>3.5</v>
      </c>
      <c r="AF201" s="9">
        <f t="shared" ref="AF201:AF204" si="131">SUM(H201,N201,T201,Z201)</f>
        <v>0</v>
      </c>
      <c r="AG201" s="9">
        <f t="shared" ref="AG201:AG204" si="132">SUM(I201,O201,U201,AA201)</f>
        <v>0</v>
      </c>
      <c r="AH201" s="9">
        <f t="shared" si="122"/>
        <v>3</v>
      </c>
      <c r="AI201" s="9">
        <f t="shared" si="129"/>
        <v>0</v>
      </c>
      <c r="AJ201" s="22">
        <f t="shared" si="130"/>
        <v>3</v>
      </c>
      <c r="AK201" s="22">
        <f t="shared" si="80"/>
        <v>5</v>
      </c>
    </row>
    <row r="202" spans="1:38" x14ac:dyDescent="0.2">
      <c r="A202">
        <v>2011</v>
      </c>
      <c r="B202" s="20" t="s">
        <v>46</v>
      </c>
      <c r="C202" s="12">
        <v>40743</v>
      </c>
      <c r="D202" s="3">
        <v>123</v>
      </c>
      <c r="E202" s="20" t="s">
        <v>64</v>
      </c>
      <c r="H202" s="26" t="s">
        <v>1</v>
      </c>
      <c r="I202" s="26" t="s">
        <v>1</v>
      </c>
      <c r="J202" s="1">
        <v>1</v>
      </c>
      <c r="K202" s="1">
        <v>0</v>
      </c>
      <c r="L202" s="1">
        <f t="shared" si="124"/>
        <v>1</v>
      </c>
      <c r="M202" s="1">
        <v>3.5</v>
      </c>
      <c r="N202" s="26" t="s">
        <v>1</v>
      </c>
      <c r="O202" s="26" t="s">
        <v>1</v>
      </c>
      <c r="P202" s="1">
        <v>0</v>
      </c>
      <c r="Q202" s="1">
        <v>0</v>
      </c>
      <c r="R202" s="1">
        <f t="shared" si="125"/>
        <v>0</v>
      </c>
      <c r="S202" s="1">
        <v>0</v>
      </c>
      <c r="T202" s="26" t="s">
        <v>1</v>
      </c>
      <c r="U202" s="26" t="s">
        <v>1</v>
      </c>
      <c r="V202" s="1">
        <v>0</v>
      </c>
      <c r="W202" s="1">
        <v>0</v>
      </c>
      <c r="X202" s="1">
        <f t="shared" si="126"/>
        <v>0</v>
      </c>
      <c r="Y202" s="1">
        <v>0</v>
      </c>
      <c r="Z202" s="26" t="s">
        <v>1</v>
      </c>
      <c r="AA202" s="26" t="s">
        <v>1</v>
      </c>
      <c r="AB202" s="1">
        <v>1</v>
      </c>
      <c r="AC202" s="1">
        <v>0</v>
      </c>
      <c r="AD202" s="1">
        <f t="shared" si="81"/>
        <v>1</v>
      </c>
      <c r="AE202" s="1">
        <v>1.5</v>
      </c>
      <c r="AF202" s="9">
        <f t="shared" si="131"/>
        <v>0</v>
      </c>
      <c r="AG202" s="9">
        <f t="shared" si="132"/>
        <v>0</v>
      </c>
      <c r="AH202" s="9">
        <f t="shared" si="122"/>
        <v>2</v>
      </c>
      <c r="AI202" s="9">
        <f t="shared" si="129"/>
        <v>0</v>
      </c>
      <c r="AJ202" s="22">
        <f t="shared" si="130"/>
        <v>2</v>
      </c>
      <c r="AK202" s="22">
        <f t="shared" si="80"/>
        <v>5</v>
      </c>
    </row>
    <row r="203" spans="1:38" x14ac:dyDescent="0.2">
      <c r="A203">
        <v>2011</v>
      </c>
      <c r="B203" s="20" t="s">
        <v>46</v>
      </c>
      <c r="C203" s="12">
        <v>40743</v>
      </c>
      <c r="D203" s="3">
        <v>123</v>
      </c>
      <c r="E203" s="20" t="s">
        <v>55</v>
      </c>
      <c r="H203" s="26" t="s">
        <v>1</v>
      </c>
      <c r="I203" s="26" t="s">
        <v>1</v>
      </c>
      <c r="J203" s="1">
        <v>0</v>
      </c>
      <c r="K203" s="1">
        <v>0</v>
      </c>
      <c r="L203" s="1">
        <f t="shared" si="124"/>
        <v>0</v>
      </c>
      <c r="M203" s="1">
        <v>0</v>
      </c>
      <c r="N203" s="26" t="s">
        <v>1</v>
      </c>
      <c r="O203" s="26" t="s">
        <v>1</v>
      </c>
      <c r="P203" s="1">
        <v>0</v>
      </c>
      <c r="Q203" s="1">
        <v>0</v>
      </c>
      <c r="R203" s="1">
        <f t="shared" si="125"/>
        <v>0</v>
      </c>
      <c r="S203" s="1">
        <v>0</v>
      </c>
      <c r="T203" s="26" t="s">
        <v>1</v>
      </c>
      <c r="U203" s="26" t="s">
        <v>1</v>
      </c>
      <c r="V203" s="1">
        <v>2</v>
      </c>
      <c r="W203" s="1">
        <v>0</v>
      </c>
      <c r="X203" s="1">
        <f t="shared" si="126"/>
        <v>2</v>
      </c>
      <c r="Y203" s="1">
        <v>8</v>
      </c>
      <c r="Z203" s="26" t="s">
        <v>1</v>
      </c>
      <c r="AA203" s="26" t="s">
        <v>1</v>
      </c>
      <c r="AB203" s="1">
        <v>0</v>
      </c>
      <c r="AC203" s="1">
        <v>0</v>
      </c>
      <c r="AD203" s="1">
        <f t="shared" si="81"/>
        <v>0</v>
      </c>
      <c r="AE203" s="1">
        <v>0</v>
      </c>
      <c r="AF203" s="9">
        <f t="shared" si="131"/>
        <v>0</v>
      </c>
      <c r="AG203" s="9">
        <f t="shared" si="132"/>
        <v>0</v>
      </c>
      <c r="AH203" s="9">
        <f t="shared" si="122"/>
        <v>2</v>
      </c>
      <c r="AI203" s="9">
        <f t="shared" si="129"/>
        <v>0</v>
      </c>
      <c r="AJ203" s="22">
        <f t="shared" si="130"/>
        <v>2</v>
      </c>
      <c r="AK203" s="22">
        <f t="shared" si="80"/>
        <v>8</v>
      </c>
    </row>
    <row r="204" spans="1:38" x14ac:dyDescent="0.2">
      <c r="A204">
        <v>2011</v>
      </c>
      <c r="B204" s="20" t="s">
        <v>46</v>
      </c>
      <c r="C204" s="12">
        <v>40743</v>
      </c>
      <c r="D204" s="3">
        <v>123</v>
      </c>
      <c r="E204" s="20" t="s">
        <v>54</v>
      </c>
      <c r="H204" s="26" t="s">
        <v>1</v>
      </c>
      <c r="I204" s="26" t="s">
        <v>1</v>
      </c>
      <c r="J204" s="1">
        <v>0</v>
      </c>
      <c r="K204" s="1">
        <v>0</v>
      </c>
      <c r="L204" s="1">
        <f t="shared" si="124"/>
        <v>0</v>
      </c>
      <c r="M204" s="1">
        <v>0</v>
      </c>
      <c r="N204" s="26" t="s">
        <v>1</v>
      </c>
      <c r="O204" s="26" t="s">
        <v>1</v>
      </c>
      <c r="P204" s="1">
        <v>0</v>
      </c>
      <c r="Q204" s="1">
        <v>0</v>
      </c>
      <c r="R204" s="1">
        <f t="shared" si="125"/>
        <v>0</v>
      </c>
      <c r="S204" s="1">
        <v>0</v>
      </c>
      <c r="T204" s="26" t="s">
        <v>1</v>
      </c>
      <c r="U204" s="26" t="s">
        <v>1</v>
      </c>
      <c r="V204" s="1">
        <v>0</v>
      </c>
      <c r="W204" s="1">
        <v>0</v>
      </c>
      <c r="X204" s="1">
        <f t="shared" si="126"/>
        <v>0</v>
      </c>
      <c r="Y204" s="1">
        <v>0</v>
      </c>
      <c r="Z204" s="26" t="s">
        <v>1</v>
      </c>
      <c r="AA204" s="26" t="s">
        <v>1</v>
      </c>
      <c r="AB204" s="1">
        <v>1</v>
      </c>
      <c r="AC204" s="1">
        <v>0</v>
      </c>
      <c r="AD204" s="1">
        <f t="shared" si="81"/>
        <v>1</v>
      </c>
      <c r="AE204" s="1">
        <v>1.5</v>
      </c>
      <c r="AF204" s="9">
        <f t="shared" si="131"/>
        <v>0</v>
      </c>
      <c r="AG204" s="9">
        <f t="shared" si="132"/>
        <v>0</v>
      </c>
      <c r="AH204" s="9">
        <f t="shared" si="122"/>
        <v>1</v>
      </c>
      <c r="AI204" s="9">
        <f t="shared" si="129"/>
        <v>0</v>
      </c>
      <c r="AJ204" s="22">
        <f t="shared" si="130"/>
        <v>1</v>
      </c>
      <c r="AK204" s="22">
        <f t="shared" si="80"/>
        <v>1.5</v>
      </c>
      <c r="AL204" s="27" t="s">
        <v>96</v>
      </c>
    </row>
    <row r="205" spans="1:38" x14ac:dyDescent="0.2">
      <c r="B205" s="20"/>
    </row>
    <row r="206" spans="1:38" x14ac:dyDescent="0.2">
      <c r="B206" s="20"/>
    </row>
    <row r="207" spans="1:38" x14ac:dyDescent="0.2">
      <c r="B207" s="20"/>
    </row>
    <row r="208" spans="1:38" x14ac:dyDescent="0.2">
      <c r="B208" s="20"/>
    </row>
    <row r="209" spans="2:2" x14ac:dyDescent="0.2">
      <c r="B209" s="20"/>
    </row>
    <row r="210" spans="2:2" x14ac:dyDescent="0.2">
      <c r="B210" s="20"/>
    </row>
    <row r="211" spans="2:2" x14ac:dyDescent="0.2">
      <c r="B211" s="20"/>
    </row>
    <row r="212" spans="2:2" x14ac:dyDescent="0.2">
      <c r="B212" s="20"/>
    </row>
    <row r="213" spans="2:2" x14ac:dyDescent="0.2">
      <c r="B213" s="20"/>
    </row>
    <row r="214" spans="2:2" x14ac:dyDescent="0.2">
      <c r="B214" s="20"/>
    </row>
    <row r="215" spans="2:2" x14ac:dyDescent="0.2">
      <c r="B215" s="20"/>
    </row>
    <row r="216" spans="2:2" x14ac:dyDescent="0.2">
      <c r="B216" s="20"/>
    </row>
    <row r="217" spans="2:2" x14ac:dyDescent="0.2">
      <c r="B217" s="20"/>
    </row>
  </sheetData>
  <phoneticPr fontId="1" type="noConversion"/>
  <pageMargins left="0.75" right="0.75" top="1" bottom="1" header="0.5" footer="0.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3"/>
  <sheetViews>
    <sheetView workbookViewId="0">
      <pane ySplit="3" topLeftCell="A4" activePane="bottomLeft" state="frozen"/>
      <selection pane="bottomLeft" activeCell="F79" sqref="F79"/>
    </sheetView>
  </sheetViews>
  <sheetFormatPr defaultRowHeight="12.75" x14ac:dyDescent="0.2"/>
  <cols>
    <col min="2" max="2" width="10.28515625" customWidth="1"/>
    <col min="3" max="3" width="9.140625" style="2" customWidth="1"/>
  </cols>
  <sheetData>
    <row r="1" spans="1:10" x14ac:dyDescent="0.2">
      <c r="A1" s="25" t="s">
        <v>97</v>
      </c>
    </row>
    <row r="3" spans="1:10" x14ac:dyDescent="0.2">
      <c r="A3" s="20" t="s">
        <v>8</v>
      </c>
      <c r="B3" s="20" t="s">
        <v>9</v>
      </c>
      <c r="C3" s="2" t="s">
        <v>10</v>
      </c>
      <c r="D3" t="s">
        <v>11</v>
      </c>
      <c r="E3" t="s">
        <v>98</v>
      </c>
      <c r="F3" t="s">
        <v>99</v>
      </c>
      <c r="G3" s="20" t="s">
        <v>100</v>
      </c>
      <c r="H3" t="s">
        <v>101</v>
      </c>
      <c r="I3" t="s">
        <v>45</v>
      </c>
    </row>
    <row r="4" spans="1:10" x14ac:dyDescent="0.2">
      <c r="A4">
        <v>2011</v>
      </c>
      <c r="B4" s="20" t="s">
        <v>46</v>
      </c>
      <c r="C4" s="2">
        <v>40722</v>
      </c>
      <c r="D4">
        <v>49</v>
      </c>
      <c r="E4" s="20" t="s">
        <v>102</v>
      </c>
      <c r="F4" s="20">
        <v>723</v>
      </c>
      <c r="G4">
        <v>7071</v>
      </c>
      <c r="H4" s="20" t="s">
        <v>1</v>
      </c>
      <c r="J4" s="19"/>
    </row>
    <row r="5" spans="1:10" x14ac:dyDescent="0.2">
      <c r="A5">
        <v>2011</v>
      </c>
      <c r="B5" s="20" t="s">
        <v>46</v>
      </c>
      <c r="C5" s="2">
        <v>40722</v>
      </c>
      <c r="D5">
        <v>49</v>
      </c>
      <c r="E5" s="20" t="s">
        <v>103</v>
      </c>
      <c r="F5" s="20">
        <v>724</v>
      </c>
      <c r="G5" s="20" t="s">
        <v>1</v>
      </c>
      <c r="H5" s="20" t="s">
        <v>1</v>
      </c>
    </row>
    <row r="6" spans="1:10" x14ac:dyDescent="0.2">
      <c r="A6">
        <v>2011</v>
      </c>
      <c r="B6" s="20" t="s">
        <v>46</v>
      </c>
      <c r="C6" s="2">
        <v>40722</v>
      </c>
      <c r="D6">
        <v>49</v>
      </c>
      <c r="E6" s="20" t="s">
        <v>104</v>
      </c>
      <c r="F6" s="20">
        <v>725</v>
      </c>
      <c r="G6">
        <v>7077</v>
      </c>
      <c r="H6" s="20" t="s">
        <v>105</v>
      </c>
    </row>
    <row r="7" spans="1:10" x14ac:dyDescent="0.2">
      <c r="A7">
        <v>2011</v>
      </c>
      <c r="B7" s="20" t="s">
        <v>46</v>
      </c>
      <c r="C7" s="2">
        <v>40722</v>
      </c>
      <c r="D7">
        <v>49</v>
      </c>
      <c r="E7" s="20" t="s">
        <v>106</v>
      </c>
      <c r="F7" s="20">
        <v>726</v>
      </c>
      <c r="G7">
        <v>7078</v>
      </c>
      <c r="H7">
        <v>7074</v>
      </c>
    </row>
    <row r="8" spans="1:10" x14ac:dyDescent="0.2">
      <c r="A8">
        <v>2011</v>
      </c>
      <c r="B8" s="20" t="s">
        <v>46</v>
      </c>
      <c r="C8" s="2">
        <v>40722</v>
      </c>
      <c r="D8">
        <v>49</v>
      </c>
      <c r="E8" s="20" t="s">
        <v>107</v>
      </c>
      <c r="F8" s="20">
        <v>727</v>
      </c>
      <c r="G8">
        <v>7079</v>
      </c>
      <c r="H8">
        <v>7075</v>
      </c>
    </row>
    <row r="9" spans="1:10" x14ac:dyDescent="0.2">
      <c r="A9">
        <v>2011</v>
      </c>
      <c r="B9" s="20" t="s">
        <v>46</v>
      </c>
      <c r="C9" s="2">
        <v>40722</v>
      </c>
      <c r="D9">
        <v>49</v>
      </c>
      <c r="E9" s="20" t="s">
        <v>108</v>
      </c>
      <c r="F9" s="20" t="s">
        <v>109</v>
      </c>
      <c r="G9">
        <v>7080</v>
      </c>
      <c r="H9">
        <v>7076</v>
      </c>
    </row>
    <row r="10" spans="1:10" x14ac:dyDescent="0.2">
      <c r="A10">
        <v>2011</v>
      </c>
      <c r="B10" s="20" t="s">
        <v>46</v>
      </c>
      <c r="C10" s="2">
        <v>40711</v>
      </c>
      <c r="D10">
        <v>50</v>
      </c>
      <c r="E10" s="20" t="s">
        <v>102</v>
      </c>
      <c r="F10" s="20" t="s">
        <v>110</v>
      </c>
      <c r="G10" s="20" t="s">
        <v>111</v>
      </c>
      <c r="H10" s="20" t="s">
        <v>1</v>
      </c>
      <c r="J10" s="19"/>
    </row>
    <row r="11" spans="1:10" x14ac:dyDescent="0.2">
      <c r="A11">
        <v>2011</v>
      </c>
      <c r="B11" s="20" t="s">
        <v>46</v>
      </c>
      <c r="C11" s="2">
        <v>40711</v>
      </c>
      <c r="D11">
        <v>50</v>
      </c>
      <c r="E11" s="20" t="s">
        <v>103</v>
      </c>
      <c r="F11" s="20" t="s">
        <v>112</v>
      </c>
      <c r="G11" s="20" t="s">
        <v>1</v>
      </c>
      <c r="H11" s="20" t="s">
        <v>1</v>
      </c>
    </row>
    <row r="12" spans="1:10" x14ac:dyDescent="0.2">
      <c r="A12">
        <v>2011</v>
      </c>
      <c r="B12" s="20" t="s">
        <v>46</v>
      </c>
      <c r="C12" s="2">
        <v>40711</v>
      </c>
      <c r="D12">
        <v>50</v>
      </c>
      <c r="E12" s="20" t="s">
        <v>104</v>
      </c>
      <c r="F12" s="20" t="s">
        <v>113</v>
      </c>
      <c r="G12" s="20">
        <v>866</v>
      </c>
      <c r="H12" s="20" t="s">
        <v>114</v>
      </c>
    </row>
    <row r="13" spans="1:10" x14ac:dyDescent="0.2">
      <c r="A13">
        <v>2011</v>
      </c>
      <c r="B13" s="20" t="s">
        <v>46</v>
      </c>
      <c r="C13" s="2">
        <v>40711</v>
      </c>
      <c r="D13">
        <v>50</v>
      </c>
      <c r="E13" s="20" t="s">
        <v>106</v>
      </c>
      <c r="F13" s="20" t="s">
        <v>115</v>
      </c>
      <c r="G13" s="20">
        <v>867</v>
      </c>
      <c r="H13" s="20">
        <v>861</v>
      </c>
    </row>
    <row r="14" spans="1:10" x14ac:dyDescent="0.2">
      <c r="A14">
        <v>2011</v>
      </c>
      <c r="B14" s="20" t="s">
        <v>46</v>
      </c>
      <c r="C14" s="2">
        <v>40711</v>
      </c>
      <c r="D14">
        <v>50</v>
      </c>
      <c r="E14" s="20" t="s">
        <v>107</v>
      </c>
      <c r="F14" s="20" t="s">
        <v>116</v>
      </c>
      <c r="G14" s="20">
        <v>868</v>
      </c>
      <c r="H14" s="20" t="s">
        <v>117</v>
      </c>
      <c r="I14" s="20"/>
    </row>
    <row r="15" spans="1:10" x14ac:dyDescent="0.2">
      <c r="A15">
        <v>2011</v>
      </c>
      <c r="B15" s="20" t="s">
        <v>46</v>
      </c>
      <c r="C15" s="2">
        <v>40711</v>
      </c>
      <c r="D15">
        <v>50</v>
      </c>
      <c r="E15" s="20" t="s">
        <v>108</v>
      </c>
      <c r="F15" s="20">
        <v>564</v>
      </c>
      <c r="G15" s="20">
        <v>869</v>
      </c>
      <c r="H15" s="20">
        <v>864</v>
      </c>
    </row>
    <row r="16" spans="1:10" x14ac:dyDescent="0.2">
      <c r="A16">
        <v>2011</v>
      </c>
      <c r="B16" s="20" t="s">
        <v>46</v>
      </c>
      <c r="C16" s="2">
        <v>40710</v>
      </c>
      <c r="D16">
        <v>51</v>
      </c>
      <c r="E16" s="20" t="s">
        <v>102</v>
      </c>
      <c r="F16" s="20" t="s">
        <v>118</v>
      </c>
      <c r="G16" s="20" t="s">
        <v>119</v>
      </c>
      <c r="H16" s="20" t="s">
        <v>1</v>
      </c>
      <c r="I16" s="20" t="s">
        <v>120</v>
      </c>
      <c r="J16" s="19"/>
    </row>
    <row r="17" spans="1:10" x14ac:dyDescent="0.2">
      <c r="A17">
        <v>2011</v>
      </c>
      <c r="B17" s="20" t="s">
        <v>46</v>
      </c>
      <c r="C17" s="2">
        <v>40710</v>
      </c>
      <c r="D17">
        <v>51</v>
      </c>
      <c r="E17" s="20" t="s">
        <v>103</v>
      </c>
      <c r="F17" s="20">
        <v>549</v>
      </c>
      <c r="G17" s="20" t="s">
        <v>1</v>
      </c>
      <c r="H17" s="20" t="s">
        <v>1</v>
      </c>
    </row>
    <row r="18" spans="1:10" x14ac:dyDescent="0.2">
      <c r="A18">
        <v>2011</v>
      </c>
      <c r="B18" s="20" t="s">
        <v>46</v>
      </c>
      <c r="C18" s="2">
        <v>40710</v>
      </c>
      <c r="D18">
        <v>51</v>
      </c>
      <c r="E18" s="20" t="s">
        <v>104</v>
      </c>
      <c r="F18" s="20">
        <v>550</v>
      </c>
      <c r="G18" s="20">
        <v>853</v>
      </c>
      <c r="H18" s="20">
        <v>848</v>
      </c>
    </row>
    <row r="19" spans="1:10" x14ac:dyDescent="0.2">
      <c r="A19">
        <v>2011</v>
      </c>
      <c r="B19" s="20" t="s">
        <v>46</v>
      </c>
      <c r="C19" s="2">
        <v>40710</v>
      </c>
      <c r="D19">
        <v>51</v>
      </c>
      <c r="E19" s="20" t="s">
        <v>106</v>
      </c>
      <c r="F19" s="20">
        <v>551</v>
      </c>
      <c r="G19" s="20">
        <v>854</v>
      </c>
      <c r="H19" s="20">
        <v>849</v>
      </c>
    </row>
    <row r="20" spans="1:10" x14ac:dyDescent="0.2">
      <c r="A20">
        <v>2011</v>
      </c>
      <c r="B20" s="20" t="s">
        <v>46</v>
      </c>
      <c r="C20" s="2">
        <v>40710</v>
      </c>
      <c r="D20">
        <v>51</v>
      </c>
      <c r="E20" s="20" t="s">
        <v>107</v>
      </c>
      <c r="F20" s="20">
        <v>552</v>
      </c>
      <c r="G20" s="20">
        <v>855</v>
      </c>
      <c r="H20" s="20">
        <v>850</v>
      </c>
    </row>
    <row r="21" spans="1:10" x14ac:dyDescent="0.2">
      <c r="A21">
        <v>2011</v>
      </c>
      <c r="B21" s="20" t="s">
        <v>46</v>
      </c>
      <c r="C21" s="2">
        <v>40710</v>
      </c>
      <c r="D21">
        <v>51</v>
      </c>
      <c r="E21" s="20" t="s">
        <v>108</v>
      </c>
      <c r="F21" s="20">
        <v>553</v>
      </c>
      <c r="G21" s="20">
        <v>856</v>
      </c>
      <c r="H21" s="20">
        <v>851</v>
      </c>
    </row>
    <row r="22" spans="1:10" x14ac:dyDescent="0.2">
      <c r="A22">
        <v>2011</v>
      </c>
      <c r="B22" s="20" t="s">
        <v>46</v>
      </c>
      <c r="C22" s="2">
        <v>40710</v>
      </c>
      <c r="D22">
        <v>52</v>
      </c>
      <c r="E22" s="20" t="s">
        <v>102</v>
      </c>
      <c r="F22" s="20">
        <v>531</v>
      </c>
      <c r="G22" s="20" t="s">
        <v>1</v>
      </c>
      <c r="H22" s="20" t="s">
        <v>1</v>
      </c>
      <c r="J22" s="19"/>
    </row>
    <row r="23" spans="1:10" x14ac:dyDescent="0.2">
      <c r="A23">
        <v>2011</v>
      </c>
      <c r="B23" s="20" t="s">
        <v>46</v>
      </c>
      <c r="C23" s="2">
        <v>40710</v>
      </c>
      <c r="D23">
        <v>52</v>
      </c>
      <c r="E23" s="20" t="s">
        <v>103</v>
      </c>
      <c r="F23" s="20">
        <v>532</v>
      </c>
      <c r="G23" s="20" t="s">
        <v>1</v>
      </c>
      <c r="H23" s="20" t="s">
        <v>1</v>
      </c>
    </row>
    <row r="24" spans="1:10" x14ac:dyDescent="0.2">
      <c r="A24">
        <v>2011</v>
      </c>
      <c r="B24" s="20" t="s">
        <v>46</v>
      </c>
      <c r="C24" s="2">
        <v>40710</v>
      </c>
      <c r="D24">
        <v>52</v>
      </c>
      <c r="E24" s="20" t="s">
        <v>104</v>
      </c>
      <c r="F24" s="20">
        <v>533</v>
      </c>
      <c r="G24" s="20">
        <v>836</v>
      </c>
      <c r="H24" s="20">
        <v>841</v>
      </c>
      <c r="I24" s="20" t="s">
        <v>121</v>
      </c>
    </row>
    <row r="25" spans="1:10" x14ac:dyDescent="0.2">
      <c r="A25">
        <v>2011</v>
      </c>
      <c r="B25" s="20" t="s">
        <v>46</v>
      </c>
      <c r="C25" s="2">
        <v>40710</v>
      </c>
      <c r="D25">
        <v>52</v>
      </c>
      <c r="E25" s="20" t="s">
        <v>106</v>
      </c>
      <c r="F25" s="20">
        <v>534</v>
      </c>
      <c r="G25" s="20">
        <v>837</v>
      </c>
      <c r="H25" s="20" t="s">
        <v>122</v>
      </c>
    </row>
    <row r="26" spans="1:10" x14ac:dyDescent="0.2">
      <c r="A26">
        <v>2011</v>
      </c>
      <c r="B26" s="20" t="s">
        <v>46</v>
      </c>
      <c r="C26" s="2">
        <v>40710</v>
      </c>
      <c r="D26">
        <v>52</v>
      </c>
      <c r="E26" s="20" t="s">
        <v>107</v>
      </c>
      <c r="F26" s="20">
        <v>535</v>
      </c>
      <c r="G26" s="20" t="s">
        <v>123</v>
      </c>
      <c r="H26" s="20" t="s">
        <v>124</v>
      </c>
    </row>
    <row r="27" spans="1:10" x14ac:dyDescent="0.2">
      <c r="A27">
        <v>2011</v>
      </c>
      <c r="B27" s="20" t="s">
        <v>46</v>
      </c>
      <c r="C27" s="2">
        <v>40710</v>
      </c>
      <c r="D27">
        <v>52</v>
      </c>
      <c r="E27" s="20" t="s">
        <v>108</v>
      </c>
      <c r="F27" s="20">
        <v>536</v>
      </c>
      <c r="G27">
        <v>840</v>
      </c>
      <c r="H27" s="20">
        <v>846</v>
      </c>
    </row>
    <row r="28" spans="1:10" x14ac:dyDescent="0.2">
      <c r="A28">
        <v>2011</v>
      </c>
      <c r="B28" s="20" t="s">
        <v>46</v>
      </c>
      <c r="C28" s="2">
        <v>40717</v>
      </c>
      <c r="D28">
        <v>53</v>
      </c>
      <c r="E28" s="20" t="s">
        <v>102</v>
      </c>
      <c r="F28" s="20">
        <v>681</v>
      </c>
      <c r="G28" s="20" t="s">
        <v>125</v>
      </c>
      <c r="H28" s="20" t="s">
        <v>1</v>
      </c>
      <c r="J28" s="19"/>
    </row>
    <row r="29" spans="1:10" x14ac:dyDescent="0.2">
      <c r="A29">
        <v>2011</v>
      </c>
      <c r="B29" s="20" t="s">
        <v>46</v>
      </c>
      <c r="C29" s="2">
        <v>40717</v>
      </c>
      <c r="D29">
        <v>53</v>
      </c>
      <c r="E29" s="20" t="s">
        <v>103</v>
      </c>
      <c r="F29" s="20">
        <v>682</v>
      </c>
      <c r="G29" s="20" t="s">
        <v>1</v>
      </c>
      <c r="H29" s="20" t="s">
        <v>1</v>
      </c>
    </row>
    <row r="30" spans="1:10" x14ac:dyDescent="0.2">
      <c r="A30">
        <v>2011</v>
      </c>
      <c r="B30" s="20" t="s">
        <v>46</v>
      </c>
      <c r="C30" s="2">
        <v>40717</v>
      </c>
      <c r="D30">
        <v>53</v>
      </c>
      <c r="E30" s="20" t="s">
        <v>104</v>
      </c>
      <c r="F30" s="20">
        <v>683</v>
      </c>
      <c r="G30" s="20" t="s">
        <v>126</v>
      </c>
      <c r="H30" s="20" t="s">
        <v>127</v>
      </c>
    </row>
    <row r="31" spans="1:10" x14ac:dyDescent="0.2">
      <c r="A31">
        <v>2011</v>
      </c>
      <c r="B31" s="20" t="s">
        <v>46</v>
      </c>
      <c r="C31" s="2">
        <v>40717</v>
      </c>
      <c r="D31">
        <v>53</v>
      </c>
      <c r="E31" s="20" t="s">
        <v>106</v>
      </c>
      <c r="F31" s="20">
        <v>684</v>
      </c>
      <c r="G31">
        <v>7068</v>
      </c>
      <c r="H31">
        <v>7018</v>
      </c>
    </row>
    <row r="32" spans="1:10" x14ac:dyDescent="0.2">
      <c r="A32">
        <v>2011</v>
      </c>
      <c r="B32" s="20" t="s">
        <v>46</v>
      </c>
      <c r="C32" s="2">
        <v>40717</v>
      </c>
      <c r="D32">
        <v>53</v>
      </c>
      <c r="E32" s="20" t="s">
        <v>107</v>
      </c>
      <c r="F32" s="20">
        <v>685</v>
      </c>
      <c r="G32">
        <v>7069</v>
      </c>
      <c r="H32" t="s">
        <v>128</v>
      </c>
    </row>
    <row r="33" spans="1:10" x14ac:dyDescent="0.2">
      <c r="A33">
        <v>2011</v>
      </c>
      <c r="B33" s="20" t="s">
        <v>46</v>
      </c>
      <c r="C33" s="2">
        <v>40717</v>
      </c>
      <c r="D33">
        <v>53</v>
      </c>
      <c r="E33" s="20" t="s">
        <v>108</v>
      </c>
      <c r="F33" s="20">
        <v>686</v>
      </c>
      <c r="G33">
        <v>7070</v>
      </c>
      <c r="H33">
        <v>7021</v>
      </c>
    </row>
    <row r="34" spans="1:10" x14ac:dyDescent="0.2">
      <c r="A34">
        <v>2011</v>
      </c>
      <c r="B34" s="20" t="s">
        <v>46</v>
      </c>
      <c r="C34" s="2">
        <v>40717</v>
      </c>
      <c r="D34">
        <v>54</v>
      </c>
      <c r="E34" s="20" t="s">
        <v>102</v>
      </c>
      <c r="F34" t="s">
        <v>129</v>
      </c>
      <c r="G34" t="s">
        <v>130</v>
      </c>
      <c r="H34" t="s">
        <v>1</v>
      </c>
      <c r="J34" s="19"/>
    </row>
    <row r="35" spans="1:10" x14ac:dyDescent="0.2">
      <c r="A35">
        <v>2011</v>
      </c>
      <c r="B35" s="20" t="s">
        <v>46</v>
      </c>
      <c r="C35" s="2">
        <v>40717</v>
      </c>
      <c r="D35">
        <v>54</v>
      </c>
      <c r="E35" s="20" t="s">
        <v>103</v>
      </c>
      <c r="F35" s="20">
        <v>676</v>
      </c>
      <c r="G35" t="s">
        <v>1</v>
      </c>
      <c r="H35" t="s">
        <v>1</v>
      </c>
    </row>
    <row r="36" spans="1:10" x14ac:dyDescent="0.2">
      <c r="A36">
        <v>2011</v>
      </c>
      <c r="B36" s="20" t="s">
        <v>46</v>
      </c>
      <c r="C36" s="2">
        <v>40717</v>
      </c>
      <c r="D36">
        <v>54</v>
      </c>
      <c r="E36" s="20" t="s">
        <v>104</v>
      </c>
      <c r="F36" s="20">
        <v>677</v>
      </c>
      <c r="G36">
        <v>7010</v>
      </c>
      <c r="H36" t="s">
        <v>131</v>
      </c>
    </row>
    <row r="37" spans="1:10" x14ac:dyDescent="0.2">
      <c r="A37">
        <v>2011</v>
      </c>
      <c r="B37" s="20" t="s">
        <v>46</v>
      </c>
      <c r="C37" s="2">
        <v>40717</v>
      </c>
      <c r="D37">
        <v>54</v>
      </c>
      <c r="E37" s="20" t="s">
        <v>106</v>
      </c>
      <c r="F37" s="20">
        <v>678</v>
      </c>
      <c r="G37">
        <v>7011</v>
      </c>
      <c r="H37">
        <v>7007</v>
      </c>
    </row>
    <row r="38" spans="1:10" x14ac:dyDescent="0.2">
      <c r="A38">
        <v>2011</v>
      </c>
      <c r="B38" s="20" t="s">
        <v>46</v>
      </c>
      <c r="C38" s="2">
        <v>40717</v>
      </c>
      <c r="D38">
        <v>54</v>
      </c>
      <c r="E38" s="20" t="s">
        <v>107</v>
      </c>
      <c r="F38" s="20">
        <v>679</v>
      </c>
      <c r="G38">
        <v>7012</v>
      </c>
      <c r="H38">
        <v>7008</v>
      </c>
    </row>
    <row r="39" spans="1:10" x14ac:dyDescent="0.2">
      <c r="A39">
        <v>2011</v>
      </c>
      <c r="B39" s="20" t="s">
        <v>46</v>
      </c>
      <c r="C39" s="2">
        <v>40717</v>
      </c>
      <c r="D39">
        <v>54</v>
      </c>
      <c r="E39" s="20" t="s">
        <v>108</v>
      </c>
      <c r="F39" s="20">
        <v>680</v>
      </c>
      <c r="G39">
        <v>7013</v>
      </c>
      <c r="H39">
        <v>7009</v>
      </c>
    </row>
    <row r="40" spans="1:10" x14ac:dyDescent="0.2">
      <c r="A40">
        <v>2011</v>
      </c>
      <c r="B40" s="20" t="s">
        <v>46</v>
      </c>
      <c r="C40" s="2">
        <v>40724</v>
      </c>
      <c r="D40">
        <v>55</v>
      </c>
      <c r="E40" s="20" t="s">
        <v>102</v>
      </c>
      <c r="F40" s="20">
        <v>830</v>
      </c>
      <c r="G40">
        <v>7188</v>
      </c>
      <c r="H40" t="s">
        <v>1</v>
      </c>
      <c r="J40" s="19"/>
    </row>
    <row r="41" spans="1:10" x14ac:dyDescent="0.2">
      <c r="A41">
        <v>2011</v>
      </c>
      <c r="B41" s="20" t="s">
        <v>46</v>
      </c>
      <c r="C41" s="2">
        <v>40724</v>
      </c>
      <c r="D41">
        <v>55</v>
      </c>
      <c r="E41" s="20" t="s">
        <v>103</v>
      </c>
      <c r="F41" s="20">
        <v>831</v>
      </c>
      <c r="G41" t="s">
        <v>1</v>
      </c>
      <c r="H41" t="s">
        <v>1</v>
      </c>
    </row>
    <row r="42" spans="1:10" x14ac:dyDescent="0.2">
      <c r="A42">
        <v>2011</v>
      </c>
      <c r="B42" s="20" t="s">
        <v>46</v>
      </c>
      <c r="C42" s="2">
        <v>40724</v>
      </c>
      <c r="D42">
        <v>55</v>
      </c>
      <c r="E42" s="20" t="s">
        <v>104</v>
      </c>
      <c r="F42" s="20">
        <v>832</v>
      </c>
      <c r="G42">
        <v>7196</v>
      </c>
      <c r="H42">
        <v>7189</v>
      </c>
    </row>
    <row r="43" spans="1:10" x14ac:dyDescent="0.2">
      <c r="A43">
        <v>2011</v>
      </c>
      <c r="B43" s="20" t="s">
        <v>46</v>
      </c>
      <c r="C43" s="2">
        <v>40724</v>
      </c>
      <c r="D43">
        <v>55</v>
      </c>
      <c r="E43" s="20" t="s">
        <v>106</v>
      </c>
      <c r="F43" s="20">
        <v>833</v>
      </c>
      <c r="G43">
        <v>7197</v>
      </c>
      <c r="H43" t="s">
        <v>132</v>
      </c>
    </row>
    <row r="44" spans="1:10" x14ac:dyDescent="0.2">
      <c r="A44">
        <v>2011</v>
      </c>
      <c r="B44" s="20" t="s">
        <v>46</v>
      </c>
      <c r="C44" s="2">
        <v>40724</v>
      </c>
      <c r="D44">
        <v>55</v>
      </c>
      <c r="E44" s="20" t="s">
        <v>107</v>
      </c>
      <c r="F44" s="20">
        <v>834</v>
      </c>
      <c r="G44">
        <v>7198</v>
      </c>
      <c r="H44" t="s">
        <v>133</v>
      </c>
    </row>
    <row r="45" spans="1:10" x14ac:dyDescent="0.2">
      <c r="A45">
        <v>2011</v>
      </c>
      <c r="B45" s="20" t="s">
        <v>46</v>
      </c>
      <c r="C45" s="2">
        <v>40724</v>
      </c>
      <c r="D45">
        <v>55</v>
      </c>
      <c r="E45" s="20" t="s">
        <v>108</v>
      </c>
      <c r="F45" s="20">
        <v>835</v>
      </c>
      <c r="G45">
        <v>7199</v>
      </c>
      <c r="H45">
        <v>7195</v>
      </c>
    </row>
    <row r="46" spans="1:10" x14ac:dyDescent="0.2">
      <c r="A46">
        <v>2011</v>
      </c>
      <c r="B46" s="20" t="s">
        <v>46</v>
      </c>
      <c r="C46" s="2">
        <v>40757</v>
      </c>
      <c r="D46">
        <v>56</v>
      </c>
      <c r="E46" s="20" t="s">
        <v>102</v>
      </c>
      <c r="F46" s="20">
        <v>1322</v>
      </c>
      <c r="G46" s="20">
        <v>7941</v>
      </c>
      <c r="H46" t="s">
        <v>1</v>
      </c>
    </row>
    <row r="47" spans="1:10" x14ac:dyDescent="0.2">
      <c r="A47">
        <v>2011</v>
      </c>
      <c r="B47" s="20" t="s">
        <v>46</v>
      </c>
      <c r="C47" s="2">
        <v>40757</v>
      </c>
      <c r="D47">
        <v>56</v>
      </c>
      <c r="E47" s="20" t="s">
        <v>103</v>
      </c>
      <c r="F47" s="20">
        <v>1323</v>
      </c>
      <c r="G47" s="20" t="s">
        <v>1</v>
      </c>
      <c r="H47" t="s">
        <v>1</v>
      </c>
    </row>
    <row r="48" spans="1:10" x14ac:dyDescent="0.2">
      <c r="A48">
        <v>2011</v>
      </c>
      <c r="B48" s="20" t="s">
        <v>46</v>
      </c>
      <c r="C48" s="2">
        <v>40757</v>
      </c>
      <c r="D48">
        <v>56</v>
      </c>
      <c r="E48" s="20" t="s">
        <v>104</v>
      </c>
      <c r="F48" s="20">
        <v>1324</v>
      </c>
      <c r="G48" t="s">
        <v>134</v>
      </c>
      <c r="H48">
        <v>7942</v>
      </c>
    </row>
    <row r="49" spans="1:10" x14ac:dyDescent="0.2">
      <c r="A49">
        <v>2011</v>
      </c>
      <c r="B49" s="20" t="s">
        <v>46</v>
      </c>
      <c r="C49" s="2">
        <v>40757</v>
      </c>
      <c r="D49">
        <v>56</v>
      </c>
      <c r="E49" s="20" t="s">
        <v>106</v>
      </c>
      <c r="F49" s="20">
        <v>1325</v>
      </c>
      <c r="G49" t="s">
        <v>135</v>
      </c>
      <c r="H49">
        <v>7943</v>
      </c>
      <c r="I49" t="s">
        <v>136</v>
      </c>
    </row>
    <row r="50" spans="1:10" x14ac:dyDescent="0.2">
      <c r="A50">
        <v>2011</v>
      </c>
      <c r="B50" s="20" t="s">
        <v>46</v>
      </c>
      <c r="C50" s="2">
        <v>40757</v>
      </c>
      <c r="D50">
        <v>56</v>
      </c>
      <c r="E50" s="20" t="s">
        <v>107</v>
      </c>
      <c r="F50" s="20">
        <v>1326</v>
      </c>
      <c r="G50" t="s">
        <v>137</v>
      </c>
      <c r="H50">
        <v>7944</v>
      </c>
    </row>
    <row r="51" spans="1:10" x14ac:dyDescent="0.2">
      <c r="A51">
        <v>2011</v>
      </c>
      <c r="B51" s="20" t="s">
        <v>46</v>
      </c>
      <c r="C51" s="2">
        <v>40757</v>
      </c>
      <c r="D51">
        <v>56</v>
      </c>
      <c r="E51" s="20" t="s">
        <v>108</v>
      </c>
      <c r="F51" s="20">
        <v>1327</v>
      </c>
      <c r="G51">
        <v>7957</v>
      </c>
      <c r="H51">
        <v>7945</v>
      </c>
    </row>
    <row r="52" spans="1:10" x14ac:dyDescent="0.2">
      <c r="A52">
        <v>2011</v>
      </c>
      <c r="B52" s="20" t="s">
        <v>46</v>
      </c>
      <c r="C52" s="2">
        <v>40757</v>
      </c>
      <c r="D52">
        <v>57</v>
      </c>
      <c r="E52" s="20" t="s">
        <v>102</v>
      </c>
      <c r="F52" s="20">
        <v>1342</v>
      </c>
      <c r="G52">
        <v>7967</v>
      </c>
      <c r="H52" t="s">
        <v>1</v>
      </c>
    </row>
    <row r="53" spans="1:10" x14ac:dyDescent="0.2">
      <c r="A53">
        <v>2011</v>
      </c>
      <c r="B53" s="20" t="s">
        <v>46</v>
      </c>
      <c r="C53" s="2">
        <v>40757</v>
      </c>
      <c r="D53">
        <v>57</v>
      </c>
      <c r="E53" s="20" t="s">
        <v>103</v>
      </c>
      <c r="F53" s="20">
        <v>1343</v>
      </c>
      <c r="G53" t="s">
        <v>1</v>
      </c>
      <c r="H53" t="s">
        <v>1</v>
      </c>
    </row>
    <row r="54" spans="1:10" x14ac:dyDescent="0.2">
      <c r="A54">
        <v>2011</v>
      </c>
      <c r="B54" s="20" t="s">
        <v>46</v>
      </c>
      <c r="C54" s="2">
        <v>40757</v>
      </c>
      <c r="D54">
        <v>57</v>
      </c>
      <c r="E54" s="20" t="s">
        <v>104</v>
      </c>
      <c r="F54" s="20">
        <v>1344</v>
      </c>
      <c r="G54">
        <v>7972</v>
      </c>
      <c r="H54">
        <v>7968</v>
      </c>
    </row>
    <row r="55" spans="1:10" x14ac:dyDescent="0.2">
      <c r="A55">
        <v>2011</v>
      </c>
      <c r="B55" s="20" t="s">
        <v>46</v>
      </c>
      <c r="C55" s="2">
        <v>40757</v>
      </c>
      <c r="D55">
        <v>57</v>
      </c>
      <c r="E55" s="20" t="s">
        <v>106</v>
      </c>
      <c r="F55" t="s">
        <v>138</v>
      </c>
      <c r="G55">
        <v>7973</v>
      </c>
      <c r="H55">
        <v>7969</v>
      </c>
    </row>
    <row r="56" spans="1:10" x14ac:dyDescent="0.2">
      <c r="A56">
        <v>2011</v>
      </c>
      <c r="B56" s="20" t="s">
        <v>46</v>
      </c>
      <c r="C56" s="2">
        <v>40757</v>
      </c>
      <c r="D56">
        <v>57</v>
      </c>
      <c r="E56" s="20" t="s">
        <v>107</v>
      </c>
      <c r="F56" s="20">
        <v>1347</v>
      </c>
      <c r="G56">
        <v>7974</v>
      </c>
      <c r="H56">
        <v>7970</v>
      </c>
    </row>
    <row r="57" spans="1:10" x14ac:dyDescent="0.2">
      <c r="A57">
        <v>2011</v>
      </c>
      <c r="B57" s="20" t="s">
        <v>46</v>
      </c>
      <c r="C57" s="2">
        <v>40757</v>
      </c>
      <c r="D57">
        <v>57</v>
      </c>
      <c r="E57" s="20" t="s">
        <v>108</v>
      </c>
      <c r="F57" s="20">
        <v>1348</v>
      </c>
      <c r="G57">
        <v>7975</v>
      </c>
      <c r="H57">
        <v>7971</v>
      </c>
    </row>
    <row r="58" spans="1:10" x14ac:dyDescent="0.2">
      <c r="A58">
        <v>2011</v>
      </c>
      <c r="B58" s="20" t="s">
        <v>46</v>
      </c>
      <c r="C58" s="2">
        <v>40757</v>
      </c>
      <c r="D58">
        <v>58</v>
      </c>
      <c r="E58" s="20" t="s">
        <v>102</v>
      </c>
      <c r="F58" s="20">
        <v>1336</v>
      </c>
      <c r="G58">
        <v>7958</v>
      </c>
      <c r="H58" t="s">
        <v>1</v>
      </c>
    </row>
    <row r="59" spans="1:10" x14ac:dyDescent="0.2">
      <c r="A59">
        <v>2011</v>
      </c>
      <c r="B59" s="20" t="s">
        <v>46</v>
      </c>
      <c r="C59" s="2">
        <v>40757</v>
      </c>
      <c r="D59">
        <v>58</v>
      </c>
      <c r="E59" s="20" t="s">
        <v>103</v>
      </c>
      <c r="F59" s="20">
        <v>1337</v>
      </c>
      <c r="G59" t="s">
        <v>1</v>
      </c>
      <c r="H59" t="s">
        <v>1</v>
      </c>
    </row>
    <row r="60" spans="1:10" x14ac:dyDescent="0.2">
      <c r="A60">
        <v>2011</v>
      </c>
      <c r="B60" s="20" t="s">
        <v>46</v>
      </c>
      <c r="C60" s="2">
        <v>40757</v>
      </c>
      <c r="D60">
        <v>58</v>
      </c>
      <c r="E60" s="20" t="s">
        <v>104</v>
      </c>
      <c r="F60" s="20">
        <v>1338</v>
      </c>
      <c r="G60">
        <v>7963</v>
      </c>
      <c r="H60">
        <v>7959</v>
      </c>
    </row>
    <row r="61" spans="1:10" x14ac:dyDescent="0.2">
      <c r="A61">
        <v>2011</v>
      </c>
      <c r="B61" s="20" t="s">
        <v>46</v>
      </c>
      <c r="C61" s="2">
        <v>40757</v>
      </c>
      <c r="D61">
        <v>58</v>
      </c>
      <c r="E61" s="20" t="s">
        <v>106</v>
      </c>
      <c r="F61" s="20">
        <v>1339</v>
      </c>
      <c r="G61">
        <v>7964</v>
      </c>
      <c r="H61">
        <v>7960</v>
      </c>
    </row>
    <row r="62" spans="1:10" x14ac:dyDescent="0.2">
      <c r="A62">
        <v>2011</v>
      </c>
      <c r="B62" s="20" t="s">
        <v>46</v>
      </c>
      <c r="C62" s="2">
        <v>40757</v>
      </c>
      <c r="D62">
        <v>58</v>
      </c>
      <c r="E62" s="20" t="s">
        <v>107</v>
      </c>
      <c r="F62" s="20">
        <v>1340</v>
      </c>
      <c r="G62">
        <v>7965</v>
      </c>
      <c r="H62">
        <v>7961</v>
      </c>
    </row>
    <row r="63" spans="1:10" x14ac:dyDescent="0.2">
      <c r="A63">
        <v>2011</v>
      </c>
      <c r="B63" s="20" t="s">
        <v>46</v>
      </c>
      <c r="C63" s="2">
        <v>40757</v>
      </c>
      <c r="D63">
        <v>58</v>
      </c>
      <c r="E63" s="20" t="s">
        <v>108</v>
      </c>
      <c r="F63" s="20">
        <v>1341</v>
      </c>
      <c r="G63">
        <v>7966</v>
      </c>
      <c r="H63">
        <v>7962</v>
      </c>
    </row>
    <row r="64" spans="1:10" x14ac:dyDescent="0.2">
      <c r="A64">
        <v>2011</v>
      </c>
      <c r="B64" s="20" t="s">
        <v>46</v>
      </c>
      <c r="C64" s="2">
        <v>40744</v>
      </c>
      <c r="D64">
        <v>59</v>
      </c>
      <c r="E64" s="20" t="s">
        <v>102</v>
      </c>
      <c r="F64" s="20">
        <v>1044</v>
      </c>
      <c r="G64" s="20">
        <v>7587</v>
      </c>
      <c r="H64" s="20" t="s">
        <v>1</v>
      </c>
      <c r="J64" s="19"/>
    </row>
    <row r="65" spans="1:10" x14ac:dyDescent="0.2">
      <c r="A65">
        <v>2011</v>
      </c>
      <c r="B65" s="20" t="s">
        <v>46</v>
      </c>
      <c r="C65" s="2">
        <v>40744</v>
      </c>
      <c r="D65">
        <v>59</v>
      </c>
      <c r="E65" s="20" t="s">
        <v>103</v>
      </c>
      <c r="F65" s="20">
        <v>1045</v>
      </c>
      <c r="G65" s="20" t="s">
        <v>1</v>
      </c>
      <c r="H65" s="20" t="s">
        <v>1</v>
      </c>
      <c r="I65" t="s">
        <v>139</v>
      </c>
    </row>
    <row r="66" spans="1:10" x14ac:dyDescent="0.2">
      <c r="A66">
        <v>2011</v>
      </c>
      <c r="B66" s="20" t="s">
        <v>46</v>
      </c>
      <c r="C66" s="2">
        <v>40744</v>
      </c>
      <c r="D66">
        <v>59</v>
      </c>
      <c r="E66" s="20" t="s">
        <v>104</v>
      </c>
      <c r="F66" s="20">
        <v>1046</v>
      </c>
      <c r="G66" s="20">
        <v>7594</v>
      </c>
      <c r="H66" s="20">
        <v>7590</v>
      </c>
    </row>
    <row r="67" spans="1:10" x14ac:dyDescent="0.2">
      <c r="A67">
        <v>2011</v>
      </c>
      <c r="B67" s="20" t="s">
        <v>46</v>
      </c>
      <c r="C67" s="2">
        <v>40744</v>
      </c>
      <c r="D67">
        <v>59</v>
      </c>
      <c r="E67" s="20" t="s">
        <v>106</v>
      </c>
      <c r="F67" t="s">
        <v>140</v>
      </c>
      <c r="G67" s="20" t="s">
        <v>141</v>
      </c>
      <c r="H67" s="20">
        <v>7591</v>
      </c>
      <c r="I67" s="20" t="s">
        <v>142</v>
      </c>
    </row>
    <row r="68" spans="1:10" x14ac:dyDescent="0.2">
      <c r="A68">
        <v>2011</v>
      </c>
      <c r="B68" s="20" t="s">
        <v>46</v>
      </c>
      <c r="C68" s="2">
        <v>40744</v>
      </c>
      <c r="D68">
        <v>59</v>
      </c>
      <c r="E68" s="20" t="s">
        <v>107</v>
      </c>
      <c r="F68" s="20">
        <v>1049</v>
      </c>
      <c r="G68" s="20">
        <v>7597</v>
      </c>
      <c r="H68" s="20">
        <v>7592</v>
      </c>
    </row>
    <row r="69" spans="1:10" x14ac:dyDescent="0.2">
      <c r="A69">
        <v>2011</v>
      </c>
      <c r="B69" s="20" t="s">
        <v>46</v>
      </c>
      <c r="C69" s="2">
        <v>40744</v>
      </c>
      <c r="D69">
        <v>59</v>
      </c>
      <c r="E69" s="20" t="s">
        <v>108</v>
      </c>
      <c r="F69" s="20">
        <v>1050</v>
      </c>
      <c r="G69" s="20">
        <v>7598</v>
      </c>
      <c r="H69" s="20">
        <v>7593</v>
      </c>
      <c r="I69" s="20"/>
    </row>
    <row r="70" spans="1:10" x14ac:dyDescent="0.2">
      <c r="A70">
        <v>2011</v>
      </c>
      <c r="B70" s="20" t="s">
        <v>46</v>
      </c>
      <c r="C70" s="2">
        <v>40744</v>
      </c>
      <c r="D70">
        <v>60</v>
      </c>
      <c r="E70" s="20" t="s">
        <v>102</v>
      </c>
      <c r="F70" s="20">
        <v>1069</v>
      </c>
      <c r="G70" s="20">
        <v>7599</v>
      </c>
      <c r="H70" s="20" t="s">
        <v>1</v>
      </c>
      <c r="J70" s="19"/>
    </row>
    <row r="71" spans="1:10" x14ac:dyDescent="0.2">
      <c r="A71">
        <v>2011</v>
      </c>
      <c r="B71" s="20" t="s">
        <v>46</v>
      </c>
      <c r="C71" s="2">
        <v>40744</v>
      </c>
      <c r="D71">
        <v>60</v>
      </c>
      <c r="E71" s="20" t="s">
        <v>103</v>
      </c>
      <c r="F71" s="20">
        <v>1070</v>
      </c>
      <c r="G71" s="20" t="s">
        <v>1</v>
      </c>
      <c r="H71" s="20" t="s">
        <v>1</v>
      </c>
    </row>
    <row r="72" spans="1:10" x14ac:dyDescent="0.2">
      <c r="A72">
        <v>2011</v>
      </c>
      <c r="B72" s="20" t="s">
        <v>46</v>
      </c>
      <c r="C72" s="2">
        <v>40744</v>
      </c>
      <c r="D72">
        <v>60</v>
      </c>
      <c r="E72" s="20" t="s">
        <v>104</v>
      </c>
      <c r="F72" s="20">
        <v>1071</v>
      </c>
      <c r="G72" s="20">
        <v>7600</v>
      </c>
      <c r="H72" s="20">
        <v>7604</v>
      </c>
    </row>
    <row r="73" spans="1:10" x14ac:dyDescent="0.2">
      <c r="A73">
        <v>2011</v>
      </c>
      <c r="B73" s="20" t="s">
        <v>46</v>
      </c>
      <c r="C73" s="2">
        <v>40744</v>
      </c>
      <c r="D73">
        <v>60</v>
      </c>
      <c r="E73" s="20" t="s">
        <v>106</v>
      </c>
      <c r="F73" s="20">
        <v>1072</v>
      </c>
      <c r="G73" s="20">
        <v>7601</v>
      </c>
      <c r="H73" s="20">
        <v>7605</v>
      </c>
    </row>
    <row r="74" spans="1:10" x14ac:dyDescent="0.2">
      <c r="A74">
        <v>2011</v>
      </c>
      <c r="B74" s="20" t="s">
        <v>46</v>
      </c>
      <c r="C74" s="2">
        <v>40744</v>
      </c>
      <c r="D74">
        <v>60</v>
      </c>
      <c r="E74" s="20" t="s">
        <v>107</v>
      </c>
      <c r="F74" s="20">
        <v>1073</v>
      </c>
      <c r="G74" s="20">
        <v>7602</v>
      </c>
      <c r="H74" s="20">
        <v>7606</v>
      </c>
    </row>
    <row r="75" spans="1:10" x14ac:dyDescent="0.2">
      <c r="A75">
        <v>2011</v>
      </c>
      <c r="B75" s="20" t="s">
        <v>46</v>
      </c>
      <c r="C75" s="2">
        <v>40744</v>
      </c>
      <c r="D75">
        <v>60</v>
      </c>
      <c r="E75" s="20" t="s">
        <v>108</v>
      </c>
      <c r="F75" s="20">
        <v>1074</v>
      </c>
      <c r="G75" s="20">
        <v>7603</v>
      </c>
      <c r="H75" s="20">
        <v>7607</v>
      </c>
    </row>
    <row r="76" spans="1:10" x14ac:dyDescent="0.2">
      <c r="A76">
        <v>2011</v>
      </c>
      <c r="B76" s="20" t="s">
        <v>46</v>
      </c>
      <c r="C76" s="2">
        <v>40710</v>
      </c>
      <c r="D76">
        <v>94</v>
      </c>
      <c r="E76" s="20" t="s">
        <v>102</v>
      </c>
      <c r="F76" t="s">
        <v>143</v>
      </c>
      <c r="G76">
        <v>820</v>
      </c>
      <c r="H76" t="s">
        <v>1</v>
      </c>
      <c r="J76" s="19"/>
    </row>
    <row r="77" spans="1:10" x14ac:dyDescent="0.2">
      <c r="A77">
        <v>2011</v>
      </c>
      <c r="B77" s="20" t="s">
        <v>46</v>
      </c>
      <c r="C77" s="2">
        <v>40710</v>
      </c>
      <c r="D77">
        <v>94</v>
      </c>
      <c r="E77" s="20" t="s">
        <v>103</v>
      </c>
      <c r="F77" s="20">
        <v>525</v>
      </c>
      <c r="G77" t="s">
        <v>1</v>
      </c>
      <c r="H77" t="s">
        <v>1</v>
      </c>
    </row>
    <row r="78" spans="1:10" x14ac:dyDescent="0.2">
      <c r="A78">
        <v>2011</v>
      </c>
      <c r="B78" s="20" t="s">
        <v>46</v>
      </c>
      <c r="C78" s="2">
        <v>40710</v>
      </c>
      <c r="D78">
        <v>94</v>
      </c>
      <c r="E78" s="20" t="s">
        <v>104</v>
      </c>
      <c r="F78" t="s">
        <v>144</v>
      </c>
      <c r="G78">
        <v>826</v>
      </c>
      <c r="H78" t="s">
        <v>145</v>
      </c>
      <c r="I78" t="s">
        <v>146</v>
      </c>
    </row>
    <row r="79" spans="1:10" x14ac:dyDescent="0.2">
      <c r="A79">
        <v>2011</v>
      </c>
      <c r="B79" s="20" t="s">
        <v>46</v>
      </c>
      <c r="C79" s="2">
        <v>40710</v>
      </c>
      <c r="D79">
        <v>94</v>
      </c>
      <c r="E79" s="20" t="s">
        <v>106</v>
      </c>
      <c r="F79" s="20">
        <v>528</v>
      </c>
      <c r="G79" t="s">
        <v>147</v>
      </c>
      <c r="H79">
        <v>822</v>
      </c>
    </row>
    <row r="80" spans="1:10" x14ac:dyDescent="0.2">
      <c r="A80">
        <v>2011</v>
      </c>
      <c r="B80" s="20" t="s">
        <v>46</v>
      </c>
      <c r="C80" s="2">
        <v>40710</v>
      </c>
      <c r="D80">
        <v>94</v>
      </c>
      <c r="E80" s="20" t="s">
        <v>107</v>
      </c>
      <c r="F80" s="20">
        <v>529</v>
      </c>
      <c r="G80">
        <v>828</v>
      </c>
      <c r="H80">
        <v>823</v>
      </c>
    </row>
    <row r="81" spans="1:10" x14ac:dyDescent="0.2">
      <c r="A81">
        <v>2011</v>
      </c>
      <c r="B81" s="20" t="s">
        <v>46</v>
      </c>
      <c r="C81" s="2">
        <v>40710</v>
      </c>
      <c r="D81">
        <v>94</v>
      </c>
      <c r="E81" s="20" t="s">
        <v>108</v>
      </c>
      <c r="F81" s="20">
        <v>530</v>
      </c>
      <c r="G81">
        <v>829</v>
      </c>
      <c r="H81">
        <v>824</v>
      </c>
      <c r="I81" t="s">
        <v>148</v>
      </c>
    </row>
    <row r="82" spans="1:10" x14ac:dyDescent="0.2">
      <c r="A82">
        <v>2011</v>
      </c>
      <c r="B82" s="20" t="s">
        <v>46</v>
      </c>
      <c r="C82" s="2">
        <v>40710</v>
      </c>
      <c r="D82">
        <v>95</v>
      </c>
      <c r="E82" s="20" t="s">
        <v>102</v>
      </c>
      <c r="F82" t="s">
        <v>149</v>
      </c>
      <c r="G82" s="36">
        <v>6808</v>
      </c>
      <c r="H82" t="s">
        <v>1</v>
      </c>
      <c r="J82" s="19"/>
    </row>
    <row r="83" spans="1:10" x14ac:dyDescent="0.2">
      <c r="A83">
        <v>2011</v>
      </c>
      <c r="B83" s="20" t="s">
        <v>46</v>
      </c>
      <c r="C83" s="2">
        <v>40710</v>
      </c>
      <c r="D83">
        <v>95</v>
      </c>
      <c r="E83" s="20" t="s">
        <v>103</v>
      </c>
      <c r="F83" t="s">
        <v>150</v>
      </c>
      <c r="G83" t="s">
        <v>1</v>
      </c>
      <c r="H83" t="s">
        <v>1</v>
      </c>
    </row>
    <row r="84" spans="1:10" x14ac:dyDescent="0.2">
      <c r="A84">
        <v>2011</v>
      </c>
      <c r="B84" s="20" t="s">
        <v>46</v>
      </c>
      <c r="C84" s="2">
        <v>40710</v>
      </c>
      <c r="D84">
        <v>95</v>
      </c>
      <c r="E84" s="20" t="s">
        <v>104</v>
      </c>
      <c r="F84" s="20">
        <v>519</v>
      </c>
      <c r="G84">
        <v>814</v>
      </c>
      <c r="H84">
        <v>6809</v>
      </c>
    </row>
    <row r="85" spans="1:10" x14ac:dyDescent="0.2">
      <c r="A85">
        <v>2011</v>
      </c>
      <c r="B85" s="20" t="s">
        <v>46</v>
      </c>
      <c r="C85" s="2">
        <v>40710</v>
      </c>
      <c r="D85">
        <v>95</v>
      </c>
      <c r="E85" s="20" t="s">
        <v>106</v>
      </c>
      <c r="F85" s="20">
        <v>520</v>
      </c>
      <c r="G85">
        <v>815</v>
      </c>
      <c r="H85">
        <v>6810</v>
      </c>
    </row>
    <row r="86" spans="1:10" x14ac:dyDescent="0.2">
      <c r="A86">
        <v>2011</v>
      </c>
      <c r="B86" s="20" t="s">
        <v>46</v>
      </c>
      <c r="C86" s="2">
        <v>40710</v>
      </c>
      <c r="D86">
        <v>95</v>
      </c>
      <c r="E86" s="20" t="s">
        <v>107</v>
      </c>
      <c r="F86" s="20">
        <v>521</v>
      </c>
      <c r="G86" t="s">
        <v>151</v>
      </c>
      <c r="H86" t="s">
        <v>152</v>
      </c>
    </row>
    <row r="87" spans="1:10" x14ac:dyDescent="0.2">
      <c r="A87">
        <v>2011</v>
      </c>
      <c r="B87" s="20" t="s">
        <v>46</v>
      </c>
      <c r="C87" s="2">
        <v>40710</v>
      </c>
      <c r="D87">
        <v>95</v>
      </c>
      <c r="E87" s="20" t="s">
        <v>108</v>
      </c>
      <c r="F87" s="20">
        <v>522</v>
      </c>
      <c r="G87">
        <v>818</v>
      </c>
      <c r="H87">
        <v>6813</v>
      </c>
    </row>
    <row r="88" spans="1:10" x14ac:dyDescent="0.2">
      <c r="A88">
        <v>2011</v>
      </c>
      <c r="B88" s="20" t="s">
        <v>46</v>
      </c>
      <c r="C88" s="2">
        <v>40710</v>
      </c>
      <c r="D88">
        <v>96</v>
      </c>
      <c r="E88" s="20" t="s">
        <v>102</v>
      </c>
      <c r="F88" t="s">
        <v>153</v>
      </c>
      <c r="G88">
        <v>6796</v>
      </c>
      <c r="H88" t="s">
        <v>1</v>
      </c>
      <c r="J88" s="19"/>
    </row>
    <row r="89" spans="1:10" x14ac:dyDescent="0.2">
      <c r="A89">
        <v>2011</v>
      </c>
      <c r="B89" s="20" t="s">
        <v>46</v>
      </c>
      <c r="C89" s="2">
        <v>40710</v>
      </c>
      <c r="D89">
        <v>96</v>
      </c>
      <c r="E89" s="20" t="s">
        <v>103</v>
      </c>
      <c r="F89">
        <v>501</v>
      </c>
      <c r="G89" s="20" t="s">
        <v>1</v>
      </c>
      <c r="H89" s="20" t="s">
        <v>1</v>
      </c>
    </row>
    <row r="90" spans="1:10" x14ac:dyDescent="0.2">
      <c r="A90">
        <v>2011</v>
      </c>
      <c r="B90" s="20" t="s">
        <v>46</v>
      </c>
      <c r="C90" s="2">
        <v>40710</v>
      </c>
      <c r="D90">
        <v>96</v>
      </c>
      <c r="E90" s="20" t="s">
        <v>104</v>
      </c>
      <c r="F90">
        <v>502</v>
      </c>
      <c r="G90" s="20">
        <v>6803</v>
      </c>
      <c r="H90">
        <v>6797</v>
      </c>
      <c r="I90" s="20"/>
    </row>
    <row r="91" spans="1:10" x14ac:dyDescent="0.2">
      <c r="A91">
        <v>2011</v>
      </c>
      <c r="B91" s="20" t="s">
        <v>46</v>
      </c>
      <c r="C91" s="2">
        <v>40710</v>
      </c>
      <c r="D91">
        <v>96</v>
      </c>
      <c r="E91" s="20" t="s">
        <v>106</v>
      </c>
      <c r="F91">
        <v>503</v>
      </c>
      <c r="G91" s="20" t="s">
        <v>154</v>
      </c>
      <c r="H91" t="s">
        <v>155</v>
      </c>
      <c r="I91" s="20"/>
    </row>
    <row r="92" spans="1:10" x14ac:dyDescent="0.2">
      <c r="A92">
        <v>2011</v>
      </c>
      <c r="B92" s="20" t="s">
        <v>46</v>
      </c>
      <c r="C92" s="2">
        <v>40710</v>
      </c>
      <c r="D92">
        <v>96</v>
      </c>
      <c r="E92" s="20" t="s">
        <v>107</v>
      </c>
      <c r="F92">
        <v>504</v>
      </c>
      <c r="G92" s="20">
        <v>6806</v>
      </c>
      <c r="H92">
        <v>6801</v>
      </c>
    </row>
    <row r="93" spans="1:10" x14ac:dyDescent="0.2">
      <c r="A93">
        <v>2011</v>
      </c>
      <c r="B93" s="20" t="s">
        <v>46</v>
      </c>
      <c r="C93" s="2">
        <v>40710</v>
      </c>
      <c r="D93">
        <v>96</v>
      </c>
      <c r="E93" s="20" t="s">
        <v>108</v>
      </c>
      <c r="F93">
        <v>505</v>
      </c>
      <c r="G93" s="20">
        <v>6807</v>
      </c>
      <c r="H93">
        <v>6802</v>
      </c>
    </row>
    <row r="94" spans="1:10" x14ac:dyDescent="0.2">
      <c r="A94">
        <v>2011</v>
      </c>
      <c r="B94" s="20" t="s">
        <v>46</v>
      </c>
      <c r="C94" s="2">
        <v>40751</v>
      </c>
      <c r="D94">
        <v>97</v>
      </c>
      <c r="E94" s="20" t="s">
        <v>102</v>
      </c>
      <c r="F94" s="20">
        <v>1289</v>
      </c>
      <c r="G94" s="20">
        <v>7912</v>
      </c>
      <c r="H94" t="s">
        <v>1</v>
      </c>
    </row>
    <row r="95" spans="1:10" x14ac:dyDescent="0.2">
      <c r="A95">
        <v>2011</v>
      </c>
      <c r="B95" s="20" t="s">
        <v>46</v>
      </c>
      <c r="C95" s="2">
        <v>40751</v>
      </c>
      <c r="D95">
        <v>97</v>
      </c>
      <c r="E95" s="20" t="s">
        <v>103</v>
      </c>
      <c r="F95" s="20">
        <v>1290</v>
      </c>
      <c r="G95" t="s">
        <v>1</v>
      </c>
      <c r="H95" t="s">
        <v>1</v>
      </c>
    </row>
    <row r="96" spans="1:10" x14ac:dyDescent="0.2">
      <c r="A96">
        <v>2011</v>
      </c>
      <c r="B96" s="20" t="s">
        <v>46</v>
      </c>
      <c r="C96" s="2">
        <v>40751</v>
      </c>
      <c r="D96">
        <v>97</v>
      </c>
      <c r="E96" s="20" t="s">
        <v>104</v>
      </c>
      <c r="F96" s="20">
        <v>1921</v>
      </c>
      <c r="G96">
        <v>7917</v>
      </c>
      <c r="H96">
        <v>7913</v>
      </c>
    </row>
    <row r="97" spans="1:10" x14ac:dyDescent="0.2">
      <c r="A97">
        <v>2011</v>
      </c>
      <c r="B97" s="20" t="s">
        <v>46</v>
      </c>
      <c r="C97" s="2">
        <v>40751</v>
      </c>
      <c r="D97">
        <v>97</v>
      </c>
      <c r="E97" s="20" t="s">
        <v>106</v>
      </c>
      <c r="F97" s="20">
        <v>1292</v>
      </c>
      <c r="G97">
        <v>7918</v>
      </c>
      <c r="H97">
        <v>7914</v>
      </c>
    </row>
    <row r="98" spans="1:10" x14ac:dyDescent="0.2">
      <c r="A98">
        <v>2011</v>
      </c>
      <c r="B98" s="20" t="s">
        <v>46</v>
      </c>
      <c r="C98" s="2">
        <v>40751</v>
      </c>
      <c r="D98">
        <v>97</v>
      </c>
      <c r="E98" s="20" t="s">
        <v>107</v>
      </c>
      <c r="F98" s="20">
        <v>1293</v>
      </c>
      <c r="G98">
        <v>7919</v>
      </c>
      <c r="H98">
        <v>7915</v>
      </c>
    </row>
    <row r="99" spans="1:10" x14ac:dyDescent="0.2">
      <c r="A99">
        <v>2011</v>
      </c>
      <c r="B99" s="20" t="s">
        <v>46</v>
      </c>
      <c r="C99" s="2">
        <v>40751</v>
      </c>
      <c r="D99">
        <v>97</v>
      </c>
      <c r="E99" s="20" t="s">
        <v>108</v>
      </c>
      <c r="F99" s="20">
        <v>1294</v>
      </c>
      <c r="G99">
        <v>7920</v>
      </c>
      <c r="H99">
        <v>7916</v>
      </c>
    </row>
    <row r="100" spans="1:10" x14ac:dyDescent="0.2">
      <c r="A100">
        <v>2011</v>
      </c>
      <c r="B100" s="20" t="s">
        <v>46</v>
      </c>
      <c r="C100" s="2">
        <v>40757</v>
      </c>
      <c r="D100">
        <v>98</v>
      </c>
      <c r="E100" s="20" t="s">
        <v>102</v>
      </c>
      <c r="F100" s="20">
        <v>1303</v>
      </c>
      <c r="G100">
        <v>7931</v>
      </c>
      <c r="H100" t="s">
        <v>1</v>
      </c>
    </row>
    <row r="101" spans="1:10" x14ac:dyDescent="0.2">
      <c r="A101">
        <v>2011</v>
      </c>
      <c r="B101" s="20" t="s">
        <v>46</v>
      </c>
      <c r="C101" s="2">
        <v>40757</v>
      </c>
      <c r="D101">
        <v>98</v>
      </c>
      <c r="E101" s="20" t="s">
        <v>103</v>
      </c>
      <c r="F101" s="20">
        <v>1304</v>
      </c>
      <c r="G101" t="s">
        <v>1</v>
      </c>
      <c r="H101" t="s">
        <v>1</v>
      </c>
    </row>
    <row r="102" spans="1:10" x14ac:dyDescent="0.2">
      <c r="A102">
        <v>2011</v>
      </c>
      <c r="B102" s="20" t="s">
        <v>46</v>
      </c>
      <c r="C102" s="2">
        <v>40757</v>
      </c>
      <c r="D102">
        <v>98</v>
      </c>
      <c r="E102" s="20" t="s">
        <v>104</v>
      </c>
      <c r="F102" s="20">
        <v>1305</v>
      </c>
      <c r="G102">
        <v>7937</v>
      </c>
      <c r="H102">
        <v>7932</v>
      </c>
    </row>
    <row r="103" spans="1:10" x14ac:dyDescent="0.2">
      <c r="A103">
        <v>2011</v>
      </c>
      <c r="B103" s="20" t="s">
        <v>46</v>
      </c>
      <c r="C103" s="2">
        <v>40757</v>
      </c>
      <c r="D103">
        <v>98</v>
      </c>
      <c r="E103" s="20" t="s">
        <v>106</v>
      </c>
      <c r="F103" s="20">
        <v>1306</v>
      </c>
      <c r="G103">
        <v>7938</v>
      </c>
      <c r="H103">
        <v>7933</v>
      </c>
    </row>
    <row r="104" spans="1:10" x14ac:dyDescent="0.2">
      <c r="A104">
        <v>2011</v>
      </c>
      <c r="B104" s="20" t="s">
        <v>46</v>
      </c>
      <c r="C104" s="2">
        <v>40757</v>
      </c>
      <c r="D104">
        <v>98</v>
      </c>
      <c r="E104" s="20" t="s">
        <v>107</v>
      </c>
      <c r="F104" s="20">
        <v>1307</v>
      </c>
      <c r="G104">
        <v>7939</v>
      </c>
      <c r="H104" t="s">
        <v>156</v>
      </c>
    </row>
    <row r="105" spans="1:10" x14ac:dyDescent="0.2">
      <c r="A105">
        <v>2011</v>
      </c>
      <c r="B105" s="20" t="s">
        <v>46</v>
      </c>
      <c r="C105" s="2">
        <v>40757</v>
      </c>
      <c r="D105">
        <v>98</v>
      </c>
      <c r="E105" s="20" t="s">
        <v>108</v>
      </c>
      <c r="F105" s="20">
        <v>1308</v>
      </c>
      <c r="G105">
        <v>7940</v>
      </c>
      <c r="H105">
        <v>7936</v>
      </c>
    </row>
    <row r="106" spans="1:10" x14ac:dyDescent="0.2">
      <c r="A106">
        <v>2011</v>
      </c>
      <c r="B106" s="20" t="s">
        <v>46</v>
      </c>
      <c r="C106" s="2">
        <v>40751</v>
      </c>
      <c r="D106">
        <v>99</v>
      </c>
      <c r="E106" s="20" t="s">
        <v>102</v>
      </c>
      <c r="F106" t="s">
        <v>157</v>
      </c>
      <c r="G106">
        <v>7921</v>
      </c>
      <c r="H106" t="s">
        <v>1</v>
      </c>
    </row>
    <row r="107" spans="1:10" x14ac:dyDescent="0.2">
      <c r="A107">
        <v>2011</v>
      </c>
      <c r="B107" s="20" t="s">
        <v>46</v>
      </c>
      <c r="C107" s="2">
        <v>40751</v>
      </c>
      <c r="D107">
        <v>99</v>
      </c>
      <c r="E107" s="20" t="s">
        <v>103</v>
      </c>
      <c r="F107" s="20">
        <v>1298</v>
      </c>
      <c r="G107" t="s">
        <v>1</v>
      </c>
      <c r="H107" t="s">
        <v>1</v>
      </c>
    </row>
    <row r="108" spans="1:10" x14ac:dyDescent="0.2">
      <c r="A108">
        <v>2011</v>
      </c>
      <c r="B108" s="20" t="s">
        <v>46</v>
      </c>
      <c r="C108" s="2">
        <v>40751</v>
      </c>
      <c r="D108">
        <v>99</v>
      </c>
      <c r="E108" s="20" t="s">
        <v>104</v>
      </c>
      <c r="F108" s="20">
        <v>1299</v>
      </c>
      <c r="G108">
        <v>7922</v>
      </c>
      <c r="H108">
        <v>7927</v>
      </c>
    </row>
    <row r="109" spans="1:10" x14ac:dyDescent="0.2">
      <c r="A109">
        <v>2011</v>
      </c>
      <c r="B109" s="20" t="s">
        <v>46</v>
      </c>
      <c r="C109" s="2">
        <v>40751</v>
      </c>
      <c r="D109">
        <v>99</v>
      </c>
      <c r="E109" s="20" t="s">
        <v>106</v>
      </c>
      <c r="F109" s="20">
        <v>1300</v>
      </c>
      <c r="G109">
        <v>7923</v>
      </c>
      <c r="H109">
        <v>7928</v>
      </c>
    </row>
    <row r="110" spans="1:10" x14ac:dyDescent="0.2">
      <c r="A110">
        <v>2011</v>
      </c>
      <c r="B110" s="20" t="s">
        <v>46</v>
      </c>
      <c r="C110" s="2">
        <v>40751</v>
      </c>
      <c r="D110">
        <v>99</v>
      </c>
      <c r="E110" s="20" t="s">
        <v>107</v>
      </c>
      <c r="F110" s="20">
        <v>1301</v>
      </c>
      <c r="G110" t="s">
        <v>158</v>
      </c>
      <c r="H110">
        <v>7929</v>
      </c>
    </row>
    <row r="111" spans="1:10" x14ac:dyDescent="0.2">
      <c r="A111">
        <v>2011</v>
      </c>
      <c r="B111" s="20" t="s">
        <v>46</v>
      </c>
      <c r="C111" s="2">
        <v>40751</v>
      </c>
      <c r="D111">
        <v>99</v>
      </c>
      <c r="E111" s="20" t="s">
        <v>108</v>
      </c>
      <c r="F111" s="20">
        <v>1302</v>
      </c>
      <c r="G111">
        <v>7926</v>
      </c>
      <c r="H111">
        <v>7930</v>
      </c>
    </row>
    <row r="112" spans="1:10" x14ac:dyDescent="0.2">
      <c r="A112">
        <v>2011</v>
      </c>
      <c r="B112" s="20" t="s">
        <v>46</v>
      </c>
      <c r="C112" s="2">
        <v>40724</v>
      </c>
      <c r="D112">
        <v>100</v>
      </c>
      <c r="E112" s="20" t="s">
        <v>102</v>
      </c>
      <c r="F112" s="20">
        <v>822</v>
      </c>
      <c r="G112" s="20">
        <v>7178</v>
      </c>
      <c r="H112" s="20" t="s">
        <v>1</v>
      </c>
      <c r="I112" s="20"/>
      <c r="J112" s="19"/>
    </row>
    <row r="113" spans="1:10" x14ac:dyDescent="0.2">
      <c r="A113">
        <v>2011</v>
      </c>
      <c r="B113" s="20" t="s">
        <v>46</v>
      </c>
      <c r="C113" s="2">
        <v>40724</v>
      </c>
      <c r="D113">
        <v>100</v>
      </c>
      <c r="E113" s="20" t="s">
        <v>103</v>
      </c>
      <c r="F113" s="20">
        <v>823</v>
      </c>
      <c r="G113" s="20" t="s">
        <v>1</v>
      </c>
      <c r="H113" s="20" t="s">
        <v>1</v>
      </c>
    </row>
    <row r="114" spans="1:10" x14ac:dyDescent="0.2">
      <c r="A114">
        <v>2011</v>
      </c>
      <c r="B114" s="20" t="s">
        <v>46</v>
      </c>
      <c r="C114" s="2">
        <v>40724</v>
      </c>
      <c r="D114">
        <v>100</v>
      </c>
      <c r="E114" s="20" t="s">
        <v>104</v>
      </c>
      <c r="F114" s="20">
        <v>824</v>
      </c>
      <c r="G114">
        <v>7184</v>
      </c>
      <c r="H114" s="20" t="s">
        <v>159</v>
      </c>
    </row>
    <row r="115" spans="1:10" x14ac:dyDescent="0.2">
      <c r="A115">
        <v>2011</v>
      </c>
      <c r="B115" s="20" t="s">
        <v>46</v>
      </c>
      <c r="C115" s="2">
        <v>40724</v>
      </c>
      <c r="D115">
        <v>100</v>
      </c>
      <c r="E115" s="20" t="s">
        <v>106</v>
      </c>
      <c r="F115" s="20">
        <v>825</v>
      </c>
      <c r="G115">
        <v>7185</v>
      </c>
      <c r="H115" s="20">
        <v>7181</v>
      </c>
    </row>
    <row r="116" spans="1:10" x14ac:dyDescent="0.2">
      <c r="A116">
        <v>2011</v>
      </c>
      <c r="B116" s="20" t="s">
        <v>46</v>
      </c>
      <c r="C116" s="2">
        <v>40724</v>
      </c>
      <c r="D116">
        <v>100</v>
      </c>
      <c r="E116" s="20" t="s">
        <v>107</v>
      </c>
      <c r="F116" t="s">
        <v>160</v>
      </c>
      <c r="G116">
        <v>7186</v>
      </c>
      <c r="H116" s="20">
        <v>7182</v>
      </c>
    </row>
    <row r="117" spans="1:10" x14ac:dyDescent="0.2">
      <c r="A117">
        <v>2011</v>
      </c>
      <c r="B117" s="20" t="s">
        <v>46</v>
      </c>
      <c r="C117" s="2">
        <v>40724</v>
      </c>
      <c r="D117">
        <v>100</v>
      </c>
      <c r="E117" s="20" t="s">
        <v>108</v>
      </c>
      <c r="F117" s="20">
        <v>829</v>
      </c>
      <c r="G117">
        <v>7187</v>
      </c>
      <c r="H117" s="20">
        <v>7183</v>
      </c>
    </row>
    <row r="118" spans="1:10" x14ac:dyDescent="0.2">
      <c r="A118">
        <v>2011</v>
      </c>
      <c r="B118" s="20" t="s">
        <v>46</v>
      </c>
      <c r="C118" s="2">
        <v>40724</v>
      </c>
      <c r="D118">
        <v>101</v>
      </c>
      <c r="E118" s="20" t="s">
        <v>102</v>
      </c>
      <c r="F118" s="20" t="s">
        <v>161</v>
      </c>
      <c r="G118">
        <v>7158</v>
      </c>
      <c r="H118" s="20" t="s">
        <v>1</v>
      </c>
      <c r="J118" s="19"/>
    </row>
    <row r="119" spans="1:10" x14ac:dyDescent="0.2">
      <c r="A119">
        <v>2011</v>
      </c>
      <c r="B119" s="20" t="s">
        <v>46</v>
      </c>
      <c r="C119" s="2">
        <v>40724</v>
      </c>
      <c r="D119">
        <v>101</v>
      </c>
      <c r="E119" s="20" t="s">
        <v>103</v>
      </c>
      <c r="F119" s="20">
        <v>795</v>
      </c>
      <c r="G119" s="20" t="s">
        <v>1</v>
      </c>
      <c r="H119" s="20" t="s">
        <v>1</v>
      </c>
    </row>
    <row r="120" spans="1:10" x14ac:dyDescent="0.2">
      <c r="A120">
        <v>2011</v>
      </c>
      <c r="B120" s="20" t="s">
        <v>46</v>
      </c>
      <c r="C120" s="2">
        <v>40724</v>
      </c>
      <c r="D120">
        <v>101</v>
      </c>
      <c r="E120" s="20" t="s">
        <v>104</v>
      </c>
      <c r="F120" s="20">
        <v>796</v>
      </c>
      <c r="G120" s="20">
        <v>7163</v>
      </c>
      <c r="H120" s="20">
        <v>7159</v>
      </c>
      <c r="I120" s="20"/>
    </row>
    <row r="121" spans="1:10" x14ac:dyDescent="0.2">
      <c r="A121">
        <v>2011</v>
      </c>
      <c r="B121" s="20" t="s">
        <v>46</v>
      </c>
      <c r="C121" s="2">
        <v>40724</v>
      </c>
      <c r="D121">
        <v>101</v>
      </c>
      <c r="E121" s="20" t="s">
        <v>106</v>
      </c>
      <c r="F121" s="20">
        <v>797</v>
      </c>
      <c r="G121" s="20">
        <v>7164</v>
      </c>
      <c r="H121" s="20">
        <v>7160</v>
      </c>
    </row>
    <row r="122" spans="1:10" x14ac:dyDescent="0.2">
      <c r="A122">
        <v>2011</v>
      </c>
      <c r="B122" s="20" t="s">
        <v>46</v>
      </c>
      <c r="C122" s="2">
        <v>40724</v>
      </c>
      <c r="D122">
        <v>101</v>
      </c>
      <c r="E122" s="20" t="s">
        <v>107</v>
      </c>
      <c r="F122" s="20">
        <v>798</v>
      </c>
      <c r="G122" s="20" t="s">
        <v>162</v>
      </c>
      <c r="H122" s="20">
        <v>7161</v>
      </c>
    </row>
    <row r="123" spans="1:10" x14ac:dyDescent="0.2">
      <c r="A123">
        <v>2011</v>
      </c>
      <c r="B123" s="20" t="s">
        <v>46</v>
      </c>
      <c r="C123" s="2">
        <v>40724</v>
      </c>
      <c r="D123">
        <v>101</v>
      </c>
      <c r="E123" s="20" t="s">
        <v>108</v>
      </c>
      <c r="F123" s="20">
        <v>799</v>
      </c>
      <c r="G123" s="20">
        <v>7167</v>
      </c>
      <c r="H123" s="20">
        <v>7162</v>
      </c>
    </row>
    <row r="124" spans="1:10" x14ac:dyDescent="0.2">
      <c r="A124">
        <v>2011</v>
      </c>
      <c r="B124" s="20" t="s">
        <v>46</v>
      </c>
      <c r="C124" s="2">
        <v>40724</v>
      </c>
      <c r="D124">
        <v>102</v>
      </c>
      <c r="E124" s="20" t="s">
        <v>102</v>
      </c>
      <c r="F124" s="20">
        <v>816</v>
      </c>
      <c r="G124" s="20">
        <v>7168</v>
      </c>
      <c r="H124" s="20" t="s">
        <v>1</v>
      </c>
      <c r="J124" s="19"/>
    </row>
    <row r="125" spans="1:10" x14ac:dyDescent="0.2">
      <c r="A125">
        <v>2011</v>
      </c>
      <c r="B125" s="20" t="s">
        <v>46</v>
      </c>
      <c r="C125" s="2">
        <v>40724</v>
      </c>
      <c r="D125">
        <v>102</v>
      </c>
      <c r="E125" s="20" t="s">
        <v>103</v>
      </c>
      <c r="F125" s="20">
        <v>817</v>
      </c>
      <c r="G125" s="20" t="s">
        <v>1</v>
      </c>
      <c r="H125" s="20" t="s">
        <v>1</v>
      </c>
    </row>
    <row r="126" spans="1:10" x14ac:dyDescent="0.2">
      <c r="A126">
        <v>2011</v>
      </c>
      <c r="B126" s="20" t="s">
        <v>46</v>
      </c>
      <c r="C126" s="2">
        <v>40724</v>
      </c>
      <c r="D126">
        <v>102</v>
      </c>
      <c r="E126" s="20" t="s">
        <v>104</v>
      </c>
      <c r="F126" s="20">
        <v>818</v>
      </c>
      <c r="G126" s="20">
        <v>7169</v>
      </c>
      <c r="H126" s="20">
        <v>7174</v>
      </c>
    </row>
    <row r="127" spans="1:10" x14ac:dyDescent="0.2">
      <c r="A127">
        <v>2011</v>
      </c>
      <c r="B127" s="20" t="s">
        <v>46</v>
      </c>
      <c r="C127" s="2">
        <v>40724</v>
      </c>
      <c r="D127">
        <v>102</v>
      </c>
      <c r="E127" s="20" t="s">
        <v>106</v>
      </c>
      <c r="F127">
        <v>819</v>
      </c>
      <c r="G127" s="20">
        <v>7170</v>
      </c>
      <c r="H127" s="20">
        <v>7175</v>
      </c>
    </row>
    <row r="128" spans="1:10" x14ac:dyDescent="0.2">
      <c r="A128">
        <v>2011</v>
      </c>
      <c r="B128" s="20" t="s">
        <v>46</v>
      </c>
      <c r="C128" s="2">
        <v>40724</v>
      </c>
      <c r="D128">
        <v>102</v>
      </c>
      <c r="E128" s="20" t="s">
        <v>107</v>
      </c>
      <c r="F128" s="20">
        <v>820</v>
      </c>
      <c r="G128" s="20" t="s">
        <v>163</v>
      </c>
      <c r="H128" s="20">
        <v>7176</v>
      </c>
    </row>
    <row r="129" spans="1:10" x14ac:dyDescent="0.2">
      <c r="A129">
        <v>2011</v>
      </c>
      <c r="B129" s="20" t="s">
        <v>46</v>
      </c>
      <c r="C129" s="2">
        <v>40724</v>
      </c>
      <c r="D129">
        <v>102</v>
      </c>
      <c r="E129" s="20" t="s">
        <v>108</v>
      </c>
      <c r="F129" s="20">
        <v>821</v>
      </c>
      <c r="G129" s="20">
        <v>7173</v>
      </c>
      <c r="H129" s="20">
        <v>7177</v>
      </c>
    </row>
    <row r="130" spans="1:10" x14ac:dyDescent="0.2">
      <c r="A130">
        <v>2011</v>
      </c>
      <c r="B130" s="20" t="s">
        <v>46</v>
      </c>
      <c r="C130" s="2">
        <v>40743</v>
      </c>
      <c r="D130">
        <v>121</v>
      </c>
      <c r="E130" s="20" t="s">
        <v>102</v>
      </c>
      <c r="F130" s="20" t="s">
        <v>164</v>
      </c>
      <c r="G130" s="20">
        <v>7553</v>
      </c>
      <c r="H130" s="20" t="s">
        <v>1</v>
      </c>
      <c r="J130" s="19"/>
    </row>
    <row r="131" spans="1:10" x14ac:dyDescent="0.2">
      <c r="A131">
        <v>2011</v>
      </c>
      <c r="B131" s="20" t="s">
        <v>46</v>
      </c>
      <c r="C131" s="2">
        <v>40743</v>
      </c>
      <c r="D131">
        <v>121</v>
      </c>
      <c r="E131" s="20" t="s">
        <v>103</v>
      </c>
      <c r="F131" s="20" t="s">
        <v>165</v>
      </c>
      <c r="G131" s="20" t="s">
        <v>1</v>
      </c>
      <c r="H131" s="20" t="s">
        <v>1</v>
      </c>
      <c r="I131" s="20" t="s">
        <v>166</v>
      </c>
    </row>
    <row r="132" spans="1:10" x14ac:dyDescent="0.2">
      <c r="A132">
        <v>2011</v>
      </c>
      <c r="B132" s="20" t="s">
        <v>46</v>
      </c>
      <c r="C132" s="2">
        <v>40743</v>
      </c>
      <c r="D132">
        <v>121</v>
      </c>
      <c r="E132" s="20" t="s">
        <v>104</v>
      </c>
      <c r="F132" s="20">
        <v>1020</v>
      </c>
      <c r="G132" s="20">
        <v>7564</v>
      </c>
      <c r="H132" s="20">
        <v>7554</v>
      </c>
    </row>
    <row r="133" spans="1:10" x14ac:dyDescent="0.2">
      <c r="A133">
        <v>2011</v>
      </c>
      <c r="B133" s="20" t="s">
        <v>46</v>
      </c>
      <c r="C133" s="2">
        <v>40743</v>
      </c>
      <c r="D133">
        <v>121</v>
      </c>
      <c r="E133" s="20" t="s">
        <v>106</v>
      </c>
      <c r="F133" s="20">
        <v>1021</v>
      </c>
      <c r="G133" s="20">
        <v>7565</v>
      </c>
      <c r="H133" s="20">
        <v>7555</v>
      </c>
    </row>
    <row r="134" spans="1:10" x14ac:dyDescent="0.2">
      <c r="A134">
        <v>2011</v>
      </c>
      <c r="B134" s="20" t="s">
        <v>46</v>
      </c>
      <c r="C134" s="2">
        <v>40743</v>
      </c>
      <c r="D134">
        <v>121</v>
      </c>
      <c r="E134" s="20" t="s">
        <v>107</v>
      </c>
      <c r="F134" s="20">
        <v>1022</v>
      </c>
      <c r="G134" s="20">
        <v>7566</v>
      </c>
      <c r="H134" s="20">
        <v>7556</v>
      </c>
    </row>
    <row r="135" spans="1:10" x14ac:dyDescent="0.2">
      <c r="A135">
        <v>2011</v>
      </c>
      <c r="B135" s="20" t="s">
        <v>46</v>
      </c>
      <c r="C135" s="2">
        <v>40743</v>
      </c>
      <c r="D135">
        <v>121</v>
      </c>
      <c r="E135" s="20" t="s">
        <v>108</v>
      </c>
      <c r="F135" s="20">
        <v>1023</v>
      </c>
      <c r="G135" s="20">
        <v>7567</v>
      </c>
      <c r="H135" s="20">
        <v>7557</v>
      </c>
    </row>
    <row r="136" spans="1:10" x14ac:dyDescent="0.2">
      <c r="A136">
        <v>2011</v>
      </c>
      <c r="B136" s="20" t="s">
        <v>46</v>
      </c>
      <c r="C136" s="2">
        <v>40743</v>
      </c>
      <c r="D136">
        <v>122</v>
      </c>
      <c r="E136" s="20" t="s">
        <v>102</v>
      </c>
      <c r="F136" s="20">
        <v>1025</v>
      </c>
      <c r="G136" s="20">
        <v>7568</v>
      </c>
      <c r="H136" s="20" t="s">
        <v>1</v>
      </c>
      <c r="J136" s="19"/>
    </row>
    <row r="137" spans="1:10" x14ac:dyDescent="0.2">
      <c r="A137">
        <v>2011</v>
      </c>
      <c r="B137" s="20" t="s">
        <v>46</v>
      </c>
      <c r="C137" s="2">
        <v>40743</v>
      </c>
      <c r="D137">
        <v>122</v>
      </c>
      <c r="E137" s="20" t="s">
        <v>103</v>
      </c>
      <c r="F137" s="20">
        <v>1026</v>
      </c>
      <c r="G137" s="20" t="s">
        <v>1</v>
      </c>
      <c r="H137" s="20" t="s">
        <v>1</v>
      </c>
    </row>
    <row r="138" spans="1:10" x14ac:dyDescent="0.2">
      <c r="A138">
        <v>2011</v>
      </c>
      <c r="B138" s="20" t="s">
        <v>46</v>
      </c>
      <c r="C138" s="2">
        <v>40743</v>
      </c>
      <c r="D138">
        <v>122</v>
      </c>
      <c r="E138" s="20" t="s">
        <v>104</v>
      </c>
      <c r="F138" s="20">
        <v>1027</v>
      </c>
      <c r="G138" s="20">
        <v>7573</v>
      </c>
      <c r="H138" s="20">
        <v>7569</v>
      </c>
    </row>
    <row r="139" spans="1:10" x14ac:dyDescent="0.2">
      <c r="A139">
        <v>2011</v>
      </c>
      <c r="B139" s="20" t="s">
        <v>46</v>
      </c>
      <c r="C139" s="2">
        <v>40743</v>
      </c>
      <c r="D139">
        <v>122</v>
      </c>
      <c r="E139" s="20" t="s">
        <v>106</v>
      </c>
      <c r="F139" s="20">
        <v>1028</v>
      </c>
      <c r="G139" s="20">
        <v>7574</v>
      </c>
      <c r="H139" s="20">
        <v>7570</v>
      </c>
    </row>
    <row r="140" spans="1:10" x14ac:dyDescent="0.2">
      <c r="A140">
        <v>2011</v>
      </c>
      <c r="B140" s="20" t="s">
        <v>46</v>
      </c>
      <c r="C140" s="2">
        <v>40743</v>
      </c>
      <c r="D140">
        <v>122</v>
      </c>
      <c r="E140" s="20" t="s">
        <v>107</v>
      </c>
      <c r="F140" s="20">
        <v>1029</v>
      </c>
      <c r="G140" s="20">
        <v>7575</v>
      </c>
      <c r="H140" s="20">
        <v>7571</v>
      </c>
    </row>
    <row r="141" spans="1:10" x14ac:dyDescent="0.2">
      <c r="A141">
        <v>2011</v>
      </c>
      <c r="B141" s="20" t="s">
        <v>46</v>
      </c>
      <c r="C141" s="2">
        <v>40743</v>
      </c>
      <c r="D141">
        <v>122</v>
      </c>
      <c r="E141" s="20" t="s">
        <v>108</v>
      </c>
      <c r="F141" s="20">
        <v>1030</v>
      </c>
      <c r="G141" s="20">
        <v>7576</v>
      </c>
      <c r="H141" s="20">
        <v>7572</v>
      </c>
    </row>
    <row r="142" spans="1:10" x14ac:dyDescent="0.2">
      <c r="A142">
        <v>2011</v>
      </c>
      <c r="B142" s="20" t="s">
        <v>46</v>
      </c>
      <c r="C142" s="2">
        <v>40743</v>
      </c>
      <c r="D142">
        <v>123</v>
      </c>
      <c r="E142" s="20" t="s">
        <v>102</v>
      </c>
      <c r="F142" s="20">
        <v>1035</v>
      </c>
      <c r="G142" s="20">
        <v>7577</v>
      </c>
      <c r="H142" s="20" t="s">
        <v>1</v>
      </c>
      <c r="J142" s="19"/>
    </row>
    <row r="143" spans="1:10" x14ac:dyDescent="0.2">
      <c r="A143">
        <v>2011</v>
      </c>
      <c r="B143" s="20" t="s">
        <v>46</v>
      </c>
      <c r="C143" s="2">
        <v>40743</v>
      </c>
      <c r="D143">
        <v>123</v>
      </c>
      <c r="E143" s="20" t="s">
        <v>103</v>
      </c>
      <c r="F143" s="20">
        <v>1036</v>
      </c>
      <c r="G143" s="20" t="s">
        <v>1</v>
      </c>
      <c r="H143" s="20" t="s">
        <v>1</v>
      </c>
    </row>
    <row r="144" spans="1:10" x14ac:dyDescent="0.2">
      <c r="A144">
        <v>2011</v>
      </c>
      <c r="B144" s="20" t="s">
        <v>46</v>
      </c>
      <c r="C144" s="2">
        <v>40743</v>
      </c>
      <c r="D144">
        <v>123</v>
      </c>
      <c r="E144" s="20" t="s">
        <v>104</v>
      </c>
      <c r="F144" s="20">
        <v>1037</v>
      </c>
      <c r="G144" s="20">
        <v>7582</v>
      </c>
      <c r="H144" s="20">
        <v>7578</v>
      </c>
    </row>
    <row r="145" spans="1:8" x14ac:dyDescent="0.2">
      <c r="A145">
        <v>2011</v>
      </c>
      <c r="B145" s="20" t="s">
        <v>46</v>
      </c>
      <c r="C145" s="2">
        <v>40743</v>
      </c>
      <c r="D145">
        <v>123</v>
      </c>
      <c r="E145" s="20" t="s">
        <v>106</v>
      </c>
      <c r="F145" s="20">
        <v>1038</v>
      </c>
      <c r="G145" s="20" t="s">
        <v>167</v>
      </c>
      <c r="H145" s="20">
        <v>7579</v>
      </c>
    </row>
    <row r="146" spans="1:8" x14ac:dyDescent="0.2">
      <c r="A146">
        <v>2011</v>
      </c>
      <c r="B146" s="20" t="s">
        <v>46</v>
      </c>
      <c r="C146" s="2">
        <v>40743</v>
      </c>
      <c r="D146">
        <v>123</v>
      </c>
      <c r="E146" s="20" t="s">
        <v>107</v>
      </c>
      <c r="F146" s="20">
        <v>1039</v>
      </c>
      <c r="G146" s="20">
        <v>7585</v>
      </c>
      <c r="H146" s="20">
        <v>7580</v>
      </c>
    </row>
    <row r="147" spans="1:8" x14ac:dyDescent="0.2">
      <c r="A147">
        <v>2011</v>
      </c>
      <c r="B147" s="20" t="s">
        <v>46</v>
      </c>
      <c r="C147" s="2">
        <v>40743</v>
      </c>
      <c r="D147">
        <v>123</v>
      </c>
      <c r="E147" s="20" t="s">
        <v>108</v>
      </c>
      <c r="F147" s="20">
        <v>1040</v>
      </c>
      <c r="G147" s="20">
        <v>7586</v>
      </c>
      <c r="H147" s="20">
        <v>7581</v>
      </c>
    </row>
    <row r="148" spans="1:8" x14ac:dyDescent="0.2">
      <c r="B148" s="20"/>
      <c r="E148" s="20"/>
    </row>
    <row r="149" spans="1:8" x14ac:dyDescent="0.2">
      <c r="B149" s="20"/>
      <c r="E149" s="20"/>
    </row>
    <row r="150" spans="1:8" x14ac:dyDescent="0.2">
      <c r="B150" s="20"/>
      <c r="E150" s="20"/>
    </row>
    <row r="151" spans="1:8" x14ac:dyDescent="0.2">
      <c r="B151" s="20"/>
      <c r="E151" s="20"/>
    </row>
    <row r="152" spans="1:8" x14ac:dyDescent="0.2">
      <c r="B152" s="20"/>
      <c r="E152" s="20"/>
    </row>
    <row r="153" spans="1:8" x14ac:dyDescent="0.2">
      <c r="B153" s="20"/>
      <c r="E153" s="20"/>
    </row>
  </sheetData>
  <phoneticPr fontId="1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6"/>
  <sheetViews>
    <sheetView workbookViewId="0">
      <pane ySplit="4" topLeftCell="A5" activePane="bottomLeft" state="frozen"/>
      <selection pane="bottomLeft" activeCell="K69" sqref="K69"/>
    </sheetView>
  </sheetViews>
  <sheetFormatPr defaultRowHeight="12.75" x14ac:dyDescent="0.2"/>
  <cols>
    <col min="2" max="2" width="9.7109375" customWidth="1"/>
    <col min="3" max="3" width="9.140625" style="2" customWidth="1"/>
    <col min="5" max="5" width="21.5703125" customWidth="1"/>
    <col min="14" max="14" width="8.85546875" style="28"/>
  </cols>
  <sheetData>
    <row r="1" spans="1:14" x14ac:dyDescent="0.2">
      <c r="A1" s="2" t="s">
        <v>168</v>
      </c>
      <c r="D1" s="1"/>
      <c r="E1" s="1"/>
      <c r="F1" s="1"/>
      <c r="G1" s="1"/>
      <c r="H1" s="1"/>
      <c r="I1" s="1"/>
      <c r="J1" s="1"/>
      <c r="K1" s="1"/>
      <c r="L1" s="1"/>
    </row>
    <row r="2" spans="1:14" x14ac:dyDescent="0.2">
      <c r="A2" s="2" t="s">
        <v>169</v>
      </c>
      <c r="D2" s="1"/>
      <c r="E2" s="1"/>
      <c r="F2" s="1"/>
      <c r="G2" s="1"/>
      <c r="H2" s="1"/>
      <c r="I2" s="1"/>
      <c r="J2" s="1"/>
      <c r="K2" s="1"/>
      <c r="L2" s="1"/>
    </row>
    <row r="3" spans="1:14" x14ac:dyDescent="0.2">
      <c r="D3" s="1"/>
      <c r="E3" s="1"/>
      <c r="F3" s="1"/>
      <c r="G3" s="1"/>
      <c r="H3" s="1"/>
      <c r="I3" s="1"/>
      <c r="J3" s="1"/>
      <c r="K3" s="1"/>
      <c r="L3" s="1"/>
    </row>
    <row r="4" spans="1:14" ht="13.5" thickBot="1" x14ac:dyDescent="0.25">
      <c r="A4" s="24" t="s">
        <v>8</v>
      </c>
      <c r="B4" s="24" t="s">
        <v>9</v>
      </c>
      <c r="C4" s="11" t="s">
        <v>10</v>
      </c>
      <c r="D4" s="7" t="s">
        <v>11</v>
      </c>
      <c r="E4" s="7" t="s">
        <v>12</v>
      </c>
      <c r="F4" s="7" t="s">
        <v>170</v>
      </c>
      <c r="G4" s="21" t="s">
        <v>171</v>
      </c>
      <c r="H4" s="7" t="s">
        <v>172</v>
      </c>
      <c r="I4" s="21" t="s">
        <v>173</v>
      </c>
      <c r="J4" s="7" t="s">
        <v>174</v>
      </c>
      <c r="K4" s="21" t="s">
        <v>175</v>
      </c>
      <c r="L4" s="7" t="s">
        <v>176</v>
      </c>
      <c r="M4" s="7" t="s">
        <v>177</v>
      </c>
      <c r="N4" s="32" t="s">
        <v>45</v>
      </c>
    </row>
    <row r="5" spans="1:14" ht="13.5" thickTop="1" x14ac:dyDescent="0.2">
      <c r="A5">
        <v>2011</v>
      </c>
      <c r="B5" s="20" t="s">
        <v>46</v>
      </c>
      <c r="C5" s="2">
        <v>40722</v>
      </c>
      <c r="D5">
        <v>49</v>
      </c>
      <c r="E5" s="20" t="s">
        <v>178</v>
      </c>
      <c r="F5" s="20">
        <v>61</v>
      </c>
      <c r="G5" s="20">
        <v>70</v>
      </c>
      <c r="H5" s="20">
        <v>61</v>
      </c>
      <c r="I5" s="20">
        <v>70</v>
      </c>
      <c r="J5" s="20">
        <v>21</v>
      </c>
      <c r="K5" s="20">
        <v>30</v>
      </c>
      <c r="L5" s="20">
        <v>81</v>
      </c>
      <c r="M5" s="20">
        <v>90</v>
      </c>
    </row>
    <row r="6" spans="1:14" x14ac:dyDescent="0.2">
      <c r="A6">
        <v>2011</v>
      </c>
      <c r="B6" s="20" t="s">
        <v>46</v>
      </c>
      <c r="C6" s="2">
        <v>40722</v>
      </c>
      <c r="D6">
        <v>49</v>
      </c>
      <c r="E6" s="20" t="s">
        <v>179</v>
      </c>
      <c r="F6" s="20">
        <v>61</v>
      </c>
      <c r="G6" s="20">
        <v>70</v>
      </c>
      <c r="H6" s="20">
        <v>61</v>
      </c>
      <c r="I6" s="20">
        <v>70</v>
      </c>
      <c r="J6" s="20">
        <v>21</v>
      </c>
      <c r="K6" s="20">
        <v>30</v>
      </c>
      <c r="L6" s="20">
        <v>81</v>
      </c>
      <c r="M6" s="20">
        <v>90</v>
      </c>
    </row>
    <row r="7" spans="1:14" x14ac:dyDescent="0.2">
      <c r="A7">
        <v>2011</v>
      </c>
      <c r="B7" s="20" t="s">
        <v>46</v>
      </c>
      <c r="C7" s="2">
        <v>40722</v>
      </c>
      <c r="D7">
        <v>49</v>
      </c>
      <c r="E7" s="20" t="s">
        <v>56</v>
      </c>
      <c r="F7" s="20" t="s">
        <v>2</v>
      </c>
      <c r="G7">
        <v>0.5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4" x14ac:dyDescent="0.2">
      <c r="A8">
        <v>2011</v>
      </c>
      <c r="B8" s="20" t="s">
        <v>46</v>
      </c>
      <c r="C8" s="2">
        <v>40722</v>
      </c>
      <c r="D8">
        <v>49</v>
      </c>
      <c r="E8" s="20" t="s">
        <v>60</v>
      </c>
      <c r="F8" s="20" t="s">
        <v>2</v>
      </c>
      <c r="G8">
        <v>0.5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4" x14ac:dyDescent="0.2">
      <c r="A9">
        <v>2011</v>
      </c>
      <c r="B9" s="20" t="s">
        <v>46</v>
      </c>
      <c r="C9" s="2">
        <v>40722</v>
      </c>
      <c r="D9">
        <v>49</v>
      </c>
      <c r="E9" s="20" t="s">
        <v>52</v>
      </c>
      <c r="F9" s="20" t="s">
        <v>2</v>
      </c>
      <c r="G9">
        <v>0.5</v>
      </c>
      <c r="H9" s="20" t="s">
        <v>2</v>
      </c>
      <c r="I9">
        <v>0.5</v>
      </c>
      <c r="J9">
        <v>0</v>
      </c>
      <c r="K9">
        <v>0</v>
      </c>
      <c r="L9">
        <v>0</v>
      </c>
      <c r="M9">
        <v>0</v>
      </c>
    </row>
    <row r="10" spans="1:14" x14ac:dyDescent="0.2">
      <c r="A10">
        <v>2011</v>
      </c>
      <c r="B10" s="20" t="s">
        <v>46</v>
      </c>
      <c r="C10" s="2">
        <v>40722</v>
      </c>
      <c r="D10">
        <v>49</v>
      </c>
      <c r="E10" s="20" t="s">
        <v>180</v>
      </c>
      <c r="F10" s="20">
        <v>1</v>
      </c>
      <c r="G10" s="20">
        <v>3</v>
      </c>
      <c r="H10" s="20">
        <v>1</v>
      </c>
      <c r="I10" s="20">
        <v>3</v>
      </c>
      <c r="J10" s="20" t="s">
        <v>2</v>
      </c>
      <c r="K10" s="20">
        <v>0.5</v>
      </c>
      <c r="L10" s="20">
        <v>0</v>
      </c>
      <c r="M10" s="20">
        <v>0</v>
      </c>
    </row>
    <row r="11" spans="1:14" x14ac:dyDescent="0.2">
      <c r="A11">
        <v>2011</v>
      </c>
      <c r="B11" s="20" t="s">
        <v>46</v>
      </c>
      <c r="C11" s="2">
        <v>40711</v>
      </c>
      <c r="D11">
        <v>50</v>
      </c>
      <c r="E11" s="20" t="s">
        <v>178</v>
      </c>
      <c r="F11" s="20">
        <v>61</v>
      </c>
      <c r="G11" s="20">
        <v>70</v>
      </c>
      <c r="H11" s="20">
        <v>21</v>
      </c>
      <c r="I11" s="20">
        <v>30</v>
      </c>
      <c r="J11" s="20">
        <v>11</v>
      </c>
      <c r="K11" s="20">
        <v>15</v>
      </c>
      <c r="L11" s="20">
        <v>61</v>
      </c>
      <c r="M11" s="20">
        <v>70</v>
      </c>
    </row>
    <row r="12" spans="1:14" x14ac:dyDescent="0.2">
      <c r="A12">
        <v>2011</v>
      </c>
      <c r="B12" s="20" t="s">
        <v>46</v>
      </c>
      <c r="C12" s="2">
        <v>40711</v>
      </c>
      <c r="D12">
        <v>50</v>
      </c>
      <c r="E12" s="20" t="s">
        <v>179</v>
      </c>
      <c r="F12" s="20">
        <v>61</v>
      </c>
      <c r="G12" s="20">
        <v>70</v>
      </c>
      <c r="H12" s="20">
        <v>21</v>
      </c>
      <c r="I12" s="20">
        <v>30</v>
      </c>
      <c r="J12" s="20">
        <v>11</v>
      </c>
      <c r="K12" s="20">
        <v>15</v>
      </c>
      <c r="L12" s="20">
        <v>61</v>
      </c>
      <c r="M12" s="20">
        <v>70</v>
      </c>
    </row>
    <row r="13" spans="1:14" x14ac:dyDescent="0.2">
      <c r="A13">
        <v>2011</v>
      </c>
      <c r="B13" s="20" t="s">
        <v>46</v>
      </c>
      <c r="C13" s="2">
        <v>40711</v>
      </c>
      <c r="D13">
        <v>51</v>
      </c>
      <c r="E13" s="20" t="s">
        <v>178</v>
      </c>
      <c r="F13" s="20">
        <v>61</v>
      </c>
      <c r="G13" s="20">
        <v>70</v>
      </c>
      <c r="H13" s="20">
        <v>41</v>
      </c>
      <c r="I13" s="20">
        <v>50</v>
      </c>
      <c r="J13" s="20">
        <v>41</v>
      </c>
      <c r="K13" s="20">
        <v>50</v>
      </c>
      <c r="L13" s="20">
        <v>81</v>
      </c>
      <c r="M13" s="20">
        <v>90</v>
      </c>
    </row>
    <row r="14" spans="1:14" x14ac:dyDescent="0.2">
      <c r="A14">
        <v>2011</v>
      </c>
      <c r="B14" s="20" t="s">
        <v>46</v>
      </c>
      <c r="C14" s="2">
        <v>40711</v>
      </c>
      <c r="D14">
        <v>51</v>
      </c>
      <c r="E14" s="20" t="s">
        <v>179</v>
      </c>
      <c r="F14" s="20">
        <v>61</v>
      </c>
      <c r="G14" s="20">
        <v>70</v>
      </c>
      <c r="H14" s="20">
        <v>41</v>
      </c>
      <c r="I14" s="20">
        <v>50</v>
      </c>
      <c r="J14" s="20">
        <v>41</v>
      </c>
      <c r="K14" s="20">
        <v>50</v>
      </c>
      <c r="L14" s="20">
        <v>81</v>
      </c>
      <c r="M14" s="20">
        <v>90</v>
      </c>
    </row>
    <row r="15" spans="1:14" x14ac:dyDescent="0.2">
      <c r="A15">
        <v>2011</v>
      </c>
      <c r="B15" s="20" t="s">
        <v>46</v>
      </c>
      <c r="C15" s="2">
        <v>40711</v>
      </c>
      <c r="D15">
        <v>51</v>
      </c>
      <c r="E15" s="20" t="s">
        <v>87</v>
      </c>
      <c r="F15" s="20" t="s">
        <v>2</v>
      </c>
      <c r="G15" s="20">
        <v>0.5</v>
      </c>
      <c r="H15" s="20" t="s">
        <v>2</v>
      </c>
      <c r="I15" s="20">
        <v>0.5</v>
      </c>
      <c r="J15" s="20">
        <v>0</v>
      </c>
      <c r="K15" s="20">
        <v>0</v>
      </c>
      <c r="L15" s="20">
        <v>0</v>
      </c>
      <c r="M15" s="20">
        <v>0</v>
      </c>
    </row>
    <row r="16" spans="1:14" x14ac:dyDescent="0.2">
      <c r="A16">
        <v>2011</v>
      </c>
      <c r="B16" s="20" t="s">
        <v>46</v>
      </c>
      <c r="C16" s="2">
        <v>40710</v>
      </c>
      <c r="D16">
        <v>52</v>
      </c>
      <c r="E16" s="20" t="s">
        <v>178</v>
      </c>
      <c r="F16" s="20">
        <v>61</v>
      </c>
      <c r="G16" s="20">
        <v>70</v>
      </c>
      <c r="H16" s="20">
        <v>41</v>
      </c>
      <c r="I16" s="20">
        <v>50</v>
      </c>
      <c r="J16" s="20">
        <v>61</v>
      </c>
      <c r="K16" s="20">
        <v>70</v>
      </c>
      <c r="L16" s="20">
        <v>81</v>
      </c>
      <c r="M16" s="20">
        <v>90</v>
      </c>
    </row>
    <row r="17" spans="1:13" x14ac:dyDescent="0.2">
      <c r="A17">
        <v>2011</v>
      </c>
      <c r="B17" s="20" t="s">
        <v>46</v>
      </c>
      <c r="C17" s="2">
        <v>40710</v>
      </c>
      <c r="D17">
        <v>52</v>
      </c>
      <c r="E17" s="20" t="s">
        <v>179</v>
      </c>
      <c r="F17" s="20">
        <v>61</v>
      </c>
      <c r="G17" s="20">
        <v>70</v>
      </c>
      <c r="H17" s="20">
        <v>41</v>
      </c>
      <c r="I17" s="20">
        <v>50</v>
      </c>
      <c r="J17" s="20">
        <v>61</v>
      </c>
      <c r="K17" s="20">
        <v>70</v>
      </c>
      <c r="L17" s="20">
        <v>81</v>
      </c>
      <c r="M17" s="20">
        <v>90</v>
      </c>
    </row>
    <row r="18" spans="1:13" x14ac:dyDescent="0.2">
      <c r="A18">
        <v>2011</v>
      </c>
      <c r="B18" s="20" t="s">
        <v>46</v>
      </c>
      <c r="C18" s="2">
        <v>40710</v>
      </c>
      <c r="D18">
        <v>52</v>
      </c>
      <c r="E18" s="20" t="s">
        <v>52</v>
      </c>
      <c r="F18" s="20">
        <v>1</v>
      </c>
      <c r="G18" s="20">
        <v>3</v>
      </c>
      <c r="H18" s="20" t="s">
        <v>2</v>
      </c>
      <c r="I18" s="20">
        <v>0.5</v>
      </c>
      <c r="J18" s="20">
        <v>0</v>
      </c>
      <c r="K18" s="20">
        <v>0</v>
      </c>
      <c r="L18" s="20">
        <v>0</v>
      </c>
      <c r="M18" s="20">
        <v>0</v>
      </c>
    </row>
    <row r="19" spans="1:13" x14ac:dyDescent="0.2">
      <c r="A19">
        <v>2011</v>
      </c>
      <c r="B19" s="20" t="s">
        <v>46</v>
      </c>
      <c r="C19" s="2">
        <v>40710</v>
      </c>
      <c r="D19">
        <v>52</v>
      </c>
      <c r="E19" s="20" t="s">
        <v>87</v>
      </c>
      <c r="F19" s="20" t="s">
        <v>2</v>
      </c>
      <c r="G19" s="20">
        <v>0.5</v>
      </c>
      <c r="H19" s="20" t="s">
        <v>2</v>
      </c>
      <c r="I19" s="20">
        <v>0.5</v>
      </c>
      <c r="J19" s="20">
        <v>0</v>
      </c>
      <c r="K19" s="20">
        <v>0</v>
      </c>
      <c r="L19" s="20">
        <v>0</v>
      </c>
      <c r="M19" s="20">
        <v>0</v>
      </c>
    </row>
    <row r="20" spans="1:13" x14ac:dyDescent="0.2">
      <c r="A20">
        <v>2011</v>
      </c>
      <c r="B20" s="20" t="s">
        <v>46</v>
      </c>
      <c r="C20" s="2">
        <v>40710</v>
      </c>
      <c r="D20">
        <v>52</v>
      </c>
      <c r="E20" s="20" t="s">
        <v>60</v>
      </c>
      <c r="F20" s="20" t="s">
        <v>2</v>
      </c>
      <c r="G20" s="20">
        <v>0.5</v>
      </c>
      <c r="H20" s="20" t="s">
        <v>2</v>
      </c>
      <c r="I20" s="20">
        <v>0.5</v>
      </c>
      <c r="J20" s="20" t="s">
        <v>2</v>
      </c>
      <c r="K20" s="20">
        <v>0.5</v>
      </c>
      <c r="L20" s="20">
        <v>0</v>
      </c>
      <c r="M20" s="20">
        <v>0</v>
      </c>
    </row>
    <row r="21" spans="1:13" x14ac:dyDescent="0.2">
      <c r="A21">
        <v>2011</v>
      </c>
      <c r="B21" s="20" t="s">
        <v>46</v>
      </c>
      <c r="C21" s="2">
        <v>40710</v>
      </c>
      <c r="D21">
        <v>52</v>
      </c>
      <c r="E21" s="20" t="s">
        <v>180</v>
      </c>
      <c r="F21" s="20" t="s">
        <v>2</v>
      </c>
      <c r="G21" s="20">
        <v>0.5</v>
      </c>
      <c r="H21" s="20" t="s">
        <v>2</v>
      </c>
      <c r="I21" s="20">
        <v>0.5</v>
      </c>
      <c r="J21" s="20">
        <v>0</v>
      </c>
      <c r="K21" s="20">
        <v>0</v>
      </c>
      <c r="L21" s="20">
        <v>0</v>
      </c>
      <c r="M21" s="20">
        <v>0</v>
      </c>
    </row>
    <row r="22" spans="1:13" x14ac:dyDescent="0.2">
      <c r="A22">
        <v>2011</v>
      </c>
      <c r="B22" s="20" t="s">
        <v>46</v>
      </c>
      <c r="C22" s="2">
        <v>40717</v>
      </c>
      <c r="D22">
        <v>53</v>
      </c>
      <c r="E22" s="20" t="s">
        <v>178</v>
      </c>
      <c r="F22" s="20">
        <v>81</v>
      </c>
      <c r="G22" s="20">
        <v>90</v>
      </c>
      <c r="H22" s="20">
        <v>61</v>
      </c>
      <c r="I22" s="20">
        <v>70</v>
      </c>
      <c r="J22" s="20">
        <v>41</v>
      </c>
      <c r="K22" s="20">
        <v>50</v>
      </c>
      <c r="L22" s="20">
        <v>81</v>
      </c>
      <c r="M22" s="20">
        <v>90</v>
      </c>
    </row>
    <row r="23" spans="1:13" x14ac:dyDescent="0.2">
      <c r="A23">
        <v>2011</v>
      </c>
      <c r="B23" s="20" t="s">
        <v>46</v>
      </c>
      <c r="C23" s="2">
        <v>40717</v>
      </c>
      <c r="D23">
        <v>53</v>
      </c>
      <c r="E23" s="20" t="s">
        <v>179</v>
      </c>
      <c r="F23" s="20">
        <v>81</v>
      </c>
      <c r="G23" s="20">
        <v>90</v>
      </c>
      <c r="H23" s="20">
        <v>61</v>
      </c>
      <c r="I23" s="20">
        <v>70</v>
      </c>
      <c r="J23" s="20">
        <v>41</v>
      </c>
      <c r="K23" s="20">
        <v>50</v>
      </c>
      <c r="L23" s="20">
        <v>81</v>
      </c>
      <c r="M23" s="20">
        <v>90</v>
      </c>
    </row>
    <row r="24" spans="1:13" x14ac:dyDescent="0.2">
      <c r="A24">
        <v>2011</v>
      </c>
      <c r="B24" s="20" t="s">
        <v>46</v>
      </c>
      <c r="C24" s="2">
        <v>40717</v>
      </c>
      <c r="D24">
        <v>54</v>
      </c>
      <c r="E24" s="20" t="s">
        <v>178</v>
      </c>
      <c r="F24" s="20">
        <v>41</v>
      </c>
      <c r="G24" s="20">
        <v>50</v>
      </c>
      <c r="H24" s="20">
        <v>21</v>
      </c>
      <c r="I24" s="20">
        <v>30</v>
      </c>
      <c r="J24" s="20">
        <v>61</v>
      </c>
      <c r="K24" s="20">
        <v>70</v>
      </c>
      <c r="L24" s="20">
        <v>81</v>
      </c>
      <c r="M24" s="20">
        <v>90</v>
      </c>
    </row>
    <row r="25" spans="1:13" x14ac:dyDescent="0.2">
      <c r="A25">
        <v>2011</v>
      </c>
      <c r="B25" s="20" t="s">
        <v>46</v>
      </c>
      <c r="C25" s="2">
        <v>40717</v>
      </c>
      <c r="D25">
        <v>54</v>
      </c>
      <c r="E25" s="20" t="s">
        <v>179</v>
      </c>
      <c r="F25" s="20">
        <v>41</v>
      </c>
      <c r="G25" s="20">
        <v>50</v>
      </c>
      <c r="H25" s="20">
        <v>21</v>
      </c>
      <c r="I25" s="20">
        <v>30</v>
      </c>
      <c r="J25" s="20">
        <v>61</v>
      </c>
      <c r="K25" s="20">
        <v>70</v>
      </c>
      <c r="L25" s="20">
        <v>81</v>
      </c>
      <c r="M25" s="20">
        <v>90</v>
      </c>
    </row>
    <row r="26" spans="1:13" x14ac:dyDescent="0.2">
      <c r="A26">
        <v>2011</v>
      </c>
      <c r="B26" s="20" t="s">
        <v>46</v>
      </c>
      <c r="C26" s="2">
        <v>40717</v>
      </c>
      <c r="D26">
        <v>54</v>
      </c>
      <c r="E26" s="20" t="s">
        <v>52</v>
      </c>
      <c r="F26" s="20" t="s">
        <v>2</v>
      </c>
      <c r="G26" s="20">
        <v>0.5</v>
      </c>
      <c r="H26" s="20" t="s">
        <v>2</v>
      </c>
      <c r="I26" s="20">
        <v>0.5</v>
      </c>
      <c r="J26" s="20">
        <v>0</v>
      </c>
      <c r="K26" s="20">
        <v>0</v>
      </c>
      <c r="L26" s="20">
        <v>0</v>
      </c>
      <c r="M26" s="20">
        <v>0</v>
      </c>
    </row>
    <row r="27" spans="1:13" x14ac:dyDescent="0.2">
      <c r="A27">
        <v>2011</v>
      </c>
      <c r="B27" s="20" t="s">
        <v>46</v>
      </c>
      <c r="C27" s="2">
        <v>40724</v>
      </c>
      <c r="D27">
        <v>55</v>
      </c>
      <c r="E27" s="20" t="s">
        <v>178</v>
      </c>
      <c r="F27" s="20">
        <v>41</v>
      </c>
      <c r="G27" s="20">
        <v>50</v>
      </c>
      <c r="H27" s="20">
        <v>1</v>
      </c>
      <c r="I27" s="20">
        <v>3</v>
      </c>
      <c r="J27" s="20">
        <v>21</v>
      </c>
      <c r="K27" s="20">
        <v>30</v>
      </c>
      <c r="L27" s="20">
        <v>81</v>
      </c>
      <c r="M27" s="20">
        <v>90</v>
      </c>
    </row>
    <row r="28" spans="1:13" x14ac:dyDescent="0.2">
      <c r="A28">
        <v>2011</v>
      </c>
      <c r="B28" s="20" t="s">
        <v>46</v>
      </c>
      <c r="C28" s="2">
        <v>40724</v>
      </c>
      <c r="D28">
        <v>55</v>
      </c>
      <c r="E28" s="20" t="s">
        <v>179</v>
      </c>
      <c r="F28" s="20">
        <v>41</v>
      </c>
      <c r="G28" s="20">
        <v>50</v>
      </c>
      <c r="H28" s="20">
        <v>1</v>
      </c>
      <c r="I28" s="20">
        <v>3</v>
      </c>
      <c r="J28" s="20">
        <v>21</v>
      </c>
      <c r="K28" s="20">
        <v>30</v>
      </c>
      <c r="L28" s="20">
        <v>81</v>
      </c>
      <c r="M28" s="20">
        <v>90</v>
      </c>
    </row>
    <row r="29" spans="1:13" x14ac:dyDescent="0.2">
      <c r="A29">
        <v>2011</v>
      </c>
      <c r="B29" s="20" t="s">
        <v>46</v>
      </c>
      <c r="C29" s="2">
        <v>40724</v>
      </c>
      <c r="D29">
        <v>55</v>
      </c>
      <c r="E29" s="20" t="s">
        <v>56</v>
      </c>
      <c r="F29" s="20" t="s">
        <v>2</v>
      </c>
      <c r="G29" s="20">
        <v>0.5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</row>
    <row r="30" spans="1:13" x14ac:dyDescent="0.2">
      <c r="A30">
        <v>2011</v>
      </c>
      <c r="B30" s="20" t="s">
        <v>46</v>
      </c>
      <c r="C30" s="2">
        <v>40757</v>
      </c>
      <c r="D30">
        <v>56</v>
      </c>
      <c r="E30" s="20" t="s">
        <v>178</v>
      </c>
      <c r="F30" s="20">
        <v>41</v>
      </c>
      <c r="G30" s="20">
        <v>50</v>
      </c>
      <c r="H30" s="20">
        <v>41</v>
      </c>
      <c r="I30" s="20">
        <v>50</v>
      </c>
      <c r="J30" s="20">
        <v>61</v>
      </c>
      <c r="K30" s="20">
        <v>70</v>
      </c>
      <c r="L30" s="20">
        <v>81</v>
      </c>
      <c r="M30" s="20">
        <v>90</v>
      </c>
    </row>
    <row r="31" spans="1:13" x14ac:dyDescent="0.2">
      <c r="A31">
        <v>2011</v>
      </c>
      <c r="B31" s="20" t="s">
        <v>46</v>
      </c>
      <c r="C31" s="2">
        <v>40757</v>
      </c>
      <c r="D31">
        <v>56</v>
      </c>
      <c r="E31" s="20" t="s">
        <v>179</v>
      </c>
      <c r="F31" s="20">
        <v>41</v>
      </c>
      <c r="G31" s="20">
        <v>50</v>
      </c>
      <c r="H31" s="20">
        <v>41</v>
      </c>
      <c r="I31" s="20">
        <v>50</v>
      </c>
      <c r="J31" s="20">
        <v>61</v>
      </c>
      <c r="K31" s="20">
        <v>70</v>
      </c>
      <c r="L31" s="20">
        <v>81</v>
      </c>
      <c r="M31" s="20">
        <v>90</v>
      </c>
    </row>
    <row r="32" spans="1:13" x14ac:dyDescent="0.2">
      <c r="A32">
        <v>2011</v>
      </c>
      <c r="B32" s="20" t="s">
        <v>46</v>
      </c>
      <c r="C32" s="2">
        <v>40757</v>
      </c>
      <c r="D32">
        <v>56</v>
      </c>
      <c r="E32" s="20" t="s">
        <v>87</v>
      </c>
      <c r="F32" t="s">
        <v>2</v>
      </c>
      <c r="G32" s="20">
        <v>0.5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</row>
    <row r="33" spans="1:13" x14ac:dyDescent="0.2">
      <c r="A33">
        <v>2011</v>
      </c>
      <c r="B33" s="20" t="s">
        <v>46</v>
      </c>
      <c r="C33" s="2">
        <v>40757</v>
      </c>
      <c r="D33">
        <v>56</v>
      </c>
      <c r="E33" s="20" t="s">
        <v>56</v>
      </c>
      <c r="F33" t="s">
        <v>2</v>
      </c>
      <c r="G33" s="20">
        <v>0.5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</row>
    <row r="34" spans="1:13" x14ac:dyDescent="0.2">
      <c r="A34">
        <v>2011</v>
      </c>
      <c r="B34" s="20" t="s">
        <v>46</v>
      </c>
      <c r="C34" s="2">
        <v>40757</v>
      </c>
      <c r="D34">
        <v>56</v>
      </c>
      <c r="E34" s="20" t="s">
        <v>60</v>
      </c>
      <c r="F34" t="s">
        <v>2</v>
      </c>
      <c r="G34" s="20">
        <v>0.5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</row>
    <row r="35" spans="1:13" x14ac:dyDescent="0.2">
      <c r="A35">
        <v>2011</v>
      </c>
      <c r="B35" s="20" t="s">
        <v>46</v>
      </c>
      <c r="C35" s="2">
        <v>40757</v>
      </c>
      <c r="D35">
        <v>56</v>
      </c>
      <c r="E35" s="20" t="s">
        <v>82</v>
      </c>
      <c r="F35" t="s">
        <v>2</v>
      </c>
      <c r="G35" s="20">
        <v>0.5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</row>
    <row r="36" spans="1:13" x14ac:dyDescent="0.2">
      <c r="A36">
        <v>2011</v>
      </c>
      <c r="B36" s="20" t="s">
        <v>46</v>
      </c>
      <c r="C36" s="2">
        <v>40757</v>
      </c>
      <c r="D36">
        <v>56</v>
      </c>
      <c r="E36" s="20" t="s">
        <v>180</v>
      </c>
      <c r="F36" t="s">
        <v>2</v>
      </c>
      <c r="G36" s="20">
        <v>0.5</v>
      </c>
      <c r="H36" s="20" t="s">
        <v>2</v>
      </c>
      <c r="I36" s="20">
        <v>0.5</v>
      </c>
      <c r="J36" s="20">
        <v>0</v>
      </c>
      <c r="K36" s="20">
        <v>0</v>
      </c>
      <c r="L36" s="20">
        <v>0</v>
      </c>
      <c r="M36" s="20">
        <v>0</v>
      </c>
    </row>
    <row r="37" spans="1:13" x14ac:dyDescent="0.2">
      <c r="A37">
        <v>2011</v>
      </c>
      <c r="B37" s="20" t="s">
        <v>46</v>
      </c>
      <c r="C37" s="2">
        <v>40757</v>
      </c>
      <c r="D37">
        <v>57</v>
      </c>
      <c r="E37" s="20" t="s">
        <v>178</v>
      </c>
      <c r="F37" s="20">
        <v>61</v>
      </c>
      <c r="G37" s="20">
        <v>70</v>
      </c>
      <c r="H37" s="20">
        <v>11</v>
      </c>
      <c r="I37" s="20">
        <v>15</v>
      </c>
      <c r="J37" s="20">
        <v>41</v>
      </c>
      <c r="K37" s="20">
        <v>50</v>
      </c>
      <c r="L37" s="20">
        <v>81</v>
      </c>
      <c r="M37" s="20">
        <v>90</v>
      </c>
    </row>
    <row r="38" spans="1:13" x14ac:dyDescent="0.2">
      <c r="A38">
        <v>2011</v>
      </c>
      <c r="B38" s="20" t="s">
        <v>46</v>
      </c>
      <c r="C38" s="2">
        <v>40757</v>
      </c>
      <c r="D38">
        <v>57</v>
      </c>
      <c r="E38" s="20" t="s">
        <v>179</v>
      </c>
      <c r="F38" s="20">
        <v>61</v>
      </c>
      <c r="G38" s="20">
        <v>70</v>
      </c>
      <c r="H38" s="20">
        <v>11</v>
      </c>
      <c r="I38" s="20">
        <v>15</v>
      </c>
      <c r="J38" s="20">
        <v>41</v>
      </c>
      <c r="K38" s="20">
        <v>50</v>
      </c>
      <c r="L38" s="20">
        <v>81</v>
      </c>
      <c r="M38" s="20">
        <v>90</v>
      </c>
    </row>
    <row r="39" spans="1:13" x14ac:dyDescent="0.2">
      <c r="A39">
        <v>2011</v>
      </c>
      <c r="B39" s="20" t="s">
        <v>46</v>
      </c>
      <c r="C39" s="2">
        <v>40757</v>
      </c>
      <c r="D39">
        <v>58</v>
      </c>
      <c r="E39" s="20" t="s">
        <v>178</v>
      </c>
      <c r="F39" s="20">
        <v>61</v>
      </c>
      <c r="G39" s="20">
        <v>70</v>
      </c>
      <c r="H39" s="20">
        <v>21</v>
      </c>
      <c r="I39" s="20">
        <v>30</v>
      </c>
      <c r="J39" s="20">
        <v>41</v>
      </c>
      <c r="K39" s="20">
        <v>50</v>
      </c>
      <c r="L39" s="20">
        <v>81</v>
      </c>
      <c r="M39" s="20">
        <v>90</v>
      </c>
    </row>
    <row r="40" spans="1:13" x14ac:dyDescent="0.2">
      <c r="A40">
        <v>2011</v>
      </c>
      <c r="B40" s="20" t="s">
        <v>46</v>
      </c>
      <c r="C40" s="2">
        <v>40757</v>
      </c>
      <c r="D40">
        <v>58</v>
      </c>
      <c r="E40" s="20" t="s">
        <v>179</v>
      </c>
      <c r="F40" s="20">
        <v>61</v>
      </c>
      <c r="G40" s="20">
        <v>70</v>
      </c>
      <c r="H40" s="20">
        <v>21</v>
      </c>
      <c r="I40" s="20">
        <v>30</v>
      </c>
      <c r="J40" s="20">
        <v>41</v>
      </c>
      <c r="K40" s="20">
        <v>50</v>
      </c>
      <c r="L40" s="20">
        <v>81</v>
      </c>
      <c r="M40" s="20">
        <v>90</v>
      </c>
    </row>
    <row r="41" spans="1:13" x14ac:dyDescent="0.2">
      <c r="A41">
        <v>2011</v>
      </c>
      <c r="B41" s="20" t="s">
        <v>46</v>
      </c>
      <c r="C41" s="2">
        <v>40757</v>
      </c>
      <c r="D41">
        <v>58</v>
      </c>
      <c r="E41" s="20" t="s">
        <v>52</v>
      </c>
      <c r="F41" t="s">
        <v>2</v>
      </c>
      <c r="G41" s="20">
        <v>0.5</v>
      </c>
      <c r="H41" t="s">
        <v>2</v>
      </c>
      <c r="I41" s="20">
        <v>0.5</v>
      </c>
      <c r="J41" s="20">
        <v>0</v>
      </c>
      <c r="K41" s="20">
        <v>0</v>
      </c>
      <c r="L41" s="20">
        <v>0</v>
      </c>
      <c r="M41" s="20">
        <v>0</v>
      </c>
    </row>
    <row r="42" spans="1:13" x14ac:dyDescent="0.2">
      <c r="A42">
        <v>2011</v>
      </c>
      <c r="B42" s="20" t="s">
        <v>46</v>
      </c>
      <c r="C42" s="2">
        <v>40757</v>
      </c>
      <c r="D42">
        <v>58</v>
      </c>
      <c r="E42" s="20" t="s">
        <v>60</v>
      </c>
      <c r="F42" t="s">
        <v>2</v>
      </c>
      <c r="G42" s="20">
        <v>0.5</v>
      </c>
      <c r="H42" t="s">
        <v>2</v>
      </c>
      <c r="I42" s="20">
        <v>0.5</v>
      </c>
      <c r="J42" s="20" t="s">
        <v>2</v>
      </c>
      <c r="K42" s="20">
        <v>0.5</v>
      </c>
      <c r="L42" s="20">
        <v>0</v>
      </c>
      <c r="M42" s="20">
        <v>0</v>
      </c>
    </row>
    <row r="43" spans="1:13" x14ac:dyDescent="0.2">
      <c r="A43">
        <v>2011</v>
      </c>
      <c r="B43" s="20" t="s">
        <v>46</v>
      </c>
      <c r="C43" s="2">
        <v>40744</v>
      </c>
      <c r="D43">
        <v>59</v>
      </c>
      <c r="E43" s="20" t="s">
        <v>178</v>
      </c>
      <c r="F43" s="20">
        <v>61</v>
      </c>
      <c r="G43" s="20">
        <v>70</v>
      </c>
      <c r="H43" s="20">
        <v>81</v>
      </c>
      <c r="I43" s="20">
        <v>90</v>
      </c>
      <c r="J43" s="20">
        <v>61</v>
      </c>
      <c r="K43" s="20">
        <v>70</v>
      </c>
      <c r="L43" s="20">
        <v>81</v>
      </c>
      <c r="M43" s="20">
        <v>90</v>
      </c>
    </row>
    <row r="44" spans="1:13" x14ac:dyDescent="0.2">
      <c r="A44">
        <v>2011</v>
      </c>
      <c r="B44" s="20" t="s">
        <v>46</v>
      </c>
      <c r="C44" s="2">
        <v>40744</v>
      </c>
      <c r="D44">
        <v>59</v>
      </c>
      <c r="E44" s="20" t="s">
        <v>179</v>
      </c>
      <c r="F44" s="20">
        <v>61</v>
      </c>
      <c r="G44" s="20">
        <v>70</v>
      </c>
      <c r="H44" s="20">
        <v>81</v>
      </c>
      <c r="I44" s="20">
        <v>90</v>
      </c>
      <c r="J44" s="20">
        <v>61</v>
      </c>
      <c r="K44" s="20">
        <v>70</v>
      </c>
      <c r="L44" s="20">
        <v>81</v>
      </c>
      <c r="M44" s="20">
        <v>90</v>
      </c>
    </row>
    <row r="45" spans="1:13" x14ac:dyDescent="0.2">
      <c r="A45">
        <v>2011</v>
      </c>
      <c r="B45" s="20" t="s">
        <v>46</v>
      </c>
      <c r="C45" s="2">
        <v>40744</v>
      </c>
      <c r="D45">
        <v>59</v>
      </c>
      <c r="E45" s="20" t="s">
        <v>60</v>
      </c>
      <c r="F45" s="20">
        <v>11</v>
      </c>
      <c r="G45" s="20">
        <v>15</v>
      </c>
      <c r="H45" s="20">
        <v>21</v>
      </c>
      <c r="I45" s="20">
        <v>30</v>
      </c>
      <c r="J45" s="20">
        <v>11</v>
      </c>
      <c r="K45" s="20">
        <v>15</v>
      </c>
      <c r="L45" t="s">
        <v>2</v>
      </c>
      <c r="M45" s="20">
        <v>0.5</v>
      </c>
    </row>
    <row r="46" spans="1:13" x14ac:dyDescent="0.2">
      <c r="A46">
        <v>2011</v>
      </c>
      <c r="B46" s="20" t="s">
        <v>46</v>
      </c>
      <c r="C46" s="2">
        <v>40744</v>
      </c>
      <c r="D46">
        <v>59</v>
      </c>
      <c r="E46" s="20" t="s">
        <v>53</v>
      </c>
      <c r="F46" s="20">
        <v>6</v>
      </c>
      <c r="G46" s="20">
        <v>8</v>
      </c>
      <c r="H46" s="20">
        <v>6</v>
      </c>
      <c r="I46" s="20">
        <v>8</v>
      </c>
      <c r="J46" s="20">
        <v>0</v>
      </c>
      <c r="K46" s="20">
        <v>0</v>
      </c>
      <c r="L46" s="20">
        <v>0</v>
      </c>
      <c r="M46" s="20">
        <v>0</v>
      </c>
    </row>
    <row r="47" spans="1:13" x14ac:dyDescent="0.2">
      <c r="A47">
        <v>2011</v>
      </c>
      <c r="B47" s="20" t="s">
        <v>46</v>
      </c>
      <c r="C47" s="2">
        <v>40744</v>
      </c>
      <c r="D47">
        <v>59</v>
      </c>
      <c r="E47" s="20" t="s">
        <v>84</v>
      </c>
      <c r="F47" t="s">
        <v>2</v>
      </c>
      <c r="G47" s="20">
        <v>0.5</v>
      </c>
      <c r="H47" t="s">
        <v>2</v>
      </c>
      <c r="I47" s="20">
        <v>0.5</v>
      </c>
      <c r="J47" s="20">
        <v>0</v>
      </c>
      <c r="K47" s="20">
        <v>0</v>
      </c>
      <c r="L47" s="20">
        <v>0</v>
      </c>
      <c r="M47" s="20">
        <v>0</v>
      </c>
    </row>
    <row r="48" spans="1:13" x14ac:dyDescent="0.2">
      <c r="A48">
        <v>2011</v>
      </c>
      <c r="B48" s="20" t="s">
        <v>46</v>
      </c>
      <c r="C48" s="2">
        <v>40744</v>
      </c>
      <c r="D48">
        <v>59</v>
      </c>
      <c r="E48" s="20" t="s">
        <v>56</v>
      </c>
      <c r="F48" t="s">
        <v>2</v>
      </c>
      <c r="G48" s="20">
        <v>0.5</v>
      </c>
      <c r="H48" s="20">
        <v>1</v>
      </c>
      <c r="I48" s="20">
        <v>3</v>
      </c>
      <c r="J48" s="20">
        <v>0</v>
      </c>
      <c r="K48" s="20">
        <v>0</v>
      </c>
      <c r="L48" s="20">
        <v>0</v>
      </c>
      <c r="M48" s="20">
        <v>0</v>
      </c>
    </row>
    <row r="49" spans="1:13" x14ac:dyDescent="0.2">
      <c r="A49">
        <v>2011</v>
      </c>
      <c r="B49" s="20" t="s">
        <v>46</v>
      </c>
      <c r="C49" s="2">
        <v>40744</v>
      </c>
      <c r="D49">
        <v>59</v>
      </c>
      <c r="E49" s="20" t="s">
        <v>82</v>
      </c>
      <c r="F49" s="20">
        <v>1</v>
      </c>
      <c r="G49" s="20">
        <v>3</v>
      </c>
      <c r="H49" t="s">
        <v>2</v>
      </c>
      <c r="I49" s="20">
        <v>0.5</v>
      </c>
      <c r="J49" s="20">
        <v>0</v>
      </c>
      <c r="K49" s="20">
        <v>0</v>
      </c>
      <c r="L49" s="20">
        <v>0</v>
      </c>
      <c r="M49" s="20">
        <v>0</v>
      </c>
    </row>
    <row r="50" spans="1:13" x14ac:dyDescent="0.2">
      <c r="A50">
        <v>2011</v>
      </c>
      <c r="B50" s="20" t="s">
        <v>46</v>
      </c>
      <c r="C50" s="2">
        <v>40744</v>
      </c>
      <c r="D50">
        <v>59</v>
      </c>
      <c r="E50" s="20" t="s">
        <v>87</v>
      </c>
      <c r="F50" t="s">
        <v>2</v>
      </c>
      <c r="G50" s="20">
        <v>0.5</v>
      </c>
      <c r="H50" s="20">
        <v>1</v>
      </c>
      <c r="I50" s="20">
        <v>3</v>
      </c>
      <c r="J50" s="20">
        <v>1</v>
      </c>
      <c r="K50" s="20">
        <v>3</v>
      </c>
      <c r="L50" s="20">
        <v>0</v>
      </c>
      <c r="M50" s="20">
        <v>0</v>
      </c>
    </row>
    <row r="51" spans="1:13" x14ac:dyDescent="0.2">
      <c r="A51">
        <v>2011</v>
      </c>
      <c r="B51" s="20" t="s">
        <v>46</v>
      </c>
      <c r="C51" s="2">
        <v>40744</v>
      </c>
      <c r="D51">
        <v>60</v>
      </c>
      <c r="E51" s="20" t="s">
        <v>178</v>
      </c>
      <c r="F51" s="20">
        <v>81</v>
      </c>
      <c r="G51" s="20">
        <v>90</v>
      </c>
      <c r="H51" s="20">
        <v>81</v>
      </c>
      <c r="I51" s="20">
        <v>90</v>
      </c>
      <c r="J51" s="20">
        <v>41</v>
      </c>
      <c r="K51" s="20">
        <v>50</v>
      </c>
      <c r="L51" s="20">
        <v>81</v>
      </c>
      <c r="M51" s="20">
        <v>90</v>
      </c>
    </row>
    <row r="52" spans="1:13" x14ac:dyDescent="0.2">
      <c r="A52">
        <v>2011</v>
      </c>
      <c r="B52" s="20" t="s">
        <v>46</v>
      </c>
      <c r="C52" s="2">
        <v>40744</v>
      </c>
      <c r="D52">
        <v>60</v>
      </c>
      <c r="E52" s="20" t="s">
        <v>179</v>
      </c>
      <c r="F52" s="20">
        <v>81</v>
      </c>
      <c r="G52" s="20">
        <v>90</v>
      </c>
      <c r="H52" s="20">
        <v>81</v>
      </c>
      <c r="I52" s="20">
        <v>90</v>
      </c>
      <c r="J52" s="20">
        <v>41</v>
      </c>
      <c r="K52" s="20">
        <v>50</v>
      </c>
      <c r="L52" s="20">
        <v>81</v>
      </c>
      <c r="M52" s="20">
        <v>90</v>
      </c>
    </row>
    <row r="53" spans="1:13" x14ac:dyDescent="0.2">
      <c r="A53">
        <v>2011</v>
      </c>
      <c r="B53" s="20" t="s">
        <v>46</v>
      </c>
      <c r="C53" s="2">
        <v>40744</v>
      </c>
      <c r="D53">
        <v>60</v>
      </c>
      <c r="E53" s="20" t="s">
        <v>87</v>
      </c>
      <c r="F53" s="20" t="s">
        <v>2</v>
      </c>
      <c r="G53" s="20">
        <v>0.5</v>
      </c>
      <c r="H53" s="20" t="s">
        <v>2</v>
      </c>
      <c r="I53" s="20">
        <v>0.5</v>
      </c>
      <c r="J53" s="20" t="s">
        <v>2</v>
      </c>
      <c r="K53" s="20">
        <v>0.5</v>
      </c>
      <c r="L53" s="20">
        <v>0</v>
      </c>
      <c r="M53" s="20">
        <v>0</v>
      </c>
    </row>
    <row r="54" spans="1:13" x14ac:dyDescent="0.2">
      <c r="A54">
        <v>2011</v>
      </c>
      <c r="B54" s="20" t="s">
        <v>46</v>
      </c>
      <c r="C54" s="2">
        <v>40744</v>
      </c>
      <c r="D54">
        <v>60</v>
      </c>
      <c r="E54" s="20" t="s">
        <v>60</v>
      </c>
      <c r="F54" s="20" t="s">
        <v>2</v>
      </c>
      <c r="G54" s="20">
        <v>0.5</v>
      </c>
      <c r="H54" s="20">
        <v>1</v>
      </c>
      <c r="I54" s="20">
        <v>3</v>
      </c>
      <c r="J54" s="20" t="s">
        <v>2</v>
      </c>
      <c r="K54" s="20">
        <v>0.5</v>
      </c>
      <c r="L54" s="20">
        <v>0</v>
      </c>
      <c r="M54" s="20">
        <v>0</v>
      </c>
    </row>
    <row r="55" spans="1:13" x14ac:dyDescent="0.2">
      <c r="A55">
        <v>2011</v>
      </c>
      <c r="B55" s="20" t="s">
        <v>46</v>
      </c>
      <c r="C55" s="2">
        <v>40710</v>
      </c>
      <c r="D55">
        <v>94</v>
      </c>
      <c r="E55" s="20" t="s">
        <v>178</v>
      </c>
      <c r="F55" s="20">
        <v>61</v>
      </c>
      <c r="G55" s="20">
        <v>70</v>
      </c>
      <c r="H55" s="20">
        <v>41</v>
      </c>
      <c r="I55" s="20">
        <v>50</v>
      </c>
      <c r="J55" s="20">
        <v>41</v>
      </c>
      <c r="K55" s="20">
        <v>50</v>
      </c>
      <c r="L55" s="20">
        <v>81</v>
      </c>
      <c r="M55" s="20">
        <v>90</v>
      </c>
    </row>
    <row r="56" spans="1:13" x14ac:dyDescent="0.2">
      <c r="A56">
        <v>2011</v>
      </c>
      <c r="B56" s="20" t="s">
        <v>46</v>
      </c>
      <c r="C56" s="2">
        <v>40710</v>
      </c>
      <c r="D56">
        <v>94</v>
      </c>
      <c r="E56" s="20" t="s">
        <v>179</v>
      </c>
      <c r="F56" s="20">
        <v>61</v>
      </c>
      <c r="G56" s="20">
        <v>70</v>
      </c>
      <c r="H56" s="20">
        <v>41</v>
      </c>
      <c r="I56" s="20">
        <v>50</v>
      </c>
      <c r="J56" s="20">
        <v>41</v>
      </c>
      <c r="K56" s="20">
        <v>50</v>
      </c>
      <c r="L56" s="20">
        <v>81</v>
      </c>
      <c r="M56" s="20">
        <v>90</v>
      </c>
    </row>
    <row r="57" spans="1:13" x14ac:dyDescent="0.2">
      <c r="A57">
        <v>2011</v>
      </c>
      <c r="B57" s="20" t="s">
        <v>46</v>
      </c>
      <c r="C57" s="2">
        <v>40710</v>
      </c>
      <c r="D57">
        <v>94</v>
      </c>
      <c r="E57" s="20" t="s">
        <v>60</v>
      </c>
      <c r="F57" s="20" t="s">
        <v>2</v>
      </c>
      <c r="G57" s="20">
        <v>0.5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</row>
    <row r="58" spans="1:13" x14ac:dyDescent="0.2">
      <c r="A58">
        <v>2011</v>
      </c>
      <c r="B58" s="20" t="s">
        <v>46</v>
      </c>
      <c r="C58" s="2">
        <v>40710</v>
      </c>
      <c r="D58">
        <v>94</v>
      </c>
      <c r="E58" s="20" t="s">
        <v>56</v>
      </c>
      <c r="F58" s="20" t="s">
        <v>2</v>
      </c>
      <c r="G58" s="20">
        <v>0.5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</row>
    <row r="59" spans="1:13" x14ac:dyDescent="0.2">
      <c r="A59">
        <v>2011</v>
      </c>
      <c r="B59" s="20" t="s">
        <v>46</v>
      </c>
      <c r="C59" s="2">
        <v>40710</v>
      </c>
      <c r="D59">
        <v>95</v>
      </c>
      <c r="E59" s="20" t="s">
        <v>178</v>
      </c>
      <c r="F59" s="20">
        <v>41</v>
      </c>
      <c r="G59" s="20">
        <v>50</v>
      </c>
      <c r="H59" s="20">
        <v>41</v>
      </c>
      <c r="I59" s="20">
        <v>50</v>
      </c>
      <c r="J59" s="20">
        <v>41</v>
      </c>
      <c r="K59" s="20">
        <v>50</v>
      </c>
      <c r="L59" s="20">
        <v>81</v>
      </c>
      <c r="M59" s="20">
        <v>90</v>
      </c>
    </row>
    <row r="60" spans="1:13" x14ac:dyDescent="0.2">
      <c r="A60">
        <v>2011</v>
      </c>
      <c r="B60" s="20" t="s">
        <v>46</v>
      </c>
      <c r="C60" s="2">
        <v>40710</v>
      </c>
      <c r="D60">
        <v>95</v>
      </c>
      <c r="E60" s="20" t="s">
        <v>179</v>
      </c>
      <c r="F60" s="20">
        <v>41</v>
      </c>
      <c r="G60" s="20">
        <v>50</v>
      </c>
      <c r="H60" s="20">
        <v>41</v>
      </c>
      <c r="I60" s="20">
        <v>50</v>
      </c>
      <c r="J60" s="20">
        <v>41</v>
      </c>
      <c r="K60" s="20">
        <v>50</v>
      </c>
      <c r="L60" s="20">
        <v>81</v>
      </c>
      <c r="M60" s="20">
        <v>90</v>
      </c>
    </row>
    <row r="61" spans="1:13" x14ac:dyDescent="0.2">
      <c r="A61">
        <v>2011</v>
      </c>
      <c r="B61" s="20" t="s">
        <v>46</v>
      </c>
      <c r="C61" s="2">
        <v>40710</v>
      </c>
      <c r="D61">
        <v>95</v>
      </c>
      <c r="E61" s="20" t="s">
        <v>87</v>
      </c>
      <c r="F61" s="20" t="s">
        <v>2</v>
      </c>
      <c r="G61" s="20">
        <v>0.5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</row>
    <row r="62" spans="1:13" x14ac:dyDescent="0.2">
      <c r="A62">
        <v>2011</v>
      </c>
      <c r="B62" s="20" t="s">
        <v>46</v>
      </c>
      <c r="C62" s="2">
        <v>40710</v>
      </c>
      <c r="D62">
        <v>95</v>
      </c>
      <c r="E62" s="20" t="s">
        <v>181</v>
      </c>
      <c r="F62" s="20" t="s">
        <v>2</v>
      </c>
      <c r="G62" s="20">
        <v>0.5</v>
      </c>
      <c r="H62" s="20" t="s">
        <v>2</v>
      </c>
      <c r="I62" s="20">
        <v>0.5</v>
      </c>
      <c r="J62" s="20">
        <v>0</v>
      </c>
      <c r="K62" s="20">
        <v>0</v>
      </c>
      <c r="L62" s="20">
        <v>0</v>
      </c>
      <c r="M62" s="20">
        <v>0</v>
      </c>
    </row>
    <row r="63" spans="1:13" x14ac:dyDescent="0.2">
      <c r="A63">
        <v>2011</v>
      </c>
      <c r="B63" s="20" t="s">
        <v>46</v>
      </c>
      <c r="C63" s="2">
        <v>40710</v>
      </c>
      <c r="D63">
        <v>96</v>
      </c>
      <c r="E63" s="20" t="s">
        <v>178</v>
      </c>
      <c r="F63" s="20">
        <v>61</v>
      </c>
      <c r="G63" s="20">
        <v>70</v>
      </c>
      <c r="H63" s="20">
        <v>21</v>
      </c>
      <c r="I63" s="20">
        <v>30</v>
      </c>
      <c r="J63" s="20">
        <v>41</v>
      </c>
      <c r="K63" s="20">
        <v>50</v>
      </c>
      <c r="L63" s="20">
        <v>81</v>
      </c>
      <c r="M63" s="20">
        <v>90</v>
      </c>
    </row>
    <row r="64" spans="1:13" x14ac:dyDescent="0.2">
      <c r="A64">
        <v>2011</v>
      </c>
      <c r="B64" s="20" t="s">
        <v>46</v>
      </c>
      <c r="C64" s="2">
        <v>40710</v>
      </c>
      <c r="D64">
        <v>96</v>
      </c>
      <c r="E64" s="20" t="s">
        <v>179</v>
      </c>
      <c r="F64" s="20">
        <v>61</v>
      </c>
      <c r="G64" s="20">
        <v>70</v>
      </c>
      <c r="H64" s="20">
        <v>21</v>
      </c>
      <c r="I64" s="20">
        <v>30</v>
      </c>
      <c r="J64" s="20">
        <v>41</v>
      </c>
      <c r="K64" s="20">
        <v>50</v>
      </c>
      <c r="L64" s="20">
        <v>81</v>
      </c>
      <c r="M64" s="20">
        <v>90</v>
      </c>
    </row>
    <row r="65" spans="1:13" x14ac:dyDescent="0.2">
      <c r="A65">
        <v>2011</v>
      </c>
      <c r="B65" s="20" t="s">
        <v>46</v>
      </c>
      <c r="C65" s="2">
        <v>40710</v>
      </c>
      <c r="D65">
        <v>96</v>
      </c>
      <c r="E65" s="20" t="s">
        <v>53</v>
      </c>
      <c r="F65" s="20" t="s">
        <v>2</v>
      </c>
      <c r="G65" s="20">
        <v>0.5</v>
      </c>
      <c r="H65" s="20" t="s">
        <v>2</v>
      </c>
      <c r="I65" s="20">
        <v>0.5</v>
      </c>
      <c r="J65" s="20">
        <v>0</v>
      </c>
      <c r="K65" s="20">
        <v>0</v>
      </c>
      <c r="L65" s="20">
        <v>0</v>
      </c>
      <c r="M65" s="20">
        <v>0</v>
      </c>
    </row>
    <row r="66" spans="1:13" x14ac:dyDescent="0.2">
      <c r="A66">
        <v>2011</v>
      </c>
      <c r="B66" s="20" t="s">
        <v>46</v>
      </c>
      <c r="C66" s="2">
        <v>40710</v>
      </c>
      <c r="D66">
        <v>96</v>
      </c>
      <c r="E66" s="20" t="s">
        <v>56</v>
      </c>
      <c r="F66" s="20" t="s">
        <v>2</v>
      </c>
      <c r="G66" s="20">
        <v>0.5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</row>
    <row r="67" spans="1:13" x14ac:dyDescent="0.2">
      <c r="A67">
        <v>2011</v>
      </c>
      <c r="B67" s="20" t="s">
        <v>46</v>
      </c>
      <c r="C67" s="2">
        <v>40751</v>
      </c>
      <c r="D67">
        <v>97</v>
      </c>
      <c r="E67" s="20" t="s">
        <v>178</v>
      </c>
      <c r="F67" s="20">
        <v>21</v>
      </c>
      <c r="G67" s="20">
        <v>30</v>
      </c>
      <c r="H67" s="20">
        <v>41</v>
      </c>
      <c r="I67" s="20">
        <v>50</v>
      </c>
      <c r="J67" s="20">
        <v>81</v>
      </c>
      <c r="K67" s="31">
        <v>90</v>
      </c>
      <c r="L67" s="20">
        <v>81</v>
      </c>
      <c r="M67" s="20">
        <v>90</v>
      </c>
    </row>
    <row r="68" spans="1:13" x14ac:dyDescent="0.2">
      <c r="A68">
        <v>2011</v>
      </c>
      <c r="B68" s="20" t="s">
        <v>46</v>
      </c>
      <c r="C68" s="2">
        <v>40751</v>
      </c>
      <c r="D68">
        <v>97</v>
      </c>
      <c r="E68" s="20" t="s">
        <v>179</v>
      </c>
      <c r="F68" s="20">
        <v>21</v>
      </c>
      <c r="G68" s="20">
        <v>30</v>
      </c>
      <c r="H68" s="20">
        <v>41</v>
      </c>
      <c r="I68" s="20">
        <v>50</v>
      </c>
      <c r="J68" s="20">
        <v>81</v>
      </c>
      <c r="K68" s="31">
        <v>90</v>
      </c>
      <c r="L68" s="20">
        <v>81</v>
      </c>
      <c r="M68" s="20">
        <v>90</v>
      </c>
    </row>
    <row r="69" spans="1:13" x14ac:dyDescent="0.2">
      <c r="A69">
        <v>2011</v>
      </c>
      <c r="B69" s="20" t="s">
        <v>46</v>
      </c>
      <c r="C69" s="2">
        <v>40751</v>
      </c>
      <c r="D69">
        <v>97</v>
      </c>
      <c r="E69" s="20" t="s">
        <v>56</v>
      </c>
      <c r="F69" t="s">
        <v>2</v>
      </c>
      <c r="G69" s="20">
        <v>0.5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</row>
    <row r="70" spans="1:13" x14ac:dyDescent="0.2">
      <c r="A70">
        <v>2011</v>
      </c>
      <c r="B70" s="20" t="s">
        <v>46</v>
      </c>
      <c r="C70" s="2">
        <v>40751</v>
      </c>
      <c r="D70">
        <v>97</v>
      </c>
      <c r="E70" s="20" t="s">
        <v>181</v>
      </c>
      <c r="F70" t="s">
        <v>2</v>
      </c>
      <c r="G70" s="20">
        <v>0.5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</row>
    <row r="71" spans="1:13" x14ac:dyDescent="0.2">
      <c r="A71">
        <v>2011</v>
      </c>
      <c r="B71" s="20" t="s">
        <v>46</v>
      </c>
      <c r="C71" s="2">
        <v>40757</v>
      </c>
      <c r="D71">
        <v>98</v>
      </c>
      <c r="E71" s="20" t="s">
        <v>178</v>
      </c>
      <c r="F71" s="20">
        <v>21</v>
      </c>
      <c r="G71" s="20">
        <v>30</v>
      </c>
      <c r="H71" s="20">
        <v>11</v>
      </c>
      <c r="I71" s="20">
        <v>15</v>
      </c>
      <c r="J71" s="20">
        <v>41</v>
      </c>
      <c r="K71" s="20">
        <v>50</v>
      </c>
      <c r="L71" s="20">
        <v>81</v>
      </c>
      <c r="M71" s="20">
        <v>90</v>
      </c>
    </row>
    <row r="72" spans="1:13" x14ac:dyDescent="0.2">
      <c r="A72">
        <v>2011</v>
      </c>
      <c r="B72" s="20" t="s">
        <v>46</v>
      </c>
      <c r="C72" s="2">
        <v>40757</v>
      </c>
      <c r="D72">
        <v>98</v>
      </c>
      <c r="E72" s="20" t="s">
        <v>179</v>
      </c>
      <c r="F72" s="20">
        <v>21</v>
      </c>
      <c r="G72" s="20">
        <v>30</v>
      </c>
      <c r="H72" s="20">
        <v>11</v>
      </c>
      <c r="I72" s="20">
        <v>15</v>
      </c>
      <c r="J72" s="20">
        <v>41</v>
      </c>
      <c r="K72" s="20">
        <v>50</v>
      </c>
      <c r="L72" s="20">
        <v>81</v>
      </c>
      <c r="M72" s="20">
        <v>90</v>
      </c>
    </row>
    <row r="73" spans="1:13" x14ac:dyDescent="0.2">
      <c r="A73">
        <v>2011</v>
      </c>
      <c r="B73" s="20" t="s">
        <v>46</v>
      </c>
      <c r="C73" s="2">
        <v>40757</v>
      </c>
      <c r="D73">
        <v>98</v>
      </c>
      <c r="E73" s="20" t="s">
        <v>56</v>
      </c>
      <c r="F73" t="s">
        <v>2</v>
      </c>
      <c r="G73" s="20">
        <v>0.5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</row>
    <row r="74" spans="1:13" x14ac:dyDescent="0.2">
      <c r="A74">
        <v>2011</v>
      </c>
      <c r="B74" s="20" t="s">
        <v>46</v>
      </c>
      <c r="C74" s="2">
        <v>40757</v>
      </c>
      <c r="D74">
        <v>98</v>
      </c>
      <c r="E74" s="20" t="s">
        <v>87</v>
      </c>
      <c r="F74" t="s">
        <v>2</v>
      </c>
      <c r="G74" s="20">
        <v>0.5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</row>
    <row r="75" spans="1:13" x14ac:dyDescent="0.2">
      <c r="A75">
        <v>2011</v>
      </c>
      <c r="B75" s="20" t="s">
        <v>46</v>
      </c>
      <c r="C75" s="2">
        <v>40751</v>
      </c>
      <c r="D75">
        <v>99</v>
      </c>
      <c r="E75" s="20" t="s">
        <v>178</v>
      </c>
      <c r="F75" s="20">
        <v>11</v>
      </c>
      <c r="G75" s="20">
        <v>15</v>
      </c>
      <c r="H75" s="20">
        <v>21</v>
      </c>
      <c r="I75" s="20">
        <v>30</v>
      </c>
      <c r="J75" s="20">
        <v>61</v>
      </c>
      <c r="K75" s="20">
        <v>70</v>
      </c>
      <c r="L75" s="20">
        <v>81</v>
      </c>
      <c r="M75" s="20">
        <v>90</v>
      </c>
    </row>
    <row r="76" spans="1:13" x14ac:dyDescent="0.2">
      <c r="A76">
        <v>2011</v>
      </c>
      <c r="B76" s="20" t="s">
        <v>46</v>
      </c>
      <c r="C76" s="2">
        <v>40751</v>
      </c>
      <c r="D76">
        <v>99</v>
      </c>
      <c r="E76" s="20" t="s">
        <v>179</v>
      </c>
      <c r="F76" s="20">
        <v>11</v>
      </c>
      <c r="G76" s="20">
        <v>15</v>
      </c>
      <c r="H76" s="20">
        <v>21</v>
      </c>
      <c r="I76" s="20">
        <v>30</v>
      </c>
      <c r="J76" s="20">
        <v>61</v>
      </c>
      <c r="K76" s="20">
        <v>70</v>
      </c>
      <c r="L76" s="20">
        <v>81</v>
      </c>
      <c r="M76" s="20">
        <v>90</v>
      </c>
    </row>
    <row r="77" spans="1:13" x14ac:dyDescent="0.2">
      <c r="A77">
        <v>2011</v>
      </c>
      <c r="B77" s="20" t="s">
        <v>46</v>
      </c>
      <c r="C77" s="2">
        <v>40751</v>
      </c>
      <c r="D77">
        <v>99</v>
      </c>
      <c r="E77" s="20" t="s">
        <v>180</v>
      </c>
      <c r="F77" t="s">
        <v>2</v>
      </c>
      <c r="G77" s="20">
        <v>0.5</v>
      </c>
      <c r="H77" t="s">
        <v>2</v>
      </c>
      <c r="I77" s="20">
        <v>0.5</v>
      </c>
      <c r="J77" s="20">
        <v>0</v>
      </c>
      <c r="K77" s="20">
        <v>0</v>
      </c>
      <c r="L77" s="20">
        <v>0</v>
      </c>
      <c r="M77" s="20">
        <v>0</v>
      </c>
    </row>
    <row r="78" spans="1:13" x14ac:dyDescent="0.2">
      <c r="A78">
        <v>2011</v>
      </c>
      <c r="B78" s="20" t="s">
        <v>46</v>
      </c>
      <c r="C78" s="2">
        <v>40751</v>
      </c>
      <c r="D78">
        <v>99</v>
      </c>
      <c r="E78" s="20" t="s">
        <v>87</v>
      </c>
      <c r="F78" t="s">
        <v>2</v>
      </c>
      <c r="G78" s="20">
        <v>0.5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</row>
    <row r="79" spans="1:13" x14ac:dyDescent="0.2">
      <c r="A79">
        <v>2011</v>
      </c>
      <c r="B79" s="20" t="s">
        <v>46</v>
      </c>
      <c r="C79" s="2">
        <v>40751</v>
      </c>
      <c r="D79">
        <v>99</v>
      </c>
      <c r="E79" s="20" t="s">
        <v>56</v>
      </c>
      <c r="F79" t="s">
        <v>2</v>
      </c>
      <c r="G79" s="20">
        <v>0.5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</row>
    <row r="80" spans="1:13" x14ac:dyDescent="0.2">
      <c r="A80">
        <v>2011</v>
      </c>
      <c r="B80" s="20" t="s">
        <v>46</v>
      </c>
      <c r="C80" s="2">
        <v>40724</v>
      </c>
      <c r="D80">
        <v>100</v>
      </c>
      <c r="E80" s="20" t="s">
        <v>178</v>
      </c>
      <c r="F80" s="20">
        <v>61</v>
      </c>
      <c r="G80" s="20">
        <v>70</v>
      </c>
      <c r="H80" s="20">
        <v>41</v>
      </c>
      <c r="I80" s="20">
        <v>50</v>
      </c>
      <c r="J80" s="20">
        <v>61</v>
      </c>
      <c r="K80" s="20">
        <v>70</v>
      </c>
      <c r="L80" s="20">
        <v>61</v>
      </c>
      <c r="M80" s="20">
        <v>70</v>
      </c>
    </row>
    <row r="81" spans="1:13" x14ac:dyDescent="0.2">
      <c r="A81">
        <v>2011</v>
      </c>
      <c r="B81" s="20" t="s">
        <v>46</v>
      </c>
      <c r="C81" s="2">
        <v>40724</v>
      </c>
      <c r="D81">
        <v>100</v>
      </c>
      <c r="E81" s="20" t="s">
        <v>179</v>
      </c>
      <c r="F81" s="20">
        <v>61</v>
      </c>
      <c r="G81" s="20">
        <v>70</v>
      </c>
      <c r="H81" s="20">
        <v>41</v>
      </c>
      <c r="I81" s="20">
        <v>50</v>
      </c>
      <c r="J81" s="20">
        <v>61</v>
      </c>
      <c r="K81" s="20">
        <v>70</v>
      </c>
      <c r="L81" s="20">
        <v>61</v>
      </c>
      <c r="M81" s="20">
        <v>70</v>
      </c>
    </row>
    <row r="82" spans="1:13" x14ac:dyDescent="0.2">
      <c r="A82">
        <v>2011</v>
      </c>
      <c r="B82" s="20" t="s">
        <v>46</v>
      </c>
      <c r="C82" s="2">
        <v>40724</v>
      </c>
      <c r="D82">
        <v>100</v>
      </c>
      <c r="E82" s="20" t="s">
        <v>84</v>
      </c>
      <c r="F82" s="20">
        <v>1</v>
      </c>
      <c r="G82" s="20">
        <v>3</v>
      </c>
      <c r="H82" s="20">
        <v>1</v>
      </c>
      <c r="I82" s="20">
        <v>3</v>
      </c>
      <c r="J82" s="20" t="s">
        <v>2</v>
      </c>
      <c r="K82" s="20">
        <v>0.5</v>
      </c>
      <c r="L82" s="20">
        <v>0</v>
      </c>
      <c r="M82" s="20">
        <v>0</v>
      </c>
    </row>
    <row r="83" spans="1:13" x14ac:dyDescent="0.2">
      <c r="A83">
        <v>2011</v>
      </c>
      <c r="B83" s="20" t="s">
        <v>46</v>
      </c>
      <c r="C83" s="2">
        <v>40724</v>
      </c>
      <c r="D83">
        <v>100</v>
      </c>
      <c r="E83" s="20" t="s">
        <v>87</v>
      </c>
      <c r="F83" s="20" t="s">
        <v>2</v>
      </c>
      <c r="G83" s="20">
        <v>0.5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</row>
    <row r="84" spans="1:13" x14ac:dyDescent="0.2">
      <c r="A84">
        <v>2011</v>
      </c>
      <c r="B84" s="20" t="s">
        <v>46</v>
      </c>
      <c r="C84" s="2">
        <v>40724</v>
      </c>
      <c r="D84">
        <v>100</v>
      </c>
      <c r="E84" s="20" t="s">
        <v>56</v>
      </c>
      <c r="F84" s="20" t="s">
        <v>2</v>
      </c>
      <c r="G84" s="20">
        <v>0.5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</row>
    <row r="85" spans="1:13" x14ac:dyDescent="0.2">
      <c r="A85">
        <v>2011</v>
      </c>
      <c r="B85" s="20" t="s">
        <v>46</v>
      </c>
      <c r="C85" s="2">
        <v>40724</v>
      </c>
      <c r="D85">
        <v>101</v>
      </c>
      <c r="E85" s="20" t="s">
        <v>178</v>
      </c>
      <c r="F85" s="20">
        <v>81</v>
      </c>
      <c r="G85" s="20">
        <v>90</v>
      </c>
      <c r="H85" s="20">
        <v>21</v>
      </c>
      <c r="I85" s="20">
        <v>30</v>
      </c>
      <c r="J85" s="20">
        <v>6</v>
      </c>
      <c r="K85" s="20">
        <v>8</v>
      </c>
      <c r="L85" s="20">
        <v>81</v>
      </c>
      <c r="M85" s="20">
        <v>90</v>
      </c>
    </row>
    <row r="86" spans="1:13" x14ac:dyDescent="0.2">
      <c r="A86">
        <v>2011</v>
      </c>
      <c r="B86" s="20" t="s">
        <v>46</v>
      </c>
      <c r="C86" s="2">
        <v>40724</v>
      </c>
      <c r="D86">
        <v>101</v>
      </c>
      <c r="E86" s="20" t="s">
        <v>179</v>
      </c>
      <c r="F86" s="20">
        <v>81</v>
      </c>
      <c r="G86" s="20">
        <v>90</v>
      </c>
      <c r="H86" s="20">
        <v>21</v>
      </c>
      <c r="I86" s="20">
        <v>30</v>
      </c>
      <c r="J86" s="20">
        <v>6</v>
      </c>
      <c r="K86" s="20">
        <v>8</v>
      </c>
      <c r="L86" s="20">
        <v>81</v>
      </c>
      <c r="M86" s="20">
        <v>90</v>
      </c>
    </row>
    <row r="87" spans="1:13" x14ac:dyDescent="0.2">
      <c r="A87">
        <v>2011</v>
      </c>
      <c r="B87" s="20" t="s">
        <v>46</v>
      </c>
      <c r="C87" s="2">
        <v>40724</v>
      </c>
      <c r="D87">
        <v>101</v>
      </c>
      <c r="E87" s="20" t="s">
        <v>56</v>
      </c>
      <c r="F87" s="20" t="s">
        <v>2</v>
      </c>
      <c r="G87" s="20">
        <v>0.5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</row>
    <row r="88" spans="1:13" x14ac:dyDescent="0.2">
      <c r="A88">
        <v>2011</v>
      </c>
      <c r="B88" s="20" t="s">
        <v>46</v>
      </c>
      <c r="C88" s="2">
        <v>40724</v>
      </c>
      <c r="D88">
        <v>101</v>
      </c>
      <c r="E88" s="20" t="s">
        <v>60</v>
      </c>
      <c r="F88" s="20" t="s">
        <v>2</v>
      </c>
      <c r="G88" s="20">
        <v>0.5</v>
      </c>
      <c r="H88" s="20" t="s">
        <v>2</v>
      </c>
      <c r="I88" s="20">
        <v>0.5</v>
      </c>
      <c r="J88" s="20">
        <v>0</v>
      </c>
      <c r="K88" s="20">
        <v>0</v>
      </c>
      <c r="L88" s="20">
        <v>0</v>
      </c>
      <c r="M88" s="20">
        <v>0</v>
      </c>
    </row>
    <row r="89" spans="1:13" x14ac:dyDescent="0.2">
      <c r="A89">
        <v>2011</v>
      </c>
      <c r="B89" s="20" t="s">
        <v>46</v>
      </c>
      <c r="C89" s="2">
        <v>40724</v>
      </c>
      <c r="D89">
        <v>101</v>
      </c>
      <c r="E89" s="20" t="s">
        <v>181</v>
      </c>
      <c r="F89" s="20" t="s">
        <v>2</v>
      </c>
      <c r="G89" s="20">
        <v>0.5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</row>
    <row r="90" spans="1:13" x14ac:dyDescent="0.2">
      <c r="A90">
        <v>2011</v>
      </c>
      <c r="B90" s="20" t="s">
        <v>46</v>
      </c>
      <c r="C90" s="2">
        <v>40724</v>
      </c>
      <c r="D90">
        <v>101</v>
      </c>
      <c r="E90" s="20" t="s">
        <v>53</v>
      </c>
      <c r="F90" s="20" t="s">
        <v>2</v>
      </c>
      <c r="G90" s="20">
        <v>0.5</v>
      </c>
      <c r="H90" s="20" t="s">
        <v>2</v>
      </c>
      <c r="I90" s="20">
        <v>0.5</v>
      </c>
      <c r="J90" s="20">
        <v>0</v>
      </c>
      <c r="K90" s="20">
        <v>0</v>
      </c>
      <c r="L90" s="20">
        <v>0</v>
      </c>
      <c r="M90" s="20">
        <v>0</v>
      </c>
    </row>
    <row r="91" spans="1:13" x14ac:dyDescent="0.2">
      <c r="A91">
        <v>2011</v>
      </c>
      <c r="B91" s="20" t="s">
        <v>46</v>
      </c>
      <c r="C91" s="2">
        <v>40724</v>
      </c>
      <c r="D91">
        <v>102</v>
      </c>
      <c r="E91" s="20" t="s">
        <v>178</v>
      </c>
      <c r="F91" s="20">
        <v>61</v>
      </c>
      <c r="G91" s="20">
        <v>70</v>
      </c>
      <c r="H91" s="20">
        <v>1</v>
      </c>
      <c r="I91" s="20">
        <v>3</v>
      </c>
      <c r="J91" s="20">
        <v>6</v>
      </c>
      <c r="K91" s="20">
        <v>8</v>
      </c>
      <c r="L91" s="20">
        <v>81</v>
      </c>
      <c r="M91" s="20">
        <v>90</v>
      </c>
    </row>
    <row r="92" spans="1:13" x14ac:dyDescent="0.2">
      <c r="A92">
        <v>2011</v>
      </c>
      <c r="B92" s="20" t="s">
        <v>46</v>
      </c>
      <c r="C92" s="2">
        <v>40724</v>
      </c>
      <c r="D92">
        <v>102</v>
      </c>
      <c r="E92" s="20" t="s">
        <v>179</v>
      </c>
      <c r="F92" s="20">
        <v>61</v>
      </c>
      <c r="G92" s="20">
        <v>70</v>
      </c>
      <c r="H92" s="20">
        <v>1</v>
      </c>
      <c r="I92" s="20">
        <v>3</v>
      </c>
      <c r="J92" s="20">
        <v>6</v>
      </c>
      <c r="K92" s="20">
        <v>8</v>
      </c>
      <c r="L92" s="20">
        <v>81</v>
      </c>
      <c r="M92" s="20">
        <v>90</v>
      </c>
    </row>
    <row r="93" spans="1:13" x14ac:dyDescent="0.2">
      <c r="A93">
        <v>2011</v>
      </c>
      <c r="B93" s="20" t="s">
        <v>46</v>
      </c>
      <c r="C93" s="2">
        <v>40724</v>
      </c>
      <c r="D93">
        <v>102</v>
      </c>
      <c r="E93" s="20" t="s">
        <v>181</v>
      </c>
      <c r="F93" s="20" t="s">
        <v>2</v>
      </c>
      <c r="G93" s="20">
        <v>0.5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</row>
    <row r="94" spans="1:13" x14ac:dyDescent="0.2">
      <c r="A94">
        <v>2011</v>
      </c>
      <c r="B94" s="20" t="s">
        <v>46</v>
      </c>
      <c r="C94" s="2">
        <v>40724</v>
      </c>
      <c r="D94">
        <v>102</v>
      </c>
      <c r="E94" s="20" t="s">
        <v>87</v>
      </c>
      <c r="F94" s="20" t="s">
        <v>2</v>
      </c>
      <c r="G94" s="20">
        <v>0.5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</row>
    <row r="95" spans="1:13" x14ac:dyDescent="0.2">
      <c r="A95">
        <v>2011</v>
      </c>
      <c r="B95" s="20" t="s">
        <v>46</v>
      </c>
      <c r="C95" s="2">
        <v>40724</v>
      </c>
      <c r="D95">
        <v>102</v>
      </c>
      <c r="E95" s="20" t="s">
        <v>60</v>
      </c>
      <c r="F95" s="20" t="s">
        <v>2</v>
      </c>
      <c r="G95" s="20">
        <v>0.5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</row>
    <row r="96" spans="1:13" x14ac:dyDescent="0.2">
      <c r="A96">
        <v>2011</v>
      </c>
      <c r="B96" s="20" t="s">
        <v>46</v>
      </c>
      <c r="C96" s="2">
        <v>40743</v>
      </c>
      <c r="D96">
        <v>121</v>
      </c>
      <c r="E96" s="20" t="s">
        <v>178</v>
      </c>
      <c r="F96" s="20">
        <v>21</v>
      </c>
      <c r="G96" s="20">
        <v>30</v>
      </c>
      <c r="H96" s="20">
        <v>61</v>
      </c>
      <c r="I96" s="20">
        <v>70</v>
      </c>
      <c r="J96" s="20">
        <v>61</v>
      </c>
      <c r="K96" s="20">
        <v>70</v>
      </c>
      <c r="L96" s="20">
        <v>81</v>
      </c>
      <c r="M96" s="20">
        <v>90</v>
      </c>
    </row>
    <row r="97" spans="1:14" x14ac:dyDescent="0.2">
      <c r="A97">
        <v>2011</v>
      </c>
      <c r="B97" s="20" t="s">
        <v>46</v>
      </c>
      <c r="C97" s="2">
        <v>40743</v>
      </c>
      <c r="D97">
        <v>121</v>
      </c>
      <c r="E97" s="20" t="s">
        <v>179</v>
      </c>
      <c r="F97" s="20">
        <v>21</v>
      </c>
      <c r="G97" s="20">
        <v>30</v>
      </c>
      <c r="H97" s="20">
        <v>61</v>
      </c>
      <c r="I97" s="20">
        <v>70</v>
      </c>
      <c r="J97" s="20">
        <v>61</v>
      </c>
      <c r="K97" s="20">
        <v>70</v>
      </c>
      <c r="L97" s="20">
        <v>81</v>
      </c>
      <c r="M97" s="20">
        <v>90</v>
      </c>
    </row>
    <row r="98" spans="1:14" x14ac:dyDescent="0.2">
      <c r="A98">
        <v>2011</v>
      </c>
      <c r="B98" s="20" t="s">
        <v>46</v>
      </c>
      <c r="C98" s="2">
        <v>40743</v>
      </c>
      <c r="D98">
        <v>121</v>
      </c>
      <c r="E98" s="20" t="s">
        <v>60</v>
      </c>
      <c r="F98" s="20" t="s">
        <v>2</v>
      </c>
      <c r="G98" s="20">
        <v>0.5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8" t="s">
        <v>182</v>
      </c>
    </row>
    <row r="99" spans="1:14" x14ac:dyDescent="0.2">
      <c r="A99">
        <v>2011</v>
      </c>
      <c r="B99" s="20" t="s">
        <v>46</v>
      </c>
      <c r="C99" s="2">
        <v>40743</v>
      </c>
      <c r="D99">
        <v>122</v>
      </c>
      <c r="E99" s="20" t="s">
        <v>178</v>
      </c>
      <c r="F99" s="20">
        <v>61</v>
      </c>
      <c r="G99" s="20">
        <v>70</v>
      </c>
      <c r="H99" s="20">
        <v>81</v>
      </c>
      <c r="I99" s="20">
        <v>90</v>
      </c>
      <c r="J99" s="20">
        <v>11</v>
      </c>
      <c r="K99" s="20">
        <v>15</v>
      </c>
      <c r="L99" s="20">
        <v>81</v>
      </c>
      <c r="M99" s="20">
        <v>90</v>
      </c>
    </row>
    <row r="100" spans="1:14" x14ac:dyDescent="0.2">
      <c r="A100">
        <v>2011</v>
      </c>
      <c r="B100" s="20" t="s">
        <v>46</v>
      </c>
      <c r="C100" s="2">
        <v>40743</v>
      </c>
      <c r="D100">
        <v>122</v>
      </c>
      <c r="E100" s="20" t="s">
        <v>179</v>
      </c>
      <c r="F100" s="20">
        <v>61</v>
      </c>
      <c r="G100" s="20">
        <v>70</v>
      </c>
      <c r="H100" s="20">
        <v>81</v>
      </c>
      <c r="I100" s="20">
        <v>90</v>
      </c>
      <c r="J100" s="20">
        <v>11</v>
      </c>
      <c r="K100" s="20">
        <v>15</v>
      </c>
      <c r="L100" s="20">
        <v>81</v>
      </c>
      <c r="M100" s="20">
        <v>90</v>
      </c>
    </row>
    <row r="101" spans="1:14" x14ac:dyDescent="0.2">
      <c r="A101">
        <v>2011</v>
      </c>
      <c r="B101" s="20" t="s">
        <v>46</v>
      </c>
      <c r="C101" s="2">
        <v>40743</v>
      </c>
      <c r="D101">
        <v>122</v>
      </c>
      <c r="E101" s="20" t="s">
        <v>60</v>
      </c>
      <c r="F101" s="20" t="s">
        <v>2</v>
      </c>
      <c r="G101" s="20">
        <v>0.5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</row>
    <row r="102" spans="1:14" x14ac:dyDescent="0.2">
      <c r="A102">
        <v>2011</v>
      </c>
      <c r="B102" s="20" t="s">
        <v>46</v>
      </c>
      <c r="C102" s="2">
        <v>40743</v>
      </c>
      <c r="D102">
        <v>123</v>
      </c>
      <c r="E102" s="20" t="s">
        <v>178</v>
      </c>
      <c r="F102" s="20">
        <v>11</v>
      </c>
      <c r="G102" s="20">
        <v>15</v>
      </c>
      <c r="H102" s="20">
        <v>11</v>
      </c>
      <c r="I102" s="20">
        <v>15</v>
      </c>
      <c r="J102" s="20">
        <v>21</v>
      </c>
      <c r="K102" s="20">
        <v>30</v>
      </c>
      <c r="L102" s="20">
        <v>81</v>
      </c>
      <c r="M102" s="20">
        <v>90</v>
      </c>
    </row>
    <row r="103" spans="1:14" x14ac:dyDescent="0.2">
      <c r="A103">
        <v>2011</v>
      </c>
      <c r="B103" s="20" t="s">
        <v>46</v>
      </c>
      <c r="C103" s="2">
        <v>40743</v>
      </c>
      <c r="D103">
        <v>123</v>
      </c>
      <c r="E103" s="20" t="s">
        <v>179</v>
      </c>
      <c r="F103" s="20">
        <v>11</v>
      </c>
      <c r="G103" s="20">
        <v>15</v>
      </c>
      <c r="H103" s="20">
        <v>11</v>
      </c>
      <c r="I103" s="20">
        <v>15</v>
      </c>
      <c r="J103" s="20">
        <v>21</v>
      </c>
      <c r="K103" s="20">
        <v>30</v>
      </c>
      <c r="L103" s="20">
        <v>81</v>
      </c>
      <c r="M103" s="20">
        <v>90</v>
      </c>
    </row>
    <row r="104" spans="1:14" x14ac:dyDescent="0.2">
      <c r="A104">
        <v>2011</v>
      </c>
      <c r="B104" s="20" t="s">
        <v>46</v>
      </c>
      <c r="C104" s="2">
        <v>40743</v>
      </c>
      <c r="D104">
        <v>123</v>
      </c>
      <c r="E104" s="20" t="s">
        <v>60</v>
      </c>
      <c r="F104" s="20">
        <v>1</v>
      </c>
      <c r="G104" s="20">
        <v>3</v>
      </c>
      <c r="H104" s="20" t="s">
        <v>2</v>
      </c>
      <c r="I104" s="20">
        <v>0.5</v>
      </c>
      <c r="J104" s="20">
        <v>0</v>
      </c>
      <c r="K104" s="20">
        <v>0</v>
      </c>
      <c r="L104" s="20">
        <v>0</v>
      </c>
      <c r="M104" s="20">
        <v>0</v>
      </c>
    </row>
    <row r="105" spans="1:14" x14ac:dyDescent="0.2">
      <c r="B105" s="20"/>
    </row>
    <row r="106" spans="1:14" x14ac:dyDescent="0.2">
      <c r="B106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0"/>
  <sheetViews>
    <sheetView workbookViewId="0">
      <pane ySplit="3" topLeftCell="A4" activePane="bottomLeft" state="frozen"/>
      <selection pane="bottomLeft" activeCell="I12" sqref="I12"/>
    </sheetView>
  </sheetViews>
  <sheetFormatPr defaultRowHeight="12.75" x14ac:dyDescent="0.2"/>
  <cols>
    <col min="1" max="1" width="8.7109375" customWidth="1"/>
    <col min="2" max="2" width="9.5703125" customWidth="1"/>
    <col min="3" max="3" width="9.140625" style="2" customWidth="1"/>
    <col min="5" max="5" width="21.28515625" customWidth="1"/>
    <col min="11" max="11" width="8.85546875" style="28"/>
  </cols>
  <sheetData>
    <row r="1" spans="1:11" x14ac:dyDescent="0.2">
      <c r="A1" s="2" t="s">
        <v>183</v>
      </c>
      <c r="F1" t="s">
        <v>184</v>
      </c>
      <c r="G1">
        <f>3.14159*(8*8)</f>
        <v>201.06175999999999</v>
      </c>
    </row>
    <row r="2" spans="1:11" x14ac:dyDescent="0.2">
      <c r="A2" t="s">
        <v>185</v>
      </c>
    </row>
    <row r="3" spans="1:11" ht="13.5" thickBot="1" x14ac:dyDescent="0.25">
      <c r="A3" s="24" t="s">
        <v>8</v>
      </c>
      <c r="B3" s="24" t="s">
        <v>9</v>
      </c>
      <c r="C3" s="5" t="s">
        <v>10</v>
      </c>
      <c r="D3" s="6" t="s">
        <v>11</v>
      </c>
      <c r="E3" s="6" t="s">
        <v>12</v>
      </c>
      <c r="F3" s="6" t="s">
        <v>186</v>
      </c>
      <c r="G3" s="6" t="s">
        <v>187</v>
      </c>
      <c r="H3" s="6" t="s">
        <v>188</v>
      </c>
      <c r="I3" s="6" t="s">
        <v>189</v>
      </c>
      <c r="J3" s="6" t="s">
        <v>190</v>
      </c>
      <c r="K3" s="20" t="s">
        <v>45</v>
      </c>
    </row>
    <row r="4" spans="1:11" ht="13.5" thickTop="1" x14ac:dyDescent="0.2">
      <c r="A4">
        <v>2011</v>
      </c>
      <c r="B4" s="20" t="s">
        <v>46</v>
      </c>
      <c r="C4" s="2">
        <v>40722</v>
      </c>
      <c r="D4">
        <v>49</v>
      </c>
      <c r="E4" s="20" t="s">
        <v>50</v>
      </c>
      <c r="F4" s="20">
        <v>3</v>
      </c>
      <c r="G4" s="20">
        <v>1</v>
      </c>
      <c r="H4" s="20">
        <v>3</v>
      </c>
      <c r="I4" s="20">
        <v>2</v>
      </c>
      <c r="J4">
        <f>SUM(F4:I4)</f>
        <v>9</v>
      </c>
    </row>
    <row r="5" spans="1:11" x14ac:dyDescent="0.2">
      <c r="A5">
        <v>2011</v>
      </c>
      <c r="B5" s="20" t="s">
        <v>46</v>
      </c>
      <c r="C5" s="2">
        <v>40722</v>
      </c>
      <c r="D5">
        <v>49</v>
      </c>
      <c r="E5" s="20" t="s">
        <v>51</v>
      </c>
      <c r="F5" s="20">
        <v>1</v>
      </c>
      <c r="G5" s="20">
        <v>0</v>
      </c>
      <c r="H5" s="20">
        <v>0</v>
      </c>
      <c r="I5" s="20">
        <v>1</v>
      </c>
      <c r="J5">
        <f t="shared" ref="J5:J118" si="0">SUM(F5:I5)</f>
        <v>2</v>
      </c>
    </row>
    <row r="6" spans="1:11" x14ac:dyDescent="0.2">
      <c r="A6">
        <v>2011</v>
      </c>
      <c r="B6" s="20" t="s">
        <v>46</v>
      </c>
      <c r="C6" s="2">
        <v>40722</v>
      </c>
      <c r="D6">
        <v>49</v>
      </c>
      <c r="E6" s="20" t="s">
        <v>47</v>
      </c>
      <c r="F6" s="20">
        <v>1</v>
      </c>
      <c r="G6" s="20">
        <v>0</v>
      </c>
      <c r="H6" s="20">
        <v>1</v>
      </c>
      <c r="I6" s="20">
        <v>0</v>
      </c>
      <c r="J6">
        <f t="shared" si="0"/>
        <v>2</v>
      </c>
    </row>
    <row r="7" spans="1:11" x14ac:dyDescent="0.2">
      <c r="A7">
        <v>2011</v>
      </c>
      <c r="B7" s="20" t="s">
        <v>46</v>
      </c>
      <c r="C7" s="2">
        <v>40722</v>
      </c>
      <c r="D7">
        <v>49</v>
      </c>
      <c r="E7" s="20" t="s">
        <v>54</v>
      </c>
      <c r="F7" s="20">
        <v>0</v>
      </c>
      <c r="G7" s="20">
        <v>2</v>
      </c>
      <c r="H7" s="20">
        <v>0</v>
      </c>
      <c r="I7" s="20">
        <v>0</v>
      </c>
      <c r="J7">
        <f t="shared" si="0"/>
        <v>2</v>
      </c>
      <c r="K7" s="28" t="s">
        <v>191</v>
      </c>
    </row>
    <row r="8" spans="1:11" x14ac:dyDescent="0.2">
      <c r="A8">
        <v>2011</v>
      </c>
      <c r="B8" s="20" t="s">
        <v>46</v>
      </c>
      <c r="C8" s="2">
        <v>40722</v>
      </c>
      <c r="D8">
        <v>49</v>
      </c>
      <c r="E8" s="20" t="s">
        <v>64</v>
      </c>
      <c r="F8" s="20">
        <v>0</v>
      </c>
      <c r="G8" s="20">
        <v>0</v>
      </c>
      <c r="H8" s="20">
        <v>1</v>
      </c>
      <c r="I8" s="20">
        <v>0</v>
      </c>
      <c r="J8">
        <f t="shared" si="0"/>
        <v>1</v>
      </c>
    </row>
    <row r="9" spans="1:11" x14ac:dyDescent="0.2">
      <c r="A9">
        <v>2011</v>
      </c>
      <c r="B9" s="20" t="s">
        <v>46</v>
      </c>
      <c r="C9" s="2">
        <v>40722</v>
      </c>
      <c r="D9">
        <v>49</v>
      </c>
      <c r="E9" s="20" t="s">
        <v>49</v>
      </c>
      <c r="F9" s="20">
        <v>0</v>
      </c>
      <c r="G9" s="20">
        <v>0</v>
      </c>
      <c r="H9" s="20">
        <v>4</v>
      </c>
      <c r="I9" s="20">
        <v>2</v>
      </c>
      <c r="J9">
        <f t="shared" si="0"/>
        <v>6</v>
      </c>
    </row>
    <row r="10" spans="1:11" x14ac:dyDescent="0.2">
      <c r="A10">
        <v>2011</v>
      </c>
      <c r="B10" s="20" t="s">
        <v>46</v>
      </c>
      <c r="C10" s="2">
        <v>40722</v>
      </c>
      <c r="D10">
        <v>49</v>
      </c>
      <c r="E10" s="20" t="s">
        <v>59</v>
      </c>
      <c r="F10" s="20">
        <v>0</v>
      </c>
      <c r="G10" s="20">
        <v>0</v>
      </c>
      <c r="H10" s="20">
        <v>0</v>
      </c>
      <c r="I10" s="20">
        <v>1</v>
      </c>
      <c r="J10">
        <f t="shared" si="0"/>
        <v>1</v>
      </c>
      <c r="K10" s="28" t="s">
        <v>192</v>
      </c>
    </row>
    <row r="11" spans="1:11" x14ac:dyDescent="0.2">
      <c r="A11">
        <v>2011</v>
      </c>
      <c r="B11" s="20" t="s">
        <v>46</v>
      </c>
      <c r="C11" s="2">
        <v>40722</v>
      </c>
      <c r="D11">
        <v>49</v>
      </c>
      <c r="E11" s="20" t="s">
        <v>94</v>
      </c>
      <c r="F11" s="20">
        <v>0</v>
      </c>
      <c r="G11" s="20">
        <v>0</v>
      </c>
      <c r="H11" s="20">
        <v>0</v>
      </c>
      <c r="I11" s="20">
        <v>1</v>
      </c>
      <c r="J11">
        <f t="shared" si="0"/>
        <v>1</v>
      </c>
    </row>
    <row r="12" spans="1:11" x14ac:dyDescent="0.2">
      <c r="A12">
        <v>2011</v>
      </c>
      <c r="B12" s="20" t="s">
        <v>46</v>
      </c>
      <c r="C12" s="2">
        <v>40722</v>
      </c>
      <c r="D12">
        <v>49</v>
      </c>
      <c r="E12" s="20" t="s">
        <v>55</v>
      </c>
      <c r="F12" s="20">
        <f>(201*0.06)</f>
        <v>12.059999999999999</v>
      </c>
      <c r="G12" s="20">
        <f>(201*0.02)</f>
        <v>4.0200000000000005</v>
      </c>
      <c r="H12" s="20">
        <f>(201*0.03)</f>
        <v>6.0299999999999994</v>
      </c>
      <c r="I12" s="20">
        <f>(201*0.05)</f>
        <v>10.050000000000001</v>
      </c>
      <c r="J12">
        <f t="shared" si="0"/>
        <v>32.159999999999997</v>
      </c>
    </row>
    <row r="13" spans="1:11" x14ac:dyDescent="0.2">
      <c r="A13">
        <v>2011</v>
      </c>
      <c r="B13" s="20" t="s">
        <v>46</v>
      </c>
      <c r="C13" s="2">
        <v>40722</v>
      </c>
      <c r="D13">
        <v>49</v>
      </c>
      <c r="E13" s="20" t="s">
        <v>66</v>
      </c>
      <c r="F13" s="20">
        <v>0</v>
      </c>
      <c r="G13" s="20">
        <f>(1.1*1.1)</f>
        <v>1.2100000000000002</v>
      </c>
      <c r="H13" s="20">
        <v>0</v>
      </c>
      <c r="I13" s="20">
        <f>(2*1.9)</f>
        <v>3.8</v>
      </c>
      <c r="J13">
        <f t="shared" si="0"/>
        <v>5.01</v>
      </c>
    </row>
    <row r="14" spans="1:11" x14ac:dyDescent="0.2">
      <c r="A14">
        <v>2011</v>
      </c>
      <c r="B14" s="20" t="s">
        <v>46</v>
      </c>
      <c r="C14" s="2">
        <v>40722</v>
      </c>
      <c r="D14">
        <v>49</v>
      </c>
      <c r="E14" s="20" t="s">
        <v>58</v>
      </c>
      <c r="F14" s="20">
        <v>0</v>
      </c>
      <c r="G14" s="20">
        <f>(2.1*1.5)</f>
        <v>3.1500000000000004</v>
      </c>
      <c r="H14" s="20">
        <v>0</v>
      </c>
      <c r="I14" s="20">
        <v>0</v>
      </c>
      <c r="J14">
        <f t="shared" si="0"/>
        <v>3.1500000000000004</v>
      </c>
    </row>
    <row r="15" spans="1:11" x14ac:dyDescent="0.2">
      <c r="A15">
        <v>2011</v>
      </c>
      <c r="B15" s="20" t="s">
        <v>46</v>
      </c>
      <c r="C15" s="2">
        <v>40722</v>
      </c>
      <c r="D15">
        <v>49</v>
      </c>
      <c r="E15" s="20" t="s">
        <v>180</v>
      </c>
      <c r="F15" s="20">
        <v>0</v>
      </c>
      <c r="G15" s="20">
        <v>0</v>
      </c>
      <c r="H15" s="20">
        <f>(201*0.01)</f>
        <v>2.0100000000000002</v>
      </c>
      <c r="I15" s="20">
        <v>0</v>
      </c>
      <c r="J15">
        <f t="shared" si="0"/>
        <v>2.0100000000000002</v>
      </c>
    </row>
    <row r="16" spans="1:11" x14ac:dyDescent="0.2">
      <c r="A16">
        <v>2011</v>
      </c>
      <c r="B16" s="20" t="s">
        <v>46</v>
      </c>
      <c r="C16" s="2">
        <v>40711</v>
      </c>
      <c r="D16">
        <v>50</v>
      </c>
      <c r="E16" s="20" t="s">
        <v>50</v>
      </c>
      <c r="F16" s="20">
        <v>1</v>
      </c>
      <c r="G16" s="20">
        <v>0</v>
      </c>
      <c r="H16" s="20">
        <v>0</v>
      </c>
      <c r="I16" s="20">
        <v>3</v>
      </c>
      <c r="J16">
        <f t="shared" si="0"/>
        <v>4</v>
      </c>
    </row>
    <row r="17" spans="1:11" x14ac:dyDescent="0.2">
      <c r="A17">
        <v>2011</v>
      </c>
      <c r="B17" s="20" t="s">
        <v>46</v>
      </c>
      <c r="C17" s="2">
        <v>40711</v>
      </c>
      <c r="D17">
        <v>50</v>
      </c>
      <c r="E17" s="20" t="s">
        <v>47</v>
      </c>
      <c r="F17" s="20">
        <v>1</v>
      </c>
      <c r="G17" s="20">
        <v>0</v>
      </c>
      <c r="H17" s="20">
        <v>0</v>
      </c>
      <c r="I17" s="20">
        <v>0</v>
      </c>
      <c r="J17">
        <f t="shared" si="0"/>
        <v>1</v>
      </c>
    </row>
    <row r="18" spans="1:11" x14ac:dyDescent="0.2">
      <c r="A18">
        <v>2011</v>
      </c>
      <c r="B18" s="20" t="s">
        <v>46</v>
      </c>
      <c r="C18" s="2">
        <v>40711</v>
      </c>
      <c r="D18">
        <v>50</v>
      </c>
      <c r="E18" s="20" t="s">
        <v>51</v>
      </c>
      <c r="F18" s="20">
        <v>0</v>
      </c>
      <c r="G18" s="20">
        <v>0</v>
      </c>
      <c r="H18" s="20">
        <v>1</v>
      </c>
      <c r="I18" s="20">
        <v>0</v>
      </c>
      <c r="J18">
        <f t="shared" si="0"/>
        <v>1</v>
      </c>
    </row>
    <row r="19" spans="1:11" x14ac:dyDescent="0.2">
      <c r="A19">
        <v>2011</v>
      </c>
      <c r="B19" s="20" t="s">
        <v>46</v>
      </c>
      <c r="C19" s="2">
        <v>40711</v>
      </c>
      <c r="D19">
        <v>50</v>
      </c>
      <c r="E19" s="20" t="s">
        <v>57</v>
      </c>
      <c r="F19" s="20">
        <v>0</v>
      </c>
      <c r="G19" s="20">
        <v>0</v>
      </c>
      <c r="H19" s="20">
        <v>0</v>
      </c>
      <c r="I19" s="20">
        <v>1</v>
      </c>
      <c r="J19">
        <f t="shared" si="0"/>
        <v>1</v>
      </c>
    </row>
    <row r="20" spans="1:11" x14ac:dyDescent="0.2">
      <c r="A20">
        <v>2011</v>
      </c>
      <c r="B20" s="20" t="s">
        <v>46</v>
      </c>
      <c r="C20" s="2">
        <v>40711</v>
      </c>
      <c r="D20">
        <v>50</v>
      </c>
      <c r="E20" s="20" t="s">
        <v>62</v>
      </c>
      <c r="F20" s="20">
        <v>0</v>
      </c>
      <c r="G20" s="20">
        <v>0</v>
      </c>
      <c r="H20" s="20">
        <v>0</v>
      </c>
      <c r="I20" s="20">
        <v>1</v>
      </c>
      <c r="J20">
        <f t="shared" si="0"/>
        <v>1</v>
      </c>
    </row>
    <row r="21" spans="1:11" x14ac:dyDescent="0.2">
      <c r="A21">
        <v>2011</v>
      </c>
      <c r="B21" s="20" t="s">
        <v>46</v>
      </c>
      <c r="C21" s="2">
        <v>40711</v>
      </c>
      <c r="D21">
        <v>50</v>
      </c>
      <c r="E21" s="20" t="s">
        <v>61</v>
      </c>
      <c r="F21" s="20">
        <v>0</v>
      </c>
      <c r="G21">
        <f>(201*0.03)</f>
        <v>6.0299999999999994</v>
      </c>
      <c r="H21">
        <f>(201*0.03)</f>
        <v>6.0299999999999994</v>
      </c>
      <c r="I21" s="20">
        <f>(201*0.05)</f>
        <v>10.050000000000001</v>
      </c>
      <c r="J21">
        <f t="shared" si="0"/>
        <v>22.11</v>
      </c>
    </row>
    <row r="22" spans="1:11" x14ac:dyDescent="0.2">
      <c r="A22">
        <v>2011</v>
      </c>
      <c r="B22" s="20" t="s">
        <v>46</v>
      </c>
      <c r="C22" s="2">
        <v>40711</v>
      </c>
      <c r="D22">
        <v>50</v>
      </c>
      <c r="E22" s="20" t="s">
        <v>55</v>
      </c>
      <c r="F22" s="20">
        <v>0</v>
      </c>
      <c r="G22" s="20">
        <v>0</v>
      </c>
      <c r="H22">
        <f>(0.8*0.4)</f>
        <v>0.32000000000000006</v>
      </c>
      <c r="I22" s="20">
        <f>(2.1*2)</f>
        <v>4.2</v>
      </c>
      <c r="J22">
        <f t="shared" si="0"/>
        <v>4.5200000000000005</v>
      </c>
    </row>
    <row r="23" spans="1:11" x14ac:dyDescent="0.2">
      <c r="A23">
        <v>2011</v>
      </c>
      <c r="B23" s="20" t="s">
        <v>46</v>
      </c>
      <c r="C23" s="2">
        <v>40710</v>
      </c>
      <c r="D23">
        <v>51</v>
      </c>
      <c r="E23" s="20" t="s">
        <v>50</v>
      </c>
      <c r="F23" s="20">
        <v>4</v>
      </c>
      <c r="G23" s="20">
        <v>5</v>
      </c>
      <c r="H23" s="20">
        <v>3</v>
      </c>
      <c r="I23" s="20">
        <v>7</v>
      </c>
      <c r="J23">
        <f t="shared" si="0"/>
        <v>19</v>
      </c>
      <c r="K23" s="28" t="s">
        <v>193</v>
      </c>
    </row>
    <row r="24" spans="1:11" x14ac:dyDescent="0.2">
      <c r="A24">
        <v>2011</v>
      </c>
      <c r="B24" s="20" t="s">
        <v>46</v>
      </c>
      <c r="C24" s="2">
        <v>40710</v>
      </c>
      <c r="D24">
        <v>51</v>
      </c>
      <c r="E24" s="20" t="s">
        <v>64</v>
      </c>
      <c r="F24" s="20">
        <v>4</v>
      </c>
      <c r="G24" s="20">
        <v>1</v>
      </c>
      <c r="H24" s="20">
        <v>0</v>
      </c>
      <c r="I24" s="20">
        <v>6</v>
      </c>
      <c r="J24">
        <f t="shared" si="0"/>
        <v>11</v>
      </c>
    </row>
    <row r="25" spans="1:11" x14ac:dyDescent="0.2">
      <c r="A25">
        <v>2011</v>
      </c>
      <c r="B25" s="20" t="s">
        <v>46</v>
      </c>
      <c r="C25" s="2">
        <v>40710</v>
      </c>
      <c r="D25">
        <v>51</v>
      </c>
      <c r="E25" s="20" t="s">
        <v>76</v>
      </c>
      <c r="F25" s="20">
        <v>0</v>
      </c>
      <c r="G25" s="20">
        <v>1</v>
      </c>
      <c r="H25" s="20">
        <v>0</v>
      </c>
      <c r="I25" s="20">
        <v>0</v>
      </c>
      <c r="J25">
        <f t="shared" si="0"/>
        <v>1</v>
      </c>
    </row>
    <row r="26" spans="1:11" x14ac:dyDescent="0.2">
      <c r="A26">
        <v>2011</v>
      </c>
      <c r="B26" s="20" t="s">
        <v>46</v>
      </c>
      <c r="C26" s="2">
        <v>40710</v>
      </c>
      <c r="D26">
        <v>51</v>
      </c>
      <c r="E26" s="20" t="s">
        <v>57</v>
      </c>
      <c r="F26" s="20">
        <v>0</v>
      </c>
      <c r="G26" s="20">
        <v>1</v>
      </c>
      <c r="H26" s="20">
        <v>0</v>
      </c>
      <c r="I26" s="20">
        <v>0</v>
      </c>
      <c r="J26">
        <f t="shared" si="0"/>
        <v>1</v>
      </c>
    </row>
    <row r="27" spans="1:11" x14ac:dyDescent="0.2">
      <c r="A27">
        <v>2011</v>
      </c>
      <c r="B27" s="20" t="s">
        <v>46</v>
      </c>
      <c r="C27" s="2">
        <v>40710</v>
      </c>
      <c r="D27">
        <v>51</v>
      </c>
      <c r="E27" s="20" t="s">
        <v>94</v>
      </c>
      <c r="F27" s="20">
        <v>0</v>
      </c>
      <c r="G27" s="20">
        <v>0</v>
      </c>
      <c r="H27" s="20">
        <v>0</v>
      </c>
      <c r="I27" s="20">
        <v>1</v>
      </c>
      <c r="J27">
        <f t="shared" si="0"/>
        <v>1</v>
      </c>
    </row>
    <row r="28" spans="1:11" x14ac:dyDescent="0.2">
      <c r="A28">
        <v>2011</v>
      </c>
      <c r="B28" s="20" t="s">
        <v>46</v>
      </c>
      <c r="C28" s="2">
        <v>40710</v>
      </c>
      <c r="D28">
        <v>51</v>
      </c>
      <c r="E28" s="20" t="s">
        <v>47</v>
      </c>
      <c r="F28" s="20">
        <v>0</v>
      </c>
      <c r="G28" s="20">
        <v>0</v>
      </c>
      <c r="H28" s="20">
        <v>0</v>
      </c>
      <c r="I28" s="20">
        <v>1</v>
      </c>
      <c r="J28">
        <f t="shared" si="0"/>
        <v>1</v>
      </c>
    </row>
    <row r="29" spans="1:11" x14ac:dyDescent="0.2">
      <c r="A29">
        <v>2011</v>
      </c>
      <c r="B29" s="20" t="s">
        <v>46</v>
      </c>
      <c r="C29" s="2">
        <v>40710</v>
      </c>
      <c r="D29">
        <v>51</v>
      </c>
      <c r="E29" s="20" t="s">
        <v>83</v>
      </c>
      <c r="F29" s="20">
        <v>0</v>
      </c>
      <c r="G29" s="20">
        <v>0</v>
      </c>
      <c r="H29" s="20">
        <v>0</v>
      </c>
      <c r="I29" s="20">
        <v>2</v>
      </c>
      <c r="J29">
        <f t="shared" si="0"/>
        <v>2</v>
      </c>
    </row>
    <row r="30" spans="1:11" x14ac:dyDescent="0.2">
      <c r="A30">
        <v>2011</v>
      </c>
      <c r="B30" s="20" t="s">
        <v>46</v>
      </c>
      <c r="C30" s="2">
        <v>40710</v>
      </c>
      <c r="D30">
        <v>51</v>
      </c>
      <c r="E30" s="20" t="s">
        <v>62</v>
      </c>
      <c r="F30" s="20">
        <v>0</v>
      </c>
      <c r="G30" s="20">
        <v>0</v>
      </c>
      <c r="H30" s="20">
        <v>0</v>
      </c>
      <c r="I30" s="20">
        <v>1</v>
      </c>
      <c r="J30">
        <f t="shared" si="0"/>
        <v>1</v>
      </c>
    </row>
    <row r="31" spans="1:11" x14ac:dyDescent="0.2">
      <c r="A31">
        <v>2011</v>
      </c>
      <c r="B31" s="20" t="s">
        <v>46</v>
      </c>
      <c r="C31" s="2">
        <v>40710</v>
      </c>
      <c r="D31">
        <v>51</v>
      </c>
      <c r="E31" s="20" t="s">
        <v>55</v>
      </c>
      <c r="F31">
        <f>(2.6*1.5)</f>
        <v>3.9000000000000004</v>
      </c>
      <c r="G31">
        <f>(1.6*2.1)</f>
        <v>3.3600000000000003</v>
      </c>
      <c r="H31" s="20">
        <f>(0.6*0.2)</f>
        <v>0.12</v>
      </c>
      <c r="I31" s="20">
        <v>0</v>
      </c>
      <c r="J31">
        <f t="shared" si="0"/>
        <v>7.3800000000000008</v>
      </c>
    </row>
    <row r="32" spans="1:11" x14ac:dyDescent="0.2">
      <c r="A32">
        <v>2011</v>
      </c>
      <c r="B32" s="20" t="s">
        <v>46</v>
      </c>
      <c r="C32" s="2">
        <v>40710</v>
      </c>
      <c r="D32">
        <v>51</v>
      </c>
      <c r="E32" s="20" t="s">
        <v>61</v>
      </c>
      <c r="F32" s="20">
        <f>(201*0.03)</f>
        <v>6.0299999999999994</v>
      </c>
      <c r="G32">
        <f>(0.5*0.4)+(0.5*0.3)+(0.8*0.7)+(0.7*0.7)</f>
        <v>1.4</v>
      </c>
      <c r="H32">
        <f>(201*0.2)</f>
        <v>40.200000000000003</v>
      </c>
      <c r="I32" s="20">
        <f>(201*0.1)</f>
        <v>20.100000000000001</v>
      </c>
      <c r="J32">
        <f t="shared" si="0"/>
        <v>67.73</v>
      </c>
    </row>
    <row r="33" spans="1:11" x14ac:dyDescent="0.2">
      <c r="A33">
        <v>2011</v>
      </c>
      <c r="B33" s="20" t="s">
        <v>46</v>
      </c>
      <c r="C33" s="2">
        <v>40710</v>
      </c>
      <c r="D33">
        <v>51</v>
      </c>
      <c r="E33" s="20" t="s">
        <v>87</v>
      </c>
      <c r="F33" s="20">
        <v>0</v>
      </c>
      <c r="G33" s="20">
        <f>(0.7*0.5)</f>
        <v>0.35</v>
      </c>
      <c r="H33" s="20">
        <v>0</v>
      </c>
      <c r="I33" s="20">
        <v>0</v>
      </c>
      <c r="J33">
        <f t="shared" si="0"/>
        <v>0.35</v>
      </c>
    </row>
    <row r="34" spans="1:11" x14ac:dyDescent="0.2">
      <c r="A34">
        <v>2011</v>
      </c>
      <c r="B34" s="20" t="s">
        <v>46</v>
      </c>
      <c r="C34" s="2">
        <v>40710</v>
      </c>
      <c r="D34">
        <v>51</v>
      </c>
      <c r="E34" s="20" t="s">
        <v>66</v>
      </c>
      <c r="F34" s="20">
        <v>0</v>
      </c>
      <c r="G34" s="20">
        <v>0</v>
      </c>
      <c r="H34">
        <f>(1.9*1.7)</f>
        <v>3.23</v>
      </c>
      <c r="I34">
        <f>(4.6*4.2)</f>
        <v>19.32</v>
      </c>
      <c r="J34">
        <f t="shared" si="0"/>
        <v>22.55</v>
      </c>
    </row>
    <row r="35" spans="1:11" x14ac:dyDescent="0.2">
      <c r="A35">
        <v>2011</v>
      </c>
      <c r="B35" s="20" t="s">
        <v>46</v>
      </c>
      <c r="C35" s="2">
        <v>40710</v>
      </c>
      <c r="D35">
        <v>52</v>
      </c>
      <c r="E35" s="20" t="s">
        <v>62</v>
      </c>
      <c r="F35" s="20">
        <v>1</v>
      </c>
      <c r="G35" s="20">
        <v>0</v>
      </c>
      <c r="H35" s="20">
        <v>0</v>
      </c>
      <c r="I35" s="20">
        <v>0</v>
      </c>
      <c r="J35">
        <f t="shared" si="0"/>
        <v>1</v>
      </c>
    </row>
    <row r="36" spans="1:11" x14ac:dyDescent="0.2">
      <c r="A36">
        <v>2011</v>
      </c>
      <c r="B36" s="20" t="s">
        <v>46</v>
      </c>
      <c r="C36" s="2">
        <v>40710</v>
      </c>
      <c r="D36">
        <v>52</v>
      </c>
      <c r="E36" s="20" t="s">
        <v>47</v>
      </c>
      <c r="F36" s="20">
        <v>1</v>
      </c>
      <c r="G36" s="20">
        <v>0</v>
      </c>
      <c r="H36" s="20">
        <v>0</v>
      </c>
      <c r="I36" s="20">
        <v>0</v>
      </c>
      <c r="J36">
        <f t="shared" si="0"/>
        <v>1</v>
      </c>
    </row>
    <row r="37" spans="1:11" x14ac:dyDescent="0.2">
      <c r="A37">
        <v>2011</v>
      </c>
      <c r="B37" s="20" t="s">
        <v>46</v>
      </c>
      <c r="C37" s="2">
        <v>40710</v>
      </c>
      <c r="D37">
        <v>52</v>
      </c>
      <c r="E37" s="20" t="s">
        <v>64</v>
      </c>
      <c r="F37" s="20">
        <v>1</v>
      </c>
      <c r="G37" s="20">
        <v>2</v>
      </c>
      <c r="H37" s="20">
        <v>2</v>
      </c>
      <c r="I37" s="20">
        <v>1</v>
      </c>
      <c r="J37">
        <f t="shared" si="0"/>
        <v>6</v>
      </c>
    </row>
    <row r="38" spans="1:11" x14ac:dyDescent="0.2">
      <c r="A38">
        <v>2011</v>
      </c>
      <c r="B38" s="20" t="s">
        <v>46</v>
      </c>
      <c r="C38" s="2">
        <v>40710</v>
      </c>
      <c r="D38">
        <v>52</v>
      </c>
      <c r="E38" s="20" t="s">
        <v>51</v>
      </c>
      <c r="F38" s="20">
        <v>0</v>
      </c>
      <c r="G38" s="20">
        <v>1</v>
      </c>
      <c r="H38" s="20">
        <v>2</v>
      </c>
      <c r="I38" s="20">
        <v>5</v>
      </c>
      <c r="J38">
        <f t="shared" si="0"/>
        <v>8</v>
      </c>
      <c r="K38" s="28" t="s">
        <v>194</v>
      </c>
    </row>
    <row r="39" spans="1:11" x14ac:dyDescent="0.2">
      <c r="A39">
        <v>2011</v>
      </c>
      <c r="B39" s="20" t="s">
        <v>46</v>
      </c>
      <c r="C39" s="2">
        <v>40710</v>
      </c>
      <c r="D39">
        <v>52</v>
      </c>
      <c r="E39" s="20" t="s">
        <v>50</v>
      </c>
      <c r="F39" s="20">
        <v>1</v>
      </c>
      <c r="G39" s="20">
        <v>0</v>
      </c>
      <c r="H39" s="20">
        <v>0</v>
      </c>
      <c r="I39" s="20">
        <v>0</v>
      </c>
      <c r="J39">
        <f t="shared" si="0"/>
        <v>1</v>
      </c>
    </row>
    <row r="40" spans="1:11" x14ac:dyDescent="0.2">
      <c r="A40">
        <v>2011</v>
      </c>
      <c r="B40" s="20" t="s">
        <v>46</v>
      </c>
      <c r="C40" s="2">
        <v>40710</v>
      </c>
      <c r="D40">
        <v>52</v>
      </c>
      <c r="E40" s="20" t="s">
        <v>66</v>
      </c>
      <c r="F40" s="20">
        <f>(4.2*2.8)+(0.8*0.8)</f>
        <v>12.4</v>
      </c>
      <c r="G40" s="20">
        <v>0</v>
      </c>
      <c r="H40" s="20">
        <v>0</v>
      </c>
      <c r="I40" s="20">
        <v>0</v>
      </c>
      <c r="J40">
        <f t="shared" si="0"/>
        <v>12.4</v>
      </c>
    </row>
    <row r="41" spans="1:11" x14ac:dyDescent="0.2">
      <c r="A41">
        <v>2011</v>
      </c>
      <c r="B41" s="20" t="s">
        <v>46</v>
      </c>
      <c r="C41" s="2">
        <v>40710</v>
      </c>
      <c r="D41">
        <v>52</v>
      </c>
      <c r="E41" s="20" t="s">
        <v>61</v>
      </c>
      <c r="F41" s="20">
        <f>(201*0.05)</f>
        <v>10.050000000000001</v>
      </c>
      <c r="G41" s="20">
        <v>0</v>
      </c>
      <c r="H41" s="20">
        <v>0</v>
      </c>
      <c r="I41" s="20">
        <f>(1.2*0.6)+(1.1*0.8)+(0.9*0.9)</f>
        <v>2.41</v>
      </c>
      <c r="J41">
        <f t="shared" si="0"/>
        <v>12.46</v>
      </c>
    </row>
    <row r="42" spans="1:11" x14ac:dyDescent="0.2">
      <c r="A42">
        <v>2011</v>
      </c>
      <c r="B42" s="20" t="s">
        <v>46</v>
      </c>
      <c r="C42" s="2">
        <v>40710</v>
      </c>
      <c r="D42">
        <v>52</v>
      </c>
      <c r="E42" s="20" t="s">
        <v>52</v>
      </c>
      <c r="F42" s="20">
        <f>(0.8*0.7)</f>
        <v>0.55999999999999994</v>
      </c>
      <c r="G42" s="20">
        <v>0</v>
      </c>
      <c r="H42" s="20">
        <f>(0.9*0.8)</f>
        <v>0.72000000000000008</v>
      </c>
      <c r="I42" s="20">
        <f>(1.6*1.2)</f>
        <v>1.92</v>
      </c>
      <c r="J42">
        <f t="shared" si="0"/>
        <v>3.2</v>
      </c>
    </row>
    <row r="43" spans="1:11" x14ac:dyDescent="0.2">
      <c r="A43">
        <v>2011</v>
      </c>
      <c r="B43" s="20" t="s">
        <v>46</v>
      </c>
      <c r="C43" s="2">
        <v>40710</v>
      </c>
      <c r="D43">
        <v>52</v>
      </c>
      <c r="E43" s="20" t="s">
        <v>55</v>
      </c>
      <c r="F43" s="20">
        <f>(1*0.7)</f>
        <v>0.7</v>
      </c>
      <c r="G43" s="20">
        <v>0</v>
      </c>
      <c r="H43" s="20">
        <v>0</v>
      </c>
      <c r="I43" s="20">
        <v>0</v>
      </c>
      <c r="J43">
        <f t="shared" si="0"/>
        <v>0.7</v>
      </c>
    </row>
    <row r="44" spans="1:11" x14ac:dyDescent="0.2">
      <c r="A44">
        <v>2011</v>
      </c>
      <c r="B44" s="20" t="s">
        <v>46</v>
      </c>
      <c r="C44" s="2">
        <v>40710</v>
      </c>
      <c r="D44">
        <v>52</v>
      </c>
      <c r="E44" s="20" t="s">
        <v>180</v>
      </c>
      <c r="F44" s="20">
        <v>0</v>
      </c>
      <c r="G44" s="20">
        <f>(1.3*1.4)</f>
        <v>1.8199999999999998</v>
      </c>
      <c r="H44" s="20">
        <v>0</v>
      </c>
      <c r="I44" s="20">
        <v>0</v>
      </c>
      <c r="J44">
        <f t="shared" si="0"/>
        <v>1.8199999999999998</v>
      </c>
    </row>
    <row r="45" spans="1:11" x14ac:dyDescent="0.2">
      <c r="A45">
        <v>2011</v>
      </c>
      <c r="B45" s="20" t="s">
        <v>46</v>
      </c>
      <c r="C45" s="2">
        <v>40710</v>
      </c>
      <c r="D45">
        <v>52</v>
      </c>
      <c r="E45" s="20" t="s">
        <v>87</v>
      </c>
      <c r="F45" s="20">
        <v>0</v>
      </c>
      <c r="G45" s="20">
        <v>0</v>
      </c>
      <c r="H45" s="20">
        <v>0</v>
      </c>
      <c r="I45" s="20">
        <f>(0.6*0.3)</f>
        <v>0.18</v>
      </c>
      <c r="J45">
        <f t="shared" si="0"/>
        <v>0.18</v>
      </c>
    </row>
    <row r="46" spans="1:11" x14ac:dyDescent="0.2">
      <c r="A46">
        <v>2011</v>
      </c>
      <c r="B46" s="20" t="s">
        <v>46</v>
      </c>
      <c r="C46" s="2">
        <v>40722</v>
      </c>
      <c r="D46">
        <v>53</v>
      </c>
      <c r="E46" s="20" t="s">
        <v>47</v>
      </c>
      <c r="F46" s="20">
        <v>14</v>
      </c>
      <c r="G46" s="20">
        <v>1</v>
      </c>
      <c r="H46" s="20">
        <v>1</v>
      </c>
      <c r="I46" s="20">
        <v>4</v>
      </c>
      <c r="J46">
        <f t="shared" si="0"/>
        <v>20</v>
      </c>
      <c r="K46" s="28" t="s">
        <v>195</v>
      </c>
    </row>
    <row r="47" spans="1:11" x14ac:dyDescent="0.2">
      <c r="A47">
        <v>2011</v>
      </c>
      <c r="B47" s="20" t="s">
        <v>46</v>
      </c>
      <c r="C47" s="2">
        <v>40722</v>
      </c>
      <c r="D47">
        <v>53</v>
      </c>
      <c r="E47" s="20" t="s">
        <v>64</v>
      </c>
      <c r="F47" s="20">
        <v>1</v>
      </c>
      <c r="G47" s="20">
        <v>0</v>
      </c>
      <c r="H47" s="20">
        <v>0</v>
      </c>
      <c r="I47" s="20">
        <v>0</v>
      </c>
      <c r="J47">
        <f t="shared" si="0"/>
        <v>1</v>
      </c>
    </row>
    <row r="48" spans="1:11" x14ac:dyDescent="0.2">
      <c r="A48">
        <v>2011</v>
      </c>
      <c r="B48" s="20" t="s">
        <v>46</v>
      </c>
      <c r="C48" s="2">
        <v>40722</v>
      </c>
      <c r="D48">
        <v>53</v>
      </c>
      <c r="E48" s="20" t="s">
        <v>76</v>
      </c>
      <c r="F48" s="20">
        <v>0</v>
      </c>
      <c r="G48" s="20">
        <v>2</v>
      </c>
      <c r="H48" s="20">
        <v>1</v>
      </c>
      <c r="I48" s="20">
        <v>0</v>
      </c>
      <c r="J48">
        <f t="shared" si="0"/>
        <v>3</v>
      </c>
    </row>
    <row r="49" spans="1:11" x14ac:dyDescent="0.2">
      <c r="A49">
        <v>2011</v>
      </c>
      <c r="B49" s="20" t="s">
        <v>46</v>
      </c>
      <c r="C49" s="2">
        <v>40722</v>
      </c>
      <c r="D49">
        <v>53</v>
      </c>
      <c r="E49" s="20" t="s">
        <v>50</v>
      </c>
      <c r="F49" s="20">
        <v>0</v>
      </c>
      <c r="G49" s="20">
        <v>17</v>
      </c>
      <c r="H49" s="20">
        <v>3</v>
      </c>
      <c r="I49" s="20">
        <v>0</v>
      </c>
      <c r="J49">
        <f t="shared" si="0"/>
        <v>20</v>
      </c>
      <c r="K49" s="28" t="s">
        <v>196</v>
      </c>
    </row>
    <row r="50" spans="1:11" x14ac:dyDescent="0.2">
      <c r="A50">
        <v>2011</v>
      </c>
      <c r="B50" s="20" t="s">
        <v>46</v>
      </c>
      <c r="C50" s="2">
        <v>40722</v>
      </c>
      <c r="D50">
        <v>53</v>
      </c>
      <c r="E50" s="20" t="s">
        <v>51</v>
      </c>
      <c r="F50" s="20">
        <v>0</v>
      </c>
      <c r="G50" s="20">
        <v>0</v>
      </c>
      <c r="H50" s="20">
        <v>0</v>
      </c>
      <c r="I50" s="20">
        <v>1</v>
      </c>
      <c r="J50">
        <f t="shared" si="0"/>
        <v>1</v>
      </c>
    </row>
    <row r="51" spans="1:11" x14ac:dyDescent="0.2">
      <c r="A51">
        <v>2011</v>
      </c>
      <c r="B51" s="20" t="s">
        <v>46</v>
      </c>
      <c r="C51" s="2">
        <v>40722</v>
      </c>
      <c r="D51">
        <v>53</v>
      </c>
      <c r="E51" s="20" t="s">
        <v>197</v>
      </c>
      <c r="F51" s="20">
        <f>(1.1*0.9)</f>
        <v>0.9900000000000001</v>
      </c>
      <c r="G51" s="20">
        <v>0</v>
      </c>
      <c r="H51" s="20">
        <f>(201*0.02)</f>
        <v>4.0200000000000005</v>
      </c>
      <c r="I51" s="20">
        <v>0</v>
      </c>
      <c r="J51">
        <f t="shared" si="0"/>
        <v>5.0100000000000007</v>
      </c>
    </row>
    <row r="52" spans="1:11" x14ac:dyDescent="0.2">
      <c r="A52">
        <v>2011</v>
      </c>
      <c r="B52" s="20" t="s">
        <v>46</v>
      </c>
      <c r="C52" s="2">
        <v>40722</v>
      </c>
      <c r="D52">
        <v>53</v>
      </c>
      <c r="E52" s="20" t="s">
        <v>74</v>
      </c>
      <c r="F52">
        <f>(0.3*0.4)+(0.3*0.3)</f>
        <v>0.21</v>
      </c>
      <c r="G52" s="20">
        <v>0</v>
      </c>
      <c r="H52" s="20">
        <f>(0.9*0.4)+(0.2*0.4)+(2.7*0.6)+(0.5*0.5)</f>
        <v>2.31</v>
      </c>
      <c r="I52" s="20">
        <v>0</v>
      </c>
      <c r="J52">
        <f t="shared" si="0"/>
        <v>2.52</v>
      </c>
    </row>
    <row r="53" spans="1:11" x14ac:dyDescent="0.2">
      <c r="A53">
        <v>2011</v>
      </c>
      <c r="B53" s="20" t="s">
        <v>46</v>
      </c>
      <c r="C53" s="2">
        <v>40722</v>
      </c>
      <c r="D53">
        <v>53</v>
      </c>
      <c r="E53" s="20" t="s">
        <v>61</v>
      </c>
      <c r="F53" s="20">
        <v>0</v>
      </c>
      <c r="G53" s="20">
        <f>(201*0.06)</f>
        <v>12.059999999999999</v>
      </c>
      <c r="H53">
        <f>(1.6*1.1)+(1*0.9)</f>
        <v>2.66</v>
      </c>
      <c r="I53" s="20">
        <v>0</v>
      </c>
      <c r="J53">
        <f t="shared" si="0"/>
        <v>14.719999999999999</v>
      </c>
    </row>
    <row r="54" spans="1:11" x14ac:dyDescent="0.2">
      <c r="A54">
        <v>2011</v>
      </c>
      <c r="B54" s="20" t="s">
        <v>46</v>
      </c>
      <c r="C54" s="2">
        <v>40722</v>
      </c>
      <c r="D54">
        <v>53</v>
      </c>
      <c r="E54" s="20" t="s">
        <v>65</v>
      </c>
      <c r="F54" s="20">
        <v>0</v>
      </c>
      <c r="G54" s="20">
        <v>0</v>
      </c>
      <c r="H54">
        <f>(0.9*0.6)+(0.8*0.8)+(0.7*0.7)</f>
        <v>1.6700000000000002</v>
      </c>
      <c r="I54" s="20">
        <v>0</v>
      </c>
      <c r="J54">
        <f t="shared" si="0"/>
        <v>1.6700000000000002</v>
      </c>
    </row>
    <row r="55" spans="1:11" x14ac:dyDescent="0.2">
      <c r="A55">
        <v>2011</v>
      </c>
      <c r="B55" s="20" t="s">
        <v>46</v>
      </c>
      <c r="C55" s="2">
        <v>40717</v>
      </c>
      <c r="D55">
        <v>54</v>
      </c>
      <c r="E55" s="20" t="s">
        <v>47</v>
      </c>
      <c r="F55" s="20">
        <v>2</v>
      </c>
      <c r="G55" s="20">
        <v>2</v>
      </c>
      <c r="H55" s="20">
        <v>0</v>
      </c>
      <c r="I55" s="20">
        <v>0</v>
      </c>
      <c r="J55">
        <f t="shared" si="0"/>
        <v>4</v>
      </c>
      <c r="K55" s="28" t="s">
        <v>198</v>
      </c>
    </row>
    <row r="56" spans="1:11" x14ac:dyDescent="0.2">
      <c r="A56">
        <v>2011</v>
      </c>
      <c r="B56" s="20" t="s">
        <v>46</v>
      </c>
      <c r="C56" s="2">
        <v>40717</v>
      </c>
      <c r="D56">
        <v>54</v>
      </c>
      <c r="E56" s="20" t="s">
        <v>62</v>
      </c>
      <c r="F56" s="20">
        <v>1</v>
      </c>
      <c r="G56" s="20">
        <v>0</v>
      </c>
      <c r="H56" s="20">
        <v>0</v>
      </c>
      <c r="I56" s="20">
        <v>2</v>
      </c>
      <c r="J56">
        <f t="shared" si="0"/>
        <v>3</v>
      </c>
    </row>
    <row r="57" spans="1:11" x14ac:dyDescent="0.2">
      <c r="A57">
        <v>2011</v>
      </c>
      <c r="B57" s="20" t="s">
        <v>46</v>
      </c>
      <c r="C57" s="2">
        <v>40717</v>
      </c>
      <c r="D57">
        <v>54</v>
      </c>
      <c r="E57" s="20" t="s">
        <v>51</v>
      </c>
      <c r="F57" s="20">
        <v>3</v>
      </c>
      <c r="G57" s="20">
        <v>10</v>
      </c>
      <c r="H57" s="20">
        <v>7</v>
      </c>
      <c r="I57" s="20">
        <v>3</v>
      </c>
      <c r="J57">
        <f t="shared" si="0"/>
        <v>23</v>
      </c>
    </row>
    <row r="58" spans="1:11" x14ac:dyDescent="0.2">
      <c r="A58">
        <v>2011</v>
      </c>
      <c r="B58" s="20" t="s">
        <v>46</v>
      </c>
      <c r="C58" s="2">
        <v>40717</v>
      </c>
      <c r="D58">
        <v>54</v>
      </c>
      <c r="E58" s="20" t="s">
        <v>64</v>
      </c>
      <c r="F58" s="20">
        <v>0</v>
      </c>
      <c r="G58" s="20">
        <v>0</v>
      </c>
      <c r="H58" s="20">
        <v>0</v>
      </c>
      <c r="I58" s="20">
        <v>1</v>
      </c>
      <c r="J58">
        <f t="shared" si="0"/>
        <v>1</v>
      </c>
    </row>
    <row r="59" spans="1:11" x14ac:dyDescent="0.2">
      <c r="A59">
        <v>2011</v>
      </c>
      <c r="B59" s="20" t="s">
        <v>46</v>
      </c>
      <c r="C59" s="2">
        <v>40717</v>
      </c>
      <c r="D59">
        <v>54</v>
      </c>
      <c r="E59" s="20" t="s">
        <v>61</v>
      </c>
      <c r="F59">
        <f>(201*0.18)</f>
        <v>36.18</v>
      </c>
      <c r="G59" s="20">
        <v>0</v>
      </c>
      <c r="H59" s="20">
        <v>0</v>
      </c>
      <c r="I59">
        <f>(0.9*0.7)+(201*0.05)</f>
        <v>10.680000000000001</v>
      </c>
      <c r="J59">
        <f t="shared" si="0"/>
        <v>46.86</v>
      </c>
    </row>
    <row r="60" spans="1:11" x14ac:dyDescent="0.2">
      <c r="A60">
        <v>2011</v>
      </c>
      <c r="B60" s="20" t="s">
        <v>46</v>
      </c>
      <c r="C60" s="2">
        <v>40717</v>
      </c>
      <c r="D60">
        <v>54</v>
      </c>
      <c r="E60" s="20" t="s">
        <v>66</v>
      </c>
      <c r="F60" s="20">
        <v>0</v>
      </c>
      <c r="G60">
        <f>(2.6*0.9)</f>
        <v>2.3400000000000003</v>
      </c>
      <c r="H60" s="20">
        <v>0</v>
      </c>
      <c r="I60" s="20">
        <v>0</v>
      </c>
      <c r="J60">
        <f t="shared" si="0"/>
        <v>2.3400000000000003</v>
      </c>
    </row>
    <row r="61" spans="1:11" x14ac:dyDescent="0.2">
      <c r="A61">
        <v>2011</v>
      </c>
      <c r="B61" s="20" t="s">
        <v>46</v>
      </c>
      <c r="C61" s="2">
        <v>40717</v>
      </c>
      <c r="D61">
        <v>54</v>
      </c>
      <c r="E61" s="20" t="s">
        <v>52</v>
      </c>
      <c r="F61" s="20">
        <v>0</v>
      </c>
      <c r="G61" s="20">
        <v>0</v>
      </c>
      <c r="H61" s="20">
        <v>0</v>
      </c>
      <c r="I61">
        <f>(1.3*0.8)</f>
        <v>1.04</v>
      </c>
      <c r="J61">
        <f t="shared" si="0"/>
        <v>1.04</v>
      </c>
    </row>
    <row r="62" spans="1:11" x14ac:dyDescent="0.2">
      <c r="A62">
        <v>2011</v>
      </c>
      <c r="B62" s="20" t="s">
        <v>46</v>
      </c>
      <c r="C62" s="2">
        <v>40717</v>
      </c>
      <c r="D62">
        <v>54</v>
      </c>
      <c r="E62" s="20" t="s">
        <v>80</v>
      </c>
      <c r="F62" s="20">
        <v>0</v>
      </c>
      <c r="G62" s="20">
        <v>0</v>
      </c>
      <c r="H62" s="20">
        <v>0</v>
      </c>
      <c r="I62">
        <f>(0.8*0.9)</f>
        <v>0.72000000000000008</v>
      </c>
      <c r="J62">
        <f t="shared" si="0"/>
        <v>0.72000000000000008</v>
      </c>
    </row>
    <row r="63" spans="1:11" x14ac:dyDescent="0.2">
      <c r="A63">
        <v>2011</v>
      </c>
      <c r="B63" s="20" t="s">
        <v>46</v>
      </c>
      <c r="C63" s="2">
        <v>40724</v>
      </c>
      <c r="D63">
        <v>55</v>
      </c>
      <c r="E63" s="20" t="s">
        <v>92</v>
      </c>
      <c r="F63" s="20">
        <v>0</v>
      </c>
      <c r="G63" s="20">
        <v>1</v>
      </c>
      <c r="H63" s="20">
        <v>0</v>
      </c>
      <c r="I63" s="20">
        <v>1</v>
      </c>
      <c r="J63">
        <f t="shared" si="0"/>
        <v>2</v>
      </c>
    </row>
    <row r="64" spans="1:11" x14ac:dyDescent="0.2">
      <c r="A64">
        <v>2011</v>
      </c>
      <c r="B64" s="20" t="s">
        <v>46</v>
      </c>
      <c r="C64" s="2">
        <v>40724</v>
      </c>
      <c r="D64">
        <v>55</v>
      </c>
      <c r="E64" s="20" t="s">
        <v>57</v>
      </c>
      <c r="F64" s="20">
        <v>0</v>
      </c>
      <c r="G64" s="20">
        <v>0</v>
      </c>
      <c r="H64" s="20">
        <v>1</v>
      </c>
      <c r="I64" s="20">
        <v>0</v>
      </c>
      <c r="J64">
        <f t="shared" si="0"/>
        <v>1</v>
      </c>
    </row>
    <row r="65" spans="1:11" x14ac:dyDescent="0.2">
      <c r="A65">
        <v>2011</v>
      </c>
      <c r="B65" s="20" t="s">
        <v>46</v>
      </c>
      <c r="C65" s="2">
        <v>40724</v>
      </c>
      <c r="D65">
        <v>55</v>
      </c>
      <c r="E65" s="20" t="s">
        <v>49</v>
      </c>
      <c r="F65" s="20">
        <v>0</v>
      </c>
      <c r="G65" s="20">
        <v>0</v>
      </c>
      <c r="H65" s="20">
        <v>4</v>
      </c>
      <c r="I65" s="20">
        <v>0</v>
      </c>
      <c r="J65">
        <f t="shared" si="0"/>
        <v>4</v>
      </c>
    </row>
    <row r="66" spans="1:11" x14ac:dyDescent="0.2">
      <c r="A66">
        <v>2011</v>
      </c>
      <c r="B66" s="20" t="s">
        <v>46</v>
      </c>
      <c r="C66" s="2">
        <v>40757</v>
      </c>
      <c r="D66">
        <v>56</v>
      </c>
      <c r="E66" s="20" t="s">
        <v>54</v>
      </c>
      <c r="F66" s="20">
        <v>2</v>
      </c>
      <c r="G66" s="20">
        <v>2</v>
      </c>
      <c r="H66" s="20">
        <v>1</v>
      </c>
      <c r="I66" s="20">
        <v>0</v>
      </c>
      <c r="J66">
        <f t="shared" ref="J66:J86" si="1">SUM(F66:I66)</f>
        <v>5</v>
      </c>
    </row>
    <row r="67" spans="1:11" x14ac:dyDescent="0.2">
      <c r="A67">
        <v>2011</v>
      </c>
      <c r="B67" s="20" t="s">
        <v>46</v>
      </c>
      <c r="C67" s="2">
        <v>40757</v>
      </c>
      <c r="D67">
        <v>56</v>
      </c>
      <c r="E67" s="20" t="s">
        <v>51</v>
      </c>
      <c r="F67" s="20">
        <v>0</v>
      </c>
      <c r="G67" s="20">
        <v>0</v>
      </c>
      <c r="H67" s="20">
        <v>3</v>
      </c>
      <c r="I67" s="20">
        <v>0</v>
      </c>
      <c r="J67">
        <f t="shared" si="1"/>
        <v>3</v>
      </c>
    </row>
    <row r="68" spans="1:11" x14ac:dyDescent="0.2">
      <c r="A68">
        <v>2011</v>
      </c>
      <c r="B68" s="20" t="s">
        <v>46</v>
      </c>
      <c r="C68" s="2">
        <v>40757</v>
      </c>
      <c r="D68">
        <v>56</v>
      </c>
      <c r="E68" s="20" t="s">
        <v>49</v>
      </c>
      <c r="F68" s="20">
        <v>0</v>
      </c>
      <c r="G68" s="20">
        <v>0</v>
      </c>
      <c r="H68" s="20">
        <v>2</v>
      </c>
      <c r="I68" s="20">
        <v>0</v>
      </c>
      <c r="J68">
        <f t="shared" si="1"/>
        <v>2</v>
      </c>
    </row>
    <row r="69" spans="1:11" x14ac:dyDescent="0.2">
      <c r="A69">
        <v>2011</v>
      </c>
      <c r="B69" s="20" t="s">
        <v>46</v>
      </c>
      <c r="C69" s="2">
        <v>40757</v>
      </c>
      <c r="D69">
        <v>56</v>
      </c>
      <c r="E69" s="20" t="s">
        <v>58</v>
      </c>
      <c r="F69">
        <f>(201*0.13)</f>
        <v>26.130000000000003</v>
      </c>
      <c r="G69">
        <f>(201*0.06)</f>
        <v>12.059999999999999</v>
      </c>
      <c r="H69">
        <f>(201*0.05)</f>
        <v>10.050000000000001</v>
      </c>
      <c r="I69">
        <f>(1.9*1.5)+(1.6*1.8)</f>
        <v>5.73</v>
      </c>
      <c r="J69">
        <f t="shared" si="1"/>
        <v>53.97</v>
      </c>
    </row>
    <row r="70" spans="1:11" x14ac:dyDescent="0.2">
      <c r="A70">
        <v>2011</v>
      </c>
      <c r="B70" s="20" t="s">
        <v>46</v>
      </c>
      <c r="C70" s="2">
        <v>40757</v>
      </c>
      <c r="D70">
        <v>56</v>
      </c>
      <c r="E70" s="20" t="s">
        <v>55</v>
      </c>
      <c r="F70" s="20">
        <v>0</v>
      </c>
      <c r="G70" s="20">
        <v>0</v>
      </c>
      <c r="H70">
        <f>(201*0.02)</f>
        <v>4.0200000000000005</v>
      </c>
      <c r="I70">
        <v>0</v>
      </c>
      <c r="J70">
        <f t="shared" si="1"/>
        <v>4.0200000000000005</v>
      </c>
    </row>
    <row r="71" spans="1:11" x14ac:dyDescent="0.2">
      <c r="A71">
        <v>2011</v>
      </c>
      <c r="B71" s="20" t="s">
        <v>46</v>
      </c>
      <c r="C71" s="2">
        <v>40757</v>
      </c>
      <c r="D71">
        <v>57</v>
      </c>
      <c r="E71" s="20" t="s">
        <v>54</v>
      </c>
      <c r="F71" s="20">
        <v>1</v>
      </c>
      <c r="G71" s="20">
        <v>0</v>
      </c>
      <c r="H71" s="20">
        <v>1</v>
      </c>
      <c r="I71" s="20">
        <v>0</v>
      </c>
      <c r="J71">
        <f t="shared" si="1"/>
        <v>2</v>
      </c>
    </row>
    <row r="72" spans="1:11" x14ac:dyDescent="0.2">
      <c r="A72">
        <v>2011</v>
      </c>
      <c r="B72" s="20" t="s">
        <v>46</v>
      </c>
      <c r="C72" s="2">
        <v>40757</v>
      </c>
      <c r="D72">
        <v>57</v>
      </c>
      <c r="E72" s="20" t="s">
        <v>62</v>
      </c>
      <c r="F72" s="20">
        <v>1</v>
      </c>
      <c r="G72" s="20">
        <v>0</v>
      </c>
      <c r="H72" s="20">
        <v>0</v>
      </c>
      <c r="I72" s="20">
        <v>0</v>
      </c>
      <c r="J72">
        <f t="shared" si="1"/>
        <v>1</v>
      </c>
    </row>
    <row r="73" spans="1:11" x14ac:dyDescent="0.2">
      <c r="A73">
        <v>2011</v>
      </c>
      <c r="B73" s="20" t="s">
        <v>46</v>
      </c>
      <c r="C73" s="2">
        <v>40757</v>
      </c>
      <c r="D73">
        <v>57</v>
      </c>
      <c r="E73" s="20" t="s">
        <v>57</v>
      </c>
      <c r="F73" s="20">
        <v>1</v>
      </c>
      <c r="G73" s="20">
        <v>0</v>
      </c>
      <c r="H73" s="20">
        <v>0</v>
      </c>
      <c r="I73" s="20">
        <v>3</v>
      </c>
      <c r="J73">
        <f t="shared" si="1"/>
        <v>4</v>
      </c>
    </row>
    <row r="74" spans="1:11" x14ac:dyDescent="0.2">
      <c r="A74">
        <v>2011</v>
      </c>
      <c r="B74" s="20" t="s">
        <v>46</v>
      </c>
      <c r="C74" s="2">
        <v>40757</v>
      </c>
      <c r="D74">
        <v>57</v>
      </c>
      <c r="E74" s="20" t="s">
        <v>83</v>
      </c>
      <c r="F74" s="20">
        <v>1</v>
      </c>
      <c r="G74" s="20">
        <v>1</v>
      </c>
      <c r="H74" s="20">
        <v>0</v>
      </c>
      <c r="I74" s="20">
        <v>0</v>
      </c>
      <c r="J74">
        <f t="shared" si="1"/>
        <v>2</v>
      </c>
      <c r="K74" s="28" t="s">
        <v>199</v>
      </c>
    </row>
    <row r="75" spans="1:11" x14ac:dyDescent="0.2">
      <c r="A75">
        <v>2011</v>
      </c>
      <c r="B75" s="20" t="s">
        <v>46</v>
      </c>
      <c r="C75" s="2">
        <v>40757</v>
      </c>
      <c r="D75">
        <v>57</v>
      </c>
      <c r="E75" s="20" t="s">
        <v>51</v>
      </c>
      <c r="F75" s="20">
        <v>0</v>
      </c>
      <c r="G75" s="20">
        <v>1</v>
      </c>
      <c r="H75" s="20">
        <v>0</v>
      </c>
      <c r="I75" s="20">
        <v>0</v>
      </c>
      <c r="J75">
        <f t="shared" si="1"/>
        <v>1</v>
      </c>
      <c r="K75" s="28" t="s">
        <v>199</v>
      </c>
    </row>
    <row r="76" spans="1:11" x14ac:dyDescent="0.2">
      <c r="A76">
        <v>2011</v>
      </c>
      <c r="B76" s="20" t="s">
        <v>46</v>
      </c>
      <c r="C76" s="2">
        <v>40757</v>
      </c>
      <c r="D76">
        <v>57</v>
      </c>
      <c r="E76" s="20" t="s">
        <v>61</v>
      </c>
      <c r="F76">
        <f>(0.7*0.5)+(0.4*0.4)</f>
        <v>0.51</v>
      </c>
      <c r="G76" s="20">
        <v>0</v>
      </c>
      <c r="H76" s="20">
        <v>0</v>
      </c>
      <c r="I76" s="20">
        <v>0</v>
      </c>
      <c r="J76">
        <f t="shared" si="1"/>
        <v>0.51</v>
      </c>
    </row>
    <row r="77" spans="1:11" x14ac:dyDescent="0.2">
      <c r="A77">
        <v>2011</v>
      </c>
      <c r="B77" s="20" t="s">
        <v>46</v>
      </c>
      <c r="C77" s="2">
        <v>40757</v>
      </c>
      <c r="D77">
        <v>57</v>
      </c>
      <c r="E77" s="20" t="s">
        <v>66</v>
      </c>
      <c r="F77">
        <f>(0.7*0.5)</f>
        <v>0.35</v>
      </c>
      <c r="G77" s="20">
        <v>0</v>
      </c>
      <c r="H77" s="20">
        <v>0</v>
      </c>
      <c r="I77">
        <f>(1.2*0.9)</f>
        <v>1.08</v>
      </c>
      <c r="J77">
        <f t="shared" si="1"/>
        <v>1.4300000000000002</v>
      </c>
    </row>
    <row r="78" spans="1:11" x14ac:dyDescent="0.2">
      <c r="A78">
        <v>2011</v>
      </c>
      <c r="B78" s="20" t="s">
        <v>46</v>
      </c>
      <c r="C78" s="2">
        <v>40757</v>
      </c>
      <c r="D78">
        <v>57</v>
      </c>
      <c r="E78" s="20" t="s">
        <v>55</v>
      </c>
      <c r="F78">
        <f>(0.5*0.6)</f>
        <v>0.3</v>
      </c>
      <c r="G78">
        <f>(0.4*0.5)</f>
        <v>0.2</v>
      </c>
      <c r="H78">
        <f>(1.2*0.9)</f>
        <v>1.08</v>
      </c>
      <c r="I78">
        <f>(0.7*0.6)</f>
        <v>0.42</v>
      </c>
      <c r="J78">
        <f t="shared" si="1"/>
        <v>2</v>
      </c>
    </row>
    <row r="79" spans="1:11" x14ac:dyDescent="0.2">
      <c r="A79">
        <v>2011</v>
      </c>
      <c r="B79" s="20" t="s">
        <v>46</v>
      </c>
      <c r="C79" s="2">
        <v>40757</v>
      </c>
      <c r="D79">
        <v>57</v>
      </c>
      <c r="E79" s="20" t="s">
        <v>58</v>
      </c>
      <c r="F79" s="20">
        <v>0</v>
      </c>
      <c r="G79">
        <f>(1.6*0.9)</f>
        <v>1.4400000000000002</v>
      </c>
      <c r="H79">
        <v>0</v>
      </c>
      <c r="I79">
        <v>0</v>
      </c>
      <c r="J79">
        <f t="shared" si="1"/>
        <v>1.4400000000000002</v>
      </c>
    </row>
    <row r="80" spans="1:11" x14ac:dyDescent="0.2">
      <c r="A80">
        <v>2011</v>
      </c>
      <c r="B80" s="20" t="s">
        <v>46</v>
      </c>
      <c r="C80" s="2">
        <v>40757</v>
      </c>
      <c r="D80">
        <v>58</v>
      </c>
      <c r="E80" s="20" t="s">
        <v>51</v>
      </c>
      <c r="F80" s="20">
        <v>0</v>
      </c>
      <c r="G80" s="20">
        <v>4</v>
      </c>
      <c r="H80" s="20">
        <v>0</v>
      </c>
      <c r="I80" s="20">
        <v>0</v>
      </c>
      <c r="J80">
        <f t="shared" si="1"/>
        <v>4</v>
      </c>
    </row>
    <row r="81" spans="1:11" x14ac:dyDescent="0.2">
      <c r="A81">
        <v>2011</v>
      </c>
      <c r="B81" s="20" t="s">
        <v>46</v>
      </c>
      <c r="C81" s="2">
        <v>40757</v>
      </c>
      <c r="D81">
        <v>58</v>
      </c>
      <c r="E81" s="20" t="s">
        <v>57</v>
      </c>
      <c r="F81" s="20">
        <v>0</v>
      </c>
      <c r="G81" s="20">
        <v>0</v>
      </c>
      <c r="H81" s="20">
        <v>1</v>
      </c>
      <c r="I81" s="20">
        <v>1</v>
      </c>
      <c r="J81">
        <f t="shared" si="1"/>
        <v>2</v>
      </c>
    </row>
    <row r="82" spans="1:11" x14ac:dyDescent="0.2">
      <c r="A82">
        <v>2011</v>
      </c>
      <c r="B82" s="20" t="s">
        <v>46</v>
      </c>
      <c r="C82" s="2">
        <v>40757</v>
      </c>
      <c r="D82">
        <v>58</v>
      </c>
      <c r="E82" s="20" t="s">
        <v>54</v>
      </c>
      <c r="F82" s="20">
        <v>0</v>
      </c>
      <c r="G82" s="20">
        <v>0</v>
      </c>
      <c r="H82" s="20">
        <v>1</v>
      </c>
      <c r="I82" s="20">
        <v>0</v>
      </c>
      <c r="J82">
        <f t="shared" si="1"/>
        <v>1</v>
      </c>
    </row>
    <row r="83" spans="1:11" x14ac:dyDescent="0.2">
      <c r="A83">
        <v>2011</v>
      </c>
      <c r="B83" s="20" t="s">
        <v>46</v>
      </c>
      <c r="C83" s="2">
        <v>40757</v>
      </c>
      <c r="D83">
        <v>58</v>
      </c>
      <c r="E83" s="20" t="s">
        <v>83</v>
      </c>
      <c r="F83" s="20">
        <v>0</v>
      </c>
      <c r="G83" s="20">
        <v>0</v>
      </c>
      <c r="H83" s="20">
        <v>0</v>
      </c>
      <c r="I83" s="20">
        <v>1</v>
      </c>
      <c r="J83">
        <f t="shared" si="1"/>
        <v>1</v>
      </c>
    </row>
    <row r="84" spans="1:11" x14ac:dyDescent="0.2">
      <c r="A84">
        <v>2011</v>
      </c>
      <c r="B84" s="20" t="s">
        <v>46</v>
      </c>
      <c r="C84" s="2">
        <v>40757</v>
      </c>
      <c r="D84">
        <v>58</v>
      </c>
      <c r="E84" s="20" t="s">
        <v>55</v>
      </c>
      <c r="F84">
        <f>(1.6*1.5)</f>
        <v>2.4000000000000004</v>
      </c>
      <c r="G84">
        <f>(201*0.03)</f>
        <v>6.0299999999999994</v>
      </c>
      <c r="H84">
        <v>0</v>
      </c>
      <c r="I84">
        <f>(1.6*1.4)+(0.8*0.6)</f>
        <v>2.7199999999999998</v>
      </c>
      <c r="J84">
        <f t="shared" si="1"/>
        <v>11.149999999999999</v>
      </c>
    </row>
    <row r="85" spans="1:11" x14ac:dyDescent="0.2">
      <c r="A85">
        <v>2011</v>
      </c>
      <c r="B85" s="20" t="s">
        <v>46</v>
      </c>
      <c r="C85" s="2">
        <v>40757</v>
      </c>
      <c r="D85">
        <v>58</v>
      </c>
      <c r="E85" s="20" t="s">
        <v>61</v>
      </c>
      <c r="F85" s="20">
        <v>0</v>
      </c>
      <c r="G85">
        <f>(0.4*0.5)+(0.4*0.4)+(0.6*0.5)+(0.4*0.6)+(1.3*0.8)+(0.5*0.4)</f>
        <v>2.14</v>
      </c>
      <c r="H85">
        <f>(0.5*0.4)+(0.7*0.5)+(0.5*0.4)</f>
        <v>0.75</v>
      </c>
      <c r="I85">
        <v>0</v>
      </c>
      <c r="J85">
        <f t="shared" si="1"/>
        <v>2.89</v>
      </c>
    </row>
    <row r="86" spans="1:11" x14ac:dyDescent="0.2">
      <c r="A86">
        <v>2011</v>
      </c>
      <c r="B86" s="20" t="s">
        <v>46</v>
      </c>
      <c r="C86" s="2">
        <v>40757</v>
      </c>
      <c r="D86">
        <v>58</v>
      </c>
      <c r="E86" s="20" t="s">
        <v>60</v>
      </c>
      <c r="F86">
        <v>0</v>
      </c>
      <c r="G86">
        <v>0</v>
      </c>
      <c r="H86">
        <v>0</v>
      </c>
      <c r="I86">
        <f>(0.5*0.5)+(0.3*0.7)+(0.5*0.5)</f>
        <v>0.71</v>
      </c>
      <c r="J86">
        <f t="shared" si="1"/>
        <v>0.71</v>
      </c>
      <c r="K86" s="28" t="s">
        <v>200</v>
      </c>
    </row>
    <row r="87" spans="1:11" x14ac:dyDescent="0.2">
      <c r="A87">
        <v>2011</v>
      </c>
      <c r="B87" s="20" t="s">
        <v>46</v>
      </c>
      <c r="C87" s="2">
        <v>40744</v>
      </c>
      <c r="D87">
        <v>59</v>
      </c>
      <c r="E87" s="20" t="s">
        <v>64</v>
      </c>
      <c r="F87" s="20">
        <v>3</v>
      </c>
      <c r="G87" s="20">
        <v>1</v>
      </c>
      <c r="H87" s="20">
        <v>1</v>
      </c>
      <c r="I87" s="20">
        <v>0</v>
      </c>
      <c r="J87">
        <f t="shared" ref="J87:J113" si="2">SUM(F87:I87)</f>
        <v>5</v>
      </c>
    </row>
    <row r="88" spans="1:11" x14ac:dyDescent="0.2">
      <c r="A88">
        <v>2011</v>
      </c>
      <c r="B88" s="20" t="s">
        <v>46</v>
      </c>
      <c r="C88" s="2">
        <v>40744</v>
      </c>
      <c r="D88">
        <v>59</v>
      </c>
      <c r="E88" s="20" t="s">
        <v>85</v>
      </c>
      <c r="F88" s="20">
        <v>11</v>
      </c>
      <c r="G88" s="20">
        <v>1</v>
      </c>
      <c r="H88" s="20">
        <v>0</v>
      </c>
      <c r="I88" s="20">
        <v>3</v>
      </c>
      <c r="J88">
        <f t="shared" si="2"/>
        <v>15</v>
      </c>
    </row>
    <row r="89" spans="1:11" x14ac:dyDescent="0.2">
      <c r="A89">
        <v>2011</v>
      </c>
      <c r="B89" s="20" t="s">
        <v>46</v>
      </c>
      <c r="C89" s="2">
        <v>40744</v>
      </c>
      <c r="D89">
        <v>59</v>
      </c>
      <c r="E89" s="20" t="s">
        <v>50</v>
      </c>
      <c r="F89" s="20">
        <v>2</v>
      </c>
      <c r="G89" s="20">
        <v>0</v>
      </c>
      <c r="H89" s="20">
        <v>0</v>
      </c>
      <c r="I89" s="20">
        <v>1</v>
      </c>
      <c r="J89">
        <f t="shared" si="2"/>
        <v>3</v>
      </c>
    </row>
    <row r="90" spans="1:11" x14ac:dyDescent="0.2">
      <c r="A90">
        <v>2011</v>
      </c>
      <c r="B90" s="20" t="s">
        <v>46</v>
      </c>
      <c r="C90" s="2">
        <v>40744</v>
      </c>
      <c r="D90">
        <v>59</v>
      </c>
      <c r="E90" s="20" t="s">
        <v>72</v>
      </c>
      <c r="F90" s="20">
        <v>0</v>
      </c>
      <c r="G90" s="20">
        <v>1</v>
      </c>
      <c r="H90" s="20">
        <v>0</v>
      </c>
      <c r="I90" s="20">
        <v>0</v>
      </c>
      <c r="J90">
        <f t="shared" si="2"/>
        <v>1</v>
      </c>
    </row>
    <row r="91" spans="1:11" x14ac:dyDescent="0.2">
      <c r="A91">
        <v>2011</v>
      </c>
      <c r="B91" s="20" t="s">
        <v>46</v>
      </c>
      <c r="C91" s="2">
        <v>40744</v>
      </c>
      <c r="D91">
        <v>59</v>
      </c>
      <c r="E91" s="20" t="s">
        <v>49</v>
      </c>
      <c r="F91" s="20">
        <v>0</v>
      </c>
      <c r="G91" s="20">
        <v>2</v>
      </c>
      <c r="H91" s="20">
        <v>0</v>
      </c>
      <c r="I91" s="20">
        <v>0</v>
      </c>
      <c r="J91">
        <f t="shared" si="2"/>
        <v>2</v>
      </c>
    </row>
    <row r="92" spans="1:11" x14ac:dyDescent="0.2">
      <c r="A92">
        <v>2011</v>
      </c>
      <c r="B92" s="20" t="s">
        <v>46</v>
      </c>
      <c r="C92" s="2">
        <v>40744</v>
      </c>
      <c r="D92">
        <v>59</v>
      </c>
      <c r="E92" s="20" t="s">
        <v>57</v>
      </c>
      <c r="F92" s="20">
        <v>0</v>
      </c>
      <c r="G92" s="20">
        <v>0</v>
      </c>
      <c r="H92" s="20">
        <v>0</v>
      </c>
      <c r="I92" s="20">
        <v>2</v>
      </c>
      <c r="J92">
        <f t="shared" si="2"/>
        <v>2</v>
      </c>
    </row>
    <row r="93" spans="1:11" x14ac:dyDescent="0.2">
      <c r="A93">
        <v>2011</v>
      </c>
      <c r="B93" s="20" t="s">
        <v>46</v>
      </c>
      <c r="C93" s="2">
        <v>40744</v>
      </c>
      <c r="D93">
        <v>59</v>
      </c>
      <c r="E93" s="20" t="s">
        <v>62</v>
      </c>
      <c r="F93" s="20">
        <v>0</v>
      </c>
      <c r="G93" s="20">
        <v>0</v>
      </c>
      <c r="H93" s="20">
        <v>0</v>
      </c>
      <c r="I93" s="20">
        <v>1</v>
      </c>
      <c r="J93">
        <f t="shared" si="2"/>
        <v>1</v>
      </c>
    </row>
    <row r="94" spans="1:11" x14ac:dyDescent="0.2">
      <c r="A94">
        <v>2011</v>
      </c>
      <c r="B94" s="20" t="s">
        <v>46</v>
      </c>
      <c r="C94" s="2">
        <v>40744</v>
      </c>
      <c r="D94">
        <v>59</v>
      </c>
      <c r="E94" s="20" t="s">
        <v>58</v>
      </c>
      <c r="F94">
        <f>(201*0.2)</f>
        <v>40.200000000000003</v>
      </c>
      <c r="G94">
        <f>(201*0.1)</f>
        <v>20.100000000000001</v>
      </c>
      <c r="H94">
        <f>(201*0.18)</f>
        <v>36.18</v>
      </c>
      <c r="I94">
        <f>(201*0.15)</f>
        <v>30.15</v>
      </c>
      <c r="J94">
        <f t="shared" si="2"/>
        <v>126.63</v>
      </c>
    </row>
    <row r="95" spans="1:11" x14ac:dyDescent="0.2">
      <c r="A95">
        <v>2011</v>
      </c>
      <c r="B95" s="20" t="s">
        <v>46</v>
      </c>
      <c r="C95" s="2">
        <v>40744</v>
      </c>
      <c r="D95">
        <v>59</v>
      </c>
      <c r="E95" s="20" t="s">
        <v>60</v>
      </c>
      <c r="F95">
        <f>(201*0.08)</f>
        <v>16.080000000000002</v>
      </c>
      <c r="G95">
        <f>(201*0.01)</f>
        <v>2.0100000000000002</v>
      </c>
      <c r="H95">
        <v>0</v>
      </c>
      <c r="I95">
        <f>(201*0.12)</f>
        <v>24.119999999999997</v>
      </c>
      <c r="J95">
        <f t="shared" si="2"/>
        <v>42.21</v>
      </c>
    </row>
    <row r="96" spans="1:11" x14ac:dyDescent="0.2">
      <c r="A96">
        <v>2011</v>
      </c>
      <c r="B96" s="20" t="s">
        <v>46</v>
      </c>
      <c r="C96" s="2">
        <v>40744</v>
      </c>
      <c r="D96">
        <v>59</v>
      </c>
      <c r="E96" s="20" t="s">
        <v>56</v>
      </c>
      <c r="F96">
        <f>(0.7*0.9)+(1.6*1.5)</f>
        <v>3.0300000000000002</v>
      </c>
      <c r="G96">
        <v>0</v>
      </c>
      <c r="H96">
        <v>0</v>
      </c>
      <c r="I96">
        <f>(0.7*0.5)</f>
        <v>0.35</v>
      </c>
      <c r="J96">
        <f t="shared" si="2"/>
        <v>3.3800000000000003</v>
      </c>
    </row>
    <row r="97" spans="1:10" x14ac:dyDescent="0.2">
      <c r="A97">
        <v>2011</v>
      </c>
      <c r="B97" s="20" t="s">
        <v>46</v>
      </c>
      <c r="C97" s="2">
        <v>40744</v>
      </c>
      <c r="D97">
        <v>59</v>
      </c>
      <c r="E97" s="20" t="s">
        <v>87</v>
      </c>
      <c r="F97">
        <f>(2*1.4)</f>
        <v>2.8</v>
      </c>
      <c r="G97">
        <v>0</v>
      </c>
      <c r="H97">
        <f>(1*1)</f>
        <v>1</v>
      </c>
      <c r="I97">
        <f>(1.4*1)+(2.4*2.3)+(1.5*9)</f>
        <v>20.420000000000002</v>
      </c>
      <c r="J97">
        <f t="shared" si="2"/>
        <v>24.220000000000002</v>
      </c>
    </row>
    <row r="98" spans="1:10" x14ac:dyDescent="0.2">
      <c r="A98">
        <v>2011</v>
      </c>
      <c r="B98" s="20" t="s">
        <v>46</v>
      </c>
      <c r="C98" s="2">
        <v>40744</v>
      </c>
      <c r="D98">
        <v>59</v>
      </c>
      <c r="E98" s="20" t="s">
        <v>53</v>
      </c>
      <c r="F98">
        <f>(1.3*1)</f>
        <v>1.3</v>
      </c>
      <c r="G98">
        <v>0</v>
      </c>
      <c r="H98">
        <v>0</v>
      </c>
      <c r="I98">
        <f>(2*1.8)</f>
        <v>3.6</v>
      </c>
      <c r="J98">
        <f t="shared" si="2"/>
        <v>4.9000000000000004</v>
      </c>
    </row>
    <row r="99" spans="1:10" x14ac:dyDescent="0.2">
      <c r="A99">
        <v>2011</v>
      </c>
      <c r="B99" s="20" t="s">
        <v>46</v>
      </c>
      <c r="C99" s="2">
        <v>40744</v>
      </c>
      <c r="D99">
        <v>59</v>
      </c>
      <c r="E99" s="20" t="s">
        <v>86</v>
      </c>
      <c r="F99">
        <f>(201*0.02)</f>
        <v>4.0200000000000005</v>
      </c>
      <c r="G99">
        <f>(0.5*0.5)</f>
        <v>0.25</v>
      </c>
      <c r="H99">
        <v>0</v>
      </c>
      <c r="I99">
        <f>(201*0.01)</f>
        <v>2.0100000000000002</v>
      </c>
      <c r="J99">
        <f t="shared" si="2"/>
        <v>6.2800000000000011</v>
      </c>
    </row>
    <row r="100" spans="1:10" x14ac:dyDescent="0.2">
      <c r="A100">
        <v>2011</v>
      </c>
      <c r="B100" s="20" t="s">
        <v>46</v>
      </c>
      <c r="C100" s="2">
        <v>40744</v>
      </c>
      <c r="D100">
        <v>59</v>
      </c>
      <c r="E100" s="20" t="s">
        <v>66</v>
      </c>
      <c r="F100" s="20">
        <v>0</v>
      </c>
      <c r="G100">
        <f>(2.8*2.3)</f>
        <v>6.4399999999999995</v>
      </c>
      <c r="H100">
        <v>0</v>
      </c>
      <c r="I100">
        <v>0</v>
      </c>
      <c r="J100">
        <f t="shared" si="2"/>
        <v>6.4399999999999995</v>
      </c>
    </row>
    <row r="101" spans="1:10" x14ac:dyDescent="0.2">
      <c r="A101">
        <v>2011</v>
      </c>
      <c r="B101" s="20" t="s">
        <v>46</v>
      </c>
      <c r="C101" s="2">
        <v>40744</v>
      </c>
      <c r="D101">
        <v>59</v>
      </c>
      <c r="E101" s="20" t="s">
        <v>82</v>
      </c>
      <c r="F101" s="20">
        <v>0</v>
      </c>
      <c r="G101" s="20">
        <v>0</v>
      </c>
      <c r="H101">
        <f>(2.9*2.6)</f>
        <v>7.54</v>
      </c>
      <c r="I101">
        <v>0</v>
      </c>
      <c r="J101">
        <f t="shared" si="2"/>
        <v>7.54</v>
      </c>
    </row>
    <row r="102" spans="1:10" x14ac:dyDescent="0.2">
      <c r="A102">
        <v>2011</v>
      </c>
      <c r="B102" s="20" t="s">
        <v>46</v>
      </c>
      <c r="C102" s="2">
        <v>40744</v>
      </c>
      <c r="D102">
        <v>60</v>
      </c>
      <c r="E102" s="20" t="s">
        <v>47</v>
      </c>
      <c r="F102" s="20">
        <v>37</v>
      </c>
      <c r="G102" s="20">
        <v>18</v>
      </c>
      <c r="H102" s="20">
        <v>21</v>
      </c>
      <c r="I102" s="20">
        <v>25</v>
      </c>
      <c r="J102">
        <f t="shared" si="2"/>
        <v>101</v>
      </c>
    </row>
    <row r="103" spans="1:10" x14ac:dyDescent="0.2">
      <c r="A103">
        <v>2011</v>
      </c>
      <c r="B103" s="20" t="s">
        <v>46</v>
      </c>
      <c r="C103" s="2">
        <v>40744</v>
      </c>
      <c r="D103">
        <v>60</v>
      </c>
      <c r="E103" s="20" t="s">
        <v>50</v>
      </c>
      <c r="F103" s="20">
        <v>2</v>
      </c>
      <c r="G103" s="20">
        <v>1</v>
      </c>
      <c r="H103" s="20">
        <v>0</v>
      </c>
      <c r="I103" s="20">
        <v>5</v>
      </c>
      <c r="J103">
        <f t="shared" si="2"/>
        <v>8</v>
      </c>
    </row>
    <row r="104" spans="1:10" x14ac:dyDescent="0.2">
      <c r="A104">
        <v>2011</v>
      </c>
      <c r="B104" s="20" t="s">
        <v>46</v>
      </c>
      <c r="C104" s="2">
        <v>40744</v>
      </c>
      <c r="D104">
        <v>60</v>
      </c>
      <c r="E104" s="20" t="s">
        <v>64</v>
      </c>
      <c r="F104" s="20">
        <v>1</v>
      </c>
      <c r="G104" s="20">
        <v>2</v>
      </c>
      <c r="H104" s="20">
        <v>3</v>
      </c>
      <c r="I104" s="20">
        <v>2</v>
      </c>
      <c r="J104">
        <f t="shared" si="2"/>
        <v>8</v>
      </c>
    </row>
    <row r="105" spans="1:10" x14ac:dyDescent="0.2">
      <c r="A105">
        <v>2011</v>
      </c>
      <c r="B105" s="20" t="s">
        <v>46</v>
      </c>
      <c r="C105" s="2">
        <v>40744</v>
      </c>
      <c r="D105">
        <v>60</v>
      </c>
      <c r="E105" s="20" t="s">
        <v>88</v>
      </c>
      <c r="F105" s="20">
        <v>0</v>
      </c>
      <c r="G105" s="20">
        <v>0</v>
      </c>
      <c r="H105" s="20">
        <v>1</v>
      </c>
      <c r="I105" s="20">
        <v>0</v>
      </c>
      <c r="J105">
        <f t="shared" si="2"/>
        <v>1</v>
      </c>
    </row>
    <row r="106" spans="1:10" x14ac:dyDescent="0.2">
      <c r="A106">
        <v>2011</v>
      </c>
      <c r="B106" s="20" t="s">
        <v>46</v>
      </c>
      <c r="C106" s="2">
        <v>40744</v>
      </c>
      <c r="D106">
        <v>60</v>
      </c>
      <c r="E106" s="20" t="s">
        <v>75</v>
      </c>
      <c r="F106" s="20">
        <v>0</v>
      </c>
      <c r="G106" s="20">
        <v>0</v>
      </c>
      <c r="H106" s="20">
        <v>0</v>
      </c>
      <c r="I106" s="20">
        <v>1</v>
      </c>
      <c r="J106">
        <f t="shared" si="2"/>
        <v>1</v>
      </c>
    </row>
    <row r="107" spans="1:10" x14ac:dyDescent="0.2">
      <c r="A107">
        <v>2011</v>
      </c>
      <c r="B107" s="20" t="s">
        <v>46</v>
      </c>
      <c r="C107" s="2">
        <v>40744</v>
      </c>
      <c r="D107">
        <v>60</v>
      </c>
      <c r="E107" s="20" t="s">
        <v>62</v>
      </c>
      <c r="F107" s="20">
        <v>0</v>
      </c>
      <c r="G107" s="20">
        <v>0</v>
      </c>
      <c r="H107" s="20">
        <v>0</v>
      </c>
      <c r="I107" s="20">
        <v>1</v>
      </c>
      <c r="J107">
        <f t="shared" si="2"/>
        <v>1</v>
      </c>
    </row>
    <row r="108" spans="1:10" x14ac:dyDescent="0.2">
      <c r="A108">
        <v>2011</v>
      </c>
      <c r="B108" s="20" t="s">
        <v>46</v>
      </c>
      <c r="C108" s="2">
        <v>40744</v>
      </c>
      <c r="D108">
        <v>60</v>
      </c>
      <c r="E108" s="20" t="s">
        <v>66</v>
      </c>
      <c r="F108">
        <f>(2*2)</f>
        <v>4</v>
      </c>
      <c r="G108">
        <v>0</v>
      </c>
      <c r="H108" s="20">
        <v>0</v>
      </c>
      <c r="I108">
        <f>(1.2*0.9)+(2.8*2.3)</f>
        <v>7.52</v>
      </c>
      <c r="J108">
        <f t="shared" si="2"/>
        <v>11.52</v>
      </c>
    </row>
    <row r="109" spans="1:10" x14ac:dyDescent="0.2">
      <c r="A109">
        <v>2011</v>
      </c>
      <c r="B109" s="20" t="s">
        <v>46</v>
      </c>
      <c r="C109" s="2">
        <v>40744</v>
      </c>
      <c r="D109">
        <v>60</v>
      </c>
      <c r="E109" s="20" t="s">
        <v>55</v>
      </c>
      <c r="F109">
        <f>(201*0.05)</f>
        <v>10.050000000000001</v>
      </c>
      <c r="G109">
        <f>(201*0.07)</f>
        <v>14.070000000000002</v>
      </c>
      <c r="H109">
        <f>(201*0.08)</f>
        <v>16.080000000000002</v>
      </c>
      <c r="I109">
        <f>(201*0.03)</f>
        <v>6.0299999999999994</v>
      </c>
      <c r="J109">
        <f t="shared" si="2"/>
        <v>46.230000000000004</v>
      </c>
    </row>
    <row r="110" spans="1:10" x14ac:dyDescent="0.2">
      <c r="A110">
        <v>2011</v>
      </c>
      <c r="B110" s="20" t="s">
        <v>46</v>
      </c>
      <c r="C110" s="2">
        <v>40744</v>
      </c>
      <c r="D110">
        <v>60</v>
      </c>
      <c r="E110" s="20" t="s">
        <v>86</v>
      </c>
      <c r="F110" s="20">
        <v>0</v>
      </c>
      <c r="G110" s="20">
        <f>(201*0.01)</f>
        <v>2.0100000000000002</v>
      </c>
      <c r="H110" s="20">
        <v>0</v>
      </c>
      <c r="I110">
        <f>(201*0.02)</f>
        <v>4.0200000000000005</v>
      </c>
      <c r="J110">
        <f t="shared" si="2"/>
        <v>6.0300000000000011</v>
      </c>
    </row>
    <row r="111" spans="1:10" x14ac:dyDescent="0.2">
      <c r="A111">
        <v>2011</v>
      </c>
      <c r="B111" s="20" t="s">
        <v>46</v>
      </c>
      <c r="C111" s="2">
        <v>40744</v>
      </c>
      <c r="D111">
        <v>60</v>
      </c>
      <c r="E111" s="20" t="s">
        <v>87</v>
      </c>
      <c r="F111" s="20">
        <v>0</v>
      </c>
      <c r="G111">
        <f>(1.9*0.8)</f>
        <v>1.52</v>
      </c>
      <c r="H111">
        <f>(1*1)</f>
        <v>1</v>
      </c>
      <c r="I111">
        <v>0</v>
      </c>
      <c r="J111">
        <f t="shared" si="2"/>
        <v>2.52</v>
      </c>
    </row>
    <row r="112" spans="1:10" x14ac:dyDescent="0.2">
      <c r="A112">
        <v>2011</v>
      </c>
      <c r="B112" s="20" t="s">
        <v>46</v>
      </c>
      <c r="C112" s="2">
        <v>40744</v>
      </c>
      <c r="D112">
        <v>60</v>
      </c>
      <c r="E112" s="20" t="s">
        <v>60</v>
      </c>
      <c r="G112">
        <f>(0.3*0.3)+(0.7*0.4)</f>
        <v>0.37</v>
      </c>
      <c r="H112">
        <f>(1.2*0.7)</f>
        <v>0.84</v>
      </c>
      <c r="I112">
        <f>(1.7*0.5)+(0.3*0.4)+(0.2*0.3)+(1.4*0.7)</f>
        <v>2.0099999999999998</v>
      </c>
      <c r="J112">
        <f t="shared" si="2"/>
        <v>3.2199999999999998</v>
      </c>
    </row>
    <row r="113" spans="1:11" x14ac:dyDescent="0.2">
      <c r="A113">
        <v>2011</v>
      </c>
      <c r="B113" s="20" t="s">
        <v>46</v>
      </c>
      <c r="C113" s="2">
        <v>40744</v>
      </c>
      <c r="D113">
        <v>60</v>
      </c>
      <c r="E113" s="20" t="s">
        <v>201</v>
      </c>
      <c r="F113" s="20">
        <v>0</v>
      </c>
      <c r="G113" s="20">
        <v>0</v>
      </c>
      <c r="H113" s="20">
        <v>0</v>
      </c>
      <c r="I113">
        <f>(0.9*0.7)</f>
        <v>0.63</v>
      </c>
      <c r="J113">
        <f t="shared" si="2"/>
        <v>0.63</v>
      </c>
    </row>
    <row r="114" spans="1:11" x14ac:dyDescent="0.2">
      <c r="A114">
        <v>2011</v>
      </c>
      <c r="B114" s="20" t="s">
        <v>46</v>
      </c>
      <c r="C114" s="2">
        <v>40710</v>
      </c>
      <c r="D114">
        <v>94</v>
      </c>
      <c r="E114" s="20" t="s">
        <v>50</v>
      </c>
      <c r="F114" s="20">
        <v>0</v>
      </c>
      <c r="G114" s="20">
        <v>2</v>
      </c>
      <c r="H114" s="20">
        <v>1</v>
      </c>
      <c r="I114" s="20">
        <v>2</v>
      </c>
      <c r="J114">
        <f t="shared" si="0"/>
        <v>5</v>
      </c>
    </row>
    <row r="115" spans="1:11" x14ac:dyDescent="0.2">
      <c r="A115">
        <v>2011</v>
      </c>
      <c r="B115" s="20" t="s">
        <v>46</v>
      </c>
      <c r="C115" s="2">
        <v>40710</v>
      </c>
      <c r="D115">
        <v>94</v>
      </c>
      <c r="E115" s="20" t="s">
        <v>54</v>
      </c>
      <c r="F115" s="20">
        <v>1</v>
      </c>
      <c r="G115" s="20">
        <v>1</v>
      </c>
      <c r="H115" s="20">
        <v>0</v>
      </c>
      <c r="I115" s="20">
        <v>0</v>
      </c>
      <c r="J115">
        <f t="shared" si="0"/>
        <v>2</v>
      </c>
    </row>
    <row r="116" spans="1:11" x14ac:dyDescent="0.2">
      <c r="A116">
        <v>2011</v>
      </c>
      <c r="B116" s="20" t="s">
        <v>46</v>
      </c>
      <c r="C116" s="2">
        <v>40710</v>
      </c>
      <c r="D116">
        <v>94</v>
      </c>
      <c r="E116" s="20" t="s">
        <v>49</v>
      </c>
      <c r="F116" s="20">
        <v>1</v>
      </c>
      <c r="G116" s="20">
        <v>0</v>
      </c>
      <c r="H116" s="20">
        <v>4</v>
      </c>
      <c r="I116" s="31">
        <v>3</v>
      </c>
      <c r="J116">
        <f t="shared" si="0"/>
        <v>8</v>
      </c>
      <c r="K116" s="28" t="s">
        <v>202</v>
      </c>
    </row>
    <row r="117" spans="1:11" x14ac:dyDescent="0.2">
      <c r="A117">
        <v>2011</v>
      </c>
      <c r="B117" s="20" t="s">
        <v>46</v>
      </c>
      <c r="C117" s="2">
        <v>40710</v>
      </c>
      <c r="D117">
        <v>94</v>
      </c>
      <c r="E117" s="20" t="s">
        <v>57</v>
      </c>
      <c r="F117" s="20">
        <v>0</v>
      </c>
      <c r="G117" s="20">
        <v>0</v>
      </c>
      <c r="H117" s="20">
        <v>1</v>
      </c>
      <c r="I117" s="20">
        <v>0</v>
      </c>
      <c r="J117">
        <f t="shared" si="0"/>
        <v>1</v>
      </c>
    </row>
    <row r="118" spans="1:11" x14ac:dyDescent="0.2">
      <c r="A118">
        <v>2011</v>
      </c>
      <c r="B118" s="20" t="s">
        <v>46</v>
      </c>
      <c r="C118" s="2">
        <v>40710</v>
      </c>
      <c r="D118">
        <v>94</v>
      </c>
      <c r="E118" s="20" t="s">
        <v>58</v>
      </c>
      <c r="F118">
        <f>(2.1*1.3)+(3.1*3.3)+(2.4*1.7)</f>
        <v>17.04</v>
      </c>
      <c r="G118" s="20">
        <v>0</v>
      </c>
      <c r="H118" s="20">
        <v>0</v>
      </c>
      <c r="I118">
        <f>(201*0.1)</f>
        <v>20.100000000000001</v>
      </c>
      <c r="J118">
        <f t="shared" si="0"/>
        <v>37.14</v>
      </c>
    </row>
    <row r="119" spans="1:11" x14ac:dyDescent="0.2">
      <c r="A119">
        <v>2011</v>
      </c>
      <c r="B119" s="20" t="s">
        <v>46</v>
      </c>
      <c r="C119" s="2">
        <v>40710</v>
      </c>
      <c r="D119">
        <v>94</v>
      </c>
      <c r="E119" s="20" t="s">
        <v>65</v>
      </c>
      <c r="F119" s="36">
        <f>(1.9*1.8)</f>
        <v>3.42</v>
      </c>
      <c r="G119" s="20">
        <v>0</v>
      </c>
      <c r="H119" s="20">
        <v>0</v>
      </c>
      <c r="I119" s="20">
        <v>0</v>
      </c>
      <c r="J119">
        <f t="shared" ref="J119:J201" si="3">SUM(F119:I119)</f>
        <v>3.42</v>
      </c>
      <c r="K119" s="28" t="s">
        <v>203</v>
      </c>
    </row>
    <row r="120" spans="1:11" x14ac:dyDescent="0.2">
      <c r="A120">
        <v>2011</v>
      </c>
      <c r="B120" s="20" t="s">
        <v>46</v>
      </c>
      <c r="C120" s="2">
        <v>40710</v>
      </c>
      <c r="D120">
        <v>94</v>
      </c>
      <c r="E120" s="20" t="s">
        <v>66</v>
      </c>
      <c r="F120" s="20">
        <v>0</v>
      </c>
      <c r="G120" s="20">
        <v>0</v>
      </c>
      <c r="H120" s="20">
        <v>0</v>
      </c>
      <c r="I120">
        <f>(0.8*0.7)</f>
        <v>0.55999999999999994</v>
      </c>
      <c r="J120">
        <f t="shared" si="3"/>
        <v>0.55999999999999994</v>
      </c>
    </row>
    <row r="121" spans="1:11" x14ac:dyDescent="0.2">
      <c r="A121">
        <v>2011</v>
      </c>
      <c r="B121" s="20" t="s">
        <v>46</v>
      </c>
      <c r="C121" s="2">
        <v>40710</v>
      </c>
      <c r="D121">
        <v>94</v>
      </c>
      <c r="E121" s="20" t="s">
        <v>55</v>
      </c>
      <c r="F121" s="20">
        <v>0</v>
      </c>
      <c r="G121">
        <f>(1.8*2)+(0.5*0.4)+(1*0.7)</f>
        <v>4.5</v>
      </c>
      <c r="H121">
        <f>(0.4*0.3)+(0.6*0.4)+(1*0.5)+(1*0.7)+(0.8*0.2)+(0.5*0.3)+(0.6*0.6)</f>
        <v>2.23</v>
      </c>
      <c r="I121">
        <v>0</v>
      </c>
      <c r="J121">
        <f t="shared" si="3"/>
        <v>6.73</v>
      </c>
    </row>
    <row r="122" spans="1:11" x14ac:dyDescent="0.2">
      <c r="A122">
        <v>2011</v>
      </c>
      <c r="B122" s="20" t="s">
        <v>46</v>
      </c>
      <c r="C122" s="2">
        <v>40710</v>
      </c>
      <c r="D122">
        <v>94</v>
      </c>
      <c r="E122" s="20" t="s">
        <v>61</v>
      </c>
      <c r="F122" s="20">
        <v>0</v>
      </c>
      <c r="G122">
        <f>(1.3*1.1)+(0.8*0.6)</f>
        <v>1.9100000000000001</v>
      </c>
      <c r="H122">
        <f>(1.8*1.7)+(0.8*0.9)+(0.3*0.9)+(201*0.1)</f>
        <v>24.150000000000002</v>
      </c>
      <c r="I122">
        <f>(3*3)</f>
        <v>9</v>
      </c>
      <c r="J122">
        <f t="shared" si="3"/>
        <v>35.06</v>
      </c>
    </row>
    <row r="123" spans="1:11" x14ac:dyDescent="0.2">
      <c r="A123">
        <v>2011</v>
      </c>
      <c r="B123" s="20" t="s">
        <v>46</v>
      </c>
      <c r="C123" s="2">
        <v>40710</v>
      </c>
      <c r="D123">
        <v>94</v>
      </c>
      <c r="E123" s="20" t="s">
        <v>89</v>
      </c>
      <c r="F123" s="20">
        <v>0</v>
      </c>
      <c r="G123">
        <f>(0.7*0.7)</f>
        <v>0.48999999999999994</v>
      </c>
      <c r="H123">
        <v>0</v>
      </c>
      <c r="I123">
        <v>0</v>
      </c>
      <c r="J123">
        <f t="shared" si="3"/>
        <v>0.48999999999999994</v>
      </c>
    </row>
    <row r="124" spans="1:11" x14ac:dyDescent="0.2">
      <c r="A124">
        <v>2011</v>
      </c>
      <c r="B124" s="20" t="s">
        <v>46</v>
      </c>
      <c r="C124" s="2">
        <v>40710</v>
      </c>
      <c r="D124">
        <v>95</v>
      </c>
      <c r="E124" s="20" t="s">
        <v>50</v>
      </c>
      <c r="F124" s="20">
        <v>1</v>
      </c>
      <c r="G124" s="20">
        <v>0</v>
      </c>
      <c r="H124">
        <v>0</v>
      </c>
      <c r="I124">
        <v>0</v>
      </c>
      <c r="J124">
        <f t="shared" si="3"/>
        <v>1</v>
      </c>
    </row>
    <row r="125" spans="1:11" x14ac:dyDescent="0.2">
      <c r="A125">
        <v>2011</v>
      </c>
      <c r="B125" s="20" t="s">
        <v>46</v>
      </c>
      <c r="C125" s="2">
        <v>40710</v>
      </c>
      <c r="D125">
        <v>95</v>
      </c>
      <c r="E125" s="20" t="s">
        <v>94</v>
      </c>
      <c r="F125" s="20">
        <v>1</v>
      </c>
      <c r="G125" s="20">
        <v>0</v>
      </c>
      <c r="H125">
        <v>0</v>
      </c>
      <c r="I125">
        <v>0</v>
      </c>
      <c r="J125">
        <f t="shared" si="3"/>
        <v>1</v>
      </c>
    </row>
    <row r="126" spans="1:11" x14ac:dyDescent="0.2">
      <c r="A126">
        <v>2011</v>
      </c>
      <c r="B126" s="20" t="s">
        <v>46</v>
      </c>
      <c r="C126" s="2">
        <v>40710</v>
      </c>
      <c r="D126">
        <v>95</v>
      </c>
      <c r="E126" s="20" t="s">
        <v>64</v>
      </c>
      <c r="F126" s="20">
        <v>0</v>
      </c>
      <c r="G126" s="20">
        <v>1</v>
      </c>
      <c r="H126">
        <v>0</v>
      </c>
      <c r="I126">
        <v>0</v>
      </c>
      <c r="J126">
        <f t="shared" si="3"/>
        <v>1</v>
      </c>
    </row>
    <row r="127" spans="1:11" x14ac:dyDescent="0.2">
      <c r="A127">
        <v>2011</v>
      </c>
      <c r="B127" s="20" t="s">
        <v>46</v>
      </c>
      <c r="C127" s="2">
        <v>40710</v>
      </c>
      <c r="D127">
        <v>95</v>
      </c>
      <c r="E127" s="20" t="s">
        <v>51</v>
      </c>
      <c r="F127" s="20">
        <v>0</v>
      </c>
      <c r="G127" s="20">
        <v>1</v>
      </c>
      <c r="H127">
        <v>0</v>
      </c>
      <c r="I127">
        <v>0</v>
      </c>
      <c r="J127">
        <f t="shared" si="3"/>
        <v>1</v>
      </c>
      <c r="K127" s="28" t="s">
        <v>204</v>
      </c>
    </row>
    <row r="128" spans="1:11" x14ac:dyDescent="0.2">
      <c r="A128">
        <v>2011</v>
      </c>
      <c r="B128" s="20" t="s">
        <v>46</v>
      </c>
      <c r="C128" s="2">
        <v>40710</v>
      </c>
      <c r="D128">
        <v>95</v>
      </c>
      <c r="E128" s="20" t="s">
        <v>72</v>
      </c>
      <c r="F128" s="20">
        <v>0</v>
      </c>
      <c r="G128" s="20">
        <v>1</v>
      </c>
      <c r="H128">
        <v>0</v>
      </c>
      <c r="I128">
        <v>0</v>
      </c>
      <c r="J128">
        <f t="shared" si="3"/>
        <v>1</v>
      </c>
    </row>
    <row r="129" spans="1:11" x14ac:dyDescent="0.2">
      <c r="A129">
        <v>2011</v>
      </c>
      <c r="B129" s="20" t="s">
        <v>46</v>
      </c>
      <c r="C129" s="2">
        <v>40710</v>
      </c>
      <c r="D129">
        <v>95</v>
      </c>
      <c r="E129" s="20" t="s">
        <v>62</v>
      </c>
      <c r="F129" s="20">
        <v>0</v>
      </c>
      <c r="G129" s="20">
        <v>0</v>
      </c>
      <c r="H129">
        <v>0</v>
      </c>
      <c r="I129">
        <v>1</v>
      </c>
      <c r="J129">
        <f t="shared" si="3"/>
        <v>1</v>
      </c>
    </row>
    <row r="130" spans="1:11" x14ac:dyDescent="0.2">
      <c r="A130">
        <v>2011</v>
      </c>
      <c r="B130" s="20" t="s">
        <v>46</v>
      </c>
      <c r="C130" s="2">
        <v>40710</v>
      </c>
      <c r="D130">
        <v>95</v>
      </c>
      <c r="E130" s="20" t="s">
        <v>47</v>
      </c>
      <c r="F130" s="20">
        <v>0</v>
      </c>
      <c r="G130" s="20">
        <v>0</v>
      </c>
      <c r="H130">
        <v>0</v>
      </c>
      <c r="I130">
        <v>1</v>
      </c>
      <c r="J130">
        <f t="shared" si="3"/>
        <v>1</v>
      </c>
      <c r="K130" s="28" t="s">
        <v>205</v>
      </c>
    </row>
    <row r="131" spans="1:11" x14ac:dyDescent="0.2">
      <c r="A131">
        <v>2011</v>
      </c>
      <c r="B131" s="20" t="s">
        <v>46</v>
      </c>
      <c r="C131" s="2">
        <v>40710</v>
      </c>
      <c r="D131">
        <v>95</v>
      </c>
      <c r="E131" s="20" t="s">
        <v>61</v>
      </c>
      <c r="F131">
        <f>(0.9*0.6)+(0.4*0.4)+(0.5*0.3)+(0.5*0.4)</f>
        <v>1.05</v>
      </c>
      <c r="G131" s="20">
        <v>0</v>
      </c>
      <c r="H131">
        <f>(0.5*0.4)</f>
        <v>0.2</v>
      </c>
      <c r="I131">
        <v>0</v>
      </c>
      <c r="J131">
        <f t="shared" si="3"/>
        <v>1.25</v>
      </c>
    </row>
    <row r="132" spans="1:11" x14ac:dyDescent="0.2">
      <c r="A132">
        <v>2011</v>
      </c>
      <c r="B132" s="20" t="s">
        <v>46</v>
      </c>
      <c r="C132" s="2">
        <v>40710</v>
      </c>
      <c r="D132">
        <v>95</v>
      </c>
      <c r="E132" s="20" t="s">
        <v>58</v>
      </c>
      <c r="F132">
        <f>(3*2.5)+(201*0.05)</f>
        <v>17.55</v>
      </c>
      <c r="G132">
        <f>(201*0.12)</f>
        <v>24.119999999999997</v>
      </c>
      <c r="H132">
        <f>(201*0.2)</f>
        <v>40.200000000000003</v>
      </c>
      <c r="I132">
        <f>(201*0.12)</f>
        <v>24.119999999999997</v>
      </c>
      <c r="J132">
        <f t="shared" si="3"/>
        <v>105.99000000000001</v>
      </c>
    </row>
    <row r="133" spans="1:11" x14ac:dyDescent="0.2">
      <c r="A133">
        <v>2011</v>
      </c>
      <c r="B133" s="20" t="s">
        <v>46</v>
      </c>
      <c r="C133" s="2">
        <v>40710</v>
      </c>
      <c r="D133">
        <v>95</v>
      </c>
      <c r="E133" s="20" t="s">
        <v>67</v>
      </c>
      <c r="F133" s="20">
        <v>0</v>
      </c>
      <c r="G133" s="20">
        <v>0</v>
      </c>
      <c r="H133">
        <f>(0.7*0.6)</f>
        <v>0.42</v>
      </c>
      <c r="I133">
        <v>0</v>
      </c>
      <c r="J133">
        <f t="shared" si="3"/>
        <v>0.42</v>
      </c>
    </row>
    <row r="134" spans="1:11" x14ac:dyDescent="0.2">
      <c r="A134">
        <v>2011</v>
      </c>
      <c r="B134" s="20" t="s">
        <v>46</v>
      </c>
      <c r="C134" s="2">
        <v>40710</v>
      </c>
      <c r="D134">
        <v>96</v>
      </c>
      <c r="E134" s="20" t="s">
        <v>62</v>
      </c>
      <c r="F134" s="20">
        <v>0</v>
      </c>
      <c r="G134" s="20">
        <v>0</v>
      </c>
      <c r="H134" s="20">
        <v>0</v>
      </c>
      <c r="I134" s="20">
        <v>2</v>
      </c>
      <c r="J134">
        <f t="shared" si="3"/>
        <v>2</v>
      </c>
    </row>
    <row r="135" spans="1:11" x14ac:dyDescent="0.2">
      <c r="A135">
        <v>2011</v>
      </c>
      <c r="B135" s="20" t="s">
        <v>46</v>
      </c>
      <c r="C135" s="2">
        <v>40710</v>
      </c>
      <c r="D135">
        <v>96</v>
      </c>
      <c r="E135" s="20" t="s">
        <v>83</v>
      </c>
      <c r="F135" s="20">
        <v>1</v>
      </c>
      <c r="G135" s="20">
        <v>0</v>
      </c>
      <c r="H135" s="20">
        <v>0</v>
      </c>
      <c r="I135" s="20">
        <v>0</v>
      </c>
      <c r="J135">
        <f t="shared" si="3"/>
        <v>1</v>
      </c>
    </row>
    <row r="136" spans="1:11" x14ac:dyDescent="0.2">
      <c r="A136">
        <v>2011</v>
      </c>
      <c r="B136" s="20" t="s">
        <v>46</v>
      </c>
      <c r="C136" s="2">
        <v>40710</v>
      </c>
      <c r="D136">
        <v>96</v>
      </c>
      <c r="E136" s="20" t="s">
        <v>64</v>
      </c>
      <c r="F136" s="20">
        <v>1</v>
      </c>
      <c r="G136" s="20">
        <v>0</v>
      </c>
      <c r="H136" s="20">
        <v>0</v>
      </c>
      <c r="I136" s="20">
        <v>0</v>
      </c>
      <c r="J136">
        <f t="shared" si="3"/>
        <v>1</v>
      </c>
    </row>
    <row r="137" spans="1:11" x14ac:dyDescent="0.2">
      <c r="A137">
        <v>2011</v>
      </c>
      <c r="B137" s="20" t="s">
        <v>46</v>
      </c>
      <c r="C137" s="2">
        <v>40710</v>
      </c>
      <c r="D137">
        <v>96</v>
      </c>
      <c r="E137" s="20" t="s">
        <v>51</v>
      </c>
      <c r="F137" s="20">
        <v>1</v>
      </c>
      <c r="G137" s="20">
        <v>3</v>
      </c>
      <c r="H137" s="20">
        <v>0</v>
      </c>
      <c r="I137" s="20">
        <v>1</v>
      </c>
      <c r="J137">
        <f t="shared" si="3"/>
        <v>5</v>
      </c>
    </row>
    <row r="138" spans="1:11" x14ac:dyDescent="0.2">
      <c r="A138">
        <v>2011</v>
      </c>
      <c r="B138" s="20" t="s">
        <v>46</v>
      </c>
      <c r="C138" s="2">
        <v>40710</v>
      </c>
      <c r="D138">
        <v>96</v>
      </c>
      <c r="E138" s="20" t="s">
        <v>63</v>
      </c>
      <c r="F138" s="20">
        <v>1</v>
      </c>
      <c r="G138" s="20">
        <v>0</v>
      </c>
      <c r="H138" s="20">
        <v>0</v>
      </c>
      <c r="I138" s="20">
        <v>0</v>
      </c>
      <c r="J138">
        <f t="shared" si="3"/>
        <v>1</v>
      </c>
    </row>
    <row r="139" spans="1:11" x14ac:dyDescent="0.2">
      <c r="A139">
        <v>2011</v>
      </c>
      <c r="B139" s="20" t="s">
        <v>46</v>
      </c>
      <c r="C139" s="2">
        <v>40710</v>
      </c>
      <c r="D139">
        <v>96</v>
      </c>
      <c r="E139" s="20" t="s">
        <v>47</v>
      </c>
      <c r="F139" s="20">
        <v>0</v>
      </c>
      <c r="G139" s="20">
        <v>1</v>
      </c>
      <c r="H139" s="20">
        <v>0</v>
      </c>
      <c r="I139" s="20">
        <v>0</v>
      </c>
      <c r="J139">
        <f t="shared" si="3"/>
        <v>1</v>
      </c>
    </row>
    <row r="140" spans="1:11" x14ac:dyDescent="0.2">
      <c r="A140">
        <v>2011</v>
      </c>
      <c r="B140" s="20" t="s">
        <v>46</v>
      </c>
      <c r="C140" s="2">
        <v>40710</v>
      </c>
      <c r="D140">
        <v>96</v>
      </c>
      <c r="E140" s="20" t="s">
        <v>92</v>
      </c>
      <c r="F140" s="20">
        <v>0</v>
      </c>
      <c r="G140" s="20">
        <v>0</v>
      </c>
      <c r="H140" s="20">
        <v>1</v>
      </c>
      <c r="I140" s="20">
        <v>0</v>
      </c>
      <c r="J140">
        <f t="shared" si="3"/>
        <v>1</v>
      </c>
    </row>
    <row r="141" spans="1:11" x14ac:dyDescent="0.2">
      <c r="A141">
        <v>2011</v>
      </c>
      <c r="B141" s="20" t="s">
        <v>46</v>
      </c>
      <c r="C141" s="2">
        <v>40710</v>
      </c>
      <c r="D141">
        <v>96</v>
      </c>
      <c r="E141" s="20" t="s">
        <v>61</v>
      </c>
      <c r="F141">
        <f>(1.2*1.1)+(0.9*0.6)+(0.7*0.5)+(0.4*0.4)</f>
        <v>2.37</v>
      </c>
      <c r="G141">
        <f>(1.8*1.6)+(0.5*0.5)+(1.3*1)</f>
        <v>4.4300000000000006</v>
      </c>
      <c r="H141" s="20">
        <v>0</v>
      </c>
      <c r="I141">
        <f>(0.7*0.5)</f>
        <v>0.35</v>
      </c>
      <c r="J141">
        <f t="shared" si="3"/>
        <v>7.15</v>
      </c>
    </row>
    <row r="142" spans="1:11" x14ac:dyDescent="0.2">
      <c r="A142">
        <v>2011</v>
      </c>
      <c r="B142" s="20" t="s">
        <v>46</v>
      </c>
      <c r="C142" s="2">
        <v>40710</v>
      </c>
      <c r="D142">
        <v>96</v>
      </c>
      <c r="E142" s="20" t="s">
        <v>55</v>
      </c>
      <c r="F142">
        <f>(1.1*0.7)</f>
        <v>0.77</v>
      </c>
      <c r="G142">
        <v>0</v>
      </c>
      <c r="H142" s="20">
        <v>0</v>
      </c>
      <c r="I142" s="20">
        <v>0</v>
      </c>
      <c r="J142">
        <f t="shared" si="3"/>
        <v>0.77</v>
      </c>
    </row>
    <row r="143" spans="1:11" x14ac:dyDescent="0.2">
      <c r="A143">
        <v>2011</v>
      </c>
      <c r="B143" s="20" t="s">
        <v>46</v>
      </c>
      <c r="C143" s="2">
        <v>40710</v>
      </c>
      <c r="D143">
        <v>96</v>
      </c>
      <c r="E143" s="20" t="s">
        <v>80</v>
      </c>
      <c r="F143" s="20">
        <v>0</v>
      </c>
      <c r="G143" s="20">
        <v>0</v>
      </c>
      <c r="H143">
        <f>(1.9*1.1)+(1.6*1.3)+(1.7*1.3)+(1.8*1.2)</f>
        <v>8.5399999999999991</v>
      </c>
      <c r="I143" s="20">
        <v>0</v>
      </c>
      <c r="J143">
        <f t="shared" si="3"/>
        <v>8.5399999999999991</v>
      </c>
    </row>
    <row r="144" spans="1:11" x14ac:dyDescent="0.2">
      <c r="A144">
        <v>2011</v>
      </c>
      <c r="B144" s="20" t="s">
        <v>46</v>
      </c>
      <c r="C144" s="2">
        <v>40751</v>
      </c>
      <c r="D144">
        <v>97</v>
      </c>
      <c r="E144" s="20" t="s">
        <v>51</v>
      </c>
      <c r="F144" s="20">
        <v>1</v>
      </c>
      <c r="G144" s="20">
        <v>1</v>
      </c>
      <c r="H144" s="20">
        <v>0</v>
      </c>
      <c r="I144" s="20">
        <v>0</v>
      </c>
      <c r="J144">
        <f t="shared" ref="J144:J162" si="4">SUM(F144:I144)</f>
        <v>2</v>
      </c>
    </row>
    <row r="145" spans="1:11" x14ac:dyDescent="0.2">
      <c r="A145">
        <v>2011</v>
      </c>
      <c r="B145" s="20" t="s">
        <v>46</v>
      </c>
      <c r="C145" s="2">
        <v>40751</v>
      </c>
      <c r="D145">
        <v>97</v>
      </c>
      <c r="E145" s="20" t="s">
        <v>49</v>
      </c>
      <c r="F145" s="20">
        <v>3</v>
      </c>
      <c r="G145" s="20">
        <v>1</v>
      </c>
      <c r="H145" s="20">
        <v>0</v>
      </c>
      <c r="I145" s="20">
        <v>12</v>
      </c>
      <c r="J145">
        <f t="shared" si="4"/>
        <v>16</v>
      </c>
      <c r="K145" s="28" t="s">
        <v>206</v>
      </c>
    </row>
    <row r="146" spans="1:11" x14ac:dyDescent="0.2">
      <c r="A146">
        <v>2011</v>
      </c>
      <c r="B146" s="20" t="s">
        <v>46</v>
      </c>
      <c r="C146" s="2">
        <v>40751</v>
      </c>
      <c r="D146">
        <v>97</v>
      </c>
      <c r="E146" s="20" t="s">
        <v>50</v>
      </c>
      <c r="F146" s="20">
        <v>0</v>
      </c>
      <c r="G146" s="20">
        <v>1</v>
      </c>
      <c r="H146" s="20">
        <v>0</v>
      </c>
      <c r="I146" s="20">
        <v>0</v>
      </c>
      <c r="J146">
        <f t="shared" si="4"/>
        <v>1</v>
      </c>
    </row>
    <row r="147" spans="1:11" x14ac:dyDescent="0.2">
      <c r="A147">
        <v>2011</v>
      </c>
      <c r="B147" s="20" t="s">
        <v>46</v>
      </c>
      <c r="C147" s="2">
        <v>40751</v>
      </c>
      <c r="D147">
        <v>97</v>
      </c>
      <c r="E147" s="20" t="s">
        <v>92</v>
      </c>
      <c r="F147" s="20">
        <v>0</v>
      </c>
      <c r="G147" s="20">
        <v>1</v>
      </c>
      <c r="H147" s="20">
        <v>0</v>
      </c>
      <c r="I147" s="20">
        <v>0</v>
      </c>
      <c r="J147">
        <f t="shared" si="4"/>
        <v>1</v>
      </c>
    </row>
    <row r="148" spans="1:11" x14ac:dyDescent="0.2">
      <c r="A148">
        <v>2011</v>
      </c>
      <c r="B148" s="20" t="s">
        <v>46</v>
      </c>
      <c r="C148" s="2">
        <v>40751</v>
      </c>
      <c r="D148">
        <v>97</v>
      </c>
      <c r="E148" s="20" t="s">
        <v>57</v>
      </c>
      <c r="F148" s="20">
        <v>0</v>
      </c>
      <c r="G148" s="20">
        <v>0</v>
      </c>
      <c r="H148" s="20">
        <v>1</v>
      </c>
      <c r="I148" s="20">
        <v>0</v>
      </c>
      <c r="J148">
        <f t="shared" si="4"/>
        <v>1</v>
      </c>
      <c r="K148" s="28" t="s">
        <v>207</v>
      </c>
    </row>
    <row r="149" spans="1:11" x14ac:dyDescent="0.2">
      <c r="A149">
        <v>2011</v>
      </c>
      <c r="B149" s="20" t="s">
        <v>46</v>
      </c>
      <c r="C149" s="2">
        <v>40751</v>
      </c>
      <c r="D149">
        <v>97</v>
      </c>
      <c r="E149" s="20" t="s">
        <v>72</v>
      </c>
      <c r="F149" s="20">
        <v>0</v>
      </c>
      <c r="G149" s="20">
        <v>0</v>
      </c>
      <c r="H149" s="20">
        <v>1</v>
      </c>
      <c r="I149" s="20">
        <v>0</v>
      </c>
      <c r="J149">
        <f t="shared" si="4"/>
        <v>1</v>
      </c>
    </row>
    <row r="150" spans="1:11" x14ac:dyDescent="0.2">
      <c r="A150">
        <v>2011</v>
      </c>
      <c r="B150" s="20" t="s">
        <v>46</v>
      </c>
      <c r="C150" s="2">
        <v>40751</v>
      </c>
      <c r="D150">
        <v>97</v>
      </c>
      <c r="E150" s="20" t="s">
        <v>61</v>
      </c>
      <c r="F150">
        <f>(1*0.9)+(0.8*0.3)+(0.4*0.3)+(0.6*0.5)+(0.6*0.4)</f>
        <v>1.8000000000000003</v>
      </c>
      <c r="G150">
        <f>(0.8*0.6)+(0.6*0.5)+(0.9*0.6)+(1*0.7)+(0.7*0.4)+(1.5*1)</f>
        <v>3.8</v>
      </c>
      <c r="H150">
        <f>(201*0.05)</f>
        <v>10.050000000000001</v>
      </c>
      <c r="I150" s="20">
        <v>0</v>
      </c>
      <c r="J150">
        <f t="shared" si="4"/>
        <v>15.65</v>
      </c>
    </row>
    <row r="151" spans="1:11" x14ac:dyDescent="0.2">
      <c r="A151">
        <v>2011</v>
      </c>
      <c r="B151" s="20" t="s">
        <v>46</v>
      </c>
      <c r="C151" s="2">
        <v>40751</v>
      </c>
      <c r="D151">
        <v>97</v>
      </c>
      <c r="E151" s="20" t="s">
        <v>67</v>
      </c>
      <c r="F151" s="20">
        <v>0</v>
      </c>
      <c r="G151">
        <f>(0.8*0.6)+(0.9*0.8)</f>
        <v>1.2000000000000002</v>
      </c>
      <c r="H151">
        <v>0</v>
      </c>
      <c r="I151" s="20">
        <v>0</v>
      </c>
      <c r="J151">
        <f t="shared" si="4"/>
        <v>1.2000000000000002</v>
      </c>
      <c r="K151" s="28" t="s">
        <v>208</v>
      </c>
    </row>
    <row r="152" spans="1:11" x14ac:dyDescent="0.2">
      <c r="A152">
        <v>2011</v>
      </c>
      <c r="B152" s="20" t="s">
        <v>46</v>
      </c>
      <c r="C152" s="2">
        <v>40751</v>
      </c>
      <c r="D152">
        <v>97</v>
      </c>
      <c r="E152" s="20" t="s">
        <v>58</v>
      </c>
      <c r="F152" s="20">
        <v>0</v>
      </c>
      <c r="G152">
        <f>(1.8*2)+(1.3*1.3)</f>
        <v>5.29</v>
      </c>
      <c r="H152">
        <f>(2.8*1.9)</f>
        <v>5.3199999999999994</v>
      </c>
      <c r="I152" s="20">
        <v>0</v>
      </c>
      <c r="J152">
        <f t="shared" si="4"/>
        <v>10.61</v>
      </c>
    </row>
    <row r="153" spans="1:11" x14ac:dyDescent="0.2">
      <c r="A153">
        <v>2011</v>
      </c>
      <c r="B153" s="20" t="s">
        <v>46</v>
      </c>
      <c r="C153" s="2">
        <v>40757</v>
      </c>
      <c r="D153">
        <v>98</v>
      </c>
      <c r="E153" s="20" t="s">
        <v>51</v>
      </c>
      <c r="F153" s="20">
        <v>0</v>
      </c>
      <c r="G153" s="20">
        <v>1</v>
      </c>
      <c r="H153" s="20">
        <v>1</v>
      </c>
      <c r="I153" s="20">
        <v>0</v>
      </c>
      <c r="J153">
        <f>SUM(F153:I153)</f>
        <v>2</v>
      </c>
    </row>
    <row r="154" spans="1:11" x14ac:dyDescent="0.2">
      <c r="A154">
        <v>2011</v>
      </c>
      <c r="B154" s="20" t="s">
        <v>46</v>
      </c>
      <c r="C154" s="2">
        <v>40757</v>
      </c>
      <c r="D154">
        <v>98</v>
      </c>
      <c r="E154" s="20" t="s">
        <v>92</v>
      </c>
      <c r="F154" s="20">
        <v>0</v>
      </c>
      <c r="G154" s="20">
        <v>1</v>
      </c>
      <c r="H154" s="20">
        <v>2</v>
      </c>
      <c r="I154" s="20">
        <v>0</v>
      </c>
      <c r="J154">
        <f>SUM(F154:I154)</f>
        <v>3</v>
      </c>
    </row>
    <row r="155" spans="1:11" x14ac:dyDescent="0.2">
      <c r="A155">
        <v>2011</v>
      </c>
      <c r="B155" s="20" t="s">
        <v>46</v>
      </c>
      <c r="C155" s="2">
        <v>40757</v>
      </c>
      <c r="D155">
        <v>98</v>
      </c>
      <c r="E155" s="20" t="s">
        <v>47</v>
      </c>
      <c r="F155" s="20">
        <v>0</v>
      </c>
      <c r="G155" s="20">
        <v>2</v>
      </c>
      <c r="H155" s="20">
        <v>0</v>
      </c>
      <c r="I155" s="20">
        <v>0</v>
      </c>
      <c r="J155">
        <f>SUM(F155:I155)</f>
        <v>2</v>
      </c>
    </row>
    <row r="156" spans="1:11" x14ac:dyDescent="0.2">
      <c r="A156">
        <v>2011</v>
      </c>
      <c r="B156" s="20" t="s">
        <v>46</v>
      </c>
      <c r="C156" s="2">
        <v>40757</v>
      </c>
      <c r="D156">
        <v>98</v>
      </c>
      <c r="E156" s="20" t="s">
        <v>49</v>
      </c>
      <c r="F156" s="20">
        <v>0</v>
      </c>
      <c r="G156" s="20">
        <v>0</v>
      </c>
      <c r="H156" s="20">
        <v>0</v>
      </c>
      <c r="I156" s="20">
        <v>2</v>
      </c>
      <c r="J156">
        <f>SUM(F156:I156)</f>
        <v>2</v>
      </c>
    </row>
    <row r="157" spans="1:11" x14ac:dyDescent="0.2">
      <c r="A157">
        <v>2011</v>
      </c>
      <c r="B157" s="20" t="s">
        <v>46</v>
      </c>
      <c r="C157" s="2">
        <v>40757</v>
      </c>
      <c r="D157">
        <v>98</v>
      </c>
      <c r="E157" s="20" t="s">
        <v>58</v>
      </c>
      <c r="F157" s="20">
        <v>0</v>
      </c>
      <c r="G157">
        <f>(201*0.04)</f>
        <v>8.0400000000000009</v>
      </c>
      <c r="H157">
        <f>(1.3*1.1)</f>
        <v>1.4300000000000002</v>
      </c>
      <c r="I157" s="20">
        <v>0</v>
      </c>
      <c r="J157">
        <f>SUM(F157:I157)</f>
        <v>9.4700000000000006</v>
      </c>
    </row>
    <row r="158" spans="1:11" x14ac:dyDescent="0.2">
      <c r="A158">
        <v>2011</v>
      </c>
      <c r="B158" s="20" t="s">
        <v>46</v>
      </c>
      <c r="C158" s="2">
        <v>40751</v>
      </c>
      <c r="D158">
        <v>99</v>
      </c>
      <c r="E158" s="20" t="s">
        <v>92</v>
      </c>
      <c r="F158" s="20">
        <v>3</v>
      </c>
      <c r="G158" s="20">
        <v>0</v>
      </c>
      <c r="H158" s="20">
        <v>0</v>
      </c>
      <c r="I158" s="20">
        <v>0</v>
      </c>
      <c r="J158">
        <f t="shared" si="4"/>
        <v>3</v>
      </c>
    </row>
    <row r="159" spans="1:11" x14ac:dyDescent="0.2">
      <c r="A159">
        <v>2011</v>
      </c>
      <c r="B159" s="20" t="s">
        <v>46</v>
      </c>
      <c r="C159" s="2">
        <v>40751</v>
      </c>
      <c r="D159">
        <v>99</v>
      </c>
      <c r="E159" s="20" t="s">
        <v>49</v>
      </c>
      <c r="F159" s="20">
        <v>1</v>
      </c>
      <c r="G159" s="20">
        <v>11</v>
      </c>
      <c r="H159" s="20">
        <v>5</v>
      </c>
      <c r="I159" s="20">
        <v>2</v>
      </c>
      <c r="J159">
        <f t="shared" si="4"/>
        <v>19</v>
      </c>
    </row>
    <row r="160" spans="1:11" x14ac:dyDescent="0.2">
      <c r="A160">
        <v>2011</v>
      </c>
      <c r="B160" s="20" t="s">
        <v>46</v>
      </c>
      <c r="C160" s="2">
        <v>40751</v>
      </c>
      <c r="D160">
        <v>99</v>
      </c>
      <c r="E160" s="20" t="s">
        <v>51</v>
      </c>
      <c r="F160" s="20">
        <v>0</v>
      </c>
      <c r="G160" s="20">
        <v>2</v>
      </c>
      <c r="H160" s="20">
        <v>2</v>
      </c>
      <c r="I160" s="20">
        <v>0</v>
      </c>
      <c r="J160">
        <f t="shared" si="4"/>
        <v>4</v>
      </c>
    </row>
    <row r="161" spans="1:11" x14ac:dyDescent="0.2">
      <c r="A161">
        <v>2011</v>
      </c>
      <c r="B161" s="20" t="s">
        <v>46</v>
      </c>
      <c r="C161" s="2">
        <v>40751</v>
      </c>
      <c r="D161">
        <v>99</v>
      </c>
      <c r="E161" s="20" t="s">
        <v>47</v>
      </c>
      <c r="F161" s="20">
        <v>0</v>
      </c>
      <c r="G161" s="20">
        <v>1</v>
      </c>
      <c r="H161" s="20">
        <v>0</v>
      </c>
      <c r="I161" s="20">
        <v>0</v>
      </c>
      <c r="J161">
        <f t="shared" si="4"/>
        <v>1</v>
      </c>
    </row>
    <row r="162" spans="1:11" x14ac:dyDescent="0.2">
      <c r="A162">
        <v>2011</v>
      </c>
      <c r="B162" s="20" t="s">
        <v>46</v>
      </c>
      <c r="C162" s="2">
        <v>40751</v>
      </c>
      <c r="D162">
        <v>99</v>
      </c>
      <c r="E162" s="20" t="s">
        <v>61</v>
      </c>
      <c r="F162" s="20">
        <v>0</v>
      </c>
      <c r="G162" s="20">
        <v>0</v>
      </c>
      <c r="H162">
        <f>(0.8*0.7)</f>
        <v>0.55999999999999994</v>
      </c>
      <c r="I162" s="20">
        <v>0</v>
      </c>
      <c r="J162">
        <f t="shared" si="4"/>
        <v>0.55999999999999994</v>
      </c>
    </row>
    <row r="163" spans="1:11" x14ac:dyDescent="0.2">
      <c r="A163">
        <v>2011</v>
      </c>
      <c r="B163" s="20" t="s">
        <v>46</v>
      </c>
      <c r="C163" s="12">
        <v>40724</v>
      </c>
      <c r="D163">
        <v>100</v>
      </c>
      <c r="E163" s="20" t="s">
        <v>47</v>
      </c>
      <c r="F163" s="20">
        <v>2</v>
      </c>
      <c r="G163" s="20">
        <v>0</v>
      </c>
      <c r="H163" s="20">
        <v>0</v>
      </c>
      <c r="I163" s="20">
        <v>0</v>
      </c>
      <c r="J163">
        <f t="shared" si="3"/>
        <v>2</v>
      </c>
      <c r="K163" s="28" t="s">
        <v>209</v>
      </c>
    </row>
    <row r="164" spans="1:11" x14ac:dyDescent="0.2">
      <c r="A164">
        <v>2011</v>
      </c>
      <c r="B164" s="20" t="s">
        <v>46</v>
      </c>
      <c r="C164" s="12">
        <v>40724</v>
      </c>
      <c r="D164">
        <v>100</v>
      </c>
      <c r="E164" s="20" t="s">
        <v>57</v>
      </c>
      <c r="F164" s="20">
        <v>1</v>
      </c>
      <c r="G164" s="20">
        <v>2</v>
      </c>
      <c r="H164" s="20">
        <v>1</v>
      </c>
      <c r="I164" s="20">
        <v>0</v>
      </c>
      <c r="J164">
        <f t="shared" si="3"/>
        <v>4</v>
      </c>
    </row>
    <row r="165" spans="1:11" x14ac:dyDescent="0.2">
      <c r="A165">
        <v>2011</v>
      </c>
      <c r="B165" s="20" t="s">
        <v>46</v>
      </c>
      <c r="C165" s="12">
        <v>40724</v>
      </c>
      <c r="D165">
        <v>100</v>
      </c>
      <c r="E165" s="20" t="s">
        <v>64</v>
      </c>
      <c r="F165" s="20">
        <v>0</v>
      </c>
      <c r="G165" s="20">
        <v>3</v>
      </c>
      <c r="H165" s="20">
        <v>0</v>
      </c>
      <c r="I165" s="20">
        <v>0</v>
      </c>
      <c r="J165">
        <f t="shared" si="3"/>
        <v>3</v>
      </c>
    </row>
    <row r="166" spans="1:11" x14ac:dyDescent="0.2">
      <c r="A166">
        <v>2011</v>
      </c>
      <c r="B166" s="20" t="s">
        <v>46</v>
      </c>
      <c r="C166" s="12">
        <v>40724</v>
      </c>
      <c r="D166">
        <v>100</v>
      </c>
      <c r="E166" s="20" t="s">
        <v>92</v>
      </c>
      <c r="F166" s="20">
        <v>0</v>
      </c>
      <c r="G166" s="20">
        <v>1</v>
      </c>
      <c r="H166" s="20">
        <v>1</v>
      </c>
      <c r="I166" s="20">
        <v>0</v>
      </c>
      <c r="J166">
        <f t="shared" si="3"/>
        <v>2</v>
      </c>
    </row>
    <row r="167" spans="1:11" x14ac:dyDescent="0.2">
      <c r="A167">
        <v>2011</v>
      </c>
      <c r="B167" s="20" t="s">
        <v>46</v>
      </c>
      <c r="C167" s="12">
        <v>40724</v>
      </c>
      <c r="D167">
        <v>100</v>
      </c>
      <c r="E167" s="20" t="s">
        <v>62</v>
      </c>
      <c r="F167" s="20">
        <v>0</v>
      </c>
      <c r="G167" s="20">
        <v>1</v>
      </c>
      <c r="H167" s="20">
        <v>0</v>
      </c>
      <c r="I167" s="20">
        <v>0</v>
      </c>
      <c r="J167">
        <f t="shared" si="3"/>
        <v>1</v>
      </c>
    </row>
    <row r="168" spans="1:11" x14ac:dyDescent="0.2">
      <c r="A168">
        <v>2011</v>
      </c>
      <c r="B168" s="20" t="s">
        <v>46</v>
      </c>
      <c r="C168" s="12">
        <v>40724</v>
      </c>
      <c r="D168">
        <v>100</v>
      </c>
      <c r="E168" s="20" t="s">
        <v>50</v>
      </c>
      <c r="F168" s="20">
        <v>0</v>
      </c>
      <c r="G168" s="20">
        <v>0</v>
      </c>
      <c r="H168" s="20">
        <v>2</v>
      </c>
      <c r="I168" s="20">
        <v>0</v>
      </c>
      <c r="J168">
        <f t="shared" si="3"/>
        <v>2</v>
      </c>
    </row>
    <row r="169" spans="1:11" x14ac:dyDescent="0.2">
      <c r="A169">
        <v>2011</v>
      </c>
      <c r="B169" s="20" t="s">
        <v>46</v>
      </c>
      <c r="C169" s="12">
        <v>40724</v>
      </c>
      <c r="D169">
        <v>100</v>
      </c>
      <c r="E169" s="20" t="s">
        <v>83</v>
      </c>
      <c r="F169" s="20">
        <v>0</v>
      </c>
      <c r="G169" s="20">
        <v>0</v>
      </c>
      <c r="H169" s="20">
        <v>1</v>
      </c>
      <c r="I169" s="20">
        <v>0</v>
      </c>
      <c r="J169">
        <f t="shared" si="3"/>
        <v>1</v>
      </c>
    </row>
    <row r="170" spans="1:11" x14ac:dyDescent="0.2">
      <c r="A170">
        <v>2011</v>
      </c>
      <c r="B170" s="20" t="s">
        <v>46</v>
      </c>
      <c r="C170" s="12">
        <v>40724</v>
      </c>
      <c r="D170">
        <v>100</v>
      </c>
      <c r="E170" s="20" t="s">
        <v>61</v>
      </c>
      <c r="F170">
        <f>(201*0.1)</f>
        <v>20.100000000000001</v>
      </c>
      <c r="G170">
        <f>(201*0.01)</f>
        <v>2.0100000000000002</v>
      </c>
      <c r="H170" s="20">
        <v>0</v>
      </c>
      <c r="I170">
        <f>(201*0.07)</f>
        <v>14.070000000000002</v>
      </c>
      <c r="J170">
        <f t="shared" si="3"/>
        <v>36.180000000000007</v>
      </c>
    </row>
    <row r="171" spans="1:11" x14ac:dyDescent="0.2">
      <c r="A171">
        <v>2011</v>
      </c>
      <c r="B171" s="20" t="s">
        <v>46</v>
      </c>
      <c r="C171" s="12">
        <v>40724</v>
      </c>
      <c r="D171">
        <v>100</v>
      </c>
      <c r="E171" s="20" t="s">
        <v>58</v>
      </c>
      <c r="F171">
        <f>(201*0.06)</f>
        <v>12.059999999999999</v>
      </c>
      <c r="G171">
        <f>(201*0.01)</f>
        <v>2.0100000000000002</v>
      </c>
      <c r="H171">
        <f>(201*0.02)</f>
        <v>4.0200000000000005</v>
      </c>
      <c r="I171">
        <f>(201*0.14)</f>
        <v>28.140000000000004</v>
      </c>
      <c r="J171">
        <f t="shared" si="3"/>
        <v>46.230000000000004</v>
      </c>
    </row>
    <row r="172" spans="1:11" x14ac:dyDescent="0.2">
      <c r="A172">
        <v>2011</v>
      </c>
      <c r="B172" s="20" t="s">
        <v>46</v>
      </c>
      <c r="C172" s="12">
        <v>40724</v>
      </c>
      <c r="D172">
        <v>100</v>
      </c>
      <c r="E172" s="20" t="s">
        <v>55</v>
      </c>
      <c r="F172">
        <f>(1.4*1)+(0.5*0.4)+(0.9*0.7)</f>
        <v>2.23</v>
      </c>
      <c r="G172">
        <f>(0.7*0.5)+(1.9*1.3)</f>
        <v>2.82</v>
      </c>
      <c r="H172">
        <f>(0.6*0.4)+(0.9*0.6)+(0.6*0.5)+(1*1)+(0.4*0.3)</f>
        <v>2.2000000000000002</v>
      </c>
      <c r="I172">
        <v>0</v>
      </c>
      <c r="J172">
        <f t="shared" si="3"/>
        <v>7.25</v>
      </c>
    </row>
    <row r="173" spans="1:11" x14ac:dyDescent="0.2">
      <c r="A173">
        <v>2011</v>
      </c>
      <c r="B173" s="20" t="s">
        <v>46</v>
      </c>
      <c r="C173" s="12">
        <v>40724</v>
      </c>
      <c r="D173">
        <v>100</v>
      </c>
      <c r="E173" s="20" t="s">
        <v>84</v>
      </c>
      <c r="F173" s="20">
        <v>0</v>
      </c>
      <c r="G173" s="20">
        <v>0</v>
      </c>
      <c r="H173">
        <f>(0.3*0.3)</f>
        <v>0.09</v>
      </c>
      <c r="I173">
        <f>(201*0.04)</f>
        <v>8.0400000000000009</v>
      </c>
      <c r="J173">
        <f t="shared" si="3"/>
        <v>8.1300000000000008</v>
      </c>
    </row>
    <row r="174" spans="1:11" x14ac:dyDescent="0.2">
      <c r="A174">
        <v>2011</v>
      </c>
      <c r="B174" s="20" t="s">
        <v>46</v>
      </c>
      <c r="C174" s="2">
        <v>40724</v>
      </c>
      <c r="D174">
        <v>101</v>
      </c>
      <c r="E174" s="20" t="s">
        <v>92</v>
      </c>
      <c r="F174" s="20">
        <v>1</v>
      </c>
      <c r="G174" s="20">
        <v>1</v>
      </c>
      <c r="H174" s="20">
        <v>1</v>
      </c>
      <c r="I174" s="20">
        <v>0</v>
      </c>
      <c r="J174">
        <f t="shared" si="3"/>
        <v>3</v>
      </c>
    </row>
    <row r="175" spans="1:11" x14ac:dyDescent="0.2">
      <c r="A175">
        <v>2011</v>
      </c>
      <c r="B175" s="20" t="s">
        <v>46</v>
      </c>
      <c r="C175" s="2">
        <v>40724</v>
      </c>
      <c r="D175">
        <v>101</v>
      </c>
      <c r="E175" s="20" t="s">
        <v>51</v>
      </c>
      <c r="F175" s="20">
        <v>2</v>
      </c>
      <c r="G175" s="20">
        <v>4</v>
      </c>
      <c r="H175" s="20">
        <v>3</v>
      </c>
      <c r="I175" s="20">
        <v>1</v>
      </c>
      <c r="J175">
        <f t="shared" si="3"/>
        <v>10</v>
      </c>
    </row>
    <row r="176" spans="1:11" x14ac:dyDescent="0.2">
      <c r="A176">
        <v>2011</v>
      </c>
      <c r="B176" s="20" t="s">
        <v>46</v>
      </c>
      <c r="C176" s="2">
        <v>40724</v>
      </c>
      <c r="D176">
        <v>101</v>
      </c>
      <c r="E176" s="20" t="s">
        <v>64</v>
      </c>
      <c r="F176" s="20">
        <v>0</v>
      </c>
      <c r="G176" s="20">
        <v>1</v>
      </c>
      <c r="H176" s="20">
        <v>1</v>
      </c>
      <c r="I176" s="20">
        <v>0</v>
      </c>
      <c r="J176">
        <f t="shared" si="3"/>
        <v>2</v>
      </c>
    </row>
    <row r="177" spans="1:10" x14ac:dyDescent="0.2">
      <c r="A177">
        <v>2011</v>
      </c>
      <c r="B177" s="20" t="s">
        <v>46</v>
      </c>
      <c r="C177" s="2">
        <v>40724</v>
      </c>
      <c r="D177">
        <v>101</v>
      </c>
      <c r="E177" s="20" t="s">
        <v>57</v>
      </c>
      <c r="F177" s="20">
        <v>0</v>
      </c>
      <c r="G177" s="20">
        <v>0</v>
      </c>
      <c r="H177" s="20">
        <v>1</v>
      </c>
      <c r="I177" s="20">
        <v>1</v>
      </c>
      <c r="J177">
        <f t="shared" si="3"/>
        <v>2</v>
      </c>
    </row>
    <row r="178" spans="1:10" x14ac:dyDescent="0.2">
      <c r="A178">
        <v>2011</v>
      </c>
      <c r="B178" s="20" t="s">
        <v>46</v>
      </c>
      <c r="C178" s="2">
        <v>40724</v>
      </c>
      <c r="D178">
        <v>101</v>
      </c>
      <c r="E178" s="20" t="s">
        <v>55</v>
      </c>
      <c r="F178">
        <f>(0.4*0.4)+(0.2*0.2)+(1*1)</f>
        <v>1.2</v>
      </c>
      <c r="G178">
        <f>(0.5*0.3)+(0.6*0.3)+(1.2*1)</f>
        <v>1.5299999999999998</v>
      </c>
      <c r="H178" s="20">
        <v>0</v>
      </c>
      <c r="I178">
        <f>(201*0.01)</f>
        <v>2.0100000000000002</v>
      </c>
      <c r="J178">
        <f t="shared" si="3"/>
        <v>4.74</v>
      </c>
    </row>
    <row r="179" spans="1:10" x14ac:dyDescent="0.2">
      <c r="A179">
        <v>2011</v>
      </c>
      <c r="B179" s="20" t="s">
        <v>46</v>
      </c>
      <c r="C179" s="2">
        <v>40724</v>
      </c>
      <c r="D179">
        <v>101</v>
      </c>
      <c r="E179" s="20" t="s">
        <v>80</v>
      </c>
      <c r="F179">
        <f>(1.6*1.5)+(1.7*1.4)</f>
        <v>4.78</v>
      </c>
      <c r="G179">
        <v>0</v>
      </c>
      <c r="H179" s="20">
        <v>0</v>
      </c>
      <c r="I179" s="20">
        <v>0</v>
      </c>
      <c r="J179">
        <f t="shared" si="3"/>
        <v>4.78</v>
      </c>
    </row>
    <row r="180" spans="1:10" x14ac:dyDescent="0.2">
      <c r="A180">
        <v>2011</v>
      </c>
      <c r="B180" s="20" t="s">
        <v>46</v>
      </c>
      <c r="C180" s="2">
        <v>40724</v>
      </c>
      <c r="D180">
        <v>101</v>
      </c>
      <c r="E180" s="20" t="s">
        <v>58</v>
      </c>
      <c r="F180">
        <f>(1.1*1.3)</f>
        <v>1.4300000000000002</v>
      </c>
      <c r="G180">
        <f>(2*2)</f>
        <v>4</v>
      </c>
      <c r="H180">
        <f>(3*3.2)</f>
        <v>9.6000000000000014</v>
      </c>
      <c r="I180" s="20">
        <v>0</v>
      </c>
      <c r="J180">
        <f t="shared" si="3"/>
        <v>15.030000000000001</v>
      </c>
    </row>
    <row r="181" spans="1:10" x14ac:dyDescent="0.2">
      <c r="A181">
        <v>2011</v>
      </c>
      <c r="B181" s="20" t="s">
        <v>46</v>
      </c>
      <c r="C181" s="2">
        <v>40724</v>
      </c>
      <c r="D181">
        <v>101</v>
      </c>
      <c r="E181" s="20" t="s">
        <v>53</v>
      </c>
      <c r="F181" s="20">
        <v>0</v>
      </c>
      <c r="G181">
        <f>(0.8*0.8)</f>
        <v>0.64000000000000012</v>
      </c>
      <c r="H181">
        <v>0</v>
      </c>
      <c r="I181" s="20">
        <v>0</v>
      </c>
      <c r="J181">
        <f t="shared" si="3"/>
        <v>0.64000000000000012</v>
      </c>
    </row>
    <row r="182" spans="1:10" x14ac:dyDescent="0.2">
      <c r="A182">
        <v>2011</v>
      </c>
      <c r="B182" s="20" t="s">
        <v>46</v>
      </c>
      <c r="C182" s="2">
        <v>40724</v>
      </c>
      <c r="D182">
        <v>101</v>
      </c>
      <c r="E182" s="20" t="s">
        <v>74</v>
      </c>
      <c r="F182" s="20">
        <v>0</v>
      </c>
      <c r="G182" s="20">
        <v>0</v>
      </c>
      <c r="H182">
        <f>(1*1)</f>
        <v>1</v>
      </c>
      <c r="I182" s="20">
        <v>0</v>
      </c>
      <c r="J182">
        <f t="shared" si="3"/>
        <v>1</v>
      </c>
    </row>
    <row r="183" spans="1:10" x14ac:dyDescent="0.2">
      <c r="A183">
        <v>2011</v>
      </c>
      <c r="B183" s="20" t="s">
        <v>46</v>
      </c>
      <c r="C183" s="12">
        <v>40724</v>
      </c>
      <c r="D183">
        <v>102</v>
      </c>
      <c r="E183" s="20" t="s">
        <v>94</v>
      </c>
      <c r="F183" s="20">
        <v>1</v>
      </c>
      <c r="G183" s="20">
        <v>0</v>
      </c>
      <c r="H183" s="20">
        <v>0</v>
      </c>
      <c r="I183" s="20">
        <v>0</v>
      </c>
      <c r="J183">
        <f>SUM(F183:I183)</f>
        <v>1</v>
      </c>
    </row>
    <row r="184" spans="1:10" x14ac:dyDescent="0.2">
      <c r="A184">
        <v>2011</v>
      </c>
      <c r="B184" s="20" t="s">
        <v>46</v>
      </c>
      <c r="C184" s="12">
        <v>40724</v>
      </c>
      <c r="D184">
        <v>102</v>
      </c>
      <c r="E184" s="20" t="s">
        <v>55</v>
      </c>
      <c r="F184">
        <f>(0.5*0.8)+(0.6*0.3)+(0.8*0.4)+(0.4*0.4)+(0.8*0.4)</f>
        <v>1.3800000000000001</v>
      </c>
      <c r="G184" s="20">
        <v>0</v>
      </c>
      <c r="H184" s="20">
        <v>0</v>
      </c>
      <c r="I184">
        <f>(0.6*0.4)+(1.5*6)</f>
        <v>9.24</v>
      </c>
      <c r="J184">
        <f>SUM(F184:I184)</f>
        <v>10.620000000000001</v>
      </c>
    </row>
    <row r="185" spans="1:10" x14ac:dyDescent="0.2">
      <c r="A185">
        <v>2011</v>
      </c>
      <c r="B185" s="20" t="s">
        <v>46</v>
      </c>
      <c r="C185" s="12">
        <v>40724</v>
      </c>
      <c r="D185">
        <v>102</v>
      </c>
      <c r="E185" s="20" t="s">
        <v>74</v>
      </c>
      <c r="F185" s="20">
        <v>0</v>
      </c>
      <c r="G185" s="20">
        <v>0</v>
      </c>
      <c r="H185" s="20">
        <v>0</v>
      </c>
      <c r="I185">
        <f>(1*1)+(0.8*0.7)</f>
        <v>1.56</v>
      </c>
      <c r="J185">
        <f>SUM(F185:I185)</f>
        <v>1.56</v>
      </c>
    </row>
    <row r="186" spans="1:10" x14ac:dyDescent="0.2">
      <c r="A186">
        <v>2011</v>
      </c>
      <c r="B186" s="20" t="s">
        <v>46</v>
      </c>
      <c r="C186" s="2">
        <v>40743</v>
      </c>
      <c r="D186">
        <v>121</v>
      </c>
      <c r="E186" s="20" t="s">
        <v>92</v>
      </c>
      <c r="F186" s="20">
        <v>0</v>
      </c>
      <c r="G186" s="20">
        <v>1</v>
      </c>
      <c r="H186" s="20">
        <v>0</v>
      </c>
      <c r="I186" s="20">
        <v>0</v>
      </c>
      <c r="J186">
        <f t="shared" si="3"/>
        <v>1</v>
      </c>
    </row>
    <row r="187" spans="1:10" x14ac:dyDescent="0.2">
      <c r="A187">
        <v>2011</v>
      </c>
      <c r="B187" s="20" t="s">
        <v>46</v>
      </c>
      <c r="C187" s="2">
        <v>40743</v>
      </c>
      <c r="D187">
        <v>121</v>
      </c>
      <c r="E187" s="20" t="s">
        <v>76</v>
      </c>
      <c r="F187" s="20">
        <v>0</v>
      </c>
      <c r="G187" s="20">
        <v>0</v>
      </c>
      <c r="H187" s="20">
        <v>2</v>
      </c>
      <c r="I187" s="20">
        <v>0</v>
      </c>
      <c r="J187">
        <f t="shared" si="3"/>
        <v>2</v>
      </c>
    </row>
    <row r="188" spans="1:10" x14ac:dyDescent="0.2">
      <c r="A188">
        <v>2011</v>
      </c>
      <c r="B188" s="20" t="s">
        <v>46</v>
      </c>
      <c r="C188" s="2">
        <v>40743</v>
      </c>
      <c r="D188">
        <v>121</v>
      </c>
      <c r="E188" s="20" t="s">
        <v>64</v>
      </c>
      <c r="F188" s="20">
        <v>0</v>
      </c>
      <c r="G188" s="20">
        <v>0</v>
      </c>
      <c r="H188" s="20">
        <v>1</v>
      </c>
      <c r="I188" s="20">
        <v>2</v>
      </c>
      <c r="J188">
        <f t="shared" si="3"/>
        <v>3</v>
      </c>
    </row>
    <row r="189" spans="1:10" x14ac:dyDescent="0.2">
      <c r="A189">
        <v>2011</v>
      </c>
      <c r="B189" s="20" t="s">
        <v>46</v>
      </c>
      <c r="C189" s="2">
        <v>40743</v>
      </c>
      <c r="D189">
        <v>121</v>
      </c>
      <c r="E189" s="20" t="s">
        <v>72</v>
      </c>
      <c r="F189" s="20">
        <v>0</v>
      </c>
      <c r="G189" s="20">
        <v>0</v>
      </c>
      <c r="H189" s="20">
        <v>1</v>
      </c>
      <c r="I189" s="20">
        <v>0</v>
      </c>
      <c r="J189">
        <f t="shared" si="3"/>
        <v>1</v>
      </c>
    </row>
    <row r="190" spans="1:10" x14ac:dyDescent="0.2">
      <c r="A190">
        <v>2011</v>
      </c>
      <c r="B190" s="20" t="s">
        <v>46</v>
      </c>
      <c r="C190" s="2">
        <v>40743</v>
      </c>
      <c r="D190">
        <v>121</v>
      </c>
      <c r="E190" s="20" t="s">
        <v>54</v>
      </c>
      <c r="F190" s="20">
        <v>0</v>
      </c>
      <c r="G190" s="20">
        <v>0</v>
      </c>
      <c r="H190" s="20">
        <v>0</v>
      </c>
      <c r="I190" s="20">
        <v>1</v>
      </c>
      <c r="J190">
        <f t="shared" si="3"/>
        <v>1</v>
      </c>
    </row>
    <row r="191" spans="1:10" x14ac:dyDescent="0.2">
      <c r="A191">
        <v>2011</v>
      </c>
      <c r="B191" s="20" t="s">
        <v>46</v>
      </c>
      <c r="C191" s="2">
        <v>40743</v>
      </c>
      <c r="D191">
        <v>121</v>
      </c>
      <c r="E191" s="20" t="s">
        <v>47</v>
      </c>
      <c r="F191" s="20">
        <v>0</v>
      </c>
      <c r="G191" s="20">
        <v>0</v>
      </c>
      <c r="H191" s="20">
        <v>0</v>
      </c>
      <c r="I191" s="20">
        <v>2</v>
      </c>
      <c r="J191">
        <f t="shared" si="3"/>
        <v>2</v>
      </c>
    </row>
    <row r="192" spans="1:10" x14ac:dyDescent="0.2">
      <c r="A192">
        <v>2011</v>
      </c>
      <c r="B192" s="20" t="s">
        <v>46</v>
      </c>
      <c r="C192" s="2">
        <v>40743</v>
      </c>
      <c r="D192">
        <v>121</v>
      </c>
      <c r="E192" s="20" t="s">
        <v>50</v>
      </c>
      <c r="F192" s="20">
        <v>0</v>
      </c>
      <c r="G192" s="20">
        <v>0</v>
      </c>
      <c r="H192" s="20">
        <v>0</v>
      </c>
      <c r="I192" s="20">
        <v>1</v>
      </c>
      <c r="J192">
        <f t="shared" si="3"/>
        <v>1</v>
      </c>
    </row>
    <row r="193" spans="1:10" x14ac:dyDescent="0.2">
      <c r="A193">
        <v>2011</v>
      </c>
      <c r="B193" s="20" t="s">
        <v>46</v>
      </c>
      <c r="C193" s="2">
        <v>40743</v>
      </c>
      <c r="D193">
        <v>121</v>
      </c>
      <c r="E193" s="20" t="s">
        <v>58</v>
      </c>
      <c r="F193">
        <f>(201*0.2)</f>
        <v>40.200000000000003</v>
      </c>
      <c r="G193">
        <f>(201*0.1)</f>
        <v>20.100000000000001</v>
      </c>
      <c r="H193">
        <f>(201*0.18)</f>
        <v>36.18</v>
      </c>
      <c r="I193">
        <f>(201*0.05)</f>
        <v>10.050000000000001</v>
      </c>
      <c r="J193">
        <f t="shared" si="3"/>
        <v>106.53</v>
      </c>
    </row>
    <row r="194" spans="1:10" x14ac:dyDescent="0.2">
      <c r="A194">
        <v>2011</v>
      </c>
      <c r="B194" s="20" t="s">
        <v>46</v>
      </c>
      <c r="C194" s="2">
        <v>40743</v>
      </c>
      <c r="D194">
        <v>121</v>
      </c>
      <c r="E194" s="20" t="s">
        <v>68</v>
      </c>
      <c r="F194" s="20">
        <v>0</v>
      </c>
      <c r="G194">
        <f>(1.3*0.9)</f>
        <v>1.1700000000000002</v>
      </c>
      <c r="H194">
        <v>0</v>
      </c>
      <c r="I194">
        <f>(1.1*0.8)</f>
        <v>0.88000000000000012</v>
      </c>
      <c r="J194">
        <f t="shared" si="3"/>
        <v>2.0500000000000003</v>
      </c>
    </row>
    <row r="195" spans="1:10" x14ac:dyDescent="0.2">
      <c r="A195">
        <v>2011</v>
      </c>
      <c r="B195" s="20" t="s">
        <v>46</v>
      </c>
      <c r="C195" s="2">
        <v>40743</v>
      </c>
      <c r="D195">
        <v>121</v>
      </c>
      <c r="E195" s="20" t="s">
        <v>55</v>
      </c>
      <c r="F195" s="20">
        <v>0</v>
      </c>
      <c r="G195" s="20">
        <v>0</v>
      </c>
      <c r="H195" s="20">
        <v>0</v>
      </c>
      <c r="I195">
        <f>(2*1)+(1*0.8)+(0.6*0.5)+(1*0.7)+(0.8*0.6)</f>
        <v>4.2799999999999994</v>
      </c>
      <c r="J195">
        <f t="shared" si="3"/>
        <v>4.2799999999999994</v>
      </c>
    </row>
    <row r="196" spans="1:10" x14ac:dyDescent="0.2">
      <c r="A196">
        <v>2011</v>
      </c>
      <c r="B196" s="20" t="s">
        <v>46</v>
      </c>
      <c r="C196" s="2">
        <v>40743</v>
      </c>
      <c r="D196">
        <v>122</v>
      </c>
      <c r="E196" s="20" t="s">
        <v>47</v>
      </c>
      <c r="F196" s="20">
        <v>5</v>
      </c>
      <c r="G196" s="20">
        <v>3</v>
      </c>
      <c r="H196" s="20">
        <v>12</v>
      </c>
      <c r="I196" s="20">
        <v>10</v>
      </c>
      <c r="J196">
        <f t="shared" si="3"/>
        <v>30</v>
      </c>
    </row>
    <row r="197" spans="1:10" x14ac:dyDescent="0.2">
      <c r="A197">
        <v>2011</v>
      </c>
      <c r="B197" s="20" t="s">
        <v>46</v>
      </c>
      <c r="C197" s="2">
        <v>40743</v>
      </c>
      <c r="D197">
        <v>122</v>
      </c>
      <c r="E197" s="20" t="s">
        <v>72</v>
      </c>
      <c r="F197" s="20">
        <v>0</v>
      </c>
      <c r="G197" s="20">
        <v>0</v>
      </c>
      <c r="H197" s="20">
        <v>1</v>
      </c>
      <c r="I197" s="20">
        <v>0</v>
      </c>
      <c r="J197">
        <f t="shared" si="3"/>
        <v>1</v>
      </c>
    </row>
    <row r="198" spans="1:10" x14ac:dyDescent="0.2">
      <c r="A198">
        <v>2011</v>
      </c>
      <c r="B198" s="20" t="s">
        <v>46</v>
      </c>
      <c r="C198" s="2">
        <v>40743</v>
      </c>
      <c r="D198">
        <v>122</v>
      </c>
      <c r="E198" s="20" t="s">
        <v>55</v>
      </c>
      <c r="F198">
        <f>(201*0.02)</f>
        <v>4.0200000000000005</v>
      </c>
      <c r="G198" s="20">
        <v>0</v>
      </c>
      <c r="H198" s="20">
        <v>0</v>
      </c>
      <c r="I198">
        <f>(0.7*0.7)+(0.9*0.8)+(0.6*0.5)</f>
        <v>1.51</v>
      </c>
      <c r="J198">
        <f t="shared" si="3"/>
        <v>5.53</v>
      </c>
    </row>
    <row r="199" spans="1:10" x14ac:dyDescent="0.2">
      <c r="A199">
        <v>2011</v>
      </c>
      <c r="B199" s="20" t="s">
        <v>46</v>
      </c>
      <c r="C199" s="2">
        <v>40743</v>
      </c>
      <c r="D199">
        <v>123</v>
      </c>
      <c r="E199" s="20" t="s">
        <v>76</v>
      </c>
      <c r="F199" s="20">
        <v>2</v>
      </c>
      <c r="G199" s="20">
        <v>0</v>
      </c>
      <c r="H199" s="20">
        <v>0</v>
      </c>
      <c r="I199" s="20">
        <v>0</v>
      </c>
      <c r="J199">
        <f t="shared" si="3"/>
        <v>2</v>
      </c>
    </row>
    <row r="200" spans="1:10" x14ac:dyDescent="0.2">
      <c r="A200">
        <v>2011</v>
      </c>
      <c r="B200" s="20" t="s">
        <v>46</v>
      </c>
      <c r="C200" s="2">
        <v>40743</v>
      </c>
      <c r="D200">
        <v>123</v>
      </c>
      <c r="E200" s="20" t="s">
        <v>60</v>
      </c>
      <c r="F200">
        <f>(0.5*0.4)</f>
        <v>0.2</v>
      </c>
      <c r="G200" s="20">
        <v>0</v>
      </c>
      <c r="H200" s="20">
        <v>0</v>
      </c>
      <c r="I200" s="20">
        <v>0</v>
      </c>
      <c r="J200">
        <f t="shared" si="3"/>
        <v>0.2</v>
      </c>
    </row>
    <row r="201" spans="1:10" x14ac:dyDescent="0.2">
      <c r="A201">
        <v>2011</v>
      </c>
      <c r="B201" s="20" t="s">
        <v>46</v>
      </c>
      <c r="C201" s="2">
        <v>40743</v>
      </c>
      <c r="D201">
        <v>123</v>
      </c>
      <c r="E201" s="20" t="s">
        <v>58</v>
      </c>
      <c r="F201" s="20">
        <v>0</v>
      </c>
      <c r="G201">
        <f>(2.8*1.3)</f>
        <v>3.6399999999999997</v>
      </c>
      <c r="H201" s="20">
        <v>0</v>
      </c>
      <c r="I201" s="20">
        <v>0</v>
      </c>
      <c r="J201">
        <f t="shared" si="3"/>
        <v>3.6399999999999997</v>
      </c>
    </row>
    <row r="202" spans="1:10" x14ac:dyDescent="0.2">
      <c r="A202">
        <v>2011</v>
      </c>
      <c r="B202" s="20" t="s">
        <v>46</v>
      </c>
      <c r="C202" s="2">
        <v>40743</v>
      </c>
      <c r="D202">
        <v>123</v>
      </c>
      <c r="E202" s="20" t="s">
        <v>55</v>
      </c>
      <c r="F202" s="20">
        <v>0</v>
      </c>
      <c r="G202" s="20">
        <v>0</v>
      </c>
      <c r="H202">
        <f>(0.4*0.5)+(0.2*0.2)+(1.6*0.9)+(0.9*0.6)</f>
        <v>2.2200000000000002</v>
      </c>
      <c r="I202">
        <f>(0.2*0.2)</f>
        <v>4.0000000000000008E-2</v>
      </c>
      <c r="J202">
        <f t="shared" ref="J202" si="5">SUM(F202:I202)</f>
        <v>2.2600000000000002</v>
      </c>
    </row>
    <row r="203" spans="1:10" x14ac:dyDescent="0.2">
      <c r="B203" s="20"/>
    </row>
    <row r="204" spans="1:10" x14ac:dyDescent="0.2">
      <c r="B204" s="20"/>
    </row>
    <row r="205" spans="1:10" x14ac:dyDescent="0.2">
      <c r="B205" s="20"/>
    </row>
    <row r="206" spans="1:10" x14ac:dyDescent="0.2">
      <c r="B206" s="20"/>
    </row>
    <row r="207" spans="1:10" x14ac:dyDescent="0.2">
      <c r="B207" s="20"/>
    </row>
    <row r="208" spans="1:10" x14ac:dyDescent="0.2">
      <c r="B208" s="20"/>
    </row>
    <row r="209" spans="2:2" x14ac:dyDescent="0.2">
      <c r="B209" s="20"/>
    </row>
    <row r="210" spans="2:2" x14ac:dyDescent="0.2">
      <c r="B210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1"/>
  <sheetViews>
    <sheetView workbookViewId="0">
      <pane ySplit="3" topLeftCell="A28" activePane="bottomLeft" state="frozen"/>
      <selection pane="bottomLeft" activeCell="F37" sqref="F37"/>
    </sheetView>
  </sheetViews>
  <sheetFormatPr defaultRowHeight="12.75" x14ac:dyDescent="0.2"/>
  <cols>
    <col min="2" max="2" width="9.85546875" customWidth="1"/>
    <col min="3" max="3" width="9.140625" style="2" customWidth="1"/>
    <col min="6" max="6" width="10.85546875" customWidth="1"/>
    <col min="7" max="7" width="10.7109375" bestFit="1" customWidth="1"/>
    <col min="9" max="9" width="8" customWidth="1"/>
  </cols>
  <sheetData>
    <row r="1" spans="1:10" x14ac:dyDescent="0.2">
      <c r="A1" s="2" t="s">
        <v>210</v>
      </c>
    </row>
    <row r="3" spans="1:10" ht="13.5" thickBot="1" x14ac:dyDescent="0.25">
      <c r="A3" s="24" t="s">
        <v>8</v>
      </c>
      <c r="B3" s="24" t="s">
        <v>9</v>
      </c>
      <c r="C3" s="5" t="s">
        <v>10</v>
      </c>
      <c r="D3" s="6" t="s">
        <v>11</v>
      </c>
      <c r="E3" s="6" t="s">
        <v>211</v>
      </c>
      <c r="F3" s="6" t="s">
        <v>212</v>
      </c>
      <c r="G3" s="6" t="s">
        <v>213</v>
      </c>
      <c r="H3" s="6" t="s">
        <v>214</v>
      </c>
      <c r="I3" s="6" t="s">
        <v>215</v>
      </c>
      <c r="J3" s="6" t="s">
        <v>45</v>
      </c>
    </row>
    <row r="4" spans="1:10" ht="13.5" thickTop="1" x14ac:dyDescent="0.2">
      <c r="A4">
        <v>2011</v>
      </c>
      <c r="B4" s="20" t="s">
        <v>46</v>
      </c>
      <c r="C4" s="2">
        <v>40722</v>
      </c>
      <c r="D4">
        <v>49</v>
      </c>
      <c r="E4">
        <v>1</v>
      </c>
      <c r="F4">
        <v>8.89</v>
      </c>
      <c r="G4">
        <v>3.88</v>
      </c>
      <c r="H4">
        <v>5.85</v>
      </c>
      <c r="I4">
        <v>71</v>
      </c>
      <c r="J4" s="20" t="s">
        <v>216</v>
      </c>
    </row>
    <row r="5" spans="1:10" x14ac:dyDescent="0.2">
      <c r="A5">
        <v>2011</v>
      </c>
      <c r="B5" s="20" t="s">
        <v>46</v>
      </c>
      <c r="C5" s="2">
        <v>40722</v>
      </c>
      <c r="D5">
        <v>49</v>
      </c>
      <c r="E5">
        <v>2</v>
      </c>
      <c r="F5">
        <v>11.44</v>
      </c>
      <c r="G5">
        <v>5.65</v>
      </c>
      <c r="H5">
        <v>11.3</v>
      </c>
      <c r="I5">
        <v>85</v>
      </c>
    </row>
    <row r="6" spans="1:10" x14ac:dyDescent="0.2">
      <c r="A6">
        <v>2011</v>
      </c>
      <c r="B6" s="20" t="s">
        <v>46</v>
      </c>
      <c r="C6" s="2">
        <v>40722</v>
      </c>
      <c r="D6">
        <v>49</v>
      </c>
      <c r="E6">
        <v>3</v>
      </c>
      <c r="F6">
        <v>6.06</v>
      </c>
      <c r="G6" s="20" t="s">
        <v>1</v>
      </c>
      <c r="H6" s="20">
        <v>7.15</v>
      </c>
      <c r="I6" s="20">
        <v>174</v>
      </c>
      <c r="J6" s="20" t="s">
        <v>217</v>
      </c>
    </row>
    <row r="7" spans="1:10" x14ac:dyDescent="0.2">
      <c r="A7">
        <v>2011</v>
      </c>
      <c r="B7" s="20" t="s">
        <v>46</v>
      </c>
      <c r="C7" s="2">
        <v>40722</v>
      </c>
      <c r="D7">
        <v>49</v>
      </c>
      <c r="E7">
        <v>4</v>
      </c>
      <c r="F7" s="20">
        <v>11.6</v>
      </c>
      <c r="G7" s="20">
        <v>6.84</v>
      </c>
      <c r="H7" s="20">
        <v>13.58</v>
      </c>
      <c r="I7" s="20">
        <v>186</v>
      </c>
      <c r="J7" s="20" t="s">
        <v>218</v>
      </c>
    </row>
    <row r="8" spans="1:10" x14ac:dyDescent="0.2">
      <c r="A8">
        <v>2011</v>
      </c>
      <c r="B8" s="20" t="s">
        <v>46</v>
      </c>
      <c r="C8" s="2">
        <v>40722</v>
      </c>
      <c r="D8">
        <v>49</v>
      </c>
      <c r="E8">
        <v>5</v>
      </c>
      <c r="F8" s="20">
        <v>18.350000000000001</v>
      </c>
      <c r="G8" s="20">
        <v>12.97</v>
      </c>
      <c r="H8" s="20">
        <v>12.82</v>
      </c>
      <c r="I8" s="20">
        <v>213</v>
      </c>
      <c r="J8" s="20" t="s">
        <v>219</v>
      </c>
    </row>
    <row r="9" spans="1:10" x14ac:dyDescent="0.2">
      <c r="A9">
        <v>2011</v>
      </c>
      <c r="B9" s="20" t="s">
        <v>46</v>
      </c>
      <c r="C9" s="2">
        <v>40722</v>
      </c>
      <c r="D9">
        <v>49</v>
      </c>
      <c r="E9">
        <v>6</v>
      </c>
      <c r="F9" s="20">
        <v>9.8800000000000008</v>
      </c>
      <c r="G9" s="20">
        <v>5.55</v>
      </c>
      <c r="H9" s="20">
        <v>5.87</v>
      </c>
      <c r="I9" s="20">
        <v>198</v>
      </c>
      <c r="J9" s="20" t="s">
        <v>220</v>
      </c>
    </row>
    <row r="10" spans="1:10" x14ac:dyDescent="0.2">
      <c r="A10">
        <v>2011</v>
      </c>
      <c r="B10" s="20" t="s">
        <v>46</v>
      </c>
      <c r="C10" s="2">
        <v>40722</v>
      </c>
      <c r="D10">
        <v>49</v>
      </c>
      <c r="E10">
        <v>7</v>
      </c>
      <c r="F10" s="20">
        <v>10.24</v>
      </c>
      <c r="G10" s="20">
        <v>6.42</v>
      </c>
      <c r="H10" s="20">
        <v>17.95</v>
      </c>
      <c r="I10" s="20">
        <v>257</v>
      </c>
      <c r="J10" s="20"/>
    </row>
    <row r="11" spans="1:10" x14ac:dyDescent="0.2">
      <c r="A11">
        <v>2011</v>
      </c>
      <c r="B11" s="20" t="s">
        <v>46</v>
      </c>
      <c r="C11" s="2">
        <v>40722</v>
      </c>
      <c r="D11">
        <v>49</v>
      </c>
      <c r="E11">
        <v>8</v>
      </c>
      <c r="F11" s="20">
        <v>8.9700000000000006</v>
      </c>
      <c r="G11" s="20" t="s">
        <v>1</v>
      </c>
      <c r="H11" s="20">
        <v>12.51</v>
      </c>
      <c r="I11" s="20">
        <v>40</v>
      </c>
    </row>
    <row r="12" spans="1:10" x14ac:dyDescent="0.2">
      <c r="A12">
        <v>2011</v>
      </c>
      <c r="B12" s="20" t="s">
        <v>46</v>
      </c>
      <c r="C12" s="2">
        <v>40711</v>
      </c>
      <c r="D12">
        <v>50</v>
      </c>
      <c r="E12">
        <v>1</v>
      </c>
      <c r="F12" s="20" t="s">
        <v>1</v>
      </c>
      <c r="G12" s="20" t="s">
        <v>1</v>
      </c>
      <c r="H12" s="20" t="s">
        <v>1</v>
      </c>
      <c r="I12" s="20" t="s">
        <v>1</v>
      </c>
      <c r="J12" s="20" t="s">
        <v>221</v>
      </c>
    </row>
    <row r="13" spans="1:10" x14ac:dyDescent="0.2">
      <c r="A13">
        <v>2011</v>
      </c>
      <c r="B13" s="20" t="s">
        <v>46</v>
      </c>
      <c r="C13" s="2">
        <v>40711</v>
      </c>
      <c r="D13">
        <v>50</v>
      </c>
      <c r="E13">
        <v>2</v>
      </c>
      <c r="F13" s="20">
        <v>4.7</v>
      </c>
      <c r="G13" s="20">
        <v>9.3000000000000007</v>
      </c>
      <c r="H13" s="20">
        <v>10.199999999999999</v>
      </c>
      <c r="I13" s="20">
        <v>118</v>
      </c>
      <c r="J13" s="20" t="s">
        <v>222</v>
      </c>
    </row>
    <row r="14" spans="1:10" x14ac:dyDescent="0.2">
      <c r="A14">
        <v>2011</v>
      </c>
      <c r="B14" s="20" t="s">
        <v>46</v>
      </c>
      <c r="C14" s="2">
        <v>40711</v>
      </c>
      <c r="D14">
        <v>50</v>
      </c>
      <c r="E14">
        <v>3</v>
      </c>
      <c r="F14" s="20">
        <v>6.31</v>
      </c>
      <c r="G14" s="20">
        <v>9.3000000000000007</v>
      </c>
      <c r="H14" s="20">
        <v>10.199999999999999</v>
      </c>
      <c r="I14" s="20">
        <v>128</v>
      </c>
      <c r="J14" s="20"/>
    </row>
    <row r="15" spans="1:10" x14ac:dyDescent="0.2">
      <c r="A15">
        <v>2011</v>
      </c>
      <c r="B15" s="20" t="s">
        <v>46</v>
      </c>
      <c r="C15" s="2">
        <v>40711</v>
      </c>
      <c r="D15">
        <v>50</v>
      </c>
      <c r="E15">
        <v>4</v>
      </c>
      <c r="F15" s="20" t="s">
        <v>1</v>
      </c>
      <c r="G15" s="20" t="s">
        <v>1</v>
      </c>
      <c r="H15" s="20" t="s">
        <v>1</v>
      </c>
      <c r="I15" s="20" t="s">
        <v>1</v>
      </c>
      <c r="J15" s="20" t="s">
        <v>223</v>
      </c>
    </row>
    <row r="16" spans="1:10" x14ac:dyDescent="0.2">
      <c r="A16">
        <v>2011</v>
      </c>
      <c r="B16" s="20" t="s">
        <v>46</v>
      </c>
      <c r="C16" s="2">
        <v>40711</v>
      </c>
      <c r="D16">
        <v>50</v>
      </c>
      <c r="E16">
        <v>5</v>
      </c>
      <c r="F16" s="20" t="s">
        <v>1</v>
      </c>
      <c r="G16" s="20">
        <v>8.69</v>
      </c>
      <c r="H16" s="20">
        <v>9.5</v>
      </c>
      <c r="I16" s="20">
        <v>320</v>
      </c>
    </row>
    <row r="17" spans="1:10" x14ac:dyDescent="0.2">
      <c r="A17">
        <v>2011</v>
      </c>
      <c r="B17" s="20" t="s">
        <v>46</v>
      </c>
      <c r="C17" s="2">
        <v>40711</v>
      </c>
      <c r="D17">
        <v>50</v>
      </c>
      <c r="E17">
        <v>6</v>
      </c>
      <c r="F17" s="20" t="s">
        <v>1</v>
      </c>
      <c r="G17" s="20" t="s">
        <v>1</v>
      </c>
      <c r="H17" s="20" t="s">
        <v>1</v>
      </c>
      <c r="I17" s="20" t="s">
        <v>1</v>
      </c>
      <c r="J17" s="20" t="s">
        <v>224</v>
      </c>
    </row>
    <row r="18" spans="1:10" x14ac:dyDescent="0.2">
      <c r="A18">
        <v>2011</v>
      </c>
      <c r="B18" s="20" t="s">
        <v>46</v>
      </c>
      <c r="C18" s="2">
        <v>40711</v>
      </c>
      <c r="D18">
        <v>50</v>
      </c>
      <c r="E18">
        <v>7</v>
      </c>
      <c r="F18">
        <v>6.09</v>
      </c>
      <c r="G18" s="20">
        <v>11.34</v>
      </c>
      <c r="H18" s="20">
        <v>18.03</v>
      </c>
      <c r="I18" s="20">
        <v>94</v>
      </c>
      <c r="J18" s="20" t="s">
        <v>225</v>
      </c>
    </row>
    <row r="19" spans="1:10" x14ac:dyDescent="0.2">
      <c r="A19">
        <v>2011</v>
      </c>
      <c r="B19" s="20" t="s">
        <v>46</v>
      </c>
      <c r="C19" s="2">
        <v>40710</v>
      </c>
      <c r="D19">
        <v>51</v>
      </c>
      <c r="E19" s="20" t="s">
        <v>226</v>
      </c>
      <c r="F19" s="20" t="s">
        <v>1</v>
      </c>
      <c r="G19" s="20" t="s">
        <v>1</v>
      </c>
      <c r="H19" s="20" t="s">
        <v>1</v>
      </c>
      <c r="I19" s="20" t="s">
        <v>1</v>
      </c>
    </row>
    <row r="20" spans="1:10" x14ac:dyDescent="0.2">
      <c r="A20">
        <v>2011</v>
      </c>
      <c r="B20" s="20" t="s">
        <v>46</v>
      </c>
      <c r="C20" s="2">
        <v>40710</v>
      </c>
      <c r="D20">
        <v>52</v>
      </c>
      <c r="E20" s="20">
        <v>1</v>
      </c>
      <c r="F20" s="20">
        <v>21.58</v>
      </c>
      <c r="G20" s="20">
        <v>15.52</v>
      </c>
      <c r="H20" s="20">
        <v>7.3</v>
      </c>
      <c r="I20" s="20">
        <v>27</v>
      </c>
      <c r="J20" s="20" t="s">
        <v>227</v>
      </c>
    </row>
    <row r="21" spans="1:10" x14ac:dyDescent="0.2">
      <c r="A21">
        <v>2011</v>
      </c>
      <c r="B21" s="20" t="s">
        <v>46</v>
      </c>
      <c r="C21" s="2">
        <v>40710</v>
      </c>
      <c r="D21">
        <v>52</v>
      </c>
      <c r="E21" s="20">
        <v>2</v>
      </c>
      <c r="F21" s="20">
        <v>11.6</v>
      </c>
      <c r="G21" s="20">
        <v>9.01</v>
      </c>
      <c r="H21" s="20">
        <v>9.6</v>
      </c>
      <c r="I21" s="20">
        <v>31</v>
      </c>
      <c r="J21" s="20" t="s">
        <v>216</v>
      </c>
    </row>
    <row r="22" spans="1:10" x14ac:dyDescent="0.2">
      <c r="A22">
        <v>2011</v>
      </c>
      <c r="B22" s="20" t="s">
        <v>46</v>
      </c>
      <c r="C22" s="2">
        <v>40710</v>
      </c>
      <c r="D22">
        <v>52</v>
      </c>
      <c r="E22" s="20">
        <v>3</v>
      </c>
      <c r="F22" s="20">
        <v>6.89</v>
      </c>
      <c r="G22" s="20">
        <v>4.1500000000000004</v>
      </c>
      <c r="H22" s="20">
        <v>17.899999999999999</v>
      </c>
      <c r="I22" s="20">
        <v>146</v>
      </c>
      <c r="J22" s="20" t="s">
        <v>228</v>
      </c>
    </row>
    <row r="23" spans="1:10" x14ac:dyDescent="0.2">
      <c r="A23">
        <v>2011</v>
      </c>
      <c r="B23" s="20" t="s">
        <v>46</v>
      </c>
      <c r="C23" s="2">
        <v>40710</v>
      </c>
      <c r="D23">
        <v>52</v>
      </c>
      <c r="E23" s="20">
        <v>4</v>
      </c>
      <c r="F23" s="20">
        <v>9.43</v>
      </c>
      <c r="G23" s="20" t="s">
        <v>1</v>
      </c>
      <c r="H23" s="20">
        <v>16.38</v>
      </c>
      <c r="I23" s="20">
        <v>150</v>
      </c>
      <c r="J23" s="20" t="s">
        <v>216</v>
      </c>
    </row>
    <row r="24" spans="1:10" x14ac:dyDescent="0.2">
      <c r="A24">
        <v>2011</v>
      </c>
      <c r="B24" s="20" t="s">
        <v>46</v>
      </c>
      <c r="C24" s="2">
        <v>40710</v>
      </c>
      <c r="D24">
        <v>52</v>
      </c>
      <c r="E24" s="20">
        <v>5</v>
      </c>
      <c r="F24" s="20">
        <v>10.99</v>
      </c>
      <c r="G24" s="20" t="s">
        <v>1</v>
      </c>
      <c r="H24" s="20">
        <v>12.76</v>
      </c>
      <c r="I24" s="20">
        <v>153</v>
      </c>
      <c r="J24" s="20" t="s">
        <v>229</v>
      </c>
    </row>
    <row r="25" spans="1:10" x14ac:dyDescent="0.2">
      <c r="A25">
        <v>2011</v>
      </c>
      <c r="B25" s="20" t="s">
        <v>46</v>
      </c>
      <c r="C25" s="2">
        <v>40710</v>
      </c>
      <c r="D25">
        <v>52</v>
      </c>
      <c r="E25" s="20">
        <v>6</v>
      </c>
      <c r="F25" s="20">
        <v>13.74</v>
      </c>
      <c r="G25" s="20">
        <v>10.01</v>
      </c>
      <c r="H25" s="20">
        <v>9.3699999999999992</v>
      </c>
      <c r="I25" s="20">
        <v>285</v>
      </c>
      <c r="J25" s="20" t="s">
        <v>230</v>
      </c>
    </row>
    <row r="26" spans="1:10" x14ac:dyDescent="0.2">
      <c r="A26">
        <v>2011</v>
      </c>
      <c r="B26" s="20" t="s">
        <v>46</v>
      </c>
      <c r="C26" s="2">
        <v>40710</v>
      </c>
      <c r="D26">
        <v>52</v>
      </c>
      <c r="E26" s="20">
        <v>7</v>
      </c>
      <c r="F26" s="20">
        <v>3.45</v>
      </c>
      <c r="G26" s="20" t="s">
        <v>1</v>
      </c>
      <c r="H26" s="20">
        <v>10</v>
      </c>
      <c r="I26" s="20">
        <v>325</v>
      </c>
      <c r="J26" s="20" t="s">
        <v>231</v>
      </c>
    </row>
    <row r="27" spans="1:10" x14ac:dyDescent="0.2">
      <c r="A27">
        <v>2011</v>
      </c>
      <c r="B27" s="20" t="s">
        <v>46</v>
      </c>
      <c r="C27" s="2">
        <v>40710</v>
      </c>
      <c r="D27">
        <v>52</v>
      </c>
      <c r="E27" s="20">
        <v>8</v>
      </c>
      <c r="F27" s="20">
        <v>9.35</v>
      </c>
      <c r="G27" s="20">
        <v>4.54</v>
      </c>
      <c r="H27" s="20">
        <v>10.15</v>
      </c>
      <c r="I27" s="20">
        <v>24</v>
      </c>
      <c r="J27" s="20" t="s">
        <v>232</v>
      </c>
    </row>
    <row r="28" spans="1:10" x14ac:dyDescent="0.2">
      <c r="A28">
        <v>2011</v>
      </c>
      <c r="B28" s="20" t="s">
        <v>46</v>
      </c>
      <c r="C28" s="2">
        <v>40710</v>
      </c>
      <c r="D28">
        <v>52</v>
      </c>
      <c r="E28" s="20">
        <v>9</v>
      </c>
      <c r="F28" s="20">
        <v>9.19</v>
      </c>
      <c r="G28" s="20">
        <v>6.55</v>
      </c>
      <c r="H28" s="20">
        <v>17.02</v>
      </c>
      <c r="I28" s="20">
        <v>139</v>
      </c>
      <c r="J28" s="20" t="s">
        <v>233</v>
      </c>
    </row>
    <row r="29" spans="1:10" x14ac:dyDescent="0.2">
      <c r="A29">
        <v>2011</v>
      </c>
      <c r="B29" s="20" t="s">
        <v>46</v>
      </c>
      <c r="C29" s="2">
        <v>40717</v>
      </c>
      <c r="D29">
        <v>53</v>
      </c>
      <c r="E29" s="20">
        <v>1</v>
      </c>
      <c r="F29" s="20">
        <v>14.09</v>
      </c>
      <c r="G29" s="20">
        <v>4.91</v>
      </c>
      <c r="H29" s="20">
        <v>4.84</v>
      </c>
      <c r="I29" s="20">
        <v>48</v>
      </c>
    </row>
    <row r="30" spans="1:10" x14ac:dyDescent="0.2">
      <c r="A30">
        <v>2011</v>
      </c>
      <c r="B30" s="20" t="s">
        <v>46</v>
      </c>
      <c r="C30" s="2">
        <v>40717</v>
      </c>
      <c r="D30">
        <v>53</v>
      </c>
      <c r="E30" s="20">
        <v>2</v>
      </c>
      <c r="F30" s="20">
        <v>16.920000000000002</v>
      </c>
      <c r="G30" s="20">
        <v>10.4</v>
      </c>
      <c r="H30" s="20">
        <v>4.47</v>
      </c>
      <c r="I30" s="20">
        <v>59</v>
      </c>
    </row>
    <row r="31" spans="1:10" x14ac:dyDescent="0.2">
      <c r="A31">
        <v>2011</v>
      </c>
      <c r="B31" s="20" t="s">
        <v>46</v>
      </c>
      <c r="C31" s="2">
        <v>40717</v>
      </c>
      <c r="D31">
        <v>53</v>
      </c>
      <c r="E31" s="20">
        <v>3</v>
      </c>
      <c r="F31" t="s">
        <v>1</v>
      </c>
      <c r="G31" t="s">
        <v>1</v>
      </c>
      <c r="H31" t="s">
        <v>1</v>
      </c>
      <c r="I31" t="s">
        <v>1</v>
      </c>
    </row>
    <row r="32" spans="1:10" x14ac:dyDescent="0.2">
      <c r="A32">
        <v>2011</v>
      </c>
      <c r="B32" s="20" t="s">
        <v>46</v>
      </c>
      <c r="C32" s="2">
        <v>40717</v>
      </c>
      <c r="D32">
        <v>53</v>
      </c>
      <c r="E32" s="20">
        <v>4</v>
      </c>
      <c r="F32" s="20">
        <v>10.039999999999999</v>
      </c>
      <c r="G32" s="20">
        <v>4.99</v>
      </c>
      <c r="H32" s="20">
        <v>7.5</v>
      </c>
      <c r="I32" s="20">
        <v>58</v>
      </c>
    </row>
    <row r="33" spans="1:10" x14ac:dyDescent="0.2">
      <c r="A33">
        <v>2011</v>
      </c>
      <c r="B33" s="20" t="s">
        <v>46</v>
      </c>
      <c r="C33" s="2">
        <v>40717</v>
      </c>
      <c r="D33">
        <v>53</v>
      </c>
      <c r="E33" s="20">
        <v>5</v>
      </c>
      <c r="F33" s="20">
        <v>14.7</v>
      </c>
      <c r="G33" s="20">
        <v>9.51</v>
      </c>
      <c r="H33" s="20">
        <v>3.17</v>
      </c>
      <c r="I33" s="20">
        <v>52</v>
      </c>
    </row>
    <row r="34" spans="1:10" x14ac:dyDescent="0.2">
      <c r="A34">
        <v>2011</v>
      </c>
      <c r="B34" s="20" t="s">
        <v>46</v>
      </c>
      <c r="C34" s="2">
        <v>40717</v>
      </c>
      <c r="D34">
        <v>53</v>
      </c>
      <c r="E34" s="20">
        <v>6</v>
      </c>
      <c r="F34" s="20">
        <v>10.88</v>
      </c>
      <c r="G34" t="s">
        <v>1</v>
      </c>
      <c r="H34" s="20">
        <v>8.77</v>
      </c>
      <c r="I34" s="20">
        <v>122</v>
      </c>
    </row>
    <row r="35" spans="1:10" x14ac:dyDescent="0.2">
      <c r="A35">
        <v>2011</v>
      </c>
      <c r="B35" s="20" t="s">
        <v>46</v>
      </c>
      <c r="C35" s="2">
        <v>40717</v>
      </c>
      <c r="D35">
        <v>53</v>
      </c>
      <c r="E35" s="20">
        <v>7</v>
      </c>
      <c r="F35" s="20">
        <v>11.51</v>
      </c>
      <c r="G35" s="20">
        <v>6.31</v>
      </c>
      <c r="H35" s="20">
        <v>6.78</v>
      </c>
      <c r="I35" s="20">
        <v>185</v>
      </c>
    </row>
    <row r="36" spans="1:10" x14ac:dyDescent="0.2">
      <c r="A36">
        <v>2011</v>
      </c>
      <c r="B36" s="20" t="s">
        <v>46</v>
      </c>
      <c r="C36" s="2">
        <v>40717</v>
      </c>
      <c r="D36">
        <v>53</v>
      </c>
      <c r="E36" s="20">
        <v>8</v>
      </c>
      <c r="F36" s="31">
        <v>17.98</v>
      </c>
      <c r="G36" s="31">
        <v>10.62</v>
      </c>
      <c r="H36" s="20">
        <v>7.7</v>
      </c>
      <c r="I36" s="20">
        <v>234</v>
      </c>
      <c r="J36" s="20" t="s">
        <v>234</v>
      </c>
    </row>
    <row r="37" spans="1:10" x14ac:dyDescent="0.2">
      <c r="A37">
        <v>2011</v>
      </c>
      <c r="B37" s="20" t="s">
        <v>46</v>
      </c>
      <c r="C37" s="2">
        <v>40722</v>
      </c>
      <c r="D37">
        <v>53</v>
      </c>
      <c r="E37" s="20">
        <v>9</v>
      </c>
      <c r="F37">
        <v>10.1</v>
      </c>
      <c r="G37" t="s">
        <v>1</v>
      </c>
      <c r="H37">
        <v>2.4500000000000002</v>
      </c>
      <c r="I37">
        <v>343</v>
      </c>
      <c r="J37" s="20" t="s">
        <v>229</v>
      </c>
    </row>
    <row r="38" spans="1:10" x14ac:dyDescent="0.2">
      <c r="A38">
        <v>2011</v>
      </c>
      <c r="B38" s="20" t="s">
        <v>46</v>
      </c>
      <c r="C38" s="2">
        <v>40722</v>
      </c>
      <c r="D38">
        <v>53</v>
      </c>
      <c r="E38" s="20">
        <v>10</v>
      </c>
      <c r="F38" s="20">
        <v>10.19</v>
      </c>
      <c r="G38" s="20">
        <v>4.1900000000000004</v>
      </c>
      <c r="H38">
        <v>2.4500000000000002</v>
      </c>
      <c r="I38">
        <v>349</v>
      </c>
      <c r="J38" t="s">
        <v>216</v>
      </c>
    </row>
    <row r="39" spans="1:10" x14ac:dyDescent="0.2">
      <c r="A39">
        <v>2011</v>
      </c>
      <c r="B39" s="20" t="s">
        <v>46</v>
      </c>
      <c r="C39" s="2">
        <v>40722</v>
      </c>
      <c r="D39">
        <v>53</v>
      </c>
      <c r="E39" s="20">
        <v>11</v>
      </c>
      <c r="F39" s="20">
        <v>17.03</v>
      </c>
      <c r="G39" s="20">
        <v>7.23</v>
      </c>
      <c r="H39">
        <v>5.5</v>
      </c>
      <c r="I39" s="20">
        <v>348</v>
      </c>
      <c r="J39" s="20" t="s">
        <v>216</v>
      </c>
    </row>
    <row r="40" spans="1:10" x14ac:dyDescent="0.2">
      <c r="A40">
        <v>2011</v>
      </c>
      <c r="B40" s="20" t="s">
        <v>46</v>
      </c>
      <c r="C40" s="2">
        <v>40722</v>
      </c>
      <c r="D40">
        <v>53</v>
      </c>
      <c r="E40" s="20">
        <v>12</v>
      </c>
      <c r="F40" s="20">
        <v>11.09</v>
      </c>
      <c r="G40" s="20">
        <v>3.68</v>
      </c>
      <c r="H40">
        <v>9.93</v>
      </c>
      <c r="I40" s="20">
        <v>310</v>
      </c>
    </row>
    <row r="41" spans="1:10" x14ac:dyDescent="0.2">
      <c r="A41">
        <v>2011</v>
      </c>
      <c r="B41" s="20" t="s">
        <v>46</v>
      </c>
      <c r="C41" s="2">
        <v>40722</v>
      </c>
      <c r="D41">
        <v>53</v>
      </c>
      <c r="E41" s="20">
        <v>13</v>
      </c>
      <c r="F41" s="20">
        <v>11.41</v>
      </c>
      <c r="G41" s="20">
        <v>10.24</v>
      </c>
      <c r="H41">
        <v>11.82</v>
      </c>
      <c r="I41" s="20">
        <v>318</v>
      </c>
      <c r="J41" t="s">
        <v>235</v>
      </c>
    </row>
    <row r="42" spans="1:10" x14ac:dyDescent="0.2">
      <c r="A42">
        <v>2011</v>
      </c>
      <c r="B42" s="20" t="s">
        <v>46</v>
      </c>
      <c r="C42" s="2">
        <v>40722</v>
      </c>
      <c r="D42">
        <v>53</v>
      </c>
      <c r="E42" s="20">
        <v>14</v>
      </c>
      <c r="F42" s="20">
        <v>18.649999999999999</v>
      </c>
      <c r="G42" s="20">
        <v>7.23</v>
      </c>
      <c r="H42">
        <v>12.63</v>
      </c>
      <c r="I42" s="20">
        <v>312</v>
      </c>
      <c r="J42" s="20"/>
    </row>
    <row r="43" spans="1:10" x14ac:dyDescent="0.2">
      <c r="A43">
        <v>2011</v>
      </c>
      <c r="B43" s="20" t="s">
        <v>46</v>
      </c>
      <c r="C43" s="2">
        <v>40722</v>
      </c>
      <c r="D43">
        <v>53</v>
      </c>
      <c r="E43" s="20">
        <v>15</v>
      </c>
      <c r="F43" s="20">
        <v>31.01</v>
      </c>
      <c r="G43" s="20">
        <v>22.88</v>
      </c>
      <c r="H43">
        <v>13.51</v>
      </c>
      <c r="I43" s="20">
        <v>305</v>
      </c>
      <c r="J43" s="20" t="s">
        <v>236</v>
      </c>
    </row>
    <row r="44" spans="1:10" x14ac:dyDescent="0.2">
      <c r="A44">
        <v>2011</v>
      </c>
      <c r="B44" s="20" t="s">
        <v>46</v>
      </c>
      <c r="C44" s="2">
        <v>40722</v>
      </c>
      <c r="D44">
        <v>53</v>
      </c>
      <c r="E44" s="20">
        <v>16</v>
      </c>
      <c r="F44" s="20" t="s">
        <v>1</v>
      </c>
      <c r="G44" s="20" t="s">
        <v>1</v>
      </c>
      <c r="H44">
        <v>15.26</v>
      </c>
      <c r="I44" s="20">
        <v>323</v>
      </c>
      <c r="J44" s="20" t="s">
        <v>237</v>
      </c>
    </row>
    <row r="45" spans="1:10" x14ac:dyDescent="0.2">
      <c r="A45">
        <v>2011</v>
      </c>
      <c r="B45" s="20" t="s">
        <v>46</v>
      </c>
      <c r="C45" s="2">
        <v>40722</v>
      </c>
      <c r="D45">
        <v>53</v>
      </c>
      <c r="E45" s="20">
        <v>17</v>
      </c>
      <c r="F45" s="20">
        <v>8.86</v>
      </c>
      <c r="G45" s="20" t="s">
        <v>1</v>
      </c>
      <c r="H45">
        <v>11.4</v>
      </c>
      <c r="I45" s="20">
        <v>47</v>
      </c>
      <c r="J45" s="20"/>
    </row>
    <row r="46" spans="1:10" x14ac:dyDescent="0.2">
      <c r="A46">
        <v>2011</v>
      </c>
      <c r="B46" s="20" t="s">
        <v>46</v>
      </c>
      <c r="C46" s="2">
        <v>40722</v>
      </c>
      <c r="D46">
        <v>53</v>
      </c>
      <c r="E46" s="20">
        <v>18</v>
      </c>
      <c r="F46" s="20">
        <v>32.119999999999997</v>
      </c>
      <c r="G46" s="20">
        <v>11.7</v>
      </c>
      <c r="H46" s="20">
        <v>13.92</v>
      </c>
      <c r="I46" s="20">
        <v>328</v>
      </c>
      <c r="J46" s="20" t="s">
        <v>238</v>
      </c>
    </row>
    <row r="47" spans="1:10" x14ac:dyDescent="0.2">
      <c r="A47">
        <v>2011</v>
      </c>
      <c r="B47" s="20" t="s">
        <v>46</v>
      </c>
      <c r="C47" s="2">
        <v>40717</v>
      </c>
      <c r="D47">
        <v>54</v>
      </c>
      <c r="E47" s="20" t="s">
        <v>226</v>
      </c>
      <c r="F47" s="20" t="s">
        <v>1</v>
      </c>
      <c r="G47" s="20" t="s">
        <v>1</v>
      </c>
      <c r="H47" s="20" t="s">
        <v>1</v>
      </c>
      <c r="I47" s="20" t="s">
        <v>1</v>
      </c>
      <c r="J47" s="20"/>
    </row>
    <row r="48" spans="1:10" x14ac:dyDescent="0.2">
      <c r="A48">
        <v>2011</v>
      </c>
      <c r="B48" s="20" t="s">
        <v>46</v>
      </c>
      <c r="C48" s="2">
        <v>40724</v>
      </c>
      <c r="D48">
        <v>55</v>
      </c>
      <c r="E48" t="s">
        <v>226</v>
      </c>
      <c r="F48" t="s">
        <v>1</v>
      </c>
      <c r="G48" s="20" t="s">
        <v>1</v>
      </c>
      <c r="H48" s="20" t="s">
        <v>1</v>
      </c>
      <c r="I48" s="20" t="s">
        <v>1</v>
      </c>
      <c r="J48" s="20"/>
    </row>
    <row r="49" spans="1:10" x14ac:dyDescent="0.2">
      <c r="A49">
        <v>2011</v>
      </c>
      <c r="B49" s="20" t="s">
        <v>46</v>
      </c>
      <c r="C49" s="2">
        <v>40757</v>
      </c>
      <c r="D49">
        <v>56</v>
      </c>
      <c r="E49" t="s">
        <v>226</v>
      </c>
      <c r="F49" t="s">
        <v>1</v>
      </c>
      <c r="G49" s="20" t="s">
        <v>1</v>
      </c>
      <c r="H49" s="20" t="s">
        <v>1</v>
      </c>
      <c r="I49" s="20" t="s">
        <v>1</v>
      </c>
    </row>
    <row r="50" spans="1:10" x14ac:dyDescent="0.2">
      <c r="A50">
        <v>2011</v>
      </c>
      <c r="B50" s="20" t="s">
        <v>46</v>
      </c>
      <c r="C50" s="2">
        <v>40757</v>
      </c>
      <c r="D50">
        <v>57</v>
      </c>
      <c r="E50">
        <v>1</v>
      </c>
      <c r="F50">
        <v>5.24</v>
      </c>
      <c r="G50" s="20" t="s">
        <v>1</v>
      </c>
      <c r="H50">
        <v>15.29</v>
      </c>
      <c r="I50">
        <v>7</v>
      </c>
      <c r="J50" t="s">
        <v>239</v>
      </c>
    </row>
    <row r="51" spans="1:10" x14ac:dyDescent="0.2">
      <c r="A51">
        <v>2011</v>
      </c>
      <c r="B51" s="20" t="s">
        <v>46</v>
      </c>
      <c r="C51" s="2">
        <v>40757</v>
      </c>
      <c r="D51">
        <v>57</v>
      </c>
      <c r="E51">
        <v>2</v>
      </c>
      <c r="F51" t="s">
        <v>1</v>
      </c>
      <c r="G51" s="20" t="s">
        <v>1</v>
      </c>
      <c r="H51">
        <v>14.96</v>
      </c>
      <c r="I51">
        <v>355</v>
      </c>
      <c r="J51" t="s">
        <v>240</v>
      </c>
    </row>
    <row r="52" spans="1:10" x14ac:dyDescent="0.2">
      <c r="A52">
        <v>2011</v>
      </c>
      <c r="B52" s="20" t="s">
        <v>46</v>
      </c>
      <c r="C52" s="2">
        <v>40757</v>
      </c>
      <c r="D52">
        <v>57</v>
      </c>
      <c r="E52">
        <v>3</v>
      </c>
      <c r="F52">
        <v>5.35</v>
      </c>
      <c r="G52" s="20" t="s">
        <v>1</v>
      </c>
      <c r="H52" s="20">
        <v>7.54</v>
      </c>
      <c r="I52" s="20">
        <v>264</v>
      </c>
      <c r="J52" t="s">
        <v>235</v>
      </c>
    </row>
    <row r="53" spans="1:10" x14ac:dyDescent="0.2">
      <c r="A53">
        <v>2011</v>
      </c>
      <c r="B53" s="20" t="s">
        <v>46</v>
      </c>
      <c r="C53" s="2">
        <v>40757</v>
      </c>
      <c r="D53">
        <v>57</v>
      </c>
      <c r="E53">
        <v>4</v>
      </c>
      <c r="F53">
        <v>6.59</v>
      </c>
      <c r="G53" s="20" t="s">
        <v>1</v>
      </c>
      <c r="H53" s="20">
        <v>16.45</v>
      </c>
      <c r="I53" s="20">
        <v>258</v>
      </c>
      <c r="J53" t="s">
        <v>241</v>
      </c>
    </row>
    <row r="54" spans="1:10" x14ac:dyDescent="0.2">
      <c r="A54">
        <v>2011</v>
      </c>
      <c r="B54" s="20" t="s">
        <v>46</v>
      </c>
      <c r="C54" s="2">
        <v>40757</v>
      </c>
      <c r="D54">
        <v>57</v>
      </c>
      <c r="E54">
        <v>5</v>
      </c>
      <c r="F54">
        <v>6.46</v>
      </c>
      <c r="G54" s="20" t="s">
        <v>1</v>
      </c>
      <c r="H54" s="20">
        <v>15.43</v>
      </c>
      <c r="I54" s="20">
        <v>245</v>
      </c>
      <c r="J54" t="s">
        <v>241</v>
      </c>
    </row>
    <row r="55" spans="1:10" x14ac:dyDescent="0.2">
      <c r="A55">
        <v>2011</v>
      </c>
      <c r="B55" s="20" t="s">
        <v>46</v>
      </c>
      <c r="C55" s="2">
        <v>40757</v>
      </c>
      <c r="D55">
        <v>57</v>
      </c>
      <c r="E55">
        <v>6</v>
      </c>
      <c r="F55">
        <v>13.97</v>
      </c>
      <c r="G55" s="20" t="s">
        <v>242</v>
      </c>
      <c r="H55" s="20">
        <v>15.4</v>
      </c>
      <c r="I55" s="20">
        <v>177</v>
      </c>
      <c r="J55" t="s">
        <v>241</v>
      </c>
    </row>
    <row r="56" spans="1:10" x14ac:dyDescent="0.2">
      <c r="A56">
        <v>2011</v>
      </c>
      <c r="B56" s="20" t="s">
        <v>46</v>
      </c>
      <c r="C56" s="2">
        <v>40757</v>
      </c>
      <c r="D56">
        <v>57</v>
      </c>
      <c r="E56">
        <v>7</v>
      </c>
      <c r="F56" t="s">
        <v>1</v>
      </c>
      <c r="G56" s="20" t="s">
        <v>1</v>
      </c>
      <c r="H56">
        <v>4</v>
      </c>
      <c r="I56">
        <v>38</v>
      </c>
      <c r="J56" s="20" t="s">
        <v>240</v>
      </c>
    </row>
    <row r="57" spans="1:10" x14ac:dyDescent="0.2">
      <c r="A57">
        <v>2011</v>
      </c>
      <c r="B57" s="20" t="s">
        <v>46</v>
      </c>
      <c r="C57" s="2">
        <v>40757</v>
      </c>
      <c r="D57">
        <v>57</v>
      </c>
      <c r="E57">
        <v>8</v>
      </c>
      <c r="F57">
        <v>7</v>
      </c>
      <c r="G57" s="20" t="s">
        <v>1</v>
      </c>
      <c r="H57" s="20">
        <v>13.78</v>
      </c>
      <c r="I57" s="20">
        <v>20</v>
      </c>
    </row>
    <row r="58" spans="1:10" x14ac:dyDescent="0.2">
      <c r="A58">
        <v>2011</v>
      </c>
      <c r="B58" s="20" t="s">
        <v>46</v>
      </c>
      <c r="C58" s="2">
        <v>40757</v>
      </c>
      <c r="D58">
        <v>57</v>
      </c>
      <c r="E58">
        <v>9</v>
      </c>
      <c r="F58">
        <v>6.35</v>
      </c>
      <c r="G58" s="20" t="s">
        <v>1</v>
      </c>
      <c r="H58" s="20">
        <v>4.03</v>
      </c>
      <c r="I58" s="20">
        <v>63</v>
      </c>
    </row>
    <row r="59" spans="1:10" x14ac:dyDescent="0.2">
      <c r="A59">
        <v>2011</v>
      </c>
      <c r="B59" s="20" t="s">
        <v>46</v>
      </c>
      <c r="C59" s="2">
        <v>40757</v>
      </c>
      <c r="D59">
        <v>57</v>
      </c>
      <c r="E59">
        <v>10</v>
      </c>
      <c r="F59">
        <v>7.54</v>
      </c>
      <c r="G59" s="20" t="s">
        <v>1</v>
      </c>
      <c r="H59" s="20">
        <v>14.71</v>
      </c>
      <c r="I59" s="20">
        <v>196</v>
      </c>
    </row>
    <row r="60" spans="1:10" x14ac:dyDescent="0.2">
      <c r="A60">
        <v>2011</v>
      </c>
      <c r="B60" s="20" t="s">
        <v>46</v>
      </c>
      <c r="C60" s="2">
        <v>40757</v>
      </c>
      <c r="D60">
        <v>58</v>
      </c>
      <c r="E60" t="s">
        <v>226</v>
      </c>
      <c r="F60" t="s">
        <v>1</v>
      </c>
      <c r="G60" s="20" t="s">
        <v>1</v>
      </c>
      <c r="H60" s="20" t="s">
        <v>1</v>
      </c>
      <c r="I60" s="20" t="s">
        <v>1</v>
      </c>
    </row>
    <row r="61" spans="1:10" x14ac:dyDescent="0.2">
      <c r="A61">
        <v>2011</v>
      </c>
      <c r="B61" s="20" t="s">
        <v>46</v>
      </c>
      <c r="C61" s="2">
        <v>40744</v>
      </c>
      <c r="D61">
        <v>59</v>
      </c>
      <c r="E61" s="20">
        <v>1</v>
      </c>
      <c r="F61" s="20">
        <v>10.62</v>
      </c>
      <c r="G61" s="20">
        <v>8.1999999999999993</v>
      </c>
      <c r="H61">
        <v>9.93</v>
      </c>
      <c r="I61" s="20">
        <v>222</v>
      </c>
    </row>
    <row r="62" spans="1:10" x14ac:dyDescent="0.2">
      <c r="A62">
        <v>2011</v>
      </c>
      <c r="B62" s="20" t="s">
        <v>46</v>
      </c>
      <c r="C62" s="2">
        <v>40744</v>
      </c>
      <c r="D62">
        <v>59</v>
      </c>
      <c r="E62" s="20">
        <v>2</v>
      </c>
      <c r="F62" s="20">
        <v>11.34</v>
      </c>
      <c r="G62" s="20">
        <v>6.24</v>
      </c>
      <c r="H62">
        <v>14.58</v>
      </c>
      <c r="I62" s="20">
        <v>228</v>
      </c>
    </row>
    <row r="63" spans="1:10" x14ac:dyDescent="0.2">
      <c r="A63">
        <v>2011</v>
      </c>
      <c r="B63" s="20" t="s">
        <v>46</v>
      </c>
      <c r="C63" s="2">
        <v>40744</v>
      </c>
      <c r="D63">
        <v>59</v>
      </c>
      <c r="E63" s="20">
        <v>3</v>
      </c>
      <c r="F63" s="20">
        <v>16.75</v>
      </c>
      <c r="G63" s="20">
        <v>13.26</v>
      </c>
      <c r="H63">
        <v>16.7</v>
      </c>
      <c r="I63" s="20">
        <v>156</v>
      </c>
      <c r="J63" t="s">
        <v>243</v>
      </c>
    </row>
    <row r="64" spans="1:10" x14ac:dyDescent="0.2">
      <c r="A64">
        <v>2011</v>
      </c>
      <c r="B64" s="20" t="s">
        <v>46</v>
      </c>
      <c r="C64" s="2">
        <v>40744</v>
      </c>
      <c r="D64">
        <v>59</v>
      </c>
      <c r="E64" s="20">
        <v>4</v>
      </c>
      <c r="F64" s="20">
        <v>8.25</v>
      </c>
      <c r="G64" t="s">
        <v>1</v>
      </c>
      <c r="H64">
        <v>16</v>
      </c>
      <c r="I64" s="20">
        <v>136</v>
      </c>
      <c r="J64" t="s">
        <v>244</v>
      </c>
    </row>
    <row r="65" spans="1:10" x14ac:dyDescent="0.2">
      <c r="A65">
        <v>2011</v>
      </c>
      <c r="B65" s="20" t="s">
        <v>46</v>
      </c>
      <c r="C65" s="2">
        <v>40744</v>
      </c>
      <c r="D65">
        <v>59</v>
      </c>
      <c r="E65" s="20">
        <v>5</v>
      </c>
      <c r="F65" s="20">
        <v>9.61</v>
      </c>
      <c r="G65" s="20">
        <v>4.7699999999999996</v>
      </c>
      <c r="H65">
        <v>17.510000000000002</v>
      </c>
      <c r="I65" s="20">
        <v>110</v>
      </c>
      <c r="J65" t="s">
        <v>245</v>
      </c>
    </row>
    <row r="66" spans="1:10" x14ac:dyDescent="0.2">
      <c r="A66">
        <v>2011</v>
      </c>
      <c r="B66" s="20" t="s">
        <v>46</v>
      </c>
      <c r="C66" s="2">
        <v>40744</v>
      </c>
      <c r="D66">
        <v>59</v>
      </c>
      <c r="E66" s="20">
        <v>6</v>
      </c>
      <c r="F66" s="20">
        <v>11.43</v>
      </c>
      <c r="G66" s="20">
        <v>6.15</v>
      </c>
      <c r="H66">
        <v>15.54</v>
      </c>
      <c r="I66">
        <v>88</v>
      </c>
    </row>
    <row r="67" spans="1:10" x14ac:dyDescent="0.2">
      <c r="A67">
        <v>2011</v>
      </c>
      <c r="B67" s="20" t="s">
        <v>46</v>
      </c>
      <c r="C67" s="2">
        <v>40744</v>
      </c>
      <c r="D67">
        <v>59</v>
      </c>
      <c r="E67" s="20">
        <v>7</v>
      </c>
      <c r="F67" s="20">
        <v>9.49</v>
      </c>
      <c r="G67" s="20">
        <v>5.32</v>
      </c>
      <c r="H67">
        <v>15.36</v>
      </c>
      <c r="I67">
        <v>256</v>
      </c>
      <c r="J67" t="s">
        <v>246</v>
      </c>
    </row>
    <row r="68" spans="1:10" x14ac:dyDescent="0.2">
      <c r="A68">
        <v>2011</v>
      </c>
      <c r="B68" s="20" t="s">
        <v>46</v>
      </c>
      <c r="C68" s="2">
        <v>40744</v>
      </c>
      <c r="D68">
        <v>59</v>
      </c>
      <c r="E68" s="20">
        <v>8</v>
      </c>
      <c r="F68" s="20">
        <v>7.11</v>
      </c>
      <c r="G68" t="s">
        <v>1</v>
      </c>
      <c r="H68">
        <v>13.96</v>
      </c>
      <c r="I68">
        <v>336</v>
      </c>
    </row>
    <row r="69" spans="1:10" x14ac:dyDescent="0.2">
      <c r="A69">
        <v>2011</v>
      </c>
      <c r="B69" s="20" t="s">
        <v>46</v>
      </c>
      <c r="C69" s="2">
        <v>40744</v>
      </c>
      <c r="D69">
        <v>60</v>
      </c>
      <c r="E69" s="20">
        <v>1</v>
      </c>
      <c r="F69" s="20">
        <v>34.18</v>
      </c>
      <c r="G69" s="20">
        <v>19.260000000000002</v>
      </c>
      <c r="H69">
        <v>8.93</v>
      </c>
      <c r="I69">
        <v>15</v>
      </c>
    </row>
    <row r="70" spans="1:10" x14ac:dyDescent="0.2">
      <c r="A70">
        <v>2011</v>
      </c>
      <c r="B70" s="20" t="s">
        <v>46</v>
      </c>
      <c r="C70" s="2">
        <v>40744</v>
      </c>
      <c r="D70">
        <v>60</v>
      </c>
      <c r="E70" s="20">
        <v>2</v>
      </c>
      <c r="F70" s="20">
        <v>10.93</v>
      </c>
      <c r="G70" s="20">
        <v>7.16</v>
      </c>
      <c r="H70">
        <v>5.24</v>
      </c>
      <c r="I70">
        <v>58</v>
      </c>
    </row>
    <row r="71" spans="1:10" x14ac:dyDescent="0.2">
      <c r="A71">
        <v>2011</v>
      </c>
      <c r="B71" s="20" t="s">
        <v>46</v>
      </c>
      <c r="C71" s="2">
        <v>40744</v>
      </c>
      <c r="D71">
        <v>60</v>
      </c>
      <c r="E71" s="20">
        <v>3</v>
      </c>
      <c r="F71" s="20">
        <v>11.08</v>
      </c>
      <c r="G71" s="20">
        <v>9.1199999999999992</v>
      </c>
      <c r="H71">
        <v>8.4600000000000009</v>
      </c>
      <c r="I71">
        <v>126</v>
      </c>
      <c r="J71" s="20" t="s">
        <v>247</v>
      </c>
    </row>
    <row r="72" spans="1:10" x14ac:dyDescent="0.2">
      <c r="A72">
        <v>2011</v>
      </c>
      <c r="B72" s="20" t="s">
        <v>46</v>
      </c>
      <c r="C72" s="2">
        <v>40744</v>
      </c>
      <c r="D72">
        <v>60</v>
      </c>
      <c r="E72" s="20">
        <v>4</v>
      </c>
      <c r="F72" s="20">
        <v>17.66</v>
      </c>
      <c r="G72" s="20">
        <v>12.04</v>
      </c>
      <c r="H72">
        <v>3.45</v>
      </c>
      <c r="I72">
        <v>158</v>
      </c>
      <c r="J72" s="20" t="s">
        <v>248</v>
      </c>
    </row>
    <row r="73" spans="1:10" x14ac:dyDescent="0.2">
      <c r="A73">
        <v>2011</v>
      </c>
      <c r="B73" s="20" t="s">
        <v>46</v>
      </c>
      <c r="C73" s="2">
        <v>40744</v>
      </c>
      <c r="D73">
        <v>60</v>
      </c>
      <c r="E73" s="20">
        <v>5</v>
      </c>
      <c r="F73" s="20">
        <v>25.35</v>
      </c>
      <c r="G73" s="20">
        <v>17.78</v>
      </c>
      <c r="H73">
        <v>8.44</v>
      </c>
      <c r="I73">
        <v>210</v>
      </c>
      <c r="J73" s="20" t="s">
        <v>216</v>
      </c>
    </row>
    <row r="74" spans="1:10" x14ac:dyDescent="0.2">
      <c r="A74">
        <v>2011</v>
      </c>
      <c r="B74" s="20" t="s">
        <v>46</v>
      </c>
      <c r="C74" s="2">
        <v>40744</v>
      </c>
      <c r="D74">
        <v>60</v>
      </c>
      <c r="E74" s="20">
        <v>6</v>
      </c>
      <c r="F74" s="20">
        <v>13.98</v>
      </c>
      <c r="G74" s="20">
        <v>9.1999999999999993</v>
      </c>
      <c r="H74">
        <v>2.4500000000000002</v>
      </c>
      <c r="I74">
        <v>249</v>
      </c>
    </row>
    <row r="75" spans="1:10" x14ac:dyDescent="0.2">
      <c r="A75">
        <v>2011</v>
      </c>
      <c r="B75" s="20" t="s">
        <v>46</v>
      </c>
      <c r="C75" s="2">
        <v>40744</v>
      </c>
      <c r="D75">
        <v>60</v>
      </c>
      <c r="E75" s="20">
        <v>7</v>
      </c>
      <c r="F75" s="20">
        <v>11.04</v>
      </c>
      <c r="G75" s="20">
        <v>0</v>
      </c>
      <c r="H75">
        <v>1.41</v>
      </c>
      <c r="I75">
        <v>318</v>
      </c>
      <c r="J75" s="20" t="s">
        <v>249</v>
      </c>
    </row>
    <row r="76" spans="1:10" x14ac:dyDescent="0.2">
      <c r="A76">
        <v>2011</v>
      </c>
      <c r="B76" s="20" t="s">
        <v>46</v>
      </c>
      <c r="C76" s="2">
        <v>40744</v>
      </c>
      <c r="D76">
        <v>60</v>
      </c>
      <c r="E76" s="20">
        <v>8</v>
      </c>
      <c r="F76" s="20">
        <v>16.600000000000001</v>
      </c>
      <c r="G76" s="20">
        <v>12.35</v>
      </c>
      <c r="H76">
        <v>15.85</v>
      </c>
      <c r="I76">
        <v>342</v>
      </c>
    </row>
    <row r="77" spans="1:10" x14ac:dyDescent="0.2">
      <c r="A77">
        <v>2011</v>
      </c>
      <c r="B77" s="20" t="s">
        <v>46</v>
      </c>
      <c r="C77" s="2">
        <v>40744</v>
      </c>
      <c r="D77">
        <v>60</v>
      </c>
      <c r="E77" s="20">
        <v>9</v>
      </c>
      <c r="F77" s="20">
        <v>17.760000000000002</v>
      </c>
      <c r="G77" s="20">
        <v>13.61</v>
      </c>
      <c r="H77">
        <v>2.11</v>
      </c>
      <c r="I77">
        <v>32</v>
      </c>
    </row>
    <row r="78" spans="1:10" x14ac:dyDescent="0.2">
      <c r="A78">
        <v>2011</v>
      </c>
      <c r="B78" s="20" t="s">
        <v>46</v>
      </c>
      <c r="C78" s="2">
        <v>40744</v>
      </c>
      <c r="D78">
        <v>60</v>
      </c>
      <c r="E78" s="20">
        <v>10</v>
      </c>
      <c r="F78" s="20">
        <v>16.87</v>
      </c>
      <c r="G78" s="20">
        <v>13.81</v>
      </c>
      <c r="H78" s="20">
        <v>7.7</v>
      </c>
      <c r="I78" s="20">
        <v>249</v>
      </c>
      <c r="J78" s="20" t="s">
        <v>250</v>
      </c>
    </row>
    <row r="79" spans="1:10" x14ac:dyDescent="0.2">
      <c r="A79">
        <v>2011</v>
      </c>
      <c r="B79" s="20" t="s">
        <v>46</v>
      </c>
      <c r="C79" s="2">
        <v>40710</v>
      </c>
      <c r="D79">
        <v>94</v>
      </c>
      <c r="E79">
        <v>1</v>
      </c>
      <c r="F79">
        <v>9.8800000000000008</v>
      </c>
      <c r="G79" s="20">
        <v>5.0599999999999996</v>
      </c>
      <c r="H79" s="20">
        <v>9.02</v>
      </c>
      <c r="I79" s="20">
        <v>169</v>
      </c>
      <c r="J79" s="20" t="s">
        <v>216</v>
      </c>
    </row>
    <row r="80" spans="1:10" x14ac:dyDescent="0.2">
      <c r="A80">
        <v>2011</v>
      </c>
      <c r="B80" s="20" t="s">
        <v>46</v>
      </c>
      <c r="C80" s="2">
        <v>40710</v>
      </c>
      <c r="D80">
        <v>94</v>
      </c>
      <c r="E80">
        <v>2</v>
      </c>
      <c r="F80">
        <v>8.06</v>
      </c>
      <c r="G80" s="20" t="s">
        <v>1</v>
      </c>
      <c r="H80" s="20">
        <v>9.59</v>
      </c>
      <c r="I80" s="20">
        <v>196</v>
      </c>
      <c r="J80" t="s">
        <v>221</v>
      </c>
    </row>
    <row r="81" spans="1:10" x14ac:dyDescent="0.2">
      <c r="A81">
        <v>2011</v>
      </c>
      <c r="B81" s="20" t="s">
        <v>46</v>
      </c>
      <c r="C81" s="2">
        <v>40710</v>
      </c>
      <c r="D81">
        <v>94</v>
      </c>
      <c r="E81">
        <v>3</v>
      </c>
      <c r="F81">
        <v>8.3000000000000007</v>
      </c>
      <c r="G81" s="20" t="s">
        <v>1</v>
      </c>
      <c r="H81" s="20">
        <v>9.3000000000000007</v>
      </c>
      <c r="I81" s="20">
        <v>202</v>
      </c>
      <c r="J81" t="s">
        <v>221</v>
      </c>
    </row>
    <row r="82" spans="1:10" x14ac:dyDescent="0.2">
      <c r="A82">
        <v>2011</v>
      </c>
      <c r="B82" s="20" t="s">
        <v>46</v>
      </c>
      <c r="C82" s="2">
        <v>40710</v>
      </c>
      <c r="D82">
        <v>94</v>
      </c>
      <c r="E82">
        <v>4</v>
      </c>
      <c r="F82">
        <v>11.86</v>
      </c>
      <c r="G82" s="20" t="s">
        <v>1</v>
      </c>
      <c r="H82" s="20">
        <v>6.06</v>
      </c>
      <c r="I82" s="20">
        <v>271</v>
      </c>
      <c r="J82" t="s">
        <v>221</v>
      </c>
    </row>
    <row r="83" spans="1:10" x14ac:dyDescent="0.2">
      <c r="A83">
        <v>2011</v>
      </c>
      <c r="B83" s="20" t="s">
        <v>46</v>
      </c>
      <c r="C83" s="2">
        <v>40710</v>
      </c>
      <c r="D83">
        <v>94</v>
      </c>
      <c r="E83">
        <v>5</v>
      </c>
      <c r="F83">
        <v>6.66</v>
      </c>
      <c r="G83" s="20" t="s">
        <v>1</v>
      </c>
      <c r="H83" s="20">
        <v>7.03</v>
      </c>
      <c r="I83" s="20">
        <v>142</v>
      </c>
      <c r="J83" t="s">
        <v>233</v>
      </c>
    </row>
    <row r="84" spans="1:10" x14ac:dyDescent="0.2">
      <c r="A84">
        <v>2011</v>
      </c>
      <c r="B84" s="20" t="s">
        <v>46</v>
      </c>
      <c r="C84" s="2">
        <v>40710</v>
      </c>
      <c r="D84">
        <v>94</v>
      </c>
      <c r="E84">
        <v>6</v>
      </c>
      <c r="F84">
        <v>6.5</v>
      </c>
      <c r="G84" s="20" t="s">
        <v>1</v>
      </c>
      <c r="H84" s="20">
        <v>7.2</v>
      </c>
      <c r="I84" s="20">
        <v>115</v>
      </c>
      <c r="J84" t="s">
        <v>233</v>
      </c>
    </row>
    <row r="85" spans="1:10" x14ac:dyDescent="0.2">
      <c r="A85">
        <v>2011</v>
      </c>
      <c r="B85" s="20" t="s">
        <v>46</v>
      </c>
      <c r="C85" s="2">
        <v>40710</v>
      </c>
      <c r="D85">
        <v>94</v>
      </c>
      <c r="E85">
        <v>7</v>
      </c>
      <c r="F85">
        <v>7.71</v>
      </c>
      <c r="G85" s="20" t="s">
        <v>1</v>
      </c>
      <c r="H85" s="20">
        <v>2.83</v>
      </c>
      <c r="I85" s="20">
        <v>103</v>
      </c>
      <c r="J85" t="s">
        <v>233</v>
      </c>
    </row>
    <row r="86" spans="1:10" x14ac:dyDescent="0.2">
      <c r="A86">
        <v>2011</v>
      </c>
      <c r="B86" s="20" t="s">
        <v>46</v>
      </c>
      <c r="C86" s="2">
        <v>40710</v>
      </c>
      <c r="D86">
        <v>95</v>
      </c>
      <c r="E86">
        <v>1</v>
      </c>
      <c r="F86">
        <v>10.029999999999999</v>
      </c>
      <c r="G86">
        <v>4.0599999999999996</v>
      </c>
      <c r="H86">
        <v>15.89</v>
      </c>
      <c r="I86">
        <v>28</v>
      </c>
      <c r="J86" t="s">
        <v>251</v>
      </c>
    </row>
    <row r="87" spans="1:10" x14ac:dyDescent="0.2">
      <c r="A87">
        <v>2011</v>
      </c>
      <c r="B87" s="20" t="s">
        <v>46</v>
      </c>
      <c r="C87" s="2">
        <v>40710</v>
      </c>
      <c r="D87">
        <v>95</v>
      </c>
      <c r="E87">
        <v>2</v>
      </c>
      <c r="F87">
        <v>10.210000000000001</v>
      </c>
      <c r="G87">
        <v>6.03</v>
      </c>
      <c r="H87">
        <v>15.97</v>
      </c>
      <c r="I87">
        <v>30</v>
      </c>
      <c r="J87" t="s">
        <v>251</v>
      </c>
    </row>
    <row r="88" spans="1:10" x14ac:dyDescent="0.2">
      <c r="A88">
        <v>2011</v>
      </c>
      <c r="B88" s="20" t="s">
        <v>46</v>
      </c>
      <c r="C88" s="2">
        <v>40710</v>
      </c>
      <c r="D88">
        <v>95</v>
      </c>
      <c r="E88">
        <v>3</v>
      </c>
      <c r="F88">
        <v>7.96</v>
      </c>
      <c r="G88" t="s">
        <v>1</v>
      </c>
      <c r="H88" s="36">
        <v>12.94</v>
      </c>
      <c r="I88">
        <v>78</v>
      </c>
      <c r="J88" t="s">
        <v>252</v>
      </c>
    </row>
    <row r="89" spans="1:10" x14ac:dyDescent="0.2">
      <c r="A89">
        <v>2011</v>
      </c>
      <c r="B89" s="20" t="s">
        <v>46</v>
      </c>
      <c r="C89" s="2">
        <v>40710</v>
      </c>
      <c r="D89">
        <v>96</v>
      </c>
      <c r="E89">
        <v>1</v>
      </c>
      <c r="F89">
        <v>11</v>
      </c>
      <c r="G89">
        <v>6.68</v>
      </c>
      <c r="H89">
        <v>10</v>
      </c>
      <c r="I89">
        <v>32</v>
      </c>
      <c r="J89" t="s">
        <v>216</v>
      </c>
    </row>
    <row r="90" spans="1:10" x14ac:dyDescent="0.2">
      <c r="A90">
        <v>2011</v>
      </c>
      <c r="B90" s="20" t="s">
        <v>46</v>
      </c>
      <c r="C90" s="2">
        <v>40710</v>
      </c>
      <c r="D90">
        <v>96</v>
      </c>
      <c r="E90">
        <v>2</v>
      </c>
      <c r="F90">
        <v>13.02</v>
      </c>
      <c r="G90">
        <v>7.5</v>
      </c>
      <c r="H90">
        <v>10.9</v>
      </c>
      <c r="I90">
        <v>49</v>
      </c>
      <c r="J90" t="s">
        <v>216</v>
      </c>
    </row>
    <row r="91" spans="1:10" x14ac:dyDescent="0.2">
      <c r="A91">
        <v>2011</v>
      </c>
      <c r="B91" s="20" t="s">
        <v>46</v>
      </c>
      <c r="C91" s="2">
        <v>40710</v>
      </c>
      <c r="D91">
        <v>96</v>
      </c>
      <c r="E91">
        <v>3</v>
      </c>
      <c r="F91">
        <v>14.96</v>
      </c>
      <c r="G91">
        <v>12.54</v>
      </c>
      <c r="H91">
        <v>18.239999999999998</v>
      </c>
      <c r="I91">
        <v>78</v>
      </c>
      <c r="J91" t="s">
        <v>253</v>
      </c>
    </row>
    <row r="92" spans="1:10" x14ac:dyDescent="0.2">
      <c r="A92">
        <v>2011</v>
      </c>
      <c r="B92" s="20" t="s">
        <v>46</v>
      </c>
      <c r="C92" s="2">
        <v>40710</v>
      </c>
      <c r="D92">
        <v>96</v>
      </c>
      <c r="E92">
        <v>4</v>
      </c>
      <c r="F92">
        <v>8.44</v>
      </c>
      <c r="G92">
        <v>5</v>
      </c>
      <c r="H92">
        <v>12.25</v>
      </c>
      <c r="I92">
        <v>235</v>
      </c>
      <c r="J92" t="s">
        <v>216</v>
      </c>
    </row>
    <row r="93" spans="1:10" x14ac:dyDescent="0.2">
      <c r="A93">
        <v>2011</v>
      </c>
      <c r="B93" s="20" t="s">
        <v>46</v>
      </c>
      <c r="C93" s="2">
        <v>40710</v>
      </c>
      <c r="D93">
        <v>96</v>
      </c>
      <c r="E93">
        <v>5</v>
      </c>
      <c r="F93">
        <v>8.58</v>
      </c>
      <c r="G93" t="s">
        <v>1</v>
      </c>
      <c r="H93">
        <v>13.5</v>
      </c>
      <c r="I93">
        <v>304</v>
      </c>
      <c r="J93" t="s">
        <v>252</v>
      </c>
    </row>
    <row r="94" spans="1:10" x14ac:dyDescent="0.2">
      <c r="A94">
        <v>2011</v>
      </c>
      <c r="B94" s="20" t="s">
        <v>46</v>
      </c>
      <c r="C94" s="2">
        <v>40710</v>
      </c>
      <c r="D94">
        <v>96</v>
      </c>
      <c r="E94">
        <v>6</v>
      </c>
      <c r="F94">
        <v>12.86</v>
      </c>
      <c r="G94">
        <v>7.18</v>
      </c>
      <c r="H94">
        <v>10.199999999999999</v>
      </c>
      <c r="I94">
        <v>42</v>
      </c>
      <c r="J94" t="s">
        <v>216</v>
      </c>
    </row>
    <row r="95" spans="1:10" x14ac:dyDescent="0.2">
      <c r="A95">
        <v>2011</v>
      </c>
      <c r="B95" s="20" t="s">
        <v>46</v>
      </c>
      <c r="C95" s="2">
        <v>40710</v>
      </c>
      <c r="D95">
        <v>96</v>
      </c>
      <c r="E95">
        <v>7</v>
      </c>
      <c r="F95">
        <v>8.1199999999999992</v>
      </c>
      <c r="G95" t="s">
        <v>1</v>
      </c>
      <c r="H95">
        <v>2.0299999999999998</v>
      </c>
      <c r="I95">
        <v>180</v>
      </c>
      <c r="J95" t="s">
        <v>216</v>
      </c>
    </row>
    <row r="96" spans="1:10" x14ac:dyDescent="0.2">
      <c r="A96">
        <v>2011</v>
      </c>
      <c r="B96" s="20" t="s">
        <v>46</v>
      </c>
      <c r="C96" s="2">
        <v>40710</v>
      </c>
      <c r="D96">
        <v>96</v>
      </c>
      <c r="E96">
        <v>8</v>
      </c>
      <c r="F96">
        <v>9.9700000000000006</v>
      </c>
      <c r="G96">
        <v>4.79</v>
      </c>
      <c r="H96">
        <v>0.28999999999999998</v>
      </c>
      <c r="I96">
        <v>245</v>
      </c>
      <c r="J96" t="s">
        <v>216</v>
      </c>
    </row>
    <row r="97" spans="1:10" x14ac:dyDescent="0.2">
      <c r="A97">
        <v>2011</v>
      </c>
      <c r="B97" s="20" t="s">
        <v>46</v>
      </c>
      <c r="C97" s="2">
        <v>40710</v>
      </c>
      <c r="D97">
        <v>96</v>
      </c>
      <c r="E97">
        <v>9</v>
      </c>
      <c r="F97">
        <v>11.6</v>
      </c>
      <c r="G97">
        <v>8.17</v>
      </c>
      <c r="H97">
        <v>1.36</v>
      </c>
      <c r="I97">
        <v>148</v>
      </c>
      <c r="J97" t="s">
        <v>216</v>
      </c>
    </row>
    <row r="98" spans="1:10" x14ac:dyDescent="0.2">
      <c r="A98">
        <v>2011</v>
      </c>
      <c r="B98" s="20" t="s">
        <v>46</v>
      </c>
      <c r="C98" s="2">
        <v>40710</v>
      </c>
      <c r="D98">
        <v>96</v>
      </c>
      <c r="E98">
        <v>10</v>
      </c>
      <c r="F98">
        <v>6.5</v>
      </c>
      <c r="G98" t="s">
        <v>1</v>
      </c>
      <c r="H98">
        <v>1.32</v>
      </c>
      <c r="I98">
        <v>270</v>
      </c>
      <c r="J98" t="s">
        <v>254</v>
      </c>
    </row>
    <row r="99" spans="1:10" x14ac:dyDescent="0.2">
      <c r="A99">
        <v>2011</v>
      </c>
      <c r="B99" s="20" t="s">
        <v>46</v>
      </c>
      <c r="C99" s="2">
        <v>40751</v>
      </c>
      <c r="D99">
        <v>97</v>
      </c>
      <c r="E99" t="s">
        <v>226</v>
      </c>
      <c r="F99" t="s">
        <v>1</v>
      </c>
      <c r="G99" s="20" t="s">
        <v>1</v>
      </c>
      <c r="H99" s="20" t="s">
        <v>1</v>
      </c>
      <c r="I99" s="20" t="s">
        <v>1</v>
      </c>
    </row>
    <row r="100" spans="1:10" x14ac:dyDescent="0.2">
      <c r="A100">
        <v>2011</v>
      </c>
      <c r="B100" s="20" t="s">
        <v>46</v>
      </c>
      <c r="C100" s="2">
        <v>40757</v>
      </c>
      <c r="D100">
        <v>98</v>
      </c>
      <c r="E100">
        <v>1</v>
      </c>
      <c r="F100">
        <v>9.75</v>
      </c>
      <c r="G100" s="20" t="s">
        <v>1</v>
      </c>
      <c r="H100" s="20">
        <v>7.2</v>
      </c>
      <c r="I100" s="20">
        <v>29</v>
      </c>
      <c r="J100" t="s">
        <v>255</v>
      </c>
    </row>
    <row r="101" spans="1:10" x14ac:dyDescent="0.2">
      <c r="A101">
        <v>2011</v>
      </c>
      <c r="B101" s="20" t="s">
        <v>46</v>
      </c>
      <c r="C101" s="2">
        <v>40757</v>
      </c>
      <c r="D101">
        <v>98</v>
      </c>
      <c r="E101">
        <v>2</v>
      </c>
      <c r="F101">
        <v>8.85</v>
      </c>
      <c r="G101" s="36">
        <v>6.72</v>
      </c>
      <c r="H101" s="20">
        <v>6.4</v>
      </c>
      <c r="I101" s="20">
        <v>164</v>
      </c>
      <c r="J101" t="s">
        <v>256</v>
      </c>
    </row>
    <row r="102" spans="1:10" x14ac:dyDescent="0.2">
      <c r="A102">
        <v>2011</v>
      </c>
      <c r="B102" s="20" t="s">
        <v>46</v>
      </c>
      <c r="C102" s="2">
        <v>40757</v>
      </c>
      <c r="D102">
        <v>98</v>
      </c>
      <c r="E102">
        <v>3</v>
      </c>
      <c r="F102">
        <v>7.08</v>
      </c>
      <c r="G102" t="s">
        <v>1</v>
      </c>
      <c r="H102" s="20">
        <v>12.94</v>
      </c>
      <c r="I102" s="20">
        <v>114</v>
      </c>
      <c r="J102" t="s">
        <v>252</v>
      </c>
    </row>
    <row r="103" spans="1:10" x14ac:dyDescent="0.2">
      <c r="A103">
        <v>2011</v>
      </c>
      <c r="B103" s="20" t="s">
        <v>46</v>
      </c>
      <c r="C103" s="2">
        <v>40757</v>
      </c>
      <c r="D103">
        <v>98</v>
      </c>
      <c r="E103">
        <v>4</v>
      </c>
      <c r="F103">
        <v>8.82</v>
      </c>
      <c r="G103" t="s">
        <v>1</v>
      </c>
      <c r="H103" s="20">
        <v>18.100000000000001</v>
      </c>
      <c r="I103" s="20">
        <v>212</v>
      </c>
      <c r="J103" t="s">
        <v>257</v>
      </c>
    </row>
    <row r="104" spans="1:10" x14ac:dyDescent="0.2">
      <c r="A104">
        <v>2011</v>
      </c>
      <c r="B104" s="20" t="s">
        <v>46</v>
      </c>
      <c r="C104" s="2">
        <v>40757</v>
      </c>
      <c r="D104">
        <v>98</v>
      </c>
      <c r="E104">
        <v>5</v>
      </c>
      <c r="F104">
        <v>13.55</v>
      </c>
      <c r="G104" t="s">
        <v>1</v>
      </c>
      <c r="H104" s="20">
        <v>16.75</v>
      </c>
      <c r="I104" s="20">
        <v>222</v>
      </c>
      <c r="J104" t="s">
        <v>250</v>
      </c>
    </row>
    <row r="105" spans="1:10" x14ac:dyDescent="0.2">
      <c r="A105">
        <v>2011</v>
      </c>
      <c r="B105" s="20" t="s">
        <v>46</v>
      </c>
      <c r="C105" s="2">
        <v>40757</v>
      </c>
      <c r="D105">
        <v>98</v>
      </c>
      <c r="E105">
        <v>6</v>
      </c>
      <c r="F105">
        <v>6.9</v>
      </c>
      <c r="G105" t="s">
        <v>1</v>
      </c>
      <c r="H105" s="20">
        <v>12.87</v>
      </c>
      <c r="I105" s="20">
        <v>108</v>
      </c>
      <c r="J105" t="s">
        <v>250</v>
      </c>
    </row>
    <row r="106" spans="1:10" x14ac:dyDescent="0.2">
      <c r="A106">
        <v>2011</v>
      </c>
      <c r="B106" s="20" t="s">
        <v>46</v>
      </c>
      <c r="C106" s="2">
        <v>40751</v>
      </c>
      <c r="D106">
        <v>99</v>
      </c>
      <c r="E106">
        <v>1</v>
      </c>
      <c r="F106">
        <v>28.82</v>
      </c>
      <c r="G106">
        <v>18.7</v>
      </c>
      <c r="H106">
        <v>4.5199999999999996</v>
      </c>
      <c r="I106">
        <v>163</v>
      </c>
      <c r="J106" t="s">
        <v>216</v>
      </c>
    </row>
    <row r="107" spans="1:10" x14ac:dyDescent="0.2">
      <c r="A107">
        <v>2011</v>
      </c>
      <c r="B107" s="20" t="s">
        <v>46</v>
      </c>
      <c r="C107" s="2">
        <v>40724</v>
      </c>
      <c r="D107">
        <v>100</v>
      </c>
      <c r="E107" s="20" t="s">
        <v>226</v>
      </c>
      <c r="F107" s="20" t="s">
        <v>1</v>
      </c>
      <c r="G107" s="20" t="s">
        <v>1</v>
      </c>
      <c r="H107" s="20" t="s">
        <v>1</v>
      </c>
      <c r="I107" s="20" t="s">
        <v>1</v>
      </c>
    </row>
    <row r="108" spans="1:10" x14ac:dyDescent="0.2">
      <c r="A108">
        <v>2011</v>
      </c>
      <c r="B108" s="20" t="s">
        <v>46</v>
      </c>
      <c r="C108" s="2">
        <v>40724</v>
      </c>
      <c r="D108">
        <v>101</v>
      </c>
      <c r="E108" s="20">
        <v>1</v>
      </c>
      <c r="F108" s="20" t="s">
        <v>1</v>
      </c>
      <c r="G108" s="20" t="s">
        <v>1</v>
      </c>
      <c r="H108">
        <v>10.68</v>
      </c>
      <c r="I108">
        <v>62</v>
      </c>
      <c r="J108" s="20" t="s">
        <v>240</v>
      </c>
    </row>
    <row r="109" spans="1:10" x14ac:dyDescent="0.2">
      <c r="A109">
        <v>2011</v>
      </c>
      <c r="B109" s="20" t="s">
        <v>46</v>
      </c>
      <c r="C109" s="2">
        <v>40724</v>
      </c>
      <c r="D109">
        <v>101</v>
      </c>
      <c r="E109" s="20">
        <v>2</v>
      </c>
      <c r="F109" s="20">
        <v>8.3699999999999992</v>
      </c>
      <c r="G109" s="20" t="s">
        <v>1</v>
      </c>
      <c r="H109" s="20">
        <v>12.38</v>
      </c>
      <c r="I109" s="20">
        <v>350</v>
      </c>
      <c r="J109" s="20" t="s">
        <v>258</v>
      </c>
    </row>
    <row r="110" spans="1:10" x14ac:dyDescent="0.2">
      <c r="A110">
        <v>2011</v>
      </c>
      <c r="B110" s="20" t="s">
        <v>46</v>
      </c>
      <c r="C110" s="2">
        <v>40724</v>
      </c>
      <c r="D110">
        <v>101</v>
      </c>
      <c r="E110" s="20">
        <v>3</v>
      </c>
      <c r="F110" s="20">
        <v>7.69</v>
      </c>
      <c r="G110" s="20" t="s">
        <v>1</v>
      </c>
      <c r="H110" s="20">
        <v>16.38</v>
      </c>
      <c r="I110" s="20">
        <v>15</v>
      </c>
      <c r="J110" s="20" t="s">
        <v>259</v>
      </c>
    </row>
    <row r="111" spans="1:10" x14ac:dyDescent="0.2">
      <c r="A111">
        <v>2011</v>
      </c>
      <c r="B111" s="20" t="s">
        <v>46</v>
      </c>
      <c r="C111" s="2">
        <v>40724</v>
      </c>
      <c r="D111">
        <v>101</v>
      </c>
      <c r="E111" s="20">
        <v>4</v>
      </c>
      <c r="F111" s="20">
        <v>8.27</v>
      </c>
      <c r="G111" s="20" t="s">
        <v>1</v>
      </c>
      <c r="H111" s="20">
        <v>15.1</v>
      </c>
      <c r="I111" s="20">
        <v>40</v>
      </c>
      <c r="J111" s="20" t="s">
        <v>260</v>
      </c>
    </row>
    <row r="112" spans="1:10" x14ac:dyDescent="0.2">
      <c r="A112">
        <v>2011</v>
      </c>
      <c r="B112" s="20" t="s">
        <v>46</v>
      </c>
      <c r="C112" s="2">
        <v>40724</v>
      </c>
      <c r="D112">
        <v>101</v>
      </c>
      <c r="E112" s="20">
        <v>5</v>
      </c>
      <c r="F112" s="20">
        <v>11.2</v>
      </c>
      <c r="G112" s="20" t="s">
        <v>1</v>
      </c>
      <c r="H112" s="20">
        <v>12.67</v>
      </c>
      <c r="I112" s="20">
        <v>57</v>
      </c>
      <c r="J112" s="20" t="s">
        <v>261</v>
      </c>
    </row>
    <row r="113" spans="1:10" x14ac:dyDescent="0.2">
      <c r="A113">
        <v>2011</v>
      </c>
      <c r="B113" s="20" t="s">
        <v>46</v>
      </c>
      <c r="C113" s="2">
        <v>40724</v>
      </c>
      <c r="D113">
        <v>101</v>
      </c>
      <c r="E113" s="20">
        <v>6</v>
      </c>
      <c r="F113" s="20">
        <v>6.64</v>
      </c>
      <c r="G113" s="20" t="s">
        <v>1</v>
      </c>
      <c r="H113" s="20">
        <v>8.1300000000000008</v>
      </c>
      <c r="I113" s="20">
        <v>95</v>
      </c>
      <c r="J113" s="20" t="s">
        <v>250</v>
      </c>
    </row>
    <row r="114" spans="1:10" x14ac:dyDescent="0.2">
      <c r="A114">
        <v>2011</v>
      </c>
      <c r="B114" s="20" t="s">
        <v>46</v>
      </c>
      <c r="C114" s="2">
        <v>40724</v>
      </c>
      <c r="D114">
        <v>102</v>
      </c>
      <c r="E114" s="20" t="s">
        <v>226</v>
      </c>
      <c r="F114" s="20" t="s">
        <v>1</v>
      </c>
      <c r="G114" s="20" t="s">
        <v>1</v>
      </c>
      <c r="H114" s="20" t="s">
        <v>1</v>
      </c>
      <c r="I114" s="20" t="s">
        <v>1</v>
      </c>
    </row>
    <row r="115" spans="1:10" x14ac:dyDescent="0.2">
      <c r="A115">
        <v>2011</v>
      </c>
      <c r="B115" s="20" t="s">
        <v>46</v>
      </c>
      <c r="C115" s="2">
        <v>40743</v>
      </c>
      <c r="D115">
        <v>121</v>
      </c>
      <c r="E115" s="20">
        <v>1</v>
      </c>
      <c r="F115" s="20">
        <v>9.7200000000000006</v>
      </c>
      <c r="G115" s="20" t="s">
        <v>1</v>
      </c>
      <c r="H115" s="20">
        <v>7.68</v>
      </c>
      <c r="I115" s="20">
        <v>288</v>
      </c>
      <c r="J115" s="20" t="s">
        <v>216</v>
      </c>
    </row>
    <row r="116" spans="1:10" x14ac:dyDescent="0.2">
      <c r="A116">
        <v>2011</v>
      </c>
      <c r="B116" s="20" t="s">
        <v>46</v>
      </c>
      <c r="C116" s="2">
        <v>40743</v>
      </c>
      <c r="D116">
        <v>121</v>
      </c>
      <c r="E116" s="20">
        <v>2</v>
      </c>
      <c r="F116" s="20">
        <v>7.62</v>
      </c>
      <c r="G116" s="20" t="s">
        <v>1</v>
      </c>
      <c r="H116" s="20">
        <v>16.010000000000002</v>
      </c>
      <c r="I116" s="20">
        <v>297</v>
      </c>
      <c r="J116" s="20" t="s">
        <v>216</v>
      </c>
    </row>
    <row r="117" spans="1:10" x14ac:dyDescent="0.2">
      <c r="A117">
        <v>2011</v>
      </c>
      <c r="B117" s="20" t="s">
        <v>46</v>
      </c>
      <c r="C117" s="2">
        <v>40743</v>
      </c>
      <c r="D117">
        <v>121</v>
      </c>
      <c r="E117" s="20">
        <v>3</v>
      </c>
      <c r="F117" s="20">
        <v>9.31</v>
      </c>
      <c r="G117" s="20" t="s">
        <v>1</v>
      </c>
      <c r="H117" s="20">
        <v>16.09</v>
      </c>
      <c r="I117" s="20">
        <v>271</v>
      </c>
      <c r="J117" s="20" t="s">
        <v>216</v>
      </c>
    </row>
    <row r="118" spans="1:10" x14ac:dyDescent="0.2">
      <c r="A118">
        <v>2011</v>
      </c>
      <c r="B118" s="20" t="s">
        <v>46</v>
      </c>
      <c r="C118" s="2">
        <v>40743</v>
      </c>
      <c r="D118">
        <v>121</v>
      </c>
      <c r="E118" s="20">
        <v>4</v>
      </c>
      <c r="F118" s="20">
        <v>10.199999999999999</v>
      </c>
      <c r="G118" s="20" t="s">
        <v>1</v>
      </c>
      <c r="H118" s="20">
        <v>16.329999999999998</v>
      </c>
      <c r="I118" s="20">
        <v>22</v>
      </c>
      <c r="J118" s="20" t="s">
        <v>216</v>
      </c>
    </row>
    <row r="119" spans="1:10" x14ac:dyDescent="0.2">
      <c r="A119">
        <v>2011</v>
      </c>
      <c r="B119" s="20" t="s">
        <v>46</v>
      </c>
      <c r="C119" s="2">
        <v>40743</v>
      </c>
      <c r="D119">
        <v>121</v>
      </c>
      <c r="E119" s="20">
        <v>5</v>
      </c>
      <c r="F119" s="20">
        <v>9.74</v>
      </c>
      <c r="G119" s="20" t="s">
        <v>1</v>
      </c>
      <c r="H119" s="20">
        <v>15.5</v>
      </c>
      <c r="I119" s="20">
        <v>62</v>
      </c>
      <c r="J119" s="20" t="s">
        <v>262</v>
      </c>
    </row>
    <row r="120" spans="1:10" x14ac:dyDescent="0.2">
      <c r="A120">
        <v>2011</v>
      </c>
      <c r="B120" s="20" t="s">
        <v>46</v>
      </c>
      <c r="C120" s="2">
        <v>40743</v>
      </c>
      <c r="D120">
        <v>121</v>
      </c>
      <c r="E120" s="20">
        <v>6</v>
      </c>
      <c r="F120" s="20">
        <v>8.8000000000000007</v>
      </c>
      <c r="G120" s="20" t="s">
        <v>1</v>
      </c>
      <c r="H120" s="20">
        <v>12.08</v>
      </c>
      <c r="I120" s="20">
        <v>95</v>
      </c>
    </row>
    <row r="121" spans="1:10" x14ac:dyDescent="0.2">
      <c r="A121">
        <v>2011</v>
      </c>
      <c r="B121" s="20" t="s">
        <v>46</v>
      </c>
      <c r="C121" s="2">
        <v>40743</v>
      </c>
      <c r="D121">
        <v>121</v>
      </c>
      <c r="E121" s="20">
        <v>7</v>
      </c>
      <c r="F121" s="20">
        <v>13.28</v>
      </c>
      <c r="G121" s="20">
        <v>8.59</v>
      </c>
      <c r="H121" s="20">
        <v>16.760000000000002</v>
      </c>
      <c r="I121" s="20">
        <v>152</v>
      </c>
    </row>
    <row r="122" spans="1:10" x14ac:dyDescent="0.2">
      <c r="A122">
        <v>2011</v>
      </c>
      <c r="B122" s="20" t="s">
        <v>46</v>
      </c>
      <c r="C122" s="2">
        <v>40743</v>
      </c>
      <c r="D122">
        <v>121</v>
      </c>
      <c r="E122" s="20">
        <v>8</v>
      </c>
      <c r="F122" s="20">
        <v>8.14</v>
      </c>
      <c r="G122" s="20" t="s">
        <v>1</v>
      </c>
      <c r="H122" s="20">
        <v>16.27</v>
      </c>
      <c r="I122" s="20">
        <v>146</v>
      </c>
    </row>
    <row r="123" spans="1:10" x14ac:dyDescent="0.2">
      <c r="A123">
        <v>2011</v>
      </c>
      <c r="B123" s="20" t="s">
        <v>46</v>
      </c>
      <c r="C123" s="2">
        <v>40743</v>
      </c>
      <c r="D123">
        <v>122</v>
      </c>
      <c r="E123" s="20">
        <v>1</v>
      </c>
      <c r="F123" s="20">
        <v>12.65</v>
      </c>
      <c r="G123" s="20" t="s">
        <v>263</v>
      </c>
      <c r="H123">
        <v>4.99</v>
      </c>
      <c r="I123">
        <v>30</v>
      </c>
      <c r="J123" s="20" t="s">
        <v>264</v>
      </c>
    </row>
    <row r="124" spans="1:10" x14ac:dyDescent="0.2">
      <c r="A124">
        <v>2011</v>
      </c>
      <c r="B124" s="20" t="s">
        <v>46</v>
      </c>
      <c r="C124" s="2">
        <v>40743</v>
      </c>
      <c r="D124">
        <v>122</v>
      </c>
      <c r="E124" s="20">
        <v>2</v>
      </c>
      <c r="F124" s="20">
        <v>11.11</v>
      </c>
      <c r="G124" s="20" t="s">
        <v>265</v>
      </c>
      <c r="H124">
        <v>9.49</v>
      </c>
      <c r="I124">
        <v>21</v>
      </c>
      <c r="J124" s="20" t="s">
        <v>264</v>
      </c>
    </row>
    <row r="125" spans="1:10" x14ac:dyDescent="0.2">
      <c r="A125">
        <v>2011</v>
      </c>
      <c r="B125" s="20" t="s">
        <v>46</v>
      </c>
      <c r="C125" s="2">
        <v>40743</v>
      </c>
      <c r="D125">
        <v>122</v>
      </c>
      <c r="E125" s="20">
        <v>3</v>
      </c>
      <c r="F125" s="20" t="s">
        <v>1</v>
      </c>
      <c r="G125" s="20" t="s">
        <v>1</v>
      </c>
      <c r="H125">
        <v>9.24</v>
      </c>
      <c r="I125">
        <v>118</v>
      </c>
      <c r="J125" s="20" t="s">
        <v>266</v>
      </c>
    </row>
    <row r="126" spans="1:10" x14ac:dyDescent="0.2">
      <c r="A126">
        <v>2011</v>
      </c>
      <c r="B126" s="20" t="s">
        <v>46</v>
      </c>
      <c r="C126" s="2">
        <v>40743</v>
      </c>
      <c r="D126">
        <v>122</v>
      </c>
      <c r="E126" s="20">
        <v>4</v>
      </c>
      <c r="F126" s="20">
        <v>13.6</v>
      </c>
      <c r="G126" s="20" t="s">
        <v>267</v>
      </c>
      <c r="H126">
        <v>9.14</v>
      </c>
      <c r="I126">
        <v>152</v>
      </c>
    </row>
    <row r="127" spans="1:10" x14ac:dyDescent="0.2">
      <c r="A127">
        <v>2011</v>
      </c>
      <c r="B127" s="20" t="s">
        <v>46</v>
      </c>
      <c r="C127" s="2">
        <v>40743</v>
      </c>
      <c r="D127">
        <v>122</v>
      </c>
      <c r="E127" s="20">
        <v>5</v>
      </c>
      <c r="F127" s="20">
        <v>11.61</v>
      </c>
      <c r="G127" s="20">
        <v>6.96</v>
      </c>
      <c r="H127">
        <v>11.2</v>
      </c>
      <c r="I127">
        <v>228</v>
      </c>
    </row>
    <row r="128" spans="1:10" x14ac:dyDescent="0.2">
      <c r="A128">
        <v>2011</v>
      </c>
      <c r="B128" s="20" t="s">
        <v>46</v>
      </c>
      <c r="C128" s="2">
        <v>40743</v>
      </c>
      <c r="D128">
        <v>122</v>
      </c>
      <c r="E128" s="20">
        <v>6</v>
      </c>
      <c r="F128" s="20">
        <v>14.7</v>
      </c>
      <c r="G128" s="20" t="s">
        <v>268</v>
      </c>
      <c r="H128">
        <v>4.97</v>
      </c>
      <c r="I128">
        <v>236</v>
      </c>
      <c r="J128" s="20" t="s">
        <v>269</v>
      </c>
    </row>
    <row r="129" spans="1:10" x14ac:dyDescent="0.2">
      <c r="A129">
        <v>2011</v>
      </c>
      <c r="B129" s="20" t="s">
        <v>46</v>
      </c>
      <c r="C129" s="2">
        <v>40743</v>
      </c>
      <c r="D129">
        <v>122</v>
      </c>
      <c r="E129" s="20">
        <v>7</v>
      </c>
      <c r="F129" s="20">
        <v>21.4</v>
      </c>
      <c r="G129" s="20" t="s">
        <v>270</v>
      </c>
      <c r="H129" s="20">
        <v>7.5</v>
      </c>
      <c r="I129" s="20">
        <v>355</v>
      </c>
      <c r="J129" s="20" t="s">
        <v>271</v>
      </c>
    </row>
    <row r="130" spans="1:10" x14ac:dyDescent="0.2">
      <c r="A130">
        <v>2011</v>
      </c>
      <c r="B130" s="20" t="s">
        <v>46</v>
      </c>
      <c r="C130" s="2">
        <v>40743</v>
      </c>
      <c r="D130">
        <v>123</v>
      </c>
      <c r="E130" s="20">
        <v>1</v>
      </c>
      <c r="F130" s="20">
        <v>8.9600000000000009</v>
      </c>
      <c r="G130" s="20">
        <v>5.52</v>
      </c>
      <c r="H130">
        <v>10.029999999999999</v>
      </c>
      <c r="I130">
        <v>62</v>
      </c>
    </row>
    <row r="131" spans="1:10" x14ac:dyDescent="0.2">
      <c r="A131">
        <v>2011</v>
      </c>
      <c r="B131" s="20" t="s">
        <v>46</v>
      </c>
      <c r="C131" s="2">
        <v>40743</v>
      </c>
      <c r="D131">
        <v>123</v>
      </c>
      <c r="E131" s="20">
        <v>2</v>
      </c>
      <c r="F131" s="20">
        <v>11.62</v>
      </c>
      <c r="G131" s="20">
        <v>4.8499999999999996</v>
      </c>
      <c r="H131">
        <v>12.85</v>
      </c>
      <c r="I131">
        <v>69</v>
      </c>
      <c r="J131" s="20" t="s">
        <v>272</v>
      </c>
    </row>
    <row r="132" spans="1:10" x14ac:dyDescent="0.2">
      <c r="A132">
        <v>2011</v>
      </c>
      <c r="B132" s="20" t="s">
        <v>46</v>
      </c>
      <c r="C132" s="2">
        <v>40743</v>
      </c>
      <c r="D132">
        <v>123</v>
      </c>
      <c r="E132" s="20">
        <v>3</v>
      </c>
      <c r="F132" s="20">
        <v>9.65</v>
      </c>
      <c r="G132" s="20">
        <v>6.78</v>
      </c>
      <c r="H132">
        <v>9.9</v>
      </c>
      <c r="I132">
        <v>95</v>
      </c>
    </row>
    <row r="133" spans="1:10" x14ac:dyDescent="0.2">
      <c r="A133">
        <v>2011</v>
      </c>
      <c r="B133" s="20" t="s">
        <v>46</v>
      </c>
      <c r="C133" s="2">
        <v>40743</v>
      </c>
      <c r="D133">
        <v>123</v>
      </c>
      <c r="E133" s="20">
        <v>4</v>
      </c>
      <c r="F133" s="20">
        <v>44.92</v>
      </c>
      <c r="G133" s="20" t="s">
        <v>1</v>
      </c>
      <c r="H133">
        <v>13.73</v>
      </c>
      <c r="I133">
        <v>199</v>
      </c>
      <c r="J133" s="20" t="s">
        <v>252</v>
      </c>
    </row>
    <row r="134" spans="1:10" x14ac:dyDescent="0.2">
      <c r="A134">
        <v>2011</v>
      </c>
      <c r="B134" s="20" t="s">
        <v>46</v>
      </c>
      <c r="C134" s="2">
        <v>40743</v>
      </c>
      <c r="D134">
        <v>123</v>
      </c>
      <c r="E134" s="20">
        <v>5</v>
      </c>
      <c r="F134" s="20">
        <v>6.8</v>
      </c>
      <c r="G134" s="20" t="s">
        <v>1</v>
      </c>
      <c r="H134">
        <v>14.05</v>
      </c>
      <c r="I134">
        <v>268</v>
      </c>
    </row>
    <row r="135" spans="1:10" x14ac:dyDescent="0.2">
      <c r="A135">
        <v>2011</v>
      </c>
      <c r="B135" s="20" t="s">
        <v>46</v>
      </c>
      <c r="C135" s="2">
        <v>40743</v>
      </c>
      <c r="D135">
        <v>123</v>
      </c>
      <c r="E135" s="20">
        <v>6</v>
      </c>
      <c r="F135" s="20" t="s">
        <v>1</v>
      </c>
      <c r="G135" s="20" t="s">
        <v>1</v>
      </c>
      <c r="H135">
        <v>9.6999999999999993</v>
      </c>
      <c r="I135">
        <v>282</v>
      </c>
      <c r="J135" s="20" t="s">
        <v>273</v>
      </c>
    </row>
    <row r="136" spans="1:10" x14ac:dyDescent="0.2">
      <c r="A136">
        <v>2011</v>
      </c>
      <c r="B136" s="20" t="s">
        <v>46</v>
      </c>
      <c r="C136" s="2">
        <v>40743</v>
      </c>
      <c r="D136">
        <v>123</v>
      </c>
      <c r="E136" s="20">
        <v>7</v>
      </c>
      <c r="F136" s="20" t="s">
        <v>1</v>
      </c>
      <c r="G136" s="20" t="s">
        <v>1</v>
      </c>
      <c r="H136">
        <v>10.89</v>
      </c>
      <c r="I136">
        <v>315</v>
      </c>
      <c r="J136" s="20" t="s">
        <v>274</v>
      </c>
    </row>
    <row r="137" spans="1:10" x14ac:dyDescent="0.2">
      <c r="A137">
        <v>2011</v>
      </c>
      <c r="B137" s="20" t="s">
        <v>46</v>
      </c>
      <c r="C137" s="2">
        <v>40743</v>
      </c>
      <c r="D137">
        <v>123</v>
      </c>
      <c r="E137" s="20">
        <v>8</v>
      </c>
      <c r="F137" s="20">
        <v>11.64</v>
      </c>
      <c r="G137" s="20">
        <v>7.92</v>
      </c>
      <c r="H137">
        <v>16.59</v>
      </c>
      <c r="I137">
        <v>330</v>
      </c>
      <c r="J137" s="20" t="s">
        <v>252</v>
      </c>
    </row>
    <row r="138" spans="1:10" x14ac:dyDescent="0.2">
      <c r="A138">
        <v>2011</v>
      </c>
      <c r="B138" s="20" t="s">
        <v>46</v>
      </c>
      <c r="C138" s="2">
        <v>40743</v>
      </c>
      <c r="D138">
        <v>123</v>
      </c>
      <c r="E138" s="20">
        <v>9</v>
      </c>
      <c r="F138" s="20">
        <v>32.119999999999997</v>
      </c>
      <c r="G138" s="20">
        <v>24.18</v>
      </c>
      <c r="H138" s="20">
        <v>9.41</v>
      </c>
      <c r="I138" s="20">
        <v>90</v>
      </c>
      <c r="J138" s="20" t="s">
        <v>250</v>
      </c>
    </row>
    <row r="139" spans="1:10" x14ac:dyDescent="0.2">
      <c r="B139" s="20"/>
    </row>
    <row r="140" spans="1:10" x14ac:dyDescent="0.2">
      <c r="B140" s="20"/>
    </row>
    <row r="141" spans="1:10" x14ac:dyDescent="0.2">
      <c r="B141" s="20"/>
    </row>
  </sheetData>
  <phoneticPr fontId="1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28"/>
  <sheetViews>
    <sheetView workbookViewId="0">
      <pane xSplit="6" ySplit="4" topLeftCell="G71" activePane="bottomRight" state="frozen"/>
      <selection pane="topRight" activeCell="E1" sqref="E1"/>
      <selection pane="bottomLeft" activeCell="A5" sqref="A5"/>
      <selection pane="bottomRight" activeCell="A85" sqref="A85:XFD85"/>
    </sheetView>
  </sheetViews>
  <sheetFormatPr defaultRowHeight="12.75" x14ac:dyDescent="0.2"/>
  <cols>
    <col min="2" max="2" width="8.7109375" customWidth="1"/>
    <col min="3" max="3" width="9.140625" style="2" hidden="1" customWidth="1"/>
    <col min="4" max="4" width="6.140625" customWidth="1"/>
    <col min="5" max="5" width="18.42578125" customWidth="1"/>
    <col min="6" max="6" width="9.140625" style="4" customWidth="1"/>
    <col min="9" max="10" width="9.140625" customWidth="1"/>
    <col min="12" max="12" width="9.140625" style="10" customWidth="1"/>
    <col min="13" max="13" width="21.5703125" customWidth="1"/>
    <col min="14" max="14" width="11.85546875" customWidth="1"/>
    <col min="20" max="20" width="9.140625" style="10" customWidth="1"/>
    <col min="23" max="23" width="39.7109375" style="28" bestFit="1" customWidth="1"/>
  </cols>
  <sheetData>
    <row r="1" spans="1:23" x14ac:dyDescent="0.2">
      <c r="A1" s="2" t="s">
        <v>275</v>
      </c>
      <c r="E1" s="9"/>
      <c r="M1" s="9"/>
      <c r="N1" s="9"/>
      <c r="W1" s="27"/>
    </row>
    <row r="2" spans="1:23" x14ac:dyDescent="0.2">
      <c r="A2" s="2" t="s">
        <v>276</v>
      </c>
      <c r="E2" s="9"/>
      <c r="M2" s="9"/>
      <c r="N2" s="9"/>
      <c r="W2" s="27"/>
    </row>
    <row r="3" spans="1:23" s="3" customFormat="1" x14ac:dyDescent="0.2">
      <c r="C3" s="12"/>
      <c r="E3" s="9" t="s">
        <v>277</v>
      </c>
      <c r="F3" s="4"/>
      <c r="G3" s="3" t="s">
        <v>278</v>
      </c>
      <c r="H3" s="3" t="s">
        <v>278</v>
      </c>
      <c r="I3" s="3" t="s">
        <v>278</v>
      </c>
      <c r="K3" s="13" t="s">
        <v>278</v>
      </c>
      <c r="L3" s="4"/>
      <c r="M3" s="3" t="s">
        <v>179</v>
      </c>
      <c r="O3" s="3" t="s">
        <v>278</v>
      </c>
      <c r="P3" s="3" t="s">
        <v>278</v>
      </c>
      <c r="Q3" s="3" t="s">
        <v>278</v>
      </c>
      <c r="S3" s="34" t="s">
        <v>279</v>
      </c>
      <c r="T3" s="17"/>
      <c r="U3" s="3" t="s">
        <v>278</v>
      </c>
      <c r="W3" s="27"/>
    </row>
    <row r="4" spans="1:23" s="7" customFormat="1" ht="13.5" thickBot="1" x14ac:dyDescent="0.25">
      <c r="A4" s="21" t="s">
        <v>8</v>
      </c>
      <c r="B4" s="21" t="s">
        <v>9</v>
      </c>
      <c r="C4" s="11" t="s">
        <v>10</v>
      </c>
      <c r="D4" s="7" t="s">
        <v>11</v>
      </c>
      <c r="E4" s="7" t="s">
        <v>12</v>
      </c>
      <c r="F4" s="8" t="s">
        <v>280</v>
      </c>
      <c r="G4" s="7" t="s">
        <v>281</v>
      </c>
      <c r="H4" s="7" t="s">
        <v>282</v>
      </c>
      <c r="I4" s="7" t="s">
        <v>283</v>
      </c>
      <c r="J4" s="7" t="s">
        <v>284</v>
      </c>
      <c r="K4" s="15" t="s">
        <v>214</v>
      </c>
      <c r="L4" s="8" t="s">
        <v>215</v>
      </c>
      <c r="M4" s="7" t="s">
        <v>12</v>
      </c>
      <c r="N4" s="7" t="s">
        <v>285</v>
      </c>
      <c r="O4" s="7" t="s">
        <v>281</v>
      </c>
      <c r="P4" s="7" t="s">
        <v>282</v>
      </c>
      <c r="Q4" s="7" t="s">
        <v>283</v>
      </c>
      <c r="R4" s="7" t="s">
        <v>286</v>
      </c>
      <c r="S4" s="14" t="s">
        <v>214</v>
      </c>
      <c r="T4" s="18" t="s">
        <v>215</v>
      </c>
      <c r="U4" s="7" t="s">
        <v>287</v>
      </c>
      <c r="V4" s="7" t="s">
        <v>288</v>
      </c>
      <c r="W4" s="30" t="s">
        <v>45</v>
      </c>
    </row>
    <row r="5" spans="1:23" ht="13.5" thickTop="1" x14ac:dyDescent="0.2">
      <c r="A5">
        <v>2011</v>
      </c>
      <c r="B5" s="20" t="s">
        <v>46</v>
      </c>
      <c r="C5" s="2">
        <v>40722</v>
      </c>
      <c r="D5">
        <v>49</v>
      </c>
      <c r="E5" s="22" t="s">
        <v>60</v>
      </c>
      <c r="F5" s="23" t="s">
        <v>289</v>
      </c>
      <c r="G5">
        <v>81</v>
      </c>
      <c r="H5">
        <v>23</v>
      </c>
      <c r="I5">
        <v>25</v>
      </c>
      <c r="K5">
        <v>7.68</v>
      </c>
      <c r="L5" s="10">
        <v>309</v>
      </c>
      <c r="M5" s="20" t="s">
        <v>75</v>
      </c>
      <c r="N5" s="20" t="s">
        <v>290</v>
      </c>
      <c r="O5" s="20">
        <v>13</v>
      </c>
      <c r="P5" s="20">
        <v>13</v>
      </c>
      <c r="Q5" s="20">
        <v>22</v>
      </c>
      <c r="S5">
        <v>7.74</v>
      </c>
      <c r="T5" s="10">
        <v>303</v>
      </c>
      <c r="U5">
        <v>36</v>
      </c>
      <c r="V5">
        <v>739</v>
      </c>
    </row>
    <row r="6" spans="1:23" x14ac:dyDescent="0.2">
      <c r="A6">
        <v>2011</v>
      </c>
      <c r="B6" s="20" t="s">
        <v>46</v>
      </c>
      <c r="C6" s="2">
        <v>40722</v>
      </c>
      <c r="D6">
        <v>49</v>
      </c>
      <c r="E6" s="22" t="s">
        <v>60</v>
      </c>
      <c r="F6" s="23" t="s">
        <v>291</v>
      </c>
      <c r="G6">
        <v>106</v>
      </c>
      <c r="H6">
        <v>41</v>
      </c>
      <c r="I6">
        <v>50</v>
      </c>
      <c r="K6">
        <v>16.559999999999999</v>
      </c>
      <c r="L6" s="10">
        <v>184</v>
      </c>
      <c r="M6" s="20" t="s">
        <v>50</v>
      </c>
      <c r="N6" s="20" t="s">
        <v>292</v>
      </c>
      <c r="O6" s="20" t="s">
        <v>1</v>
      </c>
      <c r="P6" s="20" t="s">
        <v>1</v>
      </c>
      <c r="Q6" s="20" t="s">
        <v>1</v>
      </c>
      <c r="S6">
        <v>15.77</v>
      </c>
      <c r="T6" s="10">
        <v>186</v>
      </c>
      <c r="U6">
        <v>70</v>
      </c>
      <c r="V6" s="20" t="s">
        <v>293</v>
      </c>
      <c r="W6" s="28" t="s">
        <v>294</v>
      </c>
    </row>
    <row r="7" spans="1:23" x14ac:dyDescent="0.2">
      <c r="A7">
        <v>2011</v>
      </c>
      <c r="B7" s="20" t="s">
        <v>46</v>
      </c>
      <c r="C7" s="2">
        <v>40722</v>
      </c>
      <c r="D7">
        <v>49</v>
      </c>
      <c r="E7" s="22" t="s">
        <v>60</v>
      </c>
      <c r="F7" s="23" t="s">
        <v>295</v>
      </c>
      <c r="G7">
        <v>52</v>
      </c>
      <c r="H7">
        <v>32</v>
      </c>
      <c r="I7">
        <v>34</v>
      </c>
      <c r="K7">
        <v>16.78</v>
      </c>
      <c r="L7" s="10">
        <v>187</v>
      </c>
      <c r="M7" s="20" t="s">
        <v>50</v>
      </c>
      <c r="N7" s="20" t="s">
        <v>292</v>
      </c>
      <c r="O7" s="20" t="s">
        <v>1</v>
      </c>
      <c r="P7" s="20" t="s">
        <v>1</v>
      </c>
      <c r="Q7" s="20" t="s">
        <v>1</v>
      </c>
      <c r="S7">
        <v>15.77</v>
      </c>
      <c r="T7" s="10">
        <v>186</v>
      </c>
      <c r="U7">
        <v>90</v>
      </c>
      <c r="V7" s="20" t="s">
        <v>293</v>
      </c>
      <c r="W7" s="28" t="s">
        <v>296</v>
      </c>
    </row>
    <row r="8" spans="1:23" x14ac:dyDescent="0.2">
      <c r="A8">
        <v>2011</v>
      </c>
      <c r="B8" s="20" t="s">
        <v>46</v>
      </c>
      <c r="C8" s="2">
        <v>40722</v>
      </c>
      <c r="D8">
        <v>49</v>
      </c>
      <c r="E8" s="22" t="s">
        <v>60</v>
      </c>
      <c r="F8" s="23" t="s">
        <v>297</v>
      </c>
      <c r="G8">
        <v>31</v>
      </c>
      <c r="H8">
        <v>28</v>
      </c>
      <c r="I8">
        <v>52</v>
      </c>
      <c r="K8">
        <v>3.38</v>
      </c>
      <c r="L8" s="10">
        <v>54</v>
      </c>
      <c r="M8" s="20" t="s">
        <v>47</v>
      </c>
      <c r="N8" s="20" t="s">
        <v>298</v>
      </c>
      <c r="O8" s="20">
        <v>7</v>
      </c>
      <c r="P8" s="20">
        <v>3</v>
      </c>
      <c r="Q8" s="20">
        <v>14</v>
      </c>
      <c r="S8">
        <v>2.59</v>
      </c>
      <c r="T8" s="10">
        <v>47</v>
      </c>
      <c r="U8">
        <v>102</v>
      </c>
      <c r="V8">
        <v>730</v>
      </c>
    </row>
    <row r="9" spans="1:23" x14ac:dyDescent="0.2">
      <c r="A9">
        <v>2011</v>
      </c>
      <c r="B9" s="20" t="s">
        <v>46</v>
      </c>
      <c r="C9" s="2">
        <v>40722</v>
      </c>
      <c r="D9">
        <v>49</v>
      </c>
      <c r="E9" s="22" t="s">
        <v>53</v>
      </c>
      <c r="F9" s="23" t="s">
        <v>299</v>
      </c>
      <c r="G9">
        <v>123</v>
      </c>
      <c r="H9">
        <v>103</v>
      </c>
      <c r="I9">
        <v>125</v>
      </c>
      <c r="K9">
        <v>9.41</v>
      </c>
      <c r="L9" s="10">
        <v>67</v>
      </c>
      <c r="M9" s="20" t="s">
        <v>55</v>
      </c>
      <c r="N9" s="20" t="s">
        <v>300</v>
      </c>
      <c r="O9" s="20">
        <v>81</v>
      </c>
      <c r="P9" s="20">
        <v>74</v>
      </c>
      <c r="Q9" s="20">
        <v>91</v>
      </c>
      <c r="S9">
        <v>9.6999999999999993</v>
      </c>
      <c r="T9" s="10">
        <v>75</v>
      </c>
      <c r="U9">
        <v>133</v>
      </c>
      <c r="V9" s="20" t="s">
        <v>301</v>
      </c>
      <c r="W9" s="28" t="s">
        <v>302</v>
      </c>
    </row>
    <row r="10" spans="1:23" x14ac:dyDescent="0.2">
      <c r="A10">
        <v>2011</v>
      </c>
      <c r="B10" s="20" t="s">
        <v>46</v>
      </c>
      <c r="C10" s="2">
        <v>40722</v>
      </c>
      <c r="D10">
        <v>49</v>
      </c>
      <c r="E10" s="22" t="s">
        <v>53</v>
      </c>
      <c r="F10" s="23" t="s">
        <v>303</v>
      </c>
      <c r="G10">
        <v>66</v>
      </c>
      <c r="H10">
        <v>37</v>
      </c>
      <c r="I10">
        <v>37</v>
      </c>
      <c r="K10">
        <v>12.46</v>
      </c>
      <c r="L10" s="10">
        <v>142</v>
      </c>
      <c r="M10" s="20" t="s">
        <v>51</v>
      </c>
      <c r="N10" s="20" t="s">
        <v>304</v>
      </c>
      <c r="O10" s="20">
        <v>120</v>
      </c>
      <c r="P10" s="20">
        <v>68</v>
      </c>
      <c r="Q10" s="20">
        <v>97</v>
      </c>
      <c r="S10">
        <v>12.97</v>
      </c>
      <c r="T10" s="10">
        <v>149</v>
      </c>
      <c r="U10">
        <v>114</v>
      </c>
      <c r="V10" s="20" t="s">
        <v>305</v>
      </c>
      <c r="W10" s="28" t="s">
        <v>306</v>
      </c>
    </row>
    <row r="11" spans="1:23" x14ac:dyDescent="0.2">
      <c r="A11">
        <v>2011</v>
      </c>
      <c r="B11" s="20" t="s">
        <v>46</v>
      </c>
      <c r="C11" s="2">
        <v>40722</v>
      </c>
      <c r="D11">
        <v>49</v>
      </c>
      <c r="E11" s="22" t="s">
        <v>52</v>
      </c>
      <c r="F11" s="23" t="s">
        <v>307</v>
      </c>
      <c r="G11">
        <v>103</v>
      </c>
      <c r="H11">
        <v>45</v>
      </c>
      <c r="I11">
        <v>87</v>
      </c>
      <c r="K11">
        <v>8.25</v>
      </c>
      <c r="L11" s="10">
        <v>356</v>
      </c>
      <c r="M11" s="20" t="s">
        <v>47</v>
      </c>
      <c r="N11" s="20" t="s">
        <v>308</v>
      </c>
      <c r="O11" s="20">
        <v>42</v>
      </c>
      <c r="P11" s="20">
        <v>41</v>
      </c>
      <c r="Q11" s="20">
        <v>45</v>
      </c>
      <c r="S11">
        <v>7.69</v>
      </c>
      <c r="T11" s="10">
        <v>351</v>
      </c>
      <c r="U11">
        <v>77</v>
      </c>
      <c r="V11">
        <v>725</v>
      </c>
      <c r="W11" s="28" t="s">
        <v>309</v>
      </c>
    </row>
    <row r="12" spans="1:23" x14ac:dyDescent="0.2">
      <c r="A12">
        <v>2011</v>
      </c>
      <c r="B12" s="20" t="s">
        <v>46</v>
      </c>
      <c r="C12" s="2">
        <v>40722</v>
      </c>
      <c r="D12">
        <v>49</v>
      </c>
      <c r="E12" s="22" t="s">
        <v>52</v>
      </c>
      <c r="F12" s="23" t="s">
        <v>310</v>
      </c>
      <c r="G12">
        <v>13</v>
      </c>
      <c r="H12">
        <v>8</v>
      </c>
      <c r="I12">
        <v>18</v>
      </c>
      <c r="K12">
        <v>0.65</v>
      </c>
      <c r="L12" s="10">
        <v>344</v>
      </c>
      <c r="M12" s="20" t="s">
        <v>47</v>
      </c>
      <c r="N12" s="20" t="s">
        <v>311</v>
      </c>
      <c r="O12" s="20" t="s">
        <v>1</v>
      </c>
      <c r="P12" s="20" t="s">
        <v>1</v>
      </c>
      <c r="Q12" s="20" t="s">
        <v>1</v>
      </c>
      <c r="S12">
        <v>0.6</v>
      </c>
      <c r="T12" s="10">
        <v>321</v>
      </c>
      <c r="U12">
        <v>14</v>
      </c>
      <c r="V12">
        <v>724</v>
      </c>
      <c r="W12" s="28" t="s">
        <v>312</v>
      </c>
    </row>
    <row r="13" spans="1:23" x14ac:dyDescent="0.2">
      <c r="A13">
        <v>2011</v>
      </c>
      <c r="B13" s="20" t="s">
        <v>46</v>
      </c>
      <c r="C13" s="2">
        <v>40722</v>
      </c>
      <c r="D13">
        <v>49</v>
      </c>
      <c r="E13" s="20" t="s">
        <v>56</v>
      </c>
      <c r="F13" s="23" t="s">
        <v>313</v>
      </c>
      <c r="G13">
        <v>14</v>
      </c>
      <c r="H13">
        <v>11</v>
      </c>
      <c r="I13">
        <v>17</v>
      </c>
      <c r="K13">
        <v>2.77</v>
      </c>
      <c r="L13" s="10">
        <v>48</v>
      </c>
      <c r="M13" s="20" t="s">
        <v>47</v>
      </c>
      <c r="N13" s="20" t="s">
        <v>298</v>
      </c>
      <c r="O13" s="20">
        <v>7</v>
      </c>
      <c r="P13" s="20">
        <v>3</v>
      </c>
      <c r="Q13" s="20">
        <v>14</v>
      </c>
      <c r="S13">
        <v>2.59</v>
      </c>
      <c r="T13" s="10">
        <v>47</v>
      </c>
      <c r="U13">
        <v>34</v>
      </c>
      <c r="V13">
        <v>730</v>
      </c>
    </row>
    <row r="14" spans="1:23" x14ac:dyDescent="0.2">
      <c r="A14">
        <v>2011</v>
      </c>
      <c r="B14" s="20" t="s">
        <v>46</v>
      </c>
      <c r="C14" s="2">
        <v>40710</v>
      </c>
      <c r="D14">
        <v>52</v>
      </c>
      <c r="E14" s="22" t="s">
        <v>60</v>
      </c>
      <c r="F14" s="23" t="s">
        <v>289</v>
      </c>
      <c r="G14">
        <v>34</v>
      </c>
      <c r="H14">
        <v>35</v>
      </c>
      <c r="I14">
        <v>273</v>
      </c>
      <c r="K14">
        <v>4.9400000000000004</v>
      </c>
      <c r="L14" s="10">
        <v>92</v>
      </c>
      <c r="M14" s="20" t="s">
        <v>72</v>
      </c>
      <c r="N14" s="20" t="s">
        <v>314</v>
      </c>
      <c r="O14" s="20">
        <v>26</v>
      </c>
      <c r="P14" s="20">
        <v>21</v>
      </c>
      <c r="Q14" s="20">
        <v>18</v>
      </c>
      <c r="S14">
        <v>5.12</v>
      </c>
      <c r="T14" s="10">
        <v>96</v>
      </c>
      <c r="U14">
        <v>26</v>
      </c>
      <c r="V14">
        <v>539</v>
      </c>
    </row>
    <row r="15" spans="1:23" x14ac:dyDescent="0.2">
      <c r="A15">
        <v>2011</v>
      </c>
      <c r="B15" s="20" t="s">
        <v>46</v>
      </c>
      <c r="C15" s="2">
        <v>40710</v>
      </c>
      <c r="D15">
        <v>52</v>
      </c>
      <c r="E15" s="22" t="s">
        <v>60</v>
      </c>
      <c r="F15" s="23" t="s">
        <v>291</v>
      </c>
      <c r="G15">
        <v>190</v>
      </c>
      <c r="H15">
        <v>89</v>
      </c>
      <c r="I15">
        <v>69</v>
      </c>
      <c r="K15">
        <v>10.66</v>
      </c>
      <c r="L15" s="10">
        <v>176</v>
      </c>
      <c r="M15" s="20" t="s">
        <v>50</v>
      </c>
      <c r="N15" s="20" t="s">
        <v>315</v>
      </c>
      <c r="O15" s="20">
        <v>40</v>
      </c>
      <c r="P15" s="20">
        <v>30</v>
      </c>
      <c r="Q15" s="20">
        <v>86</v>
      </c>
      <c r="S15">
        <v>10.18</v>
      </c>
      <c r="T15" s="10">
        <v>170</v>
      </c>
      <c r="U15">
        <v>111</v>
      </c>
      <c r="V15">
        <v>542</v>
      </c>
    </row>
    <row r="16" spans="1:23" x14ac:dyDescent="0.2">
      <c r="A16">
        <v>2011</v>
      </c>
      <c r="B16" s="20" t="s">
        <v>46</v>
      </c>
      <c r="C16" s="2">
        <v>40710</v>
      </c>
      <c r="D16">
        <v>52</v>
      </c>
      <c r="E16" s="22" t="s">
        <v>60</v>
      </c>
      <c r="F16" s="23" t="s">
        <v>295</v>
      </c>
      <c r="G16">
        <v>53</v>
      </c>
      <c r="H16">
        <v>42</v>
      </c>
      <c r="I16">
        <v>50</v>
      </c>
      <c r="K16">
        <v>15.87</v>
      </c>
      <c r="L16" s="10">
        <v>252</v>
      </c>
      <c r="M16" s="20" t="s">
        <v>50</v>
      </c>
      <c r="N16" s="20" t="s">
        <v>316</v>
      </c>
      <c r="O16" s="20">
        <v>21</v>
      </c>
      <c r="P16" s="20">
        <v>16</v>
      </c>
      <c r="Q16" s="20">
        <v>30</v>
      </c>
      <c r="S16">
        <v>15.13</v>
      </c>
      <c r="T16" s="10">
        <v>254</v>
      </c>
      <c r="U16">
        <v>97</v>
      </c>
      <c r="V16">
        <v>544</v>
      </c>
    </row>
    <row r="17" spans="1:23" x14ac:dyDescent="0.2">
      <c r="A17">
        <v>2011</v>
      </c>
      <c r="B17" s="20" t="s">
        <v>46</v>
      </c>
      <c r="C17" s="2">
        <v>40710</v>
      </c>
      <c r="D17">
        <v>52</v>
      </c>
      <c r="E17" s="22" t="s">
        <v>60</v>
      </c>
      <c r="F17" s="23" t="s">
        <v>297</v>
      </c>
      <c r="G17">
        <v>89</v>
      </c>
      <c r="H17">
        <v>85</v>
      </c>
      <c r="I17">
        <v>51</v>
      </c>
      <c r="K17">
        <v>4.88</v>
      </c>
      <c r="L17" s="10">
        <v>281</v>
      </c>
      <c r="M17" s="20" t="s">
        <v>47</v>
      </c>
      <c r="N17" s="20" t="s">
        <v>308</v>
      </c>
      <c r="O17" s="20">
        <v>36</v>
      </c>
      <c r="P17" s="20">
        <v>20</v>
      </c>
      <c r="Q17" s="20">
        <v>33</v>
      </c>
      <c r="S17">
        <v>5.04</v>
      </c>
      <c r="T17" s="10">
        <v>288</v>
      </c>
      <c r="U17">
        <v>47</v>
      </c>
      <c r="V17">
        <v>545</v>
      </c>
      <c r="W17" s="28" t="s">
        <v>317</v>
      </c>
    </row>
    <row r="18" spans="1:23" x14ac:dyDescent="0.2">
      <c r="A18">
        <v>2011</v>
      </c>
      <c r="B18" s="20" t="s">
        <v>46</v>
      </c>
      <c r="C18" s="2">
        <v>40710</v>
      </c>
      <c r="D18">
        <v>52</v>
      </c>
      <c r="E18" s="22" t="s">
        <v>52</v>
      </c>
      <c r="F18" s="23" t="s">
        <v>307</v>
      </c>
      <c r="G18">
        <v>77</v>
      </c>
      <c r="H18">
        <v>68</v>
      </c>
      <c r="I18">
        <v>134</v>
      </c>
      <c r="K18">
        <v>4.22</v>
      </c>
      <c r="L18" s="10">
        <v>56</v>
      </c>
      <c r="M18" s="20" t="s">
        <v>61</v>
      </c>
      <c r="N18" s="31" t="s">
        <v>318</v>
      </c>
      <c r="O18" s="20">
        <v>32</v>
      </c>
      <c r="P18" s="20">
        <v>32</v>
      </c>
      <c r="Q18" s="20">
        <v>65</v>
      </c>
      <c r="S18">
        <v>4.9000000000000004</v>
      </c>
      <c r="T18" s="10">
        <v>70</v>
      </c>
      <c r="U18">
        <v>110</v>
      </c>
      <c r="V18">
        <v>537</v>
      </c>
    </row>
    <row r="19" spans="1:23" x14ac:dyDescent="0.2">
      <c r="A19">
        <v>2011</v>
      </c>
      <c r="B19" s="20" t="s">
        <v>46</v>
      </c>
      <c r="C19" s="2">
        <v>40710</v>
      </c>
      <c r="D19">
        <v>52</v>
      </c>
      <c r="E19" s="22" t="s">
        <v>52</v>
      </c>
      <c r="F19" s="23" t="s">
        <v>310</v>
      </c>
      <c r="G19">
        <v>14</v>
      </c>
      <c r="H19">
        <v>8</v>
      </c>
      <c r="I19">
        <v>18</v>
      </c>
      <c r="K19">
        <v>4.4400000000000004</v>
      </c>
      <c r="L19" s="10">
        <v>70</v>
      </c>
      <c r="M19" s="20" t="s">
        <v>61</v>
      </c>
      <c r="N19" s="31" t="s">
        <v>318</v>
      </c>
      <c r="O19" s="20">
        <v>32</v>
      </c>
      <c r="P19" s="20">
        <v>32</v>
      </c>
      <c r="Q19" s="20">
        <v>65</v>
      </c>
      <c r="S19">
        <v>4.9000000000000004</v>
      </c>
      <c r="T19" s="10">
        <v>70</v>
      </c>
      <c r="U19">
        <v>54</v>
      </c>
      <c r="V19">
        <v>537</v>
      </c>
    </row>
    <row r="20" spans="1:23" x14ac:dyDescent="0.2">
      <c r="A20">
        <v>2011</v>
      </c>
      <c r="B20" s="20" t="s">
        <v>46</v>
      </c>
      <c r="C20" s="2">
        <v>40710</v>
      </c>
      <c r="D20">
        <v>52</v>
      </c>
      <c r="E20" s="22" t="s">
        <v>52</v>
      </c>
      <c r="F20" s="23" t="s">
        <v>319</v>
      </c>
      <c r="G20">
        <v>127</v>
      </c>
      <c r="H20">
        <v>70</v>
      </c>
      <c r="I20">
        <v>124</v>
      </c>
      <c r="K20">
        <v>11.5</v>
      </c>
      <c r="L20" s="10">
        <v>114</v>
      </c>
      <c r="M20" s="20" t="s">
        <v>47</v>
      </c>
      <c r="N20" s="20" t="s">
        <v>298</v>
      </c>
      <c r="O20" s="20">
        <v>49</v>
      </c>
      <c r="P20" s="20">
        <v>44</v>
      </c>
      <c r="Q20" s="20">
        <v>21</v>
      </c>
      <c r="S20">
        <v>12.06</v>
      </c>
      <c r="T20" s="10">
        <v>116</v>
      </c>
      <c r="U20">
        <v>73</v>
      </c>
      <c r="V20">
        <v>540</v>
      </c>
    </row>
    <row r="21" spans="1:23" x14ac:dyDescent="0.2">
      <c r="A21">
        <v>2011</v>
      </c>
      <c r="B21" s="20" t="s">
        <v>46</v>
      </c>
      <c r="C21" s="2">
        <v>40710</v>
      </c>
      <c r="D21">
        <v>52</v>
      </c>
      <c r="E21" s="22" t="s">
        <v>52</v>
      </c>
      <c r="F21" s="23" t="s">
        <v>320</v>
      </c>
      <c r="G21">
        <v>34</v>
      </c>
      <c r="H21">
        <v>26</v>
      </c>
      <c r="I21">
        <v>22</v>
      </c>
      <c r="K21">
        <v>11.83</v>
      </c>
      <c r="L21" s="10">
        <v>153</v>
      </c>
      <c r="M21" s="20" t="s">
        <v>61</v>
      </c>
      <c r="N21" s="31" t="s">
        <v>321</v>
      </c>
      <c r="O21" s="20">
        <v>90</v>
      </c>
      <c r="P21" s="20">
        <v>87</v>
      </c>
      <c r="Q21" s="20">
        <v>164</v>
      </c>
      <c r="S21">
        <v>12.55</v>
      </c>
      <c r="T21" s="10">
        <v>151</v>
      </c>
      <c r="U21">
        <v>96</v>
      </c>
      <c r="V21">
        <v>541</v>
      </c>
    </row>
    <row r="22" spans="1:23" x14ac:dyDescent="0.2">
      <c r="A22">
        <v>2011</v>
      </c>
      <c r="B22" s="20" t="s">
        <v>46</v>
      </c>
      <c r="C22" s="2">
        <v>40710</v>
      </c>
      <c r="D22">
        <v>52</v>
      </c>
      <c r="E22" s="22" t="s">
        <v>52</v>
      </c>
      <c r="F22" s="23" t="s">
        <v>322</v>
      </c>
      <c r="G22">
        <v>75</v>
      </c>
      <c r="H22">
        <v>85</v>
      </c>
      <c r="I22">
        <v>105</v>
      </c>
      <c r="K22">
        <v>6.34</v>
      </c>
      <c r="L22" s="10">
        <v>215</v>
      </c>
      <c r="M22" s="20" t="s">
        <v>62</v>
      </c>
      <c r="N22" s="20" t="s">
        <v>323</v>
      </c>
      <c r="O22" s="20" t="s">
        <v>1</v>
      </c>
      <c r="P22" s="20" t="s">
        <v>1</v>
      </c>
      <c r="Q22" s="20" t="s">
        <v>1</v>
      </c>
      <c r="S22">
        <v>5.63</v>
      </c>
      <c r="T22" s="10">
        <v>216</v>
      </c>
      <c r="U22">
        <v>76</v>
      </c>
      <c r="V22">
        <v>543</v>
      </c>
    </row>
    <row r="23" spans="1:23" x14ac:dyDescent="0.2">
      <c r="A23">
        <v>2011</v>
      </c>
      <c r="B23" s="20" t="s">
        <v>46</v>
      </c>
      <c r="C23" s="2">
        <v>40710</v>
      </c>
      <c r="D23">
        <v>52</v>
      </c>
      <c r="E23" s="22" t="s">
        <v>180</v>
      </c>
      <c r="F23" s="23" t="s">
        <v>324</v>
      </c>
      <c r="G23">
        <v>128</v>
      </c>
      <c r="H23">
        <v>42</v>
      </c>
      <c r="I23">
        <v>84</v>
      </c>
      <c r="K23">
        <v>12.15</v>
      </c>
      <c r="L23" s="10">
        <v>151</v>
      </c>
      <c r="M23" s="20" t="s">
        <v>47</v>
      </c>
      <c r="N23" s="20" t="s">
        <v>325</v>
      </c>
      <c r="O23" s="20">
        <v>44</v>
      </c>
      <c r="P23" s="20">
        <v>27</v>
      </c>
      <c r="Q23" s="20">
        <v>35</v>
      </c>
      <c r="S23">
        <v>12.55</v>
      </c>
      <c r="T23" s="10">
        <v>157</v>
      </c>
      <c r="U23">
        <v>87</v>
      </c>
      <c r="V23">
        <v>541</v>
      </c>
    </row>
    <row r="24" spans="1:23" x14ac:dyDescent="0.2">
      <c r="A24">
        <v>2011</v>
      </c>
      <c r="B24" s="20" t="s">
        <v>46</v>
      </c>
      <c r="C24" s="2">
        <v>40710</v>
      </c>
      <c r="D24">
        <v>52</v>
      </c>
      <c r="E24" s="22" t="s">
        <v>87</v>
      </c>
      <c r="F24" s="23" t="s">
        <v>326</v>
      </c>
      <c r="G24">
        <v>19</v>
      </c>
      <c r="H24">
        <v>18</v>
      </c>
      <c r="I24">
        <v>21</v>
      </c>
      <c r="K24">
        <v>4.5</v>
      </c>
      <c r="L24" s="10">
        <v>72</v>
      </c>
      <c r="M24" s="20" t="s">
        <v>61</v>
      </c>
      <c r="N24" s="31" t="s">
        <v>318</v>
      </c>
      <c r="O24" s="20">
        <v>32</v>
      </c>
      <c r="P24" s="20">
        <v>32</v>
      </c>
      <c r="Q24" s="20">
        <v>65</v>
      </c>
      <c r="S24">
        <v>4.9000000000000004</v>
      </c>
      <c r="T24" s="10">
        <v>70</v>
      </c>
      <c r="U24">
        <v>66</v>
      </c>
      <c r="V24">
        <v>537</v>
      </c>
    </row>
    <row r="25" spans="1:23" x14ac:dyDescent="0.2">
      <c r="A25">
        <v>2011</v>
      </c>
      <c r="B25" s="20" t="s">
        <v>46</v>
      </c>
      <c r="C25" s="2">
        <v>40710</v>
      </c>
      <c r="D25">
        <v>52</v>
      </c>
      <c r="E25" s="22" t="s">
        <v>87</v>
      </c>
      <c r="F25" s="23" t="s">
        <v>327</v>
      </c>
      <c r="G25">
        <v>35</v>
      </c>
      <c r="H25">
        <v>23</v>
      </c>
      <c r="I25">
        <v>67</v>
      </c>
      <c r="K25">
        <v>9.7100000000000009</v>
      </c>
      <c r="L25" s="10">
        <v>65</v>
      </c>
      <c r="M25" s="20" t="s">
        <v>50</v>
      </c>
      <c r="N25" s="20" t="s">
        <v>328</v>
      </c>
      <c r="O25" s="20">
        <v>41</v>
      </c>
      <c r="P25" s="20">
        <v>25</v>
      </c>
      <c r="Q25" s="20">
        <v>97</v>
      </c>
      <c r="S25">
        <v>10.050000000000001</v>
      </c>
      <c r="T25" s="10">
        <v>65</v>
      </c>
      <c r="U25">
        <v>39</v>
      </c>
      <c r="V25">
        <v>538</v>
      </c>
    </row>
    <row r="26" spans="1:23" x14ac:dyDescent="0.2">
      <c r="A26">
        <v>2011</v>
      </c>
      <c r="B26" s="20" t="s">
        <v>46</v>
      </c>
      <c r="C26" s="2">
        <v>40710</v>
      </c>
      <c r="D26">
        <v>52</v>
      </c>
      <c r="E26" s="22" t="s">
        <v>87</v>
      </c>
      <c r="F26" s="23" t="s">
        <v>329</v>
      </c>
      <c r="G26">
        <v>60</v>
      </c>
      <c r="H26">
        <v>54</v>
      </c>
      <c r="I26">
        <v>85</v>
      </c>
      <c r="K26">
        <v>11.51</v>
      </c>
      <c r="L26" s="10">
        <v>119</v>
      </c>
      <c r="M26" s="20" t="s">
        <v>47</v>
      </c>
      <c r="N26" s="20" t="s">
        <v>298</v>
      </c>
      <c r="O26" s="20">
        <v>49</v>
      </c>
      <c r="P26" s="20">
        <v>44</v>
      </c>
      <c r="Q26" s="20">
        <v>21</v>
      </c>
      <c r="S26">
        <v>12.06</v>
      </c>
      <c r="T26" s="10">
        <v>116</v>
      </c>
      <c r="U26">
        <v>81</v>
      </c>
      <c r="V26">
        <v>540</v>
      </c>
    </row>
    <row r="27" spans="1:23" x14ac:dyDescent="0.2">
      <c r="A27">
        <v>2011</v>
      </c>
      <c r="B27" s="20" t="s">
        <v>46</v>
      </c>
      <c r="C27" s="2">
        <v>40710</v>
      </c>
      <c r="D27">
        <v>52</v>
      </c>
      <c r="E27" s="22" t="s">
        <v>87</v>
      </c>
      <c r="F27" s="23" t="s">
        <v>330</v>
      </c>
      <c r="G27">
        <v>47</v>
      </c>
      <c r="H27">
        <v>22</v>
      </c>
      <c r="I27">
        <v>47</v>
      </c>
      <c r="K27">
        <v>12.84</v>
      </c>
      <c r="L27" s="10">
        <v>152</v>
      </c>
      <c r="M27" s="20" t="s">
        <v>47</v>
      </c>
      <c r="N27" s="20" t="s">
        <v>325</v>
      </c>
      <c r="O27" s="20">
        <v>44</v>
      </c>
      <c r="P27" s="20">
        <v>27</v>
      </c>
      <c r="Q27" s="20">
        <v>35</v>
      </c>
      <c r="S27">
        <v>12.55</v>
      </c>
      <c r="T27" s="10">
        <v>151</v>
      </c>
      <c r="U27">
        <v>93</v>
      </c>
      <c r="V27">
        <v>541</v>
      </c>
    </row>
    <row r="28" spans="1:23" x14ac:dyDescent="0.2">
      <c r="A28">
        <v>2011</v>
      </c>
      <c r="B28" s="20" t="s">
        <v>46</v>
      </c>
      <c r="C28" s="2">
        <v>40710</v>
      </c>
      <c r="D28">
        <v>52</v>
      </c>
      <c r="E28" s="22" t="s">
        <v>87</v>
      </c>
      <c r="F28" s="23" t="s">
        <v>331</v>
      </c>
      <c r="G28">
        <v>49</v>
      </c>
      <c r="H28">
        <v>38</v>
      </c>
      <c r="I28">
        <v>69</v>
      </c>
      <c r="K28">
        <v>6.76</v>
      </c>
      <c r="L28" s="10">
        <v>224</v>
      </c>
      <c r="M28" s="20" t="s">
        <v>62</v>
      </c>
      <c r="N28" s="20" t="s">
        <v>323</v>
      </c>
      <c r="O28" s="20" t="s">
        <v>1</v>
      </c>
      <c r="P28" s="20" t="s">
        <v>1</v>
      </c>
      <c r="Q28" s="20" t="s">
        <v>1</v>
      </c>
      <c r="S28">
        <v>5.63</v>
      </c>
      <c r="T28" s="10">
        <v>216</v>
      </c>
      <c r="U28">
        <v>142</v>
      </c>
      <c r="V28">
        <v>543</v>
      </c>
    </row>
    <row r="29" spans="1:23" x14ac:dyDescent="0.2">
      <c r="A29">
        <v>2011</v>
      </c>
      <c r="B29" s="20" t="s">
        <v>46</v>
      </c>
      <c r="C29" s="2">
        <v>40757</v>
      </c>
      <c r="D29">
        <v>56</v>
      </c>
      <c r="E29" s="22" t="s">
        <v>82</v>
      </c>
      <c r="F29" s="4" t="s">
        <v>332</v>
      </c>
      <c r="G29">
        <v>9</v>
      </c>
      <c r="H29">
        <v>6</v>
      </c>
      <c r="I29">
        <v>20</v>
      </c>
      <c r="K29">
        <v>5.63</v>
      </c>
      <c r="L29" s="10">
        <v>301</v>
      </c>
      <c r="M29" s="20" t="s">
        <v>50</v>
      </c>
      <c r="N29" s="20" t="s">
        <v>315</v>
      </c>
      <c r="O29">
        <v>29</v>
      </c>
      <c r="P29" s="20">
        <v>20</v>
      </c>
      <c r="Q29" s="20">
        <v>20</v>
      </c>
      <c r="S29">
        <v>5.3</v>
      </c>
      <c r="T29" s="10">
        <v>307</v>
      </c>
      <c r="U29">
        <v>76</v>
      </c>
      <c r="V29" s="20">
        <v>1334</v>
      </c>
    </row>
    <row r="30" spans="1:23" x14ac:dyDescent="0.2">
      <c r="A30">
        <v>2011</v>
      </c>
      <c r="B30" s="20" t="s">
        <v>46</v>
      </c>
      <c r="C30" s="2">
        <v>40757</v>
      </c>
      <c r="D30">
        <v>56</v>
      </c>
      <c r="E30" s="22" t="s">
        <v>60</v>
      </c>
      <c r="F30" s="4" t="s">
        <v>289</v>
      </c>
      <c r="G30">
        <v>90</v>
      </c>
      <c r="H30">
        <v>66</v>
      </c>
      <c r="I30">
        <v>77</v>
      </c>
      <c r="K30">
        <v>13.09</v>
      </c>
      <c r="L30" s="10">
        <v>103</v>
      </c>
      <c r="M30" s="20" t="s">
        <v>64</v>
      </c>
      <c r="N30" s="20" t="s">
        <v>333</v>
      </c>
      <c r="O30">
        <v>44</v>
      </c>
      <c r="P30" s="20">
        <v>34</v>
      </c>
      <c r="Q30" s="20">
        <v>26</v>
      </c>
      <c r="S30">
        <v>12.69</v>
      </c>
      <c r="T30" s="10">
        <v>100</v>
      </c>
      <c r="U30">
        <v>53</v>
      </c>
      <c r="V30" s="20">
        <v>1331</v>
      </c>
      <c r="W30" s="28" t="s">
        <v>334</v>
      </c>
    </row>
    <row r="31" spans="1:23" x14ac:dyDescent="0.2">
      <c r="A31">
        <v>2011</v>
      </c>
      <c r="B31" s="20" t="s">
        <v>46</v>
      </c>
      <c r="C31" s="2">
        <v>40757</v>
      </c>
      <c r="D31">
        <v>56</v>
      </c>
      <c r="E31" s="22" t="s">
        <v>60</v>
      </c>
      <c r="F31" s="4" t="s">
        <v>291</v>
      </c>
      <c r="G31" t="s">
        <v>1</v>
      </c>
      <c r="H31" t="s">
        <v>1</v>
      </c>
      <c r="I31" t="s">
        <v>1</v>
      </c>
      <c r="K31">
        <v>8.33</v>
      </c>
      <c r="L31" s="10">
        <v>195</v>
      </c>
      <c r="M31" s="20" t="s">
        <v>47</v>
      </c>
      <c r="N31" s="20" t="s">
        <v>298</v>
      </c>
      <c r="O31">
        <v>19</v>
      </c>
      <c r="P31" s="20">
        <v>10</v>
      </c>
      <c r="Q31" s="20">
        <v>14</v>
      </c>
      <c r="S31">
        <v>7.55</v>
      </c>
      <c r="T31" s="10">
        <v>191</v>
      </c>
      <c r="U31">
        <v>88</v>
      </c>
      <c r="V31" s="20">
        <v>1326</v>
      </c>
    </row>
    <row r="32" spans="1:23" x14ac:dyDescent="0.2">
      <c r="A32">
        <v>2011</v>
      </c>
      <c r="B32" s="20" t="s">
        <v>46</v>
      </c>
      <c r="C32" s="2">
        <v>40757</v>
      </c>
      <c r="D32">
        <v>56</v>
      </c>
      <c r="E32" s="22" t="s">
        <v>60</v>
      </c>
      <c r="F32" s="4" t="s">
        <v>295</v>
      </c>
      <c r="G32">
        <v>62</v>
      </c>
      <c r="H32">
        <v>27</v>
      </c>
      <c r="I32">
        <v>31</v>
      </c>
      <c r="K32">
        <v>2.7</v>
      </c>
      <c r="L32" s="10">
        <v>178</v>
      </c>
      <c r="M32" s="20" t="s">
        <v>335</v>
      </c>
      <c r="N32" s="20" t="s">
        <v>336</v>
      </c>
      <c r="O32">
        <v>40</v>
      </c>
      <c r="P32" s="20">
        <v>20</v>
      </c>
      <c r="Q32" s="20">
        <v>64</v>
      </c>
      <c r="S32">
        <v>3.77</v>
      </c>
      <c r="T32" s="10">
        <v>163</v>
      </c>
      <c r="U32">
        <v>132</v>
      </c>
      <c r="V32" s="20">
        <v>1332</v>
      </c>
    </row>
    <row r="33" spans="1:23" x14ac:dyDescent="0.2">
      <c r="A33">
        <v>2011</v>
      </c>
      <c r="B33" s="20" t="s">
        <v>46</v>
      </c>
      <c r="C33" s="2">
        <v>40757</v>
      </c>
      <c r="D33">
        <v>56</v>
      </c>
      <c r="E33" s="22" t="s">
        <v>52</v>
      </c>
      <c r="F33" s="4" t="s">
        <v>307</v>
      </c>
      <c r="G33">
        <v>50</v>
      </c>
      <c r="H33">
        <v>30</v>
      </c>
      <c r="I33">
        <v>77</v>
      </c>
      <c r="K33">
        <v>16.03</v>
      </c>
      <c r="L33" s="10">
        <v>18</v>
      </c>
      <c r="M33" s="20" t="s">
        <v>61</v>
      </c>
      <c r="N33" s="20" t="s">
        <v>318</v>
      </c>
      <c r="O33" s="20">
        <v>24</v>
      </c>
      <c r="P33" s="20">
        <v>17</v>
      </c>
      <c r="Q33" s="20">
        <v>48</v>
      </c>
      <c r="S33">
        <v>16.46</v>
      </c>
      <c r="T33" s="10">
        <v>16</v>
      </c>
      <c r="U33">
        <v>78</v>
      </c>
      <c r="V33" s="20">
        <v>1329</v>
      </c>
      <c r="W33" s="28" t="s">
        <v>337</v>
      </c>
    </row>
    <row r="34" spans="1:23" x14ac:dyDescent="0.2">
      <c r="A34">
        <v>2011</v>
      </c>
      <c r="B34" s="20" t="s">
        <v>46</v>
      </c>
      <c r="C34" s="2">
        <v>40757</v>
      </c>
      <c r="D34">
        <v>56</v>
      </c>
      <c r="E34" s="22" t="s">
        <v>52</v>
      </c>
      <c r="F34" s="4" t="s">
        <v>307</v>
      </c>
      <c r="G34">
        <v>156</v>
      </c>
      <c r="H34">
        <v>52</v>
      </c>
      <c r="I34">
        <v>140</v>
      </c>
      <c r="K34">
        <v>16.03</v>
      </c>
      <c r="L34" s="10">
        <v>18</v>
      </c>
      <c r="M34" s="20" t="s">
        <v>61</v>
      </c>
      <c r="N34" s="20" t="s">
        <v>318</v>
      </c>
      <c r="O34">
        <v>24</v>
      </c>
      <c r="P34" s="20">
        <v>17</v>
      </c>
      <c r="Q34" s="20">
        <v>48</v>
      </c>
      <c r="S34">
        <v>16.46</v>
      </c>
      <c r="T34" s="10">
        <v>16</v>
      </c>
      <c r="U34">
        <v>78</v>
      </c>
      <c r="V34" s="20">
        <v>1329</v>
      </c>
    </row>
    <row r="35" spans="1:23" x14ac:dyDescent="0.2">
      <c r="A35">
        <v>2011</v>
      </c>
      <c r="B35" s="20" t="s">
        <v>46</v>
      </c>
      <c r="C35" s="2">
        <v>40757</v>
      </c>
      <c r="D35">
        <v>56</v>
      </c>
      <c r="E35" s="22" t="s">
        <v>180</v>
      </c>
      <c r="F35" s="4" t="s">
        <v>324</v>
      </c>
      <c r="G35">
        <v>103</v>
      </c>
      <c r="H35">
        <v>70</v>
      </c>
      <c r="I35">
        <v>84</v>
      </c>
      <c r="K35">
        <v>4.8099999999999996</v>
      </c>
      <c r="L35" s="10">
        <v>250</v>
      </c>
      <c r="M35" s="20" t="s">
        <v>64</v>
      </c>
      <c r="N35" s="20" t="s">
        <v>338</v>
      </c>
      <c r="O35">
        <v>60</v>
      </c>
      <c r="P35" s="20">
        <v>70</v>
      </c>
      <c r="Q35" s="20">
        <v>70</v>
      </c>
      <c r="S35">
        <v>4.7</v>
      </c>
      <c r="T35" s="10">
        <v>258</v>
      </c>
      <c r="U35">
        <v>63</v>
      </c>
      <c r="V35" s="20">
        <v>1333</v>
      </c>
    </row>
    <row r="36" spans="1:23" x14ac:dyDescent="0.2">
      <c r="A36">
        <v>2011</v>
      </c>
      <c r="B36" s="20" t="s">
        <v>46</v>
      </c>
      <c r="C36" s="2">
        <v>40757</v>
      </c>
      <c r="D36">
        <v>56</v>
      </c>
      <c r="E36" s="22" t="s">
        <v>180</v>
      </c>
      <c r="F36" s="4" t="s">
        <v>339</v>
      </c>
      <c r="G36">
        <v>26</v>
      </c>
      <c r="H36">
        <v>24</v>
      </c>
      <c r="I36">
        <v>37</v>
      </c>
      <c r="K36">
        <v>4.9400000000000004</v>
      </c>
      <c r="L36" s="10">
        <v>245</v>
      </c>
      <c r="M36" s="20" t="s">
        <v>64</v>
      </c>
      <c r="N36" s="20" t="s">
        <v>338</v>
      </c>
      <c r="O36">
        <v>60</v>
      </c>
      <c r="P36" s="20">
        <v>70</v>
      </c>
      <c r="Q36" s="20">
        <v>70</v>
      </c>
      <c r="S36">
        <v>4.7</v>
      </c>
      <c r="T36" s="10">
        <v>258</v>
      </c>
      <c r="U36">
        <v>100</v>
      </c>
      <c r="V36" s="20">
        <v>1333</v>
      </c>
      <c r="W36" s="28" t="s">
        <v>340</v>
      </c>
    </row>
    <row r="37" spans="1:23" x14ac:dyDescent="0.2">
      <c r="A37">
        <v>2011</v>
      </c>
      <c r="B37" s="20" t="s">
        <v>46</v>
      </c>
      <c r="C37" s="2">
        <v>40757</v>
      </c>
      <c r="D37">
        <v>56</v>
      </c>
      <c r="E37" s="22" t="s">
        <v>87</v>
      </c>
      <c r="F37" s="4" t="s">
        <v>326</v>
      </c>
      <c r="G37">
        <v>3</v>
      </c>
      <c r="H37">
        <v>4</v>
      </c>
      <c r="I37">
        <v>7</v>
      </c>
      <c r="K37">
        <v>8.48</v>
      </c>
      <c r="L37" s="10">
        <v>176</v>
      </c>
      <c r="M37" s="20" t="s">
        <v>47</v>
      </c>
      <c r="N37" s="20" t="s">
        <v>298</v>
      </c>
      <c r="O37">
        <v>19</v>
      </c>
      <c r="P37" s="20">
        <v>10</v>
      </c>
      <c r="Q37" s="20">
        <v>14</v>
      </c>
      <c r="S37">
        <v>7.55</v>
      </c>
      <c r="T37" s="10">
        <v>191</v>
      </c>
      <c r="U37">
        <v>118</v>
      </c>
      <c r="V37" s="20">
        <v>1326</v>
      </c>
      <c r="W37" s="28" t="s">
        <v>341</v>
      </c>
    </row>
    <row r="38" spans="1:23" x14ac:dyDescent="0.2">
      <c r="A38">
        <v>2011</v>
      </c>
      <c r="B38" s="20" t="s">
        <v>46</v>
      </c>
      <c r="C38" s="2">
        <v>40757</v>
      </c>
      <c r="D38">
        <v>56</v>
      </c>
      <c r="E38" s="22" t="s">
        <v>87</v>
      </c>
      <c r="F38" s="4" t="s">
        <v>330</v>
      </c>
      <c r="G38">
        <v>8</v>
      </c>
      <c r="H38">
        <v>9</v>
      </c>
      <c r="I38">
        <v>12</v>
      </c>
      <c r="K38">
        <v>2.0299999999999998</v>
      </c>
      <c r="L38" s="10">
        <v>338</v>
      </c>
      <c r="M38" s="20" t="s">
        <v>47</v>
      </c>
      <c r="N38" s="20" t="s">
        <v>325</v>
      </c>
      <c r="O38">
        <v>16</v>
      </c>
      <c r="P38" s="20">
        <v>6</v>
      </c>
      <c r="Q38" s="20">
        <v>17</v>
      </c>
      <c r="S38">
        <v>2.44</v>
      </c>
      <c r="T38" s="10">
        <v>333</v>
      </c>
      <c r="U38">
        <v>32</v>
      </c>
      <c r="V38" s="20">
        <v>1335</v>
      </c>
      <c r="W38" s="28" t="s">
        <v>342</v>
      </c>
    </row>
    <row r="39" spans="1:23" x14ac:dyDescent="0.2">
      <c r="A39">
        <v>2011</v>
      </c>
      <c r="B39" s="20" t="s">
        <v>46</v>
      </c>
      <c r="C39" s="2">
        <v>40757</v>
      </c>
      <c r="D39">
        <v>56</v>
      </c>
      <c r="E39" s="22" t="s">
        <v>87</v>
      </c>
      <c r="F39" s="4" t="s">
        <v>331</v>
      </c>
      <c r="G39" t="s">
        <v>1</v>
      </c>
      <c r="H39" t="s">
        <v>1</v>
      </c>
      <c r="I39" t="s">
        <v>1</v>
      </c>
      <c r="K39">
        <v>6.46</v>
      </c>
      <c r="L39" s="10">
        <v>6</v>
      </c>
      <c r="M39" s="20" t="s">
        <v>54</v>
      </c>
      <c r="N39" s="20" t="s">
        <v>343</v>
      </c>
      <c r="O39" s="20">
        <v>4</v>
      </c>
      <c r="P39" s="20">
        <v>5</v>
      </c>
      <c r="Q39" s="20">
        <v>27</v>
      </c>
      <c r="S39">
        <v>7.58</v>
      </c>
      <c r="T39" s="10">
        <v>11</v>
      </c>
      <c r="U39">
        <v>146</v>
      </c>
      <c r="V39" s="20">
        <v>1328</v>
      </c>
      <c r="W39" s="28" t="s">
        <v>344</v>
      </c>
    </row>
    <row r="40" spans="1:23" x14ac:dyDescent="0.2">
      <c r="A40">
        <v>2011</v>
      </c>
      <c r="B40" s="20" t="s">
        <v>46</v>
      </c>
      <c r="C40" s="2">
        <v>40757</v>
      </c>
      <c r="D40">
        <v>56</v>
      </c>
      <c r="E40" s="22" t="s">
        <v>56</v>
      </c>
      <c r="F40" s="4" t="s">
        <v>345</v>
      </c>
      <c r="G40">
        <v>17</v>
      </c>
      <c r="H40">
        <v>14</v>
      </c>
      <c r="I40">
        <v>22</v>
      </c>
      <c r="K40">
        <v>12.39</v>
      </c>
      <c r="L40" s="10">
        <v>98</v>
      </c>
      <c r="M40" s="20" t="s">
        <v>64</v>
      </c>
      <c r="N40" s="20" t="s">
        <v>333</v>
      </c>
      <c r="O40">
        <v>44</v>
      </c>
      <c r="P40" s="20">
        <v>34</v>
      </c>
      <c r="Q40" s="20">
        <v>26</v>
      </c>
      <c r="S40">
        <v>12.69</v>
      </c>
      <c r="T40" s="10">
        <v>100</v>
      </c>
      <c r="U40">
        <v>40</v>
      </c>
      <c r="V40" s="20">
        <v>1331</v>
      </c>
      <c r="W40" s="28" t="s">
        <v>346</v>
      </c>
    </row>
    <row r="41" spans="1:23" x14ac:dyDescent="0.2">
      <c r="A41">
        <v>2011</v>
      </c>
      <c r="B41" s="20" t="s">
        <v>46</v>
      </c>
      <c r="C41" s="2">
        <v>40757</v>
      </c>
      <c r="D41">
        <v>56</v>
      </c>
      <c r="E41" s="22" t="s">
        <v>56</v>
      </c>
      <c r="F41" s="4" t="s">
        <v>347</v>
      </c>
      <c r="G41">
        <v>7</v>
      </c>
      <c r="H41">
        <v>3</v>
      </c>
      <c r="I41">
        <v>7</v>
      </c>
      <c r="K41">
        <v>2.42</v>
      </c>
      <c r="L41" s="10">
        <v>339</v>
      </c>
      <c r="M41" s="20" t="s">
        <v>47</v>
      </c>
      <c r="N41" s="20" t="s">
        <v>325</v>
      </c>
      <c r="O41">
        <v>16</v>
      </c>
      <c r="P41" s="20">
        <v>6</v>
      </c>
      <c r="Q41" s="20">
        <v>17</v>
      </c>
      <c r="S41">
        <v>2.44</v>
      </c>
      <c r="T41" s="10">
        <v>333</v>
      </c>
      <c r="U41">
        <v>29</v>
      </c>
      <c r="V41" s="20">
        <v>1335</v>
      </c>
      <c r="W41" s="28" t="s">
        <v>348</v>
      </c>
    </row>
    <row r="42" spans="1:23" x14ac:dyDescent="0.2">
      <c r="A42">
        <v>2011</v>
      </c>
      <c r="B42" s="20" t="s">
        <v>46</v>
      </c>
      <c r="C42" s="2">
        <v>40757</v>
      </c>
      <c r="D42">
        <v>56</v>
      </c>
      <c r="E42" s="22" t="s">
        <v>56</v>
      </c>
      <c r="F42" s="4" t="s">
        <v>349</v>
      </c>
      <c r="G42" t="s">
        <v>1</v>
      </c>
      <c r="H42" t="s">
        <v>1</v>
      </c>
      <c r="I42" t="s">
        <v>1</v>
      </c>
      <c r="K42">
        <v>2.0099999999999998</v>
      </c>
      <c r="L42" s="10">
        <v>42</v>
      </c>
      <c r="M42" s="20" t="s">
        <v>50</v>
      </c>
      <c r="N42" s="20" t="s">
        <v>292</v>
      </c>
      <c r="O42">
        <v>38</v>
      </c>
      <c r="P42" s="20">
        <v>32</v>
      </c>
      <c r="Q42" s="20">
        <v>30</v>
      </c>
      <c r="S42">
        <v>2.27</v>
      </c>
      <c r="T42" s="10">
        <v>32</v>
      </c>
      <c r="U42">
        <v>44</v>
      </c>
      <c r="V42" s="20">
        <v>1330</v>
      </c>
      <c r="W42" s="28" t="s">
        <v>350</v>
      </c>
    </row>
    <row r="43" spans="1:23" x14ac:dyDescent="0.2">
      <c r="A43">
        <v>2011</v>
      </c>
      <c r="B43" s="20" t="s">
        <v>46</v>
      </c>
      <c r="C43" s="2">
        <v>40744</v>
      </c>
      <c r="D43">
        <v>59</v>
      </c>
      <c r="E43" s="22" t="s">
        <v>82</v>
      </c>
      <c r="F43" s="23" t="s">
        <v>332</v>
      </c>
      <c r="G43" s="20">
        <v>327</v>
      </c>
      <c r="H43" s="20">
        <v>275</v>
      </c>
      <c r="I43" s="20">
        <v>146</v>
      </c>
      <c r="K43">
        <v>7.73</v>
      </c>
      <c r="L43" s="10">
        <v>234</v>
      </c>
      <c r="M43" s="20" t="s">
        <v>64</v>
      </c>
      <c r="N43" s="20" t="s">
        <v>338</v>
      </c>
      <c r="O43" s="20">
        <v>80</v>
      </c>
      <c r="P43" s="20">
        <v>113</v>
      </c>
      <c r="Q43" s="20">
        <v>186</v>
      </c>
      <c r="S43">
        <v>9.24</v>
      </c>
      <c r="T43" s="10">
        <v>233</v>
      </c>
      <c r="U43">
        <v>130</v>
      </c>
      <c r="V43" s="20">
        <v>1059</v>
      </c>
      <c r="W43" s="28" t="s">
        <v>351</v>
      </c>
    </row>
    <row r="44" spans="1:23" x14ac:dyDescent="0.2">
      <c r="A44">
        <v>2011</v>
      </c>
      <c r="B44" s="20" t="s">
        <v>46</v>
      </c>
      <c r="C44" s="2">
        <v>40744</v>
      </c>
      <c r="D44">
        <v>59</v>
      </c>
      <c r="E44" s="22" t="s">
        <v>60</v>
      </c>
      <c r="F44" s="23" t="s">
        <v>291</v>
      </c>
      <c r="G44" s="20">
        <v>84</v>
      </c>
      <c r="H44" s="20">
        <v>112</v>
      </c>
      <c r="I44" s="20">
        <v>50</v>
      </c>
      <c r="K44">
        <v>15.64</v>
      </c>
      <c r="L44" s="10">
        <v>294</v>
      </c>
      <c r="M44" s="20" t="s">
        <v>47</v>
      </c>
      <c r="N44" s="20" t="s">
        <v>308</v>
      </c>
      <c r="O44" s="20">
        <v>33</v>
      </c>
      <c r="P44" s="20">
        <v>32</v>
      </c>
      <c r="Q44" s="20">
        <v>23</v>
      </c>
      <c r="S44">
        <v>15.5</v>
      </c>
      <c r="T44" s="10">
        <v>291</v>
      </c>
      <c r="U44">
        <v>66</v>
      </c>
      <c r="V44" s="20">
        <v>1063</v>
      </c>
      <c r="W44" s="28" t="s">
        <v>352</v>
      </c>
    </row>
    <row r="45" spans="1:23" x14ac:dyDescent="0.2">
      <c r="A45">
        <v>2011</v>
      </c>
      <c r="B45" s="20" t="s">
        <v>46</v>
      </c>
      <c r="C45" s="2">
        <v>40744</v>
      </c>
      <c r="D45">
        <v>59</v>
      </c>
      <c r="E45" s="22" t="s">
        <v>353</v>
      </c>
      <c r="F45" s="23" t="s">
        <v>354</v>
      </c>
      <c r="G45" s="20">
        <v>63</v>
      </c>
      <c r="H45" s="20">
        <v>55</v>
      </c>
      <c r="I45" s="20">
        <v>128</v>
      </c>
      <c r="K45">
        <v>8.58</v>
      </c>
      <c r="L45" s="10">
        <v>0</v>
      </c>
      <c r="M45" s="20" t="s">
        <v>64</v>
      </c>
      <c r="N45" s="20" t="s">
        <v>333</v>
      </c>
      <c r="O45" s="20">
        <v>71</v>
      </c>
      <c r="P45" s="20">
        <v>48</v>
      </c>
      <c r="Q45" s="20">
        <v>70</v>
      </c>
      <c r="S45">
        <v>8.9</v>
      </c>
      <c r="T45" s="10">
        <v>358</v>
      </c>
      <c r="U45">
        <v>30</v>
      </c>
      <c r="V45" s="20">
        <v>1046</v>
      </c>
      <c r="W45" s="28" t="s">
        <v>355</v>
      </c>
    </row>
    <row r="46" spans="1:23" x14ac:dyDescent="0.2">
      <c r="A46">
        <v>2011</v>
      </c>
      <c r="B46" s="20" t="s">
        <v>46</v>
      </c>
      <c r="C46" s="2">
        <v>40744</v>
      </c>
      <c r="D46">
        <v>59</v>
      </c>
      <c r="E46" s="22" t="s">
        <v>353</v>
      </c>
      <c r="F46" s="23" t="s">
        <v>356</v>
      </c>
      <c r="G46" s="20">
        <v>58</v>
      </c>
      <c r="H46" s="20">
        <v>33</v>
      </c>
      <c r="I46" s="20">
        <v>82</v>
      </c>
      <c r="K46">
        <v>15.15</v>
      </c>
      <c r="L46" s="10">
        <v>275</v>
      </c>
      <c r="M46" s="20" t="s">
        <v>61</v>
      </c>
      <c r="N46" s="20" t="s">
        <v>318</v>
      </c>
      <c r="O46" s="20">
        <v>60</v>
      </c>
      <c r="P46" s="20">
        <v>42</v>
      </c>
      <c r="Q46" s="20">
        <v>63</v>
      </c>
      <c r="S46">
        <v>15.64</v>
      </c>
      <c r="T46" s="10">
        <v>273</v>
      </c>
      <c r="U46">
        <v>106</v>
      </c>
      <c r="V46" s="20">
        <v>1062</v>
      </c>
      <c r="W46" s="28" t="s">
        <v>357</v>
      </c>
    </row>
    <row r="47" spans="1:23" x14ac:dyDescent="0.2">
      <c r="A47">
        <v>2011</v>
      </c>
      <c r="B47" s="20" t="s">
        <v>46</v>
      </c>
      <c r="C47" s="2">
        <v>40744</v>
      </c>
      <c r="D47">
        <v>59</v>
      </c>
      <c r="E47" s="22" t="s">
        <v>181</v>
      </c>
      <c r="F47" s="23" t="s">
        <v>358</v>
      </c>
      <c r="G47" s="20">
        <v>100</v>
      </c>
      <c r="H47" s="20">
        <v>92</v>
      </c>
      <c r="I47" s="20">
        <v>66</v>
      </c>
      <c r="K47">
        <v>10.5</v>
      </c>
      <c r="L47" s="10">
        <v>182</v>
      </c>
      <c r="M47" s="20" t="s">
        <v>85</v>
      </c>
      <c r="N47" s="20" t="s">
        <v>359</v>
      </c>
      <c r="O47" s="20">
        <v>25</v>
      </c>
      <c r="P47" s="20">
        <v>25</v>
      </c>
      <c r="Q47" s="20">
        <v>54</v>
      </c>
      <c r="S47">
        <v>9.8800000000000008</v>
      </c>
      <c r="T47" s="10">
        <v>184</v>
      </c>
      <c r="U47">
        <v>59</v>
      </c>
      <c r="V47" s="20">
        <v>1057</v>
      </c>
      <c r="W47" s="28" t="s">
        <v>360</v>
      </c>
    </row>
    <row r="48" spans="1:23" x14ac:dyDescent="0.2">
      <c r="A48">
        <v>2011</v>
      </c>
      <c r="B48" s="20" t="s">
        <v>46</v>
      </c>
      <c r="C48" s="2">
        <v>40744</v>
      </c>
      <c r="D48">
        <v>59</v>
      </c>
      <c r="E48" s="22" t="s">
        <v>53</v>
      </c>
      <c r="F48" s="23" t="s">
        <v>361</v>
      </c>
      <c r="G48" s="20">
        <v>127</v>
      </c>
      <c r="H48" s="20">
        <v>101</v>
      </c>
      <c r="I48" s="20">
        <v>98</v>
      </c>
      <c r="K48">
        <v>6.73</v>
      </c>
      <c r="L48" s="10">
        <v>10</v>
      </c>
      <c r="M48" s="20" t="s">
        <v>75</v>
      </c>
      <c r="N48" s="20" t="s">
        <v>290</v>
      </c>
      <c r="O48" s="20">
        <v>34</v>
      </c>
      <c r="P48" s="20">
        <v>29</v>
      </c>
      <c r="Q48" s="20">
        <v>42</v>
      </c>
      <c r="S48">
        <v>7.39</v>
      </c>
      <c r="T48" s="10">
        <v>8</v>
      </c>
      <c r="U48">
        <v>71</v>
      </c>
      <c r="V48" s="20">
        <v>1051</v>
      </c>
      <c r="W48" s="28" t="s">
        <v>362</v>
      </c>
    </row>
    <row r="49" spans="1:23" x14ac:dyDescent="0.2">
      <c r="A49">
        <v>2011</v>
      </c>
      <c r="B49" s="20" t="s">
        <v>46</v>
      </c>
      <c r="C49" s="2">
        <v>40744</v>
      </c>
      <c r="D49">
        <v>59</v>
      </c>
      <c r="E49" s="22" t="s">
        <v>53</v>
      </c>
      <c r="F49" s="23" t="s">
        <v>299</v>
      </c>
      <c r="G49" s="20">
        <v>230</v>
      </c>
      <c r="H49" s="20">
        <v>144</v>
      </c>
      <c r="I49" s="31">
        <v>140</v>
      </c>
      <c r="K49">
        <v>10.17</v>
      </c>
      <c r="L49" s="10">
        <v>28</v>
      </c>
      <c r="M49" s="20" t="s">
        <v>64</v>
      </c>
      <c r="N49" s="20" t="s">
        <v>363</v>
      </c>
      <c r="O49" s="20">
        <v>37</v>
      </c>
      <c r="P49" s="20">
        <v>26</v>
      </c>
      <c r="Q49" s="20">
        <v>91</v>
      </c>
      <c r="S49">
        <v>10.26</v>
      </c>
      <c r="T49" s="10">
        <v>25</v>
      </c>
      <c r="U49">
        <v>58</v>
      </c>
      <c r="V49" s="20">
        <v>1052</v>
      </c>
      <c r="W49" s="28" t="s">
        <v>364</v>
      </c>
    </row>
    <row r="50" spans="1:23" x14ac:dyDescent="0.2">
      <c r="A50">
        <v>2011</v>
      </c>
      <c r="B50" s="20" t="s">
        <v>46</v>
      </c>
      <c r="C50" s="2">
        <v>40744</v>
      </c>
      <c r="D50">
        <v>59</v>
      </c>
      <c r="E50" s="22" t="s">
        <v>53</v>
      </c>
      <c r="F50" s="23" t="s">
        <v>303</v>
      </c>
      <c r="G50" s="20">
        <v>59</v>
      </c>
      <c r="H50" s="20">
        <v>53</v>
      </c>
      <c r="I50" s="20">
        <v>60</v>
      </c>
      <c r="K50">
        <v>17.54</v>
      </c>
      <c r="L50" s="10">
        <v>155</v>
      </c>
      <c r="M50" s="20" t="s">
        <v>85</v>
      </c>
      <c r="N50" s="20" t="s">
        <v>365</v>
      </c>
      <c r="O50" s="31">
        <v>44</v>
      </c>
      <c r="P50" s="20">
        <v>30</v>
      </c>
      <c r="Q50" s="20">
        <v>52</v>
      </c>
      <c r="S50">
        <v>17.260000000000002</v>
      </c>
      <c r="T50" s="10">
        <v>153</v>
      </c>
      <c r="U50">
        <v>24</v>
      </c>
      <c r="V50" s="20">
        <v>1056</v>
      </c>
    </row>
    <row r="51" spans="1:23" x14ac:dyDescent="0.2">
      <c r="A51">
        <v>2011</v>
      </c>
      <c r="B51" s="20" t="s">
        <v>46</v>
      </c>
      <c r="C51" s="2">
        <v>40744</v>
      </c>
      <c r="D51">
        <v>59</v>
      </c>
      <c r="E51" s="22" t="s">
        <v>52</v>
      </c>
      <c r="F51" s="23" t="s">
        <v>307</v>
      </c>
      <c r="G51" s="20">
        <v>95</v>
      </c>
      <c r="H51" s="20">
        <v>56</v>
      </c>
      <c r="I51" s="31">
        <v>100</v>
      </c>
      <c r="K51">
        <v>16.16</v>
      </c>
      <c r="L51" s="10">
        <v>263</v>
      </c>
      <c r="M51" s="20" t="s">
        <v>68</v>
      </c>
      <c r="N51" s="20" t="s">
        <v>366</v>
      </c>
      <c r="O51" s="20">
        <v>102</v>
      </c>
      <c r="P51" s="20">
        <v>69</v>
      </c>
      <c r="Q51" s="20">
        <v>43</v>
      </c>
      <c r="S51">
        <v>15.46</v>
      </c>
      <c r="T51" s="10">
        <v>262</v>
      </c>
      <c r="U51">
        <v>81</v>
      </c>
      <c r="V51" s="20">
        <v>1061</v>
      </c>
      <c r="W51" s="28" t="s">
        <v>367</v>
      </c>
    </row>
    <row r="52" spans="1:23" x14ac:dyDescent="0.2">
      <c r="A52">
        <v>2011</v>
      </c>
      <c r="B52" s="20" t="s">
        <v>46</v>
      </c>
      <c r="C52" s="2">
        <v>40744</v>
      </c>
      <c r="D52">
        <v>59</v>
      </c>
      <c r="E52" s="22" t="s">
        <v>52</v>
      </c>
      <c r="F52" s="23" t="s">
        <v>310</v>
      </c>
      <c r="G52" s="20">
        <v>90</v>
      </c>
      <c r="H52" s="20">
        <v>86</v>
      </c>
      <c r="I52" s="20">
        <v>110</v>
      </c>
      <c r="K52">
        <v>9.6300000000000008</v>
      </c>
      <c r="L52" s="10">
        <v>336</v>
      </c>
      <c r="M52" s="20" t="s">
        <v>47</v>
      </c>
      <c r="N52" s="20" t="s">
        <v>311</v>
      </c>
      <c r="O52" s="20">
        <v>57</v>
      </c>
      <c r="P52" s="20">
        <v>53</v>
      </c>
      <c r="Q52" s="20">
        <v>55</v>
      </c>
      <c r="S52">
        <v>9.94</v>
      </c>
      <c r="T52" s="10">
        <v>337</v>
      </c>
      <c r="U52">
        <v>39</v>
      </c>
      <c r="V52" s="20" t="s">
        <v>368</v>
      </c>
      <c r="W52" s="28" t="s">
        <v>369</v>
      </c>
    </row>
    <row r="53" spans="1:23" x14ac:dyDescent="0.2">
      <c r="A53">
        <v>2011</v>
      </c>
      <c r="B53" s="20" t="s">
        <v>46</v>
      </c>
      <c r="C53" s="2">
        <v>40744</v>
      </c>
      <c r="D53">
        <v>59</v>
      </c>
      <c r="E53" s="22" t="s">
        <v>87</v>
      </c>
      <c r="F53" s="23" t="s">
        <v>326</v>
      </c>
      <c r="G53" s="20">
        <v>37</v>
      </c>
      <c r="H53" s="20">
        <v>23</v>
      </c>
      <c r="I53" s="20">
        <v>85</v>
      </c>
      <c r="K53">
        <v>11.94</v>
      </c>
      <c r="L53" s="10">
        <v>68</v>
      </c>
      <c r="M53" s="20" t="s">
        <v>47</v>
      </c>
      <c r="N53" s="20" t="s">
        <v>298</v>
      </c>
      <c r="O53" s="20">
        <v>39</v>
      </c>
      <c r="P53" s="20">
        <v>36</v>
      </c>
      <c r="Q53" s="20">
        <v>24</v>
      </c>
      <c r="S53">
        <v>11.7</v>
      </c>
      <c r="T53" s="10">
        <v>67</v>
      </c>
      <c r="U53">
        <v>46</v>
      </c>
      <c r="V53" s="20">
        <v>1053</v>
      </c>
      <c r="W53" s="28" t="s">
        <v>370</v>
      </c>
    </row>
    <row r="54" spans="1:23" x14ac:dyDescent="0.2">
      <c r="A54">
        <v>2011</v>
      </c>
      <c r="B54" s="20" t="s">
        <v>46</v>
      </c>
      <c r="C54" s="2">
        <v>40744</v>
      </c>
      <c r="D54">
        <v>59</v>
      </c>
      <c r="E54" s="22" t="s">
        <v>87</v>
      </c>
      <c r="F54" s="23" t="s">
        <v>327</v>
      </c>
      <c r="G54" s="20">
        <v>50</v>
      </c>
      <c r="H54" s="20">
        <v>35</v>
      </c>
      <c r="I54" s="20">
        <v>106</v>
      </c>
      <c r="K54">
        <v>16.89</v>
      </c>
      <c r="L54" s="10">
        <v>150</v>
      </c>
      <c r="M54" s="20" t="s">
        <v>47</v>
      </c>
      <c r="N54" s="20" t="s">
        <v>371</v>
      </c>
      <c r="O54" s="20">
        <v>71</v>
      </c>
      <c r="P54" s="20">
        <v>60</v>
      </c>
      <c r="Q54" s="20">
        <v>101</v>
      </c>
      <c r="S54">
        <v>16.39</v>
      </c>
      <c r="T54" s="10">
        <v>147</v>
      </c>
      <c r="U54">
        <v>94</v>
      </c>
      <c r="V54" s="20">
        <v>1055</v>
      </c>
      <c r="W54" s="28" t="s">
        <v>372</v>
      </c>
    </row>
    <row r="55" spans="1:23" x14ac:dyDescent="0.2">
      <c r="A55">
        <v>2011</v>
      </c>
      <c r="B55" s="20" t="s">
        <v>46</v>
      </c>
      <c r="C55" s="2">
        <v>40744</v>
      </c>
      <c r="D55">
        <v>59</v>
      </c>
      <c r="E55" s="22" t="s">
        <v>87</v>
      </c>
      <c r="F55" s="23" t="s">
        <v>329</v>
      </c>
      <c r="G55" s="20">
        <v>31</v>
      </c>
      <c r="H55" s="20">
        <v>16</v>
      </c>
      <c r="I55" s="20">
        <v>83</v>
      </c>
      <c r="K55">
        <v>11.07</v>
      </c>
      <c r="L55" s="10">
        <v>190</v>
      </c>
      <c r="M55" s="20" t="s">
        <v>62</v>
      </c>
      <c r="N55" s="20" t="s">
        <v>323</v>
      </c>
      <c r="O55" s="20">
        <v>67</v>
      </c>
      <c r="P55" s="20">
        <v>52</v>
      </c>
      <c r="Q55" s="20">
        <v>45</v>
      </c>
      <c r="S55">
        <v>11.28</v>
      </c>
      <c r="T55" s="10">
        <v>192</v>
      </c>
      <c r="U55">
        <v>54</v>
      </c>
      <c r="V55" s="20">
        <v>1058</v>
      </c>
    </row>
    <row r="56" spans="1:23" x14ac:dyDescent="0.2">
      <c r="A56">
        <v>2011</v>
      </c>
      <c r="B56" s="20" t="s">
        <v>46</v>
      </c>
      <c r="C56" s="2">
        <v>40744</v>
      </c>
      <c r="D56">
        <v>59</v>
      </c>
      <c r="E56" s="22" t="s">
        <v>87</v>
      </c>
      <c r="F56" s="23" t="s">
        <v>330</v>
      </c>
      <c r="G56" s="20">
        <v>39</v>
      </c>
      <c r="H56" s="20">
        <v>22</v>
      </c>
      <c r="I56" s="20">
        <v>69</v>
      </c>
      <c r="K56">
        <v>11.46</v>
      </c>
      <c r="L56" s="10">
        <v>235</v>
      </c>
      <c r="M56" s="20" t="s">
        <v>85</v>
      </c>
      <c r="N56" s="20" t="s">
        <v>373</v>
      </c>
      <c r="O56" s="20">
        <v>36</v>
      </c>
      <c r="P56" s="20">
        <v>30</v>
      </c>
      <c r="Q56" s="20">
        <v>51</v>
      </c>
      <c r="S56">
        <v>11.14</v>
      </c>
      <c r="T56" s="10">
        <v>235</v>
      </c>
      <c r="U56">
        <v>22</v>
      </c>
      <c r="V56" s="20">
        <v>1060</v>
      </c>
      <c r="W56" s="28" t="s">
        <v>374</v>
      </c>
    </row>
    <row r="57" spans="1:23" x14ac:dyDescent="0.2">
      <c r="A57">
        <v>2011</v>
      </c>
      <c r="B57" s="20" t="s">
        <v>46</v>
      </c>
      <c r="C57" s="2">
        <v>40744</v>
      </c>
      <c r="D57">
        <v>59</v>
      </c>
      <c r="E57" s="22" t="s">
        <v>87</v>
      </c>
      <c r="F57" s="23" t="s">
        <v>331</v>
      </c>
      <c r="G57" s="20">
        <v>31</v>
      </c>
      <c r="H57" s="20">
        <v>17</v>
      </c>
      <c r="I57" s="20">
        <v>51</v>
      </c>
      <c r="K57">
        <v>14.06</v>
      </c>
      <c r="L57" s="10">
        <v>273</v>
      </c>
      <c r="M57" s="20" t="s">
        <v>61</v>
      </c>
      <c r="N57" s="20" t="s">
        <v>318</v>
      </c>
      <c r="O57" s="20">
        <v>60</v>
      </c>
      <c r="P57" s="20">
        <v>42</v>
      </c>
      <c r="Q57" s="20">
        <v>63</v>
      </c>
      <c r="S57">
        <v>15.64</v>
      </c>
      <c r="T57" s="10">
        <v>273</v>
      </c>
      <c r="U57">
        <v>148</v>
      </c>
      <c r="V57" s="20">
        <v>1062</v>
      </c>
    </row>
    <row r="58" spans="1:23" x14ac:dyDescent="0.2">
      <c r="A58">
        <v>2011</v>
      </c>
      <c r="B58" s="20" t="s">
        <v>46</v>
      </c>
      <c r="C58" s="2">
        <v>40744</v>
      </c>
      <c r="D58">
        <v>59</v>
      </c>
      <c r="E58" s="22" t="s">
        <v>87</v>
      </c>
      <c r="F58" s="23" t="s">
        <v>375</v>
      </c>
      <c r="G58" s="20">
        <v>29</v>
      </c>
      <c r="H58" s="20">
        <v>21</v>
      </c>
      <c r="I58" s="20">
        <v>71</v>
      </c>
      <c r="K58">
        <v>15.1</v>
      </c>
      <c r="L58" s="10">
        <v>292</v>
      </c>
      <c r="M58" s="20" t="s">
        <v>47</v>
      </c>
      <c r="N58" s="20" t="s">
        <v>308</v>
      </c>
      <c r="O58" s="20">
        <v>33</v>
      </c>
      <c r="P58" s="20">
        <v>32</v>
      </c>
      <c r="Q58" s="20">
        <v>23</v>
      </c>
      <c r="S58">
        <v>15.5</v>
      </c>
      <c r="T58" s="10">
        <v>291</v>
      </c>
      <c r="U58">
        <v>25</v>
      </c>
      <c r="V58" s="20">
        <v>1063</v>
      </c>
      <c r="W58" s="28" t="s">
        <v>376</v>
      </c>
    </row>
    <row r="59" spans="1:23" x14ac:dyDescent="0.2">
      <c r="A59">
        <v>2011</v>
      </c>
      <c r="B59" s="20" t="s">
        <v>46</v>
      </c>
      <c r="C59" s="2">
        <v>40744</v>
      </c>
      <c r="D59">
        <v>59</v>
      </c>
      <c r="E59" s="22" t="s">
        <v>56</v>
      </c>
      <c r="F59" s="23" t="s">
        <v>345</v>
      </c>
      <c r="G59" s="20">
        <v>54</v>
      </c>
      <c r="H59" s="20">
        <v>47</v>
      </c>
      <c r="I59" s="20">
        <v>83</v>
      </c>
      <c r="K59">
        <v>14.74</v>
      </c>
      <c r="L59" s="10">
        <v>92</v>
      </c>
      <c r="M59" s="20" t="s">
        <v>47</v>
      </c>
      <c r="N59" s="20" t="s">
        <v>325</v>
      </c>
      <c r="O59" s="20">
        <v>76</v>
      </c>
      <c r="P59" s="20">
        <v>60</v>
      </c>
      <c r="Q59" s="20">
        <v>75</v>
      </c>
      <c r="S59">
        <v>14.34</v>
      </c>
      <c r="T59" s="10">
        <v>93</v>
      </c>
      <c r="U59">
        <v>51</v>
      </c>
      <c r="V59" s="20">
        <v>1054</v>
      </c>
      <c r="W59" s="28" t="s">
        <v>377</v>
      </c>
    </row>
    <row r="60" spans="1:23" x14ac:dyDescent="0.2">
      <c r="A60">
        <v>2011</v>
      </c>
      <c r="B60" s="20" t="s">
        <v>46</v>
      </c>
      <c r="C60" s="2">
        <v>40744</v>
      </c>
      <c r="D60">
        <v>59</v>
      </c>
      <c r="E60" s="22" t="s">
        <v>56</v>
      </c>
      <c r="F60" s="23" t="s">
        <v>378</v>
      </c>
      <c r="G60" s="20">
        <v>20</v>
      </c>
      <c r="H60" s="20">
        <v>18</v>
      </c>
      <c r="I60" s="20">
        <v>80</v>
      </c>
      <c r="K60">
        <v>11.43</v>
      </c>
      <c r="L60" s="10">
        <v>234</v>
      </c>
      <c r="M60" s="20" t="s">
        <v>85</v>
      </c>
      <c r="N60" s="20" t="s">
        <v>373</v>
      </c>
      <c r="O60" s="20">
        <v>36</v>
      </c>
      <c r="P60" s="20">
        <v>30</v>
      </c>
      <c r="Q60" s="20">
        <v>51</v>
      </c>
      <c r="S60">
        <v>11.14</v>
      </c>
      <c r="T60" s="10">
        <v>235</v>
      </c>
      <c r="U60">
        <v>47</v>
      </c>
      <c r="V60" s="20">
        <v>1060</v>
      </c>
      <c r="W60" s="28" t="s">
        <v>379</v>
      </c>
    </row>
    <row r="61" spans="1:23" x14ac:dyDescent="0.2">
      <c r="A61">
        <v>2011</v>
      </c>
      <c r="B61" s="20" t="s">
        <v>46</v>
      </c>
      <c r="C61" s="2">
        <v>40744</v>
      </c>
      <c r="D61">
        <v>59</v>
      </c>
      <c r="E61" s="22" t="s">
        <v>56</v>
      </c>
      <c r="F61" s="23" t="s">
        <v>347</v>
      </c>
      <c r="G61" s="20">
        <v>72</v>
      </c>
      <c r="H61" s="20">
        <v>40</v>
      </c>
      <c r="I61" s="20">
        <v>110</v>
      </c>
      <c r="K61">
        <v>5.9</v>
      </c>
      <c r="L61" s="10">
        <v>354</v>
      </c>
      <c r="M61" s="20" t="s">
        <v>85</v>
      </c>
      <c r="N61" s="20" t="s">
        <v>380</v>
      </c>
      <c r="O61" s="20">
        <v>155</v>
      </c>
      <c r="P61" s="20">
        <v>77</v>
      </c>
      <c r="Q61" s="20">
        <v>137</v>
      </c>
      <c r="S61">
        <v>5.33</v>
      </c>
      <c r="T61" s="10">
        <v>348</v>
      </c>
      <c r="U61">
        <v>94</v>
      </c>
      <c r="V61" s="20">
        <v>1068</v>
      </c>
      <c r="W61" s="28" t="s">
        <v>381</v>
      </c>
    </row>
    <row r="62" spans="1:23" x14ac:dyDescent="0.2">
      <c r="A62">
        <v>2011</v>
      </c>
      <c r="B62" s="20" t="s">
        <v>46</v>
      </c>
      <c r="C62" s="2">
        <v>40710</v>
      </c>
      <c r="D62">
        <v>96</v>
      </c>
      <c r="E62" s="9" t="s">
        <v>60</v>
      </c>
      <c r="F62" s="4" t="s">
        <v>289</v>
      </c>
      <c r="G62">
        <v>14</v>
      </c>
      <c r="H62">
        <v>11</v>
      </c>
      <c r="I62">
        <v>18</v>
      </c>
      <c r="K62">
        <v>13.89</v>
      </c>
      <c r="L62" s="10">
        <v>98</v>
      </c>
      <c r="M62" s="20" t="s">
        <v>51</v>
      </c>
      <c r="N62" s="20" t="s">
        <v>304</v>
      </c>
      <c r="O62" s="20">
        <v>20</v>
      </c>
      <c r="P62" s="20">
        <v>11</v>
      </c>
      <c r="Q62" s="20">
        <v>16</v>
      </c>
      <c r="S62">
        <v>14.35</v>
      </c>
      <c r="T62" s="10">
        <v>99</v>
      </c>
      <c r="U62">
        <v>70</v>
      </c>
      <c r="V62">
        <v>508</v>
      </c>
    </row>
    <row r="63" spans="1:23" x14ac:dyDescent="0.2">
      <c r="A63">
        <v>2011</v>
      </c>
      <c r="B63" s="20" t="s">
        <v>46</v>
      </c>
      <c r="C63" s="2">
        <v>40710</v>
      </c>
      <c r="D63">
        <v>96</v>
      </c>
      <c r="E63" s="9" t="s">
        <v>60</v>
      </c>
      <c r="F63" s="4" t="s">
        <v>291</v>
      </c>
      <c r="G63">
        <v>40</v>
      </c>
      <c r="H63">
        <v>35</v>
      </c>
      <c r="I63">
        <v>50</v>
      </c>
      <c r="K63">
        <v>16.600000000000001</v>
      </c>
      <c r="L63" s="10">
        <v>255</v>
      </c>
      <c r="M63" s="20" t="s">
        <v>72</v>
      </c>
      <c r="N63" s="20" t="s">
        <v>382</v>
      </c>
      <c r="O63" s="20">
        <v>26</v>
      </c>
      <c r="P63" s="20">
        <v>21</v>
      </c>
      <c r="Q63" s="20">
        <v>19</v>
      </c>
      <c r="S63">
        <v>17.21</v>
      </c>
      <c r="T63" s="10">
        <v>261</v>
      </c>
      <c r="U63">
        <v>131</v>
      </c>
      <c r="V63" t="s">
        <v>383</v>
      </c>
    </row>
    <row r="64" spans="1:23" x14ac:dyDescent="0.2">
      <c r="A64">
        <v>2011</v>
      </c>
      <c r="B64" s="20" t="s">
        <v>46</v>
      </c>
      <c r="C64" s="2">
        <v>40710</v>
      </c>
      <c r="D64">
        <v>96</v>
      </c>
      <c r="E64" s="9" t="s">
        <v>353</v>
      </c>
      <c r="F64" s="4" t="s">
        <v>354</v>
      </c>
      <c r="G64">
        <v>60</v>
      </c>
      <c r="H64">
        <v>38</v>
      </c>
      <c r="I64">
        <v>28</v>
      </c>
      <c r="K64">
        <v>10.55</v>
      </c>
      <c r="L64" s="10">
        <v>287</v>
      </c>
      <c r="M64" s="20" t="s">
        <v>47</v>
      </c>
      <c r="N64" s="20" t="s">
        <v>325</v>
      </c>
      <c r="O64" s="20">
        <v>31</v>
      </c>
      <c r="P64" s="20">
        <v>28</v>
      </c>
      <c r="Q64" s="20">
        <v>31</v>
      </c>
      <c r="S64">
        <v>10.65</v>
      </c>
      <c r="T64" s="10">
        <v>291</v>
      </c>
      <c r="U64">
        <v>64</v>
      </c>
      <c r="V64">
        <v>513</v>
      </c>
      <c r="W64" s="28" t="s">
        <v>384</v>
      </c>
    </row>
    <row r="65" spans="1:23" x14ac:dyDescent="0.2">
      <c r="A65">
        <v>2011</v>
      </c>
      <c r="B65" s="20" t="s">
        <v>46</v>
      </c>
      <c r="C65" s="2">
        <v>40710</v>
      </c>
      <c r="D65">
        <v>96</v>
      </c>
      <c r="E65" s="9" t="s">
        <v>353</v>
      </c>
      <c r="F65" s="4" t="s">
        <v>354</v>
      </c>
      <c r="G65">
        <v>60</v>
      </c>
      <c r="H65">
        <v>38</v>
      </c>
      <c r="I65">
        <v>28</v>
      </c>
      <c r="K65">
        <v>10.55</v>
      </c>
      <c r="L65" s="10">
        <v>287</v>
      </c>
      <c r="M65" s="20" t="s">
        <v>61</v>
      </c>
      <c r="N65" s="20" t="s">
        <v>318</v>
      </c>
      <c r="O65" s="20">
        <v>52</v>
      </c>
      <c r="P65" s="20">
        <v>51</v>
      </c>
      <c r="Q65" s="20">
        <v>70</v>
      </c>
      <c r="S65">
        <v>10.65</v>
      </c>
      <c r="T65" s="10">
        <v>296</v>
      </c>
      <c r="U65">
        <v>122</v>
      </c>
      <c r="V65">
        <v>513</v>
      </c>
      <c r="W65" s="28" t="s">
        <v>385</v>
      </c>
    </row>
    <row r="66" spans="1:23" x14ac:dyDescent="0.2">
      <c r="A66">
        <v>2011</v>
      </c>
      <c r="B66" s="20" t="s">
        <v>46</v>
      </c>
      <c r="C66" s="2">
        <v>40710</v>
      </c>
      <c r="D66">
        <v>96</v>
      </c>
      <c r="E66" s="9" t="s">
        <v>53</v>
      </c>
      <c r="F66" s="4" t="s">
        <v>361</v>
      </c>
      <c r="G66">
        <v>89</v>
      </c>
      <c r="H66">
        <v>50</v>
      </c>
      <c r="I66">
        <v>66</v>
      </c>
      <c r="K66">
        <v>4.99</v>
      </c>
      <c r="L66" s="10">
        <v>124</v>
      </c>
      <c r="M66" s="20" t="s">
        <v>47</v>
      </c>
      <c r="N66" s="20" t="s">
        <v>298</v>
      </c>
      <c r="O66" s="20">
        <v>51</v>
      </c>
      <c r="P66" s="20">
        <v>49</v>
      </c>
      <c r="Q66" s="20">
        <v>38</v>
      </c>
      <c r="S66">
        <v>5.15</v>
      </c>
      <c r="T66" s="10">
        <v>127</v>
      </c>
      <c r="U66">
        <v>40</v>
      </c>
      <c r="V66">
        <v>509</v>
      </c>
    </row>
    <row r="67" spans="1:23" x14ac:dyDescent="0.2">
      <c r="A67">
        <v>2011</v>
      </c>
      <c r="B67" s="20" t="s">
        <v>46</v>
      </c>
      <c r="C67" s="2">
        <v>40710</v>
      </c>
      <c r="D67">
        <v>96</v>
      </c>
      <c r="E67" s="9" t="s">
        <v>180</v>
      </c>
      <c r="F67" s="4" t="s">
        <v>324</v>
      </c>
      <c r="G67">
        <v>211</v>
      </c>
      <c r="H67">
        <v>136</v>
      </c>
      <c r="I67">
        <v>161</v>
      </c>
      <c r="K67">
        <v>11.14</v>
      </c>
      <c r="L67" s="10">
        <v>84</v>
      </c>
      <c r="M67" s="20" t="s">
        <v>72</v>
      </c>
      <c r="N67" s="20" t="s">
        <v>314</v>
      </c>
      <c r="O67" s="20">
        <v>44</v>
      </c>
      <c r="P67" s="20">
        <v>43</v>
      </c>
      <c r="Q67" s="20">
        <v>52</v>
      </c>
      <c r="S67">
        <v>10.37</v>
      </c>
      <c r="T67" s="10">
        <v>94</v>
      </c>
      <c r="U67">
        <v>154</v>
      </c>
      <c r="V67">
        <v>506</v>
      </c>
      <c r="W67" s="28" t="s">
        <v>386</v>
      </c>
    </row>
    <row r="68" spans="1:23" x14ac:dyDescent="0.2">
      <c r="A68">
        <v>2011</v>
      </c>
      <c r="B68" s="20" t="s">
        <v>46</v>
      </c>
      <c r="C68" s="2">
        <v>40710</v>
      </c>
      <c r="D68">
        <v>96</v>
      </c>
      <c r="E68" s="9" t="s">
        <v>180</v>
      </c>
      <c r="F68" s="33" t="s">
        <v>339</v>
      </c>
      <c r="G68">
        <v>154</v>
      </c>
      <c r="H68">
        <v>58</v>
      </c>
      <c r="I68">
        <v>60</v>
      </c>
      <c r="K68">
        <v>15.31</v>
      </c>
      <c r="L68" s="10">
        <v>92</v>
      </c>
      <c r="M68" s="20" t="s">
        <v>387</v>
      </c>
      <c r="N68" s="20" t="s">
        <v>388</v>
      </c>
      <c r="O68" s="20">
        <v>44</v>
      </c>
      <c r="P68" s="20">
        <v>41</v>
      </c>
      <c r="Q68" s="20">
        <v>47</v>
      </c>
      <c r="S68">
        <v>16.41</v>
      </c>
      <c r="T68" s="10">
        <v>93</v>
      </c>
      <c r="U68">
        <v>114</v>
      </c>
      <c r="V68">
        <v>507</v>
      </c>
      <c r="W68" s="28" t="s">
        <v>389</v>
      </c>
    </row>
    <row r="69" spans="1:23" x14ac:dyDescent="0.2">
      <c r="A69">
        <v>2011</v>
      </c>
      <c r="B69" s="20" t="s">
        <v>46</v>
      </c>
      <c r="C69" s="2">
        <v>40710</v>
      </c>
      <c r="D69">
        <v>96</v>
      </c>
      <c r="E69" s="9" t="s">
        <v>180</v>
      </c>
      <c r="F69" s="4" t="s">
        <v>390</v>
      </c>
      <c r="G69">
        <v>29</v>
      </c>
      <c r="H69">
        <v>22</v>
      </c>
      <c r="I69">
        <v>49</v>
      </c>
      <c r="K69">
        <v>17.87</v>
      </c>
      <c r="L69" s="10">
        <v>254</v>
      </c>
      <c r="M69" s="20" t="s">
        <v>72</v>
      </c>
      <c r="N69" s="20" t="s">
        <v>382</v>
      </c>
      <c r="O69" s="20">
        <v>26</v>
      </c>
      <c r="P69" s="20">
        <v>21</v>
      </c>
      <c r="Q69" s="20">
        <v>19</v>
      </c>
      <c r="S69">
        <v>17.21</v>
      </c>
      <c r="T69" s="10">
        <v>261</v>
      </c>
      <c r="U69">
        <v>124</v>
      </c>
      <c r="V69" t="s">
        <v>383</v>
      </c>
    </row>
    <row r="70" spans="1:23" x14ac:dyDescent="0.2">
      <c r="A70">
        <v>2011</v>
      </c>
      <c r="B70" s="20" t="s">
        <v>46</v>
      </c>
      <c r="C70" s="2">
        <v>40710</v>
      </c>
      <c r="D70">
        <v>96</v>
      </c>
      <c r="E70" s="9" t="s">
        <v>56</v>
      </c>
      <c r="F70" s="4" t="s">
        <v>347</v>
      </c>
      <c r="G70" t="s">
        <v>1</v>
      </c>
      <c r="H70" t="s">
        <v>1</v>
      </c>
      <c r="I70" t="s">
        <v>1</v>
      </c>
      <c r="K70">
        <v>5.54</v>
      </c>
      <c r="L70" s="10">
        <v>187</v>
      </c>
      <c r="M70" s="20" t="s">
        <v>47</v>
      </c>
      <c r="N70" s="20" t="s">
        <v>308</v>
      </c>
      <c r="O70" s="20">
        <v>17</v>
      </c>
      <c r="P70" s="20">
        <v>12</v>
      </c>
      <c r="Q70" s="20">
        <v>12</v>
      </c>
      <c r="S70">
        <v>5.09</v>
      </c>
      <c r="T70" s="10">
        <v>188</v>
      </c>
      <c r="U70">
        <v>40</v>
      </c>
      <c r="V70">
        <v>510</v>
      </c>
      <c r="W70" s="28" t="s">
        <v>391</v>
      </c>
    </row>
    <row r="71" spans="1:23" x14ac:dyDescent="0.2">
      <c r="A71">
        <v>2011</v>
      </c>
      <c r="B71" s="20" t="s">
        <v>46</v>
      </c>
      <c r="C71" s="2">
        <v>40757</v>
      </c>
      <c r="D71">
        <v>98</v>
      </c>
      <c r="E71" s="22" t="s">
        <v>82</v>
      </c>
      <c r="F71" s="4" t="s">
        <v>332</v>
      </c>
      <c r="G71">
        <v>200</v>
      </c>
      <c r="H71">
        <v>135</v>
      </c>
      <c r="I71">
        <v>75</v>
      </c>
      <c r="K71">
        <v>12.93</v>
      </c>
      <c r="L71" s="10">
        <v>44</v>
      </c>
      <c r="M71" s="20" t="s">
        <v>92</v>
      </c>
      <c r="N71" s="20" t="s">
        <v>392</v>
      </c>
      <c r="O71">
        <v>38</v>
      </c>
      <c r="P71" s="20">
        <v>38</v>
      </c>
      <c r="Q71" s="20">
        <v>41</v>
      </c>
      <c r="S71">
        <v>12.53</v>
      </c>
      <c r="T71" s="10">
        <v>47</v>
      </c>
      <c r="U71">
        <v>123</v>
      </c>
      <c r="V71" s="20">
        <v>1311</v>
      </c>
    </row>
    <row r="72" spans="1:23" x14ac:dyDescent="0.2">
      <c r="A72">
        <v>2011</v>
      </c>
      <c r="B72" s="20" t="s">
        <v>46</v>
      </c>
      <c r="C72" s="2">
        <v>40757</v>
      </c>
      <c r="D72">
        <v>98</v>
      </c>
      <c r="E72" s="22" t="s">
        <v>82</v>
      </c>
      <c r="F72" s="4" t="s">
        <v>393</v>
      </c>
      <c r="G72">
        <v>16</v>
      </c>
      <c r="H72">
        <v>13</v>
      </c>
      <c r="I72">
        <v>36</v>
      </c>
      <c r="K72">
        <v>8.09</v>
      </c>
      <c r="L72" s="10">
        <v>105</v>
      </c>
      <c r="M72" s="20" t="s">
        <v>47</v>
      </c>
      <c r="N72" s="20" t="s">
        <v>394</v>
      </c>
      <c r="O72" t="s">
        <v>1</v>
      </c>
      <c r="P72" t="s">
        <v>1</v>
      </c>
      <c r="Q72" t="s">
        <v>1</v>
      </c>
      <c r="S72">
        <v>8.1</v>
      </c>
      <c r="T72" s="10">
        <v>104</v>
      </c>
      <c r="U72">
        <v>19</v>
      </c>
      <c r="V72" s="20">
        <v>1313</v>
      </c>
      <c r="W72" s="28" t="s">
        <v>395</v>
      </c>
    </row>
    <row r="73" spans="1:23" x14ac:dyDescent="0.2">
      <c r="A73">
        <v>2011</v>
      </c>
      <c r="B73" s="20" t="s">
        <v>46</v>
      </c>
      <c r="C73" s="2">
        <v>40757</v>
      </c>
      <c r="D73">
        <v>98</v>
      </c>
      <c r="E73" s="22" t="s">
        <v>60</v>
      </c>
      <c r="F73" s="4" t="s">
        <v>289</v>
      </c>
      <c r="G73">
        <v>24</v>
      </c>
      <c r="H73">
        <v>12</v>
      </c>
      <c r="I73">
        <v>24</v>
      </c>
      <c r="K73">
        <v>9.41</v>
      </c>
      <c r="L73" s="10">
        <v>29</v>
      </c>
      <c r="M73" s="20" t="s">
        <v>64</v>
      </c>
      <c r="N73" s="20" t="s">
        <v>333</v>
      </c>
      <c r="O73">
        <v>19</v>
      </c>
      <c r="P73" s="20">
        <v>13</v>
      </c>
      <c r="Q73" s="20">
        <v>26</v>
      </c>
      <c r="S73">
        <v>10.47</v>
      </c>
      <c r="T73" s="10">
        <v>31</v>
      </c>
      <c r="U73">
        <v>117</v>
      </c>
      <c r="V73" s="20">
        <v>1309</v>
      </c>
      <c r="W73" s="28" t="s">
        <v>396</v>
      </c>
    </row>
    <row r="74" spans="1:23" x14ac:dyDescent="0.2">
      <c r="A74">
        <v>2011</v>
      </c>
      <c r="B74" s="20" t="s">
        <v>46</v>
      </c>
      <c r="C74" s="2">
        <v>40757</v>
      </c>
      <c r="D74">
        <v>98</v>
      </c>
      <c r="E74" s="22" t="s">
        <v>181</v>
      </c>
      <c r="F74" s="4" t="s">
        <v>358</v>
      </c>
      <c r="G74">
        <v>12</v>
      </c>
      <c r="H74">
        <v>10</v>
      </c>
      <c r="I74">
        <v>14</v>
      </c>
      <c r="K74">
        <v>16.59</v>
      </c>
      <c r="L74" s="10">
        <v>135</v>
      </c>
      <c r="M74" s="20" t="s">
        <v>64</v>
      </c>
      <c r="N74" s="20" t="s">
        <v>397</v>
      </c>
      <c r="O74">
        <v>13</v>
      </c>
      <c r="P74">
        <v>12</v>
      </c>
      <c r="Q74">
        <v>18</v>
      </c>
      <c r="S74">
        <v>15.59</v>
      </c>
      <c r="T74" s="10">
        <v>133</v>
      </c>
      <c r="U74">
        <v>32</v>
      </c>
      <c r="V74" s="20">
        <v>1316</v>
      </c>
      <c r="W74" s="28" t="s">
        <v>398</v>
      </c>
    </row>
    <row r="75" spans="1:23" x14ac:dyDescent="0.2">
      <c r="A75">
        <v>2011</v>
      </c>
      <c r="B75" s="20" t="s">
        <v>46</v>
      </c>
      <c r="C75" s="2">
        <v>40757</v>
      </c>
      <c r="D75">
        <v>98</v>
      </c>
      <c r="E75" s="22" t="s">
        <v>181</v>
      </c>
      <c r="F75" s="4" t="s">
        <v>399</v>
      </c>
      <c r="G75">
        <v>18</v>
      </c>
      <c r="H75">
        <v>18</v>
      </c>
      <c r="I75">
        <v>58</v>
      </c>
      <c r="K75">
        <v>16.559999999999999</v>
      </c>
      <c r="L75" s="10">
        <v>134</v>
      </c>
      <c r="M75" s="20" t="s">
        <v>64</v>
      </c>
      <c r="N75" s="20" t="s">
        <v>397</v>
      </c>
      <c r="O75">
        <v>13</v>
      </c>
      <c r="P75">
        <v>12</v>
      </c>
      <c r="Q75">
        <v>18</v>
      </c>
      <c r="S75">
        <v>15.59</v>
      </c>
      <c r="T75" s="10">
        <v>133</v>
      </c>
      <c r="U75">
        <v>11</v>
      </c>
      <c r="V75" s="20">
        <v>1316</v>
      </c>
      <c r="W75" s="28" t="s">
        <v>400</v>
      </c>
    </row>
    <row r="76" spans="1:23" x14ac:dyDescent="0.2">
      <c r="A76">
        <v>2011</v>
      </c>
      <c r="B76" s="20" t="s">
        <v>46</v>
      </c>
      <c r="C76" s="2">
        <v>40757</v>
      </c>
      <c r="D76">
        <v>98</v>
      </c>
      <c r="E76" s="22" t="s">
        <v>181</v>
      </c>
      <c r="F76" s="4" t="s">
        <v>401</v>
      </c>
      <c r="G76">
        <v>12</v>
      </c>
      <c r="H76">
        <v>12</v>
      </c>
      <c r="I76">
        <v>23</v>
      </c>
      <c r="K76">
        <v>15.97</v>
      </c>
      <c r="L76" s="10">
        <v>205</v>
      </c>
      <c r="M76" s="20" t="s">
        <v>72</v>
      </c>
      <c r="N76" s="20" t="s">
        <v>382</v>
      </c>
      <c r="O76">
        <v>27</v>
      </c>
      <c r="P76">
        <v>27</v>
      </c>
      <c r="Q76">
        <v>17</v>
      </c>
      <c r="S76">
        <v>16.55</v>
      </c>
      <c r="T76" s="10">
        <v>210</v>
      </c>
      <c r="U76">
        <v>96</v>
      </c>
      <c r="V76" s="20">
        <v>1317</v>
      </c>
    </row>
    <row r="77" spans="1:23" x14ac:dyDescent="0.2">
      <c r="A77">
        <v>2011</v>
      </c>
      <c r="B77" s="20" t="s">
        <v>46</v>
      </c>
      <c r="C77" s="2">
        <v>40757</v>
      </c>
      <c r="D77">
        <v>98</v>
      </c>
      <c r="E77" s="22" t="s">
        <v>53</v>
      </c>
      <c r="F77" s="4" t="s">
        <v>299</v>
      </c>
      <c r="G77">
        <v>26</v>
      </c>
      <c r="H77">
        <v>19</v>
      </c>
      <c r="I77">
        <v>29</v>
      </c>
      <c r="K77">
        <v>9.76</v>
      </c>
      <c r="L77" s="10">
        <v>223</v>
      </c>
      <c r="M77" s="20" t="s">
        <v>75</v>
      </c>
      <c r="N77" s="20" t="s">
        <v>290</v>
      </c>
      <c r="O77">
        <v>14</v>
      </c>
      <c r="P77">
        <v>9</v>
      </c>
      <c r="Q77">
        <v>9</v>
      </c>
      <c r="S77">
        <v>10.83</v>
      </c>
      <c r="T77" s="10">
        <v>222</v>
      </c>
      <c r="U77">
        <v>111</v>
      </c>
      <c r="V77" s="20">
        <v>1318</v>
      </c>
      <c r="W77" s="28" t="s">
        <v>402</v>
      </c>
    </row>
    <row r="78" spans="1:23" x14ac:dyDescent="0.2">
      <c r="A78">
        <v>2011</v>
      </c>
      <c r="B78" s="20" t="s">
        <v>46</v>
      </c>
      <c r="C78" s="2">
        <v>40757</v>
      </c>
      <c r="D78">
        <v>98</v>
      </c>
      <c r="E78" s="22" t="s">
        <v>52</v>
      </c>
      <c r="F78" s="4" t="s">
        <v>307</v>
      </c>
      <c r="G78">
        <v>6</v>
      </c>
      <c r="H78">
        <v>5</v>
      </c>
      <c r="I78">
        <v>14</v>
      </c>
      <c r="K78">
        <v>7.26</v>
      </c>
      <c r="L78" s="10">
        <v>232</v>
      </c>
      <c r="M78" s="20" t="s">
        <v>92</v>
      </c>
      <c r="N78" s="20" t="s">
        <v>403</v>
      </c>
      <c r="O78" t="s">
        <v>1</v>
      </c>
      <c r="P78" t="s">
        <v>1</v>
      </c>
      <c r="Q78" t="s">
        <v>1</v>
      </c>
      <c r="S78">
        <v>6.79</v>
      </c>
      <c r="T78" s="10">
        <v>236</v>
      </c>
      <c r="U78">
        <v>104</v>
      </c>
      <c r="V78" s="20">
        <v>1319</v>
      </c>
    </row>
    <row r="79" spans="1:23" x14ac:dyDescent="0.2">
      <c r="A79">
        <v>2011</v>
      </c>
      <c r="B79" s="20" t="s">
        <v>46</v>
      </c>
      <c r="C79" s="2">
        <v>40757</v>
      </c>
      <c r="D79">
        <v>98</v>
      </c>
      <c r="E79" s="22" t="s">
        <v>180</v>
      </c>
      <c r="F79" s="4" t="s">
        <v>324</v>
      </c>
      <c r="G79">
        <v>26</v>
      </c>
      <c r="H79">
        <v>21</v>
      </c>
      <c r="I79">
        <v>45</v>
      </c>
      <c r="K79">
        <v>10.84</v>
      </c>
      <c r="L79" s="10">
        <v>110</v>
      </c>
      <c r="M79" s="20" t="s">
        <v>72</v>
      </c>
      <c r="N79" s="20" t="s">
        <v>404</v>
      </c>
      <c r="O79">
        <v>19</v>
      </c>
      <c r="P79">
        <v>13</v>
      </c>
      <c r="Q79">
        <v>17</v>
      </c>
      <c r="S79">
        <v>10.91</v>
      </c>
      <c r="T79" s="10">
        <v>112</v>
      </c>
      <c r="U79">
        <v>31</v>
      </c>
      <c r="V79" s="20">
        <v>1314</v>
      </c>
    </row>
    <row r="80" spans="1:23" x14ac:dyDescent="0.2">
      <c r="A80">
        <v>2011</v>
      </c>
      <c r="B80" s="20" t="s">
        <v>46</v>
      </c>
      <c r="C80" s="2">
        <v>40757</v>
      </c>
      <c r="D80">
        <v>98</v>
      </c>
      <c r="E80" s="22" t="s">
        <v>87</v>
      </c>
      <c r="F80" s="4" t="s">
        <v>327</v>
      </c>
      <c r="G80">
        <v>10</v>
      </c>
      <c r="H80">
        <v>8</v>
      </c>
      <c r="I80">
        <v>17</v>
      </c>
      <c r="K80">
        <v>8.27</v>
      </c>
      <c r="L80" s="10">
        <v>185</v>
      </c>
      <c r="M80" s="20" t="s">
        <v>92</v>
      </c>
      <c r="N80" s="20" t="s">
        <v>405</v>
      </c>
      <c r="O80">
        <v>31</v>
      </c>
      <c r="P80">
        <v>19</v>
      </c>
      <c r="Q80">
        <v>18</v>
      </c>
      <c r="S80">
        <v>8.81</v>
      </c>
      <c r="T80" s="10">
        <v>184</v>
      </c>
      <c r="U80">
        <v>50</v>
      </c>
      <c r="V80" s="20">
        <v>1307</v>
      </c>
      <c r="W80" s="28" t="s">
        <v>406</v>
      </c>
    </row>
    <row r="81" spans="1:23" x14ac:dyDescent="0.2">
      <c r="A81">
        <v>2011</v>
      </c>
      <c r="B81" s="20" t="s">
        <v>46</v>
      </c>
      <c r="C81" s="2">
        <v>40757</v>
      </c>
      <c r="D81">
        <v>98</v>
      </c>
      <c r="E81" s="22" t="s">
        <v>87</v>
      </c>
      <c r="F81" s="4" t="s">
        <v>329</v>
      </c>
      <c r="G81" t="s">
        <v>1</v>
      </c>
      <c r="H81" t="s">
        <v>1</v>
      </c>
      <c r="I81" t="s">
        <v>1</v>
      </c>
      <c r="K81">
        <v>12.27</v>
      </c>
      <c r="L81" s="10">
        <v>332</v>
      </c>
      <c r="M81" s="20" t="s">
        <v>50</v>
      </c>
      <c r="N81" s="20" t="s">
        <v>292</v>
      </c>
      <c r="O81">
        <v>29</v>
      </c>
      <c r="P81">
        <v>19</v>
      </c>
      <c r="Q81">
        <v>33</v>
      </c>
      <c r="S81">
        <v>12.16</v>
      </c>
      <c r="T81" s="10">
        <v>335</v>
      </c>
      <c r="U81">
        <v>58</v>
      </c>
      <c r="V81" s="20">
        <v>1321</v>
      </c>
      <c r="W81" s="28" t="s">
        <v>407</v>
      </c>
    </row>
    <row r="82" spans="1:23" x14ac:dyDescent="0.2">
      <c r="A82">
        <v>2011</v>
      </c>
      <c r="B82" s="20" t="s">
        <v>46</v>
      </c>
      <c r="C82" s="2">
        <v>40757</v>
      </c>
      <c r="D82">
        <v>98</v>
      </c>
      <c r="E82" s="22" t="s">
        <v>56</v>
      </c>
      <c r="F82" s="4" t="s">
        <v>313</v>
      </c>
      <c r="G82">
        <v>20</v>
      </c>
      <c r="H82">
        <v>12</v>
      </c>
      <c r="I82">
        <v>27</v>
      </c>
      <c r="K82">
        <v>12.28</v>
      </c>
      <c r="L82" s="10">
        <v>111</v>
      </c>
      <c r="M82" s="20" t="s">
        <v>72</v>
      </c>
      <c r="N82" s="20" t="s">
        <v>314</v>
      </c>
      <c r="O82">
        <v>26</v>
      </c>
      <c r="P82">
        <v>23</v>
      </c>
      <c r="Q82">
        <v>21</v>
      </c>
      <c r="S82">
        <v>11.48</v>
      </c>
      <c r="T82" s="10">
        <v>112</v>
      </c>
      <c r="U82">
        <v>68</v>
      </c>
      <c r="V82" s="20">
        <v>1315</v>
      </c>
    </row>
    <row r="83" spans="1:23" x14ac:dyDescent="0.2">
      <c r="A83">
        <v>2011</v>
      </c>
      <c r="B83" s="20" t="s">
        <v>46</v>
      </c>
      <c r="C83" s="2">
        <v>40757</v>
      </c>
      <c r="D83">
        <v>98</v>
      </c>
      <c r="E83" s="22" t="s">
        <v>56</v>
      </c>
      <c r="F83" s="4" t="s">
        <v>378</v>
      </c>
      <c r="G83">
        <v>11</v>
      </c>
      <c r="H83">
        <v>11</v>
      </c>
      <c r="I83">
        <v>15</v>
      </c>
      <c r="K83">
        <v>4.42</v>
      </c>
      <c r="L83" s="10">
        <v>56</v>
      </c>
      <c r="M83" s="20" t="s">
        <v>64</v>
      </c>
      <c r="N83" s="20" t="s">
        <v>338</v>
      </c>
      <c r="O83">
        <v>16</v>
      </c>
      <c r="P83" s="20">
        <v>9</v>
      </c>
      <c r="Q83" s="20">
        <v>12</v>
      </c>
      <c r="S83">
        <v>4.72</v>
      </c>
      <c r="T83" s="10">
        <v>62</v>
      </c>
      <c r="U83">
        <v>54</v>
      </c>
      <c r="V83" s="20">
        <v>1312</v>
      </c>
    </row>
    <row r="84" spans="1:23" x14ac:dyDescent="0.2">
      <c r="A84">
        <v>2011</v>
      </c>
      <c r="B84" s="20" t="s">
        <v>46</v>
      </c>
      <c r="C84" s="2">
        <v>40757</v>
      </c>
      <c r="D84">
        <v>98</v>
      </c>
      <c r="E84" s="22" t="s">
        <v>56</v>
      </c>
      <c r="F84" s="4" t="s">
        <v>347</v>
      </c>
      <c r="G84">
        <v>10</v>
      </c>
      <c r="H84">
        <v>8</v>
      </c>
      <c r="I84">
        <v>14</v>
      </c>
      <c r="K84">
        <v>3.9</v>
      </c>
      <c r="L84" s="10">
        <v>58</v>
      </c>
      <c r="M84" s="20" t="s">
        <v>64</v>
      </c>
      <c r="N84" s="20" t="s">
        <v>338</v>
      </c>
      <c r="O84">
        <v>16</v>
      </c>
      <c r="P84" s="20">
        <v>9</v>
      </c>
      <c r="Q84" s="20">
        <v>12</v>
      </c>
      <c r="S84">
        <v>4.72</v>
      </c>
      <c r="T84" s="10">
        <v>62</v>
      </c>
      <c r="U84">
        <v>90</v>
      </c>
      <c r="V84" s="20">
        <v>1312</v>
      </c>
    </row>
    <row r="85" spans="1:23" x14ac:dyDescent="0.2">
      <c r="A85">
        <v>2011</v>
      </c>
      <c r="B85" s="20" t="s">
        <v>46</v>
      </c>
      <c r="C85" s="2">
        <v>40757</v>
      </c>
      <c r="D85">
        <v>98</v>
      </c>
      <c r="E85" s="22" t="s">
        <v>56</v>
      </c>
      <c r="F85" s="4" t="s">
        <v>349</v>
      </c>
      <c r="G85">
        <v>4</v>
      </c>
      <c r="H85">
        <v>3</v>
      </c>
      <c r="I85">
        <v>7</v>
      </c>
      <c r="K85">
        <v>7</v>
      </c>
      <c r="L85" s="10">
        <v>234</v>
      </c>
      <c r="M85" s="20" t="s">
        <v>92</v>
      </c>
      <c r="N85" s="20" t="s">
        <v>403</v>
      </c>
      <c r="O85" t="s">
        <v>1</v>
      </c>
      <c r="P85" t="s">
        <v>1</v>
      </c>
      <c r="Q85" t="s">
        <v>1</v>
      </c>
      <c r="S85">
        <v>6.79</v>
      </c>
      <c r="T85" s="10">
        <v>236</v>
      </c>
      <c r="U85">
        <v>83</v>
      </c>
      <c r="V85" s="20">
        <v>1319</v>
      </c>
      <c r="W85" s="28" t="s">
        <v>408</v>
      </c>
    </row>
    <row r="86" spans="1:23" x14ac:dyDescent="0.2">
      <c r="A86">
        <v>2011</v>
      </c>
      <c r="B86" s="20" t="s">
        <v>46</v>
      </c>
      <c r="C86" s="2">
        <v>40757</v>
      </c>
      <c r="D86">
        <v>98</v>
      </c>
      <c r="E86" s="22" t="s">
        <v>56</v>
      </c>
      <c r="F86" s="4" t="s">
        <v>409</v>
      </c>
      <c r="G86">
        <v>15</v>
      </c>
      <c r="H86">
        <v>16</v>
      </c>
      <c r="I86">
        <v>23</v>
      </c>
      <c r="K86">
        <v>3.98</v>
      </c>
      <c r="L86" s="10">
        <v>285</v>
      </c>
      <c r="M86" s="20" t="s">
        <v>64</v>
      </c>
      <c r="N86" s="20" t="s">
        <v>410</v>
      </c>
      <c r="O86">
        <v>33</v>
      </c>
      <c r="P86">
        <v>22</v>
      </c>
      <c r="Q86">
        <v>28</v>
      </c>
      <c r="S86">
        <v>3.42</v>
      </c>
      <c r="T86" s="10">
        <v>288</v>
      </c>
      <c r="U86">
        <v>56</v>
      </c>
      <c r="V86" s="20">
        <v>1320</v>
      </c>
    </row>
    <row r="87" spans="1:23" x14ac:dyDescent="0.2">
      <c r="A87">
        <v>2011</v>
      </c>
      <c r="B87" s="20" t="s">
        <v>46</v>
      </c>
      <c r="C87" s="2">
        <v>40757</v>
      </c>
      <c r="D87">
        <v>98</v>
      </c>
      <c r="E87" s="22" t="s">
        <v>56</v>
      </c>
      <c r="F87" s="33" t="s">
        <v>411</v>
      </c>
      <c r="G87">
        <v>8</v>
      </c>
      <c r="H87">
        <v>7</v>
      </c>
      <c r="I87">
        <v>7</v>
      </c>
      <c r="K87">
        <v>11.91</v>
      </c>
      <c r="L87" s="10">
        <v>42</v>
      </c>
      <c r="M87" s="20" t="s">
        <v>64</v>
      </c>
      <c r="N87" s="20" t="s">
        <v>363</v>
      </c>
      <c r="O87">
        <v>26</v>
      </c>
      <c r="P87" s="20">
        <v>18</v>
      </c>
      <c r="Q87" s="20">
        <v>46</v>
      </c>
      <c r="S87">
        <v>12.39</v>
      </c>
      <c r="T87" s="10">
        <v>44</v>
      </c>
      <c r="U87">
        <v>48</v>
      </c>
      <c r="V87" s="20">
        <v>1310</v>
      </c>
      <c r="W87" s="28" t="s">
        <v>412</v>
      </c>
    </row>
    <row r="88" spans="1:23" x14ac:dyDescent="0.2">
      <c r="A88">
        <v>2011</v>
      </c>
      <c r="B88" s="20" t="s">
        <v>46</v>
      </c>
      <c r="C88" s="2">
        <v>40724</v>
      </c>
      <c r="D88">
        <v>101</v>
      </c>
      <c r="E88" s="22" t="s">
        <v>82</v>
      </c>
      <c r="F88" s="23" t="s">
        <v>332</v>
      </c>
      <c r="G88" s="20">
        <v>110</v>
      </c>
      <c r="H88" s="20">
        <v>77</v>
      </c>
      <c r="I88" s="20">
        <v>82</v>
      </c>
      <c r="K88">
        <v>15.28</v>
      </c>
      <c r="L88" s="10">
        <v>164</v>
      </c>
      <c r="M88" s="20" t="s">
        <v>62</v>
      </c>
      <c r="N88" s="20" t="s">
        <v>323</v>
      </c>
      <c r="O88" s="20">
        <v>41</v>
      </c>
      <c r="P88" s="20">
        <v>33</v>
      </c>
      <c r="Q88" s="20">
        <v>32</v>
      </c>
      <c r="S88">
        <v>15.04</v>
      </c>
      <c r="T88" s="10">
        <v>161</v>
      </c>
      <c r="U88">
        <v>91</v>
      </c>
      <c r="V88" s="20">
        <v>807</v>
      </c>
    </row>
    <row r="89" spans="1:23" x14ac:dyDescent="0.2">
      <c r="A89">
        <v>2011</v>
      </c>
      <c r="B89" s="20" t="s">
        <v>46</v>
      </c>
      <c r="C89" s="2">
        <v>40724</v>
      </c>
      <c r="D89">
        <v>101</v>
      </c>
      <c r="E89" s="22" t="s">
        <v>60</v>
      </c>
      <c r="F89" s="23" t="s">
        <v>289</v>
      </c>
      <c r="G89">
        <v>38</v>
      </c>
      <c r="H89">
        <v>32</v>
      </c>
      <c r="I89">
        <v>55</v>
      </c>
      <c r="K89">
        <v>9.2799999999999994</v>
      </c>
      <c r="L89" s="10">
        <v>0</v>
      </c>
      <c r="M89" s="20" t="s">
        <v>58</v>
      </c>
      <c r="N89" s="20" t="s">
        <v>413</v>
      </c>
      <c r="O89" s="20">
        <v>67</v>
      </c>
      <c r="P89" s="20">
        <v>43</v>
      </c>
      <c r="Q89" s="20">
        <v>22</v>
      </c>
      <c r="S89">
        <v>8.94</v>
      </c>
      <c r="T89" s="10">
        <v>359</v>
      </c>
      <c r="U89">
        <v>45</v>
      </c>
      <c r="V89">
        <v>800</v>
      </c>
      <c r="W89" s="28" t="s">
        <v>414</v>
      </c>
    </row>
    <row r="90" spans="1:23" x14ac:dyDescent="0.2">
      <c r="A90">
        <v>2011</v>
      </c>
      <c r="B90" s="20" t="s">
        <v>46</v>
      </c>
      <c r="C90" s="2">
        <v>40724</v>
      </c>
      <c r="D90">
        <v>101</v>
      </c>
      <c r="E90" s="22" t="s">
        <v>60</v>
      </c>
      <c r="F90" s="23" t="s">
        <v>289</v>
      </c>
      <c r="G90">
        <v>54</v>
      </c>
      <c r="H90">
        <v>34</v>
      </c>
      <c r="I90">
        <v>55</v>
      </c>
      <c r="K90">
        <v>9.2799999999999994</v>
      </c>
      <c r="L90" s="10">
        <v>0</v>
      </c>
      <c r="M90" s="20" t="s">
        <v>58</v>
      </c>
      <c r="N90" s="20" t="s">
        <v>413</v>
      </c>
      <c r="O90" s="20">
        <v>67</v>
      </c>
      <c r="P90" s="20">
        <v>43</v>
      </c>
      <c r="Q90" s="20">
        <v>22</v>
      </c>
      <c r="S90">
        <v>8.94</v>
      </c>
      <c r="T90" s="10">
        <v>359</v>
      </c>
      <c r="U90">
        <v>45</v>
      </c>
      <c r="V90">
        <v>800</v>
      </c>
      <c r="W90" s="28" t="s">
        <v>415</v>
      </c>
    </row>
    <row r="91" spans="1:23" x14ac:dyDescent="0.2">
      <c r="A91">
        <v>2011</v>
      </c>
      <c r="B91" s="20" t="s">
        <v>46</v>
      </c>
      <c r="C91" s="2">
        <v>40724</v>
      </c>
      <c r="D91">
        <v>101</v>
      </c>
      <c r="E91" s="22" t="s">
        <v>60</v>
      </c>
      <c r="F91" s="23" t="s">
        <v>291</v>
      </c>
      <c r="G91" s="20">
        <v>73</v>
      </c>
      <c r="H91" s="20">
        <v>50</v>
      </c>
      <c r="I91" s="20">
        <v>38</v>
      </c>
      <c r="K91">
        <v>7.6</v>
      </c>
      <c r="L91" s="10">
        <v>162</v>
      </c>
      <c r="M91" s="20" t="s">
        <v>85</v>
      </c>
      <c r="N91" s="20" t="s">
        <v>365</v>
      </c>
      <c r="O91" s="20">
        <v>25</v>
      </c>
      <c r="P91" s="20">
        <v>16</v>
      </c>
      <c r="Q91" s="20">
        <v>49</v>
      </c>
      <c r="S91">
        <v>8.84</v>
      </c>
      <c r="T91" s="10">
        <v>169</v>
      </c>
      <c r="U91">
        <v>111</v>
      </c>
      <c r="V91" s="20">
        <v>806</v>
      </c>
      <c r="W91" s="28" t="s">
        <v>416</v>
      </c>
    </row>
    <row r="92" spans="1:23" x14ac:dyDescent="0.2">
      <c r="A92">
        <v>2011</v>
      </c>
      <c r="B92" s="20" t="s">
        <v>46</v>
      </c>
      <c r="C92" s="2">
        <v>40724</v>
      </c>
      <c r="D92">
        <v>101</v>
      </c>
      <c r="E92" s="22" t="s">
        <v>60</v>
      </c>
      <c r="F92" s="23" t="s">
        <v>295</v>
      </c>
      <c r="G92" s="20">
        <v>135</v>
      </c>
      <c r="H92" s="20">
        <v>62</v>
      </c>
      <c r="I92" s="20">
        <v>84</v>
      </c>
      <c r="K92">
        <v>12.37</v>
      </c>
      <c r="L92" s="10">
        <v>237</v>
      </c>
      <c r="M92" s="20" t="s">
        <v>64</v>
      </c>
      <c r="N92" s="20" t="s">
        <v>363</v>
      </c>
      <c r="O92" s="20">
        <v>57</v>
      </c>
      <c r="P92" s="20">
        <v>34</v>
      </c>
      <c r="Q92" s="20">
        <v>37</v>
      </c>
      <c r="S92">
        <v>11.68</v>
      </c>
      <c r="T92" s="10">
        <v>237</v>
      </c>
      <c r="U92">
        <v>57</v>
      </c>
      <c r="V92" s="20" t="s">
        <v>417</v>
      </c>
      <c r="W92" s="28" t="s">
        <v>418</v>
      </c>
    </row>
    <row r="93" spans="1:23" x14ac:dyDescent="0.2">
      <c r="A93">
        <v>2011</v>
      </c>
      <c r="B93" s="20" t="s">
        <v>46</v>
      </c>
      <c r="C93" s="2">
        <v>40724</v>
      </c>
      <c r="D93">
        <v>101</v>
      </c>
      <c r="E93" s="22" t="s">
        <v>60</v>
      </c>
      <c r="F93" s="23" t="s">
        <v>297</v>
      </c>
      <c r="G93" s="20">
        <v>42</v>
      </c>
      <c r="H93" s="20">
        <v>17</v>
      </c>
      <c r="I93" s="20">
        <v>32</v>
      </c>
      <c r="K93">
        <v>14.67</v>
      </c>
      <c r="L93" s="10">
        <v>307</v>
      </c>
      <c r="M93" s="20" t="s">
        <v>54</v>
      </c>
      <c r="N93" s="20" t="s">
        <v>419</v>
      </c>
      <c r="O93" s="20">
        <v>27</v>
      </c>
      <c r="P93" s="20">
        <v>17</v>
      </c>
      <c r="Q93" s="20">
        <v>17</v>
      </c>
      <c r="S93">
        <v>14.9</v>
      </c>
      <c r="T93" s="10">
        <v>302</v>
      </c>
      <c r="U93">
        <v>79</v>
      </c>
      <c r="V93" s="20">
        <v>811</v>
      </c>
      <c r="W93" s="28" t="s">
        <v>420</v>
      </c>
    </row>
    <row r="94" spans="1:23" x14ac:dyDescent="0.2">
      <c r="A94">
        <v>2011</v>
      </c>
      <c r="B94" s="20" t="s">
        <v>46</v>
      </c>
      <c r="C94" s="2">
        <v>40724</v>
      </c>
      <c r="D94">
        <v>101</v>
      </c>
      <c r="E94" s="22" t="s">
        <v>60</v>
      </c>
      <c r="F94" s="23" t="s">
        <v>421</v>
      </c>
      <c r="G94" s="20">
        <v>82</v>
      </c>
      <c r="H94" s="20">
        <v>57</v>
      </c>
      <c r="I94" s="20">
        <v>43</v>
      </c>
      <c r="K94">
        <v>16.420000000000002</v>
      </c>
      <c r="L94" s="10">
        <v>317</v>
      </c>
      <c r="M94" s="20" t="s">
        <v>51</v>
      </c>
      <c r="N94" s="20" t="s">
        <v>304</v>
      </c>
      <c r="O94" s="20">
        <v>48</v>
      </c>
      <c r="P94" s="20">
        <v>21</v>
      </c>
      <c r="Q94" s="20">
        <v>34</v>
      </c>
      <c r="S94">
        <v>16.73</v>
      </c>
      <c r="T94" s="10">
        <v>317</v>
      </c>
      <c r="U94">
        <v>29</v>
      </c>
      <c r="V94" s="20">
        <v>812</v>
      </c>
    </row>
    <row r="95" spans="1:23" x14ac:dyDescent="0.2">
      <c r="A95">
        <v>2011</v>
      </c>
      <c r="B95" s="20" t="s">
        <v>46</v>
      </c>
      <c r="C95" s="2">
        <v>40724</v>
      </c>
      <c r="D95">
        <v>101</v>
      </c>
      <c r="E95" s="22" t="s">
        <v>60</v>
      </c>
      <c r="F95" s="23" t="s">
        <v>422</v>
      </c>
      <c r="G95" s="20">
        <v>140</v>
      </c>
      <c r="H95" s="20">
        <v>90</v>
      </c>
      <c r="I95" s="20">
        <v>77</v>
      </c>
      <c r="K95">
        <v>7.05</v>
      </c>
      <c r="L95" s="10">
        <v>316</v>
      </c>
      <c r="M95" s="20" t="s">
        <v>93</v>
      </c>
      <c r="N95" s="20" t="s">
        <v>423</v>
      </c>
      <c r="O95" s="20">
        <v>25</v>
      </c>
      <c r="P95" s="20">
        <v>22</v>
      </c>
      <c r="Q95" s="20">
        <v>25</v>
      </c>
      <c r="S95">
        <v>7.93</v>
      </c>
      <c r="T95" s="10">
        <v>317</v>
      </c>
      <c r="U95">
        <v>89</v>
      </c>
      <c r="V95" s="20">
        <v>813</v>
      </c>
    </row>
    <row r="96" spans="1:23" x14ac:dyDescent="0.2">
      <c r="A96">
        <v>2011</v>
      </c>
      <c r="B96" s="20" t="s">
        <v>46</v>
      </c>
      <c r="C96" s="2">
        <v>40724</v>
      </c>
      <c r="D96">
        <v>101</v>
      </c>
      <c r="E96" s="22" t="s">
        <v>53</v>
      </c>
      <c r="F96" s="23" t="s">
        <v>299</v>
      </c>
      <c r="G96" s="20">
        <v>90</v>
      </c>
      <c r="H96" s="20">
        <v>88</v>
      </c>
      <c r="I96" s="20">
        <v>109</v>
      </c>
      <c r="K96">
        <v>3.91</v>
      </c>
      <c r="L96" s="10">
        <v>160</v>
      </c>
      <c r="M96" s="20" t="s">
        <v>47</v>
      </c>
      <c r="N96" s="20" t="s">
        <v>298</v>
      </c>
      <c r="O96" s="20">
        <v>65</v>
      </c>
      <c r="P96" s="20">
        <v>55</v>
      </c>
      <c r="Q96" s="20">
        <v>84</v>
      </c>
      <c r="S96">
        <v>3.79</v>
      </c>
      <c r="T96" s="10">
        <v>156</v>
      </c>
      <c r="U96">
        <v>31</v>
      </c>
      <c r="V96" s="20">
        <v>805</v>
      </c>
    </row>
    <row r="97" spans="1:23" x14ac:dyDescent="0.2">
      <c r="A97">
        <v>2011</v>
      </c>
      <c r="B97" s="20" t="s">
        <v>46</v>
      </c>
      <c r="C97" s="2">
        <v>40724</v>
      </c>
      <c r="D97">
        <v>101</v>
      </c>
      <c r="E97" s="22" t="s">
        <v>53</v>
      </c>
      <c r="F97" s="23" t="s">
        <v>303</v>
      </c>
      <c r="G97" s="20">
        <v>56</v>
      </c>
      <c r="H97" s="20">
        <v>45</v>
      </c>
      <c r="I97" s="20">
        <v>55</v>
      </c>
      <c r="K97">
        <v>14.53</v>
      </c>
      <c r="L97" s="10">
        <v>303</v>
      </c>
      <c r="M97" s="20" t="s">
        <v>54</v>
      </c>
      <c r="N97" s="20" t="s">
        <v>419</v>
      </c>
      <c r="O97" s="20">
        <v>27</v>
      </c>
      <c r="P97" s="20">
        <v>17</v>
      </c>
      <c r="Q97" s="20">
        <v>17</v>
      </c>
      <c r="S97">
        <v>14.9</v>
      </c>
      <c r="T97" s="10">
        <v>302</v>
      </c>
      <c r="U97">
        <v>34</v>
      </c>
      <c r="V97" s="20">
        <v>811</v>
      </c>
      <c r="W97" s="28" t="s">
        <v>424</v>
      </c>
    </row>
    <row r="98" spans="1:23" x14ac:dyDescent="0.2">
      <c r="A98">
        <v>2011</v>
      </c>
      <c r="B98" s="20" t="s">
        <v>46</v>
      </c>
      <c r="C98" s="2">
        <v>40724</v>
      </c>
      <c r="D98">
        <v>101</v>
      </c>
      <c r="E98" s="22" t="s">
        <v>53</v>
      </c>
      <c r="F98" s="23" t="s">
        <v>425</v>
      </c>
      <c r="G98" s="20" t="s">
        <v>1</v>
      </c>
      <c r="H98" s="20" t="s">
        <v>1</v>
      </c>
      <c r="I98" s="20" t="s">
        <v>1</v>
      </c>
      <c r="K98">
        <v>10.97</v>
      </c>
      <c r="L98" s="10">
        <v>33</v>
      </c>
      <c r="M98" s="20" t="s">
        <v>72</v>
      </c>
      <c r="N98" s="20" t="s">
        <v>314</v>
      </c>
      <c r="O98" s="20" t="s">
        <v>1</v>
      </c>
      <c r="P98" s="20" t="s">
        <v>1</v>
      </c>
      <c r="Q98" s="20" t="s">
        <v>1</v>
      </c>
      <c r="S98">
        <v>11.49</v>
      </c>
      <c r="T98" s="10">
        <v>34</v>
      </c>
      <c r="U98">
        <v>47</v>
      </c>
      <c r="V98" s="20" t="s">
        <v>1</v>
      </c>
      <c r="W98" s="28" t="s">
        <v>426</v>
      </c>
    </row>
    <row r="99" spans="1:23" x14ac:dyDescent="0.2">
      <c r="A99">
        <v>2011</v>
      </c>
      <c r="B99" s="20" t="s">
        <v>46</v>
      </c>
      <c r="C99" s="2">
        <v>40724</v>
      </c>
      <c r="D99">
        <v>101</v>
      </c>
      <c r="E99" s="22" t="s">
        <v>180</v>
      </c>
      <c r="F99" s="23" t="s">
        <v>324</v>
      </c>
      <c r="G99" s="20">
        <v>174</v>
      </c>
      <c r="H99" s="20">
        <v>62</v>
      </c>
      <c r="I99" s="20">
        <v>76</v>
      </c>
      <c r="K99">
        <v>13.94</v>
      </c>
      <c r="L99" s="10">
        <v>78</v>
      </c>
      <c r="M99" s="20" t="s">
        <v>387</v>
      </c>
      <c r="N99" s="20" t="s">
        <v>388</v>
      </c>
      <c r="O99" s="20">
        <v>35</v>
      </c>
      <c r="P99" s="20">
        <v>26</v>
      </c>
      <c r="Q99" s="20">
        <v>20</v>
      </c>
      <c r="S99">
        <v>13.43</v>
      </c>
      <c r="T99" s="10">
        <v>81</v>
      </c>
      <c r="U99">
        <v>60</v>
      </c>
      <c r="V99" s="20">
        <v>802</v>
      </c>
      <c r="W99" s="28" t="s">
        <v>427</v>
      </c>
    </row>
    <row r="100" spans="1:23" x14ac:dyDescent="0.2">
      <c r="A100">
        <v>2011</v>
      </c>
      <c r="B100" s="20" t="s">
        <v>46</v>
      </c>
      <c r="C100" s="2">
        <v>40724</v>
      </c>
      <c r="D100">
        <v>101</v>
      </c>
      <c r="E100" s="22" t="s">
        <v>180</v>
      </c>
      <c r="F100" s="23" t="s">
        <v>324</v>
      </c>
      <c r="G100" s="20">
        <v>174</v>
      </c>
      <c r="H100" s="20">
        <v>62</v>
      </c>
      <c r="I100" s="20">
        <v>76</v>
      </c>
      <c r="K100">
        <v>13.94</v>
      </c>
      <c r="L100" s="10">
        <v>78</v>
      </c>
      <c r="M100" s="20" t="s">
        <v>387</v>
      </c>
      <c r="N100" s="20" t="s">
        <v>388</v>
      </c>
      <c r="O100" s="20">
        <v>100</v>
      </c>
      <c r="P100" s="20">
        <v>51</v>
      </c>
      <c r="Q100" s="20">
        <v>52</v>
      </c>
      <c r="S100">
        <v>13.7</v>
      </c>
      <c r="T100" s="10">
        <v>78</v>
      </c>
      <c r="U100">
        <v>37</v>
      </c>
      <c r="V100" s="20">
        <v>802</v>
      </c>
      <c r="W100" s="28" t="s">
        <v>428</v>
      </c>
    </row>
    <row r="101" spans="1:23" x14ac:dyDescent="0.2">
      <c r="A101">
        <v>2011</v>
      </c>
      <c r="B101" s="20" t="s">
        <v>46</v>
      </c>
      <c r="C101" s="2">
        <v>40724</v>
      </c>
      <c r="D101">
        <v>101</v>
      </c>
      <c r="E101" s="22" t="s">
        <v>180</v>
      </c>
      <c r="F101" s="23" t="s">
        <v>339</v>
      </c>
      <c r="G101" s="20">
        <v>113</v>
      </c>
      <c r="H101" s="20">
        <v>113</v>
      </c>
      <c r="I101" s="20">
        <v>105</v>
      </c>
      <c r="K101">
        <v>16.690000000000001</v>
      </c>
      <c r="L101" s="10">
        <v>339</v>
      </c>
      <c r="M101" s="20" t="s">
        <v>64</v>
      </c>
      <c r="N101" s="20" t="s">
        <v>338</v>
      </c>
      <c r="O101" s="20">
        <v>122</v>
      </c>
      <c r="P101" s="20">
        <v>79</v>
      </c>
      <c r="Q101" s="20">
        <v>103</v>
      </c>
      <c r="S101">
        <v>17.59</v>
      </c>
      <c r="T101" s="10">
        <v>341</v>
      </c>
      <c r="U101">
        <v>158</v>
      </c>
      <c r="V101" s="20">
        <v>814</v>
      </c>
      <c r="W101" s="28" t="s">
        <v>429</v>
      </c>
    </row>
    <row r="102" spans="1:23" x14ac:dyDescent="0.2">
      <c r="A102">
        <v>2011</v>
      </c>
      <c r="B102" s="20" t="s">
        <v>46</v>
      </c>
      <c r="C102" s="2">
        <v>40724</v>
      </c>
      <c r="D102">
        <v>101</v>
      </c>
      <c r="E102" s="22" t="s">
        <v>180</v>
      </c>
      <c r="F102" s="23" t="s">
        <v>390</v>
      </c>
      <c r="G102" s="20">
        <v>140</v>
      </c>
      <c r="H102" s="20">
        <v>44</v>
      </c>
      <c r="I102" s="20">
        <v>78</v>
      </c>
      <c r="K102">
        <v>13.19</v>
      </c>
      <c r="L102" s="10">
        <v>351</v>
      </c>
      <c r="M102" s="20" t="s">
        <v>55</v>
      </c>
      <c r="N102" s="20" t="s">
        <v>430</v>
      </c>
      <c r="O102" s="20">
        <v>59</v>
      </c>
      <c r="P102" s="20">
        <v>42</v>
      </c>
      <c r="Q102" s="20">
        <v>70</v>
      </c>
      <c r="S102">
        <v>13.86</v>
      </c>
      <c r="T102" s="10">
        <v>349</v>
      </c>
      <c r="U102">
        <v>113</v>
      </c>
      <c r="V102" s="20">
        <v>815</v>
      </c>
      <c r="W102" s="28" t="s">
        <v>431</v>
      </c>
    </row>
    <row r="103" spans="1:23" x14ac:dyDescent="0.2">
      <c r="A103">
        <v>2011</v>
      </c>
      <c r="B103" s="20" t="s">
        <v>46</v>
      </c>
      <c r="C103" s="2">
        <v>40724</v>
      </c>
      <c r="D103">
        <v>101</v>
      </c>
      <c r="E103" s="22" t="s">
        <v>87</v>
      </c>
      <c r="F103" s="23" t="s">
        <v>327</v>
      </c>
      <c r="G103" s="20">
        <v>17</v>
      </c>
      <c r="H103" s="20">
        <v>12</v>
      </c>
      <c r="I103" s="20">
        <v>30</v>
      </c>
      <c r="K103">
        <v>8.23</v>
      </c>
      <c r="L103" s="10">
        <v>319</v>
      </c>
      <c r="M103" s="20" t="s">
        <v>93</v>
      </c>
      <c r="N103" s="20" t="s">
        <v>423</v>
      </c>
      <c r="O103" s="20">
        <v>25</v>
      </c>
      <c r="P103" s="20">
        <v>22</v>
      </c>
      <c r="Q103" s="20">
        <v>25</v>
      </c>
      <c r="S103">
        <v>7.93</v>
      </c>
      <c r="T103" s="10">
        <v>317</v>
      </c>
      <c r="U103">
        <v>67</v>
      </c>
      <c r="V103" s="20">
        <v>813</v>
      </c>
    </row>
    <row r="104" spans="1:23" x14ac:dyDescent="0.2">
      <c r="A104">
        <v>2011</v>
      </c>
      <c r="B104" s="20" t="s">
        <v>46</v>
      </c>
      <c r="C104" s="2">
        <v>40724</v>
      </c>
      <c r="D104">
        <v>101</v>
      </c>
      <c r="E104" s="22" t="s">
        <v>56</v>
      </c>
      <c r="F104" s="23" t="s">
        <v>345</v>
      </c>
      <c r="G104" s="20">
        <v>20</v>
      </c>
      <c r="H104" s="20">
        <v>18</v>
      </c>
      <c r="I104" s="20">
        <v>33</v>
      </c>
      <c r="K104">
        <v>16.72</v>
      </c>
      <c r="L104" s="10">
        <v>110</v>
      </c>
      <c r="M104" s="20" t="s">
        <v>54</v>
      </c>
      <c r="N104" s="20" t="s">
        <v>432</v>
      </c>
      <c r="O104" s="20">
        <v>12</v>
      </c>
      <c r="P104" s="20">
        <v>11</v>
      </c>
      <c r="Q104" s="20">
        <v>11</v>
      </c>
      <c r="S104">
        <v>16.53</v>
      </c>
      <c r="T104" s="10">
        <v>111</v>
      </c>
      <c r="U104">
        <v>28</v>
      </c>
      <c r="V104" s="20">
        <v>803</v>
      </c>
      <c r="W104" s="28" t="s">
        <v>433</v>
      </c>
    </row>
    <row r="105" spans="1:23" x14ac:dyDescent="0.2">
      <c r="A105">
        <v>2011</v>
      </c>
      <c r="B105" s="20" t="s">
        <v>46</v>
      </c>
      <c r="C105" s="2">
        <v>40724</v>
      </c>
      <c r="D105">
        <v>101</v>
      </c>
      <c r="E105" s="22" t="s">
        <v>56</v>
      </c>
      <c r="F105" s="23" t="s">
        <v>313</v>
      </c>
      <c r="G105" s="20">
        <v>11</v>
      </c>
      <c r="H105" s="20">
        <v>8</v>
      </c>
      <c r="I105" s="20">
        <v>19</v>
      </c>
      <c r="K105">
        <v>5.2</v>
      </c>
      <c r="L105" s="10">
        <v>120</v>
      </c>
      <c r="M105" s="20" t="s">
        <v>64</v>
      </c>
      <c r="N105" s="20" t="s">
        <v>333</v>
      </c>
      <c r="O105" s="20">
        <v>25</v>
      </c>
      <c r="P105" s="20">
        <v>21</v>
      </c>
      <c r="Q105" s="20">
        <v>26</v>
      </c>
      <c r="S105">
        <v>6.25</v>
      </c>
      <c r="T105" s="10">
        <v>122</v>
      </c>
      <c r="U105">
        <v>103</v>
      </c>
      <c r="V105" s="20">
        <v>804</v>
      </c>
      <c r="W105" s="29"/>
    </row>
    <row r="106" spans="1:23" x14ac:dyDescent="0.2">
      <c r="A106">
        <v>2011</v>
      </c>
      <c r="B106" s="20" t="s">
        <v>46</v>
      </c>
      <c r="C106" s="2">
        <v>40724</v>
      </c>
      <c r="D106">
        <v>101</v>
      </c>
      <c r="E106" s="22" t="s">
        <v>56</v>
      </c>
      <c r="F106" s="23" t="s">
        <v>347</v>
      </c>
      <c r="G106" s="20" t="s">
        <v>1</v>
      </c>
      <c r="H106" s="20" t="s">
        <v>1</v>
      </c>
      <c r="I106" s="20" t="s">
        <v>1</v>
      </c>
      <c r="K106">
        <v>12.28</v>
      </c>
      <c r="L106" s="10">
        <v>231</v>
      </c>
      <c r="M106" s="20" t="s">
        <v>64</v>
      </c>
      <c r="N106" s="20" t="s">
        <v>363</v>
      </c>
      <c r="O106" s="20">
        <v>57</v>
      </c>
      <c r="P106" s="20">
        <v>34</v>
      </c>
      <c r="Q106" s="20">
        <v>37</v>
      </c>
      <c r="S106">
        <v>11.68</v>
      </c>
      <c r="T106" s="10">
        <v>237</v>
      </c>
      <c r="U106">
        <v>96</v>
      </c>
      <c r="V106" s="20" t="s">
        <v>417</v>
      </c>
      <c r="W106" s="28" t="s">
        <v>434</v>
      </c>
    </row>
    <row r="107" spans="1:23" x14ac:dyDescent="0.2">
      <c r="A107">
        <v>2011</v>
      </c>
      <c r="B107" s="20" t="s">
        <v>46</v>
      </c>
      <c r="C107" s="2">
        <v>40724</v>
      </c>
      <c r="D107">
        <v>101</v>
      </c>
      <c r="E107" s="22" t="s">
        <v>56</v>
      </c>
      <c r="F107" s="23" t="s">
        <v>349</v>
      </c>
      <c r="G107" s="20">
        <v>5</v>
      </c>
      <c r="H107" s="20">
        <v>3</v>
      </c>
      <c r="I107" s="20">
        <v>8</v>
      </c>
      <c r="K107">
        <v>16.86</v>
      </c>
      <c r="L107" s="10">
        <v>312</v>
      </c>
      <c r="M107" s="20" t="s">
        <v>51</v>
      </c>
      <c r="N107" s="20" t="s">
        <v>304</v>
      </c>
      <c r="O107" s="20">
        <v>48</v>
      </c>
      <c r="P107" s="20">
        <v>21</v>
      </c>
      <c r="Q107" s="20">
        <v>34</v>
      </c>
      <c r="S107">
        <v>16.73</v>
      </c>
      <c r="T107" s="10">
        <v>317</v>
      </c>
      <c r="U107">
        <v>64</v>
      </c>
      <c r="V107" s="20">
        <v>812</v>
      </c>
    </row>
    <row r="108" spans="1:23" x14ac:dyDescent="0.2">
      <c r="A108">
        <v>2011</v>
      </c>
      <c r="B108" s="20" t="s">
        <v>46</v>
      </c>
      <c r="C108" s="2">
        <v>40724</v>
      </c>
      <c r="D108">
        <v>101</v>
      </c>
      <c r="E108" s="22" t="s">
        <v>56</v>
      </c>
      <c r="F108" s="23" t="s">
        <v>409</v>
      </c>
      <c r="G108" s="20">
        <v>14</v>
      </c>
      <c r="H108" s="20">
        <v>8</v>
      </c>
      <c r="I108" s="20">
        <v>20</v>
      </c>
      <c r="K108">
        <v>13.01</v>
      </c>
      <c r="L108" s="10">
        <v>42</v>
      </c>
      <c r="M108" s="20" t="s">
        <v>54</v>
      </c>
      <c r="N108" s="20" t="s">
        <v>343</v>
      </c>
      <c r="O108" s="20">
        <v>18</v>
      </c>
      <c r="P108" s="20">
        <v>12</v>
      </c>
      <c r="Q108" s="20">
        <v>14</v>
      </c>
      <c r="S108">
        <v>13.12</v>
      </c>
      <c r="T108" s="10">
        <v>44</v>
      </c>
      <c r="U108">
        <v>34</v>
      </c>
      <c r="V108" s="20">
        <v>801</v>
      </c>
      <c r="W108" s="28" t="s">
        <v>435</v>
      </c>
    </row>
    <row r="109" spans="1:23" x14ac:dyDescent="0.2">
      <c r="A109">
        <v>2011</v>
      </c>
      <c r="B109" s="20" t="s">
        <v>46</v>
      </c>
      <c r="C109" s="2">
        <v>40743</v>
      </c>
      <c r="D109">
        <v>121</v>
      </c>
      <c r="E109" s="22" t="s">
        <v>60</v>
      </c>
      <c r="F109" s="23" t="s">
        <v>289</v>
      </c>
      <c r="G109" s="20">
        <v>115</v>
      </c>
      <c r="H109" s="20">
        <v>70</v>
      </c>
      <c r="I109" s="20">
        <v>37</v>
      </c>
      <c r="K109">
        <v>5.64</v>
      </c>
      <c r="L109" s="10">
        <v>132</v>
      </c>
      <c r="M109" s="20" t="s">
        <v>47</v>
      </c>
      <c r="N109" s="20" t="s">
        <v>298</v>
      </c>
      <c r="O109" s="20">
        <v>60</v>
      </c>
      <c r="P109" s="20">
        <v>50</v>
      </c>
      <c r="Q109" s="20">
        <v>47</v>
      </c>
      <c r="S109">
        <v>5.79</v>
      </c>
      <c r="T109" s="10">
        <v>133</v>
      </c>
      <c r="U109">
        <v>18</v>
      </c>
      <c r="V109" s="20">
        <v>1024</v>
      </c>
      <c r="W109" s="28" t="s">
        <v>436</v>
      </c>
    </row>
    <row r="110" spans="1:23" x14ac:dyDescent="0.2">
      <c r="A110">
        <v>2011</v>
      </c>
      <c r="B110" s="20" t="s">
        <v>46</v>
      </c>
      <c r="C110" s="2">
        <v>40743</v>
      </c>
      <c r="D110">
        <v>122</v>
      </c>
      <c r="E110" s="22" t="s">
        <v>60</v>
      </c>
      <c r="F110" s="23" t="s">
        <v>289</v>
      </c>
      <c r="G110" s="20">
        <v>20</v>
      </c>
      <c r="H110" s="20">
        <v>17</v>
      </c>
      <c r="I110" s="20">
        <v>43</v>
      </c>
      <c r="K110">
        <v>15.93</v>
      </c>
      <c r="L110" s="10">
        <v>57</v>
      </c>
      <c r="M110" s="20" t="s">
        <v>47</v>
      </c>
      <c r="N110" s="20" t="s">
        <v>325</v>
      </c>
      <c r="O110" s="20">
        <v>54</v>
      </c>
      <c r="P110" s="20">
        <v>50</v>
      </c>
      <c r="Q110" s="20">
        <v>50</v>
      </c>
      <c r="S110">
        <v>15.64</v>
      </c>
      <c r="T110" s="10">
        <v>56</v>
      </c>
      <c r="U110">
        <v>46</v>
      </c>
      <c r="V110" s="20">
        <v>1032</v>
      </c>
      <c r="W110" s="28" t="s">
        <v>437</v>
      </c>
    </row>
    <row r="111" spans="1:23" x14ac:dyDescent="0.2">
      <c r="A111">
        <v>2011</v>
      </c>
      <c r="B111" s="20" t="s">
        <v>46</v>
      </c>
      <c r="C111" s="2">
        <v>40743</v>
      </c>
      <c r="D111">
        <v>122</v>
      </c>
      <c r="E111" s="22" t="s">
        <v>60</v>
      </c>
      <c r="F111" s="23" t="s">
        <v>291</v>
      </c>
      <c r="G111" s="20">
        <v>19</v>
      </c>
      <c r="H111" s="20">
        <v>6</v>
      </c>
      <c r="I111" s="20">
        <v>29</v>
      </c>
      <c r="K111">
        <v>16.399999999999999</v>
      </c>
      <c r="L111" s="10">
        <v>57</v>
      </c>
      <c r="M111" s="20" t="s">
        <v>47</v>
      </c>
      <c r="N111" s="20" t="s">
        <v>325</v>
      </c>
      <c r="O111" s="20">
        <v>54</v>
      </c>
      <c r="P111" s="20">
        <v>50</v>
      </c>
      <c r="Q111" s="20">
        <v>50</v>
      </c>
      <c r="S111">
        <v>15.64</v>
      </c>
      <c r="T111" s="10">
        <v>56</v>
      </c>
      <c r="U111">
        <v>77</v>
      </c>
      <c r="V111" s="20">
        <v>1032</v>
      </c>
      <c r="W111" s="28" t="s">
        <v>438</v>
      </c>
    </row>
    <row r="112" spans="1:23" x14ac:dyDescent="0.2">
      <c r="A112">
        <v>2011</v>
      </c>
      <c r="B112" s="20" t="s">
        <v>46</v>
      </c>
      <c r="C112" s="2">
        <v>40743</v>
      </c>
      <c r="D112">
        <v>122</v>
      </c>
      <c r="E112" s="22" t="s">
        <v>60</v>
      </c>
      <c r="F112" s="23" t="s">
        <v>295</v>
      </c>
      <c r="G112" s="20">
        <v>118</v>
      </c>
      <c r="H112" s="20">
        <v>60</v>
      </c>
      <c r="I112" s="20">
        <v>50</v>
      </c>
      <c r="K112">
        <v>13.58</v>
      </c>
      <c r="L112" s="10">
        <v>160</v>
      </c>
      <c r="M112" s="20" t="s">
        <v>47</v>
      </c>
      <c r="N112" s="20" t="s">
        <v>308</v>
      </c>
      <c r="O112" s="20">
        <v>44</v>
      </c>
      <c r="P112" s="20">
        <v>37</v>
      </c>
      <c r="Q112" s="20">
        <v>44</v>
      </c>
      <c r="S112">
        <v>13.98</v>
      </c>
      <c r="T112" s="10">
        <v>163</v>
      </c>
      <c r="U112">
        <v>77</v>
      </c>
      <c r="V112" s="20">
        <v>1033</v>
      </c>
      <c r="W112" s="28" t="s">
        <v>439</v>
      </c>
    </row>
    <row r="113" spans="1:23" x14ac:dyDescent="0.2">
      <c r="A113">
        <v>2011</v>
      </c>
      <c r="B113" s="20" t="s">
        <v>46</v>
      </c>
      <c r="C113" s="2">
        <v>40743</v>
      </c>
      <c r="D113">
        <v>122</v>
      </c>
      <c r="E113" s="22" t="s">
        <v>60</v>
      </c>
      <c r="F113" s="23" t="s">
        <v>297</v>
      </c>
      <c r="G113" s="20">
        <v>118</v>
      </c>
      <c r="H113" s="20">
        <v>90</v>
      </c>
      <c r="I113" s="20">
        <v>67</v>
      </c>
      <c r="K113">
        <v>9.2200000000000006</v>
      </c>
      <c r="L113" s="10">
        <v>297</v>
      </c>
      <c r="M113" s="20" t="s">
        <v>47</v>
      </c>
      <c r="N113" s="20" t="s">
        <v>311</v>
      </c>
      <c r="O113" s="20">
        <v>75</v>
      </c>
      <c r="P113" s="20">
        <v>74</v>
      </c>
      <c r="Q113" s="20">
        <v>83</v>
      </c>
      <c r="S113">
        <v>8.73</v>
      </c>
      <c r="T113" s="10">
        <v>296</v>
      </c>
      <c r="U113">
        <v>45</v>
      </c>
      <c r="V113" s="20">
        <v>1034</v>
      </c>
      <c r="W113" s="28" t="s">
        <v>440</v>
      </c>
    </row>
    <row r="114" spans="1:23" x14ac:dyDescent="0.2">
      <c r="A114">
        <v>2011</v>
      </c>
      <c r="B114" s="20" t="s">
        <v>46</v>
      </c>
      <c r="C114" s="2">
        <v>40743</v>
      </c>
      <c r="D114">
        <v>122</v>
      </c>
      <c r="E114" s="22" t="s">
        <v>87</v>
      </c>
      <c r="F114" s="23" t="s">
        <v>326</v>
      </c>
      <c r="G114" s="20">
        <v>13</v>
      </c>
      <c r="H114" s="20">
        <v>13</v>
      </c>
      <c r="I114" s="20">
        <v>49</v>
      </c>
      <c r="K114">
        <v>15.4</v>
      </c>
      <c r="L114" s="10">
        <v>8</v>
      </c>
      <c r="M114" s="20" t="s">
        <v>47</v>
      </c>
      <c r="N114" s="20" t="s">
        <v>298</v>
      </c>
      <c r="O114" s="20">
        <v>50</v>
      </c>
      <c r="P114" s="20">
        <v>50</v>
      </c>
      <c r="Q114" s="20">
        <v>49</v>
      </c>
      <c r="S114">
        <v>14.99</v>
      </c>
      <c r="T114" s="10">
        <v>8</v>
      </c>
      <c r="U114">
        <v>20</v>
      </c>
      <c r="V114" s="20">
        <v>1031</v>
      </c>
      <c r="W114" s="28" t="s">
        <v>441</v>
      </c>
    </row>
    <row r="115" spans="1:23" x14ac:dyDescent="0.2">
      <c r="A115">
        <v>2011</v>
      </c>
      <c r="B115" s="20" t="s">
        <v>46</v>
      </c>
      <c r="C115" s="2">
        <v>40743</v>
      </c>
      <c r="D115">
        <v>123</v>
      </c>
      <c r="E115" s="22" t="s">
        <v>60</v>
      </c>
      <c r="F115" s="23" t="s">
        <v>289</v>
      </c>
      <c r="G115" s="20">
        <v>17</v>
      </c>
      <c r="H115" s="20">
        <v>13</v>
      </c>
      <c r="I115" s="20">
        <v>45</v>
      </c>
      <c r="K115">
        <v>7.59</v>
      </c>
      <c r="L115" s="10">
        <v>345</v>
      </c>
      <c r="M115" s="20" t="s">
        <v>47</v>
      </c>
      <c r="N115" s="20" t="s">
        <v>311</v>
      </c>
      <c r="O115" s="20">
        <v>38</v>
      </c>
      <c r="P115" s="20">
        <v>37</v>
      </c>
      <c r="Q115" s="20">
        <v>21</v>
      </c>
      <c r="S115">
        <v>8.2200000000000006</v>
      </c>
      <c r="T115" s="10">
        <v>345</v>
      </c>
      <c r="U115">
        <v>56</v>
      </c>
      <c r="V115" s="20">
        <v>1043</v>
      </c>
      <c r="W115" s="28" t="s">
        <v>442</v>
      </c>
    </row>
    <row r="116" spans="1:23" x14ac:dyDescent="0.2">
      <c r="A116">
        <v>2011</v>
      </c>
      <c r="B116" s="20" t="s">
        <v>46</v>
      </c>
      <c r="C116" s="2">
        <v>40743</v>
      </c>
      <c r="D116">
        <v>123</v>
      </c>
      <c r="E116" s="22" t="s">
        <v>60</v>
      </c>
      <c r="F116" s="23" t="s">
        <v>295</v>
      </c>
      <c r="G116" s="20">
        <v>126</v>
      </c>
      <c r="H116" s="20">
        <v>70</v>
      </c>
      <c r="I116" s="20">
        <v>38</v>
      </c>
      <c r="K116">
        <v>14.32</v>
      </c>
      <c r="L116" s="10">
        <v>210</v>
      </c>
      <c r="M116" s="20" t="s">
        <v>47</v>
      </c>
      <c r="N116" s="20" t="s">
        <v>325</v>
      </c>
      <c r="O116" s="20">
        <v>84</v>
      </c>
      <c r="P116" s="20">
        <v>58</v>
      </c>
      <c r="Q116" s="20">
        <v>59</v>
      </c>
      <c r="S116">
        <v>14.59</v>
      </c>
      <c r="T116" s="10">
        <v>204</v>
      </c>
      <c r="U116">
        <v>140</v>
      </c>
      <c r="V116" s="20">
        <v>1041</v>
      </c>
      <c r="W116" s="28" t="s">
        <v>443</v>
      </c>
    </row>
    <row r="117" spans="1:23" x14ac:dyDescent="0.2">
      <c r="A117">
        <v>2011</v>
      </c>
      <c r="B117" s="20" t="s">
        <v>46</v>
      </c>
      <c r="C117" s="2">
        <v>40743</v>
      </c>
      <c r="D117">
        <v>123</v>
      </c>
      <c r="E117" s="22" t="s">
        <v>60</v>
      </c>
      <c r="F117" s="23" t="s">
        <v>297</v>
      </c>
      <c r="G117" s="20">
        <v>16</v>
      </c>
      <c r="H117" s="20">
        <v>15</v>
      </c>
      <c r="I117" s="20">
        <v>19</v>
      </c>
      <c r="K117">
        <v>14.22</v>
      </c>
      <c r="L117" s="10">
        <v>280</v>
      </c>
      <c r="M117" s="20" t="s">
        <v>47</v>
      </c>
      <c r="N117" s="20" t="s">
        <v>308</v>
      </c>
      <c r="O117" s="20">
        <v>34</v>
      </c>
      <c r="P117" s="20">
        <v>23</v>
      </c>
      <c r="Q117" s="20">
        <v>16</v>
      </c>
      <c r="S117">
        <v>14.62</v>
      </c>
      <c r="T117" s="10">
        <v>279</v>
      </c>
      <c r="U117">
        <v>49</v>
      </c>
      <c r="V117" s="20">
        <v>1042</v>
      </c>
    </row>
    <row r="118" spans="1:23" x14ac:dyDescent="0.2">
      <c r="A118">
        <v>2011</v>
      </c>
      <c r="B118" s="20" t="s">
        <v>46</v>
      </c>
      <c r="C118" s="2">
        <v>40743</v>
      </c>
      <c r="D118">
        <v>123</v>
      </c>
      <c r="E118" s="22" t="s">
        <v>60</v>
      </c>
      <c r="F118" s="23" t="s">
        <v>421</v>
      </c>
      <c r="G118" s="20" t="s">
        <v>1</v>
      </c>
      <c r="H118" s="20" t="s">
        <v>1</v>
      </c>
      <c r="I118" s="20" t="s">
        <v>1</v>
      </c>
      <c r="K118">
        <v>14.94</v>
      </c>
      <c r="L118" s="10">
        <v>278</v>
      </c>
      <c r="M118" s="20" t="s">
        <v>47</v>
      </c>
      <c r="N118" s="20" t="s">
        <v>308</v>
      </c>
      <c r="O118" s="20">
        <v>34</v>
      </c>
      <c r="P118" s="20">
        <v>23</v>
      </c>
      <c r="Q118" s="20">
        <v>16</v>
      </c>
      <c r="S118">
        <v>14.62</v>
      </c>
      <c r="T118" s="10">
        <v>279</v>
      </c>
      <c r="U118">
        <v>47</v>
      </c>
      <c r="V118" s="20">
        <v>1042</v>
      </c>
    </row>
    <row r="119" spans="1:23" x14ac:dyDescent="0.2">
      <c r="B119" s="20"/>
    </row>
    <row r="120" spans="1:23" x14ac:dyDescent="0.2">
      <c r="B120" s="20"/>
    </row>
    <row r="121" spans="1:23" x14ac:dyDescent="0.2">
      <c r="B121" s="20"/>
    </row>
    <row r="122" spans="1:23" x14ac:dyDescent="0.2">
      <c r="B122" s="20"/>
    </row>
    <row r="123" spans="1:23" x14ac:dyDescent="0.2">
      <c r="B123" s="20"/>
    </row>
    <row r="124" spans="1:23" x14ac:dyDescent="0.2">
      <c r="B124" s="20"/>
    </row>
    <row r="125" spans="1:23" x14ac:dyDescent="0.2">
      <c r="B125" s="20"/>
    </row>
    <row r="126" spans="1:23" x14ac:dyDescent="0.2">
      <c r="B126" s="20"/>
    </row>
    <row r="127" spans="1:23" x14ac:dyDescent="0.2">
      <c r="B127" s="20"/>
    </row>
    <row r="128" spans="1:23" x14ac:dyDescent="0.2">
      <c r="B128" s="20"/>
    </row>
  </sheetData>
  <sortState xmlns:xlrd2="http://schemas.microsoft.com/office/spreadsheetml/2017/richdata2" ref="A5:W118">
    <sortCondition ref="D5:D118"/>
    <sortCondition ref="F5:F118"/>
  </sortState>
  <phoneticPr fontId="1" type="noConversion"/>
  <pageMargins left="0.75" right="0.75" top="1" bottom="1" header="0.5" footer="0.5"/>
  <pageSetup orientation="portrait" horizontalDpi="4294967293" verticalDpi="4294967293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8CD1DE87728B4A91AC01A490840121" ma:contentTypeVersion="13" ma:contentTypeDescription="Create a new document." ma:contentTypeScope="" ma:versionID="6e42e0ab4a00fbff42e456357a99b1eb">
  <xsd:schema xmlns:xsd="http://www.w3.org/2001/XMLSchema" xmlns:xs="http://www.w3.org/2001/XMLSchema" xmlns:p="http://schemas.microsoft.com/office/2006/metadata/properties" xmlns:ns2="f6f6290a-188c-431b-bc1b-08909b9edd3c" xmlns:ns3="c4dec4b6-adc0-4ae7-a610-9837ec16b1be" targetNamespace="http://schemas.microsoft.com/office/2006/metadata/properties" ma:root="true" ma:fieldsID="c3506e3d67b73694a3451566b24e0b38" ns2:_="" ns3:_="">
    <xsd:import namespace="f6f6290a-188c-431b-bc1b-08909b9edd3c"/>
    <xsd:import namespace="c4dec4b6-adc0-4ae7-a610-9837ec16b1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6290a-188c-431b-bc1b-08909b9edd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b434354-605c-4a24-9fd5-b21458dd13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c4b6-adc0-4ae7-a610-9837ec16b1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5e82eeb-41bc-476c-9695-595138dfca12}" ma:internalName="TaxCatchAll" ma:showField="CatchAllData" ma:web="c4dec4b6-adc0-4ae7-a610-9837ec16b1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ec4b6-adc0-4ae7-a610-9837ec16b1be" xsi:nil="true"/>
    <lcf76f155ced4ddcb4097134ff3c332f xmlns="f6f6290a-188c-431b-bc1b-08909b9edd3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4D6DC0-F8F0-4261-9A86-867F69679548}"/>
</file>

<file path=customXml/itemProps2.xml><?xml version="1.0" encoding="utf-8"?>
<ds:datastoreItem xmlns:ds="http://schemas.openxmlformats.org/officeDocument/2006/customXml" ds:itemID="{00E08099-5571-41C7-84A3-FB7D5BEA7BBD}"/>
</file>

<file path=customXml/itemProps3.xml><?xml version="1.0" encoding="utf-8"?>
<ds:datastoreItem xmlns:ds="http://schemas.openxmlformats.org/officeDocument/2006/customXml" ds:itemID="{CECA8A8F-461B-4EBC-B585-C0944E9234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quads.all</vt:lpstr>
      <vt:lpstr>pics</vt:lpstr>
      <vt:lpstr>FIA</vt:lpstr>
      <vt:lpstr>tall-skinny</vt:lpstr>
      <vt:lpstr>ash saplings</vt:lpstr>
      <vt:lpstr>nat&amp;inv</vt:lpstr>
    </vt:vector>
  </TitlesOfParts>
  <Manager/>
  <Company>MSU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Wendy Klooster</dc:creator>
  <cp:keywords/>
  <dc:description/>
  <cp:lastModifiedBy>Hartzler, Diane</cp:lastModifiedBy>
  <cp:revision/>
  <dcterms:created xsi:type="dcterms:W3CDTF">2009-07-21T12:27:29Z</dcterms:created>
  <dcterms:modified xsi:type="dcterms:W3CDTF">2023-06-21T13:28:52Z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0x010100838CD1DE87728B4A91AC01A490840121</vt:lpwstr>
  </property>
</Properties>
</file>