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erry_1864_osu_edu/Documents/Documents/Perry Lab/Emerald Ash Borer Projects/2011 MI EAB Microplots_Wendy/"/>
    </mc:Choice>
  </mc:AlternateContent>
  <xr:revisionPtr revIDLastSave="7" documentId="11_451AAD9C9B7ABB9249DAF09D8F591F6AA1E1DB63" xr6:coauthVersionLast="47" xr6:coauthVersionMax="47" xr10:uidLastSave="{B12F1587-81A4-4C3F-B6E6-8589CE7C91FA}"/>
  <bookViews>
    <workbookView xWindow="-120" yWindow="-120" windowWidth="29040" windowHeight="15840" firstSheet="5" activeTab="5" xr2:uid="{00000000-000D-0000-FFFF-FFFF00000000}"/>
  </bookViews>
  <sheets>
    <sheet name="quads.all" sheetId="7" r:id="rId1"/>
    <sheet name="pics" sheetId="5" r:id="rId2"/>
    <sheet name="FIA" sheetId="15" r:id="rId3"/>
    <sheet name="tall-skinny" sheetId="8" r:id="rId4"/>
    <sheet name="ash saplings" sheetId="6" r:id="rId5"/>
    <sheet name="nat&amp;inv" sheetId="2" r:id="rId6"/>
    <sheet name="polar plot" sheetId="13" r:id="rId7"/>
    <sheet name="hemi raw" sheetId="9" r:id="rId8"/>
    <sheet name="gap fr, open" sheetId="11" r:id="rId9"/>
    <sheet name="final edit" sheetId="12" r:id="rId10"/>
    <sheet name="hemi SAS" sheetId="14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8" l="1"/>
  <c r="J51" i="8"/>
  <c r="H53" i="8"/>
  <c r="J53" i="8" s="1"/>
  <c r="G52" i="8"/>
  <c r="F52" i="8"/>
  <c r="J52" i="8" s="1"/>
  <c r="AI85" i="7"/>
  <c r="AI86" i="7"/>
  <c r="AI87" i="7"/>
  <c r="AI88" i="7"/>
  <c r="AI89" i="7"/>
  <c r="AI90" i="7"/>
  <c r="AG86" i="7"/>
  <c r="AG87" i="7"/>
  <c r="AG88" i="7"/>
  <c r="AG89" i="7"/>
  <c r="AG90" i="7"/>
  <c r="AF85" i="7"/>
  <c r="AF86" i="7"/>
  <c r="AF87" i="7"/>
  <c r="AF88" i="7"/>
  <c r="AF89" i="7"/>
  <c r="AF90" i="7"/>
  <c r="AK90" i="7"/>
  <c r="AK89" i="7"/>
  <c r="AK88" i="7"/>
  <c r="AK87" i="7"/>
  <c r="AK86" i="7"/>
  <c r="AK85" i="7"/>
  <c r="AD85" i="7"/>
  <c r="AD86" i="7"/>
  <c r="AD87" i="7"/>
  <c r="AD88" i="7"/>
  <c r="AD89" i="7"/>
  <c r="AD90" i="7"/>
  <c r="AH90" i="7"/>
  <c r="AH89" i="7"/>
  <c r="AH88" i="7"/>
  <c r="AH87" i="7"/>
  <c r="AH86" i="7"/>
  <c r="AH85" i="7"/>
  <c r="AG85" i="7"/>
  <c r="X85" i="7"/>
  <c r="X86" i="7"/>
  <c r="X87" i="7"/>
  <c r="X88" i="7"/>
  <c r="X89" i="7"/>
  <c r="X90" i="7"/>
  <c r="R85" i="7"/>
  <c r="R86" i="7"/>
  <c r="R87" i="7"/>
  <c r="R88" i="7"/>
  <c r="R89" i="7"/>
  <c r="R90" i="7"/>
  <c r="L86" i="7"/>
  <c r="L87" i="7"/>
  <c r="L88" i="7"/>
  <c r="L89" i="7"/>
  <c r="L90" i="7"/>
  <c r="L85" i="7"/>
  <c r="I50" i="8"/>
  <c r="F50" i="8"/>
  <c r="AF83" i="7"/>
  <c r="AG83" i="7"/>
  <c r="AF84" i="7"/>
  <c r="AG84" i="7"/>
  <c r="AK84" i="7"/>
  <c r="AK83" i="7"/>
  <c r="AD83" i="7"/>
  <c r="AD84" i="7"/>
  <c r="AI84" i="7"/>
  <c r="AH84" i="7"/>
  <c r="AI83" i="7"/>
  <c r="AH83" i="7"/>
  <c r="X83" i="7"/>
  <c r="X84" i="7"/>
  <c r="R83" i="7"/>
  <c r="R84" i="7"/>
  <c r="L83" i="7"/>
  <c r="L84" i="7"/>
  <c r="F49" i="8"/>
  <c r="J49" i="8" s="1"/>
  <c r="J48" i="8"/>
  <c r="AF80" i="7"/>
  <c r="AG80" i="7"/>
  <c r="AF81" i="7"/>
  <c r="AG81" i="7"/>
  <c r="AF82" i="7"/>
  <c r="AG82" i="7"/>
  <c r="AK82" i="7"/>
  <c r="AK81" i="7"/>
  <c r="AK80" i="7"/>
  <c r="AD80" i="7"/>
  <c r="AD81" i="7"/>
  <c r="AD82" i="7"/>
  <c r="AI82" i="7"/>
  <c r="AI81" i="7"/>
  <c r="AI80" i="7"/>
  <c r="AH82" i="7"/>
  <c r="AH81" i="7"/>
  <c r="AH80" i="7"/>
  <c r="X80" i="7"/>
  <c r="X81" i="7"/>
  <c r="X82" i="7"/>
  <c r="R80" i="7"/>
  <c r="R81" i="7"/>
  <c r="R82" i="7"/>
  <c r="L80" i="7"/>
  <c r="L81" i="7"/>
  <c r="L82" i="7"/>
  <c r="J47" i="8"/>
  <c r="AF76" i="7"/>
  <c r="AG76" i="7"/>
  <c r="AF77" i="7"/>
  <c r="AG77" i="7"/>
  <c r="AF78" i="7"/>
  <c r="AG78" i="7"/>
  <c r="AF79" i="7"/>
  <c r="AG79" i="7"/>
  <c r="AK79" i="7"/>
  <c r="AK78" i="7"/>
  <c r="AK77" i="7"/>
  <c r="AK76" i="7"/>
  <c r="AD76" i="7"/>
  <c r="AD77" i="7"/>
  <c r="AD78" i="7"/>
  <c r="AD79" i="7"/>
  <c r="AI79" i="7"/>
  <c r="AI78" i="7"/>
  <c r="AI77" i="7"/>
  <c r="AI76" i="7"/>
  <c r="AH79" i="7"/>
  <c r="AH78" i="7"/>
  <c r="AH77" i="7"/>
  <c r="AH76" i="7"/>
  <c r="X76" i="7"/>
  <c r="X77" i="7"/>
  <c r="X78" i="7"/>
  <c r="X79" i="7"/>
  <c r="R76" i="7"/>
  <c r="R77" i="7"/>
  <c r="R78" i="7"/>
  <c r="R79" i="7"/>
  <c r="L76" i="7"/>
  <c r="L77" i="7"/>
  <c r="L78" i="7"/>
  <c r="L79" i="7"/>
  <c r="J46" i="8"/>
  <c r="AF74" i="7"/>
  <c r="AG74" i="7"/>
  <c r="AF75" i="7"/>
  <c r="AG75" i="7"/>
  <c r="AK75" i="7"/>
  <c r="AK74" i="7"/>
  <c r="AD74" i="7"/>
  <c r="AD75" i="7"/>
  <c r="AI75" i="7"/>
  <c r="AH75" i="7"/>
  <c r="AI74" i="7"/>
  <c r="AH74" i="7"/>
  <c r="X74" i="7"/>
  <c r="X75" i="7"/>
  <c r="R74" i="7"/>
  <c r="R75" i="7"/>
  <c r="L74" i="7"/>
  <c r="L75" i="7"/>
  <c r="J41" i="8"/>
  <c r="J42" i="8"/>
  <c r="J43" i="8"/>
  <c r="J44" i="8"/>
  <c r="J45" i="8"/>
  <c r="J50" i="8" l="1"/>
  <c r="AJ78" i="7"/>
  <c r="AJ77" i="7"/>
  <c r="AJ76" i="7"/>
  <c r="AJ80" i="7"/>
  <c r="AJ89" i="7"/>
  <c r="AJ87" i="7"/>
  <c r="AJ85" i="7"/>
  <c r="AJ74" i="7"/>
  <c r="AJ81" i="7"/>
  <c r="AJ83" i="7"/>
  <c r="AJ90" i="7"/>
  <c r="AJ88" i="7"/>
  <c r="AJ86" i="7"/>
  <c r="AJ75" i="7"/>
  <c r="AJ79" i="7"/>
  <c r="AJ84" i="7"/>
  <c r="AJ82" i="7"/>
  <c r="AG73" i="7"/>
  <c r="AF71" i="7"/>
  <c r="AF72" i="7"/>
  <c r="AF73" i="7"/>
  <c r="AK73" i="7"/>
  <c r="AK72" i="7"/>
  <c r="AK71" i="7"/>
  <c r="AD73" i="7"/>
  <c r="AI73" i="7"/>
  <c r="AD72" i="7"/>
  <c r="AI72" i="7"/>
  <c r="AD71" i="7"/>
  <c r="AI71" i="7"/>
  <c r="AH73" i="7"/>
  <c r="AH72" i="7"/>
  <c r="AH71" i="7"/>
  <c r="AG72" i="7"/>
  <c r="AG71" i="7"/>
  <c r="X73" i="7"/>
  <c r="X72" i="7"/>
  <c r="X71" i="7"/>
  <c r="R73" i="7"/>
  <c r="R72" i="7"/>
  <c r="R71" i="7"/>
  <c r="L73" i="7"/>
  <c r="L72" i="7"/>
  <c r="L71" i="7"/>
  <c r="AF70" i="7"/>
  <c r="AG70" i="7"/>
  <c r="AD70" i="7"/>
  <c r="AK70" i="7"/>
  <c r="AI70" i="7"/>
  <c r="AH70" i="7"/>
  <c r="X70" i="7"/>
  <c r="R70" i="7"/>
  <c r="L70" i="7"/>
  <c r="AF66" i="7"/>
  <c r="AG66" i="7"/>
  <c r="AF67" i="7"/>
  <c r="AG67" i="7"/>
  <c r="AF68" i="7"/>
  <c r="AG68" i="7"/>
  <c r="AF69" i="7"/>
  <c r="AG69" i="7"/>
  <c r="AK69" i="7"/>
  <c r="AK68" i="7"/>
  <c r="AK67" i="7"/>
  <c r="AK66" i="7"/>
  <c r="AD66" i="7"/>
  <c r="AD67" i="7"/>
  <c r="AD68" i="7"/>
  <c r="AD69" i="7"/>
  <c r="AI69" i="7"/>
  <c r="AI68" i="7"/>
  <c r="AI67" i="7"/>
  <c r="AI66" i="7"/>
  <c r="AH69" i="7"/>
  <c r="AH68" i="7"/>
  <c r="AH67" i="7"/>
  <c r="AH66" i="7"/>
  <c r="X66" i="7"/>
  <c r="X67" i="7"/>
  <c r="X68" i="7"/>
  <c r="X69" i="7"/>
  <c r="R66" i="7"/>
  <c r="R67" i="7"/>
  <c r="R68" i="7"/>
  <c r="R69" i="7"/>
  <c r="L66" i="7"/>
  <c r="L67" i="7"/>
  <c r="L68" i="7"/>
  <c r="L69" i="7"/>
  <c r="AK61" i="7"/>
  <c r="AK62" i="7"/>
  <c r="AK63" i="7"/>
  <c r="AK64" i="7"/>
  <c r="AK65" i="7"/>
  <c r="AF61" i="7"/>
  <c r="AG61" i="7"/>
  <c r="AF62" i="7"/>
  <c r="AG62" i="7"/>
  <c r="AF63" i="7"/>
  <c r="AG63" i="7"/>
  <c r="AF64" i="7"/>
  <c r="AG64" i="7"/>
  <c r="AF65" i="7"/>
  <c r="AG65" i="7"/>
  <c r="AD61" i="7"/>
  <c r="AD62" i="7"/>
  <c r="AD63" i="7"/>
  <c r="AD64" i="7"/>
  <c r="AD65" i="7"/>
  <c r="AI65" i="7"/>
  <c r="AI64" i="7"/>
  <c r="AI63" i="7"/>
  <c r="AI62" i="7"/>
  <c r="AI61" i="7"/>
  <c r="AH65" i="7"/>
  <c r="AH64" i="7"/>
  <c r="AH63" i="7"/>
  <c r="AH62" i="7"/>
  <c r="AH61" i="7"/>
  <c r="X61" i="7"/>
  <c r="X62" i="7"/>
  <c r="X63" i="7"/>
  <c r="X64" i="7"/>
  <c r="X65" i="7"/>
  <c r="R61" i="7"/>
  <c r="R62" i="7"/>
  <c r="R63" i="7"/>
  <c r="R64" i="7"/>
  <c r="R65" i="7"/>
  <c r="L61" i="7"/>
  <c r="L62" i="7"/>
  <c r="L63" i="7"/>
  <c r="L64" i="7"/>
  <c r="L65" i="7"/>
  <c r="AJ67" i="7" l="1"/>
  <c r="AJ70" i="7"/>
  <c r="AJ72" i="7"/>
  <c r="AJ64" i="7"/>
  <c r="AJ63" i="7"/>
  <c r="AJ62" i="7"/>
  <c r="AJ61" i="7"/>
  <c r="AJ68" i="7"/>
  <c r="AJ66" i="7"/>
  <c r="AJ71" i="7"/>
  <c r="AJ65" i="7"/>
  <c r="AJ73" i="7"/>
  <c r="AJ69" i="7"/>
  <c r="J35" i="8"/>
  <c r="J36" i="8"/>
  <c r="J37" i="8"/>
  <c r="I40" i="8"/>
  <c r="J40" i="8" s="1"/>
  <c r="H39" i="8"/>
  <c r="J39" i="8" s="1"/>
  <c r="F38" i="8"/>
  <c r="J38" i="8" s="1"/>
  <c r="AI52" i="7"/>
  <c r="AI53" i="7"/>
  <c r="AI54" i="7"/>
  <c r="AI55" i="7"/>
  <c r="AI56" i="7"/>
  <c r="AI57" i="7"/>
  <c r="AI58" i="7"/>
  <c r="AI59" i="7"/>
  <c r="AI60" i="7"/>
  <c r="AF52" i="7"/>
  <c r="AG52" i="7"/>
  <c r="AF53" i="7"/>
  <c r="AG53" i="7"/>
  <c r="AF54" i="7"/>
  <c r="AG54" i="7"/>
  <c r="AF55" i="7"/>
  <c r="AG55" i="7"/>
  <c r="AF56" i="7"/>
  <c r="AG56" i="7"/>
  <c r="AF57" i="7"/>
  <c r="AG57" i="7"/>
  <c r="AF58" i="7"/>
  <c r="AG58" i="7"/>
  <c r="AF59" i="7"/>
  <c r="AG59" i="7"/>
  <c r="AF60" i="7"/>
  <c r="AG60" i="7"/>
  <c r="AK60" i="7"/>
  <c r="AK59" i="7"/>
  <c r="AK58" i="7"/>
  <c r="AK57" i="7"/>
  <c r="AK56" i="7"/>
  <c r="AK55" i="7"/>
  <c r="AK54" i="7"/>
  <c r="AK53" i="7"/>
  <c r="AK52" i="7"/>
  <c r="AD52" i="7"/>
  <c r="AD53" i="7"/>
  <c r="AD54" i="7"/>
  <c r="AD55" i="7"/>
  <c r="AD56" i="7"/>
  <c r="AD57" i="7"/>
  <c r="AD58" i="7"/>
  <c r="AD59" i="7"/>
  <c r="AD60" i="7"/>
  <c r="AH60" i="7"/>
  <c r="AH59" i="7"/>
  <c r="AH58" i="7"/>
  <c r="AH57" i="7"/>
  <c r="AH56" i="7"/>
  <c r="AH55" i="7"/>
  <c r="AH54" i="7"/>
  <c r="AH53" i="7"/>
  <c r="AH52" i="7"/>
  <c r="X52" i="7"/>
  <c r="X53" i="7"/>
  <c r="X54" i="7"/>
  <c r="X55" i="7"/>
  <c r="X56" i="7"/>
  <c r="X57" i="7"/>
  <c r="X58" i="7"/>
  <c r="X59" i="7"/>
  <c r="X60" i="7"/>
  <c r="R52" i="7"/>
  <c r="R53" i="7"/>
  <c r="R54" i="7"/>
  <c r="R55" i="7"/>
  <c r="R56" i="7"/>
  <c r="R57" i="7"/>
  <c r="R58" i="7"/>
  <c r="R59" i="7"/>
  <c r="R60" i="7"/>
  <c r="L52" i="7"/>
  <c r="L53" i="7"/>
  <c r="L54" i="7"/>
  <c r="L55" i="7"/>
  <c r="L56" i="7"/>
  <c r="L57" i="7"/>
  <c r="L58" i="7"/>
  <c r="L59" i="7"/>
  <c r="L60" i="7"/>
  <c r="J30" i="8"/>
  <c r="I33" i="8"/>
  <c r="H34" i="8"/>
  <c r="J34" i="8" s="1"/>
  <c r="H33" i="8"/>
  <c r="H32" i="8"/>
  <c r="G32" i="8"/>
  <c r="G31" i="8"/>
  <c r="F31" i="8"/>
  <c r="AK40" i="7"/>
  <c r="AK41" i="7"/>
  <c r="AK42" i="7"/>
  <c r="AK43" i="7"/>
  <c r="AK44" i="7"/>
  <c r="AK45" i="7"/>
  <c r="AK46" i="7"/>
  <c r="AK47" i="7"/>
  <c r="AK48" i="7"/>
  <c r="AK49" i="7"/>
  <c r="AK50" i="7"/>
  <c r="AK51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H41" i="7"/>
  <c r="AH42" i="7"/>
  <c r="AH43" i="7"/>
  <c r="AH44" i="7"/>
  <c r="AH45" i="7"/>
  <c r="AH46" i="7"/>
  <c r="AH47" i="7"/>
  <c r="AH48" i="7"/>
  <c r="AH49" i="7"/>
  <c r="AH50" i="7"/>
  <c r="AH51" i="7"/>
  <c r="AF44" i="7"/>
  <c r="AG44" i="7"/>
  <c r="AF45" i="7"/>
  <c r="AG45" i="7"/>
  <c r="AF46" i="7"/>
  <c r="AG46" i="7"/>
  <c r="AF47" i="7"/>
  <c r="AG47" i="7"/>
  <c r="AF48" i="7"/>
  <c r="AG48" i="7"/>
  <c r="AF49" i="7"/>
  <c r="AG49" i="7"/>
  <c r="AF50" i="7"/>
  <c r="AG50" i="7"/>
  <c r="AF51" i="7"/>
  <c r="AG51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H40" i="7"/>
  <c r="AG43" i="7"/>
  <c r="AG42" i="7"/>
  <c r="AG41" i="7"/>
  <c r="AG40" i="7"/>
  <c r="AF43" i="7"/>
  <c r="AF42" i="7"/>
  <c r="AF41" i="7"/>
  <c r="AJ41" i="7" s="1"/>
  <c r="AF40" i="7"/>
  <c r="AJ40" i="7" s="1"/>
  <c r="X44" i="7"/>
  <c r="X45" i="7"/>
  <c r="X46" i="7"/>
  <c r="X47" i="7"/>
  <c r="X48" i="7"/>
  <c r="X49" i="7"/>
  <c r="X50" i="7"/>
  <c r="X51" i="7"/>
  <c r="X43" i="7"/>
  <c r="X42" i="7"/>
  <c r="X41" i="7"/>
  <c r="X40" i="7"/>
  <c r="R44" i="7"/>
  <c r="R45" i="7"/>
  <c r="R46" i="7"/>
  <c r="R47" i="7"/>
  <c r="R48" i="7"/>
  <c r="R49" i="7"/>
  <c r="R50" i="7"/>
  <c r="R51" i="7"/>
  <c r="R43" i="7"/>
  <c r="R42" i="7"/>
  <c r="R41" i="7"/>
  <c r="R40" i="7"/>
  <c r="L40" i="7"/>
  <c r="L41" i="7"/>
  <c r="L42" i="7"/>
  <c r="L43" i="7"/>
  <c r="L44" i="7"/>
  <c r="L45" i="7"/>
  <c r="L46" i="7"/>
  <c r="L47" i="7"/>
  <c r="L48" i="7"/>
  <c r="L49" i="7"/>
  <c r="L50" i="7"/>
  <c r="L51" i="7"/>
  <c r="I28" i="8"/>
  <c r="J27" i="8"/>
  <c r="J26" i="8"/>
  <c r="J25" i="8"/>
  <c r="J24" i="8"/>
  <c r="H28" i="8"/>
  <c r="G28" i="8"/>
  <c r="F29" i="8"/>
  <c r="J29" i="8" s="1"/>
  <c r="F28" i="8"/>
  <c r="AJ42" i="7" l="1"/>
  <c r="AJ43" i="7"/>
  <c r="J32" i="8"/>
  <c r="J33" i="8"/>
  <c r="J28" i="8"/>
  <c r="J31" i="8"/>
  <c r="AJ60" i="7"/>
  <c r="AJ59" i="7"/>
  <c r="AJ58" i="7"/>
  <c r="AJ57" i="7"/>
  <c r="AJ56" i="7"/>
  <c r="AJ55" i="7"/>
  <c r="AJ54" i="7"/>
  <c r="AJ53" i="7"/>
  <c r="AJ52" i="7"/>
  <c r="AJ51" i="7"/>
  <c r="AJ50" i="7"/>
  <c r="AJ49" i="7"/>
  <c r="AJ48" i="7"/>
  <c r="AJ47" i="7"/>
  <c r="AJ46" i="7"/>
  <c r="AJ45" i="7"/>
  <c r="AJ44" i="7"/>
  <c r="AH30" i="7"/>
  <c r="AH31" i="7"/>
  <c r="AH32" i="7"/>
  <c r="AH33" i="7"/>
  <c r="AH34" i="7"/>
  <c r="AH35" i="7"/>
  <c r="AH36" i="7"/>
  <c r="AH37" i="7"/>
  <c r="AH38" i="7"/>
  <c r="AH39" i="7"/>
  <c r="AF29" i="7"/>
  <c r="AG29" i="7"/>
  <c r="AF30" i="7"/>
  <c r="AG30" i="7"/>
  <c r="AF31" i="7"/>
  <c r="AG31" i="7"/>
  <c r="AF32" i="7"/>
  <c r="AG32" i="7"/>
  <c r="AF33" i="7"/>
  <c r="AG33" i="7"/>
  <c r="AF34" i="7"/>
  <c r="AG34" i="7"/>
  <c r="AF35" i="7"/>
  <c r="AG35" i="7"/>
  <c r="AF36" i="7"/>
  <c r="AG36" i="7"/>
  <c r="AF37" i="7"/>
  <c r="AG37" i="7"/>
  <c r="AF38" i="7"/>
  <c r="AG38" i="7"/>
  <c r="AF39" i="7"/>
  <c r="AG39" i="7"/>
  <c r="AK39" i="7"/>
  <c r="AK38" i="7"/>
  <c r="AK37" i="7"/>
  <c r="AK36" i="7"/>
  <c r="AK35" i="7"/>
  <c r="AK34" i="7"/>
  <c r="AK33" i="7"/>
  <c r="AK32" i="7"/>
  <c r="AK31" i="7"/>
  <c r="AK30" i="7"/>
  <c r="AK29" i="7"/>
  <c r="AD29" i="7"/>
  <c r="AD30" i="7"/>
  <c r="AD31" i="7"/>
  <c r="AD32" i="7"/>
  <c r="AD33" i="7"/>
  <c r="AD34" i="7"/>
  <c r="AD35" i="7"/>
  <c r="AD36" i="7"/>
  <c r="AD37" i="7"/>
  <c r="AD38" i="7"/>
  <c r="AD39" i="7"/>
  <c r="AI39" i="7"/>
  <c r="AI38" i="7"/>
  <c r="AI37" i="7"/>
  <c r="AI36" i="7"/>
  <c r="AI35" i="7"/>
  <c r="AI34" i="7"/>
  <c r="AI33" i="7"/>
  <c r="AI32" i="7"/>
  <c r="AI31" i="7"/>
  <c r="AI30" i="7"/>
  <c r="AI29" i="7"/>
  <c r="AH29" i="7"/>
  <c r="X29" i="7"/>
  <c r="X30" i="7"/>
  <c r="X31" i="7"/>
  <c r="X32" i="7"/>
  <c r="X33" i="7"/>
  <c r="X34" i="7"/>
  <c r="X35" i="7"/>
  <c r="X36" i="7"/>
  <c r="X37" i="7"/>
  <c r="X38" i="7"/>
  <c r="X39" i="7"/>
  <c r="R29" i="7"/>
  <c r="R30" i="7"/>
  <c r="R31" i="7"/>
  <c r="R32" i="7"/>
  <c r="R33" i="7"/>
  <c r="R34" i="7"/>
  <c r="R35" i="7"/>
  <c r="R36" i="7"/>
  <c r="R37" i="7"/>
  <c r="R38" i="7"/>
  <c r="R39" i="7"/>
  <c r="L29" i="7"/>
  <c r="L30" i="7"/>
  <c r="L31" i="7"/>
  <c r="L32" i="7"/>
  <c r="L33" i="7"/>
  <c r="L34" i="7"/>
  <c r="L35" i="7"/>
  <c r="L36" i="7"/>
  <c r="L37" i="7"/>
  <c r="L38" i="7"/>
  <c r="L39" i="7"/>
  <c r="J23" i="8"/>
  <c r="J22" i="8"/>
  <c r="J21" i="8"/>
  <c r="J20" i="8"/>
  <c r="AF27" i="7"/>
  <c r="AG27" i="7"/>
  <c r="AF28" i="7"/>
  <c r="AG28" i="7"/>
  <c r="AD27" i="7"/>
  <c r="AD28" i="7"/>
  <c r="X27" i="7"/>
  <c r="X28" i="7"/>
  <c r="R27" i="7"/>
  <c r="R28" i="7"/>
  <c r="L27" i="7"/>
  <c r="L28" i="7"/>
  <c r="AK28" i="7"/>
  <c r="AI28" i="7"/>
  <c r="AH28" i="7"/>
  <c r="AK27" i="7"/>
  <c r="AI27" i="7"/>
  <c r="AH27" i="7"/>
  <c r="J19" i="8"/>
  <c r="J18" i="8"/>
  <c r="J17" i="8"/>
  <c r="J16" i="8"/>
  <c r="AK26" i="7"/>
  <c r="AK25" i="7"/>
  <c r="AK24" i="7"/>
  <c r="AK23" i="7"/>
  <c r="AK22" i="7"/>
  <c r="AK21" i="7"/>
  <c r="AK20" i="7"/>
  <c r="AF21" i="7"/>
  <c r="AG21" i="7"/>
  <c r="AF22" i="7"/>
  <c r="AG22" i="7"/>
  <c r="AF23" i="7"/>
  <c r="AG23" i="7"/>
  <c r="AF24" i="7"/>
  <c r="AG24" i="7"/>
  <c r="AF25" i="7"/>
  <c r="AG25" i="7"/>
  <c r="AF26" i="7"/>
  <c r="AG26" i="7"/>
  <c r="AD21" i="7"/>
  <c r="AD22" i="7"/>
  <c r="AD23" i="7"/>
  <c r="AD24" i="7"/>
  <c r="AD25" i="7"/>
  <c r="AD26" i="7"/>
  <c r="AI26" i="7"/>
  <c r="AI25" i="7"/>
  <c r="AI24" i="7"/>
  <c r="AI23" i="7"/>
  <c r="AI22" i="7"/>
  <c r="AI21" i="7"/>
  <c r="AD20" i="7"/>
  <c r="AI20" i="7"/>
  <c r="AH26" i="7"/>
  <c r="AH25" i="7"/>
  <c r="AH24" i="7"/>
  <c r="AH23" i="7"/>
  <c r="AH22" i="7"/>
  <c r="AH21" i="7"/>
  <c r="AH20" i="7"/>
  <c r="AG20" i="7"/>
  <c r="AF20" i="7"/>
  <c r="X21" i="7"/>
  <c r="X22" i="7"/>
  <c r="X23" i="7"/>
  <c r="X24" i="7"/>
  <c r="X25" i="7"/>
  <c r="X26" i="7"/>
  <c r="X20" i="7"/>
  <c r="R21" i="7"/>
  <c r="R22" i="7"/>
  <c r="R23" i="7"/>
  <c r="R24" i="7"/>
  <c r="R25" i="7"/>
  <c r="R26" i="7"/>
  <c r="R20" i="7"/>
  <c r="L21" i="7"/>
  <c r="L22" i="7"/>
  <c r="L23" i="7"/>
  <c r="L24" i="7"/>
  <c r="L25" i="7"/>
  <c r="L26" i="7"/>
  <c r="L20" i="7"/>
  <c r="J15" i="8"/>
  <c r="AF19" i="7"/>
  <c r="AG19" i="7"/>
  <c r="L19" i="7"/>
  <c r="R19" i="7"/>
  <c r="X19" i="7"/>
  <c r="AD19" i="7"/>
  <c r="AK19" i="7"/>
  <c r="AI19" i="7"/>
  <c r="AH19" i="7"/>
  <c r="J12" i="8"/>
  <c r="J13" i="8"/>
  <c r="J14" i="8"/>
  <c r="AF15" i="7"/>
  <c r="AG15" i="7"/>
  <c r="AF16" i="7"/>
  <c r="AG16" i="7"/>
  <c r="AF17" i="7"/>
  <c r="AG17" i="7"/>
  <c r="AF18" i="7"/>
  <c r="AG18" i="7"/>
  <c r="AK18" i="7"/>
  <c r="AK17" i="7"/>
  <c r="AK16" i="7"/>
  <c r="AK15" i="7"/>
  <c r="AD18" i="7"/>
  <c r="AD15" i="7"/>
  <c r="AD16" i="7"/>
  <c r="AD17" i="7"/>
  <c r="AI18" i="7"/>
  <c r="AI17" i="7"/>
  <c r="AI16" i="7"/>
  <c r="AI15" i="7"/>
  <c r="AH18" i="7"/>
  <c r="AH17" i="7"/>
  <c r="AH16" i="7"/>
  <c r="AH15" i="7"/>
  <c r="X15" i="7"/>
  <c r="X16" i="7"/>
  <c r="X17" i="7"/>
  <c r="X18" i="7"/>
  <c r="R15" i="7"/>
  <c r="R16" i="7"/>
  <c r="R17" i="7"/>
  <c r="R18" i="7"/>
  <c r="L15" i="7"/>
  <c r="L16" i="7"/>
  <c r="L17" i="7"/>
  <c r="L18" i="7"/>
  <c r="J10" i="8"/>
  <c r="J9" i="8"/>
  <c r="J8" i="8"/>
  <c r="F11" i="8"/>
  <c r="J11" i="8" s="1"/>
  <c r="AF9" i="7"/>
  <c r="AG9" i="7"/>
  <c r="AH9" i="7"/>
  <c r="AI9" i="7"/>
  <c r="AK9" i="7"/>
  <c r="AF10" i="7"/>
  <c r="AG10" i="7"/>
  <c r="AH10" i="7"/>
  <c r="AI10" i="7"/>
  <c r="AK10" i="7"/>
  <c r="AF11" i="7"/>
  <c r="AG11" i="7"/>
  <c r="AH11" i="7"/>
  <c r="AI11" i="7"/>
  <c r="AK11" i="7"/>
  <c r="AF12" i="7"/>
  <c r="AG12" i="7"/>
  <c r="AH12" i="7"/>
  <c r="AI12" i="7"/>
  <c r="AK12" i="7"/>
  <c r="AF13" i="7"/>
  <c r="AG13" i="7"/>
  <c r="AH13" i="7"/>
  <c r="AI13" i="7"/>
  <c r="AK13" i="7"/>
  <c r="AF14" i="7"/>
  <c r="AG14" i="7"/>
  <c r="AH14" i="7"/>
  <c r="AI14" i="7"/>
  <c r="AK14" i="7"/>
  <c r="AD9" i="7"/>
  <c r="AD10" i="7"/>
  <c r="AD11" i="7"/>
  <c r="AD12" i="7"/>
  <c r="AD13" i="7"/>
  <c r="AD14" i="7"/>
  <c r="X10" i="7"/>
  <c r="X11" i="7"/>
  <c r="X12" i="7"/>
  <c r="X13" i="7"/>
  <c r="X14" i="7"/>
  <c r="R9" i="7"/>
  <c r="R10" i="7"/>
  <c r="R11" i="7"/>
  <c r="R12" i="7"/>
  <c r="R13" i="7"/>
  <c r="R14" i="7"/>
  <c r="L9" i="7"/>
  <c r="L10" i="7"/>
  <c r="L11" i="7"/>
  <c r="L12" i="7"/>
  <c r="L13" i="7"/>
  <c r="L14" i="7"/>
  <c r="J5" i="8"/>
  <c r="J6" i="8"/>
  <c r="J7" i="8"/>
  <c r="J4" i="8"/>
  <c r="AJ18" i="7" l="1"/>
  <c r="AJ17" i="7"/>
  <c r="AJ16" i="7"/>
  <c r="AJ15" i="7"/>
  <c r="AJ19" i="7"/>
  <c r="AJ28" i="7"/>
  <c r="AJ27" i="7"/>
  <c r="AJ26" i="7"/>
  <c r="AJ25" i="7"/>
  <c r="AJ24" i="7"/>
  <c r="AJ23" i="7"/>
  <c r="AJ22" i="7"/>
  <c r="AJ21" i="7"/>
  <c r="AJ39" i="7"/>
  <c r="AJ38" i="7"/>
  <c r="AJ37" i="7"/>
  <c r="AJ36" i="7"/>
  <c r="AJ35" i="7"/>
  <c r="AJ34" i="7"/>
  <c r="AJ33" i="7"/>
  <c r="AJ32" i="7"/>
  <c r="AJ30" i="7"/>
  <c r="AJ29" i="7"/>
  <c r="AJ14" i="7"/>
  <c r="AJ12" i="7"/>
  <c r="AJ10" i="7"/>
  <c r="AJ20" i="7"/>
  <c r="AJ13" i="7"/>
  <c r="AJ11" i="7"/>
  <c r="AJ9" i="7"/>
  <c r="AJ31" i="7"/>
  <c r="AG6" i="7" l="1"/>
  <c r="AH6" i="7"/>
  <c r="AI6" i="7"/>
  <c r="AG7" i="7"/>
  <c r="AH7" i="7"/>
  <c r="AI7" i="7"/>
  <c r="AG8" i="7"/>
  <c r="AH8" i="7"/>
  <c r="AI8" i="7"/>
  <c r="AF7" i="7"/>
  <c r="AF8" i="7"/>
  <c r="AF6" i="7"/>
  <c r="AJ6" i="7" s="1"/>
  <c r="AK7" i="7"/>
  <c r="AK8" i="7"/>
  <c r="AK6" i="7"/>
  <c r="AD7" i="7"/>
  <c r="AD8" i="7"/>
  <c r="AD6" i="7"/>
  <c r="X7" i="7"/>
  <c r="X8" i="7"/>
  <c r="X9" i="7"/>
  <c r="X6" i="7"/>
  <c r="R7" i="7"/>
  <c r="R8" i="7"/>
  <c r="R6" i="7"/>
  <c r="L7" i="7"/>
  <c r="L8" i="7"/>
  <c r="L6" i="7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2" i="13"/>
  <c r="AJ8" i="7" l="1"/>
  <c r="AJ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Wendy Klooster</author>
  </authors>
  <commentList>
    <comment ref="H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only count new plants for ash and invasives in 2011</t>
        </r>
      </text>
    </comment>
    <comment ref="I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only count short plants for ash and invasives in 2011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Wendy Klooster</author>
  </authors>
  <commentList>
    <comment ref="A9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delete this row (practice)</t>
        </r>
      </text>
    </comment>
    <comment ref="B24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add co3 to west quad/pic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Wendy Klooster</author>
  </authors>
  <commentList>
    <comment ref="E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Wendy Klooster:
</t>
        </r>
        <r>
          <rPr>
            <sz val="9"/>
            <color indexed="81"/>
            <rFont val="Tahoma"/>
            <family val="2"/>
          </rPr>
          <t>hydro classes for transect A-Z based on AM Smith data from file (ASmith_data); new transects based on judgement from 2006 &amp; 2008 data</t>
        </r>
      </text>
    </comment>
    <comment ref="I2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315 - 44.9deg = N
45 - 134.9 = E
135 - 224.9 = S
225 - 314.9 = W</t>
        </r>
      </text>
    </comment>
  </commentList>
</comments>
</file>

<file path=xl/sharedStrings.xml><?xml version="1.0" encoding="utf-8"?>
<sst xmlns="http://schemas.openxmlformats.org/spreadsheetml/2006/main" count="2689" uniqueCount="559">
  <si>
    <t>QUADRAT SURVEY</t>
  </si>
  <si>
    <t>.</t>
  </si>
  <si>
    <t>&lt;1</t>
  </si>
  <si>
    <t>cover classes: &lt;1, 1, 2-5, 6-10, 11-20, 21-30, …etc.</t>
  </si>
  <si>
    <t>NORTH</t>
  </si>
  <si>
    <t>EAST</t>
  </si>
  <si>
    <t>SOUTH</t>
  </si>
  <si>
    <t>WEST</t>
  </si>
  <si>
    <t>year</t>
  </si>
  <si>
    <t>park</t>
  </si>
  <si>
    <t>date</t>
  </si>
  <si>
    <t>plot</t>
  </si>
  <si>
    <t>species</t>
  </si>
  <si>
    <t>common name</t>
  </si>
  <si>
    <t>type</t>
  </si>
  <si>
    <t>N_new</t>
  </si>
  <si>
    <t>N_short</t>
  </si>
  <si>
    <t>N_mid</t>
  </si>
  <si>
    <t>N_tall</t>
  </si>
  <si>
    <t>N_total</t>
  </si>
  <si>
    <t>N_cov</t>
  </si>
  <si>
    <t>E_new</t>
  </si>
  <si>
    <t>E_short</t>
  </si>
  <si>
    <t>E_mid</t>
  </si>
  <si>
    <t>E_tall</t>
  </si>
  <si>
    <t>E_total</t>
  </si>
  <si>
    <t>E_cov</t>
  </si>
  <si>
    <t>S_new</t>
  </si>
  <si>
    <t>S_short</t>
  </si>
  <si>
    <t>S_mid</t>
  </si>
  <si>
    <t>S_tall</t>
  </si>
  <si>
    <t>S_total</t>
  </si>
  <si>
    <t>S_cov</t>
  </si>
  <si>
    <t>W_new</t>
  </si>
  <si>
    <t>W_short</t>
  </si>
  <si>
    <t>W_mid</t>
  </si>
  <si>
    <t>W_tall</t>
  </si>
  <si>
    <t>W_total</t>
  </si>
  <si>
    <t>W_cov</t>
  </si>
  <si>
    <t>new_ttl</t>
  </si>
  <si>
    <t>short_ttl</t>
  </si>
  <si>
    <t>mid_ttl</t>
  </si>
  <si>
    <t>tall_ttl</t>
  </si>
  <si>
    <t>plot_ttl</t>
  </si>
  <si>
    <t>cov_ttl</t>
  </si>
  <si>
    <t>notes</t>
  </si>
  <si>
    <t>highland</t>
  </si>
  <si>
    <t>Fraxinus</t>
  </si>
  <si>
    <t>Acer saccharum</t>
  </si>
  <si>
    <t>Ostrya virginiana</t>
  </si>
  <si>
    <t>Fagus grandifollia</t>
  </si>
  <si>
    <t>Rhamnus frangula</t>
  </si>
  <si>
    <t>Ulmus americana</t>
  </si>
  <si>
    <t>E: root sprout</t>
  </si>
  <si>
    <t>Carpinus caroliniana</t>
  </si>
  <si>
    <t>Celastrus orbiculatus</t>
  </si>
  <si>
    <t>W: root sprouts</t>
  </si>
  <si>
    <t>lots of spicebush (too small)</t>
  </si>
  <si>
    <t>Prunus serotina</t>
  </si>
  <si>
    <t>N: trunk sprout</t>
  </si>
  <si>
    <t>Lindera benzoin</t>
  </si>
  <si>
    <t>Smilax tamnoides</t>
  </si>
  <si>
    <t>W: sprout</t>
  </si>
  <si>
    <t>N: root sprout</t>
  </si>
  <si>
    <t>Populus spp</t>
  </si>
  <si>
    <t>Ilex verticillata</t>
  </si>
  <si>
    <t>N:  tall-skinny = bent over</t>
  </si>
  <si>
    <t>Rhamnus cathartica</t>
  </si>
  <si>
    <t>Lonicera bush</t>
  </si>
  <si>
    <t>E: root sprouts</t>
  </si>
  <si>
    <t>Quercus rubra</t>
  </si>
  <si>
    <t>Elaeagnus umbellata</t>
  </si>
  <si>
    <t>Berberis thunbergii</t>
  </si>
  <si>
    <t>Rosa multiflora</t>
  </si>
  <si>
    <t>Corylus americana</t>
  </si>
  <si>
    <t>Rubus</t>
  </si>
  <si>
    <t>Cornus racemosa</t>
  </si>
  <si>
    <t>Quercus spp</t>
  </si>
  <si>
    <t>W: 2/12 = root sprouts</t>
  </si>
  <si>
    <t xml:space="preserve">N: 12/15 = root sprouts </t>
  </si>
  <si>
    <t>Ribes cynosbati</t>
  </si>
  <si>
    <t>Cornus florida</t>
  </si>
  <si>
    <t>Tilia americana</t>
  </si>
  <si>
    <t>W: sucker</t>
  </si>
  <si>
    <t>Also new BT in N quad??</t>
  </si>
  <si>
    <t>Viburnum acerifolium</t>
  </si>
  <si>
    <t>pics 6603-6 (look-alike 6607-9)</t>
  </si>
  <si>
    <t>Prunus virginiana</t>
  </si>
  <si>
    <t>Sassafras albidum</t>
  </si>
  <si>
    <t>Vaccinium spp</t>
  </si>
  <si>
    <t>W mid: shrub-like clump, no main stem</t>
  </si>
  <si>
    <t>Cornus alternifolia</t>
  </si>
  <si>
    <t>Hamamelis virginiana</t>
  </si>
  <si>
    <t>Amelanchier arborea</t>
  </si>
  <si>
    <t>PHOTOS</t>
  </si>
  <si>
    <t>code</t>
  </si>
  <si>
    <t>hemi</t>
  </si>
  <si>
    <t>plot pics</t>
  </si>
  <si>
    <t>quad</t>
  </si>
  <si>
    <t>tag</t>
  </si>
  <si>
    <t>hemi: clipboard</t>
  </si>
  <si>
    <t>center</t>
  </si>
  <si>
    <t>north</t>
  </si>
  <si>
    <t>east</t>
  </si>
  <si>
    <t>south</t>
  </si>
  <si>
    <t>west</t>
  </si>
  <si>
    <t>7033-34</t>
  </si>
  <si>
    <t>7037-8</t>
  </si>
  <si>
    <t>hemi: ~9m b/c tree fall</t>
  </si>
  <si>
    <t>7028-9</t>
  </si>
  <si>
    <t>7024-5</t>
  </si>
  <si>
    <t>707-8</t>
  </si>
  <si>
    <t>hemi: w/out and w/ branch</t>
  </si>
  <si>
    <t>333-4</t>
  </si>
  <si>
    <t>562-7: ash on center tree; 568-9: trillium</t>
  </si>
  <si>
    <t>6589-90</t>
  </si>
  <si>
    <t>313-4</t>
  </si>
  <si>
    <t>6549, 56</t>
  </si>
  <si>
    <t>6550-1</t>
  </si>
  <si>
    <t>6552-3</t>
  </si>
  <si>
    <t>318-9</t>
  </si>
  <si>
    <t>6559-60</t>
  </si>
  <si>
    <t>286-7</t>
  </si>
  <si>
    <t>6521-2, 29-30</t>
  </si>
  <si>
    <t>288-9</t>
  </si>
  <si>
    <t>6520,3</t>
  </si>
  <si>
    <t>291-3</t>
  </si>
  <si>
    <t>6524-5</t>
  </si>
  <si>
    <t>hemi: 292-3 @ 10m</t>
  </si>
  <si>
    <t>295-6</t>
  </si>
  <si>
    <t>6527-8</t>
  </si>
  <si>
    <t>hemi: 296 @ 10m; 6535-6: dead ash</t>
  </si>
  <si>
    <t>6496-8</t>
  </si>
  <si>
    <t>6494-5</t>
  </si>
  <si>
    <t>276-83</t>
  </si>
  <si>
    <t>6504-5</t>
  </si>
  <si>
    <t>297-8</t>
  </si>
  <si>
    <t>6540-1</t>
  </si>
  <si>
    <t>6601, 13</t>
  </si>
  <si>
    <t>pics 6603-6: possible new BT in N quad</t>
  </si>
  <si>
    <t>6615-6</t>
  </si>
  <si>
    <t>pics 6607-9: herbaceous BT look-alike</t>
  </si>
  <si>
    <t>362-7</t>
  </si>
  <si>
    <t>368-9</t>
  </si>
  <si>
    <t>624-5</t>
  </si>
  <si>
    <t>373-4</t>
  </si>
  <si>
    <t>375-8</t>
  </si>
  <si>
    <t>631,6</t>
  </si>
  <si>
    <t>hemi pics 377-387 on 6/14/11 (raining on 6/10/11)</t>
  </si>
  <si>
    <t>380-2</t>
  </si>
  <si>
    <t>639-40</t>
  </si>
  <si>
    <t>385-7</t>
  </si>
  <si>
    <t>641-2</t>
  </si>
  <si>
    <t>414-5</t>
  </si>
  <si>
    <t>6672 = cool rock</t>
  </si>
  <si>
    <t>419-20</t>
  </si>
  <si>
    <t>6668-9</t>
  </si>
  <si>
    <t>429-30</t>
  </si>
  <si>
    <t>432-3</t>
  </si>
  <si>
    <t>435-6</t>
  </si>
  <si>
    <t>6685-6: blue-spotted salamander</t>
  </si>
  <si>
    <t>7061-2</t>
  </si>
  <si>
    <t>591,6</t>
  </si>
  <si>
    <t>388-9</t>
  </si>
  <si>
    <t>6644,9</t>
  </si>
  <si>
    <t>6643,5</t>
  </si>
  <si>
    <t>6654,60</t>
  </si>
  <si>
    <t>6656-7</t>
  </si>
  <si>
    <t>FIA survey</t>
  </si>
  <si>
    <t>% cover: 0, &lt;1, 1-5, 6-10, 11-20, 21-40, 41-60, 61-80, 81-100</t>
  </si>
  <si>
    <t>0-2 ft</t>
  </si>
  <si>
    <t>0-2 mid</t>
  </si>
  <si>
    <t>2-6 ft</t>
  </si>
  <si>
    <t>2-6 mid</t>
  </si>
  <si>
    <t>6-16 ft</t>
  </si>
  <si>
    <t>6-16 mid</t>
  </si>
  <si>
    <t>&gt;16 ft</t>
  </si>
  <si>
    <t>&gt;16 mid</t>
  </si>
  <si>
    <t>TOTAL</t>
  </si>
  <si>
    <t>NATIVE</t>
  </si>
  <si>
    <t>Ligustrum vulgare</t>
  </si>
  <si>
    <t>Euonymous alatus</t>
  </si>
  <si>
    <t>tall-skinny trees (&gt;bh, &lt;2.5cm dbh) and shrubs (&gt;1m tall)</t>
  </si>
  <si>
    <t>8m2 area:</t>
  </si>
  <si>
    <t>NE</t>
  </si>
  <si>
    <t>SE</t>
  </si>
  <si>
    <t>SW</t>
  </si>
  <si>
    <t>NW</t>
  </si>
  <si>
    <t>total</t>
  </si>
  <si>
    <t>Fagus grandifolia</t>
  </si>
  <si>
    <t>NW: 1/3 = root sprout</t>
  </si>
  <si>
    <t>Dirca palustris</t>
  </si>
  <si>
    <t>SW: 1/2 = trunk sprouts</t>
  </si>
  <si>
    <t>Crataegus punctata</t>
  </si>
  <si>
    <t>Acer rubrum</t>
  </si>
  <si>
    <t>Prunus spp</t>
  </si>
  <si>
    <t>maybe Carpinus?? (mis-ID??)</t>
  </si>
  <si>
    <t>Viburnum lentago</t>
  </si>
  <si>
    <t>was written as speckled alder - changed to hazlenut</t>
  </si>
  <si>
    <t>none</t>
  </si>
  <si>
    <t>plot burnt in 2010</t>
  </si>
  <si>
    <t>was written as prunus (but Amel recorded in 2009)</t>
  </si>
  <si>
    <t>Betula papyrifera</t>
  </si>
  <si>
    <t>should be Ostrya?? (has Ostrya in 2009)</t>
  </si>
  <si>
    <t>ash saplings: &gt;1m tall, &lt;2.5cm dbh</t>
  </si>
  <si>
    <t>label</t>
  </si>
  <si>
    <t>diam @ 12"</t>
  </si>
  <si>
    <t>diam @ bh</t>
  </si>
  <si>
    <t>distance</t>
  </si>
  <si>
    <t>degree</t>
  </si>
  <si>
    <t>some dead branches, splitting bark</t>
  </si>
  <si>
    <t>healthy; white spots on bark</t>
  </si>
  <si>
    <t>healthy</t>
  </si>
  <si>
    <t>dead 2010</t>
  </si>
  <si>
    <t>generally healthy</t>
  </si>
  <si>
    <t>dead or lost 2011</t>
  </si>
  <si>
    <t>healthy, top snapped; new 2011</t>
  </si>
  <si>
    <t>lost 2011</t>
  </si>
  <si>
    <t>nice tree; new 2011</t>
  </si>
  <si>
    <t>great</t>
  </si>
  <si>
    <t>top declining; mites</t>
  </si>
  <si>
    <t>good</t>
  </si>
  <si>
    <t>crown dieback, bark splitting</t>
  </si>
  <si>
    <t>** data recorded for 2011 all F'd up!!!!!</t>
  </si>
  <si>
    <t>(did not enter 2011 data yet)</t>
  </si>
  <si>
    <t>new 2011</t>
  </si>
  <si>
    <t>on slope; good</t>
  </si>
  <si>
    <t>good; some black spots</t>
  </si>
  <si>
    <t>top dead</t>
  </si>
  <si>
    <t>dead, broken (removed tag) 2011</t>
  </si>
  <si>
    <t>can't find 2011</t>
  </si>
  <si>
    <t>new 2011; good</t>
  </si>
  <si>
    <t>dead; tag removed</t>
  </si>
  <si>
    <t>canopy dead, has suckers</t>
  </si>
  <si>
    <t>(or &lt; 170 ?) nice tree</t>
  </si>
  <si>
    <t>stunted; small leaves</t>
  </si>
  <si>
    <t>smaller dbh than 2010</t>
  </si>
  <si>
    <t>tagged natives &amp; invasives</t>
  </si>
  <si>
    <t>* = native?</t>
  </si>
  <si>
    <t>INVASIVE</t>
  </si>
  <si>
    <t>(cm)</t>
  </si>
  <si>
    <t>(m)</t>
  </si>
  <si>
    <t>inv.code</t>
  </si>
  <si>
    <t>length</t>
  </si>
  <si>
    <t>width</t>
  </si>
  <si>
    <t>height</t>
  </si>
  <si>
    <t>inv_vol (m3)</t>
  </si>
  <si>
    <t>nat.code</t>
  </si>
  <si>
    <t>nat_vol (m3)</t>
  </si>
  <si>
    <t>dist b/n</t>
  </si>
  <si>
    <t>photo</t>
  </si>
  <si>
    <t>CO1</t>
  </si>
  <si>
    <t>Carya cordiformis</t>
  </si>
  <si>
    <t>CACO15-1</t>
  </si>
  <si>
    <t>CO2</t>
  </si>
  <si>
    <t>FAGR-1</t>
  </si>
  <si>
    <t>CO3</t>
  </si>
  <si>
    <t>ACSA3-1</t>
  </si>
  <si>
    <t>CO4</t>
  </si>
  <si>
    <t>CACO15-2</t>
  </si>
  <si>
    <t>LB1</t>
  </si>
  <si>
    <t>ACSA3-3</t>
  </si>
  <si>
    <t>under tiny Ostrya; LB:dbl-stm; As:ofsht, mn stm dd?</t>
  </si>
  <si>
    <t>LB2</t>
  </si>
  <si>
    <t>FRAXI-1</t>
  </si>
  <si>
    <t>MF1</t>
  </si>
  <si>
    <t>VIAC-1</t>
  </si>
  <si>
    <t>&lt; to center tree (can't see pole)</t>
  </si>
  <si>
    <t>MF2</t>
  </si>
  <si>
    <t>CACO15-3</t>
  </si>
  <si>
    <t>native CACO15, not VIAC</t>
  </si>
  <si>
    <t>w/ side branch on W side</t>
  </si>
  <si>
    <t>RF1</t>
  </si>
  <si>
    <t>RF2</t>
  </si>
  <si>
    <t>ACSA3-2</t>
  </si>
  <si>
    <t>just S of fallen snag by log</t>
  </si>
  <si>
    <t>BT1</t>
  </si>
  <si>
    <t>LIBE3-3</t>
  </si>
  <si>
    <t>EU1</t>
  </si>
  <si>
    <t>LIBE3-2</t>
  </si>
  <si>
    <t>EU2</t>
  </si>
  <si>
    <t>LIBE3-1</t>
  </si>
  <si>
    <t>EU3</t>
  </si>
  <si>
    <t>CACA18-1</t>
  </si>
  <si>
    <t>just in front of fallen bare log</t>
  </si>
  <si>
    <t>RC1</t>
  </si>
  <si>
    <t>RC2</t>
  </si>
  <si>
    <t>CACA18-3</t>
  </si>
  <si>
    <t>RC tiny!</t>
  </si>
  <si>
    <t>RC4</t>
  </si>
  <si>
    <t>CACA18-2</t>
  </si>
  <si>
    <t>RC5</t>
  </si>
  <si>
    <t>RC dead; Ca just behind log, tag gone, prob same</t>
  </si>
  <si>
    <t>CACA18-4</t>
  </si>
  <si>
    <t>LIBE3-6</t>
  </si>
  <si>
    <t>BT: on low W side??</t>
  </si>
  <si>
    <t>LB: all stems</t>
  </si>
  <si>
    <t>LIBE3-7</t>
  </si>
  <si>
    <t>LIBE3-5</t>
  </si>
  <si>
    <t>in W quad</t>
  </si>
  <si>
    <t>COFL2-1</t>
  </si>
  <si>
    <t>LIBE3-4</t>
  </si>
  <si>
    <t>on slope</t>
  </si>
  <si>
    <t>LV1</t>
  </si>
  <si>
    <t>MF: climbing up tree</t>
  </si>
  <si>
    <t>COAL2-1</t>
  </si>
  <si>
    <t>MF: clump</t>
  </si>
  <si>
    <t>LLIBE3-1</t>
  </si>
  <si>
    <t>RC3</t>
  </si>
  <si>
    <t>RC: tiny, by PI</t>
  </si>
  <si>
    <t>RC6</t>
  </si>
  <si>
    <t>RC7</t>
  </si>
  <si>
    <t>RC: just main lvs</t>
  </si>
  <si>
    <t>BT2</t>
  </si>
  <si>
    <t>LIBE3-12</t>
  </si>
  <si>
    <t>BT: just living part</t>
  </si>
  <si>
    <t>CO: both stems</t>
  </si>
  <si>
    <t>FRAXI-3</t>
  </si>
  <si>
    <t>CO: long branch vining up (not on anything)</t>
  </si>
  <si>
    <t>CO5</t>
  </si>
  <si>
    <t>CO: scrawny; at base of small A. rubrum</t>
  </si>
  <si>
    <t>Cornus spp</t>
  </si>
  <si>
    <t>CORNU-5</t>
  </si>
  <si>
    <t>Cor: almost all dead, tiny side branch</t>
  </si>
  <si>
    <t>FRAXI-2</t>
  </si>
  <si>
    <t>RC10</t>
  </si>
  <si>
    <t>LIBE3-10</t>
  </si>
  <si>
    <t>RC: mn stm dead</t>
  </si>
  <si>
    <t>LIBE3-11</t>
  </si>
  <si>
    <t>LB: 1 stem</t>
  </si>
  <si>
    <t>RC9</t>
  </si>
  <si>
    <t>353-4</t>
  </si>
  <si>
    <t>FRAXI-7</t>
  </si>
  <si>
    <t>425-6</t>
  </si>
  <si>
    <t>CO: mostly dead; opp sides of dead log</t>
  </si>
  <si>
    <t>FRAXI-4</t>
  </si>
  <si>
    <t>behind wht oak</t>
  </si>
  <si>
    <t>FRAXI-12</t>
  </si>
  <si>
    <t>RC11</t>
  </si>
  <si>
    <t>RC: whole clump; under small beech</t>
  </si>
  <si>
    <t>FRAXI-11</t>
  </si>
  <si>
    <t>FRAXI-5</t>
  </si>
  <si>
    <t>base of wht oak</t>
  </si>
  <si>
    <t>FRAXI-8</t>
  </si>
  <si>
    <t>by ctr! RC w/ low side branch</t>
  </si>
  <si>
    <t>Frax - sickly resprout; RC - no tag, 99% sure</t>
  </si>
  <si>
    <t>RF dead</t>
  </si>
  <si>
    <t>FRAXI-9</t>
  </si>
  <si>
    <t>CO: no tag, 99% sure, sprawling; edge of root pit</t>
  </si>
  <si>
    <t>&gt;'s behind ctr tree</t>
  </si>
  <si>
    <t>RF nearby (not tagged)</t>
  </si>
  <si>
    <t>FRAXI-10</t>
  </si>
  <si>
    <t>BT nearby (not tagged)</t>
  </si>
  <si>
    <t>CORNU-2</t>
  </si>
  <si>
    <t>RC: tag chewed, retag; by quad, fallen log</t>
  </si>
  <si>
    <t>Frax: chewed, almost dead; RF: mn stm dd, multi-rspts</t>
  </si>
  <si>
    <t>Carya spp</t>
  </si>
  <si>
    <t>CARYA-1</t>
  </si>
  <si>
    <t>408-9</t>
  </si>
  <si>
    <t>b/n Acer &amp; dead stump</t>
  </si>
  <si>
    <t>in S quad</t>
  </si>
  <si>
    <t>PRSE2-1</t>
  </si>
  <si>
    <t>by ctr!</t>
  </si>
  <si>
    <t>RF3</t>
  </si>
  <si>
    <t>in S quad; RF lost (no tag)</t>
  </si>
  <si>
    <t>RF4</t>
  </si>
  <si>
    <t>VIAC-2</t>
  </si>
  <si>
    <t>invasive</t>
  </si>
  <si>
    <t>inv</t>
  </si>
  <si>
    <t>inv_habit</t>
  </si>
  <si>
    <t>native</t>
  </si>
  <si>
    <t>nat</t>
  </si>
  <si>
    <t>nat_habit</t>
  </si>
  <si>
    <t>pair</t>
  </si>
  <si>
    <t>Bt</t>
  </si>
  <si>
    <t>shrub</t>
  </si>
  <si>
    <t>Lb</t>
  </si>
  <si>
    <t>co3</t>
  </si>
  <si>
    <t>co1</t>
  </si>
  <si>
    <t>co4</t>
  </si>
  <si>
    <t>Co</t>
  </si>
  <si>
    <t>vine</t>
  </si>
  <si>
    <t>As</t>
  </si>
  <si>
    <t>tree</t>
  </si>
  <si>
    <t>co2</t>
  </si>
  <si>
    <t>Cco</t>
  </si>
  <si>
    <t>lb1</t>
  </si>
  <si>
    <t>lb2</t>
  </si>
  <si>
    <t>Cornus</t>
  </si>
  <si>
    <t>Cor</t>
  </si>
  <si>
    <t>rf2</t>
  </si>
  <si>
    <t>Fg</t>
  </si>
  <si>
    <t>rf1</t>
  </si>
  <si>
    <t>F</t>
  </si>
  <si>
    <t>mf2</t>
  </si>
  <si>
    <t>mf1</t>
  </si>
  <si>
    <t>bt1</t>
  </si>
  <si>
    <t>eu3</t>
  </si>
  <si>
    <t>eu2</t>
  </si>
  <si>
    <t>eu1</t>
  </si>
  <si>
    <t>rc3</t>
  </si>
  <si>
    <t>rc4</t>
  </si>
  <si>
    <t>rc2</t>
  </si>
  <si>
    <t>rc1</t>
  </si>
  <si>
    <t>Eu</t>
  </si>
  <si>
    <t>Cc</t>
  </si>
  <si>
    <t>Lv</t>
  </si>
  <si>
    <t>Lonicera bella</t>
  </si>
  <si>
    <t>lv1</t>
  </si>
  <si>
    <t>rc7</t>
  </si>
  <si>
    <t>Rc</t>
  </si>
  <si>
    <t>Carya</t>
  </si>
  <si>
    <t>Car</t>
  </si>
  <si>
    <t>rc6</t>
  </si>
  <si>
    <t>bt2</t>
  </si>
  <si>
    <t>co5</t>
  </si>
  <si>
    <t>rc10</t>
  </si>
  <si>
    <t>rc9</t>
  </si>
  <si>
    <t>rc5</t>
  </si>
  <si>
    <t>rc11</t>
  </si>
  <si>
    <t>Ps</t>
  </si>
  <si>
    <t>Va</t>
  </si>
  <si>
    <t>Rf</t>
  </si>
  <si>
    <t>Rm</t>
  </si>
  <si>
    <t>rf3</t>
  </si>
  <si>
    <t>rf4</t>
  </si>
  <si>
    <t>SCANOPY</t>
  </si>
  <si>
    <t>2006b</t>
  </si>
  <si>
    <t>Photo#</t>
  </si>
  <si>
    <t>FileName</t>
  </si>
  <si>
    <t>Analysis Date Time</t>
  </si>
  <si>
    <t>Acquisition Date Time</t>
  </si>
  <si>
    <t>Modified Date Time</t>
  </si>
  <si>
    <t>ImageSize H V PxSizeH PxSizeV</t>
  </si>
  <si>
    <t>Edited Sharpened</t>
  </si>
  <si>
    <t>Camera Make Model Software</t>
  </si>
  <si>
    <t>LensFocLength [Equiv. 35mm]</t>
  </si>
  <si>
    <t>Aperture</t>
  </si>
  <si>
    <t>ExposureTime</t>
  </si>
  <si>
    <t>Camera ISO Metering</t>
  </si>
  <si>
    <t>Camera Exposure Prog. Bias Mode</t>
  </si>
  <si>
    <t>Camera Gain Contrast Saturation Sharpness</t>
  </si>
  <si>
    <t>UserCameraModel-SN LensModel-SN</t>
  </si>
  <si>
    <t>FOVMax</t>
  </si>
  <si>
    <t>LensType LensCalCoef[0 to 9]</t>
  </si>
  <si>
    <t>HemiRadiusCentreHV/CoverExtCoef</t>
  </si>
  <si>
    <t>GapSizeDist Method Params</t>
  </si>
  <si>
    <t>Bonhom ViewAng Span</t>
  </si>
  <si>
    <t>LAI2000 NRing PathLengthSubs</t>
  </si>
  <si>
    <t>LAISphereProjCoef LAIUsedForG(z)</t>
  </si>
  <si>
    <t>NSky NZen NOrien[Orig] ZenMin ZenMax DifRadModel</t>
  </si>
  <si>
    <t>GapFrZeroSubs PxOrGap</t>
  </si>
  <si>
    <t>ZenithRingsRange</t>
  </si>
  <si>
    <t>NofMask</t>
  </si>
  <si>
    <t>RadiationUnits</t>
  </si>
  <si>
    <t>TimeZone</t>
  </si>
  <si>
    <t>MinutesInterval</t>
  </si>
  <si>
    <t>GrowSeasActive</t>
  </si>
  <si>
    <t>GrowSeasBegin</t>
  </si>
  <si>
    <t>GrowSeasEnd</t>
  </si>
  <si>
    <t>GrowSeasDayInt</t>
  </si>
  <si>
    <t>SubstDirRad</t>
  </si>
  <si>
    <t>SubstDiffRad</t>
  </si>
  <si>
    <t>SolarConstant</t>
  </si>
  <si>
    <t>PARToRadRatio</t>
  </si>
  <si>
    <t>DiffRadToDirRadRatio</t>
  </si>
  <si>
    <t>AtmTrans</t>
  </si>
  <si>
    <t>SunSizeMeth</t>
  </si>
  <si>
    <t>Channel NBits</t>
  </si>
  <si>
    <t>PxClassifMeth PxClassifModif</t>
  </si>
  <si>
    <t>FieldTripDate</t>
  </si>
  <si>
    <t>FieldTripSite</t>
  </si>
  <si>
    <t>FieldTripOpAssist</t>
  </si>
  <si>
    <t>AcquisitionTime</t>
  </si>
  <si>
    <t>MemoryCard</t>
  </si>
  <si>
    <t>CameraHeight</t>
  </si>
  <si>
    <t>Plot</t>
  </si>
  <si>
    <t>SkyCond</t>
  </si>
  <si>
    <t>Analyst</t>
  </si>
  <si>
    <t>Comment</t>
  </si>
  <si>
    <t>Slope Aspect</t>
  </si>
  <si>
    <t>NorthRef Declination[Negative=W]</t>
  </si>
  <si>
    <t>Orientation</t>
  </si>
  <si>
    <t>Latitude[&lt;0=S]</t>
  </si>
  <si>
    <t>Longitude[&lt;0=W]</t>
  </si>
  <si>
    <t>Altitude</t>
  </si>
  <si>
    <t>CrownProjArea(CPA)</t>
  </si>
  <si>
    <t>GapFraction</t>
  </si>
  <si>
    <t>Openness</t>
  </si>
  <si>
    <t>LAI(Bonhom)-Lin</t>
  </si>
  <si>
    <t>LAI(2000)-Lin</t>
  </si>
  <si>
    <t>LAI(2000G)-Lin</t>
  </si>
  <si>
    <t>LAI(Sphere)-Lin</t>
  </si>
  <si>
    <t>LAI(Ellips)-Lin</t>
  </si>
  <si>
    <t>MeanLeafAngle-Lin</t>
  </si>
  <si>
    <t>LAI(Bonhom)-Log</t>
  </si>
  <si>
    <t>LAI(2000)-Log</t>
  </si>
  <si>
    <t>LAI(2000G)-Log</t>
  </si>
  <si>
    <t>LAI(Sphere)-Log</t>
  </si>
  <si>
    <t>LAI(Ellips)-Log</t>
  </si>
  <si>
    <t>MeanLeafAngle-Log</t>
  </si>
  <si>
    <t>NofZeroGapFrRgn</t>
  </si>
  <si>
    <t>CI(Bonhom)</t>
  </si>
  <si>
    <t>CI(2000)</t>
  </si>
  <si>
    <t>CI(2000G)</t>
  </si>
  <si>
    <t>CI(Sphere)</t>
  </si>
  <si>
    <t>CI(Ellips)</t>
  </si>
  <si>
    <t>CI(GSD)</t>
  </si>
  <si>
    <t>CrownCoverRatio</t>
  </si>
  <si>
    <t>FoliageCoverRatio</t>
  </si>
  <si>
    <t>CrownPorosity</t>
  </si>
  <si>
    <t>LAIAtZenViewAngle</t>
  </si>
  <si>
    <t>LAIBeerLambert</t>
  </si>
  <si>
    <t>LAI(Bonhom)-Lin CICorr</t>
  </si>
  <si>
    <t>LAI(2000)-Lin CICorr</t>
  </si>
  <si>
    <t>LAI(2000G)-Lin CICorr</t>
  </si>
  <si>
    <t>LAI(Sphere)-Lin CICorr</t>
  </si>
  <si>
    <t>LAI(Ellips)-Lin CICorr</t>
  </si>
  <si>
    <t>LAI(Bonhom)-Log CICorr</t>
  </si>
  <si>
    <t>LAI(2000)-Log CICorr</t>
  </si>
  <si>
    <t>LAI(2000G)-Log CICorr</t>
  </si>
  <si>
    <t>LAI(Sphere)-Log CICorr</t>
  </si>
  <si>
    <t>LAI(Ellips)-Log CICorr</t>
  </si>
  <si>
    <t>SilhouetteArea(SA)</t>
  </si>
  <si>
    <t>CrownArea(CA)</t>
  </si>
  <si>
    <t>FrameArea(PFA)</t>
  </si>
  <si>
    <t>LAI IsolTree</t>
  </si>
  <si>
    <t>DirectSiteFactor</t>
  </si>
  <si>
    <t>IndirectSiteFactor</t>
  </si>
  <si>
    <t>TotalSiteFactor</t>
  </si>
  <si>
    <t>PPFDDirectOverPerDay[MJorMol/m2day]</t>
  </si>
  <si>
    <t>PPFDDiffuseOverPerDay[MJorMol/m2day]</t>
  </si>
  <si>
    <t>PPFDTotalOverPerDay[MJorMol/m2day]</t>
  </si>
  <si>
    <t>PPFDDirectUnderPerDay[MJorMol/m2day]</t>
  </si>
  <si>
    <t>PPFDDiffuseUnderPerDay[MJorMol/m2day]</t>
  </si>
  <si>
    <t>PPFDTotalUnderPerDay[MJorMol/m2day]</t>
  </si>
  <si>
    <t>GapRgnArea</t>
  </si>
  <si>
    <t>GapRgnZen</t>
  </si>
  <si>
    <t>GapRgnAz</t>
  </si>
  <si>
    <t>GapRgnHeight</t>
  </si>
  <si>
    <t>GapRgnGapFrac</t>
  </si>
  <si>
    <t>GapRgnDirRadOver</t>
  </si>
  <si>
    <t>GapRgnDirRadUnder</t>
  </si>
  <si>
    <t>GapRgnDifRadOver</t>
  </si>
  <si>
    <t>GapRgnDifRadUnder</t>
  </si>
  <si>
    <t>...</t>
  </si>
  <si>
    <t>pic_name</t>
  </si>
  <si>
    <t>(duplicates deleted or averaged, invasives on separate lines)</t>
  </si>
  <si>
    <t>transect</t>
  </si>
  <si>
    <t>class</t>
  </si>
  <si>
    <t>pic</t>
  </si>
  <si>
    <t>picnum</t>
  </si>
  <si>
    <t>_FREQ_</t>
  </si>
  <si>
    <t>gapmn</t>
  </si>
  <si>
    <t>gapse</t>
  </si>
  <si>
    <t>gapmin</t>
  </si>
  <si>
    <t>gapmax</t>
  </si>
  <si>
    <t>gapmedian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</si>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</sst>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mmmyy"/>
    <numFmt numFmtId="165" formatCode="0.0000"/>
  </numFmts>
  <fonts count="8">
    <font>
      <sz val="10"/>
      <name val="Arial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3" fillId="0" borderId="0" xfId="0" applyFont="1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2" fontId="0" fillId="0" borderId="0" xfId="0" applyNumberFormat="1"/>
    <xf numFmtId="0" fontId="6" fillId="0" borderId="0" xfId="0" applyFont="1"/>
    <xf numFmtId="22" fontId="6" fillId="0" borderId="0" xfId="0" applyNumberFormat="1" applyFont="1"/>
    <xf numFmtId="14" fontId="6" fillId="0" borderId="0" xfId="0" applyNumberFormat="1" applyFont="1"/>
    <xf numFmtId="20" fontId="6" fillId="0" borderId="0" xfId="0" applyNumberFormat="1" applyFont="1"/>
    <xf numFmtId="0" fontId="2" fillId="0" borderId="2" xfId="0" applyFont="1" applyBorder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2" fillId="0" borderId="2" xfId="0" applyFont="1" applyBorder="1" applyAlignment="1">
      <alignment horizontal="left"/>
    </xf>
    <xf numFmtId="0" fontId="0" fillId="2" borderId="0" xfId="0" applyFill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4" xfId="0" applyFill="1" applyBorder="1"/>
    <xf numFmtId="0" fontId="2" fillId="3" borderId="4" xfId="0" applyFont="1" applyFill="1" applyBorder="1"/>
    <xf numFmtId="164" fontId="0" fillId="3" borderId="4" xfId="0" applyNumberFormat="1" applyFill="1" applyBorder="1"/>
    <xf numFmtId="0" fontId="3" fillId="3" borderId="4" xfId="0" applyFont="1" applyFill="1" applyBorder="1"/>
    <xf numFmtId="0" fontId="2" fillId="2" borderId="0" xfId="0" applyFont="1" applyFill="1"/>
    <xf numFmtId="0" fontId="0" fillId="2" borderId="1" xfId="0" applyFill="1" applyBorder="1"/>
    <xf numFmtId="0" fontId="1" fillId="2" borderId="0" xfId="0" applyFont="1" applyFill="1"/>
    <xf numFmtId="164" fontId="0" fillId="2" borderId="0" xfId="0" applyNumberFormat="1" applyFill="1"/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5"/>
  <sheetViews>
    <sheetView workbookViewId="0">
      <pane xSplit="7" ySplit="5" topLeftCell="H6" activePane="bottomRight" state="frozen"/>
      <selection pane="bottomRight" activeCell="I11" sqref="I11"/>
      <selection pane="bottomLeft" activeCell="A6" sqref="A6"/>
      <selection pane="topRight" activeCell="H1" sqref="H1"/>
    </sheetView>
  </sheetViews>
  <sheetFormatPr defaultColWidth="9.140625" defaultRowHeight="12.75"/>
  <cols>
    <col min="3" max="3" width="9.85546875" style="12" customWidth="1"/>
    <col min="4" max="4" width="7.42578125" style="3" customWidth="1"/>
    <col min="5" max="5" width="25" customWidth="1"/>
    <col min="6" max="6" width="21.5703125" hidden="1" customWidth="1"/>
    <col min="7" max="7" width="12.5703125" hidden="1" customWidth="1"/>
    <col min="8" max="31" width="9.140625" style="1"/>
    <col min="32" max="36" width="9.140625" style="9" customWidth="1"/>
    <col min="38" max="38" width="29.28515625" style="34" bestFit="1" customWidth="1"/>
  </cols>
  <sheetData>
    <row r="1" spans="1:38">
      <c r="A1" s="15" t="s">
        <v>0</v>
      </c>
      <c r="B1" s="3"/>
      <c r="C1"/>
      <c r="D1"/>
      <c r="F1" s="1" t="s">
        <v>1</v>
      </c>
      <c r="G1" s="1" t="s">
        <v>2</v>
      </c>
      <c r="H1" s="1">
        <v>1</v>
      </c>
      <c r="I1">
        <v>2</v>
      </c>
      <c r="J1">
        <v>6</v>
      </c>
      <c r="K1">
        <v>11</v>
      </c>
      <c r="L1">
        <v>21</v>
      </c>
      <c r="M1">
        <v>31</v>
      </c>
      <c r="N1">
        <v>41</v>
      </c>
      <c r="O1">
        <v>51</v>
      </c>
      <c r="P1">
        <v>61</v>
      </c>
      <c r="Q1">
        <v>71</v>
      </c>
      <c r="R1">
        <v>81</v>
      </c>
      <c r="S1">
        <v>91</v>
      </c>
      <c r="U1" s="9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L1" s="35"/>
    </row>
    <row r="2" spans="1:38">
      <c r="A2" s="15" t="s">
        <v>3</v>
      </c>
      <c r="B2" s="3"/>
      <c r="C2"/>
      <c r="D2"/>
      <c r="F2" s="1">
        <v>0</v>
      </c>
      <c r="G2" s="1">
        <v>0.5</v>
      </c>
      <c r="H2" s="1">
        <v>1.5</v>
      </c>
      <c r="I2">
        <v>3.5</v>
      </c>
      <c r="J2">
        <v>8</v>
      </c>
      <c r="K2">
        <v>15</v>
      </c>
      <c r="L2">
        <v>25</v>
      </c>
      <c r="M2">
        <v>35</v>
      </c>
      <c r="N2">
        <v>45</v>
      </c>
      <c r="O2">
        <v>55</v>
      </c>
      <c r="P2">
        <v>65</v>
      </c>
      <c r="Q2">
        <v>75</v>
      </c>
      <c r="R2">
        <v>85</v>
      </c>
      <c r="S2">
        <v>95</v>
      </c>
      <c r="U2" s="9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L2" s="35"/>
    </row>
    <row r="3" spans="1:38">
      <c r="C3" s="15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8">
      <c r="H4" s="3"/>
      <c r="I4" s="3"/>
      <c r="J4" s="3" t="s">
        <v>4</v>
      </c>
      <c r="K4" s="3"/>
      <c r="L4" s="3"/>
      <c r="M4" s="3"/>
      <c r="N4" s="3"/>
      <c r="O4" s="3"/>
      <c r="P4" s="3" t="s">
        <v>5</v>
      </c>
      <c r="Q4" s="3"/>
      <c r="R4" s="3"/>
      <c r="S4" s="3"/>
      <c r="T4" s="3"/>
      <c r="U4" s="3"/>
      <c r="V4" s="3"/>
      <c r="W4" s="3" t="s">
        <v>6</v>
      </c>
      <c r="X4" s="3"/>
      <c r="Y4" s="3"/>
      <c r="Z4" s="3"/>
      <c r="AA4" s="3"/>
      <c r="AB4" s="3" t="s">
        <v>7</v>
      </c>
      <c r="AC4" s="3"/>
      <c r="AD4" s="3"/>
      <c r="AE4" s="3"/>
    </row>
    <row r="5" spans="1:38">
      <c r="A5" s="22" t="s">
        <v>8</v>
      </c>
      <c r="B5" s="22" t="s">
        <v>9</v>
      </c>
      <c r="C5" s="12" t="s">
        <v>10</v>
      </c>
      <c r="D5" s="3" t="s">
        <v>11</v>
      </c>
      <c r="E5" t="s">
        <v>12</v>
      </c>
      <c r="F5" t="s">
        <v>13</v>
      </c>
      <c r="G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  <c r="W5" s="3" t="s">
        <v>30</v>
      </c>
      <c r="X5" s="3" t="s">
        <v>31</v>
      </c>
      <c r="Y5" s="3" t="s">
        <v>32</v>
      </c>
      <c r="Z5" s="3" t="s">
        <v>33</v>
      </c>
      <c r="AA5" s="3" t="s">
        <v>34</v>
      </c>
      <c r="AB5" s="3" t="s">
        <v>35</v>
      </c>
      <c r="AC5" s="3" t="s">
        <v>36</v>
      </c>
      <c r="AD5" s="3" t="s">
        <v>37</v>
      </c>
      <c r="AE5" s="3" t="s">
        <v>38</v>
      </c>
      <c r="AF5" s="24" t="s">
        <v>39</v>
      </c>
      <c r="AG5" s="24" t="s">
        <v>40</v>
      </c>
      <c r="AH5" s="24" t="s">
        <v>41</v>
      </c>
      <c r="AI5" s="24" t="s">
        <v>42</v>
      </c>
      <c r="AJ5" s="24" t="s">
        <v>43</v>
      </c>
      <c r="AK5" s="24" t="s">
        <v>44</v>
      </c>
      <c r="AL5" s="24" t="s">
        <v>45</v>
      </c>
    </row>
    <row r="6" spans="1:38">
      <c r="A6">
        <v>2011</v>
      </c>
      <c r="B6" s="22" t="s">
        <v>46</v>
      </c>
      <c r="C6" s="12">
        <v>40718</v>
      </c>
      <c r="D6" s="3">
        <v>28</v>
      </c>
      <c r="E6" s="22" t="s">
        <v>47</v>
      </c>
      <c r="H6" s="33">
        <v>0</v>
      </c>
      <c r="I6" s="1">
        <v>29</v>
      </c>
      <c r="J6" s="33">
        <v>0</v>
      </c>
      <c r="K6" s="33">
        <v>0</v>
      </c>
      <c r="L6" s="1">
        <f>SUM(H6:K6)</f>
        <v>29</v>
      </c>
      <c r="M6" s="1">
        <v>3.5</v>
      </c>
      <c r="N6" s="33">
        <v>0</v>
      </c>
      <c r="O6" s="1">
        <v>0</v>
      </c>
      <c r="P6" s="33">
        <v>0</v>
      </c>
      <c r="Q6" s="33">
        <v>0</v>
      </c>
      <c r="R6" s="1">
        <f>SUM(N6:Q6)</f>
        <v>0</v>
      </c>
      <c r="S6" s="1">
        <v>0</v>
      </c>
      <c r="T6" s="33">
        <v>0</v>
      </c>
      <c r="U6" s="1">
        <v>2</v>
      </c>
      <c r="V6" s="33">
        <v>0</v>
      </c>
      <c r="W6" s="33">
        <v>0</v>
      </c>
      <c r="X6" s="1">
        <f>SUM(T6:W6)</f>
        <v>2</v>
      </c>
      <c r="Y6" s="1">
        <v>1.5</v>
      </c>
      <c r="Z6" s="33">
        <v>0</v>
      </c>
      <c r="AA6" s="1">
        <v>11</v>
      </c>
      <c r="AB6" s="33">
        <v>0</v>
      </c>
      <c r="AC6" s="33">
        <v>0</v>
      </c>
      <c r="AD6" s="1">
        <f>SUM(Z6:AC6)</f>
        <v>11</v>
      </c>
      <c r="AE6" s="1">
        <v>3.5</v>
      </c>
      <c r="AF6" s="24">
        <f>SUM(H6,N6,T6,Z6)</f>
        <v>0</v>
      </c>
      <c r="AG6" s="24">
        <f t="shared" ref="AG6:AI8" si="0">SUM(I6,O6,U6,AA6)</f>
        <v>42</v>
      </c>
      <c r="AH6" s="24">
        <f t="shared" si="0"/>
        <v>0</v>
      </c>
      <c r="AI6" s="24">
        <f t="shared" si="0"/>
        <v>0</v>
      </c>
      <c r="AJ6" s="24">
        <f>SUM(AF6:AI6)</f>
        <v>42</v>
      </c>
      <c r="AK6" s="24">
        <f>M6+S6+Y6+AE6</f>
        <v>8.5</v>
      </c>
    </row>
    <row r="7" spans="1:38">
      <c r="A7">
        <v>2011</v>
      </c>
      <c r="B7" s="22" t="s">
        <v>46</v>
      </c>
      <c r="C7" s="12">
        <v>40718</v>
      </c>
      <c r="D7" s="3">
        <v>28</v>
      </c>
      <c r="E7" s="22" t="s">
        <v>48</v>
      </c>
      <c r="H7" s="33" t="s">
        <v>1</v>
      </c>
      <c r="I7" s="33" t="s">
        <v>1</v>
      </c>
      <c r="J7" s="33">
        <v>0</v>
      </c>
      <c r="K7" s="33">
        <v>1</v>
      </c>
      <c r="L7" s="1">
        <f t="shared" ref="L7:L74" si="1">SUM(H7:K7)</f>
        <v>1</v>
      </c>
      <c r="M7" s="33">
        <v>0.5</v>
      </c>
      <c r="N7" s="33" t="s">
        <v>1</v>
      </c>
      <c r="O7" s="1" t="s">
        <v>1</v>
      </c>
      <c r="P7" s="33">
        <v>0</v>
      </c>
      <c r="Q7" s="33">
        <v>0</v>
      </c>
      <c r="R7" s="1">
        <f t="shared" ref="R7:R74" si="2">SUM(N7:Q7)</f>
        <v>0</v>
      </c>
      <c r="S7" s="33">
        <v>0</v>
      </c>
      <c r="T7" s="1" t="s">
        <v>1</v>
      </c>
      <c r="U7" s="33" t="s">
        <v>1</v>
      </c>
      <c r="V7" s="33">
        <v>0</v>
      </c>
      <c r="W7" s="33">
        <v>0</v>
      </c>
      <c r="X7" s="1">
        <f t="shared" ref="X7:X74" si="3">SUM(T7:W7)</f>
        <v>0</v>
      </c>
      <c r="Y7" s="33">
        <v>0</v>
      </c>
      <c r="Z7" s="33" t="s">
        <v>1</v>
      </c>
      <c r="AA7" s="33" t="s">
        <v>1</v>
      </c>
      <c r="AB7" s="33">
        <v>0</v>
      </c>
      <c r="AC7" s="33">
        <v>0</v>
      </c>
      <c r="AD7" s="1">
        <f t="shared" ref="AD7:AD74" si="4">SUM(Z7:AC7)</f>
        <v>0</v>
      </c>
      <c r="AE7" s="33">
        <v>0</v>
      </c>
      <c r="AF7" s="24">
        <f t="shared" ref="AF7:AF8" si="5">SUM(H7,N7,T7,Z7)</f>
        <v>0</v>
      </c>
      <c r="AG7" s="24">
        <f t="shared" si="0"/>
        <v>0</v>
      </c>
      <c r="AH7" s="24">
        <f t="shared" si="0"/>
        <v>0</v>
      </c>
      <c r="AI7" s="24">
        <f t="shared" si="0"/>
        <v>1</v>
      </c>
      <c r="AJ7" s="24">
        <f t="shared" ref="AJ7:AJ8" si="6">SUM(AF7:AI7)</f>
        <v>1</v>
      </c>
      <c r="AK7" s="24">
        <f t="shared" ref="AK7:AK8" si="7">M7+S7+Y7+AE7</f>
        <v>0.5</v>
      </c>
    </row>
    <row r="8" spans="1:38">
      <c r="A8">
        <v>2011</v>
      </c>
      <c r="B8" s="22" t="s">
        <v>46</v>
      </c>
      <c r="C8" s="12">
        <v>40718</v>
      </c>
      <c r="D8" s="3">
        <v>28</v>
      </c>
      <c r="E8" s="22" t="s">
        <v>49</v>
      </c>
      <c r="H8" s="33" t="s">
        <v>1</v>
      </c>
      <c r="I8" s="1" t="s">
        <v>1</v>
      </c>
      <c r="J8" s="33">
        <v>0</v>
      </c>
      <c r="K8" s="33">
        <v>0</v>
      </c>
      <c r="L8" s="1">
        <f t="shared" si="1"/>
        <v>0</v>
      </c>
      <c r="M8" s="1">
        <v>0</v>
      </c>
      <c r="N8" s="33" t="s">
        <v>1</v>
      </c>
      <c r="O8" s="1" t="s">
        <v>1</v>
      </c>
      <c r="P8" s="33">
        <v>0</v>
      </c>
      <c r="Q8" s="33">
        <v>0</v>
      </c>
      <c r="R8" s="1">
        <f t="shared" si="2"/>
        <v>0</v>
      </c>
      <c r="S8" s="33">
        <v>0</v>
      </c>
      <c r="T8" s="33" t="s">
        <v>1</v>
      </c>
      <c r="U8" s="1" t="s">
        <v>1</v>
      </c>
      <c r="V8" s="33">
        <v>5</v>
      </c>
      <c r="W8" s="33">
        <v>1</v>
      </c>
      <c r="X8" s="1">
        <f t="shared" si="3"/>
        <v>6</v>
      </c>
      <c r="Y8" s="1">
        <v>3.5</v>
      </c>
      <c r="Z8" s="33" t="s">
        <v>1</v>
      </c>
      <c r="AA8" s="1" t="s">
        <v>1</v>
      </c>
      <c r="AB8" s="1">
        <v>0</v>
      </c>
      <c r="AC8" s="33">
        <v>0</v>
      </c>
      <c r="AD8" s="1">
        <f t="shared" si="4"/>
        <v>0</v>
      </c>
      <c r="AE8" s="1">
        <v>0</v>
      </c>
      <c r="AF8" s="24">
        <f t="shared" si="5"/>
        <v>0</v>
      </c>
      <c r="AG8" s="24">
        <f t="shared" si="0"/>
        <v>0</v>
      </c>
      <c r="AH8" s="24">
        <f t="shared" si="0"/>
        <v>5</v>
      </c>
      <c r="AI8" s="24">
        <f t="shared" si="0"/>
        <v>1</v>
      </c>
      <c r="AJ8" s="24">
        <f t="shared" si="6"/>
        <v>6</v>
      </c>
      <c r="AK8" s="24">
        <f t="shared" si="7"/>
        <v>3.5</v>
      </c>
    </row>
    <row r="9" spans="1:38">
      <c r="A9">
        <v>2011</v>
      </c>
      <c r="B9" s="22" t="s">
        <v>46</v>
      </c>
      <c r="C9" s="12">
        <v>40718</v>
      </c>
      <c r="D9" s="3">
        <v>29</v>
      </c>
      <c r="E9" s="22" t="s">
        <v>47</v>
      </c>
      <c r="H9" s="33">
        <v>0</v>
      </c>
      <c r="I9" s="1">
        <v>0</v>
      </c>
      <c r="J9" s="33">
        <v>13</v>
      </c>
      <c r="K9" s="33">
        <v>0</v>
      </c>
      <c r="L9" s="1">
        <f t="shared" si="1"/>
        <v>13</v>
      </c>
      <c r="M9" s="1">
        <v>3.5</v>
      </c>
      <c r="N9" s="33">
        <v>0</v>
      </c>
      <c r="O9" s="1">
        <v>16</v>
      </c>
      <c r="P9" s="33">
        <v>1</v>
      </c>
      <c r="Q9" s="33">
        <v>0</v>
      </c>
      <c r="R9" s="1">
        <f t="shared" si="2"/>
        <v>17</v>
      </c>
      <c r="S9" s="33">
        <v>3.5</v>
      </c>
      <c r="T9" s="33">
        <v>0</v>
      </c>
      <c r="U9" s="1">
        <v>3</v>
      </c>
      <c r="V9" s="1">
        <v>0</v>
      </c>
      <c r="W9" s="33">
        <v>0</v>
      </c>
      <c r="X9" s="1">
        <f t="shared" si="3"/>
        <v>3</v>
      </c>
      <c r="Y9" s="1">
        <v>3.5</v>
      </c>
      <c r="Z9" s="33">
        <v>0</v>
      </c>
      <c r="AA9" s="1">
        <v>10</v>
      </c>
      <c r="AB9" s="1">
        <v>0</v>
      </c>
      <c r="AC9" s="33">
        <v>0</v>
      </c>
      <c r="AD9" s="1">
        <f t="shared" si="4"/>
        <v>10</v>
      </c>
      <c r="AE9" s="1">
        <v>3.5</v>
      </c>
      <c r="AF9" s="24">
        <f t="shared" ref="AF9:AF14" si="8">SUM(H9,N9,T9,Z9)</f>
        <v>0</v>
      </c>
      <c r="AG9" s="24">
        <f t="shared" ref="AG9:AG14" si="9">SUM(I9,O9,U9,AA9)</f>
        <v>29</v>
      </c>
      <c r="AH9" s="24">
        <f t="shared" ref="AH9:AH90" si="10">SUM(J9,P9,V9,AB9)</f>
        <v>14</v>
      </c>
      <c r="AI9" s="24">
        <f t="shared" ref="AI9:AI39" si="11">SUM(K9,Q9,W9,AC9)</f>
        <v>0</v>
      </c>
      <c r="AJ9" s="24">
        <f t="shared" ref="AJ9:AJ39" si="12">SUM(AF9:AI9)</f>
        <v>43</v>
      </c>
      <c r="AK9" s="24">
        <f t="shared" ref="AK9:AK60" si="13">M9+S9+Y9+AE9</f>
        <v>14</v>
      </c>
    </row>
    <row r="10" spans="1:38">
      <c r="A10">
        <v>2011</v>
      </c>
      <c r="B10" s="22" t="s">
        <v>46</v>
      </c>
      <c r="C10" s="12">
        <v>40718</v>
      </c>
      <c r="D10" s="3">
        <v>29</v>
      </c>
      <c r="E10" s="22" t="s">
        <v>50</v>
      </c>
      <c r="H10" s="33" t="s">
        <v>1</v>
      </c>
      <c r="I10" s="33" t="s">
        <v>1</v>
      </c>
      <c r="J10" s="33">
        <v>0</v>
      </c>
      <c r="K10" s="33">
        <v>1</v>
      </c>
      <c r="L10" s="1">
        <f t="shared" si="1"/>
        <v>1</v>
      </c>
      <c r="M10" s="33">
        <v>1.5</v>
      </c>
      <c r="N10" s="33" t="s">
        <v>1</v>
      </c>
      <c r="O10" s="33" t="s">
        <v>1</v>
      </c>
      <c r="P10" s="33">
        <v>0</v>
      </c>
      <c r="Q10" s="33">
        <v>0</v>
      </c>
      <c r="R10" s="1">
        <f t="shared" si="2"/>
        <v>0</v>
      </c>
      <c r="S10" s="33">
        <v>0</v>
      </c>
      <c r="T10" s="33" t="s">
        <v>1</v>
      </c>
      <c r="U10" s="1" t="s">
        <v>1</v>
      </c>
      <c r="V10" s="33">
        <v>0</v>
      </c>
      <c r="W10" s="33">
        <v>0</v>
      </c>
      <c r="X10" s="1">
        <f t="shared" si="3"/>
        <v>0</v>
      </c>
      <c r="Y10" s="1">
        <v>0</v>
      </c>
      <c r="Z10" s="33" t="s">
        <v>1</v>
      </c>
      <c r="AA10" s="33" t="s">
        <v>1</v>
      </c>
      <c r="AB10" s="33">
        <v>1</v>
      </c>
      <c r="AC10" s="33">
        <v>0</v>
      </c>
      <c r="AD10" s="1">
        <f t="shared" si="4"/>
        <v>1</v>
      </c>
      <c r="AE10" s="33">
        <v>3.5</v>
      </c>
      <c r="AF10" s="24">
        <f t="shared" si="8"/>
        <v>0</v>
      </c>
      <c r="AG10" s="24">
        <f t="shared" si="9"/>
        <v>0</v>
      </c>
      <c r="AH10" s="24">
        <f t="shared" si="10"/>
        <v>1</v>
      </c>
      <c r="AI10" s="24">
        <f t="shared" si="11"/>
        <v>1</v>
      </c>
      <c r="AJ10" s="24">
        <f t="shared" si="12"/>
        <v>2</v>
      </c>
      <c r="AK10" s="24">
        <f t="shared" si="13"/>
        <v>5</v>
      </c>
    </row>
    <row r="11" spans="1:38">
      <c r="A11">
        <v>2011</v>
      </c>
      <c r="B11" s="22" t="s">
        <v>46</v>
      </c>
      <c r="C11" s="12">
        <v>40718</v>
      </c>
      <c r="D11" s="3">
        <v>29</v>
      </c>
      <c r="E11" s="22" t="s">
        <v>51</v>
      </c>
      <c r="H11" s="33">
        <v>0</v>
      </c>
      <c r="I11" s="33">
        <v>0</v>
      </c>
      <c r="J11" s="33">
        <v>0</v>
      </c>
      <c r="K11" s="33">
        <v>0</v>
      </c>
      <c r="L11" s="1">
        <f t="shared" si="1"/>
        <v>0</v>
      </c>
      <c r="M11" s="33">
        <v>0</v>
      </c>
      <c r="N11" s="33">
        <v>0</v>
      </c>
      <c r="O11" s="33">
        <v>2</v>
      </c>
      <c r="P11" s="33">
        <v>0</v>
      </c>
      <c r="Q11" s="33">
        <v>0</v>
      </c>
      <c r="R11" s="1">
        <f t="shared" si="2"/>
        <v>2</v>
      </c>
      <c r="S11" s="33">
        <v>0.5</v>
      </c>
      <c r="T11" s="33">
        <v>0</v>
      </c>
      <c r="U11" s="1">
        <v>0</v>
      </c>
      <c r="V11" s="33">
        <v>0</v>
      </c>
      <c r="W11" s="33">
        <v>0</v>
      </c>
      <c r="X11" s="1">
        <f t="shared" si="3"/>
        <v>0</v>
      </c>
      <c r="Y11" s="1">
        <v>0</v>
      </c>
      <c r="Z11" s="33">
        <v>0</v>
      </c>
      <c r="AA11" s="33">
        <v>1</v>
      </c>
      <c r="AB11" s="33">
        <v>0</v>
      </c>
      <c r="AC11" s="33">
        <v>0</v>
      </c>
      <c r="AD11" s="1">
        <f t="shared" si="4"/>
        <v>1</v>
      </c>
      <c r="AE11" s="33">
        <v>0.5</v>
      </c>
      <c r="AF11" s="24">
        <f t="shared" si="8"/>
        <v>0</v>
      </c>
      <c r="AG11" s="24">
        <f t="shared" si="9"/>
        <v>3</v>
      </c>
      <c r="AH11" s="24">
        <f t="shared" si="10"/>
        <v>0</v>
      </c>
      <c r="AI11" s="24">
        <f t="shared" si="11"/>
        <v>0</v>
      </c>
      <c r="AJ11" s="24">
        <f t="shared" si="12"/>
        <v>3</v>
      </c>
      <c r="AK11" s="24">
        <f t="shared" si="13"/>
        <v>1</v>
      </c>
    </row>
    <row r="12" spans="1:38">
      <c r="A12">
        <v>2011</v>
      </c>
      <c r="B12" s="22" t="s">
        <v>46</v>
      </c>
      <c r="C12" s="12">
        <v>40718</v>
      </c>
      <c r="D12" s="3">
        <v>29</v>
      </c>
      <c r="E12" s="22" t="s">
        <v>52</v>
      </c>
      <c r="H12" s="1" t="s">
        <v>1</v>
      </c>
      <c r="I12" s="1" t="s">
        <v>1</v>
      </c>
      <c r="J12" s="1">
        <v>0</v>
      </c>
      <c r="K12" s="1">
        <v>0</v>
      </c>
      <c r="L12" s="1">
        <f t="shared" si="1"/>
        <v>0</v>
      </c>
      <c r="M12" s="1">
        <v>0</v>
      </c>
      <c r="N12" s="1" t="s">
        <v>1</v>
      </c>
      <c r="O12" s="1" t="s">
        <v>1</v>
      </c>
      <c r="P12" s="1">
        <v>1</v>
      </c>
      <c r="Q12" s="1">
        <v>0</v>
      </c>
      <c r="R12" s="1">
        <f t="shared" si="2"/>
        <v>1</v>
      </c>
      <c r="S12" s="1">
        <v>0.5</v>
      </c>
      <c r="T12" s="1" t="s">
        <v>1</v>
      </c>
      <c r="U12" s="1" t="s">
        <v>1</v>
      </c>
      <c r="V12" s="1">
        <v>0</v>
      </c>
      <c r="W12" s="1">
        <v>0</v>
      </c>
      <c r="X12" s="1">
        <f t="shared" si="3"/>
        <v>0</v>
      </c>
      <c r="Y12" s="1">
        <v>0</v>
      </c>
      <c r="Z12" s="33" t="s">
        <v>1</v>
      </c>
      <c r="AA12" s="1" t="s">
        <v>1</v>
      </c>
      <c r="AB12" s="33">
        <v>0</v>
      </c>
      <c r="AC12" s="33">
        <v>0</v>
      </c>
      <c r="AD12" s="1">
        <f t="shared" si="4"/>
        <v>0</v>
      </c>
      <c r="AE12" s="1">
        <v>0</v>
      </c>
      <c r="AF12" s="24">
        <f t="shared" si="8"/>
        <v>0</v>
      </c>
      <c r="AG12" s="24">
        <f t="shared" si="9"/>
        <v>0</v>
      </c>
      <c r="AH12" s="24">
        <f t="shared" si="10"/>
        <v>1</v>
      </c>
      <c r="AI12" s="24">
        <f t="shared" si="11"/>
        <v>0</v>
      </c>
      <c r="AJ12" s="24">
        <f t="shared" si="12"/>
        <v>1</v>
      </c>
      <c r="AK12" s="24">
        <f t="shared" si="13"/>
        <v>0.5</v>
      </c>
      <c r="AL12" s="34" t="s">
        <v>53</v>
      </c>
    </row>
    <row r="13" spans="1:38">
      <c r="A13">
        <v>2011</v>
      </c>
      <c r="B13" s="22" t="s">
        <v>46</v>
      </c>
      <c r="C13" s="12">
        <v>40718</v>
      </c>
      <c r="D13" s="3">
        <v>29</v>
      </c>
      <c r="E13" s="22" t="s">
        <v>54</v>
      </c>
      <c r="H13" s="1" t="s">
        <v>1</v>
      </c>
      <c r="I13" s="1" t="s">
        <v>1</v>
      </c>
      <c r="J13" s="1">
        <v>0</v>
      </c>
      <c r="K13" s="1">
        <v>0</v>
      </c>
      <c r="L13" s="1">
        <f t="shared" si="1"/>
        <v>0</v>
      </c>
      <c r="M13" s="1">
        <v>0</v>
      </c>
      <c r="N13" s="1" t="s">
        <v>1</v>
      </c>
      <c r="O13" s="1" t="s">
        <v>1</v>
      </c>
      <c r="P13" s="1">
        <v>0</v>
      </c>
      <c r="Q13" s="1">
        <v>0</v>
      </c>
      <c r="R13" s="1">
        <f t="shared" si="2"/>
        <v>0</v>
      </c>
      <c r="S13" s="1">
        <v>0</v>
      </c>
      <c r="T13" s="1" t="s">
        <v>1</v>
      </c>
      <c r="U13" s="1" t="s">
        <v>1</v>
      </c>
      <c r="V13" s="1">
        <v>0</v>
      </c>
      <c r="W13" s="1">
        <v>0</v>
      </c>
      <c r="X13" s="1">
        <f t="shared" si="3"/>
        <v>0</v>
      </c>
      <c r="Y13" s="1">
        <v>0</v>
      </c>
      <c r="Z13" s="33" t="s">
        <v>1</v>
      </c>
      <c r="AA13" s="1" t="s">
        <v>1</v>
      </c>
      <c r="AB13" s="33">
        <v>1</v>
      </c>
      <c r="AC13" s="33">
        <v>0</v>
      </c>
      <c r="AD13" s="1">
        <f t="shared" si="4"/>
        <v>1</v>
      </c>
      <c r="AE13" s="1">
        <v>1.5</v>
      </c>
      <c r="AF13" s="24">
        <f t="shared" si="8"/>
        <v>0</v>
      </c>
      <c r="AG13" s="24">
        <f t="shared" si="9"/>
        <v>0</v>
      </c>
      <c r="AH13" s="24">
        <f t="shared" si="10"/>
        <v>1</v>
      </c>
      <c r="AI13" s="24">
        <f t="shared" si="11"/>
        <v>0</v>
      </c>
      <c r="AJ13" s="24">
        <f t="shared" si="12"/>
        <v>1</v>
      </c>
      <c r="AK13" s="24">
        <f t="shared" si="13"/>
        <v>1.5</v>
      </c>
    </row>
    <row r="14" spans="1:38">
      <c r="A14">
        <v>2011</v>
      </c>
      <c r="B14" s="22" t="s">
        <v>46</v>
      </c>
      <c r="C14" s="12">
        <v>40718</v>
      </c>
      <c r="D14" s="3">
        <v>29</v>
      </c>
      <c r="E14" s="22" t="s">
        <v>48</v>
      </c>
      <c r="H14" s="1" t="s">
        <v>1</v>
      </c>
      <c r="I14" s="1" t="s">
        <v>1</v>
      </c>
      <c r="J14" s="1">
        <v>0</v>
      </c>
      <c r="K14" s="1">
        <v>0</v>
      </c>
      <c r="L14" s="1">
        <f t="shared" si="1"/>
        <v>0</v>
      </c>
      <c r="M14" s="1">
        <v>0</v>
      </c>
      <c r="N14" s="1" t="s">
        <v>1</v>
      </c>
      <c r="O14" s="1" t="s">
        <v>1</v>
      </c>
      <c r="P14" s="1">
        <v>0</v>
      </c>
      <c r="Q14" s="1">
        <v>0</v>
      </c>
      <c r="R14" s="1">
        <f t="shared" si="2"/>
        <v>0</v>
      </c>
      <c r="S14" s="1">
        <v>0</v>
      </c>
      <c r="T14" s="1" t="s">
        <v>1</v>
      </c>
      <c r="U14" s="1" t="s">
        <v>1</v>
      </c>
      <c r="V14" s="1">
        <v>0</v>
      </c>
      <c r="W14" s="1">
        <v>0</v>
      </c>
      <c r="X14" s="1">
        <f t="shared" si="3"/>
        <v>0</v>
      </c>
      <c r="Y14" s="1">
        <v>0</v>
      </c>
      <c r="Z14" s="33" t="s">
        <v>1</v>
      </c>
      <c r="AA14" s="1" t="s">
        <v>1</v>
      </c>
      <c r="AB14" s="33">
        <v>0</v>
      </c>
      <c r="AC14" s="33">
        <v>2</v>
      </c>
      <c r="AD14" s="1">
        <f t="shared" si="4"/>
        <v>2</v>
      </c>
      <c r="AE14" s="1">
        <v>25</v>
      </c>
      <c r="AF14" s="24">
        <f t="shared" si="8"/>
        <v>0</v>
      </c>
      <c r="AG14" s="24">
        <f t="shared" si="9"/>
        <v>0</v>
      </c>
      <c r="AH14" s="24">
        <f t="shared" si="10"/>
        <v>0</v>
      </c>
      <c r="AI14" s="24">
        <f t="shared" si="11"/>
        <v>2</v>
      </c>
      <c r="AJ14" s="24">
        <f t="shared" si="12"/>
        <v>2</v>
      </c>
      <c r="AK14" s="24">
        <f t="shared" si="13"/>
        <v>25</v>
      </c>
    </row>
    <row r="15" spans="1:38">
      <c r="A15">
        <v>2012</v>
      </c>
      <c r="B15" s="22" t="s">
        <v>46</v>
      </c>
      <c r="C15" s="12">
        <v>40719</v>
      </c>
      <c r="D15" s="3">
        <v>30</v>
      </c>
      <c r="E15" s="22" t="s">
        <v>47</v>
      </c>
      <c r="H15" s="1">
        <v>0</v>
      </c>
      <c r="I15" s="1">
        <v>27</v>
      </c>
      <c r="J15" s="1">
        <v>0</v>
      </c>
      <c r="K15" s="1">
        <v>0</v>
      </c>
      <c r="L15" s="1">
        <f t="shared" si="1"/>
        <v>27</v>
      </c>
      <c r="M15" s="1">
        <v>8</v>
      </c>
      <c r="N15" s="1">
        <v>0</v>
      </c>
      <c r="O15" s="1">
        <v>36</v>
      </c>
      <c r="P15" s="1">
        <v>2</v>
      </c>
      <c r="Q15" s="1">
        <v>0</v>
      </c>
      <c r="R15" s="1">
        <f t="shared" si="2"/>
        <v>38</v>
      </c>
      <c r="S15" s="1">
        <v>35</v>
      </c>
      <c r="T15" s="1">
        <v>0</v>
      </c>
      <c r="U15" s="1">
        <v>31</v>
      </c>
      <c r="V15" s="1">
        <v>0</v>
      </c>
      <c r="W15" s="1">
        <v>0</v>
      </c>
      <c r="X15" s="1">
        <f t="shared" si="3"/>
        <v>31</v>
      </c>
      <c r="Y15" s="1">
        <v>8</v>
      </c>
      <c r="Z15" s="33">
        <v>0</v>
      </c>
      <c r="AA15" s="1">
        <v>9</v>
      </c>
      <c r="AB15" s="33">
        <v>0</v>
      </c>
      <c r="AC15" s="33">
        <v>0</v>
      </c>
      <c r="AD15" s="1">
        <f t="shared" si="4"/>
        <v>9</v>
      </c>
      <c r="AE15" s="1">
        <v>3.5</v>
      </c>
      <c r="AF15" s="24">
        <f t="shared" ref="AF15:AF20" si="14">SUM(H15,N15,T15,Z15)</f>
        <v>0</v>
      </c>
      <c r="AG15" s="24">
        <f t="shared" ref="AG15:AG20" si="15">SUM(I15,O15,U15,AA15)</f>
        <v>103</v>
      </c>
      <c r="AH15" s="24">
        <f t="shared" si="10"/>
        <v>2</v>
      </c>
      <c r="AI15" s="24">
        <f t="shared" si="11"/>
        <v>0</v>
      </c>
      <c r="AJ15" s="24">
        <f t="shared" si="12"/>
        <v>105</v>
      </c>
      <c r="AK15" s="24">
        <f t="shared" si="13"/>
        <v>54.5</v>
      </c>
    </row>
    <row r="16" spans="1:38">
      <c r="A16">
        <v>2013</v>
      </c>
      <c r="B16" s="22" t="s">
        <v>46</v>
      </c>
      <c r="C16" s="12">
        <v>40720</v>
      </c>
      <c r="D16" s="3">
        <v>30</v>
      </c>
      <c r="E16" s="22" t="s">
        <v>55</v>
      </c>
      <c r="H16" s="1">
        <v>0</v>
      </c>
      <c r="I16" s="1">
        <v>0</v>
      </c>
      <c r="J16" s="1">
        <v>0</v>
      </c>
      <c r="K16" s="1">
        <v>0</v>
      </c>
      <c r="L16" s="1">
        <f t="shared" si="1"/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f t="shared" si="2"/>
        <v>1</v>
      </c>
      <c r="S16" s="1">
        <v>0.5</v>
      </c>
      <c r="T16" s="1">
        <v>0</v>
      </c>
      <c r="U16" s="1">
        <v>0</v>
      </c>
      <c r="V16" s="1">
        <v>0</v>
      </c>
      <c r="W16" s="1">
        <v>0</v>
      </c>
      <c r="X16" s="1">
        <f t="shared" si="3"/>
        <v>0</v>
      </c>
      <c r="Y16" s="1">
        <v>0</v>
      </c>
      <c r="Z16" s="33">
        <v>0</v>
      </c>
      <c r="AA16" s="1">
        <v>0</v>
      </c>
      <c r="AB16" s="33">
        <v>0</v>
      </c>
      <c r="AC16" s="33">
        <v>0</v>
      </c>
      <c r="AD16" s="1">
        <f t="shared" si="4"/>
        <v>0</v>
      </c>
      <c r="AE16" s="1">
        <v>0</v>
      </c>
      <c r="AF16" s="24">
        <f t="shared" si="14"/>
        <v>0</v>
      </c>
      <c r="AG16" s="24">
        <f t="shared" si="15"/>
        <v>0</v>
      </c>
      <c r="AH16" s="24">
        <f t="shared" si="10"/>
        <v>1</v>
      </c>
      <c r="AI16" s="24">
        <f t="shared" si="11"/>
        <v>0</v>
      </c>
      <c r="AJ16" s="24">
        <f t="shared" si="12"/>
        <v>1</v>
      </c>
      <c r="AK16" s="24">
        <f t="shared" si="13"/>
        <v>0.5</v>
      </c>
    </row>
    <row r="17" spans="1:38">
      <c r="A17">
        <v>2014</v>
      </c>
      <c r="B17" s="22" t="s">
        <v>46</v>
      </c>
      <c r="C17" s="12">
        <v>40721</v>
      </c>
      <c r="D17" s="3">
        <v>30</v>
      </c>
      <c r="E17" s="22" t="s">
        <v>50</v>
      </c>
      <c r="H17" s="1" t="s">
        <v>1</v>
      </c>
      <c r="I17" s="1" t="s">
        <v>1</v>
      </c>
      <c r="J17" s="1">
        <v>0</v>
      </c>
      <c r="K17" s="1">
        <v>0</v>
      </c>
      <c r="L17" s="1">
        <f t="shared" si="1"/>
        <v>0</v>
      </c>
      <c r="M17" s="1">
        <v>0</v>
      </c>
      <c r="N17" s="1" t="s">
        <v>1</v>
      </c>
      <c r="O17" s="1" t="s">
        <v>1</v>
      </c>
      <c r="P17" s="1">
        <v>0</v>
      </c>
      <c r="Q17" s="1">
        <v>0</v>
      </c>
      <c r="R17" s="1">
        <f t="shared" si="2"/>
        <v>0</v>
      </c>
      <c r="S17" s="1">
        <v>0</v>
      </c>
      <c r="T17" s="1" t="s">
        <v>1</v>
      </c>
      <c r="U17" s="1" t="s">
        <v>1</v>
      </c>
      <c r="V17" s="1">
        <v>1</v>
      </c>
      <c r="W17" s="1">
        <v>0</v>
      </c>
      <c r="X17" s="1">
        <f t="shared" si="3"/>
        <v>1</v>
      </c>
      <c r="Y17" s="1">
        <v>8</v>
      </c>
      <c r="Z17" s="33" t="s">
        <v>1</v>
      </c>
      <c r="AA17" s="1" t="s">
        <v>1</v>
      </c>
      <c r="AB17" s="33">
        <v>0</v>
      </c>
      <c r="AC17" s="33">
        <v>0</v>
      </c>
      <c r="AD17" s="1">
        <f t="shared" si="4"/>
        <v>0</v>
      </c>
      <c r="AE17" s="1">
        <v>0</v>
      </c>
      <c r="AF17" s="24">
        <f t="shared" si="14"/>
        <v>0</v>
      </c>
      <c r="AG17" s="24">
        <f t="shared" si="15"/>
        <v>0</v>
      </c>
      <c r="AH17" s="24">
        <f t="shared" si="10"/>
        <v>1</v>
      </c>
      <c r="AI17" s="24">
        <f t="shared" si="11"/>
        <v>0</v>
      </c>
      <c r="AJ17" s="24">
        <f t="shared" si="12"/>
        <v>1</v>
      </c>
      <c r="AK17" s="24">
        <f t="shared" si="13"/>
        <v>8</v>
      </c>
    </row>
    <row r="18" spans="1:38">
      <c r="A18">
        <v>2011</v>
      </c>
      <c r="B18" s="22" t="s">
        <v>46</v>
      </c>
      <c r="C18" s="12">
        <v>40718</v>
      </c>
      <c r="D18" s="3">
        <v>30</v>
      </c>
      <c r="E18" s="22" t="s">
        <v>49</v>
      </c>
      <c r="H18" s="1" t="s">
        <v>1</v>
      </c>
      <c r="I18" s="1" t="s">
        <v>1</v>
      </c>
      <c r="J18" s="1">
        <v>0</v>
      </c>
      <c r="K18" s="1">
        <v>0</v>
      </c>
      <c r="L18" s="1">
        <f t="shared" si="1"/>
        <v>0</v>
      </c>
      <c r="M18" s="1">
        <v>0</v>
      </c>
      <c r="N18" s="1" t="s">
        <v>1</v>
      </c>
      <c r="O18" s="1" t="s">
        <v>1</v>
      </c>
      <c r="P18" s="1">
        <v>0</v>
      </c>
      <c r="Q18" s="1">
        <v>0</v>
      </c>
      <c r="R18" s="1">
        <f t="shared" si="2"/>
        <v>0</v>
      </c>
      <c r="S18" s="1">
        <v>0</v>
      </c>
      <c r="T18" s="1" t="s">
        <v>1</v>
      </c>
      <c r="U18" s="1" t="s">
        <v>1</v>
      </c>
      <c r="V18" s="1">
        <v>0</v>
      </c>
      <c r="W18" s="1">
        <v>0</v>
      </c>
      <c r="X18" s="1">
        <f t="shared" si="3"/>
        <v>0</v>
      </c>
      <c r="Y18" s="1">
        <v>0</v>
      </c>
      <c r="Z18" s="1" t="s">
        <v>1</v>
      </c>
      <c r="AA18" s="1" t="s">
        <v>1</v>
      </c>
      <c r="AB18" s="1">
        <v>4</v>
      </c>
      <c r="AC18" s="1">
        <v>0</v>
      </c>
      <c r="AD18" s="1">
        <f t="shared" si="4"/>
        <v>4</v>
      </c>
      <c r="AE18" s="1">
        <v>8</v>
      </c>
      <c r="AF18" s="24">
        <f t="shared" si="14"/>
        <v>0</v>
      </c>
      <c r="AG18" s="24">
        <f t="shared" si="15"/>
        <v>0</v>
      </c>
      <c r="AH18" s="24">
        <f t="shared" si="10"/>
        <v>4</v>
      </c>
      <c r="AI18" s="24">
        <f t="shared" si="11"/>
        <v>0</v>
      </c>
      <c r="AJ18" s="24">
        <f t="shared" si="12"/>
        <v>4</v>
      </c>
      <c r="AK18" s="24">
        <f t="shared" si="13"/>
        <v>8</v>
      </c>
      <c r="AL18" s="34" t="s">
        <v>56</v>
      </c>
    </row>
    <row r="19" spans="1:38">
      <c r="A19">
        <v>2011</v>
      </c>
      <c r="B19" s="22" t="s">
        <v>46</v>
      </c>
      <c r="C19" s="12">
        <v>40703</v>
      </c>
      <c r="D19" s="3">
        <v>82</v>
      </c>
      <c r="E19" s="22" t="s">
        <v>47</v>
      </c>
      <c r="H19" s="1">
        <v>0</v>
      </c>
      <c r="I19" s="1">
        <v>9</v>
      </c>
      <c r="J19" s="1">
        <v>0</v>
      </c>
      <c r="K19" s="1">
        <v>0</v>
      </c>
      <c r="L19" s="1">
        <f t="shared" si="1"/>
        <v>9</v>
      </c>
      <c r="M19" s="1">
        <v>8</v>
      </c>
      <c r="N19" s="1">
        <v>0</v>
      </c>
      <c r="O19" s="1">
        <v>5</v>
      </c>
      <c r="P19" s="1">
        <v>0</v>
      </c>
      <c r="Q19" s="1">
        <v>0</v>
      </c>
      <c r="R19" s="1">
        <f t="shared" si="2"/>
        <v>5</v>
      </c>
      <c r="S19" s="1">
        <v>1.5</v>
      </c>
      <c r="T19" s="1">
        <v>0</v>
      </c>
      <c r="U19" s="1">
        <v>3</v>
      </c>
      <c r="V19" s="1">
        <v>0</v>
      </c>
      <c r="W19" s="1">
        <v>0</v>
      </c>
      <c r="X19" s="1">
        <f t="shared" si="3"/>
        <v>3</v>
      </c>
      <c r="Y19" s="1">
        <v>0.5</v>
      </c>
      <c r="Z19" s="1">
        <v>0</v>
      </c>
      <c r="AA19" s="1">
        <v>3</v>
      </c>
      <c r="AB19" s="1">
        <v>0</v>
      </c>
      <c r="AC19" s="1">
        <v>0</v>
      </c>
      <c r="AD19" s="1">
        <f t="shared" si="4"/>
        <v>3</v>
      </c>
      <c r="AE19" s="1">
        <v>0.5</v>
      </c>
      <c r="AF19" s="24">
        <f t="shared" si="14"/>
        <v>0</v>
      </c>
      <c r="AG19" s="24">
        <f t="shared" si="15"/>
        <v>20</v>
      </c>
      <c r="AH19" s="24">
        <f t="shared" si="10"/>
        <v>0</v>
      </c>
      <c r="AI19" s="24">
        <f t="shared" si="11"/>
        <v>0</v>
      </c>
      <c r="AJ19" s="24">
        <f t="shared" si="12"/>
        <v>20</v>
      </c>
      <c r="AK19" s="24">
        <f t="shared" si="13"/>
        <v>10.5</v>
      </c>
      <c r="AL19" s="34" t="s">
        <v>57</v>
      </c>
    </row>
    <row r="20" spans="1:38">
      <c r="A20">
        <v>2011</v>
      </c>
      <c r="B20" s="22" t="s">
        <v>46</v>
      </c>
      <c r="C20" s="12">
        <v>40703</v>
      </c>
      <c r="D20" s="3">
        <v>83</v>
      </c>
      <c r="E20" s="22" t="s">
        <v>47</v>
      </c>
      <c r="H20" s="1">
        <v>0</v>
      </c>
      <c r="I20" s="1">
        <v>3</v>
      </c>
      <c r="J20" s="1">
        <v>0</v>
      </c>
      <c r="K20" s="1">
        <v>0</v>
      </c>
      <c r="L20" s="1">
        <f t="shared" si="1"/>
        <v>3</v>
      </c>
      <c r="M20" s="1">
        <v>0.5</v>
      </c>
      <c r="N20" s="1">
        <v>0</v>
      </c>
      <c r="O20" s="1">
        <v>2</v>
      </c>
      <c r="P20" s="1">
        <v>0</v>
      </c>
      <c r="Q20" s="1">
        <v>0</v>
      </c>
      <c r="R20" s="1">
        <f t="shared" si="2"/>
        <v>2</v>
      </c>
      <c r="S20" s="1">
        <v>0.5</v>
      </c>
      <c r="T20" s="1">
        <v>0</v>
      </c>
      <c r="U20" s="1">
        <v>1</v>
      </c>
      <c r="V20" s="1">
        <v>0</v>
      </c>
      <c r="W20" s="1">
        <v>0</v>
      </c>
      <c r="X20" s="1">
        <f t="shared" si="3"/>
        <v>1</v>
      </c>
      <c r="Y20" s="1">
        <v>0.5</v>
      </c>
      <c r="Z20" s="1">
        <v>0</v>
      </c>
      <c r="AA20" s="1">
        <v>16</v>
      </c>
      <c r="AB20" s="1">
        <v>0</v>
      </c>
      <c r="AC20" s="1">
        <v>0</v>
      </c>
      <c r="AD20" s="1">
        <f t="shared" si="4"/>
        <v>16</v>
      </c>
      <c r="AE20" s="1">
        <v>8</v>
      </c>
      <c r="AF20" s="24">
        <f t="shared" si="14"/>
        <v>0</v>
      </c>
      <c r="AG20" s="24">
        <f t="shared" si="15"/>
        <v>22</v>
      </c>
      <c r="AH20" s="24">
        <f t="shared" si="10"/>
        <v>0</v>
      </c>
      <c r="AI20" s="24">
        <f t="shared" si="11"/>
        <v>0</v>
      </c>
      <c r="AJ20" s="24">
        <f t="shared" si="12"/>
        <v>22</v>
      </c>
      <c r="AK20" s="24">
        <f t="shared" si="13"/>
        <v>9.5</v>
      </c>
    </row>
    <row r="21" spans="1:38">
      <c r="A21">
        <v>2011</v>
      </c>
      <c r="B21" s="22" t="s">
        <v>46</v>
      </c>
      <c r="C21" s="12">
        <v>40703</v>
      </c>
      <c r="D21" s="3">
        <v>83</v>
      </c>
      <c r="E21" s="22" t="s">
        <v>58</v>
      </c>
      <c r="H21" s="1" t="s">
        <v>1</v>
      </c>
      <c r="I21" s="1" t="s">
        <v>1</v>
      </c>
      <c r="J21" s="1">
        <v>1</v>
      </c>
      <c r="K21" s="1">
        <v>0</v>
      </c>
      <c r="L21" s="1">
        <f t="shared" si="1"/>
        <v>1</v>
      </c>
      <c r="M21" s="1">
        <v>0.5</v>
      </c>
      <c r="N21" s="1" t="s">
        <v>1</v>
      </c>
      <c r="O21" s="1" t="s">
        <v>1</v>
      </c>
      <c r="P21" s="1">
        <v>0</v>
      </c>
      <c r="Q21" s="1">
        <v>0</v>
      </c>
      <c r="R21" s="1">
        <f t="shared" si="2"/>
        <v>0</v>
      </c>
      <c r="S21" s="1">
        <v>0</v>
      </c>
      <c r="T21" s="1" t="s">
        <v>1</v>
      </c>
      <c r="U21" s="1" t="s">
        <v>1</v>
      </c>
      <c r="V21" s="1">
        <v>0</v>
      </c>
      <c r="W21" s="1">
        <v>0</v>
      </c>
      <c r="X21" s="1">
        <f t="shared" si="3"/>
        <v>0</v>
      </c>
      <c r="Y21" s="1">
        <v>0</v>
      </c>
      <c r="Z21" s="1" t="s">
        <v>1</v>
      </c>
      <c r="AA21" s="1" t="s">
        <v>1</v>
      </c>
      <c r="AB21" s="1">
        <v>0</v>
      </c>
      <c r="AC21" s="1">
        <v>0</v>
      </c>
      <c r="AD21" s="1">
        <f t="shared" si="4"/>
        <v>0</v>
      </c>
      <c r="AE21" s="1">
        <v>0</v>
      </c>
      <c r="AF21" s="24">
        <f t="shared" ref="AF21:AF26" si="16">SUM(H21,N21,T21,Z21)</f>
        <v>0</v>
      </c>
      <c r="AG21" s="24">
        <f t="shared" ref="AG21:AG26" si="17">SUM(I21,O21,U21,AA21)</f>
        <v>0</v>
      </c>
      <c r="AH21" s="24">
        <f t="shared" si="10"/>
        <v>1</v>
      </c>
      <c r="AI21" s="24">
        <f t="shared" si="11"/>
        <v>0</v>
      </c>
      <c r="AJ21" s="24">
        <f t="shared" si="12"/>
        <v>1</v>
      </c>
      <c r="AK21" s="24">
        <f t="shared" si="13"/>
        <v>0.5</v>
      </c>
      <c r="AL21" s="34" t="s">
        <v>59</v>
      </c>
    </row>
    <row r="22" spans="1:38">
      <c r="A22">
        <v>2011</v>
      </c>
      <c r="B22" s="22" t="s">
        <v>46</v>
      </c>
      <c r="C22" s="12">
        <v>40703</v>
      </c>
      <c r="D22" s="3">
        <v>83</v>
      </c>
      <c r="E22" s="22" t="s">
        <v>51</v>
      </c>
      <c r="H22" s="1">
        <v>1</v>
      </c>
      <c r="I22" s="1">
        <v>0</v>
      </c>
      <c r="J22" s="1">
        <v>0</v>
      </c>
      <c r="K22" s="1">
        <v>0</v>
      </c>
      <c r="L22" s="1">
        <f t="shared" si="1"/>
        <v>1</v>
      </c>
      <c r="M22" s="1">
        <v>0.5</v>
      </c>
      <c r="N22" s="1">
        <v>0</v>
      </c>
      <c r="O22" s="1">
        <v>0</v>
      </c>
      <c r="P22" s="1">
        <v>0</v>
      </c>
      <c r="Q22" s="1">
        <v>0</v>
      </c>
      <c r="R22" s="1">
        <f t="shared" si="2"/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f t="shared" si="3"/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f t="shared" si="4"/>
        <v>0</v>
      </c>
      <c r="AE22" s="1">
        <v>0</v>
      </c>
      <c r="AF22" s="24">
        <f t="shared" si="16"/>
        <v>1</v>
      </c>
      <c r="AG22" s="24">
        <f t="shared" si="17"/>
        <v>0</v>
      </c>
      <c r="AH22" s="24">
        <f t="shared" si="10"/>
        <v>0</v>
      </c>
      <c r="AI22" s="24">
        <f t="shared" si="11"/>
        <v>0</v>
      </c>
      <c r="AJ22" s="24">
        <f t="shared" si="12"/>
        <v>1</v>
      </c>
      <c r="AK22" s="24">
        <f t="shared" si="13"/>
        <v>0.5</v>
      </c>
    </row>
    <row r="23" spans="1:38">
      <c r="A23">
        <v>2011</v>
      </c>
      <c r="B23" s="22" t="s">
        <v>46</v>
      </c>
      <c r="C23" s="12">
        <v>40703</v>
      </c>
      <c r="D23" s="3">
        <v>83</v>
      </c>
      <c r="E23" s="22" t="s">
        <v>60</v>
      </c>
      <c r="H23" s="1" t="s">
        <v>1</v>
      </c>
      <c r="I23" s="1" t="s">
        <v>1</v>
      </c>
      <c r="J23" s="1">
        <v>0</v>
      </c>
      <c r="K23" s="1">
        <v>0</v>
      </c>
      <c r="L23" s="1">
        <f t="shared" si="1"/>
        <v>0</v>
      </c>
      <c r="M23" s="1">
        <v>0</v>
      </c>
      <c r="N23" s="1" t="s">
        <v>1</v>
      </c>
      <c r="O23" s="1" t="s">
        <v>1</v>
      </c>
      <c r="P23" s="1">
        <v>0</v>
      </c>
      <c r="Q23" s="1">
        <v>0</v>
      </c>
      <c r="R23" s="1">
        <f t="shared" si="2"/>
        <v>0</v>
      </c>
      <c r="S23" s="1">
        <v>0</v>
      </c>
      <c r="T23" s="1" t="s">
        <v>1</v>
      </c>
      <c r="U23" s="1" t="s">
        <v>1</v>
      </c>
      <c r="V23" s="1">
        <v>0</v>
      </c>
      <c r="W23" s="1">
        <v>0</v>
      </c>
      <c r="X23" s="1">
        <f t="shared" si="3"/>
        <v>0</v>
      </c>
      <c r="Y23" s="1">
        <v>0</v>
      </c>
      <c r="Z23" s="1" t="s">
        <v>1</v>
      </c>
      <c r="AA23" s="1" t="s">
        <v>1</v>
      </c>
      <c r="AB23" s="1">
        <v>1</v>
      </c>
      <c r="AC23" s="1">
        <v>0</v>
      </c>
      <c r="AD23" s="1">
        <f t="shared" si="4"/>
        <v>1</v>
      </c>
      <c r="AE23" s="1">
        <v>1.5</v>
      </c>
      <c r="AF23" s="24">
        <f t="shared" si="16"/>
        <v>0</v>
      </c>
      <c r="AG23" s="24">
        <f t="shared" si="17"/>
        <v>0</v>
      </c>
      <c r="AH23" s="24">
        <f t="shared" si="10"/>
        <v>1</v>
      </c>
      <c r="AI23" s="24">
        <f t="shared" si="11"/>
        <v>0</v>
      </c>
      <c r="AJ23" s="24">
        <f t="shared" si="12"/>
        <v>1</v>
      </c>
      <c r="AK23" s="24">
        <f t="shared" si="13"/>
        <v>1.5</v>
      </c>
    </row>
    <row r="24" spans="1:38">
      <c r="A24">
        <v>2011</v>
      </c>
      <c r="B24" s="22" t="s">
        <v>46</v>
      </c>
      <c r="C24" s="12">
        <v>40703</v>
      </c>
      <c r="D24" s="3">
        <v>83</v>
      </c>
      <c r="E24" s="22" t="s">
        <v>61</v>
      </c>
      <c r="H24" s="1" t="s">
        <v>1</v>
      </c>
      <c r="I24" s="1" t="s">
        <v>1</v>
      </c>
      <c r="J24" s="1">
        <v>0</v>
      </c>
      <c r="K24" s="1">
        <v>0</v>
      </c>
      <c r="L24" s="1">
        <f t="shared" si="1"/>
        <v>0</v>
      </c>
      <c r="M24" s="1">
        <v>0</v>
      </c>
      <c r="N24" s="1" t="s">
        <v>1</v>
      </c>
      <c r="O24" s="1" t="s">
        <v>1</v>
      </c>
      <c r="P24" s="1">
        <v>0</v>
      </c>
      <c r="Q24" s="1">
        <v>0</v>
      </c>
      <c r="R24" s="1">
        <f t="shared" si="2"/>
        <v>0</v>
      </c>
      <c r="S24" s="1">
        <v>0</v>
      </c>
      <c r="T24" s="1" t="s">
        <v>1</v>
      </c>
      <c r="U24" s="1" t="s">
        <v>1</v>
      </c>
      <c r="V24" s="1">
        <v>0</v>
      </c>
      <c r="W24" s="1">
        <v>0</v>
      </c>
      <c r="X24" s="1">
        <f t="shared" si="3"/>
        <v>0</v>
      </c>
      <c r="Y24" s="1">
        <v>0</v>
      </c>
      <c r="Z24" s="1" t="s">
        <v>1</v>
      </c>
      <c r="AA24" s="1" t="s">
        <v>1</v>
      </c>
      <c r="AB24" s="1">
        <v>1</v>
      </c>
      <c r="AC24" s="1">
        <v>0</v>
      </c>
      <c r="AD24" s="1">
        <f t="shared" si="4"/>
        <v>1</v>
      </c>
      <c r="AE24" s="1">
        <v>1.5</v>
      </c>
      <c r="AF24" s="24">
        <f t="shared" si="16"/>
        <v>0</v>
      </c>
      <c r="AG24" s="24">
        <f t="shared" si="17"/>
        <v>0</v>
      </c>
      <c r="AH24" s="24">
        <f t="shared" si="10"/>
        <v>1</v>
      </c>
      <c r="AI24" s="24">
        <f t="shared" si="11"/>
        <v>0</v>
      </c>
      <c r="AJ24" s="24">
        <f t="shared" si="12"/>
        <v>1</v>
      </c>
      <c r="AK24" s="24">
        <f t="shared" si="13"/>
        <v>1.5</v>
      </c>
    </row>
    <row r="25" spans="1:38">
      <c r="A25">
        <v>2011</v>
      </c>
      <c r="B25" s="22" t="s">
        <v>46</v>
      </c>
      <c r="C25" s="12">
        <v>40703</v>
      </c>
      <c r="D25" s="3">
        <v>83</v>
      </c>
      <c r="E25" s="22" t="s">
        <v>48</v>
      </c>
      <c r="H25" s="1" t="s">
        <v>1</v>
      </c>
      <c r="I25" s="1" t="s">
        <v>1</v>
      </c>
      <c r="J25" s="1">
        <v>0</v>
      </c>
      <c r="K25" s="1">
        <v>0</v>
      </c>
      <c r="L25" s="1">
        <f t="shared" si="1"/>
        <v>0</v>
      </c>
      <c r="M25" s="1">
        <v>0</v>
      </c>
      <c r="N25" s="1" t="s">
        <v>1</v>
      </c>
      <c r="O25" s="1" t="s">
        <v>1</v>
      </c>
      <c r="P25" s="1">
        <v>0</v>
      </c>
      <c r="Q25" s="1">
        <v>0</v>
      </c>
      <c r="R25" s="1">
        <f t="shared" si="2"/>
        <v>0</v>
      </c>
      <c r="S25" s="1">
        <v>0</v>
      </c>
      <c r="T25" s="1" t="s">
        <v>1</v>
      </c>
      <c r="U25" s="1" t="s">
        <v>1</v>
      </c>
      <c r="V25" s="1">
        <v>0</v>
      </c>
      <c r="W25" s="1">
        <v>0</v>
      </c>
      <c r="X25" s="1">
        <f t="shared" si="3"/>
        <v>0</v>
      </c>
      <c r="Y25" s="1">
        <v>0</v>
      </c>
      <c r="Z25" s="1" t="s">
        <v>1</v>
      </c>
      <c r="AA25" s="1" t="s">
        <v>1</v>
      </c>
      <c r="AB25" s="1">
        <v>0</v>
      </c>
      <c r="AC25" s="1">
        <v>1</v>
      </c>
      <c r="AD25" s="1">
        <f t="shared" si="4"/>
        <v>1</v>
      </c>
      <c r="AE25" s="1">
        <v>3.5</v>
      </c>
      <c r="AF25" s="24">
        <f t="shared" si="16"/>
        <v>0</v>
      </c>
      <c r="AG25" s="24">
        <f t="shared" si="17"/>
        <v>0</v>
      </c>
      <c r="AH25" s="24">
        <f t="shared" si="10"/>
        <v>0</v>
      </c>
      <c r="AI25" s="24">
        <f t="shared" si="11"/>
        <v>1</v>
      </c>
      <c r="AJ25" s="24">
        <f t="shared" si="12"/>
        <v>1</v>
      </c>
      <c r="AK25" s="24">
        <f t="shared" si="13"/>
        <v>3.5</v>
      </c>
    </row>
    <row r="26" spans="1:38">
      <c r="A26">
        <v>2011</v>
      </c>
      <c r="B26" s="22" t="s">
        <v>46</v>
      </c>
      <c r="C26" s="12">
        <v>40703</v>
      </c>
      <c r="D26" s="3">
        <v>83</v>
      </c>
      <c r="E26" s="22" t="s">
        <v>49</v>
      </c>
      <c r="H26" s="1" t="s">
        <v>1</v>
      </c>
      <c r="I26" s="1" t="s">
        <v>1</v>
      </c>
      <c r="J26" s="1">
        <v>0</v>
      </c>
      <c r="K26" s="1">
        <v>0</v>
      </c>
      <c r="L26" s="1">
        <f t="shared" si="1"/>
        <v>0</v>
      </c>
      <c r="M26" s="1">
        <v>0</v>
      </c>
      <c r="N26" s="1" t="s">
        <v>1</v>
      </c>
      <c r="O26" s="1" t="s">
        <v>1</v>
      </c>
      <c r="P26" s="1">
        <v>0</v>
      </c>
      <c r="Q26" s="1">
        <v>0</v>
      </c>
      <c r="R26" s="1">
        <f t="shared" si="2"/>
        <v>0</v>
      </c>
      <c r="S26" s="1">
        <v>0</v>
      </c>
      <c r="T26" s="1" t="s">
        <v>1</v>
      </c>
      <c r="U26" s="1" t="s">
        <v>1</v>
      </c>
      <c r="V26" s="1">
        <v>0</v>
      </c>
      <c r="W26" s="1">
        <v>0</v>
      </c>
      <c r="X26" s="1">
        <f t="shared" si="3"/>
        <v>0</v>
      </c>
      <c r="Y26" s="1">
        <v>0</v>
      </c>
      <c r="Z26" s="1" t="s">
        <v>1</v>
      </c>
      <c r="AA26" s="1" t="s">
        <v>1</v>
      </c>
      <c r="AB26" s="1">
        <v>1</v>
      </c>
      <c r="AC26" s="1">
        <v>0</v>
      </c>
      <c r="AD26" s="1">
        <f t="shared" si="4"/>
        <v>1</v>
      </c>
      <c r="AE26" s="1">
        <v>1.5</v>
      </c>
      <c r="AF26" s="24">
        <f t="shared" si="16"/>
        <v>0</v>
      </c>
      <c r="AG26" s="24">
        <f t="shared" si="17"/>
        <v>0</v>
      </c>
      <c r="AH26" s="24">
        <f t="shared" si="10"/>
        <v>1</v>
      </c>
      <c r="AI26" s="24">
        <f t="shared" si="11"/>
        <v>0</v>
      </c>
      <c r="AJ26" s="24">
        <f t="shared" si="12"/>
        <v>1</v>
      </c>
      <c r="AK26" s="24">
        <f t="shared" si="13"/>
        <v>1.5</v>
      </c>
      <c r="AL26" s="34" t="s">
        <v>62</v>
      </c>
    </row>
    <row r="27" spans="1:38">
      <c r="A27">
        <v>2011</v>
      </c>
      <c r="B27" s="22" t="s">
        <v>46</v>
      </c>
      <c r="C27" s="12">
        <v>40703</v>
      </c>
      <c r="D27" s="3">
        <v>84</v>
      </c>
      <c r="E27" s="22" t="s">
        <v>47</v>
      </c>
      <c r="H27" s="1">
        <v>0</v>
      </c>
      <c r="I27" s="1">
        <v>0</v>
      </c>
      <c r="J27" s="1">
        <v>0</v>
      </c>
      <c r="K27" s="1">
        <v>0</v>
      </c>
      <c r="L27" s="1">
        <f t="shared" si="1"/>
        <v>0</v>
      </c>
      <c r="M27" s="1">
        <v>0</v>
      </c>
      <c r="N27" s="1">
        <v>0</v>
      </c>
      <c r="O27" s="1">
        <v>2</v>
      </c>
      <c r="P27" s="1">
        <v>0</v>
      </c>
      <c r="Q27" s="1">
        <v>0</v>
      </c>
      <c r="R27" s="1">
        <f t="shared" si="2"/>
        <v>2</v>
      </c>
      <c r="S27" s="1">
        <v>0.5</v>
      </c>
      <c r="T27" s="1">
        <v>0</v>
      </c>
      <c r="U27" s="1">
        <v>3</v>
      </c>
      <c r="V27" s="1">
        <v>0</v>
      </c>
      <c r="W27" s="1">
        <v>0</v>
      </c>
      <c r="X27" s="1">
        <f t="shared" si="3"/>
        <v>3</v>
      </c>
      <c r="Y27" s="1">
        <v>0.5</v>
      </c>
      <c r="Z27" s="1">
        <v>0</v>
      </c>
      <c r="AA27" s="1">
        <v>7</v>
      </c>
      <c r="AB27" s="1">
        <v>0</v>
      </c>
      <c r="AC27" s="1">
        <v>0</v>
      </c>
      <c r="AD27" s="1">
        <f t="shared" si="4"/>
        <v>7</v>
      </c>
      <c r="AE27" s="1">
        <v>0.5</v>
      </c>
      <c r="AF27" s="24">
        <f t="shared" ref="AF27:AF28" si="18">SUM(H27,N27,T27,Z27)</f>
        <v>0</v>
      </c>
      <c r="AG27" s="24">
        <f t="shared" ref="AG27:AG28" si="19">SUM(I27,O27,U27,AA27)</f>
        <v>12</v>
      </c>
      <c r="AH27" s="24">
        <f t="shared" si="10"/>
        <v>0</v>
      </c>
      <c r="AI27" s="24">
        <f t="shared" si="11"/>
        <v>0</v>
      </c>
      <c r="AJ27" s="24">
        <f t="shared" si="12"/>
        <v>12</v>
      </c>
      <c r="AK27" s="24">
        <f t="shared" si="13"/>
        <v>1.5</v>
      </c>
    </row>
    <row r="28" spans="1:38">
      <c r="A28">
        <v>2011</v>
      </c>
      <c r="B28" s="22" t="s">
        <v>46</v>
      </c>
      <c r="C28" s="12">
        <v>40703</v>
      </c>
      <c r="D28" s="3">
        <v>84</v>
      </c>
      <c r="E28" s="22" t="s">
        <v>48</v>
      </c>
      <c r="H28" s="1" t="s">
        <v>1</v>
      </c>
      <c r="I28" s="1" t="s">
        <v>1</v>
      </c>
      <c r="J28" s="1">
        <v>1</v>
      </c>
      <c r="K28" s="1">
        <v>0</v>
      </c>
      <c r="L28" s="1">
        <f t="shared" si="1"/>
        <v>1</v>
      </c>
      <c r="M28" s="1">
        <v>1.5</v>
      </c>
      <c r="N28" s="1" t="s">
        <v>1</v>
      </c>
      <c r="O28" s="1" t="s">
        <v>1</v>
      </c>
      <c r="P28" s="1">
        <v>0</v>
      </c>
      <c r="Q28" s="1">
        <v>0</v>
      </c>
      <c r="R28" s="1">
        <f t="shared" si="2"/>
        <v>0</v>
      </c>
      <c r="S28" s="1">
        <v>0</v>
      </c>
      <c r="T28" s="1" t="s">
        <v>1</v>
      </c>
      <c r="U28" s="1" t="s">
        <v>1</v>
      </c>
      <c r="V28" s="1">
        <v>0</v>
      </c>
      <c r="W28" s="1">
        <v>0</v>
      </c>
      <c r="X28" s="1">
        <f t="shared" si="3"/>
        <v>0</v>
      </c>
      <c r="Y28" s="1">
        <v>0</v>
      </c>
      <c r="Z28" s="1" t="s">
        <v>1</v>
      </c>
      <c r="AA28" s="1" t="s">
        <v>1</v>
      </c>
      <c r="AB28" s="1">
        <v>0</v>
      </c>
      <c r="AC28" s="1">
        <v>0</v>
      </c>
      <c r="AD28" s="1">
        <f t="shared" si="4"/>
        <v>0</v>
      </c>
      <c r="AE28" s="1">
        <v>0</v>
      </c>
      <c r="AF28" s="24">
        <f t="shared" si="18"/>
        <v>0</v>
      </c>
      <c r="AG28" s="24">
        <f t="shared" si="19"/>
        <v>0</v>
      </c>
      <c r="AH28" s="24">
        <f t="shared" si="10"/>
        <v>1</v>
      </c>
      <c r="AI28" s="24">
        <f t="shared" si="11"/>
        <v>0</v>
      </c>
      <c r="AJ28" s="24">
        <f t="shared" si="12"/>
        <v>1</v>
      </c>
      <c r="AK28" s="24">
        <f t="shared" si="13"/>
        <v>1.5</v>
      </c>
      <c r="AL28" s="34" t="s">
        <v>63</v>
      </c>
    </row>
    <row r="29" spans="1:38">
      <c r="A29">
        <v>2011</v>
      </c>
      <c r="B29" s="22" t="s">
        <v>46</v>
      </c>
      <c r="C29" s="12">
        <v>40703</v>
      </c>
      <c r="D29" s="3">
        <v>85</v>
      </c>
      <c r="E29" s="22" t="s">
        <v>47</v>
      </c>
      <c r="H29" s="1">
        <v>0</v>
      </c>
      <c r="I29" s="1">
        <v>34</v>
      </c>
      <c r="J29" s="1">
        <v>1</v>
      </c>
      <c r="K29" s="1">
        <v>0</v>
      </c>
      <c r="L29" s="1">
        <f t="shared" si="1"/>
        <v>35</v>
      </c>
      <c r="M29" s="1">
        <v>25</v>
      </c>
      <c r="N29" s="1">
        <v>0</v>
      </c>
      <c r="O29" s="1">
        <v>14</v>
      </c>
      <c r="P29" s="1">
        <v>0</v>
      </c>
      <c r="Q29" s="1">
        <v>0</v>
      </c>
      <c r="R29" s="1">
        <f t="shared" si="2"/>
        <v>14</v>
      </c>
      <c r="S29" s="1">
        <v>3.5</v>
      </c>
      <c r="T29" s="1">
        <v>0</v>
      </c>
      <c r="U29" s="1">
        <v>70</v>
      </c>
      <c r="V29" s="1">
        <v>1</v>
      </c>
      <c r="W29" s="1">
        <v>0</v>
      </c>
      <c r="X29" s="1">
        <f t="shared" si="3"/>
        <v>71</v>
      </c>
      <c r="Y29" s="1">
        <v>35</v>
      </c>
      <c r="Z29" s="1">
        <v>0</v>
      </c>
      <c r="AA29" s="1">
        <v>11</v>
      </c>
      <c r="AB29" s="1">
        <v>1</v>
      </c>
      <c r="AC29" s="1">
        <v>0</v>
      </c>
      <c r="AD29" s="1">
        <f t="shared" si="4"/>
        <v>12</v>
      </c>
      <c r="AE29" s="1">
        <v>8</v>
      </c>
      <c r="AF29" s="24">
        <f t="shared" ref="AF29:AF43" si="20">SUM(H29,N29,T29,Z29)</f>
        <v>0</v>
      </c>
      <c r="AG29" s="24">
        <f t="shared" ref="AG29:AG43" si="21">SUM(I29,O29,U29,AA29)</f>
        <v>129</v>
      </c>
      <c r="AH29" s="24">
        <f t="shared" si="10"/>
        <v>3</v>
      </c>
      <c r="AI29" s="24">
        <f t="shared" si="11"/>
        <v>0</v>
      </c>
      <c r="AJ29" s="24">
        <f t="shared" si="12"/>
        <v>132</v>
      </c>
      <c r="AK29" s="24">
        <f t="shared" si="13"/>
        <v>71.5</v>
      </c>
    </row>
    <row r="30" spans="1:38">
      <c r="A30">
        <v>2011</v>
      </c>
      <c r="B30" s="22" t="s">
        <v>46</v>
      </c>
      <c r="C30" s="12">
        <v>40703</v>
      </c>
      <c r="D30" s="3">
        <v>85</v>
      </c>
      <c r="E30" s="22" t="s">
        <v>64</v>
      </c>
      <c r="H30" s="1" t="s">
        <v>1</v>
      </c>
      <c r="I30" s="1" t="s">
        <v>1</v>
      </c>
      <c r="J30" s="1">
        <v>5</v>
      </c>
      <c r="K30" s="1">
        <v>0</v>
      </c>
      <c r="L30" s="1">
        <f t="shared" si="1"/>
        <v>5</v>
      </c>
      <c r="M30" s="1">
        <v>3.5</v>
      </c>
      <c r="N30" s="1" t="s">
        <v>1</v>
      </c>
      <c r="O30" s="1" t="s">
        <v>1</v>
      </c>
      <c r="P30" s="1">
        <v>0</v>
      </c>
      <c r="Q30" s="1">
        <v>0</v>
      </c>
      <c r="R30" s="1">
        <f t="shared" si="2"/>
        <v>0</v>
      </c>
      <c r="S30" s="1">
        <v>0</v>
      </c>
      <c r="T30" s="1" t="s">
        <v>1</v>
      </c>
      <c r="U30" s="1" t="s">
        <v>1</v>
      </c>
      <c r="V30" s="1">
        <v>0</v>
      </c>
      <c r="W30" s="1">
        <v>0</v>
      </c>
      <c r="X30" s="1">
        <f t="shared" si="3"/>
        <v>0</v>
      </c>
      <c r="Y30" s="1">
        <v>0</v>
      </c>
      <c r="Z30" s="1" t="s">
        <v>1</v>
      </c>
      <c r="AA30" s="1" t="s">
        <v>1</v>
      </c>
      <c r="AB30" s="1">
        <v>0</v>
      </c>
      <c r="AC30" s="1">
        <v>0</v>
      </c>
      <c r="AD30" s="1">
        <f t="shared" si="4"/>
        <v>0</v>
      </c>
      <c r="AE30" s="1">
        <v>0</v>
      </c>
      <c r="AF30" s="24">
        <f t="shared" si="20"/>
        <v>0</v>
      </c>
      <c r="AG30" s="24">
        <f t="shared" si="21"/>
        <v>0</v>
      </c>
      <c r="AH30" s="24">
        <f t="shared" si="10"/>
        <v>5</v>
      </c>
      <c r="AI30" s="24">
        <f t="shared" si="11"/>
        <v>0</v>
      </c>
      <c r="AJ30" s="24">
        <f t="shared" si="12"/>
        <v>5</v>
      </c>
      <c r="AK30" s="24">
        <f t="shared" si="13"/>
        <v>3.5</v>
      </c>
    </row>
    <row r="31" spans="1:38">
      <c r="A31">
        <v>2011</v>
      </c>
      <c r="B31" s="22" t="s">
        <v>46</v>
      </c>
      <c r="C31" s="12">
        <v>40703</v>
      </c>
      <c r="D31" s="3">
        <v>85</v>
      </c>
      <c r="E31" s="22" t="s">
        <v>65</v>
      </c>
      <c r="H31" s="1" t="s">
        <v>1</v>
      </c>
      <c r="I31" s="1" t="s">
        <v>1</v>
      </c>
      <c r="J31" s="1">
        <v>4</v>
      </c>
      <c r="K31" s="1">
        <v>1</v>
      </c>
      <c r="L31" s="1">
        <f t="shared" si="1"/>
        <v>5</v>
      </c>
      <c r="M31" s="1">
        <v>3.5</v>
      </c>
      <c r="N31" s="1" t="s">
        <v>1</v>
      </c>
      <c r="O31" s="1" t="s">
        <v>1</v>
      </c>
      <c r="P31" s="1">
        <v>0</v>
      </c>
      <c r="Q31" s="1">
        <v>0</v>
      </c>
      <c r="R31" s="1">
        <f t="shared" si="2"/>
        <v>0</v>
      </c>
      <c r="S31" s="1">
        <v>0</v>
      </c>
      <c r="T31" s="1" t="s">
        <v>1</v>
      </c>
      <c r="U31" s="1" t="s">
        <v>1</v>
      </c>
      <c r="V31" s="1">
        <v>0</v>
      </c>
      <c r="W31" s="1">
        <v>0</v>
      </c>
      <c r="X31" s="1">
        <f t="shared" si="3"/>
        <v>0</v>
      </c>
      <c r="Y31" s="1">
        <v>0</v>
      </c>
      <c r="Z31" s="1" t="s">
        <v>1</v>
      </c>
      <c r="AA31" s="1" t="s">
        <v>1</v>
      </c>
      <c r="AB31" s="1">
        <v>0</v>
      </c>
      <c r="AC31" s="1">
        <v>0</v>
      </c>
      <c r="AD31" s="1">
        <f t="shared" si="4"/>
        <v>0</v>
      </c>
      <c r="AE31" s="1">
        <v>0</v>
      </c>
      <c r="AF31" s="24">
        <f t="shared" si="20"/>
        <v>0</v>
      </c>
      <c r="AG31" s="24">
        <f t="shared" si="21"/>
        <v>0</v>
      </c>
      <c r="AH31" s="24">
        <f t="shared" si="10"/>
        <v>4</v>
      </c>
      <c r="AI31" s="24">
        <f t="shared" si="11"/>
        <v>1</v>
      </c>
      <c r="AJ31" s="24">
        <f t="shared" si="12"/>
        <v>5</v>
      </c>
      <c r="AK31" s="24">
        <f t="shared" si="13"/>
        <v>3.5</v>
      </c>
      <c r="AL31" s="34" t="s">
        <v>66</v>
      </c>
    </row>
    <row r="32" spans="1:38">
      <c r="A32">
        <v>2011</v>
      </c>
      <c r="B32" s="22" t="s">
        <v>46</v>
      </c>
      <c r="C32" s="12">
        <v>40703</v>
      </c>
      <c r="D32" s="3">
        <v>85</v>
      </c>
      <c r="E32" s="22" t="s">
        <v>67</v>
      </c>
      <c r="H32" s="1">
        <v>0</v>
      </c>
      <c r="I32" s="1">
        <v>20</v>
      </c>
      <c r="J32" s="1">
        <v>0</v>
      </c>
      <c r="K32" s="1">
        <v>0</v>
      </c>
      <c r="L32" s="1">
        <f t="shared" si="1"/>
        <v>20</v>
      </c>
      <c r="M32" s="1">
        <v>8</v>
      </c>
      <c r="N32" s="1">
        <v>0</v>
      </c>
      <c r="O32" s="1">
        <v>4</v>
      </c>
      <c r="P32" s="1">
        <v>0</v>
      </c>
      <c r="Q32" s="1">
        <v>0</v>
      </c>
      <c r="R32" s="1">
        <f t="shared" si="2"/>
        <v>4</v>
      </c>
      <c r="S32" s="1">
        <v>0.5</v>
      </c>
      <c r="T32" s="1">
        <v>0</v>
      </c>
      <c r="U32" s="1">
        <v>8</v>
      </c>
      <c r="V32" s="1">
        <v>1</v>
      </c>
      <c r="W32" s="1">
        <v>0</v>
      </c>
      <c r="X32" s="1">
        <f t="shared" si="3"/>
        <v>9</v>
      </c>
      <c r="Y32" s="1">
        <v>3.5</v>
      </c>
      <c r="Z32" s="1">
        <v>0</v>
      </c>
      <c r="AA32" s="1">
        <v>11</v>
      </c>
      <c r="AB32" s="1">
        <v>1</v>
      </c>
      <c r="AC32" s="1">
        <v>0</v>
      </c>
      <c r="AD32" s="1">
        <f t="shared" si="4"/>
        <v>12</v>
      </c>
      <c r="AE32" s="1">
        <v>3.5</v>
      </c>
      <c r="AF32" s="24">
        <f t="shared" si="20"/>
        <v>0</v>
      </c>
      <c r="AG32" s="24">
        <f t="shared" si="21"/>
        <v>43</v>
      </c>
      <c r="AH32" s="24">
        <f t="shared" si="10"/>
        <v>2</v>
      </c>
      <c r="AI32" s="24">
        <f t="shared" si="11"/>
        <v>0</v>
      </c>
      <c r="AJ32" s="24">
        <f t="shared" si="12"/>
        <v>45</v>
      </c>
      <c r="AK32" s="24">
        <f t="shared" si="13"/>
        <v>15.5</v>
      </c>
    </row>
    <row r="33" spans="1:38">
      <c r="A33">
        <v>2011</v>
      </c>
      <c r="B33" s="22" t="s">
        <v>46</v>
      </c>
      <c r="C33" s="12">
        <v>40703</v>
      </c>
      <c r="D33" s="3">
        <v>85</v>
      </c>
      <c r="E33" s="22" t="s">
        <v>68</v>
      </c>
      <c r="H33" s="1">
        <v>0</v>
      </c>
      <c r="I33" s="1">
        <v>1</v>
      </c>
      <c r="J33" s="1">
        <v>0</v>
      </c>
      <c r="K33" s="1">
        <v>0</v>
      </c>
      <c r="L33" s="1">
        <f t="shared" si="1"/>
        <v>1</v>
      </c>
      <c r="M33" s="1">
        <v>0.5</v>
      </c>
      <c r="N33" s="1">
        <v>0</v>
      </c>
      <c r="O33" s="1">
        <v>0</v>
      </c>
      <c r="P33" s="1">
        <v>0</v>
      </c>
      <c r="Q33" s="1">
        <v>0</v>
      </c>
      <c r="R33" s="1">
        <f t="shared" si="2"/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f t="shared" si="3"/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f t="shared" si="4"/>
        <v>0</v>
      </c>
      <c r="AE33" s="1">
        <v>0</v>
      </c>
      <c r="AF33" s="24">
        <f t="shared" si="20"/>
        <v>0</v>
      </c>
      <c r="AG33" s="24">
        <f t="shared" si="21"/>
        <v>1</v>
      </c>
      <c r="AH33" s="24">
        <f t="shared" si="10"/>
        <v>0</v>
      </c>
      <c r="AI33" s="24">
        <f t="shared" si="11"/>
        <v>0</v>
      </c>
      <c r="AJ33" s="24">
        <f t="shared" si="12"/>
        <v>1</v>
      </c>
      <c r="AK33" s="24">
        <f t="shared" si="13"/>
        <v>0.5</v>
      </c>
    </row>
    <row r="34" spans="1:38">
      <c r="A34">
        <v>2011</v>
      </c>
      <c r="B34" s="22" t="s">
        <v>46</v>
      </c>
      <c r="C34" s="12">
        <v>40703</v>
      </c>
      <c r="D34" s="3">
        <v>85</v>
      </c>
      <c r="E34" s="22" t="s">
        <v>55</v>
      </c>
      <c r="H34" s="1">
        <v>0</v>
      </c>
      <c r="I34" s="1">
        <v>1</v>
      </c>
      <c r="J34" s="1">
        <v>0</v>
      </c>
      <c r="K34" s="1">
        <v>0</v>
      </c>
      <c r="L34" s="1">
        <f t="shared" si="1"/>
        <v>1</v>
      </c>
      <c r="M34" s="1">
        <v>0.5</v>
      </c>
      <c r="N34" s="1">
        <v>0</v>
      </c>
      <c r="O34" s="1">
        <v>0</v>
      </c>
      <c r="P34" s="1">
        <v>0</v>
      </c>
      <c r="Q34" s="1">
        <v>0</v>
      </c>
      <c r="R34" s="1">
        <f t="shared" si="2"/>
        <v>0</v>
      </c>
      <c r="S34" s="1">
        <v>0</v>
      </c>
      <c r="T34" s="1">
        <v>0</v>
      </c>
      <c r="U34" s="1">
        <v>1</v>
      </c>
      <c r="V34" s="1">
        <v>1</v>
      </c>
      <c r="W34" s="1">
        <v>0</v>
      </c>
      <c r="X34" s="1">
        <f t="shared" si="3"/>
        <v>2</v>
      </c>
      <c r="Y34" s="1">
        <v>1.5</v>
      </c>
      <c r="Z34" s="1">
        <v>0</v>
      </c>
      <c r="AA34" s="1">
        <v>0</v>
      </c>
      <c r="AB34" s="1">
        <v>0</v>
      </c>
      <c r="AC34" s="1">
        <v>0</v>
      </c>
      <c r="AD34" s="1">
        <f t="shared" si="4"/>
        <v>0</v>
      </c>
      <c r="AE34" s="1">
        <v>0</v>
      </c>
      <c r="AF34" s="24">
        <f t="shared" si="20"/>
        <v>0</v>
      </c>
      <c r="AG34" s="24">
        <f t="shared" si="21"/>
        <v>2</v>
      </c>
      <c r="AH34" s="24">
        <f t="shared" si="10"/>
        <v>1</v>
      </c>
      <c r="AI34" s="24">
        <f t="shared" si="11"/>
        <v>0</v>
      </c>
      <c r="AJ34" s="24">
        <f t="shared" si="12"/>
        <v>3</v>
      </c>
      <c r="AK34" s="24">
        <f t="shared" si="13"/>
        <v>2</v>
      </c>
    </row>
    <row r="35" spans="1:38">
      <c r="A35">
        <v>2011</v>
      </c>
      <c r="B35" s="22" t="s">
        <v>46</v>
      </c>
      <c r="C35" s="12">
        <v>40703</v>
      </c>
      <c r="D35" s="3">
        <v>85</v>
      </c>
      <c r="E35" s="22" t="s">
        <v>51</v>
      </c>
      <c r="H35" s="1">
        <v>0</v>
      </c>
      <c r="I35" s="1">
        <v>0</v>
      </c>
      <c r="J35" s="1">
        <v>0</v>
      </c>
      <c r="K35" s="1">
        <v>0</v>
      </c>
      <c r="L35" s="1">
        <f t="shared" si="1"/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f t="shared" si="2"/>
        <v>1</v>
      </c>
      <c r="S35" s="1">
        <v>0.5</v>
      </c>
      <c r="T35" s="1">
        <v>0</v>
      </c>
      <c r="U35" s="1">
        <v>1</v>
      </c>
      <c r="V35" s="1">
        <v>0</v>
      </c>
      <c r="W35" s="1">
        <v>0</v>
      </c>
      <c r="X35" s="1">
        <f t="shared" si="3"/>
        <v>1</v>
      </c>
      <c r="Y35" s="1">
        <v>0.5</v>
      </c>
      <c r="Z35" s="1">
        <v>0</v>
      </c>
      <c r="AA35" s="1">
        <v>0</v>
      </c>
      <c r="AB35" s="1">
        <v>0</v>
      </c>
      <c r="AC35" s="1">
        <v>0</v>
      </c>
      <c r="AD35" s="1">
        <f t="shared" si="4"/>
        <v>0</v>
      </c>
      <c r="AE35" s="1">
        <v>0</v>
      </c>
      <c r="AF35" s="24">
        <f t="shared" si="20"/>
        <v>0</v>
      </c>
      <c r="AG35" s="24">
        <f t="shared" si="21"/>
        <v>2</v>
      </c>
      <c r="AH35" s="24">
        <f t="shared" si="10"/>
        <v>0</v>
      </c>
      <c r="AI35" s="24">
        <f t="shared" si="11"/>
        <v>0</v>
      </c>
      <c r="AJ35" s="24">
        <f t="shared" si="12"/>
        <v>2</v>
      </c>
      <c r="AK35" s="24">
        <f t="shared" si="13"/>
        <v>1</v>
      </c>
    </row>
    <row r="36" spans="1:38">
      <c r="A36">
        <v>2011</v>
      </c>
      <c r="B36" s="22" t="s">
        <v>46</v>
      </c>
      <c r="C36" s="12">
        <v>40703</v>
      </c>
      <c r="D36" s="3">
        <v>85</v>
      </c>
      <c r="E36" s="22" t="s">
        <v>54</v>
      </c>
      <c r="H36" s="1" t="s">
        <v>1</v>
      </c>
      <c r="I36" s="1" t="s">
        <v>1</v>
      </c>
      <c r="J36" s="1">
        <v>0</v>
      </c>
      <c r="K36" s="1">
        <v>0</v>
      </c>
      <c r="L36" s="1">
        <f t="shared" si="1"/>
        <v>0</v>
      </c>
      <c r="M36" s="1">
        <v>0</v>
      </c>
      <c r="N36" s="1" t="s">
        <v>1</v>
      </c>
      <c r="O36" s="1" t="s">
        <v>1</v>
      </c>
      <c r="P36" s="1">
        <v>2</v>
      </c>
      <c r="Q36" s="1">
        <v>0</v>
      </c>
      <c r="R36" s="1">
        <f t="shared" si="2"/>
        <v>2</v>
      </c>
      <c r="S36" s="1">
        <v>3.5</v>
      </c>
      <c r="T36" s="1" t="s">
        <v>1</v>
      </c>
      <c r="U36" s="1" t="s">
        <v>1</v>
      </c>
      <c r="V36" s="1">
        <v>0</v>
      </c>
      <c r="W36" s="1">
        <v>0</v>
      </c>
      <c r="X36" s="1">
        <f t="shared" si="3"/>
        <v>0</v>
      </c>
      <c r="Y36" s="1">
        <v>0</v>
      </c>
      <c r="Z36" s="1" t="s">
        <v>1</v>
      </c>
      <c r="AA36" s="1" t="s">
        <v>1</v>
      </c>
      <c r="AB36" s="1">
        <v>0</v>
      </c>
      <c r="AC36" s="1">
        <v>0</v>
      </c>
      <c r="AD36" s="1">
        <f t="shared" si="4"/>
        <v>0</v>
      </c>
      <c r="AE36" s="1">
        <v>0</v>
      </c>
      <c r="AF36" s="24">
        <f t="shared" si="20"/>
        <v>0</v>
      </c>
      <c r="AG36" s="24">
        <f t="shared" si="21"/>
        <v>0</v>
      </c>
      <c r="AH36" s="24">
        <f t="shared" si="10"/>
        <v>2</v>
      </c>
      <c r="AI36" s="24">
        <f t="shared" si="11"/>
        <v>0</v>
      </c>
      <c r="AJ36" s="24">
        <f t="shared" si="12"/>
        <v>2</v>
      </c>
      <c r="AK36" s="24">
        <f t="shared" si="13"/>
        <v>3.5</v>
      </c>
      <c r="AL36" s="34" t="s">
        <v>69</v>
      </c>
    </row>
    <row r="37" spans="1:38">
      <c r="A37">
        <v>2011</v>
      </c>
      <c r="B37" s="22" t="s">
        <v>46</v>
      </c>
      <c r="C37" s="12">
        <v>40703</v>
      </c>
      <c r="D37" s="3">
        <v>85</v>
      </c>
      <c r="E37" s="22" t="s">
        <v>70</v>
      </c>
      <c r="H37" s="1" t="s">
        <v>1</v>
      </c>
      <c r="I37" s="1" t="s">
        <v>1</v>
      </c>
      <c r="J37" s="1">
        <v>0</v>
      </c>
      <c r="K37" s="1">
        <v>0</v>
      </c>
      <c r="L37" s="1">
        <f t="shared" si="1"/>
        <v>0</v>
      </c>
      <c r="M37" s="1">
        <v>0</v>
      </c>
      <c r="N37" s="1" t="s">
        <v>1</v>
      </c>
      <c r="O37" s="1" t="s">
        <v>1</v>
      </c>
      <c r="P37" s="1">
        <v>0</v>
      </c>
      <c r="Q37" s="1">
        <v>0</v>
      </c>
      <c r="R37" s="1">
        <f t="shared" si="2"/>
        <v>0</v>
      </c>
      <c r="S37" s="1">
        <v>0</v>
      </c>
      <c r="T37" s="1" t="s">
        <v>1</v>
      </c>
      <c r="U37" s="1" t="s">
        <v>1</v>
      </c>
      <c r="V37" s="1">
        <v>0</v>
      </c>
      <c r="W37" s="1">
        <v>0</v>
      </c>
      <c r="X37" s="1">
        <f t="shared" si="3"/>
        <v>0</v>
      </c>
      <c r="Y37" s="1">
        <v>0</v>
      </c>
      <c r="Z37" s="1" t="s">
        <v>1</v>
      </c>
      <c r="AA37" s="1" t="s">
        <v>1</v>
      </c>
      <c r="AB37" s="1">
        <v>2</v>
      </c>
      <c r="AC37" s="1">
        <v>0</v>
      </c>
      <c r="AD37" s="1">
        <f t="shared" si="4"/>
        <v>2</v>
      </c>
      <c r="AE37" s="1">
        <v>3.5</v>
      </c>
      <c r="AF37" s="24">
        <f t="shared" si="20"/>
        <v>0</v>
      </c>
      <c r="AG37" s="24">
        <f t="shared" si="21"/>
        <v>0</v>
      </c>
      <c r="AH37" s="24">
        <f t="shared" si="10"/>
        <v>2</v>
      </c>
      <c r="AI37" s="24">
        <f t="shared" si="11"/>
        <v>0</v>
      </c>
      <c r="AJ37" s="24">
        <f t="shared" si="12"/>
        <v>2</v>
      </c>
      <c r="AK37" s="24">
        <f t="shared" si="13"/>
        <v>3.5</v>
      </c>
    </row>
    <row r="38" spans="1:38">
      <c r="A38">
        <v>2011</v>
      </c>
      <c r="B38" s="22" t="s">
        <v>46</v>
      </c>
      <c r="C38" s="12">
        <v>40703</v>
      </c>
      <c r="D38" s="3">
        <v>85</v>
      </c>
      <c r="E38" s="22" t="s">
        <v>71</v>
      </c>
      <c r="H38" s="1">
        <v>0</v>
      </c>
      <c r="I38" s="1">
        <v>0</v>
      </c>
      <c r="J38" s="1">
        <v>0</v>
      </c>
      <c r="K38" s="1">
        <v>0</v>
      </c>
      <c r="L38" s="1">
        <f t="shared" si="1"/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f t="shared" si="2"/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f t="shared" si="3"/>
        <v>0</v>
      </c>
      <c r="Y38" s="1">
        <v>0</v>
      </c>
      <c r="Z38" s="1">
        <v>0</v>
      </c>
      <c r="AA38" s="1">
        <v>0</v>
      </c>
      <c r="AB38" s="1">
        <v>0</v>
      </c>
      <c r="AC38" s="1">
        <v>1</v>
      </c>
      <c r="AD38" s="1">
        <f t="shared" si="4"/>
        <v>1</v>
      </c>
      <c r="AE38" s="1">
        <v>55</v>
      </c>
      <c r="AF38" s="24">
        <f t="shared" si="20"/>
        <v>0</v>
      </c>
      <c r="AG38" s="24">
        <f t="shared" si="21"/>
        <v>0</v>
      </c>
      <c r="AH38" s="24">
        <f t="shared" si="10"/>
        <v>0</v>
      </c>
      <c r="AI38" s="24">
        <f t="shared" si="11"/>
        <v>1</v>
      </c>
      <c r="AJ38" s="24">
        <f t="shared" si="12"/>
        <v>1</v>
      </c>
      <c r="AK38" s="24">
        <f t="shared" si="13"/>
        <v>55</v>
      </c>
    </row>
    <row r="39" spans="1:38">
      <c r="A39">
        <v>2011</v>
      </c>
      <c r="B39" s="22" t="s">
        <v>46</v>
      </c>
      <c r="C39" s="12">
        <v>40703</v>
      </c>
      <c r="D39" s="3">
        <v>85</v>
      </c>
      <c r="E39" s="22" t="s">
        <v>72</v>
      </c>
      <c r="H39" s="1">
        <v>0</v>
      </c>
      <c r="I39" s="1">
        <v>0</v>
      </c>
      <c r="J39" s="1">
        <v>0</v>
      </c>
      <c r="K39" s="1">
        <v>0</v>
      </c>
      <c r="L39" s="1">
        <f t="shared" si="1"/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f t="shared" si="2"/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f t="shared" si="3"/>
        <v>0</v>
      </c>
      <c r="Y39" s="1">
        <v>0</v>
      </c>
      <c r="Z39" s="1">
        <v>0</v>
      </c>
      <c r="AA39" s="1">
        <v>0</v>
      </c>
      <c r="AB39" s="1">
        <v>1</v>
      </c>
      <c r="AC39" s="1">
        <v>0</v>
      </c>
      <c r="AD39" s="1">
        <f t="shared" si="4"/>
        <v>1</v>
      </c>
      <c r="AE39" s="1">
        <v>3.5</v>
      </c>
      <c r="AF39" s="24">
        <f t="shared" si="20"/>
        <v>0</v>
      </c>
      <c r="AG39" s="24">
        <f t="shared" si="21"/>
        <v>0</v>
      </c>
      <c r="AH39" s="24">
        <f t="shared" si="10"/>
        <v>1</v>
      </c>
      <c r="AI39" s="24">
        <f t="shared" si="11"/>
        <v>0</v>
      </c>
      <c r="AJ39" s="24">
        <f t="shared" si="12"/>
        <v>1</v>
      </c>
      <c r="AK39" s="24">
        <f t="shared" si="13"/>
        <v>3.5</v>
      </c>
    </row>
    <row r="40" spans="1:38">
      <c r="A40">
        <v>2011</v>
      </c>
      <c r="B40" s="22" t="s">
        <v>46</v>
      </c>
      <c r="C40" s="12">
        <v>40702</v>
      </c>
      <c r="D40" s="3">
        <v>86</v>
      </c>
      <c r="E40" s="22" t="s">
        <v>47</v>
      </c>
      <c r="H40" s="1">
        <v>0</v>
      </c>
      <c r="I40" s="1">
        <v>119</v>
      </c>
      <c r="J40" s="1">
        <v>13</v>
      </c>
      <c r="K40" s="1">
        <v>0</v>
      </c>
      <c r="L40" s="1">
        <f t="shared" si="1"/>
        <v>132</v>
      </c>
      <c r="M40" s="1">
        <v>55</v>
      </c>
      <c r="N40" s="1">
        <v>0</v>
      </c>
      <c r="O40" s="1">
        <v>46</v>
      </c>
      <c r="P40" s="1">
        <v>2</v>
      </c>
      <c r="Q40" s="1">
        <v>0</v>
      </c>
      <c r="R40" s="1">
        <f t="shared" si="2"/>
        <v>48</v>
      </c>
      <c r="S40" s="1">
        <v>25</v>
      </c>
      <c r="T40" s="1">
        <v>0</v>
      </c>
      <c r="U40" s="1">
        <v>24</v>
      </c>
      <c r="V40" s="1">
        <v>19</v>
      </c>
      <c r="W40" s="1">
        <v>0</v>
      </c>
      <c r="X40" s="1">
        <f t="shared" si="3"/>
        <v>43</v>
      </c>
      <c r="Y40" s="1">
        <v>25</v>
      </c>
      <c r="Z40" s="1">
        <v>0</v>
      </c>
      <c r="AA40" s="1">
        <v>86</v>
      </c>
      <c r="AB40" s="1">
        <v>18</v>
      </c>
      <c r="AC40" s="1">
        <v>0</v>
      </c>
      <c r="AD40" s="1">
        <f t="shared" si="4"/>
        <v>104</v>
      </c>
      <c r="AE40" s="1">
        <v>45</v>
      </c>
      <c r="AF40" s="24">
        <f t="shared" si="20"/>
        <v>0</v>
      </c>
      <c r="AG40" s="24">
        <f t="shared" si="21"/>
        <v>275</v>
      </c>
      <c r="AH40" s="24">
        <f t="shared" si="10"/>
        <v>52</v>
      </c>
      <c r="AI40" s="24">
        <f t="shared" ref="AI40:AI51" si="22">SUM(K40,Q40,W40,AC40)</f>
        <v>0</v>
      </c>
      <c r="AJ40" s="24">
        <f t="shared" ref="AJ40:AJ51" si="23">SUM(AF40:AI40)</f>
        <v>327</v>
      </c>
      <c r="AK40" s="24">
        <f t="shared" si="13"/>
        <v>150</v>
      </c>
    </row>
    <row r="41" spans="1:38">
      <c r="A41">
        <v>2011</v>
      </c>
      <c r="B41" s="22" t="s">
        <v>46</v>
      </c>
      <c r="C41" s="12">
        <v>40702</v>
      </c>
      <c r="D41" s="3">
        <v>86</v>
      </c>
      <c r="E41" s="22" t="s">
        <v>73</v>
      </c>
      <c r="H41" s="1">
        <v>0</v>
      </c>
      <c r="I41" s="1">
        <v>0</v>
      </c>
      <c r="J41" s="1">
        <v>1</v>
      </c>
      <c r="K41" s="1">
        <v>0</v>
      </c>
      <c r="L41" s="1">
        <f t="shared" si="1"/>
        <v>1</v>
      </c>
      <c r="M41" s="1">
        <v>15</v>
      </c>
      <c r="N41" s="1">
        <v>0</v>
      </c>
      <c r="O41" s="1">
        <v>0</v>
      </c>
      <c r="P41" s="1">
        <v>0</v>
      </c>
      <c r="Q41" s="1">
        <v>0</v>
      </c>
      <c r="R41" s="1">
        <f t="shared" si="2"/>
        <v>0</v>
      </c>
      <c r="S41" s="1">
        <v>0</v>
      </c>
      <c r="T41" s="1">
        <v>0</v>
      </c>
      <c r="U41" s="1">
        <v>0</v>
      </c>
      <c r="V41" s="1">
        <v>1</v>
      </c>
      <c r="W41" s="1">
        <v>1</v>
      </c>
      <c r="X41" s="1">
        <f t="shared" si="3"/>
        <v>2</v>
      </c>
      <c r="Y41" s="1">
        <v>15</v>
      </c>
      <c r="Z41" s="1">
        <v>0</v>
      </c>
      <c r="AA41" s="1">
        <v>0</v>
      </c>
      <c r="AB41" s="1">
        <v>0</v>
      </c>
      <c r="AC41" s="1">
        <v>0</v>
      </c>
      <c r="AD41" s="1">
        <f t="shared" si="4"/>
        <v>0</v>
      </c>
      <c r="AE41" s="1">
        <v>0</v>
      </c>
      <c r="AF41" s="24">
        <f t="shared" si="20"/>
        <v>0</v>
      </c>
      <c r="AG41" s="24">
        <f t="shared" si="21"/>
        <v>0</v>
      </c>
      <c r="AH41" s="24">
        <f t="shared" si="10"/>
        <v>2</v>
      </c>
      <c r="AI41" s="24">
        <f t="shared" si="22"/>
        <v>1</v>
      </c>
      <c r="AJ41" s="24">
        <f t="shared" si="23"/>
        <v>3</v>
      </c>
      <c r="AK41" s="24">
        <f t="shared" si="13"/>
        <v>30</v>
      </c>
    </row>
    <row r="42" spans="1:38">
      <c r="A42">
        <v>2011</v>
      </c>
      <c r="B42" s="22" t="s">
        <v>46</v>
      </c>
      <c r="C42" s="12">
        <v>40702</v>
      </c>
      <c r="D42" s="3">
        <v>86</v>
      </c>
      <c r="E42" s="22" t="s">
        <v>55</v>
      </c>
      <c r="H42" s="1">
        <v>0</v>
      </c>
      <c r="I42" s="1">
        <v>1</v>
      </c>
      <c r="J42" s="1">
        <v>2</v>
      </c>
      <c r="K42" s="1">
        <v>0</v>
      </c>
      <c r="L42" s="1">
        <f t="shared" si="1"/>
        <v>3</v>
      </c>
      <c r="M42" s="1">
        <v>3.5</v>
      </c>
      <c r="N42" s="1">
        <v>0</v>
      </c>
      <c r="O42" s="1">
        <v>0</v>
      </c>
      <c r="P42" s="1">
        <v>0</v>
      </c>
      <c r="Q42" s="1">
        <v>0</v>
      </c>
      <c r="R42" s="1">
        <f t="shared" si="2"/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f t="shared" si="3"/>
        <v>0</v>
      </c>
      <c r="Y42" s="1">
        <v>0</v>
      </c>
      <c r="Z42" s="1">
        <v>0</v>
      </c>
      <c r="AA42" s="1">
        <v>3</v>
      </c>
      <c r="AB42" s="1">
        <v>0</v>
      </c>
      <c r="AC42" s="1">
        <v>0</v>
      </c>
      <c r="AD42" s="1">
        <f t="shared" si="4"/>
        <v>3</v>
      </c>
      <c r="AE42" s="1">
        <v>8</v>
      </c>
      <c r="AF42" s="24">
        <f t="shared" si="20"/>
        <v>0</v>
      </c>
      <c r="AG42" s="24">
        <f t="shared" si="21"/>
        <v>4</v>
      </c>
      <c r="AH42" s="24">
        <f t="shared" si="10"/>
        <v>2</v>
      </c>
      <c r="AI42" s="24">
        <f t="shared" si="22"/>
        <v>0</v>
      </c>
      <c r="AJ42" s="24">
        <f t="shared" si="23"/>
        <v>6</v>
      </c>
      <c r="AK42" s="24">
        <f t="shared" si="13"/>
        <v>11.5</v>
      </c>
    </row>
    <row r="43" spans="1:38">
      <c r="A43">
        <v>2011</v>
      </c>
      <c r="B43" s="22" t="s">
        <v>46</v>
      </c>
      <c r="C43" s="12">
        <v>40702</v>
      </c>
      <c r="D43" s="3">
        <v>86</v>
      </c>
      <c r="E43" s="22" t="s">
        <v>67</v>
      </c>
      <c r="H43" s="1">
        <v>0</v>
      </c>
      <c r="I43" s="1">
        <v>6</v>
      </c>
      <c r="J43" s="1">
        <v>0</v>
      </c>
      <c r="K43" s="1">
        <v>0</v>
      </c>
      <c r="L43" s="1">
        <f t="shared" si="1"/>
        <v>6</v>
      </c>
      <c r="M43" s="1">
        <v>0.5</v>
      </c>
      <c r="N43" s="1">
        <v>0</v>
      </c>
      <c r="O43" s="1">
        <v>5</v>
      </c>
      <c r="P43" s="1">
        <v>8</v>
      </c>
      <c r="Q43" s="1">
        <v>0</v>
      </c>
      <c r="R43" s="1">
        <f t="shared" si="2"/>
        <v>13</v>
      </c>
      <c r="S43" s="1">
        <v>8</v>
      </c>
      <c r="T43" s="1">
        <v>0</v>
      </c>
      <c r="U43" s="1">
        <v>14</v>
      </c>
      <c r="V43" s="1">
        <v>55</v>
      </c>
      <c r="W43" s="1">
        <v>0</v>
      </c>
      <c r="X43" s="1">
        <f t="shared" si="3"/>
        <v>69</v>
      </c>
      <c r="Y43" s="1">
        <v>56</v>
      </c>
      <c r="Z43" s="1">
        <v>0</v>
      </c>
      <c r="AA43" s="1">
        <v>8</v>
      </c>
      <c r="AB43" s="1">
        <v>0</v>
      </c>
      <c r="AC43" s="1">
        <v>0</v>
      </c>
      <c r="AD43" s="1">
        <f t="shared" si="4"/>
        <v>8</v>
      </c>
      <c r="AE43" s="1">
        <v>3.5</v>
      </c>
      <c r="AF43" s="24">
        <f t="shared" si="20"/>
        <v>0</v>
      </c>
      <c r="AG43" s="24">
        <f t="shared" si="21"/>
        <v>33</v>
      </c>
      <c r="AH43" s="24">
        <f t="shared" si="10"/>
        <v>63</v>
      </c>
      <c r="AI43" s="24">
        <f t="shared" si="22"/>
        <v>0</v>
      </c>
      <c r="AJ43" s="24">
        <f t="shared" si="23"/>
        <v>96</v>
      </c>
      <c r="AK43" s="24">
        <f t="shared" si="13"/>
        <v>68</v>
      </c>
    </row>
    <row r="44" spans="1:38">
      <c r="A44">
        <v>2011</v>
      </c>
      <c r="B44" s="22" t="s">
        <v>46</v>
      </c>
      <c r="C44" s="12">
        <v>40702</v>
      </c>
      <c r="D44" s="3">
        <v>86</v>
      </c>
      <c r="E44" s="22" t="s">
        <v>64</v>
      </c>
      <c r="H44" s="1" t="s">
        <v>1</v>
      </c>
      <c r="I44" s="1" t="s">
        <v>1</v>
      </c>
      <c r="J44" s="1">
        <v>1</v>
      </c>
      <c r="K44" s="1">
        <v>0</v>
      </c>
      <c r="L44" s="1">
        <f t="shared" si="1"/>
        <v>1</v>
      </c>
      <c r="M44" s="1">
        <v>0.5</v>
      </c>
      <c r="N44" s="1" t="s">
        <v>1</v>
      </c>
      <c r="O44" s="1" t="s">
        <v>1</v>
      </c>
      <c r="P44" s="1">
        <v>1</v>
      </c>
      <c r="Q44" s="1">
        <v>0</v>
      </c>
      <c r="R44" s="1">
        <f t="shared" si="2"/>
        <v>1</v>
      </c>
      <c r="S44" s="1">
        <v>0.5</v>
      </c>
      <c r="T44" s="1" t="s">
        <v>1</v>
      </c>
      <c r="U44" s="1" t="s">
        <v>1</v>
      </c>
      <c r="V44" s="1">
        <v>0</v>
      </c>
      <c r="W44" s="1">
        <v>0</v>
      </c>
      <c r="X44" s="1">
        <f t="shared" si="3"/>
        <v>0</v>
      </c>
      <c r="Y44" s="1">
        <v>0</v>
      </c>
      <c r="Z44" s="1" t="s">
        <v>1</v>
      </c>
      <c r="AA44" s="1" t="s">
        <v>1</v>
      </c>
      <c r="AB44" s="1">
        <v>1</v>
      </c>
      <c r="AC44" s="1">
        <v>0</v>
      </c>
      <c r="AD44" s="1">
        <f t="shared" si="4"/>
        <v>1</v>
      </c>
      <c r="AE44" s="1">
        <v>0.5</v>
      </c>
      <c r="AF44" s="24">
        <f t="shared" ref="AF44:AF50" si="24">SUM(H44,N44,T44,Z44)</f>
        <v>0</v>
      </c>
      <c r="AG44" s="24">
        <f t="shared" ref="AG44:AG51" si="25">SUM(I44,O44,U44,AA44)</f>
        <v>0</v>
      </c>
      <c r="AH44" s="24">
        <f t="shared" si="10"/>
        <v>3</v>
      </c>
      <c r="AI44" s="24">
        <f t="shared" si="22"/>
        <v>0</v>
      </c>
      <c r="AJ44" s="24">
        <f t="shared" si="23"/>
        <v>3</v>
      </c>
      <c r="AK44" s="24">
        <f t="shared" si="13"/>
        <v>1.5</v>
      </c>
    </row>
    <row r="45" spans="1:38">
      <c r="A45">
        <v>2011</v>
      </c>
      <c r="B45" s="22" t="s">
        <v>46</v>
      </c>
      <c r="C45" s="12">
        <v>40702</v>
      </c>
      <c r="D45" s="3">
        <v>86</v>
      </c>
      <c r="E45" s="22" t="s">
        <v>65</v>
      </c>
      <c r="H45" s="1" t="s">
        <v>1</v>
      </c>
      <c r="I45" s="1" t="s">
        <v>1</v>
      </c>
      <c r="J45" s="1">
        <v>1</v>
      </c>
      <c r="K45" s="1">
        <v>0</v>
      </c>
      <c r="L45" s="1">
        <f t="shared" si="1"/>
        <v>1</v>
      </c>
      <c r="M45" s="1">
        <v>1.5</v>
      </c>
      <c r="N45" s="1" t="s">
        <v>1</v>
      </c>
      <c r="O45" s="1" t="s">
        <v>1</v>
      </c>
      <c r="P45" s="1">
        <v>3</v>
      </c>
      <c r="Q45" s="1">
        <v>0</v>
      </c>
      <c r="R45" s="1">
        <f t="shared" si="2"/>
        <v>3</v>
      </c>
      <c r="S45" s="1">
        <v>1.5</v>
      </c>
      <c r="T45" s="1" t="s">
        <v>1</v>
      </c>
      <c r="U45" s="1" t="s">
        <v>1</v>
      </c>
      <c r="V45" s="1">
        <v>0</v>
      </c>
      <c r="W45" s="1">
        <v>0</v>
      </c>
      <c r="X45" s="1">
        <f t="shared" si="3"/>
        <v>0</v>
      </c>
      <c r="Y45" s="1">
        <v>0</v>
      </c>
      <c r="Z45" s="1" t="s">
        <v>1</v>
      </c>
      <c r="AA45" s="1" t="s">
        <v>1</v>
      </c>
      <c r="AB45" s="1">
        <v>0</v>
      </c>
      <c r="AC45" s="1">
        <v>0</v>
      </c>
      <c r="AD45" s="1">
        <f t="shared" si="4"/>
        <v>0</v>
      </c>
      <c r="AE45" s="1">
        <v>0</v>
      </c>
      <c r="AF45" s="24">
        <f t="shared" si="24"/>
        <v>0</v>
      </c>
      <c r="AG45" s="24">
        <f t="shared" si="25"/>
        <v>0</v>
      </c>
      <c r="AH45" s="24">
        <f t="shared" si="10"/>
        <v>4</v>
      </c>
      <c r="AI45" s="24">
        <f t="shared" si="22"/>
        <v>0</v>
      </c>
      <c r="AJ45" s="24">
        <f t="shared" si="23"/>
        <v>4</v>
      </c>
      <c r="AK45" s="24">
        <f t="shared" si="13"/>
        <v>3</v>
      </c>
    </row>
    <row r="46" spans="1:38">
      <c r="A46">
        <v>2011</v>
      </c>
      <c r="B46" s="22" t="s">
        <v>46</v>
      </c>
      <c r="C46" s="12">
        <v>40702</v>
      </c>
      <c r="D46" s="3">
        <v>86</v>
      </c>
      <c r="E46" s="22" t="s">
        <v>74</v>
      </c>
      <c r="H46" s="1" t="s">
        <v>1</v>
      </c>
      <c r="I46" s="1" t="s">
        <v>1</v>
      </c>
      <c r="J46" s="1">
        <v>0</v>
      </c>
      <c r="K46" s="1">
        <v>0</v>
      </c>
      <c r="L46" s="1">
        <f t="shared" si="1"/>
        <v>0</v>
      </c>
      <c r="M46" s="1">
        <v>0</v>
      </c>
      <c r="N46" s="1" t="s">
        <v>1</v>
      </c>
      <c r="O46" s="1" t="s">
        <v>1</v>
      </c>
      <c r="P46" s="1">
        <v>1</v>
      </c>
      <c r="Q46" s="1">
        <v>1</v>
      </c>
      <c r="R46" s="1">
        <f t="shared" si="2"/>
        <v>2</v>
      </c>
      <c r="S46" s="1">
        <v>3.5</v>
      </c>
      <c r="T46" s="1" t="s">
        <v>1</v>
      </c>
      <c r="U46" s="1" t="s">
        <v>1</v>
      </c>
      <c r="V46" s="1">
        <v>0</v>
      </c>
      <c r="W46" s="1">
        <v>0</v>
      </c>
      <c r="X46" s="1">
        <f t="shared" si="3"/>
        <v>0</v>
      </c>
      <c r="Y46" s="1">
        <v>0</v>
      </c>
      <c r="Z46" s="1" t="s">
        <v>1</v>
      </c>
      <c r="AA46" s="1" t="s">
        <v>1</v>
      </c>
      <c r="AB46" s="1">
        <v>0</v>
      </c>
      <c r="AC46" s="1">
        <v>0</v>
      </c>
      <c r="AD46" s="1">
        <f t="shared" si="4"/>
        <v>0</v>
      </c>
      <c r="AE46" s="1">
        <v>0</v>
      </c>
      <c r="AF46" s="24">
        <f t="shared" si="24"/>
        <v>0</v>
      </c>
      <c r="AG46" s="24">
        <f t="shared" si="25"/>
        <v>0</v>
      </c>
      <c r="AH46" s="24">
        <f t="shared" si="10"/>
        <v>1</v>
      </c>
      <c r="AI46" s="24">
        <f t="shared" si="22"/>
        <v>1</v>
      </c>
      <c r="AJ46" s="24">
        <f t="shared" si="23"/>
        <v>2</v>
      </c>
      <c r="AK46" s="24">
        <f t="shared" si="13"/>
        <v>3.5</v>
      </c>
    </row>
    <row r="47" spans="1:38">
      <c r="A47">
        <v>2011</v>
      </c>
      <c r="B47" s="22" t="s">
        <v>46</v>
      </c>
      <c r="C47" s="12">
        <v>40702</v>
      </c>
      <c r="D47" s="3">
        <v>86</v>
      </c>
      <c r="E47" s="22" t="s">
        <v>72</v>
      </c>
      <c r="H47" s="1">
        <v>0</v>
      </c>
      <c r="I47" s="1">
        <v>0</v>
      </c>
      <c r="J47" s="1">
        <v>0</v>
      </c>
      <c r="K47" s="1">
        <v>0</v>
      </c>
      <c r="L47" s="1">
        <f t="shared" si="1"/>
        <v>0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f t="shared" si="2"/>
        <v>1</v>
      </c>
      <c r="S47" s="1">
        <v>15</v>
      </c>
      <c r="T47" s="1">
        <v>0</v>
      </c>
      <c r="U47" s="1">
        <v>0</v>
      </c>
      <c r="V47" s="1">
        <v>0</v>
      </c>
      <c r="W47" s="1">
        <v>0</v>
      </c>
      <c r="X47" s="1">
        <f t="shared" si="3"/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f t="shared" si="4"/>
        <v>0</v>
      </c>
      <c r="AE47" s="1">
        <v>0</v>
      </c>
      <c r="AF47" s="24">
        <f t="shared" si="24"/>
        <v>0</v>
      </c>
      <c r="AG47" s="24">
        <f t="shared" si="25"/>
        <v>0</v>
      </c>
      <c r="AH47" s="24">
        <f t="shared" si="10"/>
        <v>1</v>
      </c>
      <c r="AI47" s="24">
        <f t="shared" si="22"/>
        <v>0</v>
      </c>
      <c r="AJ47" s="24">
        <f t="shared" si="23"/>
        <v>1</v>
      </c>
      <c r="AK47" s="24">
        <f t="shared" si="13"/>
        <v>15</v>
      </c>
    </row>
    <row r="48" spans="1:38">
      <c r="A48">
        <v>2011</v>
      </c>
      <c r="B48" s="22" t="s">
        <v>46</v>
      </c>
      <c r="C48" s="12">
        <v>40702</v>
      </c>
      <c r="D48" s="3">
        <v>86</v>
      </c>
      <c r="E48" s="22" t="s">
        <v>51</v>
      </c>
      <c r="H48" s="1">
        <v>0</v>
      </c>
      <c r="I48" s="1">
        <v>0</v>
      </c>
      <c r="J48" s="1">
        <v>0</v>
      </c>
      <c r="K48" s="1">
        <v>0</v>
      </c>
      <c r="L48" s="1">
        <f t="shared" si="1"/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f t="shared" si="2"/>
        <v>0</v>
      </c>
      <c r="S48" s="1">
        <v>0</v>
      </c>
      <c r="T48" s="1">
        <v>0</v>
      </c>
      <c r="U48" s="1">
        <v>4</v>
      </c>
      <c r="V48" s="1">
        <v>2</v>
      </c>
      <c r="W48" s="1">
        <v>0</v>
      </c>
      <c r="X48" s="1">
        <f t="shared" si="3"/>
        <v>6</v>
      </c>
      <c r="Y48" s="1">
        <v>1.5</v>
      </c>
      <c r="Z48" s="1">
        <v>0</v>
      </c>
      <c r="AA48" s="1">
        <v>4</v>
      </c>
      <c r="AB48" s="1">
        <v>0</v>
      </c>
      <c r="AC48" s="1">
        <v>0</v>
      </c>
      <c r="AD48" s="1">
        <f t="shared" si="4"/>
        <v>4</v>
      </c>
      <c r="AE48" s="1">
        <v>0.5</v>
      </c>
      <c r="AF48" s="24">
        <f t="shared" si="24"/>
        <v>0</v>
      </c>
      <c r="AG48" s="24">
        <f t="shared" si="25"/>
        <v>8</v>
      </c>
      <c r="AH48" s="24">
        <f t="shared" si="10"/>
        <v>2</v>
      </c>
      <c r="AI48" s="24">
        <f t="shared" si="22"/>
        <v>0</v>
      </c>
      <c r="AJ48" s="24">
        <f t="shared" si="23"/>
        <v>10</v>
      </c>
      <c r="AK48" s="24">
        <f t="shared" si="13"/>
        <v>2</v>
      </c>
    </row>
    <row r="49" spans="1:38">
      <c r="A49">
        <v>2011</v>
      </c>
      <c r="B49" s="22" t="s">
        <v>46</v>
      </c>
      <c r="C49" s="12">
        <v>40702</v>
      </c>
      <c r="D49" s="3">
        <v>86</v>
      </c>
      <c r="E49" s="22" t="s">
        <v>75</v>
      </c>
      <c r="H49" s="1" t="s">
        <v>1</v>
      </c>
      <c r="I49" s="1" t="s">
        <v>1</v>
      </c>
      <c r="J49" s="1">
        <v>0</v>
      </c>
      <c r="K49" s="1">
        <v>0</v>
      </c>
      <c r="L49" s="1">
        <f t="shared" si="1"/>
        <v>0</v>
      </c>
      <c r="M49" s="1">
        <v>0</v>
      </c>
      <c r="N49" s="1" t="s">
        <v>1</v>
      </c>
      <c r="O49" s="1" t="s">
        <v>1</v>
      </c>
      <c r="P49" s="1">
        <v>0</v>
      </c>
      <c r="Q49" s="1">
        <v>0</v>
      </c>
      <c r="R49" s="1">
        <f t="shared" si="2"/>
        <v>0</v>
      </c>
      <c r="S49" s="1">
        <v>0</v>
      </c>
      <c r="T49" s="1" t="s">
        <v>1</v>
      </c>
      <c r="U49" s="1" t="s">
        <v>1</v>
      </c>
      <c r="V49" s="1">
        <v>5</v>
      </c>
      <c r="W49" s="1">
        <v>2</v>
      </c>
      <c r="X49" s="1">
        <f t="shared" si="3"/>
        <v>7</v>
      </c>
      <c r="Y49" s="1">
        <v>35</v>
      </c>
      <c r="Z49" s="1" t="s">
        <v>1</v>
      </c>
      <c r="AA49" s="1" t="s">
        <v>1</v>
      </c>
      <c r="AB49" s="1">
        <v>0</v>
      </c>
      <c r="AC49" s="1">
        <v>0</v>
      </c>
      <c r="AD49" s="1">
        <f t="shared" si="4"/>
        <v>0</v>
      </c>
      <c r="AE49" s="1">
        <v>0</v>
      </c>
      <c r="AF49" s="24">
        <f t="shared" si="24"/>
        <v>0</v>
      </c>
      <c r="AG49" s="24">
        <f t="shared" si="25"/>
        <v>0</v>
      </c>
      <c r="AH49" s="24">
        <f t="shared" si="10"/>
        <v>5</v>
      </c>
      <c r="AI49" s="24">
        <f t="shared" si="22"/>
        <v>2</v>
      </c>
      <c r="AJ49" s="24">
        <f t="shared" si="23"/>
        <v>7</v>
      </c>
      <c r="AK49" s="24">
        <f t="shared" si="13"/>
        <v>35</v>
      </c>
    </row>
    <row r="50" spans="1:38">
      <c r="A50">
        <v>2011</v>
      </c>
      <c r="B50" s="22" t="s">
        <v>46</v>
      </c>
      <c r="C50" s="12">
        <v>40702</v>
      </c>
      <c r="D50" s="3">
        <v>86</v>
      </c>
      <c r="E50" s="22" t="s">
        <v>76</v>
      </c>
      <c r="H50" s="1" t="s">
        <v>1</v>
      </c>
      <c r="I50" s="1" t="s">
        <v>1</v>
      </c>
      <c r="J50" s="1">
        <v>0</v>
      </c>
      <c r="K50" s="1">
        <v>0</v>
      </c>
      <c r="L50" s="1">
        <f t="shared" si="1"/>
        <v>0</v>
      </c>
      <c r="M50" s="1">
        <v>0</v>
      </c>
      <c r="N50" s="1" t="s">
        <v>1</v>
      </c>
      <c r="O50" s="1" t="s">
        <v>1</v>
      </c>
      <c r="P50" s="1">
        <v>0</v>
      </c>
      <c r="Q50" s="1">
        <v>0</v>
      </c>
      <c r="R50" s="1">
        <f t="shared" si="2"/>
        <v>0</v>
      </c>
      <c r="S50" s="1">
        <v>0</v>
      </c>
      <c r="T50" s="1" t="s">
        <v>1</v>
      </c>
      <c r="U50" s="1" t="s">
        <v>1</v>
      </c>
      <c r="V50" s="1">
        <v>1</v>
      </c>
      <c r="W50" s="1">
        <v>0</v>
      </c>
      <c r="X50" s="1">
        <f t="shared" si="3"/>
        <v>1</v>
      </c>
      <c r="Y50" s="1">
        <v>0.5</v>
      </c>
      <c r="Z50" s="1" t="s">
        <v>1</v>
      </c>
      <c r="AA50" s="1" t="s">
        <v>1</v>
      </c>
      <c r="AB50" s="1">
        <v>0</v>
      </c>
      <c r="AC50" s="1">
        <v>0</v>
      </c>
      <c r="AD50" s="1">
        <f t="shared" si="4"/>
        <v>0</v>
      </c>
      <c r="AE50" s="1">
        <v>0</v>
      </c>
      <c r="AF50" s="24">
        <f t="shared" si="24"/>
        <v>0</v>
      </c>
      <c r="AG50" s="24">
        <f t="shared" si="25"/>
        <v>0</v>
      </c>
      <c r="AH50" s="24">
        <f t="shared" si="10"/>
        <v>1</v>
      </c>
      <c r="AI50" s="24">
        <f t="shared" si="22"/>
        <v>0</v>
      </c>
      <c r="AJ50" s="24">
        <f t="shared" si="23"/>
        <v>1</v>
      </c>
      <c r="AK50" s="24">
        <f t="shared" si="13"/>
        <v>0.5</v>
      </c>
    </row>
    <row r="51" spans="1:38">
      <c r="A51">
        <v>2011</v>
      </c>
      <c r="B51" s="22" t="s">
        <v>46</v>
      </c>
      <c r="C51" s="12">
        <v>40702</v>
      </c>
      <c r="D51" s="3">
        <v>86</v>
      </c>
      <c r="E51" s="22" t="s">
        <v>77</v>
      </c>
      <c r="H51" s="1" t="s">
        <v>1</v>
      </c>
      <c r="I51" s="1" t="s">
        <v>1</v>
      </c>
      <c r="J51" s="1">
        <v>0</v>
      </c>
      <c r="K51" s="1">
        <v>0</v>
      </c>
      <c r="L51" s="1">
        <f t="shared" si="1"/>
        <v>0</v>
      </c>
      <c r="M51" s="1">
        <v>0</v>
      </c>
      <c r="N51" s="1" t="s">
        <v>1</v>
      </c>
      <c r="O51" s="1" t="s">
        <v>1</v>
      </c>
      <c r="P51" s="1">
        <v>0</v>
      </c>
      <c r="Q51" s="1">
        <v>0</v>
      </c>
      <c r="R51" s="1">
        <f t="shared" si="2"/>
        <v>0</v>
      </c>
      <c r="S51" s="1">
        <v>0</v>
      </c>
      <c r="T51" s="1" t="s">
        <v>1</v>
      </c>
      <c r="U51" s="1" t="s">
        <v>1</v>
      </c>
      <c r="V51" s="1">
        <v>0</v>
      </c>
      <c r="W51" s="1">
        <v>0</v>
      </c>
      <c r="X51" s="1">
        <f t="shared" si="3"/>
        <v>0</v>
      </c>
      <c r="Y51" s="1">
        <v>0</v>
      </c>
      <c r="Z51" s="1" t="s">
        <v>1</v>
      </c>
      <c r="AA51" s="1" t="s">
        <v>1</v>
      </c>
      <c r="AB51" s="1">
        <v>1</v>
      </c>
      <c r="AC51" s="1">
        <v>0</v>
      </c>
      <c r="AD51" s="1">
        <f t="shared" si="4"/>
        <v>1</v>
      </c>
      <c r="AE51" s="1">
        <v>3.5</v>
      </c>
      <c r="AF51" s="24">
        <f>SUM(H51,N52,T51,Z51)</f>
        <v>0</v>
      </c>
      <c r="AG51" s="24">
        <f t="shared" si="25"/>
        <v>0</v>
      </c>
      <c r="AH51" s="24">
        <f t="shared" si="10"/>
        <v>1</v>
      </c>
      <c r="AI51" s="24">
        <f t="shared" si="22"/>
        <v>0</v>
      </c>
      <c r="AJ51" s="24">
        <f t="shared" si="23"/>
        <v>1</v>
      </c>
      <c r="AK51" s="24">
        <f t="shared" si="13"/>
        <v>3.5</v>
      </c>
    </row>
    <row r="52" spans="1:38">
      <c r="A52">
        <v>2011</v>
      </c>
      <c r="B52" s="22" t="s">
        <v>46</v>
      </c>
      <c r="C52" s="12">
        <v>40703</v>
      </c>
      <c r="D52" s="3">
        <v>87</v>
      </c>
      <c r="E52" s="22" t="s">
        <v>47</v>
      </c>
      <c r="H52" s="1">
        <v>0</v>
      </c>
      <c r="I52" s="1">
        <v>46</v>
      </c>
      <c r="J52" s="1">
        <v>8</v>
      </c>
      <c r="K52" s="1">
        <v>0</v>
      </c>
      <c r="L52" s="1">
        <f t="shared" si="1"/>
        <v>54</v>
      </c>
      <c r="M52" s="1">
        <v>35</v>
      </c>
      <c r="N52" s="1">
        <v>0</v>
      </c>
      <c r="O52" s="1">
        <v>25</v>
      </c>
      <c r="P52" s="1">
        <v>0</v>
      </c>
      <c r="Q52" s="1">
        <v>0</v>
      </c>
      <c r="R52" s="1">
        <f t="shared" si="2"/>
        <v>25</v>
      </c>
      <c r="S52" s="1">
        <v>8</v>
      </c>
      <c r="T52" s="1">
        <v>0</v>
      </c>
      <c r="U52" s="1">
        <v>42</v>
      </c>
      <c r="V52" s="1">
        <v>0</v>
      </c>
      <c r="W52" s="1">
        <v>0</v>
      </c>
      <c r="X52" s="1">
        <f t="shared" si="3"/>
        <v>42</v>
      </c>
      <c r="Y52" s="1">
        <v>25</v>
      </c>
      <c r="Z52" s="1">
        <v>0</v>
      </c>
      <c r="AA52" s="1">
        <v>47</v>
      </c>
      <c r="AB52" s="1">
        <v>12</v>
      </c>
      <c r="AC52" s="1">
        <v>0</v>
      </c>
      <c r="AD52" s="1">
        <f t="shared" si="4"/>
        <v>59</v>
      </c>
      <c r="AE52" s="1">
        <v>45</v>
      </c>
      <c r="AF52" s="24">
        <f t="shared" ref="AF52:AF60" si="26">SUM(H52,N53,T52,Z52)</f>
        <v>0</v>
      </c>
      <c r="AG52" s="24">
        <f t="shared" ref="AG52:AG60" si="27">SUM(I52,O52,U52,AA52)</f>
        <v>160</v>
      </c>
      <c r="AH52" s="24">
        <f t="shared" si="10"/>
        <v>20</v>
      </c>
      <c r="AI52" s="24">
        <f t="shared" ref="AI52:AI84" si="28">SUM(K52,Q52,W52,AC52)</f>
        <v>0</v>
      </c>
      <c r="AJ52" s="24">
        <f t="shared" ref="AJ52:AJ60" si="29">SUM(AF52:AI52)</f>
        <v>180</v>
      </c>
      <c r="AK52" s="24">
        <f t="shared" si="13"/>
        <v>113</v>
      </c>
      <c r="AL52" s="34" t="s">
        <v>78</v>
      </c>
    </row>
    <row r="53" spans="1:38">
      <c r="A53">
        <v>2011</v>
      </c>
      <c r="B53" s="22" t="s">
        <v>46</v>
      </c>
      <c r="C53" s="12">
        <v>40703</v>
      </c>
      <c r="D53" s="3">
        <v>87</v>
      </c>
      <c r="E53" s="22" t="s">
        <v>54</v>
      </c>
      <c r="H53" s="1" t="s">
        <v>1</v>
      </c>
      <c r="I53" s="1" t="s">
        <v>1</v>
      </c>
      <c r="J53" s="1">
        <v>15</v>
      </c>
      <c r="K53" s="1">
        <v>0</v>
      </c>
      <c r="L53" s="1">
        <f t="shared" si="1"/>
        <v>15</v>
      </c>
      <c r="M53" s="1">
        <v>3.5</v>
      </c>
      <c r="N53" s="1" t="s">
        <v>1</v>
      </c>
      <c r="O53" s="1" t="s">
        <v>1</v>
      </c>
      <c r="P53" s="1">
        <v>2</v>
      </c>
      <c r="Q53" s="1">
        <v>0</v>
      </c>
      <c r="R53" s="1">
        <f t="shared" si="2"/>
        <v>2</v>
      </c>
      <c r="S53" s="1">
        <v>1.5</v>
      </c>
      <c r="T53" s="1" t="s">
        <v>1</v>
      </c>
      <c r="U53" s="1" t="s">
        <v>1</v>
      </c>
      <c r="V53" s="1">
        <v>0</v>
      </c>
      <c r="W53" s="1">
        <v>0</v>
      </c>
      <c r="X53" s="1">
        <f t="shared" si="3"/>
        <v>0</v>
      </c>
      <c r="Y53" s="1">
        <v>0</v>
      </c>
      <c r="Z53" s="1" t="s">
        <v>1</v>
      </c>
      <c r="AA53" s="1" t="s">
        <v>1</v>
      </c>
      <c r="AB53" s="1">
        <v>0</v>
      </c>
      <c r="AC53" s="1">
        <v>0</v>
      </c>
      <c r="AD53" s="1">
        <f t="shared" si="4"/>
        <v>0</v>
      </c>
      <c r="AE53" s="1">
        <v>0</v>
      </c>
      <c r="AF53" s="24">
        <f t="shared" si="26"/>
        <v>0</v>
      </c>
      <c r="AG53" s="24">
        <f t="shared" si="27"/>
        <v>0</v>
      </c>
      <c r="AH53" s="24">
        <f t="shared" si="10"/>
        <v>17</v>
      </c>
      <c r="AI53" s="24">
        <f t="shared" si="28"/>
        <v>0</v>
      </c>
      <c r="AJ53" s="24">
        <f t="shared" si="29"/>
        <v>17</v>
      </c>
      <c r="AK53" s="24">
        <f t="shared" si="13"/>
        <v>5</v>
      </c>
      <c r="AL53" s="34" t="s">
        <v>79</v>
      </c>
    </row>
    <row r="54" spans="1:38">
      <c r="A54">
        <v>2011</v>
      </c>
      <c r="B54" s="22" t="s">
        <v>46</v>
      </c>
      <c r="C54" s="12">
        <v>40703</v>
      </c>
      <c r="D54" s="3">
        <v>87</v>
      </c>
      <c r="E54" s="22" t="s">
        <v>60</v>
      </c>
      <c r="H54" s="1" t="s">
        <v>1</v>
      </c>
      <c r="I54" s="1" t="s">
        <v>1</v>
      </c>
      <c r="J54" s="1">
        <v>2</v>
      </c>
      <c r="K54" s="1">
        <v>0</v>
      </c>
      <c r="L54" s="1">
        <f t="shared" si="1"/>
        <v>2</v>
      </c>
      <c r="M54" s="1">
        <v>3.5</v>
      </c>
      <c r="N54" s="1" t="s">
        <v>1</v>
      </c>
      <c r="O54" s="1" t="s">
        <v>1</v>
      </c>
      <c r="P54" s="1">
        <v>6</v>
      </c>
      <c r="Q54" s="1">
        <v>0</v>
      </c>
      <c r="R54" s="1">
        <f t="shared" si="2"/>
        <v>6</v>
      </c>
      <c r="S54" s="1">
        <v>8</v>
      </c>
      <c r="T54" s="1" t="s">
        <v>1</v>
      </c>
      <c r="U54" s="1" t="s">
        <v>1</v>
      </c>
      <c r="V54" s="1">
        <v>0</v>
      </c>
      <c r="W54" s="1">
        <v>0</v>
      </c>
      <c r="X54" s="1">
        <f t="shared" si="3"/>
        <v>0</v>
      </c>
      <c r="Y54" s="1">
        <v>0</v>
      </c>
      <c r="Z54" s="1" t="s">
        <v>1</v>
      </c>
      <c r="AA54" s="1" t="s">
        <v>1</v>
      </c>
      <c r="AB54" s="1">
        <v>5</v>
      </c>
      <c r="AC54" s="1">
        <v>0</v>
      </c>
      <c r="AD54" s="1">
        <f t="shared" si="4"/>
        <v>5</v>
      </c>
      <c r="AE54" s="1">
        <v>8</v>
      </c>
      <c r="AF54" s="24">
        <f t="shared" si="26"/>
        <v>0</v>
      </c>
      <c r="AG54" s="24">
        <f t="shared" si="27"/>
        <v>0</v>
      </c>
      <c r="AH54" s="24">
        <f t="shared" si="10"/>
        <v>13</v>
      </c>
      <c r="AI54" s="24">
        <f t="shared" si="28"/>
        <v>0</v>
      </c>
      <c r="AJ54" s="24">
        <f t="shared" si="29"/>
        <v>13</v>
      </c>
      <c r="AK54" s="24">
        <f t="shared" si="13"/>
        <v>19.5</v>
      </c>
    </row>
    <row r="55" spans="1:38">
      <c r="A55">
        <v>2011</v>
      </c>
      <c r="B55" s="22" t="s">
        <v>46</v>
      </c>
      <c r="C55" s="12">
        <v>40703</v>
      </c>
      <c r="D55" s="3">
        <v>87</v>
      </c>
      <c r="E55" s="22" t="s">
        <v>80</v>
      </c>
      <c r="H55" s="1" t="s">
        <v>1</v>
      </c>
      <c r="I55" s="1" t="s">
        <v>1</v>
      </c>
      <c r="J55" s="1">
        <v>2</v>
      </c>
      <c r="K55" s="1">
        <v>0</v>
      </c>
      <c r="L55" s="1">
        <f t="shared" si="1"/>
        <v>2</v>
      </c>
      <c r="M55" s="1">
        <v>1.5</v>
      </c>
      <c r="N55" s="1" t="s">
        <v>1</v>
      </c>
      <c r="O55" s="1" t="s">
        <v>1</v>
      </c>
      <c r="P55" s="1">
        <v>0</v>
      </c>
      <c r="Q55" s="1">
        <v>0</v>
      </c>
      <c r="R55" s="1">
        <f t="shared" si="2"/>
        <v>0</v>
      </c>
      <c r="S55" s="1">
        <v>0</v>
      </c>
      <c r="T55" s="1" t="s">
        <v>1</v>
      </c>
      <c r="U55" s="1" t="s">
        <v>1</v>
      </c>
      <c r="V55" s="1">
        <v>0</v>
      </c>
      <c r="W55" s="1">
        <v>0</v>
      </c>
      <c r="X55" s="1">
        <f t="shared" si="3"/>
        <v>0</v>
      </c>
      <c r="Y55" s="1">
        <v>0</v>
      </c>
      <c r="Z55" s="1" t="s">
        <v>1</v>
      </c>
      <c r="AA55" s="1" t="s">
        <v>1</v>
      </c>
      <c r="AB55" s="1">
        <v>0</v>
      </c>
      <c r="AC55" s="1">
        <v>0</v>
      </c>
      <c r="AD55" s="1">
        <f t="shared" si="4"/>
        <v>0</v>
      </c>
      <c r="AE55" s="1">
        <v>0</v>
      </c>
      <c r="AF55" s="24">
        <f t="shared" si="26"/>
        <v>0</v>
      </c>
      <c r="AG55" s="24">
        <f t="shared" si="27"/>
        <v>0</v>
      </c>
      <c r="AH55" s="24">
        <f t="shared" si="10"/>
        <v>2</v>
      </c>
      <c r="AI55" s="24">
        <f t="shared" si="28"/>
        <v>0</v>
      </c>
      <c r="AJ55" s="24">
        <f t="shared" si="29"/>
        <v>2</v>
      </c>
      <c r="AK55" s="24">
        <f t="shared" si="13"/>
        <v>1.5</v>
      </c>
    </row>
    <row r="56" spans="1:38">
      <c r="A56">
        <v>2011</v>
      </c>
      <c r="B56" s="22" t="s">
        <v>46</v>
      </c>
      <c r="C56" s="12">
        <v>40703</v>
      </c>
      <c r="D56" s="3">
        <v>87</v>
      </c>
      <c r="E56" s="22" t="s">
        <v>75</v>
      </c>
      <c r="H56" s="1" t="s">
        <v>1</v>
      </c>
      <c r="I56" s="1" t="s">
        <v>1</v>
      </c>
      <c r="J56" s="1">
        <v>2</v>
      </c>
      <c r="K56" s="1">
        <v>0</v>
      </c>
      <c r="L56" s="1">
        <f t="shared" si="1"/>
        <v>2</v>
      </c>
      <c r="M56" s="1">
        <v>1.5</v>
      </c>
      <c r="N56" s="1" t="s">
        <v>1</v>
      </c>
      <c r="O56" s="1" t="s">
        <v>1</v>
      </c>
      <c r="P56" s="1">
        <v>0</v>
      </c>
      <c r="Q56" s="1">
        <v>0</v>
      </c>
      <c r="R56" s="1">
        <f t="shared" si="2"/>
        <v>0</v>
      </c>
      <c r="S56" s="1">
        <v>0</v>
      </c>
      <c r="T56" s="1" t="s">
        <v>1</v>
      </c>
      <c r="U56" s="1" t="s">
        <v>1</v>
      </c>
      <c r="V56" s="1">
        <v>4</v>
      </c>
      <c r="W56" s="1">
        <v>0</v>
      </c>
      <c r="X56" s="1">
        <f t="shared" si="3"/>
        <v>4</v>
      </c>
      <c r="Y56" s="1">
        <v>3.5</v>
      </c>
      <c r="Z56" s="1" t="s">
        <v>1</v>
      </c>
      <c r="AA56" s="1" t="s">
        <v>1</v>
      </c>
      <c r="AB56" s="1">
        <v>2</v>
      </c>
      <c r="AC56" s="1">
        <v>0</v>
      </c>
      <c r="AD56" s="1">
        <f t="shared" si="4"/>
        <v>2</v>
      </c>
      <c r="AE56" s="1">
        <v>3.5</v>
      </c>
      <c r="AF56" s="24">
        <f t="shared" si="26"/>
        <v>0</v>
      </c>
      <c r="AG56" s="24">
        <f t="shared" si="27"/>
        <v>0</v>
      </c>
      <c r="AH56" s="9">
        <f t="shared" si="10"/>
        <v>8</v>
      </c>
      <c r="AI56" s="24">
        <f t="shared" si="28"/>
        <v>0</v>
      </c>
      <c r="AJ56" s="24">
        <f t="shared" si="29"/>
        <v>8</v>
      </c>
      <c r="AK56" s="24">
        <f t="shared" si="13"/>
        <v>8.5</v>
      </c>
    </row>
    <row r="57" spans="1:38">
      <c r="A57">
        <v>2011</v>
      </c>
      <c r="B57" s="22" t="s">
        <v>46</v>
      </c>
      <c r="C57" s="12">
        <v>40703</v>
      </c>
      <c r="D57" s="3">
        <v>87</v>
      </c>
      <c r="E57" s="22" t="s">
        <v>67</v>
      </c>
      <c r="H57" s="1">
        <v>0</v>
      </c>
      <c r="I57" s="1">
        <v>6</v>
      </c>
      <c r="J57" s="1">
        <v>0</v>
      </c>
      <c r="K57" s="1">
        <v>0</v>
      </c>
      <c r="L57" s="1">
        <f t="shared" si="1"/>
        <v>6</v>
      </c>
      <c r="M57" s="1">
        <v>0.5</v>
      </c>
      <c r="N57" s="1">
        <v>0</v>
      </c>
      <c r="O57" s="1">
        <v>6</v>
      </c>
      <c r="P57" s="1">
        <v>0</v>
      </c>
      <c r="Q57" s="1">
        <v>0</v>
      </c>
      <c r="R57" s="1">
        <f t="shared" si="2"/>
        <v>6</v>
      </c>
      <c r="S57" s="1">
        <v>1.5</v>
      </c>
      <c r="T57" s="1">
        <v>0</v>
      </c>
      <c r="U57" s="1">
        <v>3</v>
      </c>
      <c r="V57" s="1">
        <v>0</v>
      </c>
      <c r="W57" s="1">
        <v>0</v>
      </c>
      <c r="X57" s="1">
        <f t="shared" si="3"/>
        <v>3</v>
      </c>
      <c r="Y57" s="1">
        <v>0.5</v>
      </c>
      <c r="Z57" s="1">
        <v>0</v>
      </c>
      <c r="AA57" s="1">
        <v>4</v>
      </c>
      <c r="AB57" s="1">
        <v>1</v>
      </c>
      <c r="AC57" s="1">
        <v>0</v>
      </c>
      <c r="AD57" s="1">
        <f t="shared" si="4"/>
        <v>5</v>
      </c>
      <c r="AE57" s="1">
        <v>3.5</v>
      </c>
      <c r="AF57" s="24">
        <f t="shared" si="26"/>
        <v>0</v>
      </c>
      <c r="AG57" s="24">
        <f t="shared" si="27"/>
        <v>19</v>
      </c>
      <c r="AH57" s="9">
        <f t="shared" si="10"/>
        <v>1</v>
      </c>
      <c r="AI57" s="24">
        <f t="shared" si="28"/>
        <v>0</v>
      </c>
      <c r="AJ57" s="24">
        <f t="shared" si="29"/>
        <v>20</v>
      </c>
      <c r="AK57" s="24">
        <f t="shared" si="13"/>
        <v>6</v>
      </c>
    </row>
    <row r="58" spans="1:38">
      <c r="A58">
        <v>2011</v>
      </c>
      <c r="B58" s="22" t="s">
        <v>46</v>
      </c>
      <c r="C58" s="12">
        <v>40703</v>
      </c>
      <c r="D58" s="3">
        <v>87</v>
      </c>
      <c r="E58" s="22" t="s">
        <v>55</v>
      </c>
      <c r="H58" s="1">
        <v>0</v>
      </c>
      <c r="I58" s="1">
        <v>1</v>
      </c>
      <c r="J58" s="1">
        <v>0</v>
      </c>
      <c r="K58" s="1">
        <v>0</v>
      </c>
      <c r="L58" s="1">
        <f t="shared" si="1"/>
        <v>1</v>
      </c>
      <c r="M58" s="1">
        <v>0.5</v>
      </c>
      <c r="N58" s="1">
        <v>0</v>
      </c>
      <c r="O58" s="1">
        <v>0</v>
      </c>
      <c r="P58" s="1">
        <v>0</v>
      </c>
      <c r="Q58" s="1">
        <v>0</v>
      </c>
      <c r="R58" s="1">
        <f t="shared" si="2"/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f t="shared" si="3"/>
        <v>0</v>
      </c>
      <c r="Y58" s="1">
        <v>0</v>
      </c>
      <c r="Z58" s="1">
        <v>0</v>
      </c>
      <c r="AA58" s="1">
        <v>1</v>
      </c>
      <c r="AB58" s="1">
        <v>1</v>
      </c>
      <c r="AC58" s="1">
        <v>0</v>
      </c>
      <c r="AD58" s="1">
        <f t="shared" si="4"/>
        <v>2</v>
      </c>
      <c r="AE58" s="1">
        <v>1.5</v>
      </c>
      <c r="AF58" s="24">
        <f t="shared" si="26"/>
        <v>0</v>
      </c>
      <c r="AG58" s="24">
        <f t="shared" si="27"/>
        <v>2</v>
      </c>
      <c r="AH58" s="9">
        <f t="shared" si="10"/>
        <v>1</v>
      </c>
      <c r="AI58" s="24">
        <f t="shared" si="28"/>
        <v>0</v>
      </c>
      <c r="AJ58" s="24">
        <f t="shared" si="29"/>
        <v>3</v>
      </c>
      <c r="AK58" s="24">
        <f t="shared" si="13"/>
        <v>2</v>
      </c>
    </row>
    <row r="59" spans="1:38">
      <c r="A59">
        <v>2011</v>
      </c>
      <c r="B59" s="22" t="s">
        <v>46</v>
      </c>
      <c r="C59" s="12">
        <v>40703</v>
      </c>
      <c r="D59" s="3">
        <v>87</v>
      </c>
      <c r="E59" s="22" t="s">
        <v>81</v>
      </c>
      <c r="H59" s="1" t="s">
        <v>1</v>
      </c>
      <c r="I59" s="1" t="s">
        <v>1</v>
      </c>
      <c r="J59" s="1">
        <v>0</v>
      </c>
      <c r="K59" s="1">
        <v>0</v>
      </c>
      <c r="L59" s="1">
        <f t="shared" si="1"/>
        <v>0</v>
      </c>
      <c r="M59" s="1">
        <v>0</v>
      </c>
      <c r="N59" s="1" t="s">
        <v>1</v>
      </c>
      <c r="O59" s="1" t="s">
        <v>1</v>
      </c>
      <c r="P59" s="1">
        <v>0</v>
      </c>
      <c r="Q59" s="1">
        <v>0</v>
      </c>
      <c r="R59" s="1">
        <f t="shared" si="2"/>
        <v>0</v>
      </c>
      <c r="S59" s="1">
        <v>0</v>
      </c>
      <c r="T59" s="1" t="s">
        <v>1</v>
      </c>
      <c r="U59" s="1" t="s">
        <v>1</v>
      </c>
      <c r="V59" s="1">
        <v>1</v>
      </c>
      <c r="W59" s="1">
        <v>0</v>
      </c>
      <c r="X59" s="1">
        <f t="shared" si="3"/>
        <v>1</v>
      </c>
      <c r="Y59" s="1">
        <v>1.5</v>
      </c>
      <c r="Z59" s="1" t="s">
        <v>1</v>
      </c>
      <c r="AA59" s="1" t="s">
        <v>1</v>
      </c>
      <c r="AB59" s="1">
        <v>1</v>
      </c>
      <c r="AC59" s="1">
        <v>0</v>
      </c>
      <c r="AD59" s="1">
        <f t="shared" si="4"/>
        <v>1</v>
      </c>
      <c r="AE59" s="1">
        <v>0.5</v>
      </c>
      <c r="AF59" s="24">
        <f t="shared" si="26"/>
        <v>0</v>
      </c>
      <c r="AG59" s="24">
        <f t="shared" si="27"/>
        <v>0</v>
      </c>
      <c r="AH59" s="9">
        <f t="shared" si="10"/>
        <v>2</v>
      </c>
      <c r="AI59" s="24">
        <f t="shared" si="28"/>
        <v>0</v>
      </c>
      <c r="AJ59" s="24">
        <f t="shared" si="29"/>
        <v>2</v>
      </c>
      <c r="AK59" s="24">
        <f t="shared" si="13"/>
        <v>2</v>
      </c>
    </row>
    <row r="60" spans="1:38">
      <c r="A60">
        <v>2011</v>
      </c>
      <c r="B60" s="22" t="s">
        <v>46</v>
      </c>
      <c r="C60" s="12">
        <v>40703</v>
      </c>
      <c r="D60" s="3">
        <v>87</v>
      </c>
      <c r="E60" s="22" t="s">
        <v>82</v>
      </c>
      <c r="H60" s="1" t="s">
        <v>1</v>
      </c>
      <c r="I60" s="1" t="s">
        <v>1</v>
      </c>
      <c r="J60" s="1">
        <v>0</v>
      </c>
      <c r="K60" s="1">
        <v>0</v>
      </c>
      <c r="L60" s="1">
        <f t="shared" si="1"/>
        <v>0</v>
      </c>
      <c r="M60" s="1">
        <v>0</v>
      </c>
      <c r="N60" s="1" t="s">
        <v>1</v>
      </c>
      <c r="O60" s="1" t="s">
        <v>1</v>
      </c>
      <c r="P60" s="1">
        <v>0</v>
      </c>
      <c r="Q60" s="1">
        <v>0</v>
      </c>
      <c r="R60" s="1">
        <f t="shared" si="2"/>
        <v>0</v>
      </c>
      <c r="S60" s="1">
        <v>0</v>
      </c>
      <c r="T60" s="1" t="s">
        <v>1</v>
      </c>
      <c r="U60" s="1" t="s">
        <v>1</v>
      </c>
      <c r="V60" s="1">
        <v>0</v>
      </c>
      <c r="W60" s="1">
        <v>0</v>
      </c>
      <c r="X60" s="1">
        <f t="shared" si="3"/>
        <v>0</v>
      </c>
      <c r="Y60" s="1">
        <v>0</v>
      </c>
      <c r="Z60" s="1" t="s">
        <v>1</v>
      </c>
      <c r="AA60" s="1" t="s">
        <v>1</v>
      </c>
      <c r="AB60" s="1">
        <v>1</v>
      </c>
      <c r="AC60" s="1">
        <v>0</v>
      </c>
      <c r="AD60" s="1">
        <f t="shared" si="4"/>
        <v>1</v>
      </c>
      <c r="AE60" s="1">
        <v>0.5</v>
      </c>
      <c r="AF60" s="24">
        <f t="shared" si="26"/>
        <v>0</v>
      </c>
      <c r="AG60" s="24">
        <f t="shared" si="27"/>
        <v>0</v>
      </c>
      <c r="AH60" s="9">
        <f t="shared" si="10"/>
        <v>1</v>
      </c>
      <c r="AI60" s="24">
        <f t="shared" si="28"/>
        <v>0</v>
      </c>
      <c r="AJ60" s="24">
        <f t="shared" si="29"/>
        <v>1</v>
      </c>
      <c r="AK60" s="24">
        <f t="shared" si="13"/>
        <v>0.5</v>
      </c>
      <c r="AL60" s="34" t="s">
        <v>83</v>
      </c>
    </row>
    <row r="61" spans="1:38">
      <c r="A61">
        <v>2011</v>
      </c>
      <c r="B61" s="22" t="s">
        <v>46</v>
      </c>
      <c r="C61" s="12">
        <v>40704</v>
      </c>
      <c r="D61" s="3">
        <v>88</v>
      </c>
      <c r="E61" s="22" t="s">
        <v>47</v>
      </c>
      <c r="H61" s="1">
        <v>0</v>
      </c>
      <c r="I61" s="1">
        <v>4</v>
      </c>
      <c r="J61" s="1">
        <v>0</v>
      </c>
      <c r="K61" s="1">
        <v>0</v>
      </c>
      <c r="L61" s="1">
        <f t="shared" si="1"/>
        <v>4</v>
      </c>
      <c r="M61" s="1">
        <v>1.5</v>
      </c>
      <c r="N61" s="1">
        <v>0</v>
      </c>
      <c r="O61" s="1">
        <v>12</v>
      </c>
      <c r="P61" s="1">
        <v>1</v>
      </c>
      <c r="Q61" s="1">
        <v>0</v>
      </c>
      <c r="R61" s="1">
        <f t="shared" si="2"/>
        <v>13</v>
      </c>
      <c r="S61" s="1">
        <v>3.5</v>
      </c>
      <c r="T61" s="1">
        <v>0</v>
      </c>
      <c r="U61" s="1">
        <v>42</v>
      </c>
      <c r="V61" s="1">
        <v>5</v>
      </c>
      <c r="W61" s="1">
        <v>0</v>
      </c>
      <c r="X61" s="1">
        <f t="shared" si="3"/>
        <v>47</v>
      </c>
      <c r="Y61" s="1">
        <v>15</v>
      </c>
      <c r="Z61" s="1">
        <v>0</v>
      </c>
      <c r="AA61" s="1">
        <v>37</v>
      </c>
      <c r="AB61" s="1">
        <v>4</v>
      </c>
      <c r="AC61" s="1">
        <v>0</v>
      </c>
      <c r="AD61" s="1">
        <f t="shared" si="4"/>
        <v>41</v>
      </c>
      <c r="AE61" s="1">
        <v>15</v>
      </c>
      <c r="AF61" s="24">
        <f t="shared" ref="AF61:AF65" si="30">SUM(H61,N62,T61,Z61)</f>
        <v>0</v>
      </c>
      <c r="AG61" s="24">
        <f t="shared" ref="AG61:AG65" si="31">SUM(I61,O61,U61,AA61)</f>
        <v>95</v>
      </c>
      <c r="AH61" s="9">
        <f t="shared" si="10"/>
        <v>10</v>
      </c>
      <c r="AI61" s="9">
        <f t="shared" si="28"/>
        <v>0</v>
      </c>
      <c r="AJ61" s="24">
        <f t="shared" ref="AJ61:AJ84" si="32">SUM(AF61:AI61)</f>
        <v>105</v>
      </c>
      <c r="AK61" s="24">
        <f t="shared" ref="AK61:AK90" si="33">M61+S61+Y61+AE61</f>
        <v>35</v>
      </c>
    </row>
    <row r="62" spans="1:38">
      <c r="A62">
        <v>2011</v>
      </c>
      <c r="B62" s="22" t="s">
        <v>46</v>
      </c>
      <c r="C62" s="12">
        <v>40704</v>
      </c>
      <c r="D62" s="3">
        <v>88</v>
      </c>
      <c r="E62" s="22" t="s">
        <v>60</v>
      </c>
      <c r="H62" s="33" t="s">
        <v>1</v>
      </c>
      <c r="I62" s="33" t="s">
        <v>1</v>
      </c>
      <c r="J62" s="1">
        <v>1</v>
      </c>
      <c r="K62" s="1">
        <v>0</v>
      </c>
      <c r="L62" s="1">
        <f t="shared" si="1"/>
        <v>1</v>
      </c>
      <c r="M62" s="1">
        <v>0.5</v>
      </c>
      <c r="N62" s="33" t="s">
        <v>1</v>
      </c>
      <c r="O62" s="33" t="s">
        <v>1</v>
      </c>
      <c r="P62" s="1">
        <v>0</v>
      </c>
      <c r="Q62" s="1">
        <v>0</v>
      </c>
      <c r="R62" s="1">
        <f t="shared" si="2"/>
        <v>0</v>
      </c>
      <c r="S62" s="1">
        <v>0</v>
      </c>
      <c r="T62" s="33" t="s">
        <v>1</v>
      </c>
      <c r="U62" s="33" t="s">
        <v>1</v>
      </c>
      <c r="V62" s="1">
        <v>0</v>
      </c>
      <c r="W62" s="1">
        <v>0</v>
      </c>
      <c r="X62" s="1">
        <f t="shared" si="3"/>
        <v>0</v>
      </c>
      <c r="Y62" s="1">
        <v>0</v>
      </c>
      <c r="Z62" s="33" t="s">
        <v>1</v>
      </c>
      <c r="AA62" s="33" t="s">
        <v>1</v>
      </c>
      <c r="AB62" s="1">
        <v>0</v>
      </c>
      <c r="AC62" s="1">
        <v>0</v>
      </c>
      <c r="AD62" s="1">
        <f t="shared" si="4"/>
        <v>0</v>
      </c>
      <c r="AE62" s="1">
        <v>0</v>
      </c>
      <c r="AF62" s="24">
        <f t="shared" si="30"/>
        <v>0</v>
      </c>
      <c r="AG62" s="24">
        <f t="shared" si="31"/>
        <v>0</v>
      </c>
      <c r="AH62" s="9">
        <f t="shared" si="10"/>
        <v>1</v>
      </c>
      <c r="AI62" s="9">
        <f t="shared" si="28"/>
        <v>0</v>
      </c>
      <c r="AJ62" s="24">
        <f t="shared" si="32"/>
        <v>1</v>
      </c>
      <c r="AK62" s="24">
        <f t="shared" si="33"/>
        <v>0.5</v>
      </c>
    </row>
    <row r="63" spans="1:38">
      <c r="A63">
        <v>2011</v>
      </c>
      <c r="B63" s="22" t="s">
        <v>46</v>
      </c>
      <c r="C63" s="12">
        <v>40704</v>
      </c>
      <c r="D63" s="3">
        <v>88</v>
      </c>
      <c r="E63" s="22" t="s">
        <v>67</v>
      </c>
      <c r="H63" s="1">
        <v>1</v>
      </c>
      <c r="I63" s="1">
        <v>36</v>
      </c>
      <c r="J63" s="1">
        <v>1</v>
      </c>
      <c r="K63" s="1">
        <v>0</v>
      </c>
      <c r="L63" s="1">
        <f t="shared" si="1"/>
        <v>38</v>
      </c>
      <c r="M63" s="1">
        <v>8</v>
      </c>
      <c r="N63" s="1">
        <v>0</v>
      </c>
      <c r="O63" s="1">
        <v>38</v>
      </c>
      <c r="P63" s="1">
        <v>0</v>
      </c>
      <c r="Q63" s="1">
        <v>0</v>
      </c>
      <c r="R63" s="1">
        <f t="shared" si="2"/>
        <v>38</v>
      </c>
      <c r="S63" s="1">
        <v>8</v>
      </c>
      <c r="T63" s="1">
        <v>0</v>
      </c>
      <c r="U63" s="1">
        <v>3</v>
      </c>
      <c r="V63" s="1">
        <v>0</v>
      </c>
      <c r="W63" s="1">
        <v>0</v>
      </c>
      <c r="X63" s="1">
        <f t="shared" si="3"/>
        <v>3</v>
      </c>
      <c r="Y63" s="1">
        <v>0.5</v>
      </c>
      <c r="Z63" s="1">
        <v>0</v>
      </c>
      <c r="AA63" s="1">
        <v>31</v>
      </c>
      <c r="AB63" s="1">
        <v>0</v>
      </c>
      <c r="AC63" s="1">
        <v>0</v>
      </c>
      <c r="AD63" s="1">
        <f t="shared" si="4"/>
        <v>31</v>
      </c>
      <c r="AE63" s="1">
        <v>8</v>
      </c>
      <c r="AF63" s="24">
        <f t="shared" si="30"/>
        <v>1</v>
      </c>
      <c r="AG63" s="24">
        <f t="shared" si="31"/>
        <v>108</v>
      </c>
      <c r="AH63" s="9">
        <f t="shared" si="10"/>
        <v>1</v>
      </c>
      <c r="AI63" s="9">
        <f t="shared" si="28"/>
        <v>0</v>
      </c>
      <c r="AJ63" s="24">
        <f t="shared" si="32"/>
        <v>110</v>
      </c>
      <c r="AK63" s="24">
        <f t="shared" si="33"/>
        <v>24.5</v>
      </c>
      <c r="AL63" s="34" t="s">
        <v>84</v>
      </c>
    </row>
    <row r="64" spans="1:38">
      <c r="A64">
        <v>2011</v>
      </c>
      <c r="B64" s="22" t="s">
        <v>46</v>
      </c>
      <c r="C64" s="12">
        <v>40704</v>
      </c>
      <c r="D64" s="3">
        <v>88</v>
      </c>
      <c r="E64" s="22" t="s">
        <v>85</v>
      </c>
      <c r="H64" s="33" t="s">
        <v>1</v>
      </c>
      <c r="I64" s="33" t="s">
        <v>1</v>
      </c>
      <c r="J64" s="1">
        <v>0</v>
      </c>
      <c r="K64" s="1">
        <v>0</v>
      </c>
      <c r="L64" s="1">
        <f t="shared" si="1"/>
        <v>0</v>
      </c>
      <c r="M64" s="1">
        <v>0</v>
      </c>
      <c r="N64" s="33" t="s">
        <v>1</v>
      </c>
      <c r="O64" s="33" t="s">
        <v>1</v>
      </c>
      <c r="P64" s="1">
        <v>0</v>
      </c>
      <c r="Q64" s="1">
        <v>0</v>
      </c>
      <c r="R64" s="1">
        <f t="shared" si="2"/>
        <v>0</v>
      </c>
      <c r="S64" s="1">
        <v>0</v>
      </c>
      <c r="T64" s="33" t="s">
        <v>1</v>
      </c>
      <c r="U64" s="33" t="s">
        <v>1</v>
      </c>
      <c r="V64" s="1">
        <v>2</v>
      </c>
      <c r="W64" s="1">
        <v>0</v>
      </c>
      <c r="X64" s="1">
        <f t="shared" si="3"/>
        <v>2</v>
      </c>
      <c r="Y64" s="1">
        <v>1.5</v>
      </c>
      <c r="Z64" s="33" t="s">
        <v>1</v>
      </c>
      <c r="AA64" s="33" t="s">
        <v>1</v>
      </c>
      <c r="AB64" s="1">
        <v>0</v>
      </c>
      <c r="AC64" s="1">
        <v>0</v>
      </c>
      <c r="AD64" s="1">
        <f t="shared" si="4"/>
        <v>0</v>
      </c>
      <c r="AE64" s="1">
        <v>0</v>
      </c>
      <c r="AF64" s="24">
        <f t="shared" si="30"/>
        <v>0</v>
      </c>
      <c r="AG64" s="24">
        <f t="shared" si="31"/>
        <v>0</v>
      </c>
      <c r="AH64" s="9">
        <f t="shared" si="10"/>
        <v>2</v>
      </c>
      <c r="AI64" s="9">
        <f t="shared" si="28"/>
        <v>0</v>
      </c>
      <c r="AJ64" s="24">
        <f t="shared" si="32"/>
        <v>2</v>
      </c>
      <c r="AK64" s="24">
        <f t="shared" si="33"/>
        <v>1.5</v>
      </c>
      <c r="AL64" s="34" t="s">
        <v>86</v>
      </c>
    </row>
    <row r="65" spans="1:37">
      <c r="A65">
        <v>2011</v>
      </c>
      <c r="B65" s="22" t="s">
        <v>46</v>
      </c>
      <c r="C65" s="12">
        <v>40704</v>
      </c>
      <c r="D65" s="3">
        <v>88</v>
      </c>
      <c r="E65" s="22" t="s">
        <v>75</v>
      </c>
      <c r="H65" s="33" t="s">
        <v>1</v>
      </c>
      <c r="I65" s="33" t="s">
        <v>1</v>
      </c>
      <c r="J65" s="1">
        <v>0</v>
      </c>
      <c r="K65" s="1">
        <v>0</v>
      </c>
      <c r="L65" s="1">
        <f t="shared" si="1"/>
        <v>0</v>
      </c>
      <c r="M65" s="1">
        <v>0</v>
      </c>
      <c r="N65" s="33" t="s">
        <v>1</v>
      </c>
      <c r="O65" s="33" t="s">
        <v>1</v>
      </c>
      <c r="P65" s="1">
        <v>0</v>
      </c>
      <c r="Q65" s="1">
        <v>0</v>
      </c>
      <c r="R65" s="1">
        <f t="shared" si="2"/>
        <v>0</v>
      </c>
      <c r="S65" s="1">
        <v>0</v>
      </c>
      <c r="T65" s="33" t="s">
        <v>1</v>
      </c>
      <c r="U65" s="33" t="s">
        <v>1</v>
      </c>
      <c r="V65" s="1">
        <v>4</v>
      </c>
      <c r="W65" s="1">
        <v>0</v>
      </c>
      <c r="X65" s="1">
        <f t="shared" si="3"/>
        <v>4</v>
      </c>
      <c r="Y65" s="1">
        <v>3.5</v>
      </c>
      <c r="Z65" s="33" t="s">
        <v>1</v>
      </c>
      <c r="AA65" s="33" t="s">
        <v>1</v>
      </c>
      <c r="AB65" s="1">
        <v>0</v>
      </c>
      <c r="AC65" s="1">
        <v>0</v>
      </c>
      <c r="AD65" s="1">
        <f t="shared" si="4"/>
        <v>0</v>
      </c>
      <c r="AE65" s="1">
        <v>0</v>
      </c>
      <c r="AF65" s="24">
        <f t="shared" si="30"/>
        <v>0</v>
      </c>
      <c r="AG65" s="24">
        <f t="shared" si="31"/>
        <v>0</v>
      </c>
      <c r="AH65" s="9">
        <f t="shared" si="10"/>
        <v>4</v>
      </c>
      <c r="AI65" s="9">
        <f t="shared" si="28"/>
        <v>0</v>
      </c>
      <c r="AJ65" s="24">
        <f t="shared" si="32"/>
        <v>4</v>
      </c>
      <c r="AK65" s="24">
        <f t="shared" si="33"/>
        <v>3.5</v>
      </c>
    </row>
    <row r="66" spans="1:37">
      <c r="A66">
        <v>2011</v>
      </c>
      <c r="B66" s="22" t="s">
        <v>46</v>
      </c>
      <c r="C66" s="12">
        <v>40704</v>
      </c>
      <c r="D66" s="3">
        <v>89</v>
      </c>
      <c r="E66" s="22" t="s">
        <v>47</v>
      </c>
      <c r="H66" s="1">
        <v>0</v>
      </c>
      <c r="I66" s="1">
        <v>0</v>
      </c>
      <c r="J66" s="1">
        <v>0</v>
      </c>
      <c r="K66" s="1">
        <v>0</v>
      </c>
      <c r="L66" s="1">
        <f t="shared" si="1"/>
        <v>0</v>
      </c>
      <c r="M66" s="1">
        <v>0</v>
      </c>
      <c r="N66" s="1">
        <v>0</v>
      </c>
      <c r="O66" s="1">
        <v>2</v>
      </c>
      <c r="P66" s="1">
        <v>0</v>
      </c>
      <c r="Q66" s="1">
        <v>0</v>
      </c>
      <c r="R66" s="1">
        <f t="shared" si="2"/>
        <v>2</v>
      </c>
      <c r="S66" s="1">
        <v>0.5</v>
      </c>
      <c r="T66" s="1">
        <v>0</v>
      </c>
      <c r="U66" s="1">
        <v>0</v>
      </c>
      <c r="V66" s="1">
        <v>1</v>
      </c>
      <c r="W66" s="1">
        <v>0</v>
      </c>
      <c r="X66" s="1">
        <f t="shared" si="3"/>
        <v>1</v>
      </c>
      <c r="Y66" s="1">
        <v>1.5</v>
      </c>
      <c r="Z66" s="1">
        <v>0</v>
      </c>
      <c r="AA66" s="1">
        <v>3</v>
      </c>
      <c r="AB66" s="1">
        <v>0</v>
      </c>
      <c r="AC66" s="1">
        <v>0</v>
      </c>
      <c r="AD66" s="1">
        <f t="shared" si="4"/>
        <v>3</v>
      </c>
      <c r="AE66" s="1">
        <v>1.5</v>
      </c>
      <c r="AF66" s="24">
        <f t="shared" ref="AF66:AF69" si="34">SUM(H66,N67,T66,Z66)</f>
        <v>0</v>
      </c>
      <c r="AG66" s="24">
        <f t="shared" ref="AG66:AG69" si="35">SUM(I66,O66,U66,AA66)</f>
        <v>5</v>
      </c>
      <c r="AH66" s="9">
        <f t="shared" si="10"/>
        <v>1</v>
      </c>
      <c r="AI66" s="9">
        <f t="shared" si="28"/>
        <v>0</v>
      </c>
      <c r="AJ66" s="24">
        <f t="shared" si="32"/>
        <v>6</v>
      </c>
      <c r="AK66" s="24">
        <f t="shared" si="33"/>
        <v>3.5</v>
      </c>
    </row>
    <row r="67" spans="1:37">
      <c r="A67">
        <v>2011</v>
      </c>
      <c r="B67" s="22" t="s">
        <v>46</v>
      </c>
      <c r="C67" s="12">
        <v>40704</v>
      </c>
      <c r="D67" s="3">
        <v>89</v>
      </c>
      <c r="E67" s="22" t="s">
        <v>49</v>
      </c>
      <c r="H67" s="33" t="s">
        <v>1</v>
      </c>
      <c r="I67" s="33" t="s">
        <v>1</v>
      </c>
      <c r="J67" s="1">
        <v>0</v>
      </c>
      <c r="K67" s="1">
        <v>0</v>
      </c>
      <c r="L67" s="1">
        <f t="shared" si="1"/>
        <v>0</v>
      </c>
      <c r="M67" s="1">
        <v>0</v>
      </c>
      <c r="N67" s="33" t="s">
        <v>1</v>
      </c>
      <c r="O67" s="33" t="s">
        <v>1</v>
      </c>
      <c r="P67" s="1">
        <v>1</v>
      </c>
      <c r="Q67" s="1">
        <v>0</v>
      </c>
      <c r="R67" s="1">
        <f t="shared" si="2"/>
        <v>1</v>
      </c>
      <c r="S67" s="1">
        <v>3.5</v>
      </c>
      <c r="T67" s="33" t="s">
        <v>1</v>
      </c>
      <c r="U67" s="33" t="s">
        <v>1</v>
      </c>
      <c r="V67" s="1">
        <v>1</v>
      </c>
      <c r="W67" s="1">
        <v>0</v>
      </c>
      <c r="X67" s="1">
        <f t="shared" si="3"/>
        <v>1</v>
      </c>
      <c r="Y67" s="1">
        <v>0.5</v>
      </c>
      <c r="Z67" s="33" t="s">
        <v>1</v>
      </c>
      <c r="AA67" s="33" t="s">
        <v>1</v>
      </c>
      <c r="AB67" s="1">
        <v>0</v>
      </c>
      <c r="AC67" s="1">
        <v>0</v>
      </c>
      <c r="AD67" s="1">
        <f t="shared" si="4"/>
        <v>0</v>
      </c>
      <c r="AE67" s="1">
        <v>0</v>
      </c>
      <c r="AF67" s="24">
        <f t="shared" si="34"/>
        <v>0</v>
      </c>
      <c r="AG67" s="24">
        <f t="shared" si="35"/>
        <v>0</v>
      </c>
      <c r="AH67" s="9">
        <f t="shared" si="10"/>
        <v>2</v>
      </c>
      <c r="AI67" s="9">
        <f t="shared" si="28"/>
        <v>0</v>
      </c>
      <c r="AJ67" s="24">
        <f t="shared" si="32"/>
        <v>2</v>
      </c>
      <c r="AK67" s="24">
        <f t="shared" si="33"/>
        <v>4</v>
      </c>
    </row>
    <row r="68" spans="1:37">
      <c r="A68">
        <v>2011</v>
      </c>
      <c r="B68" s="22" t="s">
        <v>46</v>
      </c>
      <c r="C68" s="12">
        <v>40704</v>
      </c>
      <c r="D68" s="3">
        <v>89</v>
      </c>
      <c r="E68" s="22" t="s">
        <v>75</v>
      </c>
      <c r="H68" s="33" t="s">
        <v>1</v>
      </c>
      <c r="I68" s="33" t="s">
        <v>1</v>
      </c>
      <c r="J68" s="1">
        <v>0</v>
      </c>
      <c r="K68" s="1">
        <v>0</v>
      </c>
      <c r="L68" s="1">
        <f t="shared" si="1"/>
        <v>0</v>
      </c>
      <c r="M68" s="1">
        <v>0</v>
      </c>
      <c r="N68" s="33" t="s">
        <v>1</v>
      </c>
      <c r="O68" s="33" t="s">
        <v>1</v>
      </c>
      <c r="P68" s="1">
        <v>0</v>
      </c>
      <c r="Q68" s="1">
        <v>0</v>
      </c>
      <c r="R68" s="1">
        <f t="shared" si="2"/>
        <v>0</v>
      </c>
      <c r="S68" s="1">
        <v>0</v>
      </c>
      <c r="T68" s="33" t="s">
        <v>1</v>
      </c>
      <c r="U68" s="33" t="s">
        <v>1</v>
      </c>
      <c r="V68" s="1">
        <v>1</v>
      </c>
      <c r="W68" s="1">
        <v>0</v>
      </c>
      <c r="X68" s="1">
        <f t="shared" si="3"/>
        <v>1</v>
      </c>
      <c r="Y68" s="1">
        <v>1.5</v>
      </c>
      <c r="Z68" s="33" t="s">
        <v>1</v>
      </c>
      <c r="AA68" s="33" t="s">
        <v>1</v>
      </c>
      <c r="AB68" s="1">
        <v>0</v>
      </c>
      <c r="AC68" s="1">
        <v>0</v>
      </c>
      <c r="AD68" s="1">
        <f t="shared" si="4"/>
        <v>0</v>
      </c>
      <c r="AE68" s="1">
        <v>0</v>
      </c>
      <c r="AF68" s="24">
        <f t="shared" si="34"/>
        <v>0</v>
      </c>
      <c r="AG68" s="24">
        <f t="shared" si="35"/>
        <v>0</v>
      </c>
      <c r="AH68" s="9">
        <f t="shared" si="10"/>
        <v>1</v>
      </c>
      <c r="AI68" s="9">
        <f t="shared" si="28"/>
        <v>0</v>
      </c>
      <c r="AJ68" s="24">
        <f t="shared" si="32"/>
        <v>1</v>
      </c>
      <c r="AK68" s="24">
        <f t="shared" si="33"/>
        <v>1.5</v>
      </c>
    </row>
    <row r="69" spans="1:37">
      <c r="A69">
        <v>2011</v>
      </c>
      <c r="B69" s="22" t="s">
        <v>46</v>
      </c>
      <c r="C69" s="12">
        <v>40704</v>
      </c>
      <c r="D69" s="3">
        <v>89</v>
      </c>
      <c r="E69" s="22" t="s">
        <v>60</v>
      </c>
      <c r="H69" s="33" t="s">
        <v>1</v>
      </c>
      <c r="I69" s="33" t="s">
        <v>1</v>
      </c>
      <c r="J69" s="1">
        <v>0</v>
      </c>
      <c r="K69" s="1">
        <v>0</v>
      </c>
      <c r="L69" s="1">
        <f t="shared" si="1"/>
        <v>0</v>
      </c>
      <c r="M69" s="1">
        <v>0</v>
      </c>
      <c r="N69" s="33" t="s">
        <v>1</v>
      </c>
      <c r="O69" s="33" t="s">
        <v>1</v>
      </c>
      <c r="P69" s="1">
        <v>0</v>
      </c>
      <c r="Q69" s="1">
        <v>0</v>
      </c>
      <c r="R69" s="1">
        <f t="shared" si="2"/>
        <v>0</v>
      </c>
      <c r="S69" s="1">
        <v>0</v>
      </c>
      <c r="T69" s="33" t="s">
        <v>1</v>
      </c>
      <c r="U69" s="33" t="s">
        <v>1</v>
      </c>
      <c r="V69" s="1">
        <v>0</v>
      </c>
      <c r="W69" s="1">
        <v>0</v>
      </c>
      <c r="X69" s="1">
        <f t="shared" si="3"/>
        <v>0</v>
      </c>
      <c r="Y69" s="1">
        <v>0</v>
      </c>
      <c r="Z69" s="33" t="s">
        <v>1</v>
      </c>
      <c r="AA69" s="33" t="s">
        <v>1</v>
      </c>
      <c r="AB69" s="1">
        <v>1</v>
      </c>
      <c r="AC69" s="1">
        <v>0</v>
      </c>
      <c r="AD69" s="1">
        <f t="shared" si="4"/>
        <v>1</v>
      </c>
      <c r="AE69" s="1">
        <v>1.5</v>
      </c>
      <c r="AF69" s="24">
        <f t="shared" si="34"/>
        <v>0</v>
      </c>
      <c r="AG69" s="24">
        <f t="shared" si="35"/>
        <v>0</v>
      </c>
      <c r="AH69" s="9">
        <f t="shared" si="10"/>
        <v>1</v>
      </c>
      <c r="AI69" s="9">
        <f t="shared" si="28"/>
        <v>0</v>
      </c>
      <c r="AJ69" s="24">
        <f t="shared" si="32"/>
        <v>1</v>
      </c>
      <c r="AK69" s="24">
        <f t="shared" si="33"/>
        <v>1.5</v>
      </c>
    </row>
    <row r="70" spans="1:37">
      <c r="A70">
        <v>2011</v>
      </c>
      <c r="B70" s="22" t="s">
        <v>46</v>
      </c>
      <c r="C70" s="12">
        <v>40704</v>
      </c>
      <c r="D70" s="3">
        <v>90</v>
      </c>
      <c r="E70" s="22" t="s">
        <v>47</v>
      </c>
      <c r="H70" s="1">
        <v>0</v>
      </c>
      <c r="I70" s="1">
        <v>3</v>
      </c>
      <c r="J70" s="1">
        <v>0</v>
      </c>
      <c r="K70" s="1">
        <v>0</v>
      </c>
      <c r="L70" s="1">
        <f t="shared" si="1"/>
        <v>3</v>
      </c>
      <c r="M70" s="1">
        <v>1.5</v>
      </c>
      <c r="N70" s="1">
        <v>0</v>
      </c>
      <c r="O70" s="1">
        <v>4</v>
      </c>
      <c r="P70" s="1">
        <v>0</v>
      </c>
      <c r="Q70" s="1">
        <v>0</v>
      </c>
      <c r="R70" s="1">
        <f t="shared" si="2"/>
        <v>4</v>
      </c>
      <c r="S70" s="1">
        <v>3.5</v>
      </c>
      <c r="T70" s="1">
        <v>0</v>
      </c>
      <c r="U70" s="1">
        <v>0</v>
      </c>
      <c r="V70" s="1">
        <v>0</v>
      </c>
      <c r="W70" s="1">
        <v>0</v>
      </c>
      <c r="X70" s="1">
        <f t="shared" si="3"/>
        <v>0</v>
      </c>
      <c r="Y70" s="1">
        <v>0</v>
      </c>
      <c r="Z70" s="1">
        <v>0</v>
      </c>
      <c r="AA70" s="1">
        <v>2</v>
      </c>
      <c r="AB70" s="1">
        <v>0</v>
      </c>
      <c r="AC70" s="1">
        <v>0</v>
      </c>
      <c r="AD70" s="1">
        <f t="shared" si="4"/>
        <v>2</v>
      </c>
      <c r="AE70" s="1">
        <v>1.5</v>
      </c>
      <c r="AF70" s="24">
        <f t="shared" ref="AF70:AF73" si="36">SUM(H70,N71,T70,Z70)</f>
        <v>0</v>
      </c>
      <c r="AG70" s="24">
        <f t="shared" ref="AG70:AG73" si="37">SUM(I70,O70,U70,AA70)</f>
        <v>9</v>
      </c>
      <c r="AH70" s="9">
        <f t="shared" si="10"/>
        <v>0</v>
      </c>
      <c r="AI70" s="9">
        <f t="shared" si="28"/>
        <v>0</v>
      </c>
      <c r="AJ70" s="24">
        <f t="shared" si="32"/>
        <v>9</v>
      </c>
      <c r="AK70" s="24">
        <f t="shared" si="33"/>
        <v>6.5</v>
      </c>
    </row>
    <row r="71" spans="1:37">
      <c r="A71">
        <v>2011</v>
      </c>
      <c r="B71" s="22" t="s">
        <v>46</v>
      </c>
      <c r="C71" s="12">
        <v>40708</v>
      </c>
      <c r="D71" s="3">
        <v>115</v>
      </c>
      <c r="E71" s="22" t="s">
        <v>47</v>
      </c>
      <c r="H71" s="1">
        <v>0</v>
      </c>
      <c r="I71" s="1">
        <v>1</v>
      </c>
      <c r="J71" s="1">
        <v>0</v>
      </c>
      <c r="K71" s="1">
        <v>0</v>
      </c>
      <c r="L71" s="1">
        <f t="shared" si="1"/>
        <v>1</v>
      </c>
      <c r="M71" s="1">
        <v>0.5</v>
      </c>
      <c r="N71" s="1">
        <v>0</v>
      </c>
      <c r="O71" s="1">
        <v>3</v>
      </c>
      <c r="P71" s="1">
        <v>0</v>
      </c>
      <c r="Q71" s="1">
        <v>0</v>
      </c>
      <c r="R71" s="1">
        <f t="shared" si="2"/>
        <v>3</v>
      </c>
      <c r="S71" s="1">
        <v>0.5</v>
      </c>
      <c r="T71" s="1">
        <v>0</v>
      </c>
      <c r="U71" s="1">
        <v>7</v>
      </c>
      <c r="V71" s="1">
        <v>1</v>
      </c>
      <c r="W71" s="1">
        <v>0</v>
      </c>
      <c r="X71" s="1">
        <f t="shared" si="3"/>
        <v>8</v>
      </c>
      <c r="Y71" s="1">
        <v>3.5</v>
      </c>
      <c r="Z71" s="1">
        <v>0</v>
      </c>
      <c r="AA71" s="1">
        <v>12</v>
      </c>
      <c r="AB71" s="1">
        <v>1</v>
      </c>
      <c r="AC71" s="1">
        <v>0</v>
      </c>
      <c r="AD71" s="1">
        <f t="shared" si="4"/>
        <v>13</v>
      </c>
      <c r="AE71" s="1">
        <v>8</v>
      </c>
      <c r="AF71" s="24">
        <f t="shared" si="36"/>
        <v>1</v>
      </c>
      <c r="AG71" s="9">
        <f t="shared" si="37"/>
        <v>23</v>
      </c>
      <c r="AH71" s="9">
        <f t="shared" si="10"/>
        <v>2</v>
      </c>
      <c r="AI71" s="9">
        <f t="shared" si="28"/>
        <v>0</v>
      </c>
      <c r="AJ71" s="24">
        <f t="shared" si="32"/>
        <v>26</v>
      </c>
      <c r="AK71" s="24">
        <f t="shared" si="33"/>
        <v>12.5</v>
      </c>
    </row>
    <row r="72" spans="1:37">
      <c r="A72">
        <v>2011</v>
      </c>
      <c r="B72" s="22" t="s">
        <v>46</v>
      </c>
      <c r="C72" s="12">
        <v>40708</v>
      </c>
      <c r="D72" s="3">
        <v>115</v>
      </c>
      <c r="E72" s="22" t="s">
        <v>67</v>
      </c>
      <c r="H72" s="1">
        <v>0</v>
      </c>
      <c r="I72" s="1">
        <v>0</v>
      </c>
      <c r="J72" s="1">
        <v>0</v>
      </c>
      <c r="K72" s="1">
        <v>0</v>
      </c>
      <c r="L72" s="1">
        <f t="shared" si="1"/>
        <v>0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f t="shared" si="2"/>
        <v>1</v>
      </c>
      <c r="S72" s="1">
        <v>0.5</v>
      </c>
      <c r="T72" s="1">
        <v>0</v>
      </c>
      <c r="U72" s="1">
        <v>0</v>
      </c>
      <c r="V72" s="1">
        <v>0</v>
      </c>
      <c r="W72" s="1">
        <v>0</v>
      </c>
      <c r="X72" s="1">
        <f t="shared" si="3"/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f t="shared" si="4"/>
        <v>0</v>
      </c>
      <c r="AE72" s="1">
        <v>0</v>
      </c>
      <c r="AF72" s="24">
        <f t="shared" si="36"/>
        <v>0</v>
      </c>
      <c r="AG72" s="9">
        <f t="shared" si="37"/>
        <v>0</v>
      </c>
      <c r="AH72" s="9">
        <f t="shared" si="10"/>
        <v>0</v>
      </c>
      <c r="AI72" s="9">
        <f t="shared" si="28"/>
        <v>0</v>
      </c>
      <c r="AJ72" s="24">
        <f t="shared" si="32"/>
        <v>0</v>
      </c>
      <c r="AK72" s="24">
        <f t="shared" si="33"/>
        <v>0.5</v>
      </c>
    </row>
    <row r="73" spans="1:37">
      <c r="A73">
        <v>2011</v>
      </c>
      <c r="B73" s="22" t="s">
        <v>46</v>
      </c>
      <c r="C73" s="12">
        <v>40708</v>
      </c>
      <c r="D73" s="3">
        <v>115</v>
      </c>
      <c r="E73" s="22" t="s">
        <v>87</v>
      </c>
      <c r="H73" s="33" t="s">
        <v>1</v>
      </c>
      <c r="I73" s="33" t="s">
        <v>1</v>
      </c>
      <c r="J73" s="1">
        <v>0</v>
      </c>
      <c r="K73" s="1">
        <v>0</v>
      </c>
      <c r="L73" s="1">
        <f t="shared" si="1"/>
        <v>0</v>
      </c>
      <c r="M73" s="1">
        <v>0</v>
      </c>
      <c r="N73" s="33" t="s">
        <v>1</v>
      </c>
      <c r="O73" s="33" t="s">
        <v>1</v>
      </c>
      <c r="P73" s="1">
        <v>0</v>
      </c>
      <c r="Q73" s="1">
        <v>0</v>
      </c>
      <c r="R73" s="1">
        <f t="shared" si="2"/>
        <v>0</v>
      </c>
      <c r="S73" s="1">
        <v>0</v>
      </c>
      <c r="T73" s="33" t="s">
        <v>1</v>
      </c>
      <c r="U73" s="33" t="s">
        <v>1</v>
      </c>
      <c r="V73" s="1">
        <v>1</v>
      </c>
      <c r="W73" s="1">
        <v>0</v>
      </c>
      <c r="X73" s="1">
        <f t="shared" si="3"/>
        <v>1</v>
      </c>
      <c r="Y73" s="1">
        <v>0.5</v>
      </c>
      <c r="Z73" s="33" t="s">
        <v>1</v>
      </c>
      <c r="AA73" s="33" t="s">
        <v>1</v>
      </c>
      <c r="AB73" s="1">
        <v>0</v>
      </c>
      <c r="AC73" s="1">
        <v>0</v>
      </c>
      <c r="AD73" s="1">
        <f t="shared" si="4"/>
        <v>0</v>
      </c>
      <c r="AE73" s="1">
        <v>0</v>
      </c>
      <c r="AF73" s="24">
        <f t="shared" si="36"/>
        <v>0</v>
      </c>
      <c r="AG73" s="9">
        <f t="shared" si="37"/>
        <v>0</v>
      </c>
      <c r="AH73" s="9">
        <f t="shared" si="10"/>
        <v>1</v>
      </c>
      <c r="AI73" s="9">
        <f t="shared" si="28"/>
        <v>0</v>
      </c>
      <c r="AJ73" s="24">
        <f t="shared" si="32"/>
        <v>1</v>
      </c>
      <c r="AK73" s="24">
        <f t="shared" si="33"/>
        <v>0.5</v>
      </c>
    </row>
    <row r="74" spans="1:37">
      <c r="A74">
        <v>2011</v>
      </c>
      <c r="B74" s="22" t="s">
        <v>46</v>
      </c>
      <c r="C74" s="12">
        <v>40708</v>
      </c>
      <c r="D74" s="3">
        <v>116</v>
      </c>
      <c r="E74" s="22" t="s">
        <v>47</v>
      </c>
      <c r="H74" s="1">
        <v>0</v>
      </c>
      <c r="I74" s="1">
        <v>2</v>
      </c>
      <c r="J74" s="1">
        <v>0</v>
      </c>
      <c r="K74" s="1">
        <v>0</v>
      </c>
      <c r="L74" s="1">
        <f t="shared" si="1"/>
        <v>2</v>
      </c>
      <c r="M74" s="1">
        <v>1.5</v>
      </c>
      <c r="N74" s="1">
        <v>0</v>
      </c>
      <c r="O74" s="1">
        <v>0</v>
      </c>
      <c r="P74" s="1">
        <v>0</v>
      </c>
      <c r="Q74" s="1">
        <v>0</v>
      </c>
      <c r="R74" s="1">
        <f t="shared" si="2"/>
        <v>0</v>
      </c>
      <c r="S74" s="1">
        <v>0</v>
      </c>
      <c r="T74" s="1">
        <v>0</v>
      </c>
      <c r="U74" s="1">
        <v>2</v>
      </c>
      <c r="V74" s="1">
        <v>0</v>
      </c>
      <c r="W74" s="1">
        <v>0</v>
      </c>
      <c r="X74" s="1">
        <f t="shared" si="3"/>
        <v>2</v>
      </c>
      <c r="Y74" s="1">
        <v>1.5</v>
      </c>
      <c r="Z74" s="1">
        <v>0</v>
      </c>
      <c r="AA74" s="1">
        <v>6</v>
      </c>
      <c r="AB74" s="1">
        <v>0</v>
      </c>
      <c r="AC74" s="1">
        <v>0</v>
      </c>
      <c r="AD74" s="1">
        <f t="shared" si="4"/>
        <v>6</v>
      </c>
      <c r="AE74" s="1">
        <v>3.5</v>
      </c>
      <c r="AF74" s="24">
        <f t="shared" ref="AF74:AF75" si="38">SUM(H74,N75,T74,Z74)</f>
        <v>0</v>
      </c>
      <c r="AG74" s="9">
        <f t="shared" ref="AG74:AG75" si="39">SUM(I74,O74,U74,AA74)</f>
        <v>10</v>
      </c>
      <c r="AH74" s="9">
        <f t="shared" si="10"/>
        <v>0</v>
      </c>
      <c r="AI74" s="9">
        <f t="shared" si="28"/>
        <v>0</v>
      </c>
      <c r="AJ74" s="24">
        <f t="shared" si="32"/>
        <v>10</v>
      </c>
      <c r="AK74" s="24">
        <f t="shared" si="33"/>
        <v>6.5</v>
      </c>
    </row>
    <row r="75" spans="1:37">
      <c r="A75">
        <v>2011</v>
      </c>
      <c r="B75" s="22" t="s">
        <v>46</v>
      </c>
      <c r="C75" s="12">
        <v>40708</v>
      </c>
      <c r="D75" s="3">
        <v>116</v>
      </c>
      <c r="E75" s="22" t="s">
        <v>49</v>
      </c>
      <c r="H75" s="33" t="s">
        <v>1</v>
      </c>
      <c r="I75" s="33" t="s">
        <v>1</v>
      </c>
      <c r="J75" s="1">
        <v>0</v>
      </c>
      <c r="K75" s="1">
        <v>1</v>
      </c>
      <c r="L75" s="1">
        <f t="shared" ref="L75:L90" si="40">SUM(H75:K75)</f>
        <v>1</v>
      </c>
      <c r="M75" s="1">
        <v>15</v>
      </c>
      <c r="N75" s="33" t="s">
        <v>1</v>
      </c>
      <c r="O75" s="33" t="s">
        <v>1</v>
      </c>
      <c r="P75" s="1">
        <v>0</v>
      </c>
      <c r="Q75" s="1">
        <v>0</v>
      </c>
      <c r="R75" s="1">
        <f t="shared" ref="R75:R90" si="41">SUM(N75:Q75)</f>
        <v>0</v>
      </c>
      <c r="S75" s="1">
        <v>0</v>
      </c>
      <c r="T75" s="33" t="s">
        <v>1</v>
      </c>
      <c r="U75" s="33" t="s">
        <v>1</v>
      </c>
      <c r="V75" s="1">
        <v>0</v>
      </c>
      <c r="W75" s="1">
        <v>0</v>
      </c>
      <c r="X75" s="1">
        <f t="shared" ref="X75:X90" si="42">SUM(T75:W75)</f>
        <v>0</v>
      </c>
      <c r="Y75" s="1">
        <v>0</v>
      </c>
      <c r="Z75" s="33" t="s">
        <v>1</v>
      </c>
      <c r="AA75" s="33" t="s">
        <v>1</v>
      </c>
      <c r="AB75" s="1">
        <v>0</v>
      </c>
      <c r="AC75" s="1">
        <v>0</v>
      </c>
      <c r="AD75" s="1">
        <f t="shared" ref="AD75:AD90" si="43">SUM(Z75:AC75)</f>
        <v>0</v>
      </c>
      <c r="AE75" s="1">
        <v>0</v>
      </c>
      <c r="AF75" s="24">
        <f t="shared" si="38"/>
        <v>0</v>
      </c>
      <c r="AG75" s="9">
        <f t="shared" si="39"/>
        <v>0</v>
      </c>
      <c r="AH75" s="9">
        <f t="shared" si="10"/>
        <v>0</v>
      </c>
      <c r="AI75" s="9">
        <f t="shared" si="28"/>
        <v>1</v>
      </c>
      <c r="AJ75" s="24">
        <f t="shared" si="32"/>
        <v>1</v>
      </c>
      <c r="AK75" s="24">
        <f t="shared" si="33"/>
        <v>15</v>
      </c>
    </row>
    <row r="76" spans="1:37">
      <c r="A76">
        <v>2011</v>
      </c>
      <c r="B76" s="22" t="s">
        <v>46</v>
      </c>
      <c r="C76" s="12">
        <v>40722</v>
      </c>
      <c r="D76" s="3">
        <v>117</v>
      </c>
      <c r="E76" s="22" t="s">
        <v>47</v>
      </c>
      <c r="H76" s="1">
        <v>0</v>
      </c>
      <c r="I76" s="1">
        <v>2</v>
      </c>
      <c r="J76" s="1">
        <v>0</v>
      </c>
      <c r="K76" s="1">
        <v>0</v>
      </c>
      <c r="L76" s="1">
        <f t="shared" si="40"/>
        <v>2</v>
      </c>
      <c r="M76" s="1">
        <v>0.5</v>
      </c>
      <c r="N76" s="1">
        <v>0</v>
      </c>
      <c r="O76" s="1">
        <v>5</v>
      </c>
      <c r="P76" s="1">
        <v>0</v>
      </c>
      <c r="Q76" s="1">
        <v>0</v>
      </c>
      <c r="R76" s="1">
        <f t="shared" si="41"/>
        <v>5</v>
      </c>
      <c r="S76" s="1">
        <v>1.5</v>
      </c>
      <c r="T76" s="1">
        <v>0</v>
      </c>
      <c r="U76" s="1">
        <v>0</v>
      </c>
      <c r="V76" s="1">
        <v>0</v>
      </c>
      <c r="W76" s="1">
        <v>0</v>
      </c>
      <c r="X76" s="1">
        <f t="shared" si="42"/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f t="shared" si="43"/>
        <v>0</v>
      </c>
      <c r="AE76" s="1">
        <v>0</v>
      </c>
      <c r="AF76" s="24">
        <f t="shared" ref="AF76:AF79" si="44">SUM(H76,N77,T76,Z76)</f>
        <v>0</v>
      </c>
      <c r="AG76" s="9">
        <f t="shared" ref="AG76:AG79" si="45">SUM(I76,O76,U76,AA76)</f>
        <v>7</v>
      </c>
      <c r="AH76" s="9">
        <f t="shared" si="10"/>
        <v>0</v>
      </c>
      <c r="AI76" s="9">
        <f t="shared" si="28"/>
        <v>0</v>
      </c>
      <c r="AJ76" s="24">
        <f t="shared" si="32"/>
        <v>7</v>
      </c>
      <c r="AK76" s="24">
        <f t="shared" si="33"/>
        <v>2</v>
      </c>
    </row>
    <row r="77" spans="1:37">
      <c r="A77">
        <v>2011</v>
      </c>
      <c r="B77" s="22" t="s">
        <v>46</v>
      </c>
      <c r="C77" s="12">
        <v>40722</v>
      </c>
      <c r="D77" s="3">
        <v>117</v>
      </c>
      <c r="E77" s="22" t="s">
        <v>88</v>
      </c>
      <c r="H77" s="33" t="s">
        <v>1</v>
      </c>
      <c r="I77" s="33" t="s">
        <v>1</v>
      </c>
      <c r="J77" s="1">
        <v>0</v>
      </c>
      <c r="K77" s="1">
        <v>0</v>
      </c>
      <c r="L77" s="1">
        <f t="shared" si="40"/>
        <v>0</v>
      </c>
      <c r="M77" s="1">
        <v>0</v>
      </c>
      <c r="N77" s="33" t="s">
        <v>1</v>
      </c>
      <c r="O77" s="33" t="s">
        <v>1</v>
      </c>
      <c r="P77" s="1">
        <v>1</v>
      </c>
      <c r="Q77" s="1">
        <v>0</v>
      </c>
      <c r="R77" s="1">
        <f t="shared" si="41"/>
        <v>1</v>
      </c>
      <c r="S77" s="1">
        <v>1.5</v>
      </c>
      <c r="T77" s="33" t="s">
        <v>1</v>
      </c>
      <c r="U77" s="33" t="s">
        <v>1</v>
      </c>
      <c r="V77" s="1">
        <v>0</v>
      </c>
      <c r="W77" s="1">
        <v>0</v>
      </c>
      <c r="X77" s="1">
        <f t="shared" si="42"/>
        <v>0</v>
      </c>
      <c r="Y77" s="1">
        <v>0</v>
      </c>
      <c r="Z77" s="33" t="s">
        <v>1</v>
      </c>
      <c r="AA77" s="33" t="s">
        <v>1</v>
      </c>
      <c r="AB77" s="1">
        <v>0</v>
      </c>
      <c r="AC77" s="1">
        <v>0</v>
      </c>
      <c r="AD77" s="1">
        <f t="shared" si="43"/>
        <v>0</v>
      </c>
      <c r="AE77" s="1">
        <v>0</v>
      </c>
      <c r="AF77" s="24">
        <f t="shared" si="44"/>
        <v>0</v>
      </c>
      <c r="AG77" s="9">
        <f t="shared" si="45"/>
        <v>0</v>
      </c>
      <c r="AH77" s="9">
        <f t="shared" si="10"/>
        <v>1</v>
      </c>
      <c r="AI77" s="9">
        <f t="shared" si="28"/>
        <v>0</v>
      </c>
      <c r="AJ77" s="24">
        <f t="shared" si="32"/>
        <v>1</v>
      </c>
      <c r="AK77" s="24">
        <f t="shared" si="33"/>
        <v>1.5</v>
      </c>
    </row>
    <row r="78" spans="1:37">
      <c r="A78">
        <v>2011</v>
      </c>
      <c r="B78" s="22" t="s">
        <v>46</v>
      </c>
      <c r="C78" s="12">
        <v>40722</v>
      </c>
      <c r="D78" s="3">
        <v>117</v>
      </c>
      <c r="E78" s="22" t="s">
        <v>51</v>
      </c>
      <c r="H78" s="1">
        <v>0</v>
      </c>
      <c r="I78" s="1">
        <v>0</v>
      </c>
      <c r="J78" s="1">
        <v>0</v>
      </c>
      <c r="K78" s="1">
        <v>0</v>
      </c>
      <c r="L78" s="1">
        <f t="shared" si="40"/>
        <v>0</v>
      </c>
      <c r="M78" s="1">
        <v>0</v>
      </c>
      <c r="N78" s="1">
        <v>0</v>
      </c>
      <c r="O78" s="1">
        <v>2</v>
      </c>
      <c r="P78" s="1">
        <v>0</v>
      </c>
      <c r="Q78" s="1">
        <v>0</v>
      </c>
      <c r="R78" s="1">
        <f t="shared" si="41"/>
        <v>2</v>
      </c>
      <c r="S78" s="1">
        <v>0.5</v>
      </c>
      <c r="T78" s="1">
        <v>0</v>
      </c>
      <c r="U78" s="1">
        <v>0</v>
      </c>
      <c r="V78" s="1">
        <v>0</v>
      </c>
      <c r="W78" s="1">
        <v>0</v>
      </c>
      <c r="X78" s="1">
        <f t="shared" si="42"/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f t="shared" si="43"/>
        <v>0</v>
      </c>
      <c r="AE78" s="1">
        <v>0</v>
      </c>
      <c r="AF78" s="24">
        <f t="shared" si="44"/>
        <v>0</v>
      </c>
      <c r="AG78" s="9">
        <f t="shared" si="45"/>
        <v>2</v>
      </c>
      <c r="AH78" s="9">
        <f t="shared" si="10"/>
        <v>0</v>
      </c>
      <c r="AI78" s="9">
        <f t="shared" si="28"/>
        <v>0</v>
      </c>
      <c r="AJ78" s="24">
        <f t="shared" si="32"/>
        <v>2</v>
      </c>
      <c r="AK78" s="24">
        <f t="shared" si="33"/>
        <v>0.5</v>
      </c>
    </row>
    <row r="79" spans="1:37">
      <c r="A79">
        <v>2011</v>
      </c>
      <c r="B79" s="22" t="s">
        <v>46</v>
      </c>
      <c r="C79" s="12">
        <v>40722</v>
      </c>
      <c r="D79" s="3">
        <v>117</v>
      </c>
      <c r="E79" s="22" t="s">
        <v>89</v>
      </c>
      <c r="H79" s="33" t="s">
        <v>1</v>
      </c>
      <c r="I79" s="33" t="s">
        <v>1</v>
      </c>
      <c r="J79" s="1">
        <v>0</v>
      </c>
      <c r="K79" s="1">
        <v>0</v>
      </c>
      <c r="L79" s="1">
        <f t="shared" si="40"/>
        <v>0</v>
      </c>
      <c r="M79" s="1">
        <v>0</v>
      </c>
      <c r="N79" s="33" t="s">
        <v>1</v>
      </c>
      <c r="O79" s="33" t="s">
        <v>1</v>
      </c>
      <c r="P79" s="1">
        <v>0</v>
      </c>
      <c r="Q79" s="1">
        <v>0</v>
      </c>
      <c r="R79" s="1">
        <f t="shared" si="41"/>
        <v>0</v>
      </c>
      <c r="S79" s="1">
        <v>0</v>
      </c>
      <c r="T79" s="33" t="s">
        <v>1</v>
      </c>
      <c r="U79" s="33" t="s">
        <v>1</v>
      </c>
      <c r="V79" s="1">
        <v>1</v>
      </c>
      <c r="W79" s="1">
        <v>0</v>
      </c>
      <c r="X79" s="1">
        <f t="shared" si="42"/>
        <v>1</v>
      </c>
      <c r="Y79" s="1">
        <v>0.5</v>
      </c>
      <c r="Z79" s="33" t="s">
        <v>1</v>
      </c>
      <c r="AA79" s="33" t="s">
        <v>1</v>
      </c>
      <c r="AB79" s="1">
        <v>1</v>
      </c>
      <c r="AC79" s="1">
        <v>0</v>
      </c>
      <c r="AD79" s="1">
        <f t="shared" si="43"/>
        <v>1</v>
      </c>
      <c r="AE79" s="1">
        <v>0.5</v>
      </c>
      <c r="AF79" s="24">
        <f t="shared" si="44"/>
        <v>0</v>
      </c>
      <c r="AG79" s="9">
        <f t="shared" si="45"/>
        <v>0</v>
      </c>
      <c r="AH79" s="9">
        <f t="shared" si="10"/>
        <v>2</v>
      </c>
      <c r="AI79" s="9">
        <f t="shared" si="28"/>
        <v>0</v>
      </c>
      <c r="AJ79" s="24">
        <f t="shared" si="32"/>
        <v>2</v>
      </c>
      <c r="AK79" s="24">
        <f t="shared" si="33"/>
        <v>1</v>
      </c>
    </row>
    <row r="80" spans="1:37">
      <c r="A80">
        <v>2011</v>
      </c>
      <c r="B80" s="22" t="s">
        <v>46</v>
      </c>
      <c r="C80" s="12">
        <v>40703</v>
      </c>
      <c r="D80" s="3">
        <v>118</v>
      </c>
      <c r="E80" s="22" t="s">
        <v>47</v>
      </c>
      <c r="H80" s="1">
        <v>0</v>
      </c>
      <c r="I80" s="1">
        <v>8</v>
      </c>
      <c r="J80" s="1">
        <v>0</v>
      </c>
      <c r="K80" s="1">
        <v>0</v>
      </c>
      <c r="L80" s="1">
        <f t="shared" si="40"/>
        <v>8</v>
      </c>
      <c r="M80" s="1">
        <v>0.5</v>
      </c>
      <c r="N80" s="1">
        <v>0</v>
      </c>
      <c r="O80" s="1">
        <v>0</v>
      </c>
      <c r="P80" s="1">
        <v>0</v>
      </c>
      <c r="Q80" s="1">
        <v>0</v>
      </c>
      <c r="R80" s="1">
        <f t="shared" si="41"/>
        <v>0</v>
      </c>
      <c r="S80" s="1">
        <v>0</v>
      </c>
      <c r="T80" s="1">
        <v>0</v>
      </c>
      <c r="U80" s="1">
        <v>17</v>
      </c>
      <c r="V80" s="1">
        <v>0</v>
      </c>
      <c r="W80" s="1">
        <v>0</v>
      </c>
      <c r="X80" s="1">
        <f t="shared" si="42"/>
        <v>17</v>
      </c>
      <c r="Y80" s="1">
        <v>3.5</v>
      </c>
      <c r="Z80" s="1">
        <v>0</v>
      </c>
      <c r="AA80" s="1">
        <v>23</v>
      </c>
      <c r="AB80" s="1">
        <v>0</v>
      </c>
      <c r="AC80" s="1">
        <v>0</v>
      </c>
      <c r="AD80" s="1">
        <f t="shared" si="43"/>
        <v>23</v>
      </c>
      <c r="AE80" s="1">
        <v>8</v>
      </c>
      <c r="AF80" s="24">
        <f t="shared" ref="AF80:AF82" si="46">SUM(H80,N81,T80,Z80)</f>
        <v>0</v>
      </c>
      <c r="AG80" s="9">
        <f t="shared" ref="AG80:AG82" si="47">SUM(I80,O80,U80,AA80)</f>
        <v>48</v>
      </c>
      <c r="AH80" s="9">
        <f t="shared" si="10"/>
        <v>0</v>
      </c>
      <c r="AI80" s="9">
        <f t="shared" si="28"/>
        <v>0</v>
      </c>
      <c r="AJ80" s="24">
        <f t="shared" si="32"/>
        <v>48</v>
      </c>
      <c r="AK80" s="24">
        <f t="shared" si="33"/>
        <v>12</v>
      </c>
    </row>
    <row r="81" spans="1:38">
      <c r="A81">
        <v>2011</v>
      </c>
      <c r="B81" s="22" t="s">
        <v>46</v>
      </c>
      <c r="C81" s="12">
        <v>40703</v>
      </c>
      <c r="D81" s="3">
        <v>118</v>
      </c>
      <c r="E81" s="22" t="s">
        <v>48</v>
      </c>
      <c r="H81" s="33" t="s">
        <v>1</v>
      </c>
      <c r="I81" s="33" t="s">
        <v>1</v>
      </c>
      <c r="J81" s="1">
        <v>0</v>
      </c>
      <c r="K81" s="1">
        <v>0</v>
      </c>
      <c r="L81" s="1">
        <f t="shared" si="40"/>
        <v>0</v>
      </c>
      <c r="M81" s="1">
        <v>0</v>
      </c>
      <c r="N81" s="33" t="s">
        <v>1</v>
      </c>
      <c r="O81" s="33" t="s">
        <v>1</v>
      </c>
      <c r="P81" s="1">
        <v>1</v>
      </c>
      <c r="Q81" s="1">
        <v>0</v>
      </c>
      <c r="R81" s="1">
        <f t="shared" si="41"/>
        <v>1</v>
      </c>
      <c r="S81" s="1">
        <v>1.5</v>
      </c>
      <c r="T81" s="33" t="s">
        <v>1</v>
      </c>
      <c r="U81" s="33" t="s">
        <v>1</v>
      </c>
      <c r="V81" s="1">
        <v>0</v>
      </c>
      <c r="W81" s="1">
        <v>0</v>
      </c>
      <c r="X81" s="1">
        <f t="shared" si="42"/>
        <v>0</v>
      </c>
      <c r="Y81" s="1">
        <v>0</v>
      </c>
      <c r="Z81" s="33" t="s">
        <v>1</v>
      </c>
      <c r="AA81" s="33" t="s">
        <v>1</v>
      </c>
      <c r="AB81" s="1">
        <v>0</v>
      </c>
      <c r="AC81" s="1">
        <v>0</v>
      </c>
      <c r="AD81" s="1">
        <f t="shared" si="43"/>
        <v>0</v>
      </c>
      <c r="AE81" s="1">
        <v>0</v>
      </c>
      <c r="AF81" s="24">
        <f t="shared" si="46"/>
        <v>0</v>
      </c>
      <c r="AG81" s="9">
        <f t="shared" si="47"/>
        <v>0</v>
      </c>
      <c r="AH81" s="9">
        <f t="shared" si="10"/>
        <v>1</v>
      </c>
      <c r="AI81" s="9">
        <f t="shared" si="28"/>
        <v>0</v>
      </c>
      <c r="AJ81" s="24">
        <f t="shared" si="32"/>
        <v>1</v>
      </c>
      <c r="AK81" s="24">
        <f t="shared" si="33"/>
        <v>1.5</v>
      </c>
    </row>
    <row r="82" spans="1:38">
      <c r="A82">
        <v>2011</v>
      </c>
      <c r="B82" s="22" t="s">
        <v>46</v>
      </c>
      <c r="C82" s="12">
        <v>40703</v>
      </c>
      <c r="D82" s="3">
        <v>118</v>
      </c>
      <c r="E82" s="22" t="s">
        <v>60</v>
      </c>
      <c r="H82" s="33" t="s">
        <v>1</v>
      </c>
      <c r="I82" s="33" t="s">
        <v>1</v>
      </c>
      <c r="J82" s="1">
        <v>0</v>
      </c>
      <c r="K82" s="1">
        <v>0</v>
      </c>
      <c r="L82" s="1">
        <f t="shared" si="40"/>
        <v>0</v>
      </c>
      <c r="M82" s="1">
        <v>0</v>
      </c>
      <c r="N82" s="33" t="s">
        <v>1</v>
      </c>
      <c r="O82" s="33" t="s">
        <v>1</v>
      </c>
      <c r="P82" s="1">
        <v>0</v>
      </c>
      <c r="Q82" s="1">
        <v>0</v>
      </c>
      <c r="R82" s="1">
        <f t="shared" si="41"/>
        <v>0</v>
      </c>
      <c r="S82" s="1">
        <v>0</v>
      </c>
      <c r="T82" s="33" t="s">
        <v>1</v>
      </c>
      <c r="U82" s="33" t="s">
        <v>1</v>
      </c>
      <c r="V82" s="1">
        <v>0</v>
      </c>
      <c r="W82" s="1">
        <v>0</v>
      </c>
      <c r="X82" s="1">
        <f t="shared" si="42"/>
        <v>0</v>
      </c>
      <c r="Y82" s="1">
        <v>0</v>
      </c>
      <c r="Z82" s="33" t="s">
        <v>1</v>
      </c>
      <c r="AA82" s="33" t="s">
        <v>1</v>
      </c>
      <c r="AB82" s="1">
        <v>1</v>
      </c>
      <c r="AC82" s="1">
        <v>0</v>
      </c>
      <c r="AD82" s="1">
        <f t="shared" si="43"/>
        <v>1</v>
      </c>
      <c r="AE82" s="1">
        <v>0.5</v>
      </c>
      <c r="AF82" s="24">
        <f t="shared" si="46"/>
        <v>0</v>
      </c>
      <c r="AG82" s="9">
        <f t="shared" si="47"/>
        <v>0</v>
      </c>
      <c r="AH82" s="9">
        <f t="shared" si="10"/>
        <v>1</v>
      </c>
      <c r="AI82" s="9">
        <f t="shared" si="28"/>
        <v>0</v>
      </c>
      <c r="AJ82" s="24">
        <f t="shared" si="32"/>
        <v>1</v>
      </c>
      <c r="AK82" s="24">
        <f t="shared" si="33"/>
        <v>0.5</v>
      </c>
    </row>
    <row r="83" spans="1:38">
      <c r="A83">
        <v>2011</v>
      </c>
      <c r="B83" s="22" t="s">
        <v>46</v>
      </c>
      <c r="C83" s="12">
        <v>40708</v>
      </c>
      <c r="D83" s="3">
        <v>119</v>
      </c>
      <c r="E83" s="22" t="s">
        <v>47</v>
      </c>
      <c r="H83" s="1">
        <v>0</v>
      </c>
      <c r="I83" s="1">
        <v>8</v>
      </c>
      <c r="J83" s="1">
        <v>0</v>
      </c>
      <c r="K83" s="1">
        <v>0</v>
      </c>
      <c r="L83" s="1">
        <f t="shared" si="40"/>
        <v>8</v>
      </c>
      <c r="M83" s="1">
        <v>8</v>
      </c>
      <c r="N83" s="1">
        <v>0</v>
      </c>
      <c r="O83" s="1">
        <v>22</v>
      </c>
      <c r="P83" s="1">
        <v>0</v>
      </c>
      <c r="Q83" s="1">
        <v>0</v>
      </c>
      <c r="R83" s="1">
        <f t="shared" si="41"/>
        <v>22</v>
      </c>
      <c r="S83" s="1">
        <v>15</v>
      </c>
      <c r="T83" s="1">
        <v>0</v>
      </c>
      <c r="U83" s="1">
        <v>8</v>
      </c>
      <c r="V83" s="1">
        <v>2</v>
      </c>
      <c r="W83" s="1">
        <v>0</v>
      </c>
      <c r="X83" s="1">
        <f t="shared" si="42"/>
        <v>10</v>
      </c>
      <c r="Y83" s="1">
        <v>8</v>
      </c>
      <c r="Z83" s="1">
        <v>0</v>
      </c>
      <c r="AA83" s="1">
        <v>2</v>
      </c>
      <c r="AB83" s="1">
        <v>4</v>
      </c>
      <c r="AC83" s="1">
        <v>0</v>
      </c>
      <c r="AD83" s="1">
        <f t="shared" si="43"/>
        <v>6</v>
      </c>
      <c r="AE83" s="1">
        <v>3.5</v>
      </c>
      <c r="AF83" s="24">
        <f t="shared" ref="AF83:AF90" si="48">SUM(H83,N84,T83,Z83)</f>
        <v>0</v>
      </c>
      <c r="AG83" s="9">
        <f t="shared" ref="AG83:AG90" si="49">SUM(I83,O83,U83,AA83)</f>
        <v>40</v>
      </c>
      <c r="AH83" s="9">
        <f t="shared" si="10"/>
        <v>6</v>
      </c>
      <c r="AI83" s="9">
        <f t="shared" si="28"/>
        <v>0</v>
      </c>
      <c r="AJ83" s="24">
        <f t="shared" si="32"/>
        <v>46</v>
      </c>
      <c r="AK83" s="24">
        <f t="shared" si="33"/>
        <v>34.5</v>
      </c>
      <c r="AL83" s="34" t="s">
        <v>90</v>
      </c>
    </row>
    <row r="84" spans="1:38">
      <c r="A84">
        <v>2011</v>
      </c>
      <c r="B84" s="22" t="s">
        <v>46</v>
      </c>
      <c r="C84" s="12">
        <v>40708</v>
      </c>
      <c r="D84" s="3">
        <v>119</v>
      </c>
      <c r="E84" s="22" t="s">
        <v>67</v>
      </c>
      <c r="H84" s="33">
        <v>0</v>
      </c>
      <c r="I84" s="33">
        <v>0</v>
      </c>
      <c r="J84" s="1">
        <v>0</v>
      </c>
      <c r="K84" s="1">
        <v>0</v>
      </c>
      <c r="L84" s="1">
        <f t="shared" si="40"/>
        <v>0</v>
      </c>
      <c r="M84" s="1">
        <v>0</v>
      </c>
      <c r="N84" s="33">
        <v>0</v>
      </c>
      <c r="O84" s="33">
        <v>0</v>
      </c>
      <c r="P84" s="1">
        <v>0</v>
      </c>
      <c r="Q84" s="1">
        <v>0</v>
      </c>
      <c r="R84" s="1">
        <f t="shared" si="41"/>
        <v>0</v>
      </c>
      <c r="S84" s="1">
        <v>0</v>
      </c>
      <c r="T84" s="33">
        <v>0</v>
      </c>
      <c r="U84" s="1">
        <v>1</v>
      </c>
      <c r="V84" s="1">
        <v>0</v>
      </c>
      <c r="W84" s="1">
        <v>0</v>
      </c>
      <c r="X84" s="1">
        <f t="shared" si="42"/>
        <v>1</v>
      </c>
      <c r="Y84" s="1">
        <v>0.5</v>
      </c>
      <c r="Z84" s="1">
        <v>0</v>
      </c>
      <c r="AA84" s="1">
        <v>0</v>
      </c>
      <c r="AB84" s="1">
        <v>0</v>
      </c>
      <c r="AC84" s="1">
        <v>0</v>
      </c>
      <c r="AD84" s="1">
        <f t="shared" si="43"/>
        <v>0</v>
      </c>
      <c r="AE84" s="1">
        <v>0</v>
      </c>
      <c r="AF84" s="24">
        <f t="shared" si="48"/>
        <v>0</v>
      </c>
      <c r="AG84" s="9">
        <f t="shared" si="49"/>
        <v>1</v>
      </c>
      <c r="AH84" s="9">
        <f t="shared" si="10"/>
        <v>0</v>
      </c>
      <c r="AI84" s="9">
        <f t="shared" si="28"/>
        <v>0</v>
      </c>
      <c r="AJ84" s="24">
        <f t="shared" si="32"/>
        <v>1</v>
      </c>
      <c r="AK84" s="24">
        <f t="shared" si="33"/>
        <v>0.5</v>
      </c>
    </row>
    <row r="85" spans="1:38">
      <c r="A85">
        <v>2011</v>
      </c>
      <c r="B85" s="22" t="s">
        <v>46</v>
      </c>
      <c r="C85" s="12">
        <v>40708</v>
      </c>
      <c r="D85" s="3">
        <v>120</v>
      </c>
      <c r="E85" s="22" t="s">
        <v>47</v>
      </c>
      <c r="H85" s="1">
        <v>0</v>
      </c>
      <c r="I85" s="1">
        <v>1</v>
      </c>
      <c r="J85" s="1">
        <v>1</v>
      </c>
      <c r="K85" s="1">
        <v>0</v>
      </c>
      <c r="L85" s="1">
        <f t="shared" si="40"/>
        <v>2</v>
      </c>
      <c r="M85" s="1">
        <v>0.5</v>
      </c>
      <c r="N85" s="1">
        <v>0</v>
      </c>
      <c r="O85" s="1">
        <v>0</v>
      </c>
      <c r="P85" s="1">
        <v>0</v>
      </c>
      <c r="Q85" s="1">
        <v>0</v>
      </c>
      <c r="R85" s="1">
        <f t="shared" si="41"/>
        <v>0</v>
      </c>
      <c r="S85" s="1">
        <v>0</v>
      </c>
      <c r="T85" s="1">
        <v>0</v>
      </c>
      <c r="U85" s="1">
        <v>30</v>
      </c>
      <c r="V85" s="1">
        <v>1</v>
      </c>
      <c r="W85" s="1">
        <v>0</v>
      </c>
      <c r="X85" s="1">
        <f t="shared" si="42"/>
        <v>31</v>
      </c>
      <c r="Y85" s="1">
        <v>8</v>
      </c>
      <c r="Z85" s="1">
        <v>0</v>
      </c>
      <c r="AA85" s="1">
        <v>8</v>
      </c>
      <c r="AB85" s="1">
        <v>1</v>
      </c>
      <c r="AC85" s="1">
        <v>0</v>
      </c>
      <c r="AD85" s="1">
        <f t="shared" si="43"/>
        <v>9</v>
      </c>
      <c r="AE85" s="1">
        <v>1.5</v>
      </c>
      <c r="AF85" s="24">
        <f t="shared" si="48"/>
        <v>0</v>
      </c>
      <c r="AG85" s="9">
        <f t="shared" si="49"/>
        <v>39</v>
      </c>
      <c r="AH85" s="9">
        <f t="shared" si="10"/>
        <v>3</v>
      </c>
      <c r="AI85" s="9">
        <f t="shared" ref="AI85:AI90" si="50">SUM(K85,Q85,W85,AC85)</f>
        <v>0</v>
      </c>
      <c r="AJ85" s="24">
        <f t="shared" ref="AJ85:AJ90" si="51">SUM(AF85:AI85)</f>
        <v>42</v>
      </c>
      <c r="AK85" s="24">
        <f t="shared" si="33"/>
        <v>10</v>
      </c>
    </row>
    <row r="86" spans="1:38">
      <c r="A86">
        <v>2011</v>
      </c>
      <c r="B86" s="22" t="s">
        <v>46</v>
      </c>
      <c r="C86" s="12">
        <v>40708</v>
      </c>
      <c r="D86" s="3">
        <v>120</v>
      </c>
      <c r="E86" s="22" t="s">
        <v>85</v>
      </c>
      <c r="H86" s="33" t="s">
        <v>1</v>
      </c>
      <c r="I86" s="33" t="s">
        <v>1</v>
      </c>
      <c r="J86" s="1">
        <v>0</v>
      </c>
      <c r="K86" s="1">
        <v>0</v>
      </c>
      <c r="L86" s="1">
        <f t="shared" si="40"/>
        <v>0</v>
      </c>
      <c r="M86" s="1">
        <v>0</v>
      </c>
      <c r="N86" s="33" t="s">
        <v>1</v>
      </c>
      <c r="O86" s="33" t="s">
        <v>1</v>
      </c>
      <c r="P86" s="1">
        <v>0</v>
      </c>
      <c r="Q86" s="1">
        <v>0</v>
      </c>
      <c r="R86" s="1">
        <f t="shared" si="41"/>
        <v>0</v>
      </c>
      <c r="S86" s="1">
        <v>0</v>
      </c>
      <c r="T86" s="33" t="s">
        <v>1</v>
      </c>
      <c r="U86" s="33" t="s">
        <v>1</v>
      </c>
      <c r="V86" s="1">
        <v>5</v>
      </c>
      <c r="W86" s="1">
        <v>0</v>
      </c>
      <c r="X86" s="1">
        <f t="shared" si="42"/>
        <v>5</v>
      </c>
      <c r="Y86" s="1">
        <v>3.5</v>
      </c>
      <c r="Z86" s="33" t="s">
        <v>1</v>
      </c>
      <c r="AA86" s="33" t="s">
        <v>1</v>
      </c>
      <c r="AB86" s="1">
        <v>1</v>
      </c>
      <c r="AC86" s="1">
        <v>0</v>
      </c>
      <c r="AD86" s="1">
        <f t="shared" si="43"/>
        <v>1</v>
      </c>
      <c r="AE86" s="1">
        <v>1.5</v>
      </c>
      <c r="AF86" s="24">
        <f t="shared" si="48"/>
        <v>0</v>
      </c>
      <c r="AG86" s="9">
        <f t="shared" si="49"/>
        <v>0</v>
      </c>
      <c r="AH86" s="9">
        <f t="shared" si="10"/>
        <v>6</v>
      </c>
      <c r="AI86" s="9">
        <f t="shared" si="50"/>
        <v>0</v>
      </c>
      <c r="AJ86" s="24">
        <f t="shared" si="51"/>
        <v>6</v>
      </c>
      <c r="AK86" s="24">
        <f t="shared" si="33"/>
        <v>5</v>
      </c>
    </row>
    <row r="87" spans="1:38">
      <c r="A87">
        <v>2011</v>
      </c>
      <c r="B87" s="22" t="s">
        <v>46</v>
      </c>
      <c r="C87" s="12">
        <v>40708</v>
      </c>
      <c r="D87" s="3">
        <v>120</v>
      </c>
      <c r="E87" s="22" t="s">
        <v>91</v>
      </c>
      <c r="H87" s="33" t="s">
        <v>1</v>
      </c>
      <c r="I87" s="33" t="s">
        <v>1</v>
      </c>
      <c r="J87" s="1">
        <v>0</v>
      </c>
      <c r="K87" s="1">
        <v>0</v>
      </c>
      <c r="L87" s="1">
        <f t="shared" si="40"/>
        <v>0</v>
      </c>
      <c r="M87" s="1">
        <v>0</v>
      </c>
      <c r="N87" s="33" t="s">
        <v>1</v>
      </c>
      <c r="O87" s="33" t="s">
        <v>1</v>
      </c>
      <c r="P87" s="1">
        <v>0</v>
      </c>
      <c r="Q87" s="1">
        <v>0</v>
      </c>
      <c r="R87" s="1">
        <f t="shared" si="41"/>
        <v>0</v>
      </c>
      <c r="S87" s="1">
        <v>0</v>
      </c>
      <c r="T87" s="33" t="s">
        <v>1</v>
      </c>
      <c r="U87" s="33" t="s">
        <v>1</v>
      </c>
      <c r="V87" s="1">
        <v>1</v>
      </c>
      <c r="W87" s="1">
        <v>0</v>
      </c>
      <c r="X87" s="1">
        <f t="shared" si="42"/>
        <v>1</v>
      </c>
      <c r="Y87" s="1">
        <v>1.5</v>
      </c>
      <c r="Z87" s="33" t="s">
        <v>1</v>
      </c>
      <c r="AA87" s="33" t="s">
        <v>1</v>
      </c>
      <c r="AB87" s="1">
        <v>0</v>
      </c>
      <c r="AC87" s="1">
        <v>0</v>
      </c>
      <c r="AD87" s="1">
        <f t="shared" si="43"/>
        <v>0</v>
      </c>
      <c r="AE87" s="1">
        <v>0</v>
      </c>
      <c r="AF87" s="24">
        <f t="shared" si="48"/>
        <v>0</v>
      </c>
      <c r="AG87" s="9">
        <f t="shared" si="49"/>
        <v>0</v>
      </c>
      <c r="AH87" s="9">
        <f t="shared" si="10"/>
        <v>1</v>
      </c>
      <c r="AI87" s="9">
        <f t="shared" si="50"/>
        <v>0</v>
      </c>
      <c r="AJ87" s="24">
        <f t="shared" si="51"/>
        <v>1</v>
      </c>
      <c r="AK87" s="24">
        <f t="shared" si="33"/>
        <v>1.5</v>
      </c>
    </row>
    <row r="88" spans="1:38">
      <c r="A88">
        <v>2011</v>
      </c>
      <c r="B88" s="22" t="s">
        <v>46</v>
      </c>
      <c r="C88" s="12">
        <v>40708</v>
      </c>
      <c r="D88" s="3">
        <v>120</v>
      </c>
      <c r="E88" s="22" t="s">
        <v>92</v>
      </c>
      <c r="H88" s="33" t="s">
        <v>1</v>
      </c>
      <c r="I88" s="33" t="s">
        <v>1</v>
      </c>
      <c r="J88" s="1">
        <v>0</v>
      </c>
      <c r="K88" s="1">
        <v>0</v>
      </c>
      <c r="L88" s="1">
        <f t="shared" si="40"/>
        <v>0</v>
      </c>
      <c r="M88" s="1">
        <v>0</v>
      </c>
      <c r="N88" s="33" t="s">
        <v>1</v>
      </c>
      <c r="O88" s="33" t="s">
        <v>1</v>
      </c>
      <c r="P88" s="1">
        <v>0</v>
      </c>
      <c r="Q88" s="1">
        <v>0</v>
      </c>
      <c r="R88" s="1">
        <f t="shared" si="41"/>
        <v>0</v>
      </c>
      <c r="S88" s="1">
        <v>0</v>
      </c>
      <c r="T88" s="33" t="s">
        <v>1</v>
      </c>
      <c r="U88" s="33" t="s">
        <v>1</v>
      </c>
      <c r="V88" s="1">
        <v>1</v>
      </c>
      <c r="W88" s="1">
        <v>0</v>
      </c>
      <c r="X88" s="1">
        <f t="shared" si="42"/>
        <v>1</v>
      </c>
      <c r="Y88" s="1">
        <v>1.5</v>
      </c>
      <c r="Z88" s="33" t="s">
        <v>1</v>
      </c>
      <c r="AA88" s="33" t="s">
        <v>1</v>
      </c>
      <c r="AB88" s="1">
        <v>0</v>
      </c>
      <c r="AC88" s="1">
        <v>0</v>
      </c>
      <c r="AD88" s="1">
        <f t="shared" si="43"/>
        <v>0</v>
      </c>
      <c r="AE88" s="1">
        <v>0</v>
      </c>
      <c r="AF88" s="24">
        <f t="shared" si="48"/>
        <v>0</v>
      </c>
      <c r="AG88" s="9">
        <f t="shared" si="49"/>
        <v>0</v>
      </c>
      <c r="AH88" s="9">
        <f t="shared" si="10"/>
        <v>1</v>
      </c>
      <c r="AI88" s="9">
        <f t="shared" si="50"/>
        <v>0</v>
      </c>
      <c r="AJ88" s="24">
        <f t="shared" si="51"/>
        <v>1</v>
      </c>
      <c r="AK88" s="24">
        <f t="shared" si="33"/>
        <v>1.5</v>
      </c>
    </row>
    <row r="89" spans="1:38">
      <c r="A89">
        <v>2011</v>
      </c>
      <c r="B89" s="22" t="s">
        <v>46</v>
      </c>
      <c r="C89" s="12">
        <v>40708</v>
      </c>
      <c r="D89" s="3">
        <v>120</v>
      </c>
      <c r="E89" s="22" t="s">
        <v>93</v>
      </c>
      <c r="H89" s="33" t="s">
        <v>1</v>
      </c>
      <c r="I89" s="33" t="s">
        <v>1</v>
      </c>
      <c r="J89" s="1">
        <v>0</v>
      </c>
      <c r="K89" s="1">
        <v>0</v>
      </c>
      <c r="L89" s="1">
        <f t="shared" si="40"/>
        <v>0</v>
      </c>
      <c r="M89" s="1">
        <v>0</v>
      </c>
      <c r="N89" s="33" t="s">
        <v>1</v>
      </c>
      <c r="O89" s="33" t="s">
        <v>1</v>
      </c>
      <c r="P89" s="1">
        <v>0</v>
      </c>
      <c r="Q89" s="1">
        <v>0</v>
      </c>
      <c r="R89" s="1">
        <f t="shared" si="41"/>
        <v>0</v>
      </c>
      <c r="S89" s="1">
        <v>0</v>
      </c>
      <c r="T89" s="33" t="s">
        <v>1</v>
      </c>
      <c r="U89" s="33" t="s">
        <v>1</v>
      </c>
      <c r="V89" s="1">
        <v>1</v>
      </c>
      <c r="W89" s="1">
        <v>0</v>
      </c>
      <c r="X89" s="1">
        <f t="shared" si="42"/>
        <v>1</v>
      </c>
      <c r="Y89" s="1">
        <v>1.5</v>
      </c>
      <c r="Z89" s="33" t="s">
        <v>1</v>
      </c>
      <c r="AA89" s="33" t="s">
        <v>1</v>
      </c>
      <c r="AB89" s="1">
        <v>0</v>
      </c>
      <c r="AC89" s="1">
        <v>0</v>
      </c>
      <c r="AD89" s="1">
        <f t="shared" si="43"/>
        <v>0</v>
      </c>
      <c r="AE89" s="1">
        <v>0</v>
      </c>
      <c r="AF89" s="24">
        <f t="shared" si="48"/>
        <v>0</v>
      </c>
      <c r="AG89" s="9">
        <f t="shared" si="49"/>
        <v>0</v>
      </c>
      <c r="AH89" s="9">
        <f t="shared" si="10"/>
        <v>1</v>
      </c>
      <c r="AI89" s="9">
        <f t="shared" si="50"/>
        <v>0</v>
      </c>
      <c r="AJ89" s="24">
        <f t="shared" si="51"/>
        <v>1</v>
      </c>
      <c r="AK89" s="24">
        <f t="shared" si="33"/>
        <v>1.5</v>
      </c>
    </row>
    <row r="90" spans="1:38">
      <c r="A90">
        <v>2011</v>
      </c>
      <c r="B90" s="22" t="s">
        <v>46</v>
      </c>
      <c r="C90" s="12">
        <v>40708</v>
      </c>
      <c r="D90" s="3">
        <v>120</v>
      </c>
      <c r="E90" s="22" t="s">
        <v>67</v>
      </c>
      <c r="H90" s="1">
        <v>0</v>
      </c>
      <c r="I90" s="1">
        <v>0</v>
      </c>
      <c r="J90" s="1">
        <v>0</v>
      </c>
      <c r="K90" s="1">
        <v>0</v>
      </c>
      <c r="L90" s="1">
        <f t="shared" si="40"/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f t="shared" si="41"/>
        <v>0</v>
      </c>
      <c r="S90" s="1">
        <v>0</v>
      </c>
      <c r="T90" s="1">
        <v>0</v>
      </c>
      <c r="U90" s="1">
        <v>1</v>
      </c>
      <c r="V90" s="1">
        <v>0</v>
      </c>
      <c r="W90" s="1">
        <v>0</v>
      </c>
      <c r="X90" s="1">
        <f t="shared" si="42"/>
        <v>1</v>
      </c>
      <c r="Y90" s="1">
        <v>0.5</v>
      </c>
      <c r="Z90" s="1">
        <v>0</v>
      </c>
      <c r="AA90" s="1">
        <v>0</v>
      </c>
      <c r="AB90" s="1">
        <v>0</v>
      </c>
      <c r="AC90" s="1">
        <v>0</v>
      </c>
      <c r="AD90" s="1">
        <f t="shared" si="43"/>
        <v>0</v>
      </c>
      <c r="AE90" s="1">
        <v>0</v>
      </c>
      <c r="AF90" s="24">
        <f t="shared" si="48"/>
        <v>0</v>
      </c>
      <c r="AG90" s="9">
        <f t="shared" si="49"/>
        <v>1</v>
      </c>
      <c r="AH90" s="9">
        <f t="shared" si="10"/>
        <v>0</v>
      </c>
      <c r="AI90" s="9">
        <f t="shared" si="50"/>
        <v>0</v>
      </c>
      <c r="AJ90" s="24">
        <f t="shared" si="51"/>
        <v>1</v>
      </c>
      <c r="AK90" s="24">
        <f t="shared" si="33"/>
        <v>0.5</v>
      </c>
    </row>
    <row r="91" spans="1:38">
      <c r="B91" s="22"/>
    </row>
    <row r="92" spans="1:38">
      <c r="B92" s="22"/>
    </row>
    <row r="93" spans="1:38">
      <c r="B93" s="22"/>
    </row>
    <row r="94" spans="1:38">
      <c r="B94" s="22"/>
    </row>
    <row r="95" spans="1:38">
      <c r="B95" s="22"/>
    </row>
  </sheetData>
  <phoneticPr fontId="1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"/>
  <sheetViews>
    <sheetView workbookViewId="0">
      <pane ySplit="3" topLeftCell="A4" activePane="bottomLeft" state="frozen"/>
      <selection pane="bottomLeft" activeCell="G111" sqref="G111"/>
    </sheetView>
  </sheetViews>
  <sheetFormatPr defaultRowHeight="12.75"/>
  <cols>
    <col min="3" max="3" width="9.140625" style="2" customWidth="1"/>
  </cols>
  <sheetData>
    <row r="1" spans="1:10">
      <c r="A1" s="32" t="s">
        <v>94</v>
      </c>
    </row>
    <row r="3" spans="1:10">
      <c r="A3" s="22" t="s">
        <v>8</v>
      </c>
      <c r="B3" s="22" t="s">
        <v>9</v>
      </c>
      <c r="C3" s="2" t="s">
        <v>10</v>
      </c>
      <c r="D3" t="s">
        <v>11</v>
      </c>
      <c r="E3" t="s">
        <v>95</v>
      </c>
      <c r="F3" t="s">
        <v>96</v>
      </c>
      <c r="G3" s="22" t="s">
        <v>97</v>
      </c>
      <c r="H3" t="s">
        <v>98</v>
      </c>
      <c r="I3" t="s">
        <v>45</v>
      </c>
    </row>
    <row r="4" spans="1:10">
      <c r="A4">
        <v>2011</v>
      </c>
      <c r="B4" s="22" t="s">
        <v>46</v>
      </c>
      <c r="C4" s="2">
        <v>40718</v>
      </c>
      <c r="D4">
        <v>28</v>
      </c>
      <c r="E4" t="s">
        <v>99</v>
      </c>
      <c r="F4">
        <v>693</v>
      </c>
      <c r="G4">
        <v>7044</v>
      </c>
      <c r="H4" s="22" t="s">
        <v>1</v>
      </c>
      <c r="I4" t="s">
        <v>100</v>
      </c>
      <c r="J4" s="18"/>
    </row>
    <row r="5" spans="1:10">
      <c r="A5">
        <v>2011</v>
      </c>
      <c r="B5" s="22" t="s">
        <v>46</v>
      </c>
      <c r="C5" s="2">
        <v>40718</v>
      </c>
      <c r="D5">
        <v>28</v>
      </c>
      <c r="E5" t="s">
        <v>101</v>
      </c>
      <c r="F5">
        <v>694</v>
      </c>
      <c r="G5" s="22" t="s">
        <v>1</v>
      </c>
      <c r="H5" s="22" t="s">
        <v>1</v>
      </c>
    </row>
    <row r="6" spans="1:10">
      <c r="A6">
        <v>2011</v>
      </c>
      <c r="B6" s="22" t="s">
        <v>46</v>
      </c>
      <c r="C6" s="2">
        <v>40718</v>
      </c>
      <c r="D6">
        <v>28</v>
      </c>
      <c r="E6" t="s">
        <v>102</v>
      </c>
      <c r="F6">
        <v>695</v>
      </c>
      <c r="G6">
        <v>7049</v>
      </c>
      <c r="H6">
        <v>7045</v>
      </c>
    </row>
    <row r="7" spans="1:10">
      <c r="A7">
        <v>2011</v>
      </c>
      <c r="B7" s="22" t="s">
        <v>46</v>
      </c>
      <c r="C7" s="2">
        <v>40718</v>
      </c>
      <c r="D7">
        <v>28</v>
      </c>
      <c r="E7" t="s">
        <v>103</v>
      </c>
      <c r="F7">
        <v>696</v>
      </c>
      <c r="G7">
        <v>7050</v>
      </c>
      <c r="H7">
        <v>7046</v>
      </c>
    </row>
    <row r="8" spans="1:10">
      <c r="A8">
        <v>2011</v>
      </c>
      <c r="B8" s="22" t="s">
        <v>46</v>
      </c>
      <c r="C8" s="2">
        <v>40718</v>
      </c>
      <c r="D8">
        <v>28</v>
      </c>
      <c r="E8" t="s">
        <v>104</v>
      </c>
      <c r="F8">
        <v>697</v>
      </c>
      <c r="G8">
        <v>7051</v>
      </c>
      <c r="H8">
        <v>7047</v>
      </c>
    </row>
    <row r="9" spans="1:10">
      <c r="A9">
        <v>2011</v>
      </c>
      <c r="B9" s="22" t="s">
        <v>46</v>
      </c>
      <c r="C9" s="2">
        <v>40718</v>
      </c>
      <c r="D9">
        <v>28</v>
      </c>
      <c r="E9" t="s">
        <v>105</v>
      </c>
      <c r="F9">
        <v>698</v>
      </c>
      <c r="G9">
        <v>7052</v>
      </c>
      <c r="H9">
        <v>7048</v>
      </c>
    </row>
    <row r="10" spans="1:10">
      <c r="A10">
        <v>2011</v>
      </c>
      <c r="B10" s="22" t="s">
        <v>46</v>
      </c>
      <c r="C10" s="2">
        <v>40718</v>
      </c>
      <c r="D10">
        <v>29</v>
      </c>
      <c r="E10" t="s">
        <v>99</v>
      </c>
      <c r="F10">
        <v>687</v>
      </c>
      <c r="G10" t="s">
        <v>106</v>
      </c>
      <c r="H10" t="s">
        <v>1</v>
      </c>
      <c r="J10" s="18"/>
    </row>
    <row r="11" spans="1:10">
      <c r="A11">
        <v>2011</v>
      </c>
      <c r="B11" s="22" t="s">
        <v>46</v>
      </c>
      <c r="C11" s="2">
        <v>40718</v>
      </c>
      <c r="D11">
        <v>29</v>
      </c>
      <c r="E11" t="s">
        <v>101</v>
      </c>
      <c r="F11">
        <v>688</v>
      </c>
      <c r="G11" s="22" t="s">
        <v>1</v>
      </c>
      <c r="H11" s="22" t="s">
        <v>1</v>
      </c>
    </row>
    <row r="12" spans="1:10">
      <c r="A12">
        <v>2011</v>
      </c>
      <c r="B12" s="22" t="s">
        <v>46</v>
      </c>
      <c r="C12" s="2">
        <v>40718</v>
      </c>
      <c r="D12">
        <v>29</v>
      </c>
      <c r="E12" t="s">
        <v>102</v>
      </c>
      <c r="F12">
        <v>689</v>
      </c>
      <c r="G12" s="22">
        <v>7040</v>
      </c>
      <c r="H12" s="22">
        <v>7035</v>
      </c>
    </row>
    <row r="13" spans="1:10">
      <c r="A13">
        <v>2011</v>
      </c>
      <c r="B13" s="22" t="s">
        <v>46</v>
      </c>
      <c r="C13" s="2">
        <v>40718</v>
      </c>
      <c r="D13">
        <v>29</v>
      </c>
      <c r="E13" t="s">
        <v>103</v>
      </c>
      <c r="F13">
        <v>690</v>
      </c>
      <c r="G13" s="22">
        <v>7041</v>
      </c>
      <c r="H13" s="22">
        <v>7036</v>
      </c>
    </row>
    <row r="14" spans="1:10">
      <c r="A14">
        <v>2011</v>
      </c>
      <c r="B14" s="22" t="s">
        <v>46</v>
      </c>
      <c r="C14" s="2">
        <v>40718</v>
      </c>
      <c r="D14">
        <v>29</v>
      </c>
      <c r="E14" t="s">
        <v>104</v>
      </c>
      <c r="F14">
        <v>691</v>
      </c>
      <c r="G14" s="22">
        <v>7042</v>
      </c>
      <c r="H14" s="22" t="s">
        <v>107</v>
      </c>
      <c r="I14" s="22" t="s">
        <v>108</v>
      </c>
    </row>
    <row r="15" spans="1:10">
      <c r="A15">
        <v>2011</v>
      </c>
      <c r="B15" s="22" t="s">
        <v>46</v>
      </c>
      <c r="C15" s="2">
        <v>40718</v>
      </c>
      <c r="D15">
        <v>29</v>
      </c>
      <c r="E15" t="s">
        <v>105</v>
      </c>
      <c r="F15">
        <v>692</v>
      </c>
      <c r="G15" s="22">
        <v>7043</v>
      </c>
      <c r="H15" s="22">
        <v>7039</v>
      </c>
    </row>
    <row r="16" spans="1:10">
      <c r="A16">
        <v>2011</v>
      </c>
      <c r="B16" s="22" t="s">
        <v>46</v>
      </c>
      <c r="C16" s="2">
        <v>40718</v>
      </c>
      <c r="D16">
        <v>30</v>
      </c>
      <c r="E16" t="s">
        <v>99</v>
      </c>
      <c r="F16">
        <v>699</v>
      </c>
      <c r="G16" s="22">
        <v>7022</v>
      </c>
      <c r="H16" s="22" t="s">
        <v>1</v>
      </c>
      <c r="J16" s="18"/>
    </row>
    <row r="17" spans="1:10">
      <c r="A17">
        <v>2011</v>
      </c>
      <c r="B17" s="22" t="s">
        <v>46</v>
      </c>
      <c r="C17" s="2">
        <v>40718</v>
      </c>
      <c r="D17">
        <v>30</v>
      </c>
      <c r="E17" t="s">
        <v>101</v>
      </c>
      <c r="F17">
        <v>700</v>
      </c>
      <c r="G17" s="22" t="s">
        <v>1</v>
      </c>
      <c r="H17" s="22" t="s">
        <v>1</v>
      </c>
    </row>
    <row r="18" spans="1:10">
      <c r="A18">
        <v>2011</v>
      </c>
      <c r="B18" s="22" t="s">
        <v>46</v>
      </c>
      <c r="C18" s="2">
        <v>40718</v>
      </c>
      <c r="D18">
        <v>30</v>
      </c>
      <c r="E18" t="s">
        <v>102</v>
      </c>
      <c r="F18">
        <v>701</v>
      </c>
      <c r="G18" s="22" t="s">
        <v>109</v>
      </c>
      <c r="H18" s="22">
        <v>7023</v>
      </c>
    </row>
    <row r="19" spans="1:10">
      <c r="A19">
        <v>2011</v>
      </c>
      <c r="B19" s="22" t="s">
        <v>46</v>
      </c>
      <c r="C19" s="2">
        <v>40718</v>
      </c>
      <c r="D19">
        <v>30</v>
      </c>
      <c r="E19" t="s">
        <v>103</v>
      </c>
      <c r="F19">
        <v>704</v>
      </c>
      <c r="G19" s="22">
        <v>7030</v>
      </c>
      <c r="H19" s="22" t="s">
        <v>110</v>
      </c>
    </row>
    <row r="20" spans="1:10">
      <c r="A20">
        <v>2011</v>
      </c>
      <c r="B20" s="22" t="s">
        <v>46</v>
      </c>
      <c r="C20" s="2">
        <v>40718</v>
      </c>
      <c r="D20">
        <v>30</v>
      </c>
      <c r="E20" t="s">
        <v>104</v>
      </c>
      <c r="F20" s="22" t="s">
        <v>111</v>
      </c>
      <c r="G20" s="22">
        <v>7031</v>
      </c>
      <c r="H20" s="22">
        <v>7026</v>
      </c>
      <c r="I20" t="s">
        <v>112</v>
      </c>
    </row>
    <row r="21" spans="1:10">
      <c r="A21">
        <v>2011</v>
      </c>
      <c r="B21" s="22" t="s">
        <v>46</v>
      </c>
      <c r="C21" s="2">
        <v>40718</v>
      </c>
      <c r="D21">
        <v>30</v>
      </c>
      <c r="E21" t="s">
        <v>105</v>
      </c>
      <c r="F21">
        <v>713</v>
      </c>
      <c r="G21" s="22">
        <v>7032</v>
      </c>
      <c r="H21" s="22">
        <v>7027</v>
      </c>
    </row>
    <row r="22" spans="1:10">
      <c r="A22">
        <v>2011</v>
      </c>
      <c r="B22" s="22" t="s">
        <v>46</v>
      </c>
      <c r="C22" s="2">
        <v>40703</v>
      </c>
      <c r="D22">
        <v>82</v>
      </c>
      <c r="E22" t="s">
        <v>99</v>
      </c>
      <c r="F22" s="22" t="s">
        <v>113</v>
      </c>
      <c r="G22" s="22">
        <v>6580</v>
      </c>
      <c r="H22" t="s">
        <v>1</v>
      </c>
      <c r="I22" t="s">
        <v>114</v>
      </c>
      <c r="J22" s="18"/>
    </row>
    <row r="23" spans="1:10">
      <c r="A23">
        <v>2011</v>
      </c>
      <c r="B23" s="22" t="s">
        <v>46</v>
      </c>
      <c r="C23" s="2">
        <v>40703</v>
      </c>
      <c r="D23">
        <v>82</v>
      </c>
      <c r="E23" t="s">
        <v>101</v>
      </c>
      <c r="F23">
        <v>335</v>
      </c>
      <c r="G23" t="s">
        <v>1</v>
      </c>
      <c r="H23" t="s">
        <v>1</v>
      </c>
    </row>
    <row r="24" spans="1:10">
      <c r="A24">
        <v>2011</v>
      </c>
      <c r="B24" s="22" t="s">
        <v>46</v>
      </c>
      <c r="C24" s="2">
        <v>40703</v>
      </c>
      <c r="D24">
        <v>82</v>
      </c>
      <c r="E24" t="s">
        <v>102</v>
      </c>
      <c r="F24">
        <v>336</v>
      </c>
      <c r="G24">
        <v>6586</v>
      </c>
      <c r="H24" s="22">
        <v>6581</v>
      </c>
    </row>
    <row r="25" spans="1:10">
      <c r="A25">
        <v>2011</v>
      </c>
      <c r="B25" s="22" t="s">
        <v>46</v>
      </c>
      <c r="C25" s="2">
        <v>40703</v>
      </c>
      <c r="D25">
        <v>82</v>
      </c>
      <c r="E25" t="s">
        <v>103</v>
      </c>
      <c r="F25">
        <v>337</v>
      </c>
      <c r="G25">
        <v>6587</v>
      </c>
      <c r="H25" s="22">
        <v>6582</v>
      </c>
    </row>
    <row r="26" spans="1:10">
      <c r="A26">
        <v>2011</v>
      </c>
      <c r="B26" s="22" t="s">
        <v>46</v>
      </c>
      <c r="C26" s="2">
        <v>40703</v>
      </c>
      <c r="D26">
        <v>82</v>
      </c>
      <c r="E26" t="s">
        <v>104</v>
      </c>
      <c r="F26">
        <v>338</v>
      </c>
      <c r="G26">
        <v>6588</v>
      </c>
      <c r="H26" s="22">
        <v>6583</v>
      </c>
    </row>
    <row r="27" spans="1:10">
      <c r="A27">
        <v>2011</v>
      </c>
      <c r="B27" s="22" t="s">
        <v>46</v>
      </c>
      <c r="C27" s="2">
        <v>40703</v>
      </c>
      <c r="D27">
        <v>82</v>
      </c>
      <c r="E27" t="s">
        <v>105</v>
      </c>
      <c r="F27">
        <v>339</v>
      </c>
      <c r="G27" t="s">
        <v>115</v>
      </c>
      <c r="H27" s="22">
        <v>6584</v>
      </c>
    </row>
    <row r="28" spans="1:10">
      <c r="A28">
        <v>2011</v>
      </c>
      <c r="B28" s="22" t="s">
        <v>46</v>
      </c>
      <c r="C28" s="2">
        <v>40703</v>
      </c>
      <c r="D28">
        <v>83</v>
      </c>
      <c r="E28" t="s">
        <v>99</v>
      </c>
      <c r="F28">
        <v>321</v>
      </c>
      <c r="G28">
        <v>6570</v>
      </c>
      <c r="H28" t="s">
        <v>1</v>
      </c>
      <c r="J28" s="18"/>
    </row>
    <row r="29" spans="1:10">
      <c r="A29">
        <v>2011</v>
      </c>
      <c r="B29" s="22" t="s">
        <v>46</v>
      </c>
      <c r="C29" s="2">
        <v>40703</v>
      </c>
      <c r="D29">
        <v>83</v>
      </c>
      <c r="E29" t="s">
        <v>101</v>
      </c>
      <c r="F29">
        <v>322</v>
      </c>
      <c r="G29" t="s">
        <v>1</v>
      </c>
      <c r="H29" t="s">
        <v>1</v>
      </c>
    </row>
    <row r="30" spans="1:10">
      <c r="A30">
        <v>2011</v>
      </c>
      <c r="B30" s="22" t="s">
        <v>46</v>
      </c>
      <c r="C30" s="2">
        <v>40703</v>
      </c>
      <c r="D30">
        <v>83</v>
      </c>
      <c r="E30" t="s">
        <v>102</v>
      </c>
      <c r="F30">
        <v>323</v>
      </c>
      <c r="G30">
        <v>6576</v>
      </c>
      <c r="H30">
        <v>6571</v>
      </c>
    </row>
    <row r="31" spans="1:10">
      <c r="A31">
        <v>2011</v>
      </c>
      <c r="B31" s="22" t="s">
        <v>46</v>
      </c>
      <c r="C31" s="2">
        <v>40703</v>
      </c>
      <c r="D31">
        <v>83</v>
      </c>
      <c r="E31" t="s">
        <v>103</v>
      </c>
      <c r="F31">
        <v>324</v>
      </c>
      <c r="G31">
        <v>6577</v>
      </c>
      <c r="H31">
        <v>6572</v>
      </c>
    </row>
    <row r="32" spans="1:10">
      <c r="A32">
        <v>2011</v>
      </c>
      <c r="B32" s="22" t="s">
        <v>46</v>
      </c>
      <c r="C32" s="2">
        <v>40703</v>
      </c>
      <c r="D32">
        <v>83</v>
      </c>
      <c r="E32" t="s">
        <v>104</v>
      </c>
      <c r="F32">
        <v>325</v>
      </c>
      <c r="G32">
        <v>6578</v>
      </c>
      <c r="H32">
        <v>6573</v>
      </c>
    </row>
    <row r="33" spans="1:10">
      <c r="A33">
        <v>2011</v>
      </c>
      <c r="B33" s="22" t="s">
        <v>46</v>
      </c>
      <c r="C33" s="2">
        <v>40703</v>
      </c>
      <c r="D33">
        <v>83</v>
      </c>
      <c r="E33" t="s">
        <v>105</v>
      </c>
      <c r="F33">
        <v>326</v>
      </c>
      <c r="G33">
        <v>6579</v>
      </c>
      <c r="H33">
        <v>6574</v>
      </c>
    </row>
    <row r="34" spans="1:10">
      <c r="A34">
        <v>2011</v>
      </c>
      <c r="B34" s="22" t="s">
        <v>46</v>
      </c>
      <c r="C34" s="2">
        <v>40703</v>
      </c>
      <c r="D34">
        <v>84</v>
      </c>
      <c r="E34" t="s">
        <v>99</v>
      </c>
      <c r="F34" t="s">
        <v>116</v>
      </c>
      <c r="G34" t="s">
        <v>117</v>
      </c>
      <c r="H34" t="s">
        <v>1</v>
      </c>
      <c r="J34" s="18"/>
    </row>
    <row r="35" spans="1:10">
      <c r="A35">
        <v>2011</v>
      </c>
      <c r="B35" s="22" t="s">
        <v>46</v>
      </c>
      <c r="C35" s="2">
        <v>40703</v>
      </c>
      <c r="D35">
        <v>84</v>
      </c>
      <c r="E35" t="s">
        <v>101</v>
      </c>
      <c r="F35">
        <v>315</v>
      </c>
      <c r="G35" t="s">
        <v>1</v>
      </c>
      <c r="H35" t="s">
        <v>1</v>
      </c>
    </row>
    <row r="36" spans="1:10">
      <c r="A36">
        <v>2011</v>
      </c>
      <c r="B36" s="22" t="s">
        <v>46</v>
      </c>
      <c r="C36" s="2">
        <v>40703</v>
      </c>
      <c r="D36">
        <v>84</v>
      </c>
      <c r="E36" t="s">
        <v>102</v>
      </c>
      <c r="F36">
        <v>316</v>
      </c>
      <c r="G36">
        <v>6557</v>
      </c>
      <c r="H36" t="s">
        <v>118</v>
      </c>
    </row>
    <row r="37" spans="1:10">
      <c r="A37">
        <v>2011</v>
      </c>
      <c r="B37" s="22" t="s">
        <v>46</v>
      </c>
      <c r="C37" s="2">
        <v>40703</v>
      </c>
      <c r="D37">
        <v>84</v>
      </c>
      <c r="E37" t="s">
        <v>103</v>
      </c>
      <c r="F37">
        <v>317</v>
      </c>
      <c r="G37">
        <v>6558</v>
      </c>
      <c r="H37" t="s">
        <v>119</v>
      </c>
    </row>
    <row r="38" spans="1:10">
      <c r="A38">
        <v>2011</v>
      </c>
      <c r="B38" s="22" t="s">
        <v>46</v>
      </c>
      <c r="C38" s="2">
        <v>40703</v>
      </c>
      <c r="D38">
        <v>84</v>
      </c>
      <c r="E38" t="s">
        <v>104</v>
      </c>
      <c r="F38" t="s">
        <v>120</v>
      </c>
      <c r="G38" t="s">
        <v>121</v>
      </c>
      <c r="H38">
        <v>6554</v>
      </c>
    </row>
    <row r="39" spans="1:10">
      <c r="A39">
        <v>2011</v>
      </c>
      <c r="B39" s="22" t="s">
        <v>46</v>
      </c>
      <c r="C39" s="2">
        <v>40703</v>
      </c>
      <c r="D39">
        <v>84</v>
      </c>
      <c r="E39" t="s">
        <v>105</v>
      </c>
      <c r="F39">
        <v>320</v>
      </c>
      <c r="G39">
        <v>6561</v>
      </c>
      <c r="H39">
        <v>6555</v>
      </c>
    </row>
    <row r="40" spans="1:10">
      <c r="A40">
        <v>2011</v>
      </c>
      <c r="B40" s="22" t="s">
        <v>46</v>
      </c>
      <c r="C40" s="2">
        <v>40703</v>
      </c>
      <c r="D40">
        <v>85</v>
      </c>
      <c r="E40" t="s">
        <v>99</v>
      </c>
      <c r="F40" t="s">
        <v>122</v>
      </c>
      <c r="G40" t="s">
        <v>123</v>
      </c>
      <c r="H40" t="s">
        <v>1</v>
      </c>
      <c r="J40" s="18"/>
    </row>
    <row r="41" spans="1:10">
      <c r="A41">
        <v>2011</v>
      </c>
      <c r="B41" s="22" t="s">
        <v>46</v>
      </c>
      <c r="C41" s="2">
        <v>40703</v>
      </c>
      <c r="D41">
        <v>85</v>
      </c>
      <c r="E41" t="s">
        <v>101</v>
      </c>
      <c r="F41" t="s">
        <v>124</v>
      </c>
      <c r="G41" t="s">
        <v>1</v>
      </c>
      <c r="H41" t="s">
        <v>1</v>
      </c>
    </row>
    <row r="42" spans="1:10">
      <c r="A42">
        <v>2011</v>
      </c>
      <c r="B42" s="22" t="s">
        <v>46</v>
      </c>
      <c r="C42" s="2">
        <v>40703</v>
      </c>
      <c r="D42">
        <v>85</v>
      </c>
      <c r="E42" t="s">
        <v>102</v>
      </c>
      <c r="F42">
        <v>290</v>
      </c>
      <c r="G42">
        <v>6531</v>
      </c>
      <c r="H42" t="s">
        <v>125</v>
      </c>
    </row>
    <row r="43" spans="1:10">
      <c r="A43">
        <v>2011</v>
      </c>
      <c r="B43" s="22" t="s">
        <v>46</v>
      </c>
      <c r="C43" s="2">
        <v>40703</v>
      </c>
      <c r="D43">
        <v>85</v>
      </c>
      <c r="E43" t="s">
        <v>103</v>
      </c>
      <c r="F43" t="s">
        <v>126</v>
      </c>
      <c r="G43">
        <v>6532</v>
      </c>
      <c r="H43" t="s">
        <v>127</v>
      </c>
      <c r="I43" t="s">
        <v>128</v>
      </c>
    </row>
    <row r="44" spans="1:10">
      <c r="A44">
        <v>2011</v>
      </c>
      <c r="B44" s="22" t="s">
        <v>46</v>
      </c>
      <c r="C44" s="2">
        <v>40703</v>
      </c>
      <c r="D44">
        <v>85</v>
      </c>
      <c r="E44" t="s">
        <v>104</v>
      </c>
      <c r="F44">
        <v>294</v>
      </c>
      <c r="G44">
        <v>6533</v>
      </c>
      <c r="H44">
        <v>6526</v>
      </c>
    </row>
    <row r="45" spans="1:10">
      <c r="A45">
        <v>2011</v>
      </c>
      <c r="B45" s="22" t="s">
        <v>46</v>
      </c>
      <c r="C45" s="2">
        <v>40703</v>
      </c>
      <c r="D45">
        <v>85</v>
      </c>
      <c r="E45" t="s">
        <v>105</v>
      </c>
      <c r="F45" t="s">
        <v>129</v>
      </c>
      <c r="G45">
        <v>6534</v>
      </c>
      <c r="H45" t="s">
        <v>130</v>
      </c>
      <c r="I45" t="s">
        <v>131</v>
      </c>
    </row>
    <row r="46" spans="1:10" s="41" customFormat="1">
      <c r="A46" s="41">
        <v>2011</v>
      </c>
      <c r="B46" s="42" t="s">
        <v>46</v>
      </c>
      <c r="C46" s="43">
        <v>40702</v>
      </c>
      <c r="D46" s="41">
        <v>86</v>
      </c>
      <c r="E46" s="41" t="s">
        <v>99</v>
      </c>
      <c r="F46" s="41" t="s">
        <v>1</v>
      </c>
      <c r="G46" s="41" t="s">
        <v>132</v>
      </c>
      <c r="H46" s="41" t="s">
        <v>1</v>
      </c>
      <c r="J46" s="44"/>
    </row>
    <row r="47" spans="1:10">
      <c r="A47">
        <v>2011</v>
      </c>
      <c r="B47" s="22" t="s">
        <v>46</v>
      </c>
      <c r="C47" s="2">
        <v>40702</v>
      </c>
      <c r="D47">
        <v>86</v>
      </c>
      <c r="E47" t="s">
        <v>101</v>
      </c>
      <c r="F47">
        <v>274</v>
      </c>
      <c r="G47" t="s">
        <v>1</v>
      </c>
      <c r="H47" t="s">
        <v>1</v>
      </c>
    </row>
    <row r="48" spans="1:10">
      <c r="A48">
        <v>2011</v>
      </c>
      <c r="B48" s="22" t="s">
        <v>46</v>
      </c>
      <c r="C48" s="2">
        <v>40702</v>
      </c>
      <c r="D48">
        <v>86</v>
      </c>
      <c r="E48" t="s">
        <v>102</v>
      </c>
      <c r="F48">
        <v>275</v>
      </c>
      <c r="G48">
        <v>6507</v>
      </c>
      <c r="H48" t="s">
        <v>133</v>
      </c>
    </row>
    <row r="49" spans="1:10">
      <c r="A49">
        <v>2011</v>
      </c>
      <c r="B49" s="22" t="s">
        <v>46</v>
      </c>
      <c r="C49" s="2">
        <v>40702</v>
      </c>
      <c r="D49">
        <v>86</v>
      </c>
      <c r="E49" t="s">
        <v>103</v>
      </c>
      <c r="F49" t="s">
        <v>134</v>
      </c>
      <c r="G49">
        <v>6508</v>
      </c>
      <c r="H49">
        <v>6499</v>
      </c>
    </row>
    <row r="50" spans="1:10">
      <c r="A50">
        <v>2011</v>
      </c>
      <c r="B50" s="22" t="s">
        <v>46</v>
      </c>
      <c r="C50" s="2">
        <v>40702</v>
      </c>
      <c r="D50">
        <v>86</v>
      </c>
      <c r="E50" t="s">
        <v>104</v>
      </c>
      <c r="F50">
        <v>284</v>
      </c>
      <c r="G50">
        <v>6509</v>
      </c>
      <c r="H50" t="s">
        <v>135</v>
      </c>
    </row>
    <row r="51" spans="1:10">
      <c r="A51">
        <v>2011</v>
      </c>
      <c r="B51" s="22" t="s">
        <v>46</v>
      </c>
      <c r="C51" s="2">
        <v>40702</v>
      </c>
      <c r="D51">
        <v>86</v>
      </c>
      <c r="E51" t="s">
        <v>105</v>
      </c>
      <c r="F51">
        <v>285</v>
      </c>
      <c r="G51">
        <v>6510</v>
      </c>
      <c r="H51">
        <v>6506</v>
      </c>
    </row>
    <row r="52" spans="1:10">
      <c r="A52">
        <v>2011</v>
      </c>
      <c r="B52" s="22" t="s">
        <v>46</v>
      </c>
      <c r="C52" s="2">
        <v>40703</v>
      </c>
      <c r="D52">
        <v>87</v>
      </c>
      <c r="E52" t="s">
        <v>99</v>
      </c>
      <c r="F52" t="s">
        <v>136</v>
      </c>
      <c r="G52">
        <v>6544</v>
      </c>
      <c r="H52" t="s">
        <v>1</v>
      </c>
      <c r="J52" s="18"/>
    </row>
    <row r="53" spans="1:10">
      <c r="A53">
        <v>2011</v>
      </c>
      <c r="B53" s="22" t="s">
        <v>46</v>
      </c>
      <c r="C53" s="2">
        <v>40703</v>
      </c>
      <c r="D53">
        <v>87</v>
      </c>
      <c r="E53" t="s">
        <v>101</v>
      </c>
      <c r="F53">
        <v>299</v>
      </c>
      <c r="G53" t="s">
        <v>1</v>
      </c>
      <c r="H53" t="s">
        <v>1</v>
      </c>
    </row>
    <row r="54" spans="1:10">
      <c r="A54">
        <v>2011</v>
      </c>
      <c r="B54" s="22" t="s">
        <v>46</v>
      </c>
      <c r="C54" s="2">
        <v>40703</v>
      </c>
      <c r="D54">
        <v>87</v>
      </c>
      <c r="E54" t="s">
        <v>102</v>
      </c>
      <c r="F54">
        <v>300</v>
      </c>
      <c r="G54">
        <v>6545</v>
      </c>
      <c r="H54">
        <v>6539</v>
      </c>
    </row>
    <row r="55" spans="1:10">
      <c r="A55">
        <v>2011</v>
      </c>
      <c r="B55" s="22" t="s">
        <v>46</v>
      </c>
      <c r="C55" s="2">
        <v>40703</v>
      </c>
      <c r="D55">
        <v>87</v>
      </c>
      <c r="E55" t="s">
        <v>103</v>
      </c>
      <c r="F55">
        <v>301</v>
      </c>
      <c r="G55">
        <v>6546</v>
      </c>
      <c r="H55" t="s">
        <v>137</v>
      </c>
    </row>
    <row r="56" spans="1:10">
      <c r="A56">
        <v>2011</v>
      </c>
      <c r="B56" s="22" t="s">
        <v>46</v>
      </c>
      <c r="C56" s="2">
        <v>40703</v>
      </c>
      <c r="D56">
        <v>87</v>
      </c>
      <c r="E56" t="s">
        <v>104</v>
      </c>
      <c r="F56">
        <v>302</v>
      </c>
      <c r="G56">
        <v>6547</v>
      </c>
      <c r="H56">
        <v>6542</v>
      </c>
    </row>
    <row r="57" spans="1:10">
      <c r="A57">
        <v>2011</v>
      </c>
      <c r="B57" s="22" t="s">
        <v>46</v>
      </c>
      <c r="C57" s="2">
        <v>40703</v>
      </c>
      <c r="D57">
        <v>87</v>
      </c>
      <c r="E57" t="s">
        <v>105</v>
      </c>
      <c r="F57">
        <v>303</v>
      </c>
      <c r="G57">
        <v>6548</v>
      </c>
      <c r="H57">
        <v>6543</v>
      </c>
    </row>
    <row r="58" spans="1:10">
      <c r="A58">
        <v>2011</v>
      </c>
      <c r="B58" s="22" t="s">
        <v>46</v>
      </c>
      <c r="C58" s="2">
        <v>40704</v>
      </c>
      <c r="D58">
        <v>88</v>
      </c>
      <c r="E58" t="s">
        <v>99</v>
      </c>
      <c r="F58">
        <v>346</v>
      </c>
      <c r="G58" s="22" t="s">
        <v>138</v>
      </c>
      <c r="H58" s="22" t="s">
        <v>1</v>
      </c>
      <c r="J58" s="18"/>
    </row>
    <row r="59" spans="1:10">
      <c r="A59">
        <v>2011</v>
      </c>
      <c r="B59" s="22" t="s">
        <v>46</v>
      </c>
      <c r="C59" s="2">
        <v>40704</v>
      </c>
      <c r="D59">
        <v>88</v>
      </c>
      <c r="E59" t="s">
        <v>101</v>
      </c>
      <c r="F59">
        <v>347</v>
      </c>
      <c r="G59" s="22" t="s">
        <v>1</v>
      </c>
      <c r="H59" s="22" t="s">
        <v>1</v>
      </c>
    </row>
    <row r="60" spans="1:10">
      <c r="A60">
        <v>2011</v>
      </c>
      <c r="B60" s="22" t="s">
        <v>46</v>
      </c>
      <c r="C60" s="2">
        <v>40704</v>
      </c>
      <c r="D60">
        <v>88</v>
      </c>
      <c r="E60" t="s">
        <v>102</v>
      </c>
      <c r="F60">
        <v>348</v>
      </c>
      <c r="G60" s="22">
        <v>6614</v>
      </c>
      <c r="H60">
        <v>6602</v>
      </c>
      <c r="I60" s="22" t="s">
        <v>139</v>
      </c>
    </row>
    <row r="61" spans="1:10">
      <c r="A61">
        <v>2011</v>
      </c>
      <c r="B61" s="22" t="s">
        <v>46</v>
      </c>
      <c r="C61" s="2">
        <v>40704</v>
      </c>
      <c r="D61">
        <v>88</v>
      </c>
      <c r="E61" t="s">
        <v>103</v>
      </c>
      <c r="F61">
        <v>349</v>
      </c>
      <c r="G61" s="22" t="s">
        <v>140</v>
      </c>
      <c r="H61">
        <v>6610</v>
      </c>
      <c r="I61" s="22" t="s">
        <v>141</v>
      </c>
    </row>
    <row r="62" spans="1:10">
      <c r="A62">
        <v>2011</v>
      </c>
      <c r="B62" s="22" t="s">
        <v>46</v>
      </c>
      <c r="C62" s="2">
        <v>40704</v>
      </c>
      <c r="D62">
        <v>88</v>
      </c>
      <c r="E62" t="s">
        <v>104</v>
      </c>
      <c r="F62">
        <v>350</v>
      </c>
      <c r="G62">
        <v>6617</v>
      </c>
      <c r="H62">
        <v>6611</v>
      </c>
    </row>
    <row r="63" spans="1:10">
      <c r="A63">
        <v>2011</v>
      </c>
      <c r="B63" s="22" t="s">
        <v>46</v>
      </c>
      <c r="C63" s="2">
        <v>40704</v>
      </c>
      <c r="D63">
        <v>88</v>
      </c>
      <c r="E63" t="s">
        <v>105</v>
      </c>
      <c r="F63">
        <v>351</v>
      </c>
      <c r="G63">
        <v>6618</v>
      </c>
      <c r="H63">
        <v>6612</v>
      </c>
    </row>
    <row r="64" spans="1:10">
      <c r="A64">
        <v>2011</v>
      </c>
      <c r="B64" s="22" t="s">
        <v>46</v>
      </c>
      <c r="C64" s="2">
        <v>40704</v>
      </c>
      <c r="D64">
        <v>89</v>
      </c>
      <c r="E64" t="s">
        <v>99</v>
      </c>
      <c r="F64" s="22" t="s">
        <v>142</v>
      </c>
      <c r="G64">
        <v>621</v>
      </c>
      <c r="H64" s="22" t="s">
        <v>1</v>
      </c>
      <c r="J64" s="18"/>
    </row>
    <row r="65" spans="1:10">
      <c r="A65">
        <v>2011</v>
      </c>
      <c r="B65" s="22" t="s">
        <v>46</v>
      </c>
      <c r="C65" s="2">
        <v>40704</v>
      </c>
      <c r="D65">
        <v>89</v>
      </c>
      <c r="E65" t="s">
        <v>101</v>
      </c>
      <c r="F65" s="22" t="s">
        <v>143</v>
      </c>
      <c r="G65" s="22" t="s">
        <v>1</v>
      </c>
      <c r="H65" s="22" t="s">
        <v>1</v>
      </c>
    </row>
    <row r="66" spans="1:10">
      <c r="A66">
        <v>2011</v>
      </c>
      <c r="B66" s="22" t="s">
        <v>46</v>
      </c>
      <c r="C66" s="2">
        <v>40704</v>
      </c>
      <c r="D66">
        <v>89</v>
      </c>
      <c r="E66" t="s">
        <v>102</v>
      </c>
      <c r="F66" s="22">
        <v>370</v>
      </c>
      <c r="G66" s="22">
        <v>622</v>
      </c>
      <c r="H66" s="22">
        <v>627</v>
      </c>
    </row>
    <row r="67" spans="1:10" s="41" customFormat="1">
      <c r="A67" s="41">
        <v>2011</v>
      </c>
      <c r="B67" s="42" t="s">
        <v>46</v>
      </c>
      <c r="C67" s="43">
        <v>40704</v>
      </c>
      <c r="D67" s="41">
        <v>89</v>
      </c>
      <c r="E67" s="41" t="s">
        <v>103</v>
      </c>
      <c r="F67" s="41">
        <v>371</v>
      </c>
      <c r="G67" s="42">
        <v>623</v>
      </c>
      <c r="H67" s="42">
        <v>628</v>
      </c>
    </row>
    <row r="68" spans="1:10">
      <c r="A68">
        <v>2011</v>
      </c>
      <c r="B68" s="22" t="s">
        <v>46</v>
      </c>
      <c r="C68" s="2">
        <v>40704</v>
      </c>
      <c r="D68">
        <v>89</v>
      </c>
      <c r="E68" t="s">
        <v>104</v>
      </c>
      <c r="F68" s="22">
        <v>372</v>
      </c>
      <c r="G68" s="22" t="s">
        <v>144</v>
      </c>
      <c r="H68" s="22">
        <v>629</v>
      </c>
    </row>
    <row r="69" spans="1:10">
      <c r="A69">
        <v>2011</v>
      </c>
      <c r="B69" s="22" t="s">
        <v>46</v>
      </c>
      <c r="C69" s="2">
        <v>40704</v>
      </c>
      <c r="D69">
        <v>89</v>
      </c>
      <c r="E69" t="s">
        <v>105</v>
      </c>
      <c r="F69" s="22" t="s">
        <v>145</v>
      </c>
      <c r="G69" s="22">
        <v>626</v>
      </c>
      <c r="H69" s="22">
        <v>630</v>
      </c>
    </row>
    <row r="70" spans="1:10">
      <c r="A70">
        <v>2011</v>
      </c>
      <c r="B70" s="22" t="s">
        <v>46</v>
      </c>
      <c r="C70" s="2">
        <v>40704</v>
      </c>
      <c r="D70">
        <v>90</v>
      </c>
      <c r="E70" t="s">
        <v>99</v>
      </c>
      <c r="F70" s="22" t="s">
        <v>146</v>
      </c>
      <c r="G70" s="22" t="s">
        <v>147</v>
      </c>
      <c r="H70" s="22" t="s">
        <v>1</v>
      </c>
      <c r="I70" s="22" t="s">
        <v>148</v>
      </c>
      <c r="J70" s="18"/>
    </row>
    <row r="71" spans="1:10">
      <c r="A71">
        <v>2011</v>
      </c>
      <c r="B71" s="22" t="s">
        <v>46</v>
      </c>
      <c r="C71" s="2">
        <v>40704</v>
      </c>
      <c r="D71">
        <v>90</v>
      </c>
      <c r="E71" t="s">
        <v>101</v>
      </c>
      <c r="F71">
        <v>379</v>
      </c>
      <c r="G71" s="22" t="s">
        <v>1</v>
      </c>
      <c r="H71" s="22" t="s">
        <v>1</v>
      </c>
    </row>
    <row r="72" spans="1:10">
      <c r="A72">
        <v>2011</v>
      </c>
      <c r="B72" s="22" t="s">
        <v>46</v>
      </c>
      <c r="C72" s="2">
        <v>40704</v>
      </c>
      <c r="D72">
        <v>90</v>
      </c>
      <c r="E72" t="s">
        <v>102</v>
      </c>
      <c r="F72" s="22" t="s">
        <v>149</v>
      </c>
      <c r="G72">
        <v>637</v>
      </c>
      <c r="H72" s="22">
        <v>632</v>
      </c>
    </row>
    <row r="73" spans="1:10">
      <c r="A73">
        <v>2011</v>
      </c>
      <c r="B73" s="22" t="s">
        <v>46</v>
      </c>
      <c r="C73" s="2">
        <v>40704</v>
      </c>
      <c r="D73">
        <v>90</v>
      </c>
      <c r="E73" t="s">
        <v>103</v>
      </c>
      <c r="F73">
        <v>383</v>
      </c>
      <c r="G73">
        <v>638</v>
      </c>
      <c r="H73" s="22">
        <v>633</v>
      </c>
    </row>
    <row r="74" spans="1:10">
      <c r="A74">
        <v>2011</v>
      </c>
      <c r="B74" s="22" t="s">
        <v>46</v>
      </c>
      <c r="C74" s="2">
        <v>40704</v>
      </c>
      <c r="D74">
        <v>90</v>
      </c>
      <c r="E74" t="s">
        <v>104</v>
      </c>
      <c r="F74">
        <v>384</v>
      </c>
      <c r="G74" s="22" t="s">
        <v>150</v>
      </c>
      <c r="H74" s="22">
        <v>634</v>
      </c>
    </row>
    <row r="75" spans="1:10">
      <c r="A75">
        <v>2011</v>
      </c>
      <c r="B75" s="22" t="s">
        <v>46</v>
      </c>
      <c r="C75" s="2">
        <v>40704</v>
      </c>
      <c r="D75">
        <v>90</v>
      </c>
      <c r="E75" t="s">
        <v>105</v>
      </c>
      <c r="F75" s="22" t="s">
        <v>151</v>
      </c>
      <c r="G75" s="22" t="s">
        <v>152</v>
      </c>
      <c r="H75" s="22">
        <v>635</v>
      </c>
    </row>
    <row r="76" spans="1:10">
      <c r="A76">
        <v>2011</v>
      </c>
      <c r="B76" s="22" t="s">
        <v>46</v>
      </c>
      <c r="C76" s="2">
        <v>40708</v>
      </c>
      <c r="D76">
        <v>115</v>
      </c>
      <c r="E76" t="s">
        <v>99</v>
      </c>
      <c r="F76" s="22" t="s">
        <v>153</v>
      </c>
      <c r="G76">
        <v>6665</v>
      </c>
      <c r="H76" s="22" t="s">
        <v>1</v>
      </c>
      <c r="J76" s="18"/>
    </row>
    <row r="77" spans="1:10">
      <c r="A77">
        <v>2011</v>
      </c>
      <c r="B77" s="22" t="s">
        <v>46</v>
      </c>
      <c r="C77" s="2">
        <v>40708</v>
      </c>
      <c r="D77">
        <v>115</v>
      </c>
      <c r="E77" t="s">
        <v>101</v>
      </c>
      <c r="F77">
        <v>416</v>
      </c>
      <c r="G77" s="22" t="s">
        <v>1</v>
      </c>
      <c r="H77" s="22" t="s">
        <v>1</v>
      </c>
    </row>
    <row r="78" spans="1:10">
      <c r="A78">
        <v>2011</v>
      </c>
      <c r="B78" s="22" t="s">
        <v>46</v>
      </c>
      <c r="C78" s="2">
        <v>40708</v>
      </c>
      <c r="D78">
        <v>115</v>
      </c>
      <c r="E78" t="s">
        <v>102</v>
      </c>
      <c r="F78">
        <v>417</v>
      </c>
      <c r="G78">
        <v>6666</v>
      </c>
      <c r="H78" s="22">
        <v>6671</v>
      </c>
      <c r="I78" s="22" t="s">
        <v>154</v>
      </c>
    </row>
    <row r="79" spans="1:10">
      <c r="A79">
        <v>2011</v>
      </c>
      <c r="B79" s="22" t="s">
        <v>46</v>
      </c>
      <c r="C79" s="2">
        <v>40708</v>
      </c>
      <c r="D79">
        <v>115</v>
      </c>
      <c r="E79" t="s">
        <v>103</v>
      </c>
      <c r="F79">
        <v>418</v>
      </c>
      <c r="G79">
        <v>6667</v>
      </c>
      <c r="H79" s="22">
        <v>6673</v>
      </c>
    </row>
    <row r="80" spans="1:10">
      <c r="A80">
        <v>2011</v>
      </c>
      <c r="B80" s="22" t="s">
        <v>46</v>
      </c>
      <c r="C80" s="2">
        <v>40708</v>
      </c>
      <c r="D80">
        <v>115</v>
      </c>
      <c r="E80" t="s">
        <v>104</v>
      </c>
      <c r="F80" s="22" t="s">
        <v>155</v>
      </c>
      <c r="G80" s="22" t="s">
        <v>156</v>
      </c>
      <c r="H80" s="22">
        <v>6674</v>
      </c>
    </row>
    <row r="81" spans="1:10">
      <c r="A81">
        <v>2011</v>
      </c>
      <c r="B81" s="22" t="s">
        <v>46</v>
      </c>
      <c r="C81" s="2">
        <v>40708</v>
      </c>
      <c r="D81">
        <v>115</v>
      </c>
      <c r="E81" t="s">
        <v>105</v>
      </c>
      <c r="F81">
        <v>421</v>
      </c>
      <c r="G81" s="22">
        <v>6670</v>
      </c>
      <c r="H81" s="22">
        <v>6675</v>
      </c>
    </row>
    <row r="82" spans="1:10">
      <c r="A82">
        <v>2011</v>
      </c>
      <c r="B82" s="22" t="s">
        <v>46</v>
      </c>
      <c r="C82" s="2">
        <v>40708</v>
      </c>
      <c r="D82">
        <v>116</v>
      </c>
      <c r="E82" t="s">
        <v>99</v>
      </c>
      <c r="F82" s="22" t="s">
        <v>157</v>
      </c>
      <c r="G82" s="22">
        <v>6676</v>
      </c>
      <c r="H82" s="22" t="s">
        <v>1</v>
      </c>
      <c r="J82" s="18"/>
    </row>
    <row r="83" spans="1:10">
      <c r="A83">
        <v>2011</v>
      </c>
      <c r="B83" s="22" t="s">
        <v>46</v>
      </c>
      <c r="C83" s="2">
        <v>40708</v>
      </c>
      <c r="D83">
        <v>116</v>
      </c>
      <c r="E83" t="s">
        <v>101</v>
      </c>
      <c r="F83">
        <v>431</v>
      </c>
      <c r="G83" s="22" t="s">
        <v>1</v>
      </c>
      <c r="H83" s="22" t="s">
        <v>1</v>
      </c>
    </row>
    <row r="84" spans="1:10">
      <c r="A84">
        <v>2011</v>
      </c>
      <c r="B84" s="22" t="s">
        <v>46</v>
      </c>
      <c r="C84" s="2">
        <v>40708</v>
      </c>
      <c r="D84">
        <v>116</v>
      </c>
      <c r="E84" t="s">
        <v>102</v>
      </c>
      <c r="F84" s="22" t="s">
        <v>158</v>
      </c>
      <c r="G84" s="22">
        <v>6677</v>
      </c>
      <c r="H84" s="22">
        <v>6681</v>
      </c>
    </row>
    <row r="85" spans="1:10">
      <c r="A85">
        <v>2011</v>
      </c>
      <c r="B85" s="22" t="s">
        <v>46</v>
      </c>
      <c r="C85" s="2">
        <v>40708</v>
      </c>
      <c r="D85">
        <v>116</v>
      </c>
      <c r="E85" t="s">
        <v>103</v>
      </c>
      <c r="F85">
        <v>434</v>
      </c>
      <c r="G85" s="22">
        <v>6678</v>
      </c>
      <c r="H85" s="22">
        <v>6682</v>
      </c>
    </row>
    <row r="86" spans="1:10">
      <c r="A86">
        <v>2011</v>
      </c>
      <c r="B86" s="22" t="s">
        <v>46</v>
      </c>
      <c r="C86" s="2">
        <v>40708</v>
      </c>
      <c r="D86">
        <v>116</v>
      </c>
      <c r="E86" t="s">
        <v>104</v>
      </c>
      <c r="F86" s="22" t="s">
        <v>159</v>
      </c>
      <c r="G86" s="22">
        <v>6679</v>
      </c>
      <c r="H86" s="22">
        <v>6683</v>
      </c>
    </row>
    <row r="87" spans="1:10">
      <c r="A87">
        <v>2011</v>
      </c>
      <c r="B87" s="22" t="s">
        <v>46</v>
      </c>
      <c r="C87" s="2">
        <v>40708</v>
      </c>
      <c r="D87">
        <v>116</v>
      </c>
      <c r="E87" t="s">
        <v>105</v>
      </c>
      <c r="F87">
        <v>437</v>
      </c>
      <c r="G87" s="22">
        <v>6680</v>
      </c>
      <c r="H87" s="22">
        <v>6684</v>
      </c>
      <c r="I87" s="22" t="s">
        <v>160</v>
      </c>
    </row>
    <row r="88" spans="1:10">
      <c r="A88">
        <v>2011</v>
      </c>
      <c r="B88" s="22" t="s">
        <v>46</v>
      </c>
      <c r="C88" s="2">
        <v>40722</v>
      </c>
      <c r="D88">
        <v>117</v>
      </c>
      <c r="E88" t="s">
        <v>99</v>
      </c>
      <c r="F88">
        <v>715</v>
      </c>
      <c r="G88" s="22">
        <v>7055</v>
      </c>
      <c r="H88" s="22" t="s">
        <v>1</v>
      </c>
      <c r="J88" s="18"/>
    </row>
    <row r="89" spans="1:10">
      <c r="A89">
        <v>2011</v>
      </c>
      <c r="B89" s="22" t="s">
        <v>46</v>
      </c>
      <c r="C89" s="2">
        <v>40722</v>
      </c>
      <c r="D89">
        <v>117</v>
      </c>
      <c r="E89" t="s">
        <v>101</v>
      </c>
      <c r="F89">
        <v>716</v>
      </c>
      <c r="G89" s="22" t="s">
        <v>1</v>
      </c>
      <c r="H89" s="22" t="s">
        <v>1</v>
      </c>
    </row>
    <row r="90" spans="1:10">
      <c r="A90">
        <v>2011</v>
      </c>
      <c r="B90" s="22" t="s">
        <v>46</v>
      </c>
      <c r="C90" s="2">
        <v>40722</v>
      </c>
      <c r="D90">
        <v>117</v>
      </c>
      <c r="E90" t="s">
        <v>102</v>
      </c>
      <c r="F90">
        <v>717</v>
      </c>
      <c r="G90" s="22">
        <v>7060</v>
      </c>
      <c r="H90" s="22">
        <v>7056</v>
      </c>
    </row>
    <row r="91" spans="1:10">
      <c r="A91">
        <v>2011</v>
      </c>
      <c r="B91" s="22" t="s">
        <v>46</v>
      </c>
      <c r="C91" s="2">
        <v>40722</v>
      </c>
      <c r="D91">
        <v>117</v>
      </c>
      <c r="E91" t="s">
        <v>103</v>
      </c>
      <c r="F91">
        <v>718</v>
      </c>
      <c r="G91" s="22" t="s">
        <v>161</v>
      </c>
      <c r="H91" s="22">
        <v>7057</v>
      </c>
    </row>
    <row r="92" spans="1:10">
      <c r="A92">
        <v>2011</v>
      </c>
      <c r="B92" s="22" t="s">
        <v>46</v>
      </c>
      <c r="C92" s="2">
        <v>40722</v>
      </c>
      <c r="D92">
        <v>117</v>
      </c>
      <c r="E92" t="s">
        <v>104</v>
      </c>
      <c r="F92">
        <v>719</v>
      </c>
      <c r="G92" s="22">
        <v>7063</v>
      </c>
      <c r="H92" s="22">
        <v>7058</v>
      </c>
    </row>
    <row r="93" spans="1:10">
      <c r="A93">
        <v>2011</v>
      </c>
      <c r="B93" s="22" t="s">
        <v>46</v>
      </c>
      <c r="C93" s="2">
        <v>40722</v>
      </c>
      <c r="D93">
        <v>117</v>
      </c>
      <c r="E93" t="s">
        <v>105</v>
      </c>
      <c r="F93">
        <v>720</v>
      </c>
      <c r="G93" s="22">
        <v>7064</v>
      </c>
      <c r="H93" s="22">
        <v>7059</v>
      </c>
    </row>
    <row r="94" spans="1:10">
      <c r="A94">
        <v>2011</v>
      </c>
      <c r="B94" s="22" t="s">
        <v>46</v>
      </c>
      <c r="C94" s="2">
        <v>40703</v>
      </c>
      <c r="D94">
        <v>118</v>
      </c>
      <c r="E94" t="s">
        <v>99</v>
      </c>
      <c r="F94">
        <v>340</v>
      </c>
      <c r="G94" s="22" t="s">
        <v>162</v>
      </c>
      <c r="H94" s="22" t="s">
        <v>1</v>
      </c>
      <c r="J94" s="18"/>
    </row>
    <row r="95" spans="1:10">
      <c r="A95">
        <v>2011</v>
      </c>
      <c r="B95" s="22" t="s">
        <v>46</v>
      </c>
      <c r="C95" s="2">
        <v>40703</v>
      </c>
      <c r="D95">
        <v>118</v>
      </c>
      <c r="E95" t="s">
        <v>101</v>
      </c>
      <c r="F95">
        <v>341</v>
      </c>
      <c r="G95" s="22" t="s">
        <v>1</v>
      </c>
      <c r="H95" s="22" t="s">
        <v>1</v>
      </c>
    </row>
    <row r="96" spans="1:10">
      <c r="A96">
        <v>2011</v>
      </c>
      <c r="B96" s="22" t="s">
        <v>46</v>
      </c>
      <c r="C96" s="2">
        <v>40703</v>
      </c>
      <c r="D96">
        <v>118</v>
      </c>
      <c r="E96" t="s">
        <v>102</v>
      </c>
      <c r="F96">
        <v>342</v>
      </c>
      <c r="G96">
        <v>597</v>
      </c>
      <c r="H96" s="22">
        <v>592</v>
      </c>
    </row>
    <row r="97" spans="1:10">
      <c r="A97">
        <v>2011</v>
      </c>
      <c r="B97" s="22" t="s">
        <v>46</v>
      </c>
      <c r="C97" s="2">
        <v>40703</v>
      </c>
      <c r="D97">
        <v>118</v>
      </c>
      <c r="E97" t="s">
        <v>103</v>
      </c>
      <c r="F97">
        <v>343</v>
      </c>
      <c r="G97">
        <v>598</v>
      </c>
      <c r="H97" s="22">
        <v>593</v>
      </c>
    </row>
    <row r="98" spans="1:10">
      <c r="A98">
        <v>2011</v>
      </c>
      <c r="B98" s="22" t="s">
        <v>46</v>
      </c>
      <c r="C98" s="2">
        <v>40703</v>
      </c>
      <c r="D98">
        <v>118</v>
      </c>
      <c r="E98" t="s">
        <v>104</v>
      </c>
      <c r="F98">
        <v>344</v>
      </c>
      <c r="G98">
        <v>599</v>
      </c>
      <c r="H98" s="22">
        <v>594</v>
      </c>
    </row>
    <row r="99" spans="1:10">
      <c r="A99">
        <v>2011</v>
      </c>
      <c r="B99" s="22" t="s">
        <v>46</v>
      </c>
      <c r="C99" s="2">
        <v>40703</v>
      </c>
      <c r="D99">
        <v>118</v>
      </c>
      <c r="E99" t="s">
        <v>105</v>
      </c>
      <c r="F99">
        <v>345</v>
      </c>
      <c r="G99">
        <v>600</v>
      </c>
      <c r="H99" s="22">
        <v>595</v>
      </c>
    </row>
    <row r="100" spans="1:10">
      <c r="A100">
        <v>2011</v>
      </c>
      <c r="B100" s="22" t="s">
        <v>46</v>
      </c>
      <c r="C100" s="2">
        <v>40708</v>
      </c>
      <c r="D100">
        <v>119</v>
      </c>
      <c r="E100" t="s">
        <v>99</v>
      </c>
      <c r="F100" s="22" t="s">
        <v>163</v>
      </c>
      <c r="G100" s="22" t="s">
        <v>164</v>
      </c>
      <c r="H100" s="22" t="s">
        <v>1</v>
      </c>
      <c r="J100" s="18"/>
    </row>
    <row r="101" spans="1:10">
      <c r="A101">
        <v>2011</v>
      </c>
      <c r="B101" s="22" t="s">
        <v>46</v>
      </c>
      <c r="C101" s="2">
        <v>40708</v>
      </c>
      <c r="D101">
        <v>119</v>
      </c>
      <c r="E101" t="s">
        <v>101</v>
      </c>
      <c r="F101">
        <v>390</v>
      </c>
      <c r="G101" s="22" t="s">
        <v>1</v>
      </c>
      <c r="H101" s="22" t="s">
        <v>1</v>
      </c>
    </row>
    <row r="102" spans="1:10">
      <c r="A102">
        <v>2011</v>
      </c>
      <c r="B102" s="22" t="s">
        <v>46</v>
      </c>
      <c r="C102" s="2">
        <v>40708</v>
      </c>
      <c r="D102">
        <v>119</v>
      </c>
      <c r="E102" t="s">
        <v>102</v>
      </c>
      <c r="F102">
        <v>391</v>
      </c>
      <c r="G102" s="22">
        <v>6650</v>
      </c>
      <c r="H102" s="22" t="s">
        <v>165</v>
      </c>
    </row>
    <row r="103" spans="1:10">
      <c r="A103">
        <v>2011</v>
      </c>
      <c r="B103" s="22" t="s">
        <v>46</v>
      </c>
      <c r="C103" s="2">
        <v>40708</v>
      </c>
      <c r="D103">
        <v>119</v>
      </c>
      <c r="E103" t="s">
        <v>103</v>
      </c>
      <c r="F103">
        <v>392</v>
      </c>
      <c r="G103" s="22">
        <v>6651</v>
      </c>
      <c r="H103">
        <v>6646</v>
      </c>
    </row>
    <row r="104" spans="1:10">
      <c r="A104">
        <v>2011</v>
      </c>
      <c r="B104" s="22" t="s">
        <v>46</v>
      </c>
      <c r="C104" s="2">
        <v>40708</v>
      </c>
      <c r="D104">
        <v>119</v>
      </c>
      <c r="E104" t="s">
        <v>104</v>
      </c>
      <c r="F104">
        <v>393</v>
      </c>
      <c r="G104" s="22">
        <v>6652</v>
      </c>
      <c r="H104">
        <v>6647</v>
      </c>
    </row>
    <row r="105" spans="1:10">
      <c r="A105">
        <v>2011</v>
      </c>
      <c r="B105" s="22" t="s">
        <v>46</v>
      </c>
      <c r="C105" s="2">
        <v>40708</v>
      </c>
      <c r="D105">
        <v>119</v>
      </c>
      <c r="E105" t="s">
        <v>105</v>
      </c>
      <c r="F105">
        <v>394</v>
      </c>
      <c r="G105" s="22">
        <v>6653</v>
      </c>
      <c r="H105">
        <v>6648</v>
      </c>
    </row>
    <row r="106" spans="1:10">
      <c r="A106">
        <v>2011</v>
      </c>
      <c r="B106" s="22" t="s">
        <v>46</v>
      </c>
      <c r="C106" s="2">
        <v>40708</v>
      </c>
      <c r="D106">
        <v>120</v>
      </c>
      <c r="E106" t="s">
        <v>99</v>
      </c>
      <c r="F106">
        <v>402</v>
      </c>
      <c r="G106" s="22" t="s">
        <v>166</v>
      </c>
      <c r="H106" s="22" t="s">
        <v>1</v>
      </c>
      <c r="J106" s="18"/>
    </row>
    <row r="107" spans="1:10">
      <c r="A107">
        <v>2011</v>
      </c>
      <c r="B107" s="22" t="s">
        <v>46</v>
      </c>
      <c r="C107" s="2">
        <v>40708</v>
      </c>
      <c r="D107">
        <v>120</v>
      </c>
      <c r="E107" t="s">
        <v>101</v>
      </c>
      <c r="F107">
        <v>403</v>
      </c>
      <c r="G107" s="22" t="s">
        <v>1</v>
      </c>
      <c r="H107" s="22" t="s">
        <v>1</v>
      </c>
    </row>
    <row r="108" spans="1:10">
      <c r="A108">
        <v>2011</v>
      </c>
      <c r="B108" s="22" t="s">
        <v>46</v>
      </c>
      <c r="C108" s="2">
        <v>40708</v>
      </c>
      <c r="D108">
        <v>120</v>
      </c>
      <c r="E108" t="s">
        <v>102</v>
      </c>
      <c r="F108">
        <v>404</v>
      </c>
      <c r="G108" s="22">
        <v>6655</v>
      </c>
      <c r="H108" s="22">
        <v>6661</v>
      </c>
    </row>
    <row r="109" spans="1:10">
      <c r="A109">
        <v>2011</v>
      </c>
      <c r="B109" s="22" t="s">
        <v>46</v>
      </c>
      <c r="C109" s="2">
        <v>40708</v>
      </c>
      <c r="D109">
        <v>120</v>
      </c>
      <c r="E109" t="s">
        <v>103</v>
      </c>
      <c r="F109">
        <v>405</v>
      </c>
      <c r="G109" s="22" t="s">
        <v>167</v>
      </c>
      <c r="H109" s="22">
        <v>6662</v>
      </c>
    </row>
    <row r="110" spans="1:10">
      <c r="A110">
        <v>2011</v>
      </c>
      <c r="B110" s="22" t="s">
        <v>46</v>
      </c>
      <c r="C110" s="2">
        <v>40708</v>
      </c>
      <c r="D110">
        <v>120</v>
      </c>
      <c r="E110" t="s">
        <v>104</v>
      </c>
      <c r="F110">
        <v>406</v>
      </c>
      <c r="G110">
        <v>6658</v>
      </c>
      <c r="H110" s="22">
        <v>6663</v>
      </c>
    </row>
    <row r="111" spans="1:10">
      <c r="A111">
        <v>2011</v>
      </c>
      <c r="B111" s="22" t="s">
        <v>46</v>
      </c>
      <c r="C111" s="2">
        <v>40708</v>
      </c>
      <c r="D111">
        <v>120</v>
      </c>
      <c r="E111" t="s">
        <v>105</v>
      </c>
      <c r="F111">
        <v>407</v>
      </c>
      <c r="G111">
        <v>6659</v>
      </c>
      <c r="H111" s="22">
        <v>6664</v>
      </c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9"/>
  <sheetViews>
    <sheetView workbookViewId="0">
      <pane ySplit="4" topLeftCell="A5" activePane="bottomLeft" state="frozen"/>
      <selection pane="bottomLeft" activeCell="G13" sqref="G13"/>
    </sheetView>
  </sheetViews>
  <sheetFormatPr defaultRowHeight="12.75"/>
  <cols>
    <col min="3" max="3" width="9.140625" style="2" customWidth="1"/>
    <col min="5" max="5" width="18.5703125" bestFit="1" customWidth="1"/>
  </cols>
  <sheetData>
    <row r="1" spans="1:13">
      <c r="A1" s="2" t="s">
        <v>168</v>
      </c>
      <c r="D1" s="1"/>
      <c r="E1" s="1"/>
      <c r="F1" s="1"/>
      <c r="G1" s="1"/>
      <c r="H1" s="1"/>
      <c r="I1" s="1"/>
      <c r="J1" s="1"/>
      <c r="K1" s="1"/>
      <c r="L1" s="1"/>
    </row>
    <row r="2" spans="1:13">
      <c r="A2" s="2" t="s">
        <v>169</v>
      </c>
      <c r="D2" s="1"/>
      <c r="E2" s="1"/>
      <c r="F2" s="1"/>
      <c r="G2" s="1"/>
      <c r="H2" s="1"/>
      <c r="I2" s="1"/>
      <c r="J2" s="1"/>
      <c r="K2" s="1"/>
      <c r="L2" s="1"/>
    </row>
    <row r="3" spans="1:13">
      <c r="D3" s="1"/>
      <c r="E3" s="1"/>
      <c r="F3" s="1"/>
      <c r="G3" s="1"/>
      <c r="H3" s="1"/>
      <c r="I3" s="1"/>
      <c r="J3" s="1"/>
      <c r="K3" s="1"/>
      <c r="L3" s="1"/>
    </row>
    <row r="4" spans="1:13" ht="13.5" thickBot="1">
      <c r="A4" s="31" t="s">
        <v>8</v>
      </c>
      <c r="B4" s="31" t="s">
        <v>9</v>
      </c>
      <c r="C4" s="11" t="s">
        <v>10</v>
      </c>
      <c r="D4" s="7" t="s">
        <v>11</v>
      </c>
      <c r="E4" s="7" t="s">
        <v>12</v>
      </c>
      <c r="F4" s="7" t="s">
        <v>170</v>
      </c>
      <c r="G4" s="23" t="s">
        <v>171</v>
      </c>
      <c r="H4" s="7" t="s">
        <v>172</v>
      </c>
      <c r="I4" s="23" t="s">
        <v>173</v>
      </c>
      <c r="J4" s="7" t="s">
        <v>174</v>
      </c>
      <c r="K4" s="23" t="s">
        <v>175</v>
      </c>
      <c r="L4" s="7" t="s">
        <v>176</v>
      </c>
      <c r="M4" s="7" t="s">
        <v>177</v>
      </c>
    </row>
    <row r="5" spans="1:13" ht="13.5" thickTop="1">
      <c r="A5">
        <v>2011</v>
      </c>
      <c r="B5" t="s">
        <v>46</v>
      </c>
      <c r="C5" s="2">
        <v>40718</v>
      </c>
      <c r="D5">
        <v>28</v>
      </c>
      <c r="E5" t="s">
        <v>178</v>
      </c>
      <c r="F5">
        <v>21</v>
      </c>
      <c r="G5">
        <v>30</v>
      </c>
      <c r="H5">
        <v>41</v>
      </c>
      <c r="I5">
        <v>50</v>
      </c>
      <c r="J5">
        <v>41</v>
      </c>
      <c r="K5">
        <v>50</v>
      </c>
      <c r="L5">
        <v>81</v>
      </c>
      <c r="M5">
        <v>90</v>
      </c>
    </row>
    <row r="6" spans="1:13">
      <c r="A6">
        <v>2011</v>
      </c>
      <c r="B6" t="s">
        <v>46</v>
      </c>
      <c r="C6" s="2">
        <v>40718</v>
      </c>
      <c r="D6">
        <v>28</v>
      </c>
      <c r="E6" t="s">
        <v>179</v>
      </c>
      <c r="F6">
        <v>21</v>
      </c>
      <c r="G6">
        <v>30</v>
      </c>
      <c r="H6">
        <v>41</v>
      </c>
      <c r="I6">
        <v>50</v>
      </c>
      <c r="J6">
        <v>41</v>
      </c>
      <c r="K6">
        <v>50</v>
      </c>
      <c r="L6">
        <v>81</v>
      </c>
      <c r="M6">
        <v>90</v>
      </c>
    </row>
    <row r="7" spans="1:13">
      <c r="A7">
        <v>2011</v>
      </c>
      <c r="B7" t="s">
        <v>46</v>
      </c>
      <c r="C7" s="2">
        <v>40718</v>
      </c>
      <c r="D7">
        <v>29</v>
      </c>
      <c r="E7" t="s">
        <v>178</v>
      </c>
      <c r="F7">
        <v>61</v>
      </c>
      <c r="G7">
        <v>70</v>
      </c>
      <c r="H7">
        <v>6</v>
      </c>
      <c r="I7">
        <v>8</v>
      </c>
      <c r="J7">
        <v>41</v>
      </c>
      <c r="K7">
        <v>50</v>
      </c>
      <c r="L7">
        <v>81</v>
      </c>
      <c r="M7">
        <v>90</v>
      </c>
    </row>
    <row r="8" spans="1:13">
      <c r="A8">
        <v>2011</v>
      </c>
      <c r="B8" t="s">
        <v>46</v>
      </c>
      <c r="C8" s="2">
        <v>40718</v>
      </c>
      <c r="D8">
        <v>29</v>
      </c>
      <c r="E8" t="s">
        <v>179</v>
      </c>
      <c r="F8">
        <v>61</v>
      </c>
      <c r="G8">
        <v>70</v>
      </c>
      <c r="H8">
        <v>6</v>
      </c>
      <c r="I8">
        <v>8</v>
      </c>
      <c r="J8">
        <v>41</v>
      </c>
      <c r="K8">
        <v>50</v>
      </c>
      <c r="L8">
        <v>81</v>
      </c>
      <c r="M8">
        <v>90</v>
      </c>
    </row>
    <row r="9" spans="1:13">
      <c r="A9">
        <v>2011</v>
      </c>
      <c r="B9" t="s">
        <v>46</v>
      </c>
      <c r="C9" s="2">
        <v>40718</v>
      </c>
      <c r="D9">
        <v>29</v>
      </c>
      <c r="E9" t="s">
        <v>51</v>
      </c>
      <c r="F9" t="s">
        <v>2</v>
      </c>
      <c r="G9">
        <v>0.5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>
        <v>2011</v>
      </c>
      <c r="B10" t="s">
        <v>46</v>
      </c>
      <c r="C10" s="2">
        <v>40718</v>
      </c>
      <c r="D10">
        <v>29</v>
      </c>
      <c r="E10" t="s">
        <v>55</v>
      </c>
      <c r="F10" t="s">
        <v>2</v>
      </c>
      <c r="G10">
        <v>0.5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>
        <v>2011</v>
      </c>
      <c r="B11" t="s">
        <v>46</v>
      </c>
      <c r="C11" s="2">
        <v>40718</v>
      </c>
      <c r="D11">
        <v>29</v>
      </c>
      <c r="E11" t="s">
        <v>67</v>
      </c>
      <c r="F11" t="s">
        <v>2</v>
      </c>
      <c r="G11">
        <v>0.5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>
        <v>2011</v>
      </c>
      <c r="B12" t="s">
        <v>46</v>
      </c>
      <c r="C12" s="2">
        <v>40718</v>
      </c>
      <c r="D12">
        <v>30</v>
      </c>
      <c r="E12" t="s">
        <v>178</v>
      </c>
      <c r="F12">
        <v>41</v>
      </c>
      <c r="G12">
        <v>50</v>
      </c>
      <c r="H12">
        <v>41</v>
      </c>
      <c r="I12">
        <v>50</v>
      </c>
      <c r="J12">
        <v>61</v>
      </c>
      <c r="K12">
        <v>70</v>
      </c>
      <c r="L12">
        <v>81</v>
      </c>
      <c r="M12">
        <v>90</v>
      </c>
    </row>
    <row r="13" spans="1:13">
      <c r="A13">
        <v>2011</v>
      </c>
      <c r="B13" t="s">
        <v>46</v>
      </c>
      <c r="C13" s="2">
        <v>40718</v>
      </c>
      <c r="D13">
        <v>30</v>
      </c>
      <c r="E13" t="s">
        <v>179</v>
      </c>
      <c r="F13">
        <v>41</v>
      </c>
      <c r="G13">
        <v>50</v>
      </c>
      <c r="H13">
        <v>41</v>
      </c>
      <c r="I13">
        <v>50</v>
      </c>
      <c r="J13">
        <v>61</v>
      </c>
      <c r="K13">
        <v>70</v>
      </c>
      <c r="L13">
        <v>81</v>
      </c>
      <c r="M13">
        <v>90</v>
      </c>
    </row>
    <row r="14" spans="1:13">
      <c r="A14">
        <v>2011</v>
      </c>
      <c r="B14" t="s">
        <v>46</v>
      </c>
      <c r="C14" s="2">
        <v>40718</v>
      </c>
      <c r="D14">
        <v>30</v>
      </c>
      <c r="E14" t="s">
        <v>55</v>
      </c>
      <c r="F14" t="s">
        <v>2</v>
      </c>
      <c r="G14">
        <v>0.5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>
        <v>2011</v>
      </c>
      <c r="B15" t="s">
        <v>46</v>
      </c>
      <c r="C15" s="2">
        <v>40718</v>
      </c>
      <c r="D15">
        <v>30</v>
      </c>
      <c r="E15" t="s">
        <v>67</v>
      </c>
      <c r="F15" t="s">
        <v>2</v>
      </c>
      <c r="G15">
        <v>0.5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>
        <v>2011</v>
      </c>
      <c r="B16" t="s">
        <v>46</v>
      </c>
      <c r="C16" s="2">
        <v>40703</v>
      </c>
      <c r="D16">
        <v>82</v>
      </c>
      <c r="E16" t="s">
        <v>178</v>
      </c>
      <c r="F16">
        <v>11</v>
      </c>
      <c r="G16">
        <v>20</v>
      </c>
      <c r="H16">
        <v>6</v>
      </c>
      <c r="I16">
        <v>8</v>
      </c>
      <c r="J16">
        <v>41</v>
      </c>
      <c r="K16">
        <v>50</v>
      </c>
      <c r="L16">
        <v>61</v>
      </c>
      <c r="M16">
        <v>70</v>
      </c>
    </row>
    <row r="17" spans="1:13">
      <c r="A17">
        <v>2011</v>
      </c>
      <c r="B17" t="s">
        <v>46</v>
      </c>
      <c r="C17" s="2">
        <v>40703</v>
      </c>
      <c r="D17">
        <v>82</v>
      </c>
      <c r="E17" t="s">
        <v>179</v>
      </c>
      <c r="F17">
        <v>11</v>
      </c>
      <c r="G17">
        <v>20</v>
      </c>
      <c r="H17">
        <v>6</v>
      </c>
      <c r="I17">
        <v>8</v>
      </c>
      <c r="J17">
        <v>41</v>
      </c>
      <c r="K17">
        <v>50</v>
      </c>
      <c r="L17">
        <v>61</v>
      </c>
      <c r="M17">
        <v>70</v>
      </c>
    </row>
    <row r="18" spans="1:13">
      <c r="A18">
        <v>2011</v>
      </c>
      <c r="B18" t="s">
        <v>46</v>
      </c>
      <c r="C18" s="2">
        <v>40703</v>
      </c>
      <c r="D18">
        <v>83</v>
      </c>
      <c r="E18" t="s">
        <v>178</v>
      </c>
      <c r="F18">
        <v>41</v>
      </c>
      <c r="G18">
        <v>50</v>
      </c>
      <c r="H18">
        <v>1</v>
      </c>
      <c r="I18">
        <v>3</v>
      </c>
      <c r="J18">
        <v>41</v>
      </c>
      <c r="K18">
        <v>50</v>
      </c>
      <c r="L18">
        <v>81</v>
      </c>
      <c r="M18">
        <v>90</v>
      </c>
    </row>
    <row r="19" spans="1:13">
      <c r="A19">
        <v>2011</v>
      </c>
      <c r="B19" t="s">
        <v>46</v>
      </c>
      <c r="C19" s="2">
        <v>40703</v>
      </c>
      <c r="D19">
        <v>83</v>
      </c>
      <c r="E19" t="s">
        <v>179</v>
      </c>
      <c r="F19">
        <v>41</v>
      </c>
      <c r="G19">
        <v>50</v>
      </c>
      <c r="H19">
        <v>1</v>
      </c>
      <c r="I19">
        <v>3</v>
      </c>
      <c r="J19">
        <v>41</v>
      </c>
      <c r="K19">
        <v>50</v>
      </c>
      <c r="L19">
        <v>81</v>
      </c>
      <c r="M19">
        <v>90</v>
      </c>
    </row>
    <row r="20" spans="1:13">
      <c r="A20">
        <v>2011</v>
      </c>
      <c r="B20" t="s">
        <v>46</v>
      </c>
      <c r="C20" s="2">
        <v>40703</v>
      </c>
      <c r="D20">
        <v>83</v>
      </c>
      <c r="E20" t="s">
        <v>51</v>
      </c>
      <c r="F20" t="s">
        <v>2</v>
      </c>
      <c r="G20">
        <v>0.5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>
        <v>2011</v>
      </c>
      <c r="B21" t="s">
        <v>46</v>
      </c>
      <c r="C21" s="2">
        <v>40703</v>
      </c>
      <c r="D21">
        <v>84</v>
      </c>
      <c r="E21" t="s">
        <v>178</v>
      </c>
      <c r="F21">
        <v>6</v>
      </c>
      <c r="G21">
        <v>8</v>
      </c>
      <c r="H21">
        <v>6</v>
      </c>
      <c r="I21">
        <v>8</v>
      </c>
      <c r="J21">
        <v>61</v>
      </c>
      <c r="K21">
        <v>70</v>
      </c>
      <c r="L21">
        <v>81</v>
      </c>
      <c r="M21">
        <v>90</v>
      </c>
    </row>
    <row r="22" spans="1:13">
      <c r="A22">
        <v>2011</v>
      </c>
      <c r="B22" t="s">
        <v>46</v>
      </c>
      <c r="C22" s="2">
        <v>40703</v>
      </c>
      <c r="D22">
        <v>84</v>
      </c>
      <c r="E22" t="s">
        <v>179</v>
      </c>
      <c r="F22">
        <v>6</v>
      </c>
      <c r="G22">
        <v>8</v>
      </c>
      <c r="H22">
        <v>6</v>
      </c>
      <c r="I22">
        <v>8</v>
      </c>
      <c r="J22">
        <v>61</v>
      </c>
      <c r="K22">
        <v>70</v>
      </c>
      <c r="L22">
        <v>81</v>
      </c>
      <c r="M22">
        <v>90</v>
      </c>
    </row>
    <row r="23" spans="1:13">
      <c r="A23">
        <v>2011</v>
      </c>
      <c r="B23" t="s">
        <v>46</v>
      </c>
      <c r="C23" s="2">
        <v>40703</v>
      </c>
      <c r="D23">
        <v>85</v>
      </c>
      <c r="E23" t="s">
        <v>178</v>
      </c>
      <c r="F23">
        <v>41</v>
      </c>
      <c r="G23">
        <v>50</v>
      </c>
      <c r="H23">
        <v>6</v>
      </c>
      <c r="I23">
        <v>8</v>
      </c>
      <c r="J23">
        <v>11</v>
      </c>
      <c r="K23">
        <v>15</v>
      </c>
      <c r="L23">
        <v>61</v>
      </c>
      <c r="M23">
        <v>70</v>
      </c>
    </row>
    <row r="24" spans="1:13">
      <c r="A24">
        <v>2011</v>
      </c>
      <c r="B24" t="s">
        <v>46</v>
      </c>
      <c r="C24" s="2">
        <v>40703</v>
      </c>
      <c r="D24">
        <v>85</v>
      </c>
      <c r="E24" t="s">
        <v>179</v>
      </c>
      <c r="F24">
        <v>41</v>
      </c>
      <c r="G24">
        <v>50</v>
      </c>
      <c r="H24" t="s">
        <v>2</v>
      </c>
      <c r="I24">
        <v>0.5</v>
      </c>
      <c r="J24">
        <v>11</v>
      </c>
      <c r="K24">
        <v>15</v>
      </c>
      <c r="L24">
        <v>61</v>
      </c>
      <c r="M24">
        <v>70</v>
      </c>
    </row>
    <row r="25" spans="1:13">
      <c r="A25">
        <v>2011</v>
      </c>
      <c r="B25" t="s">
        <v>46</v>
      </c>
      <c r="C25" s="2">
        <v>40703</v>
      </c>
      <c r="D25">
        <v>85</v>
      </c>
      <c r="E25" t="s">
        <v>71</v>
      </c>
      <c r="F25" t="s">
        <v>2</v>
      </c>
      <c r="G25">
        <v>0.5</v>
      </c>
      <c r="H25">
        <v>6</v>
      </c>
      <c r="I25">
        <v>8</v>
      </c>
      <c r="J25" t="s">
        <v>2</v>
      </c>
      <c r="K25">
        <v>0.5</v>
      </c>
      <c r="L25">
        <v>0</v>
      </c>
      <c r="M25">
        <v>0</v>
      </c>
    </row>
    <row r="26" spans="1:13">
      <c r="A26">
        <v>2011</v>
      </c>
      <c r="B26" t="s">
        <v>46</v>
      </c>
      <c r="C26" s="2">
        <v>40703</v>
      </c>
      <c r="D26">
        <v>85</v>
      </c>
      <c r="E26" t="s">
        <v>73</v>
      </c>
      <c r="F26" t="s">
        <v>2</v>
      </c>
      <c r="G26">
        <v>0.5</v>
      </c>
      <c r="H26" t="s">
        <v>2</v>
      </c>
      <c r="I26">
        <v>0.5</v>
      </c>
      <c r="J26">
        <v>0</v>
      </c>
      <c r="K26">
        <v>0</v>
      </c>
      <c r="L26">
        <v>0</v>
      </c>
      <c r="M26">
        <v>0</v>
      </c>
    </row>
    <row r="27" spans="1:13">
      <c r="A27">
        <v>2011</v>
      </c>
      <c r="B27" t="s">
        <v>46</v>
      </c>
      <c r="C27" s="2">
        <v>40703</v>
      </c>
      <c r="D27">
        <v>85</v>
      </c>
      <c r="E27" t="s">
        <v>67</v>
      </c>
      <c r="F27">
        <v>1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>
        <v>2011</v>
      </c>
      <c r="B28" t="s">
        <v>46</v>
      </c>
      <c r="C28" s="2">
        <v>40703</v>
      </c>
      <c r="D28">
        <v>85</v>
      </c>
      <c r="E28" t="s">
        <v>55</v>
      </c>
      <c r="F28">
        <v>1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>
        <v>2011</v>
      </c>
      <c r="B29" t="s">
        <v>46</v>
      </c>
      <c r="C29" s="2">
        <v>40703</v>
      </c>
      <c r="D29">
        <v>85</v>
      </c>
      <c r="E29" t="s">
        <v>51</v>
      </c>
      <c r="F29" t="s">
        <v>2</v>
      </c>
      <c r="G29">
        <v>0.5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>
        <v>2011</v>
      </c>
      <c r="B30" t="s">
        <v>46</v>
      </c>
      <c r="C30" s="2">
        <v>40703</v>
      </c>
      <c r="D30">
        <v>85</v>
      </c>
      <c r="E30" t="s">
        <v>72</v>
      </c>
      <c r="F30" t="s">
        <v>2</v>
      </c>
      <c r="G30">
        <v>0.5</v>
      </c>
      <c r="H30" t="s">
        <v>2</v>
      </c>
      <c r="I30">
        <v>0.5</v>
      </c>
      <c r="J30">
        <v>0</v>
      </c>
      <c r="K30">
        <v>0</v>
      </c>
      <c r="L30">
        <v>0</v>
      </c>
      <c r="M30">
        <v>0</v>
      </c>
    </row>
    <row r="31" spans="1:13">
      <c r="A31">
        <v>2011</v>
      </c>
      <c r="B31" t="s">
        <v>46</v>
      </c>
      <c r="C31" s="2">
        <v>40702</v>
      </c>
      <c r="D31">
        <v>86</v>
      </c>
      <c r="E31" t="s">
        <v>178</v>
      </c>
      <c r="F31">
        <v>81</v>
      </c>
      <c r="G31">
        <v>90</v>
      </c>
      <c r="H31">
        <v>11</v>
      </c>
      <c r="I31">
        <v>15</v>
      </c>
      <c r="J31">
        <v>6</v>
      </c>
      <c r="K31">
        <v>8</v>
      </c>
      <c r="L31">
        <v>41</v>
      </c>
      <c r="M31">
        <v>50</v>
      </c>
    </row>
    <row r="32" spans="1:13">
      <c r="A32">
        <v>2011</v>
      </c>
      <c r="B32" t="s">
        <v>46</v>
      </c>
      <c r="C32" s="2">
        <v>40702</v>
      </c>
      <c r="D32">
        <v>86</v>
      </c>
      <c r="E32" t="s">
        <v>179</v>
      </c>
      <c r="F32">
        <v>61</v>
      </c>
      <c r="G32">
        <v>70</v>
      </c>
      <c r="H32">
        <v>1</v>
      </c>
      <c r="I32">
        <v>3</v>
      </c>
      <c r="J32">
        <v>6</v>
      </c>
      <c r="K32">
        <v>8</v>
      </c>
      <c r="L32">
        <v>41</v>
      </c>
      <c r="M32">
        <v>50</v>
      </c>
    </row>
    <row r="33" spans="1:13">
      <c r="A33">
        <v>2011</v>
      </c>
      <c r="B33" t="s">
        <v>46</v>
      </c>
      <c r="C33" s="2">
        <v>40702</v>
      </c>
      <c r="D33">
        <v>86</v>
      </c>
      <c r="E33" t="s">
        <v>55</v>
      </c>
      <c r="F33">
        <v>6</v>
      </c>
      <c r="G33">
        <v>8</v>
      </c>
      <c r="H33">
        <v>1</v>
      </c>
      <c r="I33">
        <v>3</v>
      </c>
      <c r="J33" t="s">
        <v>2</v>
      </c>
      <c r="K33">
        <v>0.5</v>
      </c>
      <c r="L33" t="s">
        <v>2</v>
      </c>
      <c r="M33">
        <v>0.5</v>
      </c>
    </row>
    <row r="34" spans="1:13">
      <c r="A34">
        <v>2011</v>
      </c>
      <c r="B34" t="s">
        <v>46</v>
      </c>
      <c r="C34" s="2">
        <v>40702</v>
      </c>
      <c r="D34">
        <v>86</v>
      </c>
      <c r="E34" t="s">
        <v>73</v>
      </c>
      <c r="F34">
        <v>6</v>
      </c>
      <c r="G34">
        <v>8</v>
      </c>
      <c r="H34">
        <v>1</v>
      </c>
      <c r="I34">
        <v>3</v>
      </c>
      <c r="J34" t="s">
        <v>2</v>
      </c>
      <c r="K34">
        <v>0.5</v>
      </c>
      <c r="L34">
        <v>0</v>
      </c>
      <c r="M34">
        <v>0</v>
      </c>
    </row>
    <row r="35" spans="1:13">
      <c r="A35">
        <v>2011</v>
      </c>
      <c r="B35" t="s">
        <v>46</v>
      </c>
      <c r="C35" s="2">
        <v>40702</v>
      </c>
      <c r="D35">
        <v>86</v>
      </c>
      <c r="E35" t="s">
        <v>72</v>
      </c>
      <c r="F35">
        <v>1</v>
      </c>
      <c r="G35">
        <v>3</v>
      </c>
      <c r="H35">
        <v>1</v>
      </c>
      <c r="I35">
        <v>3</v>
      </c>
      <c r="J35">
        <v>0</v>
      </c>
      <c r="K35">
        <v>0</v>
      </c>
      <c r="L35">
        <v>0</v>
      </c>
      <c r="M35">
        <v>0</v>
      </c>
    </row>
    <row r="36" spans="1:13">
      <c r="A36">
        <v>2011</v>
      </c>
      <c r="B36" t="s">
        <v>46</v>
      </c>
      <c r="C36" s="2">
        <v>40702</v>
      </c>
      <c r="D36">
        <v>86</v>
      </c>
      <c r="E36" t="s">
        <v>71</v>
      </c>
      <c r="F36">
        <v>1</v>
      </c>
      <c r="G36">
        <v>3</v>
      </c>
      <c r="H36">
        <v>1</v>
      </c>
      <c r="I36">
        <v>3</v>
      </c>
      <c r="J36" t="s">
        <v>2</v>
      </c>
      <c r="K36">
        <v>0.5</v>
      </c>
      <c r="L36">
        <v>0</v>
      </c>
      <c r="M36">
        <v>0</v>
      </c>
    </row>
    <row r="37" spans="1:13">
      <c r="A37">
        <v>2011</v>
      </c>
      <c r="B37" t="s">
        <v>46</v>
      </c>
      <c r="C37" s="2">
        <v>40702</v>
      </c>
      <c r="D37">
        <v>86</v>
      </c>
      <c r="E37" t="s">
        <v>51</v>
      </c>
      <c r="F37" t="s">
        <v>2</v>
      </c>
      <c r="G37">
        <v>0.5</v>
      </c>
      <c r="H37" t="s">
        <v>2</v>
      </c>
      <c r="I37">
        <v>0.5</v>
      </c>
      <c r="J37">
        <v>0</v>
      </c>
      <c r="K37">
        <v>0</v>
      </c>
      <c r="L37">
        <v>0</v>
      </c>
      <c r="M37">
        <v>0</v>
      </c>
    </row>
    <row r="38" spans="1:13">
      <c r="A38">
        <v>2011</v>
      </c>
      <c r="B38" t="s">
        <v>46</v>
      </c>
      <c r="C38" s="2">
        <v>40702</v>
      </c>
      <c r="D38">
        <v>86</v>
      </c>
      <c r="E38" t="s">
        <v>67</v>
      </c>
      <c r="F38">
        <v>6</v>
      </c>
      <c r="G38">
        <v>8</v>
      </c>
      <c r="H38" t="s">
        <v>2</v>
      </c>
      <c r="I38">
        <v>0.5</v>
      </c>
      <c r="J38">
        <v>0</v>
      </c>
      <c r="K38">
        <v>0</v>
      </c>
      <c r="L38">
        <v>0</v>
      </c>
      <c r="M38">
        <v>0</v>
      </c>
    </row>
    <row r="39" spans="1:13">
      <c r="A39">
        <v>2011</v>
      </c>
      <c r="B39" t="s">
        <v>46</v>
      </c>
      <c r="C39" s="2">
        <v>40703</v>
      </c>
      <c r="D39">
        <v>87</v>
      </c>
      <c r="E39" t="s">
        <v>178</v>
      </c>
      <c r="F39">
        <v>61</v>
      </c>
      <c r="G39">
        <v>70</v>
      </c>
      <c r="H39">
        <v>6</v>
      </c>
      <c r="I39">
        <v>8</v>
      </c>
      <c r="J39">
        <v>21</v>
      </c>
      <c r="K39">
        <v>30</v>
      </c>
      <c r="L39">
        <v>81</v>
      </c>
      <c r="M39">
        <v>90</v>
      </c>
    </row>
    <row r="40" spans="1:13">
      <c r="A40">
        <v>2011</v>
      </c>
      <c r="B40" t="s">
        <v>46</v>
      </c>
      <c r="C40" s="2">
        <v>40703</v>
      </c>
      <c r="D40">
        <v>87</v>
      </c>
      <c r="E40" t="s">
        <v>179</v>
      </c>
      <c r="F40">
        <v>61</v>
      </c>
      <c r="G40">
        <v>70</v>
      </c>
      <c r="H40">
        <v>6</v>
      </c>
      <c r="I40">
        <v>8</v>
      </c>
      <c r="J40">
        <v>21</v>
      </c>
      <c r="K40">
        <v>30</v>
      </c>
      <c r="L40">
        <v>81</v>
      </c>
      <c r="M40">
        <v>90</v>
      </c>
    </row>
    <row r="41" spans="1:13">
      <c r="A41">
        <v>2011</v>
      </c>
      <c r="B41" t="s">
        <v>46</v>
      </c>
      <c r="C41" s="2">
        <v>40703</v>
      </c>
      <c r="D41">
        <v>87</v>
      </c>
      <c r="E41" t="s">
        <v>67</v>
      </c>
      <c r="F41">
        <v>1</v>
      </c>
      <c r="G41">
        <v>3</v>
      </c>
      <c r="H41" t="s">
        <v>2</v>
      </c>
      <c r="I41">
        <v>0.5</v>
      </c>
      <c r="J41">
        <v>0</v>
      </c>
      <c r="K41">
        <v>0</v>
      </c>
      <c r="L41">
        <v>0</v>
      </c>
      <c r="M41">
        <v>0</v>
      </c>
    </row>
    <row r="42" spans="1:13">
      <c r="A42">
        <v>2011</v>
      </c>
      <c r="B42" t="s">
        <v>46</v>
      </c>
      <c r="C42" s="2">
        <v>40703</v>
      </c>
      <c r="D42">
        <v>87</v>
      </c>
      <c r="E42" t="s">
        <v>180</v>
      </c>
      <c r="F42" t="s">
        <v>2</v>
      </c>
      <c r="G42">
        <v>0.5</v>
      </c>
      <c r="H42" t="s">
        <v>2</v>
      </c>
      <c r="I42">
        <v>0.5</v>
      </c>
      <c r="J42">
        <v>0</v>
      </c>
      <c r="K42">
        <v>0</v>
      </c>
      <c r="L42">
        <v>0</v>
      </c>
      <c r="M42">
        <v>0</v>
      </c>
    </row>
    <row r="43" spans="1:13">
      <c r="A43">
        <v>2011</v>
      </c>
      <c r="B43" t="s">
        <v>46</v>
      </c>
      <c r="C43" s="2">
        <v>40703</v>
      </c>
      <c r="D43">
        <v>87</v>
      </c>
      <c r="E43" t="s">
        <v>55</v>
      </c>
      <c r="F43" t="s">
        <v>2</v>
      </c>
      <c r="G43">
        <v>0.5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>
        <v>2011</v>
      </c>
      <c r="B44" t="s">
        <v>46</v>
      </c>
      <c r="C44" s="2">
        <v>40703</v>
      </c>
      <c r="D44">
        <v>87</v>
      </c>
      <c r="E44" t="s">
        <v>71</v>
      </c>
      <c r="F44" t="s">
        <v>2</v>
      </c>
      <c r="G44">
        <v>0.5</v>
      </c>
      <c r="H44" t="s">
        <v>2</v>
      </c>
      <c r="I44">
        <v>0.5</v>
      </c>
      <c r="J44">
        <v>0</v>
      </c>
      <c r="K44">
        <v>0</v>
      </c>
      <c r="L44">
        <v>0</v>
      </c>
      <c r="M44">
        <v>0</v>
      </c>
    </row>
    <row r="45" spans="1:13">
      <c r="A45">
        <v>2011</v>
      </c>
      <c r="B45" t="s">
        <v>46</v>
      </c>
      <c r="C45" s="2">
        <v>40704</v>
      </c>
      <c r="D45">
        <v>88</v>
      </c>
      <c r="E45" s="22" t="s">
        <v>178</v>
      </c>
      <c r="F45" s="22">
        <v>61</v>
      </c>
      <c r="G45" s="22">
        <v>70</v>
      </c>
      <c r="H45" s="22">
        <v>1</v>
      </c>
      <c r="I45" s="22">
        <v>3</v>
      </c>
      <c r="J45" s="22">
        <v>21</v>
      </c>
      <c r="K45" s="22">
        <v>30</v>
      </c>
      <c r="L45" s="22">
        <v>81</v>
      </c>
      <c r="M45" s="22">
        <v>90</v>
      </c>
    </row>
    <row r="46" spans="1:13">
      <c r="A46">
        <v>2011</v>
      </c>
      <c r="B46" t="s">
        <v>46</v>
      </c>
      <c r="C46" s="2">
        <v>40704</v>
      </c>
      <c r="D46">
        <v>88</v>
      </c>
      <c r="E46" s="22" t="s">
        <v>179</v>
      </c>
      <c r="F46" s="22">
        <v>41</v>
      </c>
      <c r="G46" s="22">
        <v>50</v>
      </c>
      <c r="H46" s="22">
        <v>1</v>
      </c>
      <c r="I46" s="22">
        <v>3</v>
      </c>
      <c r="J46" s="22">
        <v>21</v>
      </c>
      <c r="K46" s="22">
        <v>30</v>
      </c>
      <c r="L46" s="22">
        <v>81</v>
      </c>
      <c r="M46" s="22">
        <v>90</v>
      </c>
    </row>
    <row r="47" spans="1:13">
      <c r="A47">
        <v>2011</v>
      </c>
      <c r="B47" t="s">
        <v>46</v>
      </c>
      <c r="C47" s="2">
        <v>40704</v>
      </c>
      <c r="D47">
        <v>88</v>
      </c>
      <c r="E47" s="22" t="s">
        <v>67</v>
      </c>
      <c r="F47" s="22">
        <v>11</v>
      </c>
      <c r="G47" s="22">
        <v>15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</row>
    <row r="48" spans="1:13">
      <c r="A48">
        <v>2011</v>
      </c>
      <c r="B48" t="s">
        <v>46</v>
      </c>
      <c r="C48" s="2">
        <v>40704</v>
      </c>
      <c r="D48">
        <v>88</v>
      </c>
      <c r="E48" s="22" t="s">
        <v>73</v>
      </c>
      <c r="F48" s="22" t="s">
        <v>2</v>
      </c>
      <c r="G48" s="22">
        <v>0.5</v>
      </c>
      <c r="H48" s="22" t="s">
        <v>2</v>
      </c>
      <c r="I48" s="22">
        <v>0.5</v>
      </c>
      <c r="J48" s="22">
        <v>0</v>
      </c>
      <c r="K48" s="22">
        <v>0</v>
      </c>
      <c r="L48" s="22">
        <v>0</v>
      </c>
      <c r="M48" s="22">
        <v>0</v>
      </c>
    </row>
    <row r="49" spans="1:13">
      <c r="A49">
        <v>2011</v>
      </c>
      <c r="B49" t="s">
        <v>46</v>
      </c>
      <c r="C49" s="2">
        <v>40704</v>
      </c>
      <c r="D49">
        <v>88</v>
      </c>
      <c r="E49" s="22" t="s">
        <v>55</v>
      </c>
      <c r="F49" s="22">
        <v>1</v>
      </c>
      <c r="G49" s="22">
        <v>3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</row>
    <row r="50" spans="1:13">
      <c r="A50">
        <v>2011</v>
      </c>
      <c r="B50" t="s">
        <v>46</v>
      </c>
      <c r="C50" s="2">
        <v>40704</v>
      </c>
      <c r="D50">
        <v>88</v>
      </c>
      <c r="E50" s="22" t="s">
        <v>71</v>
      </c>
      <c r="F50" s="22" t="s">
        <v>2</v>
      </c>
      <c r="G50" s="22">
        <v>0.5</v>
      </c>
      <c r="H50" s="22" t="s">
        <v>2</v>
      </c>
      <c r="I50" s="22">
        <v>0.5</v>
      </c>
      <c r="J50" s="22">
        <v>0</v>
      </c>
      <c r="K50" s="22">
        <v>0</v>
      </c>
      <c r="L50" s="22">
        <v>0</v>
      </c>
      <c r="M50" s="22">
        <v>0</v>
      </c>
    </row>
    <row r="51" spans="1:13">
      <c r="A51">
        <v>2011</v>
      </c>
      <c r="B51" t="s">
        <v>46</v>
      </c>
      <c r="C51" s="2">
        <v>40704</v>
      </c>
      <c r="D51">
        <v>88</v>
      </c>
      <c r="E51" s="22" t="s">
        <v>72</v>
      </c>
      <c r="F51" s="22" t="s">
        <v>2</v>
      </c>
      <c r="G51" s="22">
        <v>0.5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</row>
    <row r="52" spans="1:13">
      <c r="A52">
        <v>2011</v>
      </c>
      <c r="B52" t="s">
        <v>46</v>
      </c>
      <c r="C52" s="2">
        <v>40704</v>
      </c>
      <c r="D52">
        <v>89</v>
      </c>
      <c r="E52" s="22" t="s">
        <v>178</v>
      </c>
      <c r="F52" s="22">
        <v>81</v>
      </c>
      <c r="G52" s="22">
        <v>90</v>
      </c>
      <c r="H52" s="22">
        <v>1</v>
      </c>
      <c r="I52" s="22">
        <v>3</v>
      </c>
      <c r="J52" s="22">
        <v>6</v>
      </c>
      <c r="K52" s="22">
        <v>8</v>
      </c>
      <c r="L52" s="22">
        <v>61</v>
      </c>
      <c r="M52" s="22">
        <v>70</v>
      </c>
    </row>
    <row r="53" spans="1:13">
      <c r="A53">
        <v>2011</v>
      </c>
      <c r="B53" t="s">
        <v>46</v>
      </c>
      <c r="C53" s="2">
        <v>40704</v>
      </c>
      <c r="D53">
        <v>89</v>
      </c>
      <c r="E53" s="22" t="s">
        <v>179</v>
      </c>
      <c r="F53" s="22">
        <v>81</v>
      </c>
      <c r="G53" s="22">
        <v>90</v>
      </c>
      <c r="H53" s="22">
        <v>1</v>
      </c>
      <c r="I53" s="22">
        <v>3</v>
      </c>
      <c r="J53" s="22">
        <v>6</v>
      </c>
      <c r="K53" s="22">
        <v>8</v>
      </c>
      <c r="L53" s="22">
        <v>61</v>
      </c>
      <c r="M53" s="22">
        <v>70</v>
      </c>
    </row>
    <row r="54" spans="1:13">
      <c r="A54">
        <v>2011</v>
      </c>
      <c r="B54" t="s">
        <v>46</v>
      </c>
      <c r="C54" s="2">
        <v>40704</v>
      </c>
      <c r="D54">
        <v>89</v>
      </c>
      <c r="E54" s="22" t="s">
        <v>67</v>
      </c>
      <c r="F54" s="22" t="s">
        <v>2</v>
      </c>
      <c r="G54" s="22">
        <v>0.5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</row>
    <row r="55" spans="1:13">
      <c r="A55">
        <v>2011</v>
      </c>
      <c r="B55" t="s">
        <v>46</v>
      </c>
      <c r="C55" s="2">
        <v>40704</v>
      </c>
      <c r="D55">
        <v>90</v>
      </c>
      <c r="E55" s="22" t="s">
        <v>178</v>
      </c>
      <c r="F55" s="22">
        <v>6</v>
      </c>
      <c r="G55" s="22">
        <v>8</v>
      </c>
      <c r="H55" s="22">
        <v>6</v>
      </c>
      <c r="I55" s="22">
        <v>8</v>
      </c>
      <c r="J55" s="22">
        <v>21</v>
      </c>
      <c r="K55" s="22">
        <v>30</v>
      </c>
      <c r="L55" s="22">
        <v>81</v>
      </c>
      <c r="M55" s="22">
        <v>90</v>
      </c>
    </row>
    <row r="56" spans="1:13">
      <c r="A56">
        <v>2011</v>
      </c>
      <c r="B56" t="s">
        <v>46</v>
      </c>
      <c r="C56" s="2">
        <v>40704</v>
      </c>
      <c r="D56">
        <v>90</v>
      </c>
      <c r="E56" s="22" t="s">
        <v>179</v>
      </c>
      <c r="F56" s="22">
        <v>6</v>
      </c>
      <c r="G56" s="22">
        <v>8</v>
      </c>
      <c r="H56" s="22">
        <v>6</v>
      </c>
      <c r="I56" s="22">
        <v>8</v>
      </c>
      <c r="J56" s="22">
        <v>21</v>
      </c>
      <c r="K56" s="22">
        <v>30</v>
      </c>
      <c r="L56" s="22">
        <v>81</v>
      </c>
      <c r="M56" s="22">
        <v>90</v>
      </c>
    </row>
    <row r="57" spans="1:13">
      <c r="A57">
        <v>2011</v>
      </c>
      <c r="B57" t="s">
        <v>46</v>
      </c>
      <c r="C57" s="2">
        <v>40704</v>
      </c>
      <c r="D57">
        <v>90</v>
      </c>
      <c r="E57" s="22" t="s">
        <v>67</v>
      </c>
      <c r="F57" s="22" t="s">
        <v>2</v>
      </c>
      <c r="G57" s="22">
        <v>0.5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</row>
    <row r="58" spans="1:13">
      <c r="A58">
        <v>2011</v>
      </c>
      <c r="B58" t="s">
        <v>46</v>
      </c>
      <c r="C58" s="2">
        <v>40704</v>
      </c>
      <c r="D58">
        <v>90</v>
      </c>
      <c r="E58" s="22" t="s">
        <v>51</v>
      </c>
      <c r="F58" s="22" t="s">
        <v>2</v>
      </c>
      <c r="G58" s="22">
        <v>0.5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</row>
    <row r="59" spans="1:13">
      <c r="A59">
        <v>2011</v>
      </c>
      <c r="B59" t="s">
        <v>46</v>
      </c>
      <c r="C59" s="2">
        <v>40708</v>
      </c>
      <c r="D59">
        <v>115</v>
      </c>
      <c r="E59" s="22" t="s">
        <v>178</v>
      </c>
      <c r="F59" s="22">
        <v>11</v>
      </c>
      <c r="G59" s="22">
        <v>15</v>
      </c>
      <c r="H59" s="22">
        <v>6</v>
      </c>
      <c r="I59" s="22">
        <v>8</v>
      </c>
      <c r="J59" s="22">
        <v>61</v>
      </c>
      <c r="K59" s="22">
        <v>70</v>
      </c>
      <c r="L59" s="22">
        <v>81</v>
      </c>
      <c r="M59" s="22">
        <v>90</v>
      </c>
    </row>
    <row r="60" spans="1:13">
      <c r="A60">
        <v>2011</v>
      </c>
      <c r="B60" t="s">
        <v>46</v>
      </c>
      <c r="C60" s="2">
        <v>40708</v>
      </c>
      <c r="D60">
        <v>115</v>
      </c>
      <c r="E60" s="22" t="s">
        <v>179</v>
      </c>
      <c r="F60" s="22">
        <v>11</v>
      </c>
      <c r="G60" s="22">
        <v>15</v>
      </c>
      <c r="H60" s="22">
        <v>6</v>
      </c>
      <c r="I60" s="22">
        <v>8</v>
      </c>
      <c r="J60" s="22">
        <v>61</v>
      </c>
      <c r="K60" s="22">
        <v>70</v>
      </c>
      <c r="L60" s="22">
        <v>81</v>
      </c>
      <c r="M60" s="22">
        <v>90</v>
      </c>
    </row>
    <row r="61" spans="1:13">
      <c r="A61">
        <v>2011</v>
      </c>
      <c r="B61" t="s">
        <v>46</v>
      </c>
      <c r="C61" s="2">
        <v>40708</v>
      </c>
      <c r="D61">
        <v>115</v>
      </c>
      <c r="E61" s="22" t="s">
        <v>67</v>
      </c>
      <c r="F61" s="22" t="s">
        <v>2</v>
      </c>
      <c r="G61" s="22">
        <v>0.5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</row>
    <row r="62" spans="1:13">
      <c r="A62">
        <v>2011</v>
      </c>
      <c r="B62" t="s">
        <v>46</v>
      </c>
      <c r="C62" s="2">
        <v>40708</v>
      </c>
      <c r="D62">
        <v>115</v>
      </c>
      <c r="E62" s="22" t="s">
        <v>72</v>
      </c>
      <c r="F62" s="22" t="s">
        <v>2</v>
      </c>
      <c r="G62" s="22">
        <v>0.5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</row>
    <row r="63" spans="1:13">
      <c r="A63">
        <v>2011</v>
      </c>
      <c r="B63" t="s">
        <v>46</v>
      </c>
      <c r="C63" s="2">
        <v>40708</v>
      </c>
      <c r="D63">
        <v>115</v>
      </c>
      <c r="E63" s="22" t="s">
        <v>55</v>
      </c>
      <c r="F63" s="22" t="s">
        <v>2</v>
      </c>
      <c r="G63" s="22">
        <v>0.5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</row>
    <row r="64" spans="1:13">
      <c r="A64">
        <v>2011</v>
      </c>
      <c r="B64" t="s">
        <v>46</v>
      </c>
      <c r="C64" s="2">
        <v>40708</v>
      </c>
      <c r="D64">
        <v>116</v>
      </c>
      <c r="E64" s="22" t="s">
        <v>178</v>
      </c>
      <c r="F64" s="22">
        <v>21</v>
      </c>
      <c r="G64" s="22">
        <v>30</v>
      </c>
      <c r="H64" s="22">
        <v>6</v>
      </c>
      <c r="I64" s="22">
        <v>8</v>
      </c>
      <c r="J64" s="22">
        <v>11</v>
      </c>
      <c r="K64" s="22">
        <v>15</v>
      </c>
      <c r="L64" s="22">
        <v>81</v>
      </c>
      <c r="M64" s="22">
        <v>90</v>
      </c>
    </row>
    <row r="65" spans="1:13">
      <c r="A65">
        <v>2011</v>
      </c>
      <c r="B65" t="s">
        <v>46</v>
      </c>
      <c r="C65" s="2">
        <v>40708</v>
      </c>
      <c r="D65">
        <v>116</v>
      </c>
      <c r="E65" s="22" t="s">
        <v>179</v>
      </c>
      <c r="F65" s="22">
        <v>21</v>
      </c>
      <c r="G65" s="22">
        <v>30</v>
      </c>
      <c r="H65" s="22">
        <v>6</v>
      </c>
      <c r="I65" s="22">
        <v>8</v>
      </c>
      <c r="J65" s="22">
        <v>11</v>
      </c>
      <c r="K65" s="22">
        <v>15</v>
      </c>
      <c r="L65" s="22">
        <v>81</v>
      </c>
      <c r="M65" s="22">
        <v>90</v>
      </c>
    </row>
    <row r="66" spans="1:13">
      <c r="A66">
        <v>2011</v>
      </c>
      <c r="B66" t="s">
        <v>46</v>
      </c>
      <c r="C66" s="2">
        <v>40722</v>
      </c>
      <c r="D66">
        <v>117</v>
      </c>
      <c r="E66" s="22" t="s">
        <v>178</v>
      </c>
      <c r="F66" s="22">
        <v>1</v>
      </c>
      <c r="G66" s="22">
        <v>3</v>
      </c>
      <c r="H66" s="22">
        <v>6</v>
      </c>
      <c r="I66" s="22">
        <v>8</v>
      </c>
      <c r="J66" s="22">
        <v>41</v>
      </c>
      <c r="K66" s="22">
        <v>50</v>
      </c>
      <c r="L66" s="22">
        <v>81</v>
      </c>
      <c r="M66" s="22">
        <v>90</v>
      </c>
    </row>
    <row r="67" spans="1:13">
      <c r="A67">
        <v>2011</v>
      </c>
      <c r="B67" t="s">
        <v>46</v>
      </c>
      <c r="C67" s="2">
        <v>40722</v>
      </c>
      <c r="D67">
        <v>117</v>
      </c>
      <c r="E67" s="22" t="s">
        <v>179</v>
      </c>
      <c r="F67" s="22">
        <v>1</v>
      </c>
      <c r="G67" s="22">
        <v>3</v>
      </c>
      <c r="H67" s="22">
        <v>6</v>
      </c>
      <c r="I67" s="22">
        <v>8</v>
      </c>
      <c r="J67" s="22">
        <v>41</v>
      </c>
      <c r="K67" s="22">
        <v>50</v>
      </c>
      <c r="L67" s="22">
        <v>81</v>
      </c>
      <c r="M67" s="22">
        <v>90</v>
      </c>
    </row>
    <row r="68" spans="1:13">
      <c r="A68">
        <v>2011</v>
      </c>
      <c r="B68" t="s">
        <v>46</v>
      </c>
      <c r="C68" s="2">
        <v>40722</v>
      </c>
      <c r="D68">
        <v>117</v>
      </c>
      <c r="E68" s="22" t="s">
        <v>51</v>
      </c>
      <c r="F68" s="22" t="s">
        <v>2</v>
      </c>
      <c r="G68" s="22">
        <v>0.5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</row>
    <row r="69" spans="1:13">
      <c r="A69">
        <v>2011</v>
      </c>
      <c r="B69" t="s">
        <v>46</v>
      </c>
      <c r="C69" s="2">
        <v>40703</v>
      </c>
      <c r="D69">
        <v>118</v>
      </c>
      <c r="E69" s="22" t="s">
        <v>178</v>
      </c>
      <c r="F69" s="22">
        <v>6</v>
      </c>
      <c r="G69" s="22">
        <v>8</v>
      </c>
      <c r="H69" s="22">
        <v>1</v>
      </c>
      <c r="I69" s="22">
        <v>3</v>
      </c>
      <c r="J69" s="22">
        <v>41</v>
      </c>
      <c r="K69" s="22">
        <v>50</v>
      </c>
      <c r="L69" s="22">
        <v>81</v>
      </c>
      <c r="M69" s="22">
        <v>90</v>
      </c>
    </row>
    <row r="70" spans="1:13">
      <c r="A70">
        <v>2011</v>
      </c>
      <c r="B70" t="s">
        <v>46</v>
      </c>
      <c r="C70" s="2">
        <v>40703</v>
      </c>
      <c r="D70">
        <v>118</v>
      </c>
      <c r="E70" s="22" t="s">
        <v>179</v>
      </c>
      <c r="F70" s="22">
        <v>6</v>
      </c>
      <c r="G70" s="22">
        <v>8</v>
      </c>
      <c r="H70" s="22">
        <v>1</v>
      </c>
      <c r="I70" s="22">
        <v>3</v>
      </c>
      <c r="J70" s="22">
        <v>41</v>
      </c>
      <c r="K70" s="22">
        <v>50</v>
      </c>
      <c r="L70" s="22">
        <v>81</v>
      </c>
      <c r="M70" s="22">
        <v>90</v>
      </c>
    </row>
    <row r="71" spans="1:13">
      <c r="A71">
        <v>2011</v>
      </c>
      <c r="B71" t="s">
        <v>46</v>
      </c>
      <c r="C71" s="2">
        <v>40708</v>
      </c>
      <c r="D71">
        <v>119</v>
      </c>
      <c r="E71" s="22" t="s">
        <v>178</v>
      </c>
      <c r="F71" s="22">
        <v>21</v>
      </c>
      <c r="G71" s="22">
        <v>30</v>
      </c>
      <c r="H71" s="22">
        <v>11</v>
      </c>
      <c r="I71" s="22">
        <v>15</v>
      </c>
      <c r="J71" s="22">
        <v>41</v>
      </c>
      <c r="K71" s="22">
        <v>50</v>
      </c>
      <c r="L71" s="22">
        <v>81</v>
      </c>
      <c r="M71" s="22">
        <v>90</v>
      </c>
    </row>
    <row r="72" spans="1:13">
      <c r="A72">
        <v>2011</v>
      </c>
      <c r="B72" t="s">
        <v>46</v>
      </c>
      <c r="C72" s="2">
        <v>40708</v>
      </c>
      <c r="D72">
        <v>119</v>
      </c>
      <c r="E72" s="22" t="s">
        <v>179</v>
      </c>
      <c r="F72" s="22">
        <v>21</v>
      </c>
      <c r="G72" s="22">
        <v>30</v>
      </c>
      <c r="H72" s="22">
        <v>11</v>
      </c>
      <c r="I72" s="22">
        <v>15</v>
      </c>
      <c r="J72" s="22">
        <v>41</v>
      </c>
      <c r="K72" s="22">
        <v>50</v>
      </c>
      <c r="L72" s="22">
        <v>81</v>
      </c>
      <c r="M72" s="22">
        <v>90</v>
      </c>
    </row>
    <row r="73" spans="1:13">
      <c r="A73">
        <v>2011</v>
      </c>
      <c r="B73" t="s">
        <v>46</v>
      </c>
      <c r="C73" s="2">
        <v>40708</v>
      </c>
      <c r="D73">
        <v>119</v>
      </c>
      <c r="E73" s="22" t="s">
        <v>72</v>
      </c>
      <c r="F73" s="22" t="s">
        <v>2</v>
      </c>
      <c r="G73" s="22">
        <v>0.5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</row>
    <row r="74" spans="1:13">
      <c r="A74">
        <v>2011</v>
      </c>
      <c r="B74" t="s">
        <v>46</v>
      </c>
      <c r="C74" s="2">
        <v>40708</v>
      </c>
      <c r="D74">
        <v>119</v>
      </c>
      <c r="E74" s="22" t="s">
        <v>67</v>
      </c>
      <c r="F74" s="22" t="s">
        <v>2</v>
      </c>
      <c r="G74" s="22">
        <v>0.5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</row>
    <row r="75" spans="1:13">
      <c r="A75">
        <v>2011</v>
      </c>
      <c r="B75" t="s">
        <v>46</v>
      </c>
      <c r="C75" s="2">
        <v>40708</v>
      </c>
      <c r="D75">
        <v>119</v>
      </c>
      <c r="E75" s="22" t="s">
        <v>181</v>
      </c>
      <c r="F75" s="22" t="s">
        <v>2</v>
      </c>
      <c r="G75" s="22">
        <v>0.5</v>
      </c>
      <c r="H75" s="22" t="s">
        <v>2</v>
      </c>
      <c r="I75" s="22">
        <v>0.5</v>
      </c>
      <c r="J75" s="22">
        <v>0</v>
      </c>
      <c r="K75" s="22">
        <v>0</v>
      </c>
      <c r="L75" s="22">
        <v>0</v>
      </c>
      <c r="M75" s="22">
        <v>0</v>
      </c>
    </row>
    <row r="76" spans="1:13">
      <c r="A76">
        <v>2011</v>
      </c>
      <c r="B76" t="s">
        <v>46</v>
      </c>
      <c r="C76" s="2">
        <v>40708</v>
      </c>
      <c r="D76">
        <v>120</v>
      </c>
      <c r="E76" s="22" t="s">
        <v>178</v>
      </c>
      <c r="F76" s="22">
        <v>21</v>
      </c>
      <c r="G76" s="22">
        <v>30</v>
      </c>
      <c r="H76" s="22">
        <v>11</v>
      </c>
      <c r="I76" s="22">
        <v>15</v>
      </c>
      <c r="J76" s="22">
        <v>41</v>
      </c>
      <c r="K76" s="22">
        <v>50</v>
      </c>
      <c r="L76" s="22">
        <v>81</v>
      </c>
      <c r="M76" s="22">
        <v>90</v>
      </c>
    </row>
    <row r="77" spans="1:13">
      <c r="A77">
        <v>2011</v>
      </c>
      <c r="B77" t="s">
        <v>46</v>
      </c>
      <c r="C77" s="2">
        <v>40708</v>
      </c>
      <c r="D77">
        <v>120</v>
      </c>
      <c r="E77" s="22" t="s">
        <v>179</v>
      </c>
      <c r="F77" s="22">
        <v>21</v>
      </c>
      <c r="G77" s="22">
        <v>30</v>
      </c>
      <c r="H77" s="22">
        <v>11</v>
      </c>
      <c r="I77" s="22">
        <v>15</v>
      </c>
      <c r="J77" s="22">
        <v>41</v>
      </c>
      <c r="K77" s="22">
        <v>50</v>
      </c>
      <c r="L77" s="22">
        <v>81</v>
      </c>
      <c r="M77" s="22">
        <v>90</v>
      </c>
    </row>
    <row r="78" spans="1:13">
      <c r="A78">
        <v>2011</v>
      </c>
      <c r="B78" t="s">
        <v>46</v>
      </c>
      <c r="C78" s="2">
        <v>40708</v>
      </c>
      <c r="D78">
        <v>120</v>
      </c>
      <c r="E78" s="22" t="s">
        <v>67</v>
      </c>
      <c r="F78" s="22" t="s">
        <v>2</v>
      </c>
      <c r="G78" s="22">
        <v>0.5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</row>
    <row r="79" spans="1:13">
      <c r="A79">
        <v>2011</v>
      </c>
      <c r="B79" t="s">
        <v>46</v>
      </c>
      <c r="C79" s="2">
        <v>40708</v>
      </c>
      <c r="D79">
        <v>120</v>
      </c>
      <c r="E79" s="22" t="s">
        <v>51</v>
      </c>
      <c r="F79" s="22" t="s">
        <v>2</v>
      </c>
      <c r="G79" s="22">
        <v>0.5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0"/>
  <sheetViews>
    <sheetView workbookViewId="0">
      <pane ySplit="3" topLeftCell="A4" activePane="bottomLeft" state="frozen"/>
      <selection pane="bottomLeft" activeCell="I15" sqref="I15"/>
    </sheetView>
  </sheetViews>
  <sheetFormatPr defaultRowHeight="12.75"/>
  <cols>
    <col min="1" max="1" width="8.7109375" customWidth="1"/>
    <col min="3" max="3" width="9.140625" style="2" customWidth="1"/>
    <col min="5" max="5" width="18" customWidth="1"/>
  </cols>
  <sheetData>
    <row r="1" spans="1:11">
      <c r="A1" s="2" t="s">
        <v>182</v>
      </c>
      <c r="F1" t="s">
        <v>183</v>
      </c>
      <c r="G1">
        <f>3.14159*(8*8)</f>
        <v>201.06175999999999</v>
      </c>
    </row>
    <row r="3" spans="1:11" ht="13.5" thickBot="1">
      <c r="A3" s="31" t="s">
        <v>8</v>
      </c>
      <c r="B3" s="31" t="s">
        <v>9</v>
      </c>
      <c r="C3" s="5" t="s">
        <v>10</v>
      </c>
      <c r="D3" s="6" t="s">
        <v>11</v>
      </c>
      <c r="E3" s="6" t="s">
        <v>12</v>
      </c>
      <c r="F3" s="6" t="s">
        <v>184</v>
      </c>
      <c r="G3" s="6" t="s">
        <v>185</v>
      </c>
      <c r="H3" s="6" t="s">
        <v>186</v>
      </c>
      <c r="I3" s="6" t="s">
        <v>187</v>
      </c>
      <c r="J3" s="6" t="s">
        <v>188</v>
      </c>
      <c r="K3" t="s">
        <v>45</v>
      </c>
    </row>
    <row r="4" spans="1:11" ht="13.5" thickTop="1">
      <c r="A4">
        <v>2011</v>
      </c>
      <c r="B4" s="22" t="s">
        <v>46</v>
      </c>
      <c r="C4" s="2">
        <v>40718</v>
      </c>
      <c r="D4">
        <v>28</v>
      </c>
      <c r="E4" s="22" t="s">
        <v>189</v>
      </c>
      <c r="F4" s="22">
        <v>1</v>
      </c>
      <c r="G4" s="22">
        <v>2</v>
      </c>
      <c r="H4" s="22">
        <v>5</v>
      </c>
      <c r="I4" s="22">
        <v>3</v>
      </c>
      <c r="J4">
        <f>SUM(F4:I4)</f>
        <v>11</v>
      </c>
    </row>
    <row r="5" spans="1:11">
      <c r="A5">
        <v>2011</v>
      </c>
      <c r="B5" s="22" t="s">
        <v>46</v>
      </c>
      <c r="C5" s="2">
        <v>40718</v>
      </c>
      <c r="D5">
        <v>28</v>
      </c>
      <c r="E5" s="22" t="s">
        <v>48</v>
      </c>
      <c r="F5" s="22">
        <v>7</v>
      </c>
      <c r="G5" s="22">
        <v>1</v>
      </c>
      <c r="H5" s="22">
        <v>4</v>
      </c>
      <c r="I5" s="22">
        <v>3</v>
      </c>
      <c r="J5">
        <f t="shared" ref="J5:J53" si="0">SUM(F5:I5)</f>
        <v>15</v>
      </c>
    </row>
    <row r="6" spans="1:11">
      <c r="A6">
        <v>2011</v>
      </c>
      <c r="B6" s="22" t="s">
        <v>46</v>
      </c>
      <c r="C6" s="2">
        <v>40718</v>
      </c>
      <c r="D6">
        <v>28</v>
      </c>
      <c r="E6" s="22" t="s">
        <v>49</v>
      </c>
      <c r="F6" s="22">
        <v>1</v>
      </c>
      <c r="G6" s="22">
        <v>3</v>
      </c>
      <c r="H6" s="22">
        <v>1</v>
      </c>
      <c r="I6" s="22">
        <v>1</v>
      </c>
      <c r="J6">
        <f t="shared" si="0"/>
        <v>6</v>
      </c>
    </row>
    <row r="7" spans="1:11">
      <c r="A7">
        <v>2011</v>
      </c>
      <c r="B7" s="22" t="s">
        <v>46</v>
      </c>
      <c r="C7" s="2">
        <v>40718</v>
      </c>
      <c r="D7">
        <v>28</v>
      </c>
      <c r="E7" s="22" t="s">
        <v>47</v>
      </c>
      <c r="F7" s="22">
        <v>0</v>
      </c>
      <c r="G7" s="22">
        <v>1</v>
      </c>
      <c r="H7" s="22">
        <v>1</v>
      </c>
      <c r="I7" s="22">
        <v>0</v>
      </c>
      <c r="J7">
        <f t="shared" si="0"/>
        <v>2</v>
      </c>
    </row>
    <row r="8" spans="1:11">
      <c r="A8">
        <v>2011</v>
      </c>
      <c r="B8" s="22" t="s">
        <v>46</v>
      </c>
      <c r="C8" s="2">
        <v>40718</v>
      </c>
      <c r="D8">
        <v>29</v>
      </c>
      <c r="E8" s="22" t="s">
        <v>48</v>
      </c>
      <c r="F8" s="22">
        <v>2</v>
      </c>
      <c r="G8" s="22">
        <v>1</v>
      </c>
      <c r="H8" s="22">
        <v>5</v>
      </c>
      <c r="I8" s="22">
        <v>3</v>
      </c>
      <c r="J8">
        <f t="shared" si="0"/>
        <v>11</v>
      </c>
      <c r="K8" t="s">
        <v>190</v>
      </c>
    </row>
    <row r="9" spans="1:11">
      <c r="A9">
        <v>2011</v>
      </c>
      <c r="B9" s="22" t="s">
        <v>46</v>
      </c>
      <c r="C9" s="2">
        <v>40718</v>
      </c>
      <c r="D9">
        <v>29</v>
      </c>
      <c r="E9" s="22" t="s">
        <v>49</v>
      </c>
      <c r="F9" s="22">
        <v>1</v>
      </c>
      <c r="G9" s="22">
        <v>0</v>
      </c>
      <c r="H9" s="22">
        <v>0</v>
      </c>
      <c r="I9" s="22">
        <v>0</v>
      </c>
      <c r="J9">
        <f t="shared" si="0"/>
        <v>1</v>
      </c>
    </row>
    <row r="10" spans="1:11">
      <c r="A10">
        <v>2011</v>
      </c>
      <c r="B10" s="22" t="s">
        <v>46</v>
      </c>
      <c r="C10" s="2">
        <v>40718</v>
      </c>
      <c r="D10">
        <v>29</v>
      </c>
      <c r="E10" s="22" t="s">
        <v>189</v>
      </c>
      <c r="F10" s="22">
        <v>1</v>
      </c>
      <c r="G10" s="22">
        <v>0</v>
      </c>
      <c r="H10" s="22">
        <v>0</v>
      </c>
      <c r="I10" s="22">
        <v>0</v>
      </c>
      <c r="J10">
        <f t="shared" si="0"/>
        <v>1</v>
      </c>
    </row>
    <row r="11" spans="1:11">
      <c r="A11">
        <v>2011</v>
      </c>
      <c r="B11" s="22" t="s">
        <v>46</v>
      </c>
      <c r="C11" s="2">
        <v>40718</v>
      </c>
      <c r="D11">
        <v>29</v>
      </c>
      <c r="E11" s="22" t="s">
        <v>191</v>
      </c>
      <c r="F11">
        <f>(1.5*1.1)</f>
        <v>1.6500000000000001</v>
      </c>
      <c r="G11" s="22">
        <v>0</v>
      </c>
      <c r="H11" s="22">
        <v>0</v>
      </c>
      <c r="I11" s="22">
        <v>0</v>
      </c>
      <c r="J11">
        <f t="shared" si="0"/>
        <v>1.6500000000000001</v>
      </c>
    </row>
    <row r="12" spans="1:11">
      <c r="A12">
        <v>2011</v>
      </c>
      <c r="B12" s="22" t="s">
        <v>46</v>
      </c>
      <c r="C12" s="2">
        <v>40718</v>
      </c>
      <c r="D12">
        <v>30</v>
      </c>
      <c r="E12" s="22" t="s">
        <v>49</v>
      </c>
      <c r="F12" s="22">
        <v>7</v>
      </c>
      <c r="G12" s="22">
        <v>2</v>
      </c>
      <c r="H12" s="45">
        <v>5</v>
      </c>
      <c r="I12" s="22">
        <v>5</v>
      </c>
      <c r="J12">
        <f t="shared" si="0"/>
        <v>19</v>
      </c>
    </row>
    <row r="13" spans="1:11">
      <c r="A13">
        <v>2011</v>
      </c>
      <c r="B13" s="22" t="s">
        <v>46</v>
      </c>
      <c r="C13" s="2">
        <v>40718</v>
      </c>
      <c r="D13">
        <v>30</v>
      </c>
      <c r="E13" s="22" t="s">
        <v>48</v>
      </c>
      <c r="F13" s="22">
        <v>0</v>
      </c>
      <c r="G13" s="22">
        <v>0</v>
      </c>
      <c r="H13" s="22">
        <v>0</v>
      </c>
      <c r="I13" s="22">
        <v>0</v>
      </c>
      <c r="J13">
        <f t="shared" si="0"/>
        <v>0</v>
      </c>
    </row>
    <row r="14" spans="1:11">
      <c r="A14">
        <v>2011</v>
      </c>
      <c r="B14" s="22" t="s">
        <v>46</v>
      </c>
      <c r="C14" s="2">
        <v>40718</v>
      </c>
      <c r="D14">
        <v>30</v>
      </c>
      <c r="E14" s="22" t="s">
        <v>189</v>
      </c>
      <c r="F14" s="22">
        <v>0</v>
      </c>
      <c r="G14" s="22">
        <v>0</v>
      </c>
      <c r="H14" s="22">
        <v>3</v>
      </c>
      <c r="I14" s="22">
        <v>0</v>
      </c>
      <c r="J14">
        <f t="shared" si="0"/>
        <v>3</v>
      </c>
    </row>
    <row r="15" spans="1:11">
      <c r="A15">
        <v>2011</v>
      </c>
      <c r="B15" s="22" t="s">
        <v>46</v>
      </c>
      <c r="C15" s="2">
        <v>40703</v>
      </c>
      <c r="D15">
        <v>82</v>
      </c>
      <c r="E15" s="22" t="s">
        <v>48</v>
      </c>
      <c r="F15" s="22">
        <v>2</v>
      </c>
      <c r="G15" s="22">
        <v>2</v>
      </c>
      <c r="H15" s="22">
        <v>3</v>
      </c>
      <c r="I15" s="22">
        <v>0</v>
      </c>
      <c r="J15">
        <f t="shared" si="0"/>
        <v>7</v>
      </c>
    </row>
    <row r="16" spans="1:11">
      <c r="A16">
        <v>2011</v>
      </c>
      <c r="B16" s="22" t="s">
        <v>46</v>
      </c>
      <c r="C16" s="2">
        <v>40703</v>
      </c>
      <c r="D16">
        <v>83</v>
      </c>
      <c r="E16" s="22" t="s">
        <v>52</v>
      </c>
      <c r="F16" s="22">
        <v>1</v>
      </c>
      <c r="G16" s="22">
        <v>0</v>
      </c>
      <c r="H16" s="22">
        <v>0</v>
      </c>
      <c r="I16" s="22">
        <v>0</v>
      </c>
      <c r="J16">
        <f t="shared" si="0"/>
        <v>1</v>
      </c>
    </row>
    <row r="17" spans="1:11">
      <c r="A17">
        <v>2011</v>
      </c>
      <c r="B17" s="22" t="s">
        <v>46</v>
      </c>
      <c r="C17" s="2">
        <v>40703</v>
      </c>
      <c r="D17">
        <v>83</v>
      </c>
      <c r="E17" s="22" t="s">
        <v>48</v>
      </c>
      <c r="F17" s="22">
        <v>1</v>
      </c>
      <c r="G17" s="22">
        <v>0</v>
      </c>
      <c r="H17" s="22">
        <v>6</v>
      </c>
      <c r="I17" s="22">
        <v>5</v>
      </c>
      <c r="J17">
        <f t="shared" si="0"/>
        <v>12</v>
      </c>
    </row>
    <row r="18" spans="1:11">
      <c r="A18">
        <v>2011</v>
      </c>
      <c r="B18" s="22" t="s">
        <v>46</v>
      </c>
      <c r="C18" s="2">
        <v>40703</v>
      </c>
      <c r="D18">
        <v>83</v>
      </c>
      <c r="E18" s="22" t="s">
        <v>49</v>
      </c>
      <c r="F18" s="22">
        <v>0</v>
      </c>
      <c r="G18" s="22">
        <v>1</v>
      </c>
      <c r="H18" s="22">
        <v>0</v>
      </c>
      <c r="I18" s="22">
        <v>0</v>
      </c>
      <c r="J18">
        <f t="shared" si="0"/>
        <v>1</v>
      </c>
    </row>
    <row r="19" spans="1:11">
      <c r="A19">
        <v>2011</v>
      </c>
      <c r="B19" s="22" t="s">
        <v>46</v>
      </c>
      <c r="C19" s="2">
        <v>40703</v>
      </c>
      <c r="D19">
        <v>83</v>
      </c>
      <c r="E19" s="22" t="s">
        <v>189</v>
      </c>
      <c r="F19" s="22">
        <v>0</v>
      </c>
      <c r="G19" s="22">
        <v>2</v>
      </c>
      <c r="H19" s="22">
        <v>0</v>
      </c>
      <c r="I19" s="22">
        <v>0</v>
      </c>
      <c r="J19">
        <f t="shared" si="0"/>
        <v>2</v>
      </c>
    </row>
    <row r="20" spans="1:11">
      <c r="A20">
        <v>2011</v>
      </c>
      <c r="B20" s="22" t="s">
        <v>46</v>
      </c>
      <c r="C20" s="2">
        <v>40703</v>
      </c>
      <c r="D20">
        <v>84</v>
      </c>
      <c r="E20" s="22" t="s">
        <v>48</v>
      </c>
      <c r="F20" s="22">
        <v>3</v>
      </c>
      <c r="G20" s="22">
        <v>1</v>
      </c>
      <c r="H20" s="22">
        <v>1</v>
      </c>
      <c r="I20" s="22">
        <v>1</v>
      </c>
      <c r="J20">
        <f t="shared" si="0"/>
        <v>6</v>
      </c>
    </row>
    <row r="21" spans="1:11">
      <c r="A21">
        <v>2011</v>
      </c>
      <c r="B21" s="22" t="s">
        <v>46</v>
      </c>
      <c r="C21" s="2">
        <v>40703</v>
      </c>
      <c r="D21">
        <v>84</v>
      </c>
      <c r="E21" s="22" t="s">
        <v>49</v>
      </c>
      <c r="F21" s="22">
        <v>0</v>
      </c>
      <c r="G21" s="22">
        <v>0</v>
      </c>
      <c r="H21" s="22">
        <v>3</v>
      </c>
      <c r="I21" s="22">
        <v>1</v>
      </c>
      <c r="J21">
        <f t="shared" si="0"/>
        <v>4</v>
      </c>
      <c r="K21" t="s">
        <v>192</v>
      </c>
    </row>
    <row r="22" spans="1:11">
      <c r="A22">
        <v>2011</v>
      </c>
      <c r="B22" s="22" t="s">
        <v>46</v>
      </c>
      <c r="C22" s="2">
        <v>40703</v>
      </c>
      <c r="D22">
        <v>84</v>
      </c>
      <c r="E22" s="22" t="s">
        <v>54</v>
      </c>
      <c r="F22" s="22">
        <v>0</v>
      </c>
      <c r="G22" s="22">
        <v>0</v>
      </c>
      <c r="H22" s="22">
        <v>1</v>
      </c>
      <c r="I22" s="22">
        <v>0</v>
      </c>
      <c r="J22">
        <f t="shared" si="0"/>
        <v>1</v>
      </c>
    </row>
    <row r="23" spans="1:11">
      <c r="A23">
        <v>2011</v>
      </c>
      <c r="B23" s="22" t="s">
        <v>46</v>
      </c>
      <c r="C23" s="2">
        <v>40703</v>
      </c>
      <c r="D23">
        <v>84</v>
      </c>
      <c r="E23" s="22" t="s">
        <v>189</v>
      </c>
      <c r="F23" s="22">
        <v>0</v>
      </c>
      <c r="G23" s="22">
        <v>0</v>
      </c>
      <c r="H23" s="22">
        <v>1</v>
      </c>
      <c r="I23" s="22">
        <v>0</v>
      </c>
      <c r="J23">
        <f t="shared" si="0"/>
        <v>1</v>
      </c>
    </row>
    <row r="24" spans="1:11">
      <c r="A24">
        <v>2011</v>
      </c>
      <c r="B24" s="22" t="s">
        <v>46</v>
      </c>
      <c r="C24" s="2">
        <v>40703</v>
      </c>
      <c r="D24">
        <v>85</v>
      </c>
      <c r="E24" s="22" t="s">
        <v>47</v>
      </c>
      <c r="F24" s="22">
        <v>1</v>
      </c>
      <c r="G24" s="22">
        <v>0</v>
      </c>
      <c r="H24" s="22">
        <v>0</v>
      </c>
      <c r="I24" s="22">
        <v>0</v>
      </c>
      <c r="J24">
        <f t="shared" si="0"/>
        <v>1</v>
      </c>
    </row>
    <row r="25" spans="1:11">
      <c r="A25">
        <v>2011</v>
      </c>
      <c r="B25" s="22" t="s">
        <v>46</v>
      </c>
      <c r="C25" s="2">
        <v>40703</v>
      </c>
      <c r="D25">
        <v>85</v>
      </c>
      <c r="E25" s="22" t="s">
        <v>193</v>
      </c>
      <c r="F25" s="22">
        <v>1</v>
      </c>
      <c r="G25" s="22">
        <v>0</v>
      </c>
      <c r="H25" s="22">
        <v>0</v>
      </c>
      <c r="I25" s="22">
        <v>0</v>
      </c>
      <c r="J25">
        <f t="shared" si="0"/>
        <v>1</v>
      </c>
    </row>
    <row r="26" spans="1:11">
      <c r="A26">
        <v>2011</v>
      </c>
      <c r="B26" s="22" t="s">
        <v>46</v>
      </c>
      <c r="C26" s="2">
        <v>40703</v>
      </c>
      <c r="D26">
        <v>85</v>
      </c>
      <c r="E26" s="22" t="s">
        <v>194</v>
      </c>
      <c r="F26" s="22">
        <v>0</v>
      </c>
      <c r="G26" s="22">
        <v>2</v>
      </c>
      <c r="H26" s="22">
        <v>0</v>
      </c>
      <c r="I26" s="22">
        <v>0</v>
      </c>
      <c r="J26">
        <f t="shared" si="0"/>
        <v>2</v>
      </c>
    </row>
    <row r="27" spans="1:11">
      <c r="A27">
        <v>2011</v>
      </c>
      <c r="B27" s="22" t="s">
        <v>46</v>
      </c>
      <c r="C27" s="2">
        <v>40703</v>
      </c>
      <c r="D27">
        <v>85</v>
      </c>
      <c r="E27" s="22" t="s">
        <v>195</v>
      </c>
      <c r="F27" s="22">
        <v>0</v>
      </c>
      <c r="G27" s="22">
        <v>0</v>
      </c>
      <c r="H27" s="22">
        <v>0</v>
      </c>
      <c r="I27" s="22">
        <v>3</v>
      </c>
      <c r="J27">
        <f t="shared" si="0"/>
        <v>3</v>
      </c>
      <c r="K27" t="s">
        <v>196</v>
      </c>
    </row>
    <row r="28" spans="1:11">
      <c r="A28">
        <v>2011</v>
      </c>
      <c r="B28" s="22" t="s">
        <v>46</v>
      </c>
      <c r="C28" s="2">
        <v>40703</v>
      </c>
      <c r="D28">
        <v>85</v>
      </c>
      <c r="E28" s="22" t="s">
        <v>71</v>
      </c>
      <c r="F28">
        <f>(1.1*0.8)</f>
        <v>0.88000000000000012</v>
      </c>
      <c r="G28">
        <f>(1.2*0.6)</f>
        <v>0.72</v>
      </c>
      <c r="H28">
        <f>(2.2*2.3)+(3*2.2)+(1.5*2.6)</f>
        <v>15.56</v>
      </c>
      <c r="I28">
        <f>(0.6*0.7)+(1.3*1.1)+(0.8*0.5)+(0.5*0.4)+(1.8*1.3)+(0.4*0.5)</f>
        <v>4.9900000000000011</v>
      </c>
      <c r="J28">
        <f t="shared" si="0"/>
        <v>22.150000000000002</v>
      </c>
    </row>
    <row r="29" spans="1:11">
      <c r="A29">
        <v>2011</v>
      </c>
      <c r="B29" s="22" t="s">
        <v>46</v>
      </c>
      <c r="C29" s="2">
        <v>40703</v>
      </c>
      <c r="D29">
        <v>85</v>
      </c>
      <c r="E29" s="22" t="s">
        <v>85</v>
      </c>
      <c r="F29">
        <f>(0.4*0.4)</f>
        <v>0.16000000000000003</v>
      </c>
      <c r="G29">
        <v>0</v>
      </c>
      <c r="H29">
        <v>0</v>
      </c>
      <c r="I29">
        <v>0</v>
      </c>
      <c r="J29">
        <f t="shared" si="0"/>
        <v>0.16000000000000003</v>
      </c>
    </row>
    <row r="30" spans="1:11">
      <c r="A30">
        <v>2011</v>
      </c>
      <c r="B30" s="22" t="s">
        <v>46</v>
      </c>
      <c r="C30" s="2">
        <v>40702</v>
      </c>
      <c r="D30">
        <v>86</v>
      </c>
      <c r="E30" s="22" t="s">
        <v>194</v>
      </c>
      <c r="F30" s="22">
        <v>0</v>
      </c>
      <c r="G30" s="22">
        <v>0</v>
      </c>
      <c r="H30" s="22">
        <v>0</v>
      </c>
      <c r="I30" s="22">
        <v>1</v>
      </c>
      <c r="J30">
        <f t="shared" si="0"/>
        <v>1</v>
      </c>
    </row>
    <row r="31" spans="1:11">
      <c r="A31">
        <v>2011</v>
      </c>
      <c r="B31" s="22" t="s">
        <v>46</v>
      </c>
      <c r="C31" s="2">
        <v>40702</v>
      </c>
      <c r="D31">
        <v>86</v>
      </c>
      <c r="E31" s="22" t="s">
        <v>197</v>
      </c>
      <c r="F31">
        <f>(1.5*1.7)</f>
        <v>2.5499999999999998</v>
      </c>
      <c r="G31">
        <f>(1.4*1)</f>
        <v>1.4</v>
      </c>
      <c r="H31" s="22">
        <v>0</v>
      </c>
      <c r="I31" s="22">
        <v>0</v>
      </c>
      <c r="J31">
        <f t="shared" si="0"/>
        <v>3.9499999999999997</v>
      </c>
    </row>
    <row r="32" spans="1:11">
      <c r="A32">
        <v>2011</v>
      </c>
      <c r="B32" s="22" t="s">
        <v>46</v>
      </c>
      <c r="C32" s="2">
        <v>40702</v>
      </c>
      <c r="D32">
        <v>86</v>
      </c>
      <c r="E32" s="22" t="s">
        <v>75</v>
      </c>
      <c r="F32" s="22">
        <v>0</v>
      </c>
      <c r="G32">
        <f>(0.7*0.2)</f>
        <v>0.13999999999999999</v>
      </c>
      <c r="H32">
        <f>(1.6*1.3)</f>
        <v>2.08</v>
      </c>
      <c r="I32" s="22">
        <v>0</v>
      </c>
      <c r="J32">
        <f t="shared" si="0"/>
        <v>2.2200000000000002</v>
      </c>
    </row>
    <row r="33" spans="1:11">
      <c r="A33">
        <v>2011</v>
      </c>
      <c r="B33" s="22" t="s">
        <v>46</v>
      </c>
      <c r="C33" s="2">
        <v>40702</v>
      </c>
      <c r="D33">
        <v>86</v>
      </c>
      <c r="E33" s="22" t="s">
        <v>73</v>
      </c>
      <c r="F33" s="22">
        <v>0</v>
      </c>
      <c r="G33" s="22">
        <v>0</v>
      </c>
      <c r="H33">
        <f>(2.5*1.1)+(1.1*2)+(1.9*1.7)</f>
        <v>8.18</v>
      </c>
      <c r="I33">
        <f>(1.1*1)+(1.5*1.1)</f>
        <v>2.75</v>
      </c>
      <c r="J33">
        <f t="shared" si="0"/>
        <v>10.93</v>
      </c>
    </row>
    <row r="34" spans="1:11">
      <c r="A34">
        <v>2011</v>
      </c>
      <c r="B34" s="22" t="s">
        <v>46</v>
      </c>
      <c r="C34" s="2">
        <v>40702</v>
      </c>
      <c r="D34">
        <v>86</v>
      </c>
      <c r="E34" s="22" t="s">
        <v>71</v>
      </c>
      <c r="F34" s="22">
        <v>0</v>
      </c>
      <c r="G34" s="22">
        <v>0</v>
      </c>
      <c r="H34">
        <f>(1.3*1.2)+(1.6*0.6)+(1.4*0.9)</f>
        <v>3.7800000000000002</v>
      </c>
      <c r="I34">
        <v>0</v>
      </c>
      <c r="J34">
        <f t="shared" si="0"/>
        <v>3.7800000000000002</v>
      </c>
    </row>
    <row r="35" spans="1:11">
      <c r="A35">
        <v>2011</v>
      </c>
      <c r="B35" s="22" t="s">
        <v>46</v>
      </c>
      <c r="C35" s="2">
        <v>40703</v>
      </c>
      <c r="D35">
        <v>87</v>
      </c>
      <c r="E35" s="22" t="s">
        <v>54</v>
      </c>
      <c r="F35" s="22">
        <v>0</v>
      </c>
      <c r="G35" s="22">
        <v>1</v>
      </c>
      <c r="H35" s="22">
        <v>1</v>
      </c>
      <c r="I35" s="22">
        <v>4</v>
      </c>
      <c r="J35">
        <f t="shared" si="0"/>
        <v>6</v>
      </c>
    </row>
    <row r="36" spans="1:11">
      <c r="A36">
        <v>2011</v>
      </c>
      <c r="B36" s="22" t="s">
        <v>46</v>
      </c>
      <c r="C36" s="2">
        <v>40703</v>
      </c>
      <c r="D36">
        <v>87</v>
      </c>
      <c r="E36" s="22" t="s">
        <v>47</v>
      </c>
      <c r="F36" s="22">
        <v>0</v>
      </c>
      <c r="G36" s="22">
        <v>2</v>
      </c>
      <c r="H36" s="22">
        <v>0</v>
      </c>
      <c r="I36" s="22">
        <v>0</v>
      </c>
      <c r="J36">
        <f t="shared" si="0"/>
        <v>2</v>
      </c>
    </row>
    <row r="37" spans="1:11">
      <c r="A37">
        <v>2011</v>
      </c>
      <c r="B37" s="22" t="s">
        <v>46</v>
      </c>
      <c r="C37" s="2">
        <v>40703</v>
      </c>
      <c r="D37">
        <v>87</v>
      </c>
      <c r="E37" s="22" t="s">
        <v>195</v>
      </c>
      <c r="F37" s="22">
        <v>0</v>
      </c>
      <c r="G37" s="22">
        <v>0</v>
      </c>
      <c r="H37" s="22">
        <v>0</v>
      </c>
      <c r="I37" s="22">
        <v>2</v>
      </c>
      <c r="J37">
        <f t="shared" si="0"/>
        <v>2</v>
      </c>
    </row>
    <row r="38" spans="1:11">
      <c r="A38">
        <v>2011</v>
      </c>
      <c r="B38" s="22" t="s">
        <v>46</v>
      </c>
      <c r="C38" s="2">
        <v>40703</v>
      </c>
      <c r="D38">
        <v>87</v>
      </c>
      <c r="E38" s="22" t="s">
        <v>74</v>
      </c>
      <c r="F38">
        <f>(3*1.7)</f>
        <v>5.0999999999999996</v>
      </c>
      <c r="G38" s="22">
        <v>0</v>
      </c>
      <c r="H38" s="22">
        <v>0</v>
      </c>
      <c r="I38" s="22">
        <v>0</v>
      </c>
      <c r="J38">
        <f t="shared" si="0"/>
        <v>5.0999999999999996</v>
      </c>
      <c r="K38" t="s">
        <v>198</v>
      </c>
    </row>
    <row r="39" spans="1:11">
      <c r="A39">
        <v>2011</v>
      </c>
      <c r="B39" s="22" t="s">
        <v>46</v>
      </c>
      <c r="C39" s="2">
        <v>40703</v>
      </c>
      <c r="D39">
        <v>87</v>
      </c>
      <c r="E39" s="22" t="s">
        <v>180</v>
      </c>
      <c r="F39" s="22">
        <v>0</v>
      </c>
      <c r="G39" s="22">
        <v>0</v>
      </c>
      <c r="H39">
        <f>(1.2*0.8)</f>
        <v>0.96</v>
      </c>
      <c r="I39" s="22">
        <v>0</v>
      </c>
      <c r="J39">
        <f t="shared" si="0"/>
        <v>0.96</v>
      </c>
    </row>
    <row r="40" spans="1:11">
      <c r="A40">
        <v>2011</v>
      </c>
      <c r="B40" s="22" t="s">
        <v>46</v>
      </c>
      <c r="C40" s="2">
        <v>40703</v>
      </c>
      <c r="D40">
        <v>87</v>
      </c>
      <c r="E40" s="22" t="s">
        <v>71</v>
      </c>
      <c r="F40" s="22">
        <v>0</v>
      </c>
      <c r="G40" s="22">
        <v>0</v>
      </c>
      <c r="H40" s="22">
        <v>0</v>
      </c>
      <c r="I40">
        <f>(1.1*0.5)+(0.6*0.6)</f>
        <v>0.91</v>
      </c>
      <c r="J40">
        <f t="shared" si="0"/>
        <v>0.91</v>
      </c>
    </row>
    <row r="41" spans="1:11">
      <c r="A41">
        <v>2011</v>
      </c>
      <c r="B41" s="22" t="s">
        <v>46</v>
      </c>
      <c r="C41" s="2">
        <v>40714</v>
      </c>
      <c r="D41">
        <v>88</v>
      </c>
      <c r="E41" s="22" t="s">
        <v>199</v>
      </c>
      <c r="F41" s="22">
        <v>0</v>
      </c>
      <c r="G41" s="22">
        <v>0</v>
      </c>
      <c r="H41" s="22">
        <v>0</v>
      </c>
      <c r="I41" s="22">
        <v>0</v>
      </c>
      <c r="J41">
        <f t="shared" si="0"/>
        <v>0</v>
      </c>
      <c r="K41" s="22" t="s">
        <v>200</v>
      </c>
    </row>
    <row r="42" spans="1:11">
      <c r="A42">
        <v>2011</v>
      </c>
      <c r="B42" s="22" t="s">
        <v>46</v>
      </c>
      <c r="C42" s="2">
        <v>40704</v>
      </c>
      <c r="D42">
        <v>89</v>
      </c>
      <c r="E42" s="22" t="s">
        <v>199</v>
      </c>
      <c r="F42" s="22">
        <v>0</v>
      </c>
      <c r="G42" s="22">
        <v>0</v>
      </c>
      <c r="H42" s="22">
        <v>0</v>
      </c>
      <c r="I42" s="22">
        <v>0</v>
      </c>
      <c r="J42">
        <f t="shared" si="0"/>
        <v>0</v>
      </c>
      <c r="K42" s="22" t="s">
        <v>200</v>
      </c>
    </row>
    <row r="43" spans="1:11">
      <c r="A43">
        <v>2011</v>
      </c>
      <c r="B43" s="22" t="s">
        <v>46</v>
      </c>
      <c r="C43" s="2">
        <v>40704</v>
      </c>
      <c r="D43">
        <v>90</v>
      </c>
      <c r="E43" s="22" t="s">
        <v>199</v>
      </c>
      <c r="F43" s="22">
        <v>0</v>
      </c>
      <c r="G43" s="22">
        <v>0</v>
      </c>
      <c r="H43" s="22">
        <v>0</v>
      </c>
      <c r="I43" s="22">
        <v>0</v>
      </c>
      <c r="J43">
        <f t="shared" si="0"/>
        <v>0</v>
      </c>
    </row>
    <row r="44" spans="1:11">
      <c r="A44">
        <v>2011</v>
      </c>
      <c r="B44" s="22" t="s">
        <v>46</v>
      </c>
      <c r="C44" s="2">
        <v>40708</v>
      </c>
      <c r="D44">
        <v>115</v>
      </c>
      <c r="E44" s="22" t="s">
        <v>49</v>
      </c>
      <c r="F44" s="22">
        <v>1</v>
      </c>
      <c r="G44" s="22">
        <v>0</v>
      </c>
      <c r="H44" s="22">
        <v>0</v>
      </c>
      <c r="I44" s="22">
        <v>1</v>
      </c>
      <c r="J44">
        <f t="shared" si="0"/>
        <v>2</v>
      </c>
    </row>
    <row r="45" spans="1:11">
      <c r="A45">
        <v>2011</v>
      </c>
      <c r="B45" s="22" t="s">
        <v>46</v>
      </c>
      <c r="C45" s="2">
        <v>40708</v>
      </c>
      <c r="D45">
        <v>115</v>
      </c>
      <c r="E45" s="22" t="s">
        <v>93</v>
      </c>
      <c r="F45" s="22">
        <v>0</v>
      </c>
      <c r="G45" s="22">
        <v>0</v>
      </c>
      <c r="H45" s="22">
        <v>0</v>
      </c>
      <c r="I45" s="22">
        <v>3</v>
      </c>
      <c r="J45">
        <f t="shared" si="0"/>
        <v>3</v>
      </c>
      <c r="K45" s="22" t="s">
        <v>201</v>
      </c>
    </row>
    <row r="46" spans="1:11">
      <c r="A46">
        <v>2011</v>
      </c>
      <c r="B46" s="22" t="s">
        <v>46</v>
      </c>
      <c r="C46" s="2">
        <v>40708</v>
      </c>
      <c r="D46">
        <v>116</v>
      </c>
      <c r="E46" s="22" t="s">
        <v>49</v>
      </c>
      <c r="F46" s="22">
        <v>1</v>
      </c>
      <c r="G46" s="22">
        <v>1</v>
      </c>
      <c r="H46" s="22">
        <v>0</v>
      </c>
      <c r="I46" s="22">
        <v>0</v>
      </c>
      <c r="J46">
        <f t="shared" si="0"/>
        <v>2</v>
      </c>
    </row>
    <row r="47" spans="1:11">
      <c r="A47">
        <v>2011</v>
      </c>
      <c r="B47" s="22" t="s">
        <v>46</v>
      </c>
      <c r="C47" s="2">
        <v>40722</v>
      </c>
      <c r="D47">
        <v>117</v>
      </c>
      <c r="E47" s="22" t="s">
        <v>189</v>
      </c>
      <c r="F47" s="22">
        <v>0</v>
      </c>
      <c r="G47" s="22">
        <v>1</v>
      </c>
      <c r="H47" s="22">
        <v>1</v>
      </c>
      <c r="I47" s="22">
        <v>0</v>
      </c>
      <c r="J47">
        <f t="shared" si="0"/>
        <v>2</v>
      </c>
    </row>
    <row r="48" spans="1:11">
      <c r="A48">
        <v>2011</v>
      </c>
      <c r="B48" s="22" t="s">
        <v>46</v>
      </c>
      <c r="C48" s="2">
        <v>40703</v>
      </c>
      <c r="D48">
        <v>118</v>
      </c>
      <c r="E48" s="22" t="s">
        <v>48</v>
      </c>
      <c r="F48" s="22">
        <v>4</v>
      </c>
      <c r="G48" s="22">
        <v>9</v>
      </c>
      <c r="H48" s="22">
        <v>5</v>
      </c>
      <c r="I48" s="22">
        <v>7</v>
      </c>
      <c r="J48">
        <f t="shared" si="0"/>
        <v>25</v>
      </c>
    </row>
    <row r="49" spans="1:11">
      <c r="A49">
        <v>2011</v>
      </c>
      <c r="B49" s="22" t="s">
        <v>46</v>
      </c>
      <c r="C49" s="2">
        <v>40703</v>
      </c>
      <c r="D49">
        <v>118</v>
      </c>
      <c r="E49" s="22" t="s">
        <v>92</v>
      </c>
      <c r="F49">
        <f>(3.2*2.9)</f>
        <v>9.2799999999999994</v>
      </c>
      <c r="G49" s="22">
        <v>0</v>
      </c>
      <c r="H49" s="22">
        <v>0</v>
      </c>
      <c r="I49" s="22">
        <v>0</v>
      </c>
      <c r="J49">
        <f t="shared" si="0"/>
        <v>9.2799999999999994</v>
      </c>
    </row>
    <row r="50" spans="1:11">
      <c r="A50">
        <v>2011</v>
      </c>
      <c r="B50" s="22" t="s">
        <v>46</v>
      </c>
      <c r="C50" s="2">
        <v>40708</v>
      </c>
      <c r="D50">
        <v>119</v>
      </c>
      <c r="E50" s="22" t="s">
        <v>92</v>
      </c>
      <c r="F50">
        <f>(3.9*3)+(3.45*3)</f>
        <v>22.05</v>
      </c>
      <c r="G50" s="22">
        <v>0</v>
      </c>
      <c r="H50" s="22">
        <v>0</v>
      </c>
      <c r="I50">
        <f>(4.4*1.3)</f>
        <v>5.7200000000000006</v>
      </c>
      <c r="J50">
        <f t="shared" si="0"/>
        <v>27.770000000000003</v>
      </c>
    </row>
    <row r="51" spans="1:11">
      <c r="A51">
        <v>2011</v>
      </c>
      <c r="B51" s="22" t="s">
        <v>46</v>
      </c>
      <c r="C51" s="2">
        <v>40708</v>
      </c>
      <c r="D51">
        <v>120</v>
      </c>
      <c r="E51" s="22" t="s">
        <v>202</v>
      </c>
      <c r="F51" s="22">
        <v>1</v>
      </c>
      <c r="G51" s="22">
        <v>0</v>
      </c>
      <c r="H51" s="22">
        <v>0</v>
      </c>
      <c r="I51" s="22">
        <v>0</v>
      </c>
      <c r="J51">
        <f t="shared" si="0"/>
        <v>1</v>
      </c>
      <c r="K51" s="22" t="s">
        <v>203</v>
      </c>
    </row>
    <row r="52" spans="1:11">
      <c r="A52">
        <v>2011</v>
      </c>
      <c r="B52" s="22" t="s">
        <v>46</v>
      </c>
      <c r="C52" s="2">
        <v>40708</v>
      </c>
      <c r="D52">
        <v>120</v>
      </c>
      <c r="E52" s="22" t="s">
        <v>85</v>
      </c>
      <c r="F52">
        <f>(0.8*0.4)+(0.2*0.2)</f>
        <v>0.3600000000000001</v>
      </c>
      <c r="G52">
        <f>(1.5*0.7)</f>
        <v>1.0499999999999998</v>
      </c>
      <c r="H52" s="22">
        <v>0</v>
      </c>
      <c r="I52" s="22">
        <v>0</v>
      </c>
      <c r="J52">
        <f t="shared" si="0"/>
        <v>1.41</v>
      </c>
    </row>
    <row r="53" spans="1:11">
      <c r="A53">
        <v>2011</v>
      </c>
      <c r="B53" s="22" t="s">
        <v>46</v>
      </c>
      <c r="C53" s="2">
        <v>40708</v>
      </c>
      <c r="D53">
        <v>120</v>
      </c>
      <c r="E53" s="22" t="s">
        <v>92</v>
      </c>
      <c r="F53" s="22">
        <v>0</v>
      </c>
      <c r="G53" s="22">
        <v>0</v>
      </c>
      <c r="H53">
        <f>(0.7*0.5)</f>
        <v>0.35</v>
      </c>
      <c r="I53" s="22">
        <v>0</v>
      </c>
      <c r="J53">
        <f t="shared" si="0"/>
        <v>0.35</v>
      </c>
    </row>
    <row r="54" spans="1:11">
      <c r="B54" s="22"/>
    </row>
    <row r="55" spans="1:11">
      <c r="B55" s="22"/>
    </row>
    <row r="56" spans="1:11">
      <c r="B56" s="22"/>
    </row>
    <row r="57" spans="1:11">
      <c r="B57" s="22"/>
    </row>
    <row r="58" spans="1:11">
      <c r="B58" s="22"/>
    </row>
    <row r="59" spans="1:11">
      <c r="B59" s="22"/>
    </row>
    <row r="60" spans="1:11">
      <c r="B6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2"/>
  <sheetViews>
    <sheetView workbookViewId="0">
      <pane ySplit="3" topLeftCell="A4" activePane="bottomLeft" state="frozen"/>
      <selection pane="bottomLeft" activeCell="F22" sqref="F22"/>
    </sheetView>
  </sheetViews>
  <sheetFormatPr defaultRowHeight="12.75"/>
  <cols>
    <col min="3" max="3" width="9.140625" style="2" customWidth="1"/>
    <col min="6" max="6" width="10.85546875" customWidth="1"/>
    <col min="7" max="7" width="10.7109375" bestFit="1" customWidth="1"/>
    <col min="9" max="9" width="8" customWidth="1"/>
  </cols>
  <sheetData>
    <row r="1" spans="1:10">
      <c r="A1" s="2" t="s">
        <v>204</v>
      </c>
    </row>
    <row r="3" spans="1:10" ht="13.5" thickBot="1">
      <c r="A3" s="31" t="s">
        <v>8</v>
      </c>
      <c r="B3" s="31" t="s">
        <v>9</v>
      </c>
      <c r="C3" s="5" t="s">
        <v>10</v>
      </c>
      <c r="D3" s="6" t="s">
        <v>11</v>
      </c>
      <c r="E3" s="6" t="s">
        <v>205</v>
      </c>
      <c r="F3" s="6" t="s">
        <v>206</v>
      </c>
      <c r="G3" s="6" t="s">
        <v>207</v>
      </c>
      <c r="H3" s="6" t="s">
        <v>208</v>
      </c>
      <c r="I3" s="6" t="s">
        <v>209</v>
      </c>
      <c r="J3" s="6" t="s">
        <v>45</v>
      </c>
    </row>
    <row r="4" spans="1:10" ht="13.5" thickTop="1">
      <c r="A4">
        <v>2011</v>
      </c>
      <c r="B4" s="22" t="s">
        <v>46</v>
      </c>
      <c r="C4" s="2">
        <v>40718</v>
      </c>
      <c r="D4">
        <v>28</v>
      </c>
      <c r="E4">
        <v>1</v>
      </c>
      <c r="F4">
        <v>30.51</v>
      </c>
      <c r="G4">
        <v>23.79</v>
      </c>
      <c r="H4">
        <v>7.96</v>
      </c>
      <c r="I4">
        <v>178</v>
      </c>
      <c r="J4" t="s">
        <v>210</v>
      </c>
    </row>
    <row r="5" spans="1:10">
      <c r="A5">
        <v>2011</v>
      </c>
      <c r="B5" s="22" t="s">
        <v>46</v>
      </c>
      <c r="C5" s="2">
        <v>40718</v>
      </c>
      <c r="D5">
        <v>28</v>
      </c>
      <c r="E5">
        <v>2</v>
      </c>
      <c r="F5">
        <v>33.86</v>
      </c>
      <c r="G5">
        <v>28.77</v>
      </c>
      <c r="H5">
        <v>7.4</v>
      </c>
      <c r="I5">
        <v>182</v>
      </c>
      <c r="J5" t="s">
        <v>211</v>
      </c>
    </row>
    <row r="6" spans="1:10">
      <c r="A6">
        <v>2011</v>
      </c>
      <c r="B6" s="22" t="s">
        <v>46</v>
      </c>
      <c r="C6" s="2">
        <v>40718</v>
      </c>
      <c r="D6">
        <v>28</v>
      </c>
      <c r="E6">
        <v>3</v>
      </c>
      <c r="F6">
        <v>19.53</v>
      </c>
      <c r="G6">
        <v>15.74</v>
      </c>
      <c r="H6">
        <v>7.02</v>
      </c>
      <c r="I6">
        <v>202</v>
      </c>
      <c r="J6" t="s">
        <v>212</v>
      </c>
    </row>
    <row r="7" spans="1:10">
      <c r="A7">
        <v>2011</v>
      </c>
      <c r="B7" s="22" t="s">
        <v>46</v>
      </c>
      <c r="C7" s="2">
        <v>40718</v>
      </c>
      <c r="D7">
        <v>29</v>
      </c>
      <c r="E7">
        <v>1</v>
      </c>
      <c r="F7" s="22" t="s">
        <v>1</v>
      </c>
      <c r="G7" s="22" t="s">
        <v>1</v>
      </c>
      <c r="H7" t="s">
        <v>1</v>
      </c>
      <c r="I7" t="s">
        <v>1</v>
      </c>
      <c r="J7" t="s">
        <v>213</v>
      </c>
    </row>
    <row r="8" spans="1:10">
      <c r="A8">
        <v>2011</v>
      </c>
      <c r="B8" s="22" t="s">
        <v>46</v>
      </c>
      <c r="C8" s="2">
        <v>40718</v>
      </c>
      <c r="D8">
        <v>29</v>
      </c>
      <c r="E8">
        <v>2</v>
      </c>
      <c r="F8" s="22">
        <v>23.2</v>
      </c>
      <c r="G8" s="22">
        <v>14.85</v>
      </c>
      <c r="H8" s="22">
        <v>8.19</v>
      </c>
      <c r="I8" s="22">
        <v>340</v>
      </c>
      <c r="J8" t="s">
        <v>214</v>
      </c>
    </row>
    <row r="9" spans="1:10">
      <c r="A9">
        <v>2011</v>
      </c>
      <c r="B9" s="22" t="s">
        <v>46</v>
      </c>
      <c r="C9" s="2">
        <v>40718</v>
      </c>
      <c r="D9">
        <v>29</v>
      </c>
      <c r="E9">
        <v>3</v>
      </c>
      <c r="F9" t="s">
        <v>1</v>
      </c>
      <c r="G9" t="s">
        <v>1</v>
      </c>
      <c r="H9" t="s">
        <v>1</v>
      </c>
      <c r="I9" s="22" t="s">
        <v>1</v>
      </c>
      <c r="J9" s="22" t="s">
        <v>215</v>
      </c>
    </row>
    <row r="10" spans="1:10">
      <c r="A10">
        <v>2011</v>
      </c>
      <c r="B10" s="22" t="s">
        <v>46</v>
      </c>
      <c r="C10" s="2">
        <v>40718</v>
      </c>
      <c r="D10">
        <v>29</v>
      </c>
      <c r="E10">
        <v>4</v>
      </c>
      <c r="F10" s="22">
        <v>8.9700000000000006</v>
      </c>
      <c r="G10" s="22" t="s">
        <v>1</v>
      </c>
      <c r="H10" s="22">
        <v>10.199999999999999</v>
      </c>
      <c r="I10" s="45">
        <v>290</v>
      </c>
      <c r="J10" s="22" t="s">
        <v>216</v>
      </c>
    </row>
    <row r="11" spans="1:10">
      <c r="A11">
        <v>2011</v>
      </c>
      <c r="B11" s="22" t="s">
        <v>46</v>
      </c>
      <c r="C11" s="2">
        <v>40718</v>
      </c>
      <c r="D11">
        <v>30</v>
      </c>
      <c r="E11" t="s">
        <v>199</v>
      </c>
      <c r="F11" t="s">
        <v>1</v>
      </c>
      <c r="G11" s="22" t="s">
        <v>1</v>
      </c>
      <c r="H11" s="22" t="s">
        <v>1</v>
      </c>
      <c r="I11" s="22" t="s">
        <v>1</v>
      </c>
    </row>
    <row r="12" spans="1:10">
      <c r="A12">
        <v>2011</v>
      </c>
      <c r="B12" s="22" t="s">
        <v>46</v>
      </c>
      <c r="C12" s="2">
        <v>40703</v>
      </c>
      <c r="D12">
        <v>82</v>
      </c>
      <c r="E12" t="s">
        <v>199</v>
      </c>
      <c r="F12" t="s">
        <v>1</v>
      </c>
      <c r="G12" s="22" t="s">
        <v>1</v>
      </c>
      <c r="H12" s="22" t="s">
        <v>1</v>
      </c>
      <c r="I12" s="22" t="s">
        <v>1</v>
      </c>
    </row>
    <row r="13" spans="1:10">
      <c r="A13">
        <v>2011</v>
      </c>
      <c r="B13" s="22" t="s">
        <v>46</v>
      </c>
      <c r="C13" s="2">
        <v>40703</v>
      </c>
      <c r="D13">
        <v>83</v>
      </c>
      <c r="E13">
        <v>1</v>
      </c>
      <c r="F13" t="s">
        <v>1</v>
      </c>
      <c r="G13" s="22" t="s">
        <v>1</v>
      </c>
      <c r="H13" s="22" t="s">
        <v>1</v>
      </c>
      <c r="I13" s="22" t="s">
        <v>1</v>
      </c>
      <c r="J13" s="22" t="s">
        <v>217</v>
      </c>
    </row>
    <row r="14" spans="1:10">
      <c r="A14">
        <v>2011</v>
      </c>
      <c r="B14" s="22" t="s">
        <v>46</v>
      </c>
      <c r="C14" s="2">
        <v>40703</v>
      </c>
      <c r="D14">
        <v>83</v>
      </c>
      <c r="E14">
        <v>2</v>
      </c>
      <c r="F14">
        <v>7.35</v>
      </c>
      <c r="G14" s="22" t="s">
        <v>1</v>
      </c>
      <c r="H14" s="22">
        <v>16.09</v>
      </c>
      <c r="I14" s="22">
        <v>161</v>
      </c>
      <c r="J14" s="22" t="s">
        <v>218</v>
      </c>
    </row>
    <row r="15" spans="1:10">
      <c r="A15">
        <v>2011</v>
      </c>
      <c r="B15" s="22" t="s">
        <v>46</v>
      </c>
      <c r="C15" s="2">
        <v>40703</v>
      </c>
      <c r="D15">
        <v>84</v>
      </c>
      <c r="E15" t="s">
        <v>199</v>
      </c>
      <c r="F15" t="s">
        <v>1</v>
      </c>
      <c r="G15" s="22" t="s">
        <v>1</v>
      </c>
      <c r="H15" s="22" t="s">
        <v>1</v>
      </c>
      <c r="I15" s="22" t="s">
        <v>1</v>
      </c>
    </row>
    <row r="16" spans="1:10">
      <c r="A16">
        <v>2011</v>
      </c>
      <c r="B16" s="22" t="s">
        <v>46</v>
      </c>
      <c r="C16" s="2">
        <v>40703</v>
      </c>
      <c r="D16">
        <v>85</v>
      </c>
      <c r="E16">
        <v>1</v>
      </c>
      <c r="F16">
        <v>19.670000000000002</v>
      </c>
      <c r="G16">
        <v>15.83</v>
      </c>
      <c r="H16">
        <v>11.36</v>
      </c>
      <c r="I16">
        <v>8</v>
      </c>
      <c r="J16" t="s">
        <v>219</v>
      </c>
    </row>
    <row r="17" spans="1:10">
      <c r="A17">
        <v>2011</v>
      </c>
      <c r="B17" s="22" t="s">
        <v>46</v>
      </c>
      <c r="C17" s="2">
        <v>40703</v>
      </c>
      <c r="D17">
        <v>85</v>
      </c>
      <c r="E17">
        <v>2</v>
      </c>
      <c r="F17">
        <v>19.03</v>
      </c>
      <c r="G17">
        <v>24.03</v>
      </c>
      <c r="H17">
        <v>10.87</v>
      </c>
      <c r="I17">
        <v>15</v>
      </c>
      <c r="J17" t="s">
        <v>219</v>
      </c>
    </row>
    <row r="18" spans="1:10">
      <c r="A18">
        <v>2011</v>
      </c>
      <c r="B18" s="22" t="s">
        <v>46</v>
      </c>
      <c r="C18" s="2">
        <v>40703</v>
      </c>
      <c r="D18">
        <v>85</v>
      </c>
      <c r="E18">
        <v>3</v>
      </c>
      <c r="F18" t="s">
        <v>1</v>
      </c>
      <c r="G18" t="s">
        <v>1</v>
      </c>
      <c r="H18" t="s">
        <v>1</v>
      </c>
      <c r="I18" t="s">
        <v>1</v>
      </c>
      <c r="J18" t="s">
        <v>217</v>
      </c>
    </row>
    <row r="19" spans="1:10">
      <c r="A19">
        <v>2011</v>
      </c>
      <c r="B19" s="22" t="s">
        <v>46</v>
      </c>
      <c r="C19" s="2">
        <v>40703</v>
      </c>
      <c r="D19">
        <v>85</v>
      </c>
      <c r="E19">
        <v>4</v>
      </c>
      <c r="F19">
        <v>12.96</v>
      </c>
      <c r="G19">
        <v>10.74</v>
      </c>
      <c r="H19">
        <v>10.74</v>
      </c>
      <c r="I19">
        <v>47</v>
      </c>
      <c r="J19" t="s">
        <v>220</v>
      </c>
    </row>
    <row r="20" spans="1:10">
      <c r="A20">
        <v>2011</v>
      </c>
      <c r="B20" s="22" t="s">
        <v>46</v>
      </c>
      <c r="C20" s="2">
        <v>40703</v>
      </c>
      <c r="D20">
        <v>85</v>
      </c>
      <c r="E20">
        <v>5</v>
      </c>
      <c r="F20">
        <v>27.35</v>
      </c>
      <c r="G20">
        <v>21.29</v>
      </c>
      <c r="H20">
        <v>11.06</v>
      </c>
      <c r="I20">
        <v>63</v>
      </c>
      <c r="J20" t="s">
        <v>221</v>
      </c>
    </row>
    <row r="21" spans="1:10">
      <c r="A21">
        <v>2011</v>
      </c>
      <c r="B21" s="22" t="s">
        <v>46</v>
      </c>
      <c r="C21" s="2">
        <v>40703</v>
      </c>
      <c r="D21">
        <v>85</v>
      </c>
      <c r="E21">
        <v>6</v>
      </c>
      <c r="F21">
        <v>31.24</v>
      </c>
      <c r="G21">
        <v>16.649999999999999</v>
      </c>
      <c r="H21">
        <v>14.41</v>
      </c>
      <c r="I21">
        <v>213</v>
      </c>
      <c r="J21" t="s">
        <v>222</v>
      </c>
    </row>
    <row r="22" spans="1:10">
      <c r="A22">
        <v>2011</v>
      </c>
      <c r="B22" s="22" t="s">
        <v>46</v>
      </c>
      <c r="C22" s="2">
        <v>40702</v>
      </c>
      <c r="D22">
        <v>86</v>
      </c>
      <c r="E22" s="38">
        <v>1</v>
      </c>
      <c r="H22">
        <v>16.3</v>
      </c>
      <c r="I22">
        <v>5</v>
      </c>
      <c r="J22" t="s">
        <v>223</v>
      </c>
    </row>
    <row r="23" spans="1:10">
      <c r="A23">
        <v>2011</v>
      </c>
      <c r="B23" s="22" t="s">
        <v>46</v>
      </c>
      <c r="C23" s="2">
        <v>40702</v>
      </c>
      <c r="D23">
        <v>86</v>
      </c>
      <c r="E23" s="38">
        <v>2</v>
      </c>
      <c r="H23">
        <v>16.600000000000001</v>
      </c>
      <c r="I23">
        <v>325</v>
      </c>
      <c r="J23" t="s">
        <v>224</v>
      </c>
    </row>
    <row r="24" spans="1:10">
      <c r="A24">
        <v>2011</v>
      </c>
      <c r="B24" s="22" t="s">
        <v>46</v>
      </c>
      <c r="C24" s="2">
        <v>40702</v>
      </c>
      <c r="D24">
        <v>86</v>
      </c>
      <c r="E24" s="38">
        <v>3</v>
      </c>
      <c r="H24">
        <v>15.37</v>
      </c>
      <c r="I24">
        <v>305</v>
      </c>
    </row>
    <row r="25" spans="1:10">
      <c r="A25">
        <v>2011</v>
      </c>
      <c r="B25" s="22" t="s">
        <v>46</v>
      </c>
      <c r="C25" s="2">
        <v>40702</v>
      </c>
      <c r="D25">
        <v>86</v>
      </c>
      <c r="E25" s="38">
        <v>4</v>
      </c>
      <c r="H25">
        <v>12.78</v>
      </c>
      <c r="I25">
        <v>25</v>
      </c>
    </row>
    <row r="26" spans="1:10">
      <c r="A26">
        <v>2011</v>
      </c>
      <c r="B26" s="22" t="s">
        <v>46</v>
      </c>
      <c r="C26" s="2">
        <v>40702</v>
      </c>
      <c r="D26">
        <v>86</v>
      </c>
      <c r="E26" s="38">
        <v>5</v>
      </c>
      <c r="H26">
        <v>7.01</v>
      </c>
      <c r="I26">
        <v>292</v>
      </c>
    </row>
    <row r="27" spans="1:10">
      <c r="A27">
        <v>2011</v>
      </c>
      <c r="B27" s="22" t="s">
        <v>46</v>
      </c>
      <c r="C27" s="2">
        <v>40702</v>
      </c>
      <c r="D27">
        <v>86</v>
      </c>
      <c r="E27" s="38">
        <v>6</v>
      </c>
      <c r="H27">
        <v>10.99</v>
      </c>
      <c r="I27">
        <v>182</v>
      </c>
    </row>
    <row r="28" spans="1:10">
      <c r="A28">
        <v>2011</v>
      </c>
      <c r="B28" s="22" t="s">
        <v>46</v>
      </c>
      <c r="C28" s="2">
        <v>40702</v>
      </c>
      <c r="D28">
        <v>86</v>
      </c>
      <c r="E28" s="38">
        <v>7</v>
      </c>
      <c r="J28" t="s">
        <v>225</v>
      </c>
    </row>
    <row r="29" spans="1:10">
      <c r="A29">
        <v>2011</v>
      </c>
      <c r="B29" s="22" t="s">
        <v>46</v>
      </c>
      <c r="C29" s="2">
        <v>40703</v>
      </c>
      <c r="D29">
        <v>87</v>
      </c>
      <c r="E29">
        <v>1</v>
      </c>
      <c r="F29">
        <v>10.06</v>
      </c>
      <c r="G29" t="s">
        <v>1</v>
      </c>
      <c r="H29">
        <v>6.94</v>
      </c>
      <c r="I29">
        <v>58</v>
      </c>
      <c r="J29" t="s">
        <v>219</v>
      </c>
    </row>
    <row r="30" spans="1:10">
      <c r="A30">
        <v>2011</v>
      </c>
      <c r="B30" s="22" t="s">
        <v>46</v>
      </c>
      <c r="C30" s="2">
        <v>40703</v>
      </c>
      <c r="D30">
        <v>87</v>
      </c>
      <c r="E30">
        <v>2</v>
      </c>
      <c r="F30">
        <v>27.42</v>
      </c>
      <c r="G30">
        <v>19.43</v>
      </c>
      <c r="H30">
        <v>3.23</v>
      </c>
      <c r="I30">
        <v>104</v>
      </c>
      <c r="J30" t="s">
        <v>221</v>
      </c>
    </row>
    <row r="31" spans="1:10">
      <c r="A31">
        <v>2011</v>
      </c>
      <c r="B31" s="22" t="s">
        <v>46</v>
      </c>
      <c r="C31" s="2">
        <v>40703</v>
      </c>
      <c r="D31">
        <v>87</v>
      </c>
      <c r="E31">
        <v>3</v>
      </c>
      <c r="F31">
        <v>18.2</v>
      </c>
      <c r="G31">
        <v>13.6</v>
      </c>
      <c r="H31">
        <v>17.25</v>
      </c>
      <c r="I31">
        <v>141</v>
      </c>
      <c r="J31" t="s">
        <v>226</v>
      </c>
    </row>
    <row r="32" spans="1:10">
      <c r="A32">
        <v>2011</v>
      </c>
      <c r="B32" s="22" t="s">
        <v>46</v>
      </c>
      <c r="C32" s="2">
        <v>40703</v>
      </c>
      <c r="D32">
        <v>87</v>
      </c>
      <c r="E32">
        <v>4</v>
      </c>
      <c r="F32">
        <v>11.93</v>
      </c>
      <c r="G32">
        <v>6.82</v>
      </c>
      <c r="H32">
        <v>16.95</v>
      </c>
      <c r="I32">
        <v>168</v>
      </c>
      <c r="J32" t="s">
        <v>227</v>
      </c>
    </row>
    <row r="33" spans="1:10">
      <c r="A33">
        <v>2011</v>
      </c>
      <c r="B33" s="22" t="s">
        <v>46</v>
      </c>
      <c r="C33" s="2">
        <v>40703</v>
      </c>
      <c r="D33">
        <v>87</v>
      </c>
      <c r="E33">
        <v>5</v>
      </c>
      <c r="F33">
        <v>9.17</v>
      </c>
      <c r="G33">
        <v>5.82</v>
      </c>
      <c r="H33">
        <v>9.68</v>
      </c>
      <c r="I33">
        <v>161</v>
      </c>
      <c r="J33" t="s">
        <v>228</v>
      </c>
    </row>
    <row r="34" spans="1:10">
      <c r="A34">
        <v>2011</v>
      </c>
      <c r="B34" s="22" t="s">
        <v>46</v>
      </c>
      <c r="C34" s="2">
        <v>40703</v>
      </c>
      <c r="D34">
        <v>87</v>
      </c>
      <c r="E34">
        <v>6</v>
      </c>
      <c r="F34">
        <v>7.79</v>
      </c>
      <c r="G34" t="s">
        <v>1</v>
      </c>
      <c r="H34">
        <v>9.08</v>
      </c>
      <c r="I34">
        <v>164</v>
      </c>
    </row>
    <row r="35" spans="1:10">
      <c r="A35">
        <v>2011</v>
      </c>
      <c r="B35" s="22" t="s">
        <v>46</v>
      </c>
      <c r="C35" s="2">
        <v>40703</v>
      </c>
      <c r="D35">
        <v>87</v>
      </c>
      <c r="E35">
        <v>7</v>
      </c>
      <c r="F35">
        <v>31.2</v>
      </c>
      <c r="G35">
        <v>19.57</v>
      </c>
      <c r="H35">
        <v>10.95</v>
      </c>
      <c r="I35">
        <v>218</v>
      </c>
      <c r="J35" t="s">
        <v>229</v>
      </c>
    </row>
    <row r="36" spans="1:10">
      <c r="A36">
        <v>2011</v>
      </c>
      <c r="B36" s="22" t="s">
        <v>46</v>
      </c>
      <c r="C36" s="2">
        <v>40703</v>
      </c>
      <c r="D36">
        <v>87</v>
      </c>
      <c r="E36">
        <v>8</v>
      </c>
      <c r="F36">
        <v>27.4</v>
      </c>
      <c r="G36">
        <v>21.1</v>
      </c>
      <c r="H36">
        <v>13.18</v>
      </c>
      <c r="I36">
        <v>338</v>
      </c>
    </row>
    <row r="37" spans="1:10">
      <c r="A37">
        <v>2011</v>
      </c>
      <c r="B37" s="22" t="s">
        <v>46</v>
      </c>
      <c r="C37" s="2">
        <v>40703</v>
      </c>
      <c r="D37">
        <v>87</v>
      </c>
      <c r="E37">
        <v>9</v>
      </c>
      <c r="F37" t="s">
        <v>1</v>
      </c>
      <c r="G37" t="s">
        <v>1</v>
      </c>
      <c r="H37" t="s">
        <v>1</v>
      </c>
      <c r="I37" t="s">
        <v>1</v>
      </c>
      <c r="J37" t="s">
        <v>230</v>
      </c>
    </row>
    <row r="38" spans="1:10">
      <c r="A38">
        <v>2011</v>
      </c>
      <c r="B38" s="22" t="s">
        <v>46</v>
      </c>
      <c r="C38" s="2">
        <v>40703</v>
      </c>
      <c r="D38">
        <v>87</v>
      </c>
      <c r="E38">
        <v>10</v>
      </c>
      <c r="F38">
        <v>8.8800000000000008</v>
      </c>
      <c r="G38" t="s">
        <v>1</v>
      </c>
      <c r="H38">
        <v>12.78</v>
      </c>
      <c r="I38">
        <v>300</v>
      </c>
      <c r="J38" t="s">
        <v>231</v>
      </c>
    </row>
    <row r="39" spans="1:10">
      <c r="A39">
        <v>2011</v>
      </c>
      <c r="B39" s="22" t="s">
        <v>46</v>
      </c>
      <c r="C39" s="2">
        <v>40704</v>
      </c>
      <c r="D39">
        <v>88</v>
      </c>
      <c r="E39" s="22">
        <v>1</v>
      </c>
      <c r="F39" s="22">
        <v>22.38</v>
      </c>
      <c r="G39" s="22">
        <v>19.72</v>
      </c>
      <c r="H39" s="22">
        <v>14.86</v>
      </c>
      <c r="I39" s="22">
        <v>196</v>
      </c>
      <c r="J39" s="22" t="s">
        <v>232</v>
      </c>
    </row>
    <row r="40" spans="1:10">
      <c r="A40">
        <v>2011</v>
      </c>
      <c r="B40" s="22" t="s">
        <v>46</v>
      </c>
      <c r="C40" s="2">
        <v>40704</v>
      </c>
      <c r="D40">
        <v>89</v>
      </c>
      <c r="E40" s="22" t="s">
        <v>199</v>
      </c>
      <c r="F40" s="22" t="s">
        <v>1</v>
      </c>
      <c r="G40" s="22" t="s">
        <v>1</v>
      </c>
      <c r="H40" s="22" t="s">
        <v>1</v>
      </c>
      <c r="I40" s="22" t="s">
        <v>1</v>
      </c>
    </row>
    <row r="41" spans="1:10">
      <c r="A41">
        <v>2011</v>
      </c>
      <c r="B41" s="22" t="s">
        <v>46</v>
      </c>
      <c r="C41" s="2">
        <v>40704</v>
      </c>
      <c r="D41">
        <v>90</v>
      </c>
      <c r="E41" s="22" t="s">
        <v>199</v>
      </c>
      <c r="F41" s="22" t="s">
        <v>1</v>
      </c>
      <c r="G41" s="22" t="s">
        <v>1</v>
      </c>
      <c r="H41" s="22" t="s">
        <v>1</v>
      </c>
      <c r="I41" s="22" t="s">
        <v>1</v>
      </c>
    </row>
    <row r="42" spans="1:10">
      <c r="A42">
        <v>2011</v>
      </c>
      <c r="B42" s="22" t="s">
        <v>46</v>
      </c>
      <c r="C42" s="32">
        <v>40708</v>
      </c>
      <c r="D42">
        <v>115</v>
      </c>
      <c r="E42" s="22" t="s">
        <v>199</v>
      </c>
      <c r="F42" s="22" t="s">
        <v>1</v>
      </c>
      <c r="G42" s="22" t="s">
        <v>1</v>
      </c>
      <c r="H42" s="22" t="s">
        <v>1</v>
      </c>
      <c r="I42" s="22" t="s">
        <v>1</v>
      </c>
      <c r="J42" s="22"/>
    </row>
    <row r="43" spans="1:10">
      <c r="A43">
        <v>2011</v>
      </c>
      <c r="B43" s="22" t="s">
        <v>46</v>
      </c>
      <c r="C43" s="2">
        <v>40708</v>
      </c>
      <c r="D43">
        <v>116</v>
      </c>
      <c r="E43" s="22" t="s">
        <v>199</v>
      </c>
      <c r="F43" s="22" t="s">
        <v>1</v>
      </c>
      <c r="G43" s="22" t="s">
        <v>1</v>
      </c>
      <c r="H43" s="22" t="s">
        <v>1</v>
      </c>
      <c r="I43" s="22" t="s">
        <v>1</v>
      </c>
      <c r="J43" s="22"/>
    </row>
    <row r="44" spans="1:10">
      <c r="A44">
        <v>2011</v>
      </c>
      <c r="B44" s="22" t="s">
        <v>46</v>
      </c>
      <c r="C44" s="2">
        <v>40722</v>
      </c>
      <c r="D44">
        <v>117</v>
      </c>
      <c r="E44" s="22" t="s">
        <v>199</v>
      </c>
      <c r="F44" s="22" t="s">
        <v>1</v>
      </c>
      <c r="G44" s="22" t="s">
        <v>1</v>
      </c>
      <c r="H44" s="22" t="s">
        <v>1</v>
      </c>
      <c r="I44" s="22" t="s">
        <v>1</v>
      </c>
      <c r="J44" s="22"/>
    </row>
    <row r="45" spans="1:10">
      <c r="A45">
        <v>2011</v>
      </c>
      <c r="B45" s="22" t="s">
        <v>46</v>
      </c>
      <c r="C45" s="2">
        <v>40703</v>
      </c>
      <c r="D45">
        <v>118</v>
      </c>
      <c r="E45">
        <v>1</v>
      </c>
      <c r="F45" s="22">
        <v>19.46</v>
      </c>
      <c r="G45" s="22">
        <v>15.48</v>
      </c>
      <c r="H45" s="22">
        <v>12.9</v>
      </c>
      <c r="I45" s="22">
        <v>180</v>
      </c>
      <c r="J45" s="22" t="s">
        <v>233</v>
      </c>
    </row>
    <row r="46" spans="1:10">
      <c r="A46">
        <v>2011</v>
      </c>
      <c r="B46" s="22" t="s">
        <v>46</v>
      </c>
      <c r="C46" s="2">
        <v>40703</v>
      </c>
      <c r="D46">
        <v>118</v>
      </c>
      <c r="E46">
        <v>2</v>
      </c>
      <c r="F46" s="22">
        <v>13.69</v>
      </c>
      <c r="G46" s="22">
        <v>10.95</v>
      </c>
      <c r="H46" s="22">
        <v>13.8</v>
      </c>
      <c r="I46" s="22">
        <v>179</v>
      </c>
      <c r="J46" s="22" t="s">
        <v>234</v>
      </c>
    </row>
    <row r="47" spans="1:10">
      <c r="A47">
        <v>2011</v>
      </c>
      <c r="B47" s="22" t="s">
        <v>46</v>
      </c>
      <c r="C47" s="2">
        <v>40708</v>
      </c>
      <c r="D47">
        <v>119</v>
      </c>
      <c r="E47" s="22" t="s">
        <v>199</v>
      </c>
      <c r="F47" s="22" t="s">
        <v>1</v>
      </c>
      <c r="G47" s="22" t="s">
        <v>1</v>
      </c>
      <c r="H47" s="22" t="s">
        <v>1</v>
      </c>
      <c r="I47" s="22" t="s">
        <v>1</v>
      </c>
      <c r="J47" s="22"/>
    </row>
    <row r="48" spans="1:10">
      <c r="A48">
        <v>2011</v>
      </c>
      <c r="B48" s="22" t="s">
        <v>46</v>
      </c>
      <c r="C48" s="2">
        <v>40708</v>
      </c>
      <c r="D48">
        <v>120</v>
      </c>
      <c r="E48">
        <v>1</v>
      </c>
      <c r="F48">
        <v>12.76</v>
      </c>
      <c r="G48" s="22" t="s">
        <v>1</v>
      </c>
      <c r="H48" s="22">
        <v>11.58</v>
      </c>
      <c r="I48" s="22">
        <v>318</v>
      </c>
      <c r="J48" s="22" t="s">
        <v>235</v>
      </c>
    </row>
    <row r="49" spans="1:10">
      <c r="A49">
        <v>2011</v>
      </c>
      <c r="B49" s="22" t="s">
        <v>46</v>
      </c>
      <c r="C49" s="2">
        <v>40708</v>
      </c>
      <c r="D49">
        <v>120</v>
      </c>
      <c r="E49">
        <v>2</v>
      </c>
      <c r="F49">
        <v>7.6</v>
      </c>
      <c r="G49" s="22" t="s">
        <v>1</v>
      </c>
      <c r="H49" s="22">
        <v>10.77</v>
      </c>
      <c r="I49" s="22">
        <v>187</v>
      </c>
      <c r="J49" s="22" t="s">
        <v>236</v>
      </c>
    </row>
    <row r="50" spans="1:10">
      <c r="B50" s="22"/>
    </row>
    <row r="51" spans="1:10">
      <c r="B51" s="22"/>
    </row>
    <row r="52" spans="1:10">
      <c r="B52" s="22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3"/>
  <sheetViews>
    <sheetView tabSelected="1" workbookViewId="0">
      <pane xSplit="6" ySplit="4" topLeftCell="G49" activePane="bottomRight" state="frozen"/>
      <selection pane="bottomRight" activeCell="H59" sqref="H59"/>
      <selection pane="bottomLeft" activeCell="A5" sqref="A5"/>
      <selection pane="topRight" activeCell="E1" sqref="E1"/>
    </sheetView>
  </sheetViews>
  <sheetFormatPr defaultRowHeight="12.75"/>
  <cols>
    <col min="3" max="3" width="9.140625" style="2" hidden="1" customWidth="1"/>
    <col min="4" max="4" width="7.140625" customWidth="1"/>
    <col min="5" max="5" width="18.42578125" customWidth="1"/>
    <col min="6" max="6" width="9.140625" style="4" customWidth="1"/>
    <col min="9" max="10" width="9.140625" customWidth="1"/>
    <col min="12" max="12" width="9.140625" style="10" customWidth="1"/>
    <col min="13" max="13" width="18.42578125" customWidth="1"/>
    <col min="14" max="14" width="12.7109375" customWidth="1"/>
    <col min="20" max="20" width="9.140625" style="10" customWidth="1"/>
    <col min="23" max="23" width="39.7109375" style="35" bestFit="1" customWidth="1"/>
  </cols>
  <sheetData>
    <row r="1" spans="1:23">
      <c r="A1" s="2" t="s">
        <v>237</v>
      </c>
      <c r="E1" s="9"/>
      <c r="M1" s="9"/>
      <c r="N1" s="9"/>
      <c r="W1" s="34"/>
    </row>
    <row r="2" spans="1:23">
      <c r="A2" s="2" t="s">
        <v>238</v>
      </c>
      <c r="E2" s="9"/>
      <c r="M2" s="9"/>
      <c r="N2" s="9"/>
      <c r="W2" s="34"/>
    </row>
    <row r="3" spans="1:23" s="3" customFormat="1">
      <c r="C3" s="12"/>
      <c r="E3" s="9" t="s">
        <v>239</v>
      </c>
      <c r="F3" s="4"/>
      <c r="G3" s="3" t="s">
        <v>240</v>
      </c>
      <c r="H3" s="3" t="s">
        <v>240</v>
      </c>
      <c r="I3" s="3" t="s">
        <v>240</v>
      </c>
      <c r="K3" s="40" t="s">
        <v>241</v>
      </c>
      <c r="L3" s="4"/>
      <c r="M3" s="3" t="s">
        <v>179</v>
      </c>
      <c r="O3" s="3" t="s">
        <v>240</v>
      </c>
      <c r="P3" s="3" t="s">
        <v>240</v>
      </c>
      <c r="Q3" s="3" t="s">
        <v>240</v>
      </c>
      <c r="S3" s="39" t="s">
        <v>241</v>
      </c>
      <c r="T3" s="16"/>
      <c r="U3" s="3" t="s">
        <v>240</v>
      </c>
      <c r="W3" s="34"/>
    </row>
    <row r="4" spans="1:23" s="7" customFormat="1" ht="13.5" thickBot="1">
      <c r="A4" s="23" t="s">
        <v>8</v>
      </c>
      <c r="B4" s="23" t="s">
        <v>9</v>
      </c>
      <c r="C4" s="11" t="s">
        <v>10</v>
      </c>
      <c r="D4" s="7" t="s">
        <v>11</v>
      </c>
      <c r="E4" s="7" t="s">
        <v>12</v>
      </c>
      <c r="F4" s="8" t="s">
        <v>242</v>
      </c>
      <c r="G4" s="7" t="s">
        <v>243</v>
      </c>
      <c r="H4" s="7" t="s">
        <v>244</v>
      </c>
      <c r="I4" s="7" t="s">
        <v>245</v>
      </c>
      <c r="J4" s="7" t="s">
        <v>246</v>
      </c>
      <c r="K4" s="14" t="s">
        <v>208</v>
      </c>
      <c r="L4" s="8" t="s">
        <v>209</v>
      </c>
      <c r="M4" s="7" t="s">
        <v>12</v>
      </c>
      <c r="N4" s="7" t="s">
        <v>247</v>
      </c>
      <c r="O4" s="7" t="s">
        <v>243</v>
      </c>
      <c r="P4" s="7" t="s">
        <v>244</v>
      </c>
      <c r="Q4" s="7" t="s">
        <v>245</v>
      </c>
      <c r="R4" s="7" t="s">
        <v>248</v>
      </c>
      <c r="S4" s="13" t="s">
        <v>208</v>
      </c>
      <c r="T4" s="17" t="s">
        <v>209</v>
      </c>
      <c r="U4" s="7" t="s">
        <v>249</v>
      </c>
      <c r="V4" s="7" t="s">
        <v>250</v>
      </c>
      <c r="W4" s="37" t="s">
        <v>45</v>
      </c>
    </row>
    <row r="5" spans="1:23" ht="13.5" thickTop="1">
      <c r="A5">
        <v>2011</v>
      </c>
      <c r="B5" s="22" t="s">
        <v>46</v>
      </c>
      <c r="C5" s="2">
        <v>40718</v>
      </c>
      <c r="D5">
        <v>30</v>
      </c>
      <c r="E5" s="9" t="s">
        <v>55</v>
      </c>
      <c r="F5" s="25" t="s">
        <v>251</v>
      </c>
      <c r="G5">
        <v>16</v>
      </c>
      <c r="H5">
        <v>14</v>
      </c>
      <c r="I5">
        <v>7</v>
      </c>
      <c r="K5">
        <v>15.86</v>
      </c>
      <c r="L5" s="10">
        <v>93</v>
      </c>
      <c r="M5" s="22" t="s">
        <v>252</v>
      </c>
      <c r="N5" s="22" t="s">
        <v>253</v>
      </c>
      <c r="O5" s="22">
        <v>20</v>
      </c>
      <c r="P5" s="22">
        <v>11</v>
      </c>
      <c r="Q5" s="22">
        <v>20</v>
      </c>
      <c r="S5">
        <v>16.37</v>
      </c>
      <c r="T5" s="10">
        <v>93</v>
      </c>
      <c r="U5">
        <v>43</v>
      </c>
      <c r="V5">
        <v>702</v>
      </c>
    </row>
    <row r="6" spans="1:23">
      <c r="A6">
        <v>2011</v>
      </c>
      <c r="B6" s="22" t="s">
        <v>46</v>
      </c>
      <c r="C6" s="2">
        <v>40718</v>
      </c>
      <c r="D6">
        <v>30</v>
      </c>
      <c r="E6" s="9" t="s">
        <v>55</v>
      </c>
      <c r="F6" s="25" t="s">
        <v>254</v>
      </c>
      <c r="G6">
        <v>24</v>
      </c>
      <c r="H6">
        <v>20</v>
      </c>
      <c r="I6">
        <v>22</v>
      </c>
      <c r="K6">
        <v>11.2</v>
      </c>
      <c r="L6" s="10">
        <v>96</v>
      </c>
      <c r="M6" s="22" t="s">
        <v>189</v>
      </c>
      <c r="N6" s="22" t="s">
        <v>255</v>
      </c>
      <c r="O6" s="22">
        <v>46</v>
      </c>
      <c r="P6" s="22">
        <v>29</v>
      </c>
      <c r="Q6" s="22">
        <v>27</v>
      </c>
      <c r="S6">
        <v>11.23</v>
      </c>
      <c r="T6" s="10">
        <v>98</v>
      </c>
      <c r="U6">
        <v>39</v>
      </c>
      <c r="V6">
        <v>703</v>
      </c>
    </row>
    <row r="7" spans="1:23">
      <c r="A7">
        <v>2011</v>
      </c>
      <c r="B7" s="22" t="s">
        <v>46</v>
      </c>
      <c r="C7" s="2">
        <v>40718</v>
      </c>
      <c r="D7">
        <v>30</v>
      </c>
      <c r="E7" s="9" t="s">
        <v>55</v>
      </c>
      <c r="F7" s="25" t="s">
        <v>256</v>
      </c>
      <c r="G7">
        <v>18</v>
      </c>
      <c r="H7">
        <v>18</v>
      </c>
      <c r="I7">
        <v>12</v>
      </c>
      <c r="K7">
        <v>7.19</v>
      </c>
      <c r="L7" s="10">
        <v>109</v>
      </c>
      <c r="M7" s="22" t="s">
        <v>48</v>
      </c>
      <c r="N7" s="22" t="s">
        <v>257</v>
      </c>
      <c r="O7" s="22">
        <v>10</v>
      </c>
      <c r="P7" s="22">
        <v>8</v>
      </c>
      <c r="Q7" s="22">
        <v>6</v>
      </c>
      <c r="S7">
        <v>7.35</v>
      </c>
      <c r="T7" s="10">
        <v>107</v>
      </c>
      <c r="U7">
        <v>25</v>
      </c>
      <c r="V7">
        <v>705</v>
      </c>
    </row>
    <row r="8" spans="1:23">
      <c r="A8">
        <v>2011</v>
      </c>
      <c r="B8" s="22" t="s">
        <v>46</v>
      </c>
      <c r="C8" s="2">
        <v>40718</v>
      </c>
      <c r="D8">
        <v>30</v>
      </c>
      <c r="E8" s="9" t="s">
        <v>55</v>
      </c>
      <c r="F8" s="25" t="s">
        <v>258</v>
      </c>
      <c r="G8">
        <v>13</v>
      </c>
      <c r="H8">
        <v>7</v>
      </c>
      <c r="I8">
        <v>8</v>
      </c>
      <c r="K8">
        <v>2.96</v>
      </c>
      <c r="L8" s="10">
        <v>162</v>
      </c>
      <c r="M8" s="22" t="s">
        <v>252</v>
      </c>
      <c r="N8" s="22" t="s">
        <v>259</v>
      </c>
      <c r="O8" s="22">
        <v>25</v>
      </c>
      <c r="P8" s="22">
        <v>21</v>
      </c>
      <c r="Q8" s="22">
        <v>15</v>
      </c>
      <c r="S8">
        <v>2.7</v>
      </c>
      <c r="T8" s="10">
        <v>163</v>
      </c>
      <c r="U8">
        <v>25</v>
      </c>
      <c r="V8">
        <v>714</v>
      </c>
    </row>
    <row r="9" spans="1:23">
      <c r="A9">
        <v>2011</v>
      </c>
      <c r="B9" s="22" t="s">
        <v>46</v>
      </c>
      <c r="C9" s="2">
        <v>40718</v>
      </c>
      <c r="D9">
        <v>30</v>
      </c>
      <c r="E9" s="9" t="s">
        <v>68</v>
      </c>
      <c r="F9" s="25" t="s">
        <v>260</v>
      </c>
      <c r="G9">
        <v>19</v>
      </c>
      <c r="H9">
        <v>14</v>
      </c>
      <c r="I9">
        <v>19</v>
      </c>
      <c r="K9">
        <v>14.95</v>
      </c>
      <c r="L9" s="10">
        <v>154</v>
      </c>
      <c r="M9" s="22" t="s">
        <v>48</v>
      </c>
      <c r="N9" s="22" t="s">
        <v>261</v>
      </c>
      <c r="O9" s="22">
        <v>17</v>
      </c>
      <c r="P9" s="22">
        <v>17</v>
      </c>
      <c r="Q9" s="22">
        <v>12</v>
      </c>
      <c r="S9">
        <v>15.22</v>
      </c>
      <c r="T9" s="10">
        <v>150</v>
      </c>
      <c r="U9">
        <v>30</v>
      </c>
      <c r="V9">
        <v>706</v>
      </c>
      <c r="W9" s="35" t="s">
        <v>262</v>
      </c>
    </row>
    <row r="10" spans="1:23">
      <c r="A10">
        <v>2011</v>
      </c>
      <c r="B10" s="22" t="s">
        <v>46</v>
      </c>
      <c r="C10" s="2">
        <v>40718</v>
      </c>
      <c r="D10">
        <v>30</v>
      </c>
      <c r="E10" s="22" t="s">
        <v>68</v>
      </c>
      <c r="F10" s="25" t="s">
        <v>263</v>
      </c>
      <c r="G10">
        <v>14</v>
      </c>
      <c r="H10">
        <v>10</v>
      </c>
      <c r="I10">
        <v>19</v>
      </c>
      <c r="K10">
        <v>12.02</v>
      </c>
      <c r="L10" s="10">
        <v>3</v>
      </c>
      <c r="M10" s="22" t="s">
        <v>47</v>
      </c>
      <c r="N10" s="22" t="s">
        <v>264</v>
      </c>
      <c r="O10" s="22">
        <v>26</v>
      </c>
      <c r="P10" s="22">
        <v>16</v>
      </c>
      <c r="Q10" s="22">
        <v>13</v>
      </c>
      <c r="S10">
        <v>12.16</v>
      </c>
      <c r="T10" s="10">
        <v>4</v>
      </c>
      <c r="U10">
        <v>19</v>
      </c>
      <c r="V10">
        <v>712</v>
      </c>
    </row>
    <row r="11" spans="1:23">
      <c r="A11">
        <v>2011</v>
      </c>
      <c r="B11" s="22" t="s">
        <v>46</v>
      </c>
      <c r="C11" s="2">
        <v>40718</v>
      </c>
      <c r="D11">
        <v>30</v>
      </c>
      <c r="E11" s="9" t="s">
        <v>73</v>
      </c>
      <c r="F11" s="4" t="s">
        <v>265</v>
      </c>
      <c r="G11">
        <v>85</v>
      </c>
      <c r="H11">
        <v>33</v>
      </c>
      <c r="I11">
        <v>62</v>
      </c>
      <c r="K11">
        <v>16.399999999999999</v>
      </c>
      <c r="L11" s="10">
        <v>203</v>
      </c>
      <c r="M11" s="22" t="s">
        <v>85</v>
      </c>
      <c r="N11" s="22" t="s">
        <v>266</v>
      </c>
      <c r="O11" s="22">
        <v>34</v>
      </c>
      <c r="P11" s="22">
        <v>32</v>
      </c>
      <c r="Q11" s="22">
        <v>35</v>
      </c>
      <c r="S11">
        <v>16.3</v>
      </c>
      <c r="T11" s="10">
        <v>205</v>
      </c>
      <c r="V11">
        <v>709</v>
      </c>
      <c r="W11" s="35" t="s">
        <v>267</v>
      </c>
    </row>
    <row r="12" spans="1:23">
      <c r="A12">
        <v>2011</v>
      </c>
      <c r="B12" s="22" t="s">
        <v>46</v>
      </c>
      <c r="C12" s="2">
        <v>40718</v>
      </c>
      <c r="D12">
        <v>30</v>
      </c>
      <c r="E12" s="9" t="s">
        <v>73</v>
      </c>
      <c r="F12" s="25" t="s">
        <v>268</v>
      </c>
      <c r="G12">
        <v>124</v>
      </c>
      <c r="H12">
        <v>49</v>
      </c>
      <c r="I12">
        <v>106</v>
      </c>
      <c r="K12">
        <v>17.190000000000001</v>
      </c>
      <c r="L12" s="10">
        <v>210</v>
      </c>
      <c r="M12" s="22" t="s">
        <v>252</v>
      </c>
      <c r="N12" s="22" t="s">
        <v>269</v>
      </c>
      <c r="O12" s="22">
        <v>30</v>
      </c>
      <c r="P12" s="22">
        <v>18</v>
      </c>
      <c r="Q12" s="22">
        <v>29</v>
      </c>
      <c r="S12">
        <v>17.079999999999998</v>
      </c>
      <c r="T12" s="10">
        <v>214</v>
      </c>
      <c r="U12">
        <v>43</v>
      </c>
      <c r="V12">
        <v>710</v>
      </c>
      <c r="W12" s="35" t="s">
        <v>270</v>
      </c>
    </row>
    <row r="13" spans="1:23">
      <c r="A13">
        <v>2011</v>
      </c>
      <c r="B13" s="22" t="s">
        <v>46</v>
      </c>
      <c r="C13" s="2">
        <v>40718</v>
      </c>
      <c r="D13">
        <v>30</v>
      </c>
      <c r="E13" s="9" t="s">
        <v>73</v>
      </c>
      <c r="F13" s="4" t="s">
        <v>268</v>
      </c>
      <c r="G13">
        <v>172</v>
      </c>
      <c r="H13">
        <v>49</v>
      </c>
      <c r="I13">
        <v>106</v>
      </c>
      <c r="K13">
        <v>17.190000000000001</v>
      </c>
      <c r="L13" s="10">
        <v>210</v>
      </c>
      <c r="M13" s="22" t="s">
        <v>252</v>
      </c>
      <c r="N13" s="22" t="s">
        <v>269</v>
      </c>
      <c r="O13" s="45">
        <v>30</v>
      </c>
      <c r="P13" s="22">
        <v>18</v>
      </c>
      <c r="Q13" s="22">
        <v>29</v>
      </c>
      <c r="S13">
        <v>17.079999999999998</v>
      </c>
      <c r="T13" s="10">
        <v>214</v>
      </c>
      <c r="U13">
        <v>43</v>
      </c>
      <c r="V13">
        <v>710</v>
      </c>
      <c r="W13" s="35" t="s">
        <v>271</v>
      </c>
    </row>
    <row r="14" spans="1:23">
      <c r="A14">
        <v>2011</v>
      </c>
      <c r="B14" s="22" t="s">
        <v>46</v>
      </c>
      <c r="C14" s="2">
        <v>40718</v>
      </c>
      <c r="D14">
        <v>30</v>
      </c>
      <c r="E14" s="9" t="s">
        <v>51</v>
      </c>
      <c r="F14" s="25" t="s">
        <v>272</v>
      </c>
      <c r="G14">
        <v>13</v>
      </c>
      <c r="H14">
        <v>9</v>
      </c>
      <c r="I14">
        <v>25</v>
      </c>
      <c r="K14">
        <v>11.15</v>
      </c>
      <c r="L14" s="10">
        <v>102</v>
      </c>
      <c r="M14" s="22" t="s">
        <v>189</v>
      </c>
      <c r="N14" s="22" t="s">
        <v>255</v>
      </c>
      <c r="O14" s="22">
        <v>46</v>
      </c>
      <c r="P14" s="22">
        <v>29</v>
      </c>
      <c r="Q14" s="22">
        <v>27</v>
      </c>
      <c r="S14">
        <v>11.23</v>
      </c>
      <c r="T14" s="10">
        <v>98</v>
      </c>
      <c r="U14">
        <v>79</v>
      </c>
      <c r="V14">
        <v>703</v>
      </c>
    </row>
    <row r="15" spans="1:23">
      <c r="A15">
        <v>2011</v>
      </c>
      <c r="B15" s="22" t="s">
        <v>46</v>
      </c>
      <c r="C15" s="2">
        <v>40718</v>
      </c>
      <c r="D15">
        <v>30</v>
      </c>
      <c r="E15" s="9" t="s">
        <v>51</v>
      </c>
      <c r="F15" s="4" t="s">
        <v>273</v>
      </c>
      <c r="G15">
        <v>7</v>
      </c>
      <c r="H15">
        <v>6</v>
      </c>
      <c r="I15">
        <v>10</v>
      </c>
      <c r="K15">
        <v>15.22</v>
      </c>
      <c r="L15" s="10">
        <v>265</v>
      </c>
      <c r="M15" s="22" t="s">
        <v>48</v>
      </c>
      <c r="N15" s="22" t="s">
        <v>274</v>
      </c>
      <c r="O15" s="22">
        <v>13</v>
      </c>
      <c r="P15" s="22">
        <v>8</v>
      </c>
      <c r="Q15" s="22">
        <v>9</v>
      </c>
      <c r="S15">
        <v>15.39</v>
      </c>
      <c r="T15" s="10">
        <v>264</v>
      </c>
      <c r="U15">
        <v>17</v>
      </c>
      <c r="V15">
        <v>711</v>
      </c>
      <c r="W15" s="35" t="s">
        <v>275</v>
      </c>
    </row>
    <row r="16" spans="1:23">
      <c r="A16">
        <v>2011</v>
      </c>
      <c r="B16" s="22" t="s">
        <v>46</v>
      </c>
      <c r="C16" s="2">
        <v>40703</v>
      </c>
      <c r="D16">
        <v>83</v>
      </c>
      <c r="E16" s="9" t="s">
        <v>72</v>
      </c>
      <c r="F16" s="4" t="s">
        <v>276</v>
      </c>
      <c r="G16">
        <v>136</v>
      </c>
      <c r="H16">
        <v>91</v>
      </c>
      <c r="I16">
        <v>109</v>
      </c>
      <c r="K16">
        <v>19.2</v>
      </c>
      <c r="L16" s="10">
        <v>310</v>
      </c>
      <c r="M16" s="22" t="s">
        <v>60</v>
      </c>
      <c r="N16" s="22" t="s">
        <v>277</v>
      </c>
      <c r="O16" s="22">
        <v>12</v>
      </c>
      <c r="P16" s="22">
        <v>10</v>
      </c>
      <c r="Q16" s="22">
        <v>13</v>
      </c>
      <c r="S16">
        <v>19.059999999999999</v>
      </c>
      <c r="T16" s="10">
        <v>316</v>
      </c>
      <c r="U16">
        <v>68</v>
      </c>
      <c r="V16">
        <v>332</v>
      </c>
    </row>
    <row r="17" spans="1:23">
      <c r="A17">
        <v>2011</v>
      </c>
      <c r="B17" s="22" t="s">
        <v>46</v>
      </c>
      <c r="C17" s="2">
        <v>40703</v>
      </c>
      <c r="D17">
        <v>83</v>
      </c>
      <c r="E17" s="9" t="s">
        <v>71</v>
      </c>
      <c r="F17" s="4" t="s">
        <v>278</v>
      </c>
      <c r="G17">
        <v>272</v>
      </c>
      <c r="H17">
        <v>126</v>
      </c>
      <c r="I17">
        <v>246</v>
      </c>
      <c r="K17">
        <v>16.09</v>
      </c>
      <c r="L17" s="10">
        <v>190</v>
      </c>
      <c r="M17" s="22" t="s">
        <v>60</v>
      </c>
      <c r="N17" s="22" t="s">
        <v>279</v>
      </c>
      <c r="O17" s="22">
        <v>223</v>
      </c>
      <c r="P17" s="22">
        <v>177</v>
      </c>
      <c r="Q17" s="22">
        <v>214</v>
      </c>
      <c r="S17">
        <v>16.89</v>
      </c>
      <c r="T17" s="10">
        <v>189</v>
      </c>
      <c r="U17">
        <v>82</v>
      </c>
      <c r="V17">
        <v>330</v>
      </c>
    </row>
    <row r="18" spans="1:23">
      <c r="A18">
        <v>2011</v>
      </c>
      <c r="B18" s="22" t="s">
        <v>46</v>
      </c>
      <c r="C18" s="2">
        <v>40703</v>
      </c>
      <c r="D18">
        <v>83</v>
      </c>
      <c r="E18" s="9" t="s">
        <v>71</v>
      </c>
      <c r="F18" s="4" t="s">
        <v>280</v>
      </c>
      <c r="G18">
        <v>35</v>
      </c>
      <c r="H18">
        <v>18</v>
      </c>
      <c r="I18">
        <v>57</v>
      </c>
      <c r="K18">
        <v>12.96</v>
      </c>
      <c r="L18" s="10">
        <v>173</v>
      </c>
      <c r="M18" s="22" t="s">
        <v>60</v>
      </c>
      <c r="N18" s="22" t="s">
        <v>281</v>
      </c>
      <c r="O18" s="22">
        <v>24</v>
      </c>
      <c r="P18" s="22">
        <v>18</v>
      </c>
      <c r="Q18" s="22">
        <v>31</v>
      </c>
      <c r="S18">
        <v>13.39</v>
      </c>
      <c r="T18" s="10">
        <v>168</v>
      </c>
      <c r="U18">
        <v>64</v>
      </c>
      <c r="V18">
        <v>329</v>
      </c>
    </row>
    <row r="19" spans="1:23">
      <c r="A19">
        <v>2011</v>
      </c>
      <c r="B19" s="22" t="s">
        <v>46</v>
      </c>
      <c r="C19" s="2">
        <v>40703</v>
      </c>
      <c r="D19">
        <v>83</v>
      </c>
      <c r="E19" s="9" t="s">
        <v>71</v>
      </c>
      <c r="F19" s="4" t="s">
        <v>282</v>
      </c>
      <c r="G19">
        <v>18</v>
      </c>
      <c r="H19">
        <v>13</v>
      </c>
      <c r="I19">
        <v>50</v>
      </c>
      <c r="K19">
        <v>10.24</v>
      </c>
      <c r="L19" s="10">
        <v>156</v>
      </c>
      <c r="M19" s="22" t="s">
        <v>54</v>
      </c>
      <c r="N19" s="22" t="s">
        <v>283</v>
      </c>
      <c r="O19" s="22">
        <v>18</v>
      </c>
      <c r="P19" s="22">
        <v>13</v>
      </c>
      <c r="Q19" s="22">
        <v>20</v>
      </c>
      <c r="S19">
        <v>10.32</v>
      </c>
      <c r="T19" s="10">
        <v>150</v>
      </c>
      <c r="U19">
        <v>82</v>
      </c>
      <c r="V19">
        <v>328</v>
      </c>
      <c r="W19" s="35" t="s">
        <v>284</v>
      </c>
    </row>
    <row r="20" spans="1:23">
      <c r="A20">
        <v>2011</v>
      </c>
      <c r="B20" s="22" t="s">
        <v>46</v>
      </c>
      <c r="C20" s="2">
        <v>40703</v>
      </c>
      <c r="D20">
        <v>83</v>
      </c>
      <c r="E20" s="9" t="s">
        <v>67</v>
      </c>
      <c r="F20" s="4" t="s">
        <v>285</v>
      </c>
      <c r="G20">
        <v>12</v>
      </c>
      <c r="H20">
        <v>9</v>
      </c>
      <c r="I20">
        <v>15</v>
      </c>
      <c r="K20">
        <v>19.43</v>
      </c>
      <c r="L20" s="10">
        <v>314</v>
      </c>
      <c r="M20" s="22" t="s">
        <v>60</v>
      </c>
      <c r="N20" s="22" t="s">
        <v>277</v>
      </c>
      <c r="O20" s="22">
        <v>12</v>
      </c>
      <c r="P20" s="22">
        <v>10</v>
      </c>
      <c r="Q20" s="22">
        <v>13</v>
      </c>
      <c r="S20">
        <v>19.059999999999999</v>
      </c>
      <c r="T20" s="10">
        <v>316</v>
      </c>
      <c r="U20">
        <v>60</v>
      </c>
      <c r="V20">
        <v>332</v>
      </c>
    </row>
    <row r="21" spans="1:23">
      <c r="A21">
        <v>2011</v>
      </c>
      <c r="B21" s="22" t="s">
        <v>46</v>
      </c>
      <c r="C21" s="2">
        <v>40703</v>
      </c>
      <c r="D21">
        <v>83</v>
      </c>
      <c r="E21" s="9" t="s">
        <v>67</v>
      </c>
      <c r="F21" s="4" t="s">
        <v>286</v>
      </c>
      <c r="G21">
        <v>2.5</v>
      </c>
      <c r="H21">
        <v>1</v>
      </c>
      <c r="I21">
        <v>3</v>
      </c>
      <c r="K21">
        <v>9.19</v>
      </c>
      <c r="L21" s="10">
        <v>277</v>
      </c>
      <c r="M21" s="22" t="s">
        <v>54</v>
      </c>
      <c r="N21" s="22" t="s">
        <v>287</v>
      </c>
      <c r="O21" s="22">
        <v>11</v>
      </c>
      <c r="P21" s="22">
        <v>7</v>
      </c>
      <c r="Q21" s="22">
        <v>12</v>
      </c>
      <c r="S21">
        <v>9.2799999999999994</v>
      </c>
      <c r="T21" s="10">
        <v>276</v>
      </c>
      <c r="U21">
        <v>20</v>
      </c>
      <c r="V21">
        <v>331</v>
      </c>
      <c r="W21" s="35" t="s">
        <v>288</v>
      </c>
    </row>
    <row r="22" spans="1:23">
      <c r="A22">
        <v>2011</v>
      </c>
      <c r="B22" s="22" t="s">
        <v>46</v>
      </c>
      <c r="C22" s="2">
        <v>40703</v>
      </c>
      <c r="D22">
        <v>83</v>
      </c>
      <c r="E22" s="9" t="s">
        <v>67</v>
      </c>
      <c r="F22" s="4" t="s">
        <v>289</v>
      </c>
      <c r="G22" t="s">
        <v>1</v>
      </c>
      <c r="H22" t="s">
        <v>1</v>
      </c>
      <c r="I22" t="s">
        <v>1</v>
      </c>
      <c r="K22">
        <v>16.98</v>
      </c>
      <c r="L22" s="10">
        <v>181</v>
      </c>
      <c r="M22" s="22" t="s">
        <v>54</v>
      </c>
      <c r="N22" s="22" t="s">
        <v>290</v>
      </c>
      <c r="O22" s="22" t="s">
        <v>1</v>
      </c>
      <c r="P22" s="22" t="s">
        <v>1</v>
      </c>
      <c r="Q22" s="22" t="s">
        <v>1</v>
      </c>
      <c r="S22">
        <v>16.84</v>
      </c>
      <c r="T22" s="10">
        <v>179</v>
      </c>
      <c r="U22">
        <v>48</v>
      </c>
      <c r="V22" t="s">
        <v>1</v>
      </c>
    </row>
    <row r="23" spans="1:23">
      <c r="A23">
        <v>2011</v>
      </c>
      <c r="B23" s="22" t="s">
        <v>46</v>
      </c>
      <c r="C23" s="2">
        <v>40703</v>
      </c>
      <c r="D23">
        <v>83</v>
      </c>
      <c r="E23" s="9" t="s">
        <v>67</v>
      </c>
      <c r="F23" s="4" t="s">
        <v>291</v>
      </c>
      <c r="G23" t="s">
        <v>1</v>
      </c>
      <c r="H23" t="s">
        <v>1</v>
      </c>
      <c r="I23" t="s">
        <v>1</v>
      </c>
      <c r="K23">
        <v>9.8000000000000007</v>
      </c>
      <c r="L23" s="10">
        <v>146</v>
      </c>
      <c r="M23" s="22" t="s">
        <v>54</v>
      </c>
      <c r="N23" s="22" t="s">
        <v>283</v>
      </c>
      <c r="O23" s="22">
        <v>18</v>
      </c>
      <c r="P23" s="22">
        <v>13</v>
      </c>
      <c r="Q23" s="22">
        <v>20</v>
      </c>
      <c r="S23">
        <v>10.32</v>
      </c>
      <c r="T23" s="10">
        <v>150</v>
      </c>
      <c r="U23">
        <v>64</v>
      </c>
      <c r="V23">
        <v>328</v>
      </c>
      <c r="W23" s="35" t="s">
        <v>292</v>
      </c>
    </row>
    <row r="24" spans="1:23">
      <c r="A24">
        <v>2011</v>
      </c>
      <c r="B24" s="22" t="s">
        <v>46</v>
      </c>
      <c r="C24" s="2">
        <v>40703</v>
      </c>
      <c r="D24">
        <v>83</v>
      </c>
      <c r="E24" s="9" t="s">
        <v>51</v>
      </c>
      <c r="F24" s="4" t="s">
        <v>272</v>
      </c>
      <c r="G24">
        <v>9</v>
      </c>
      <c r="H24">
        <v>7</v>
      </c>
      <c r="I24">
        <v>14</v>
      </c>
      <c r="K24">
        <v>4.76</v>
      </c>
      <c r="L24" s="10">
        <v>288</v>
      </c>
      <c r="M24" s="22" t="s">
        <v>54</v>
      </c>
      <c r="N24" s="22" t="s">
        <v>293</v>
      </c>
      <c r="O24" s="22">
        <v>16</v>
      </c>
      <c r="P24" s="22">
        <v>14</v>
      </c>
      <c r="Q24" s="22">
        <v>11</v>
      </c>
      <c r="S24">
        <v>10.32</v>
      </c>
      <c r="T24" s="10">
        <v>150</v>
      </c>
      <c r="U24">
        <v>28</v>
      </c>
      <c r="V24">
        <v>327</v>
      </c>
    </row>
    <row r="25" spans="1:23">
      <c r="A25">
        <v>2011</v>
      </c>
      <c r="B25" s="22" t="s">
        <v>46</v>
      </c>
      <c r="C25" s="2">
        <v>40703</v>
      </c>
      <c r="D25">
        <v>83</v>
      </c>
      <c r="E25" s="9" t="s">
        <v>51</v>
      </c>
      <c r="F25" s="4" t="s">
        <v>273</v>
      </c>
      <c r="G25">
        <v>10</v>
      </c>
      <c r="H25">
        <v>7</v>
      </c>
      <c r="I25">
        <v>15.5</v>
      </c>
      <c r="K25">
        <v>4.7</v>
      </c>
      <c r="L25" s="10">
        <v>292</v>
      </c>
      <c r="M25" s="22" t="s">
        <v>54</v>
      </c>
      <c r="N25" s="22" t="s">
        <v>293</v>
      </c>
      <c r="O25" s="22">
        <v>16</v>
      </c>
      <c r="P25" s="22">
        <v>14</v>
      </c>
      <c r="Q25" s="22">
        <v>11</v>
      </c>
      <c r="S25">
        <v>4.6900000000000004</v>
      </c>
      <c r="T25" s="10">
        <v>290</v>
      </c>
      <c r="U25">
        <v>23</v>
      </c>
      <c r="V25">
        <v>327</v>
      </c>
    </row>
    <row r="26" spans="1:23">
      <c r="A26">
        <v>2011</v>
      </c>
      <c r="B26" s="22" t="s">
        <v>46</v>
      </c>
      <c r="C26" s="2">
        <v>40703</v>
      </c>
      <c r="D26">
        <v>87</v>
      </c>
      <c r="E26" s="9" t="s">
        <v>72</v>
      </c>
      <c r="F26" s="4" t="s">
        <v>276</v>
      </c>
      <c r="G26">
        <v>195</v>
      </c>
      <c r="H26">
        <v>132</v>
      </c>
      <c r="I26">
        <v>147</v>
      </c>
      <c r="K26">
        <v>11.02</v>
      </c>
      <c r="L26" s="10">
        <v>318</v>
      </c>
      <c r="M26" s="22" t="s">
        <v>60</v>
      </c>
      <c r="N26" s="22" t="s">
        <v>294</v>
      </c>
      <c r="O26" s="22">
        <v>41</v>
      </c>
      <c r="P26" s="22">
        <v>39</v>
      </c>
      <c r="Q26" s="22">
        <v>67</v>
      </c>
      <c r="S26">
        <v>10.76</v>
      </c>
      <c r="T26" s="10">
        <v>319</v>
      </c>
      <c r="U26">
        <v>96</v>
      </c>
      <c r="V26">
        <v>311</v>
      </c>
      <c r="W26" s="35" t="s">
        <v>295</v>
      </c>
    </row>
    <row r="27" spans="1:23">
      <c r="A27">
        <v>2011</v>
      </c>
      <c r="B27" s="22" t="s">
        <v>46</v>
      </c>
      <c r="C27" s="2">
        <v>40703</v>
      </c>
      <c r="D27">
        <v>87</v>
      </c>
      <c r="E27" s="9" t="s">
        <v>55</v>
      </c>
      <c r="F27" s="4" t="s">
        <v>251</v>
      </c>
      <c r="G27">
        <v>128</v>
      </c>
      <c r="H27">
        <v>75</v>
      </c>
      <c r="I27">
        <v>88</v>
      </c>
      <c r="K27">
        <v>10.42</v>
      </c>
      <c r="L27" s="10">
        <v>112</v>
      </c>
      <c r="M27" s="22" t="s">
        <v>60</v>
      </c>
      <c r="N27" s="22" t="s">
        <v>279</v>
      </c>
      <c r="O27" s="22">
        <v>66</v>
      </c>
      <c r="P27" s="22">
        <v>40</v>
      </c>
      <c r="Q27" s="22">
        <v>58</v>
      </c>
      <c r="S27">
        <v>10.91</v>
      </c>
      <c r="T27" s="10">
        <v>110</v>
      </c>
      <c r="U27">
        <v>95</v>
      </c>
      <c r="V27">
        <v>306</v>
      </c>
      <c r="W27" s="35" t="s">
        <v>296</v>
      </c>
    </row>
    <row r="28" spans="1:23">
      <c r="A28">
        <v>2011</v>
      </c>
      <c r="B28" s="22" t="s">
        <v>46</v>
      </c>
      <c r="C28" s="2">
        <v>40703</v>
      </c>
      <c r="D28">
        <v>87</v>
      </c>
      <c r="E28" s="9" t="s">
        <v>55</v>
      </c>
      <c r="F28" s="4" t="s">
        <v>254</v>
      </c>
      <c r="G28">
        <v>12</v>
      </c>
      <c r="H28">
        <v>11</v>
      </c>
      <c r="I28">
        <v>17</v>
      </c>
      <c r="K28">
        <v>11.4</v>
      </c>
      <c r="L28" s="46">
        <v>190</v>
      </c>
      <c r="M28" s="22" t="s">
        <v>60</v>
      </c>
      <c r="N28" s="22" t="s">
        <v>297</v>
      </c>
      <c r="O28" s="22">
        <v>66</v>
      </c>
      <c r="P28" s="22">
        <v>48</v>
      </c>
      <c r="Q28" s="22">
        <v>47</v>
      </c>
      <c r="S28">
        <v>10.77</v>
      </c>
      <c r="T28" s="46">
        <v>189</v>
      </c>
      <c r="U28">
        <v>81</v>
      </c>
      <c r="V28">
        <v>308</v>
      </c>
    </row>
    <row r="29" spans="1:23">
      <c r="A29">
        <v>2011</v>
      </c>
      <c r="B29" s="22" t="s">
        <v>46</v>
      </c>
      <c r="C29" s="2">
        <v>40703</v>
      </c>
      <c r="D29">
        <v>87</v>
      </c>
      <c r="E29" s="9" t="s">
        <v>55</v>
      </c>
      <c r="F29" s="4" t="s">
        <v>256</v>
      </c>
      <c r="G29">
        <v>49</v>
      </c>
      <c r="H29">
        <v>23</v>
      </c>
      <c r="I29">
        <v>19</v>
      </c>
      <c r="K29">
        <v>8.7799999999999994</v>
      </c>
      <c r="L29" s="46">
        <v>269</v>
      </c>
      <c r="M29" s="22" t="s">
        <v>60</v>
      </c>
      <c r="N29" s="22" t="s">
        <v>298</v>
      </c>
      <c r="O29" s="45">
        <v>35</v>
      </c>
      <c r="P29" s="22">
        <v>22</v>
      </c>
      <c r="Q29" s="22">
        <v>37</v>
      </c>
      <c r="S29">
        <v>8.82</v>
      </c>
      <c r="T29" s="10">
        <v>272</v>
      </c>
      <c r="U29">
        <v>60</v>
      </c>
      <c r="V29">
        <v>303</v>
      </c>
      <c r="W29" s="35" t="s">
        <v>299</v>
      </c>
    </row>
    <row r="30" spans="1:23">
      <c r="A30">
        <v>2011</v>
      </c>
      <c r="B30" s="22" t="s">
        <v>46</v>
      </c>
      <c r="C30" s="2">
        <v>40703</v>
      </c>
      <c r="D30">
        <v>87</v>
      </c>
      <c r="E30" s="9" t="s">
        <v>55</v>
      </c>
      <c r="F30" s="4" t="s">
        <v>258</v>
      </c>
      <c r="G30">
        <v>52</v>
      </c>
      <c r="H30">
        <v>15</v>
      </c>
      <c r="I30">
        <v>58</v>
      </c>
      <c r="K30">
        <v>6.83</v>
      </c>
      <c r="L30" s="10">
        <v>324</v>
      </c>
      <c r="M30" s="22" t="s">
        <v>81</v>
      </c>
      <c r="N30" s="22" t="s">
        <v>300</v>
      </c>
      <c r="O30" s="22">
        <v>30</v>
      </c>
      <c r="P30" s="22">
        <v>25</v>
      </c>
      <c r="Q30" s="22">
        <v>24</v>
      </c>
      <c r="S30">
        <v>6.23</v>
      </c>
      <c r="T30" s="10">
        <v>334</v>
      </c>
      <c r="U30">
        <v>82</v>
      </c>
      <c r="V30">
        <v>312</v>
      </c>
    </row>
    <row r="31" spans="1:23">
      <c r="A31">
        <v>2011</v>
      </c>
      <c r="B31" s="22" t="s">
        <v>46</v>
      </c>
      <c r="C31" s="2">
        <v>40703</v>
      </c>
      <c r="D31">
        <v>87</v>
      </c>
      <c r="E31" s="9" t="s">
        <v>71</v>
      </c>
      <c r="F31" s="4" t="s">
        <v>278</v>
      </c>
      <c r="G31">
        <v>144</v>
      </c>
      <c r="H31">
        <v>138</v>
      </c>
      <c r="I31">
        <v>197</v>
      </c>
      <c r="K31">
        <v>14.65</v>
      </c>
      <c r="L31" s="46">
        <v>205</v>
      </c>
      <c r="M31" s="22" t="s">
        <v>60</v>
      </c>
      <c r="N31" s="22" t="s">
        <v>301</v>
      </c>
      <c r="O31" s="22">
        <v>31</v>
      </c>
      <c r="P31" s="22">
        <v>21</v>
      </c>
      <c r="Q31" s="22">
        <v>51</v>
      </c>
      <c r="S31">
        <v>14.79</v>
      </c>
      <c r="T31" s="10">
        <v>204</v>
      </c>
      <c r="U31">
        <v>38</v>
      </c>
      <c r="V31">
        <v>309</v>
      </c>
      <c r="W31" s="35" t="s">
        <v>302</v>
      </c>
    </row>
    <row r="32" spans="1:23">
      <c r="A32">
        <v>2011</v>
      </c>
      <c r="B32" s="22" t="s">
        <v>46</v>
      </c>
      <c r="C32" s="2">
        <v>40703</v>
      </c>
      <c r="D32">
        <v>87</v>
      </c>
      <c r="E32" s="9" t="s">
        <v>180</v>
      </c>
      <c r="F32" s="4" t="s">
        <v>303</v>
      </c>
      <c r="G32">
        <v>118</v>
      </c>
      <c r="H32">
        <v>90</v>
      </c>
      <c r="I32">
        <v>118</v>
      </c>
      <c r="K32">
        <v>7.08</v>
      </c>
      <c r="L32" s="10">
        <v>206</v>
      </c>
      <c r="M32" s="22" t="s">
        <v>60</v>
      </c>
      <c r="N32" s="22" t="s">
        <v>277</v>
      </c>
      <c r="O32" s="22">
        <v>32</v>
      </c>
      <c r="P32" s="22">
        <v>24</v>
      </c>
      <c r="Q32" s="22">
        <v>28</v>
      </c>
      <c r="S32">
        <v>6.52</v>
      </c>
      <c r="T32" s="10">
        <v>210</v>
      </c>
      <c r="U32">
        <v>67</v>
      </c>
      <c r="V32">
        <v>310</v>
      </c>
    </row>
    <row r="33" spans="1:23">
      <c r="A33">
        <v>2011</v>
      </c>
      <c r="B33" s="22" t="s">
        <v>46</v>
      </c>
      <c r="C33" s="2">
        <v>40703</v>
      </c>
      <c r="D33">
        <v>87</v>
      </c>
      <c r="E33" s="9" t="s">
        <v>73</v>
      </c>
      <c r="F33" s="4" t="s">
        <v>265</v>
      </c>
      <c r="G33">
        <v>213</v>
      </c>
      <c r="H33">
        <v>124</v>
      </c>
      <c r="I33">
        <v>210</v>
      </c>
      <c r="K33">
        <v>9.74</v>
      </c>
      <c r="L33" s="10">
        <v>68</v>
      </c>
      <c r="M33" s="22" t="s">
        <v>60</v>
      </c>
      <c r="N33" s="22" t="s">
        <v>281</v>
      </c>
      <c r="O33" s="22">
        <v>48</v>
      </c>
      <c r="P33" s="22">
        <v>44</v>
      </c>
      <c r="Q33" s="22">
        <v>58</v>
      </c>
      <c r="S33">
        <v>10.18</v>
      </c>
      <c r="T33" s="10">
        <v>66</v>
      </c>
      <c r="U33">
        <v>58</v>
      </c>
      <c r="V33">
        <v>305</v>
      </c>
      <c r="W33" s="35" t="s">
        <v>304</v>
      </c>
    </row>
    <row r="34" spans="1:23">
      <c r="A34">
        <v>2011</v>
      </c>
      <c r="B34" s="22" t="s">
        <v>46</v>
      </c>
      <c r="C34" s="2">
        <v>40703</v>
      </c>
      <c r="D34">
        <v>87</v>
      </c>
      <c r="E34" s="9" t="s">
        <v>73</v>
      </c>
      <c r="F34" s="4" t="s">
        <v>268</v>
      </c>
      <c r="G34">
        <v>79</v>
      </c>
      <c r="H34">
        <v>23</v>
      </c>
      <c r="I34">
        <v>76</v>
      </c>
      <c r="K34">
        <v>11.89</v>
      </c>
      <c r="L34" s="10">
        <v>123</v>
      </c>
      <c r="M34" s="22" t="s">
        <v>91</v>
      </c>
      <c r="N34" s="22" t="s">
        <v>305</v>
      </c>
      <c r="O34" s="22">
        <v>17</v>
      </c>
      <c r="P34" s="22">
        <v>13</v>
      </c>
      <c r="Q34" s="22">
        <v>31</v>
      </c>
      <c r="S34">
        <v>11.67</v>
      </c>
      <c r="T34" s="10">
        <v>122</v>
      </c>
      <c r="U34">
        <v>41</v>
      </c>
      <c r="V34">
        <v>307</v>
      </c>
      <c r="W34" s="35" t="s">
        <v>306</v>
      </c>
    </row>
    <row r="35" spans="1:23">
      <c r="A35">
        <v>2011</v>
      </c>
      <c r="B35" s="22" t="s">
        <v>46</v>
      </c>
      <c r="C35" s="2">
        <v>40703</v>
      </c>
      <c r="D35">
        <v>87</v>
      </c>
      <c r="E35" s="9" t="s">
        <v>67</v>
      </c>
      <c r="F35" s="4" t="s">
        <v>285</v>
      </c>
      <c r="G35">
        <v>20</v>
      </c>
      <c r="H35">
        <v>14</v>
      </c>
      <c r="I35">
        <v>28</v>
      </c>
      <c r="K35">
        <v>10.45</v>
      </c>
      <c r="L35" s="10">
        <v>67</v>
      </c>
      <c r="M35" s="22" t="s">
        <v>60</v>
      </c>
      <c r="N35" s="22" t="s">
        <v>307</v>
      </c>
      <c r="O35" s="22">
        <v>48</v>
      </c>
      <c r="P35" s="22">
        <v>44</v>
      </c>
      <c r="Q35" s="22">
        <v>58</v>
      </c>
      <c r="S35">
        <v>10.18</v>
      </c>
      <c r="T35" s="10">
        <v>66</v>
      </c>
      <c r="U35">
        <v>36</v>
      </c>
      <c r="V35">
        <v>305</v>
      </c>
    </row>
    <row r="36" spans="1:23">
      <c r="A36">
        <v>2011</v>
      </c>
      <c r="B36" s="22" t="s">
        <v>46</v>
      </c>
      <c r="C36" s="2">
        <v>40703</v>
      </c>
      <c r="D36">
        <v>87</v>
      </c>
      <c r="E36" s="9" t="s">
        <v>67</v>
      </c>
      <c r="F36" s="4" t="s">
        <v>286</v>
      </c>
      <c r="G36">
        <v>17</v>
      </c>
      <c r="H36">
        <v>16</v>
      </c>
      <c r="I36">
        <v>44</v>
      </c>
      <c r="K36">
        <v>10.94</v>
      </c>
      <c r="L36" s="10">
        <v>124</v>
      </c>
      <c r="M36" s="22" t="s">
        <v>91</v>
      </c>
      <c r="N36" s="22" t="s">
        <v>305</v>
      </c>
      <c r="O36" s="22">
        <v>17</v>
      </c>
      <c r="P36" s="22">
        <v>13</v>
      </c>
      <c r="Q36" s="22">
        <v>31</v>
      </c>
      <c r="S36">
        <v>11.67</v>
      </c>
      <c r="T36" s="10">
        <v>122</v>
      </c>
      <c r="U36">
        <v>90</v>
      </c>
      <c r="V36">
        <v>307</v>
      </c>
    </row>
    <row r="37" spans="1:23">
      <c r="A37">
        <v>2011</v>
      </c>
      <c r="B37" s="22" t="s">
        <v>46</v>
      </c>
      <c r="C37" s="2">
        <v>40703</v>
      </c>
      <c r="D37">
        <v>87</v>
      </c>
      <c r="E37" s="9" t="s">
        <v>67</v>
      </c>
      <c r="F37" s="4" t="s">
        <v>308</v>
      </c>
      <c r="G37">
        <v>33</v>
      </c>
      <c r="H37">
        <v>19</v>
      </c>
      <c r="I37">
        <v>33</v>
      </c>
      <c r="K37">
        <v>6.11</v>
      </c>
      <c r="L37" s="10">
        <v>200</v>
      </c>
      <c r="M37" s="22" t="s">
        <v>60</v>
      </c>
      <c r="N37" s="22" t="s">
        <v>277</v>
      </c>
      <c r="O37" s="22">
        <v>32</v>
      </c>
      <c r="P37" s="22">
        <v>24</v>
      </c>
      <c r="Q37" s="22">
        <v>28</v>
      </c>
      <c r="S37">
        <v>6.52</v>
      </c>
      <c r="T37" s="10">
        <v>210</v>
      </c>
      <c r="U37">
        <v>116</v>
      </c>
      <c r="V37">
        <v>310</v>
      </c>
    </row>
    <row r="38" spans="1:23">
      <c r="A38">
        <v>2011</v>
      </c>
      <c r="B38" s="22" t="s">
        <v>46</v>
      </c>
      <c r="C38" s="2">
        <v>40703</v>
      </c>
      <c r="D38">
        <v>87</v>
      </c>
      <c r="E38" s="9" t="s">
        <v>67</v>
      </c>
      <c r="F38" s="4" t="s">
        <v>289</v>
      </c>
      <c r="G38">
        <v>2.5</v>
      </c>
      <c r="H38">
        <v>2.5</v>
      </c>
      <c r="I38">
        <v>18</v>
      </c>
      <c r="K38">
        <v>10.78</v>
      </c>
      <c r="L38" s="46">
        <v>191</v>
      </c>
      <c r="M38" s="22" t="s">
        <v>60</v>
      </c>
      <c r="N38" s="22" t="s">
        <v>297</v>
      </c>
      <c r="O38" s="22">
        <v>66</v>
      </c>
      <c r="P38" s="22">
        <v>48</v>
      </c>
      <c r="Q38" s="22">
        <v>47</v>
      </c>
      <c r="S38">
        <v>10.77</v>
      </c>
      <c r="T38" s="10">
        <v>189</v>
      </c>
      <c r="U38">
        <v>79</v>
      </c>
      <c r="V38">
        <v>308</v>
      </c>
      <c r="W38" s="35" t="s">
        <v>309</v>
      </c>
    </row>
    <row r="39" spans="1:23">
      <c r="A39">
        <v>2011</v>
      </c>
      <c r="B39" s="22" t="s">
        <v>46</v>
      </c>
      <c r="C39" s="2">
        <v>40703</v>
      </c>
      <c r="D39">
        <v>87</v>
      </c>
      <c r="E39" s="9" t="s">
        <v>67</v>
      </c>
      <c r="F39" s="4" t="s">
        <v>310</v>
      </c>
      <c r="G39">
        <v>14</v>
      </c>
      <c r="H39">
        <v>12</v>
      </c>
      <c r="I39">
        <v>54</v>
      </c>
      <c r="K39">
        <v>11.16</v>
      </c>
      <c r="L39" s="10">
        <v>319</v>
      </c>
      <c r="M39" s="22" t="s">
        <v>60</v>
      </c>
      <c r="N39" s="22" t="s">
        <v>294</v>
      </c>
      <c r="O39" s="22">
        <v>41</v>
      </c>
      <c r="P39" s="22">
        <v>39</v>
      </c>
      <c r="Q39" s="22">
        <v>67</v>
      </c>
      <c r="S39">
        <v>10.76</v>
      </c>
      <c r="T39" s="10">
        <v>319</v>
      </c>
      <c r="U39">
        <v>45</v>
      </c>
      <c r="V39">
        <v>311</v>
      </c>
    </row>
    <row r="40" spans="1:23">
      <c r="A40">
        <v>2011</v>
      </c>
      <c r="B40" s="22" t="s">
        <v>46</v>
      </c>
      <c r="C40" s="2">
        <v>40703</v>
      </c>
      <c r="D40">
        <v>87</v>
      </c>
      <c r="E40" s="9" t="s">
        <v>67</v>
      </c>
      <c r="F40" s="4" t="s">
        <v>311</v>
      </c>
      <c r="G40">
        <v>8</v>
      </c>
      <c r="H40">
        <v>7</v>
      </c>
      <c r="I40">
        <v>14</v>
      </c>
      <c r="K40">
        <v>4.68</v>
      </c>
      <c r="L40" s="10">
        <v>43</v>
      </c>
      <c r="M40" s="22" t="s">
        <v>54</v>
      </c>
      <c r="N40" s="22" t="s">
        <v>283</v>
      </c>
      <c r="O40" s="22">
        <v>30</v>
      </c>
      <c r="P40" s="22">
        <v>22</v>
      </c>
      <c r="Q40" s="22">
        <v>23</v>
      </c>
      <c r="S40">
        <v>4.26</v>
      </c>
      <c r="T40" s="10">
        <v>39</v>
      </c>
      <c r="U40">
        <v>31</v>
      </c>
      <c r="V40">
        <v>304</v>
      </c>
      <c r="W40" s="35" t="s">
        <v>312</v>
      </c>
    </row>
    <row r="41" spans="1:23">
      <c r="A41">
        <v>2011</v>
      </c>
      <c r="B41" s="22" t="s">
        <v>46</v>
      </c>
      <c r="C41" s="2">
        <v>40704</v>
      </c>
      <c r="D41">
        <v>88</v>
      </c>
      <c r="E41" s="24" t="s">
        <v>72</v>
      </c>
      <c r="F41" s="25" t="s">
        <v>313</v>
      </c>
      <c r="G41">
        <v>50</v>
      </c>
      <c r="H41">
        <v>46</v>
      </c>
      <c r="I41">
        <v>31</v>
      </c>
      <c r="K41">
        <v>15.36</v>
      </c>
      <c r="L41" s="10">
        <v>94</v>
      </c>
      <c r="M41" s="22" t="s">
        <v>60</v>
      </c>
      <c r="N41" s="22" t="s">
        <v>314</v>
      </c>
      <c r="O41" s="22">
        <v>19</v>
      </c>
      <c r="P41" s="22">
        <v>15</v>
      </c>
      <c r="Q41" s="22">
        <v>27</v>
      </c>
      <c r="S41">
        <v>14.61</v>
      </c>
      <c r="T41" s="10">
        <v>98</v>
      </c>
      <c r="U41">
        <v>73</v>
      </c>
      <c r="V41" s="22">
        <v>358</v>
      </c>
      <c r="W41" s="35" t="s">
        <v>315</v>
      </c>
    </row>
    <row r="42" spans="1:23">
      <c r="A42">
        <v>2011</v>
      </c>
      <c r="B42" s="22" t="s">
        <v>46</v>
      </c>
      <c r="C42" s="2">
        <v>40704</v>
      </c>
      <c r="D42">
        <v>88</v>
      </c>
      <c r="E42" s="24" t="s">
        <v>55</v>
      </c>
      <c r="F42" s="25" t="s">
        <v>254</v>
      </c>
      <c r="G42">
        <v>24</v>
      </c>
      <c r="H42">
        <v>11</v>
      </c>
      <c r="I42">
        <v>24</v>
      </c>
      <c r="K42">
        <v>5.46</v>
      </c>
      <c r="L42" s="10">
        <v>202</v>
      </c>
      <c r="M42" s="22" t="s">
        <v>60</v>
      </c>
      <c r="N42" s="22" t="s">
        <v>297</v>
      </c>
      <c r="O42" s="22">
        <v>21</v>
      </c>
      <c r="P42" s="22">
        <v>16</v>
      </c>
      <c r="Q42" s="22">
        <v>25</v>
      </c>
      <c r="S42">
        <v>6.18</v>
      </c>
      <c r="T42" s="10">
        <v>197</v>
      </c>
      <c r="U42">
        <v>79</v>
      </c>
      <c r="V42" s="22">
        <v>360</v>
      </c>
      <c r="W42" s="35" t="s">
        <v>316</v>
      </c>
    </row>
    <row r="43" spans="1:23">
      <c r="A43">
        <v>2011</v>
      </c>
      <c r="B43" s="22" t="s">
        <v>46</v>
      </c>
      <c r="C43" s="2">
        <v>40704</v>
      </c>
      <c r="D43">
        <v>88</v>
      </c>
      <c r="E43" s="24" t="s">
        <v>55</v>
      </c>
      <c r="F43" s="25" t="s">
        <v>256</v>
      </c>
      <c r="G43">
        <v>36</v>
      </c>
      <c r="H43">
        <v>28</v>
      </c>
      <c r="I43">
        <v>67</v>
      </c>
      <c r="K43">
        <v>11.91</v>
      </c>
      <c r="L43" s="10">
        <v>248</v>
      </c>
      <c r="M43" s="22" t="s">
        <v>47</v>
      </c>
      <c r="N43" s="22" t="s">
        <v>317</v>
      </c>
      <c r="O43" s="22">
        <v>34</v>
      </c>
      <c r="P43" s="22">
        <v>32</v>
      </c>
      <c r="Q43" s="22">
        <v>22</v>
      </c>
      <c r="S43">
        <v>12.42</v>
      </c>
      <c r="T43" s="10">
        <v>246</v>
      </c>
      <c r="U43">
        <v>58</v>
      </c>
      <c r="V43" s="22">
        <v>361</v>
      </c>
      <c r="W43" s="35" t="s">
        <v>318</v>
      </c>
    </row>
    <row r="44" spans="1:23">
      <c r="A44">
        <v>2011</v>
      </c>
      <c r="B44" s="22" t="s">
        <v>46</v>
      </c>
      <c r="C44" s="2">
        <v>40704</v>
      </c>
      <c r="D44">
        <v>88</v>
      </c>
      <c r="E44" s="24" t="s">
        <v>55</v>
      </c>
      <c r="F44" s="25" t="s">
        <v>319</v>
      </c>
      <c r="G44">
        <v>8</v>
      </c>
      <c r="H44">
        <v>7</v>
      </c>
      <c r="I44">
        <v>12</v>
      </c>
      <c r="K44">
        <v>14.29</v>
      </c>
      <c r="L44" s="10">
        <v>101</v>
      </c>
      <c r="M44" s="22" t="s">
        <v>60</v>
      </c>
      <c r="N44" s="22" t="s">
        <v>314</v>
      </c>
      <c r="O44" s="22">
        <v>19</v>
      </c>
      <c r="P44" s="22">
        <v>15</v>
      </c>
      <c r="Q44" s="22">
        <v>27</v>
      </c>
      <c r="S44">
        <v>14.61</v>
      </c>
      <c r="T44" s="10">
        <v>98</v>
      </c>
      <c r="U44">
        <v>41</v>
      </c>
      <c r="V44" s="22">
        <v>358</v>
      </c>
      <c r="W44" s="35" t="s">
        <v>320</v>
      </c>
    </row>
    <row r="45" spans="1:23">
      <c r="A45">
        <v>2011</v>
      </c>
      <c r="B45" s="22" t="s">
        <v>46</v>
      </c>
      <c r="C45" s="2">
        <v>40704</v>
      </c>
      <c r="D45">
        <v>88</v>
      </c>
      <c r="E45" s="24" t="s">
        <v>71</v>
      </c>
      <c r="F45" s="25" t="s">
        <v>280</v>
      </c>
      <c r="G45">
        <v>20</v>
      </c>
      <c r="H45">
        <v>17</v>
      </c>
      <c r="I45">
        <v>27</v>
      </c>
      <c r="K45">
        <v>15.87</v>
      </c>
      <c r="L45" s="10">
        <v>54</v>
      </c>
      <c r="M45" s="22" t="s">
        <v>321</v>
      </c>
      <c r="N45" s="22" t="s">
        <v>322</v>
      </c>
      <c r="O45" s="22">
        <v>6</v>
      </c>
      <c r="P45" s="22">
        <v>5</v>
      </c>
      <c r="Q45" s="22">
        <v>6</v>
      </c>
      <c r="S45">
        <v>15.6</v>
      </c>
      <c r="T45" s="10">
        <v>52</v>
      </c>
      <c r="U45">
        <v>36</v>
      </c>
      <c r="V45" s="22">
        <v>356</v>
      </c>
      <c r="W45" s="35" t="s">
        <v>323</v>
      </c>
    </row>
    <row r="46" spans="1:23">
      <c r="A46">
        <v>2011</v>
      </c>
      <c r="B46" s="22" t="s">
        <v>46</v>
      </c>
      <c r="C46" s="2">
        <v>40704</v>
      </c>
      <c r="D46">
        <v>88</v>
      </c>
      <c r="E46" s="24" t="s">
        <v>73</v>
      </c>
      <c r="F46" s="25" t="s">
        <v>265</v>
      </c>
      <c r="G46">
        <v>31</v>
      </c>
      <c r="H46">
        <v>26</v>
      </c>
      <c r="I46">
        <v>39</v>
      </c>
      <c r="K46">
        <v>5.76</v>
      </c>
      <c r="L46" s="10">
        <v>181</v>
      </c>
      <c r="M46" s="22" t="s">
        <v>47</v>
      </c>
      <c r="N46" s="22" t="s">
        <v>324</v>
      </c>
      <c r="O46" s="22">
        <v>24</v>
      </c>
      <c r="P46" s="22">
        <v>18</v>
      </c>
      <c r="Q46" s="22">
        <v>24</v>
      </c>
      <c r="S46">
        <v>5.58</v>
      </c>
      <c r="T46" s="10">
        <v>184</v>
      </c>
      <c r="U46">
        <v>37</v>
      </c>
      <c r="V46" s="22">
        <v>359</v>
      </c>
    </row>
    <row r="47" spans="1:23">
      <c r="A47">
        <v>2011</v>
      </c>
      <c r="B47" s="22" t="s">
        <v>46</v>
      </c>
      <c r="C47" s="2">
        <v>40704</v>
      </c>
      <c r="D47">
        <v>88</v>
      </c>
      <c r="E47" s="24" t="s">
        <v>67</v>
      </c>
      <c r="F47" s="25" t="s">
        <v>325</v>
      </c>
      <c r="G47">
        <v>13</v>
      </c>
      <c r="H47">
        <v>12</v>
      </c>
      <c r="I47">
        <v>30</v>
      </c>
      <c r="K47">
        <v>9.14</v>
      </c>
      <c r="L47" s="10">
        <v>26</v>
      </c>
      <c r="M47" s="22" t="s">
        <v>60</v>
      </c>
      <c r="N47" s="22" t="s">
        <v>326</v>
      </c>
      <c r="O47" s="22">
        <v>24</v>
      </c>
      <c r="P47" s="22">
        <v>18</v>
      </c>
      <c r="Q47" s="22">
        <v>18</v>
      </c>
      <c r="S47">
        <v>9.16</v>
      </c>
      <c r="T47" s="10">
        <v>28</v>
      </c>
      <c r="U47">
        <v>37</v>
      </c>
      <c r="V47">
        <v>352</v>
      </c>
      <c r="W47" s="35" t="s">
        <v>327</v>
      </c>
    </row>
    <row r="48" spans="1:23">
      <c r="A48">
        <v>2011</v>
      </c>
      <c r="B48" s="22" t="s">
        <v>46</v>
      </c>
      <c r="C48" s="2">
        <v>40704</v>
      </c>
      <c r="D48">
        <v>88</v>
      </c>
      <c r="E48" s="24" t="s">
        <v>67</v>
      </c>
      <c r="F48" s="25" t="s">
        <v>308</v>
      </c>
      <c r="G48">
        <v>16</v>
      </c>
      <c r="H48">
        <v>9</v>
      </c>
      <c r="I48">
        <v>17</v>
      </c>
      <c r="K48">
        <v>17.510000000000002</v>
      </c>
      <c r="L48" s="10">
        <v>42</v>
      </c>
      <c r="M48" s="22" t="s">
        <v>60</v>
      </c>
      <c r="N48" s="22" t="s">
        <v>328</v>
      </c>
      <c r="O48" s="22">
        <v>19</v>
      </c>
      <c r="P48" s="22">
        <v>15</v>
      </c>
      <c r="Q48" s="22">
        <v>30</v>
      </c>
      <c r="S48">
        <v>17.45</v>
      </c>
      <c r="T48" s="10">
        <v>40</v>
      </c>
      <c r="U48">
        <v>57</v>
      </c>
      <c r="V48">
        <v>355</v>
      </c>
      <c r="W48" s="35" t="s">
        <v>329</v>
      </c>
    </row>
    <row r="49" spans="1:23">
      <c r="A49">
        <v>2011</v>
      </c>
      <c r="B49" s="22" t="s">
        <v>46</v>
      </c>
      <c r="C49" s="2">
        <v>40704</v>
      </c>
      <c r="D49">
        <v>88</v>
      </c>
      <c r="E49" s="24" t="s">
        <v>67</v>
      </c>
      <c r="F49" s="25" t="s">
        <v>289</v>
      </c>
      <c r="G49">
        <v>14</v>
      </c>
      <c r="H49">
        <v>9</v>
      </c>
      <c r="I49">
        <v>15</v>
      </c>
      <c r="K49">
        <v>16.63</v>
      </c>
      <c r="L49" s="10">
        <v>86</v>
      </c>
      <c r="M49" s="22" t="s">
        <v>85</v>
      </c>
      <c r="N49" s="22" t="s">
        <v>266</v>
      </c>
      <c r="O49" s="22">
        <v>14</v>
      </c>
      <c r="P49" s="22">
        <v>13</v>
      </c>
      <c r="Q49" s="22">
        <v>16</v>
      </c>
      <c r="S49">
        <v>16.88</v>
      </c>
      <c r="T49" s="10">
        <v>85</v>
      </c>
      <c r="U49">
        <v>20</v>
      </c>
      <c r="V49" s="22">
        <v>357</v>
      </c>
      <c r="W49" s="36"/>
    </row>
    <row r="50" spans="1:23">
      <c r="A50">
        <v>2011</v>
      </c>
      <c r="B50" s="22" t="s">
        <v>46</v>
      </c>
      <c r="C50" s="2">
        <v>40704</v>
      </c>
      <c r="D50">
        <v>88</v>
      </c>
      <c r="E50" s="24" t="s">
        <v>67</v>
      </c>
      <c r="F50" s="25" t="s">
        <v>330</v>
      </c>
      <c r="G50">
        <v>20</v>
      </c>
      <c r="H50">
        <v>11</v>
      </c>
      <c r="I50">
        <v>17</v>
      </c>
      <c r="K50">
        <v>5.47</v>
      </c>
      <c r="L50" s="10">
        <v>44</v>
      </c>
      <c r="M50" s="22" t="s">
        <v>60</v>
      </c>
      <c r="N50" s="22" t="s">
        <v>301</v>
      </c>
      <c r="O50" s="22">
        <v>24</v>
      </c>
      <c r="P50" s="22">
        <v>25</v>
      </c>
      <c r="Q50" s="22">
        <v>33</v>
      </c>
      <c r="S50">
        <v>5.46</v>
      </c>
      <c r="T50" s="10">
        <v>41</v>
      </c>
      <c r="U50">
        <v>42</v>
      </c>
      <c r="V50" s="22" t="s">
        <v>331</v>
      </c>
    </row>
    <row r="51" spans="1:23" s="38" customFormat="1">
      <c r="A51" s="38">
        <v>2011</v>
      </c>
      <c r="B51" s="45" t="s">
        <v>46</v>
      </c>
      <c r="C51" s="48">
        <v>40708</v>
      </c>
      <c r="D51" s="38">
        <v>115</v>
      </c>
      <c r="E51" s="49" t="s">
        <v>55</v>
      </c>
      <c r="F51" s="50" t="s">
        <v>251</v>
      </c>
      <c r="G51" s="38">
        <v>2</v>
      </c>
      <c r="H51" s="38">
        <v>1</v>
      </c>
      <c r="I51" s="38">
        <v>17</v>
      </c>
      <c r="K51" s="38">
        <v>3.99</v>
      </c>
      <c r="L51" s="46">
        <v>144</v>
      </c>
      <c r="M51" s="45" t="s">
        <v>47</v>
      </c>
      <c r="N51" s="45" t="s">
        <v>332</v>
      </c>
      <c r="O51" s="45">
        <v>22</v>
      </c>
      <c r="P51" s="45">
        <v>21</v>
      </c>
      <c r="Q51" s="45">
        <v>11</v>
      </c>
      <c r="S51" s="38">
        <v>4.29</v>
      </c>
      <c r="T51" s="46">
        <v>150</v>
      </c>
      <c r="U51" s="38">
        <v>56</v>
      </c>
      <c r="V51" s="45" t="s">
        <v>333</v>
      </c>
      <c r="W51" s="47" t="s">
        <v>334</v>
      </c>
    </row>
    <row r="52" spans="1:23" s="38" customFormat="1">
      <c r="A52" s="38">
        <v>2011</v>
      </c>
      <c r="B52" s="45" t="s">
        <v>46</v>
      </c>
      <c r="C52" s="48">
        <v>40708</v>
      </c>
      <c r="D52" s="38">
        <v>115</v>
      </c>
      <c r="E52" s="49" t="s">
        <v>55</v>
      </c>
      <c r="F52" s="50" t="s">
        <v>254</v>
      </c>
      <c r="G52" s="38">
        <v>16</v>
      </c>
      <c r="H52" s="38">
        <v>14</v>
      </c>
      <c r="I52" s="38">
        <v>30</v>
      </c>
      <c r="K52" s="38">
        <v>19.05</v>
      </c>
      <c r="L52" s="46">
        <v>111</v>
      </c>
      <c r="M52" s="45" t="s">
        <v>47</v>
      </c>
      <c r="N52" s="45" t="s">
        <v>335</v>
      </c>
      <c r="O52" s="45">
        <v>33</v>
      </c>
      <c r="P52" s="45">
        <v>24</v>
      </c>
      <c r="Q52" s="45">
        <v>16</v>
      </c>
      <c r="S52" s="38">
        <v>19.68</v>
      </c>
      <c r="T52" s="46">
        <v>112</v>
      </c>
      <c r="U52" s="38">
        <v>75</v>
      </c>
      <c r="V52" s="45">
        <v>423</v>
      </c>
      <c r="W52" s="47" t="s">
        <v>336</v>
      </c>
    </row>
    <row r="53" spans="1:23" s="38" customFormat="1">
      <c r="A53" s="38">
        <v>2011</v>
      </c>
      <c r="B53" s="45" t="s">
        <v>46</v>
      </c>
      <c r="C53" s="48">
        <v>40708</v>
      </c>
      <c r="D53" s="38">
        <v>115</v>
      </c>
      <c r="E53" s="49" t="s">
        <v>67</v>
      </c>
      <c r="F53" s="50" t="s">
        <v>325</v>
      </c>
      <c r="G53" s="38">
        <v>17</v>
      </c>
      <c r="H53" s="38">
        <v>9</v>
      </c>
      <c r="I53" s="38">
        <v>8</v>
      </c>
      <c r="K53" s="38">
        <v>10.220000000000001</v>
      </c>
      <c r="L53" s="46">
        <v>245</v>
      </c>
      <c r="M53" s="45" t="s">
        <v>47</v>
      </c>
      <c r="N53" s="45" t="s">
        <v>337</v>
      </c>
      <c r="O53" s="45">
        <v>22</v>
      </c>
      <c r="P53" s="45">
        <v>19</v>
      </c>
      <c r="Q53" s="45">
        <v>11</v>
      </c>
      <c r="S53" s="38">
        <v>10.38</v>
      </c>
      <c r="T53" s="46">
        <v>244</v>
      </c>
      <c r="U53" s="38">
        <v>18</v>
      </c>
      <c r="V53" s="45">
        <v>428</v>
      </c>
      <c r="W53" s="47"/>
    </row>
    <row r="54" spans="1:23" s="38" customFormat="1">
      <c r="A54" s="38">
        <v>2011</v>
      </c>
      <c r="B54" s="45" t="s">
        <v>46</v>
      </c>
      <c r="C54" s="48">
        <v>40708</v>
      </c>
      <c r="D54" s="38">
        <v>115</v>
      </c>
      <c r="E54" s="49" t="s">
        <v>67</v>
      </c>
      <c r="F54" s="50" t="s">
        <v>338</v>
      </c>
      <c r="G54" s="38">
        <v>12</v>
      </c>
      <c r="H54" s="38">
        <v>8</v>
      </c>
      <c r="I54" s="38">
        <v>19</v>
      </c>
      <c r="K54" s="38">
        <v>10.84</v>
      </c>
      <c r="L54" s="46">
        <v>244</v>
      </c>
      <c r="M54" s="45" t="s">
        <v>47</v>
      </c>
      <c r="N54" s="45" t="s">
        <v>337</v>
      </c>
      <c r="O54" s="45">
        <v>22</v>
      </c>
      <c r="P54" s="45">
        <v>19</v>
      </c>
      <c r="Q54" s="45">
        <v>11</v>
      </c>
      <c r="S54" s="38">
        <v>10.38</v>
      </c>
      <c r="T54" s="46">
        <v>244</v>
      </c>
      <c r="U54" s="38">
        <v>51</v>
      </c>
      <c r="V54" s="45">
        <v>428</v>
      </c>
      <c r="W54" s="47" t="s">
        <v>339</v>
      </c>
    </row>
    <row r="55" spans="1:23" s="38" customFormat="1">
      <c r="A55" s="38">
        <v>2011</v>
      </c>
      <c r="B55" s="45" t="s">
        <v>46</v>
      </c>
      <c r="C55" s="48">
        <v>40708</v>
      </c>
      <c r="D55" s="38">
        <v>115</v>
      </c>
      <c r="E55" s="49" t="s">
        <v>67</v>
      </c>
      <c r="F55" s="50" t="s">
        <v>308</v>
      </c>
      <c r="G55" s="38">
        <v>5</v>
      </c>
      <c r="H55" s="38">
        <v>5</v>
      </c>
      <c r="I55" s="38">
        <v>11</v>
      </c>
      <c r="K55" s="38">
        <v>16.78</v>
      </c>
      <c r="L55" s="46">
        <v>36</v>
      </c>
      <c r="M55" s="45" t="s">
        <v>47</v>
      </c>
      <c r="N55" s="45" t="s">
        <v>340</v>
      </c>
      <c r="O55" s="45">
        <v>28</v>
      </c>
      <c r="P55" s="45">
        <v>23</v>
      </c>
      <c r="Q55" s="45">
        <v>15</v>
      </c>
      <c r="S55" s="38">
        <v>17.23</v>
      </c>
      <c r="T55" s="46">
        <v>38</v>
      </c>
      <c r="U55" s="38">
        <v>64</v>
      </c>
      <c r="V55" s="45">
        <v>422</v>
      </c>
      <c r="W55" s="47"/>
    </row>
    <row r="56" spans="1:23" s="38" customFormat="1">
      <c r="A56" s="38">
        <v>2011</v>
      </c>
      <c r="B56" s="45" t="s">
        <v>46</v>
      </c>
      <c r="C56" s="48">
        <v>40708</v>
      </c>
      <c r="D56" s="38">
        <v>115</v>
      </c>
      <c r="E56" s="49" t="s">
        <v>67</v>
      </c>
      <c r="F56" s="50" t="s">
        <v>291</v>
      </c>
      <c r="G56" s="38">
        <v>17</v>
      </c>
      <c r="H56" s="38">
        <v>14</v>
      </c>
      <c r="I56" s="38">
        <v>18</v>
      </c>
      <c r="K56" s="38">
        <v>18.190000000000001</v>
      </c>
      <c r="L56" s="46">
        <v>112</v>
      </c>
      <c r="M56" s="45" t="s">
        <v>47</v>
      </c>
      <c r="N56" s="45" t="s">
        <v>341</v>
      </c>
      <c r="O56" s="45">
        <v>12</v>
      </c>
      <c r="P56" s="45">
        <v>10</v>
      </c>
      <c r="Q56" s="45">
        <v>11</v>
      </c>
      <c r="S56" s="38">
        <v>17.84</v>
      </c>
      <c r="T56" s="46">
        <v>114</v>
      </c>
      <c r="U56" s="38">
        <v>33</v>
      </c>
      <c r="V56" s="45">
        <v>424</v>
      </c>
      <c r="W56" s="47" t="s">
        <v>342</v>
      </c>
    </row>
    <row r="57" spans="1:23" s="38" customFormat="1">
      <c r="A57" s="38">
        <v>2011</v>
      </c>
      <c r="B57" s="45" t="s">
        <v>46</v>
      </c>
      <c r="C57" s="48">
        <v>40708</v>
      </c>
      <c r="D57" s="38">
        <v>115</v>
      </c>
      <c r="E57" s="49" t="s">
        <v>67</v>
      </c>
      <c r="F57" s="50" t="s">
        <v>310</v>
      </c>
      <c r="G57" s="38">
        <v>19</v>
      </c>
      <c r="H57" s="38">
        <v>11</v>
      </c>
      <c r="I57" s="38">
        <v>25</v>
      </c>
      <c r="K57" s="38">
        <v>1.5</v>
      </c>
      <c r="L57" s="46">
        <v>220</v>
      </c>
      <c r="M57" s="45" t="s">
        <v>47</v>
      </c>
      <c r="N57" s="45" t="s">
        <v>343</v>
      </c>
      <c r="O57" s="45">
        <v>33</v>
      </c>
      <c r="P57" s="45">
        <v>32</v>
      </c>
      <c r="Q57" s="45">
        <v>22</v>
      </c>
      <c r="S57" s="38">
        <v>1.38</v>
      </c>
      <c r="T57" s="46">
        <v>204</v>
      </c>
      <c r="U57" s="38">
        <v>35</v>
      </c>
      <c r="V57" s="45">
        <v>427</v>
      </c>
      <c r="W57" s="47" t="s">
        <v>344</v>
      </c>
    </row>
    <row r="58" spans="1:23" s="38" customFormat="1">
      <c r="A58" s="38">
        <v>2011</v>
      </c>
      <c r="B58" s="45" t="s">
        <v>46</v>
      </c>
      <c r="C58" s="48">
        <v>40708</v>
      </c>
      <c r="D58" s="38">
        <v>115</v>
      </c>
      <c r="E58" s="49" t="s">
        <v>67</v>
      </c>
      <c r="F58" s="50" t="s">
        <v>330</v>
      </c>
      <c r="G58" s="38">
        <v>12</v>
      </c>
      <c r="H58" s="38">
        <v>11</v>
      </c>
      <c r="I58" s="38">
        <v>16</v>
      </c>
      <c r="K58" s="38">
        <v>18.010000000000002</v>
      </c>
      <c r="L58" s="46">
        <v>115</v>
      </c>
      <c r="M58" s="45" t="s">
        <v>47</v>
      </c>
      <c r="N58" s="45" t="s">
        <v>341</v>
      </c>
      <c r="O58" s="45">
        <v>12</v>
      </c>
      <c r="P58" s="45">
        <v>10</v>
      </c>
      <c r="Q58" s="45">
        <v>11</v>
      </c>
      <c r="S58" s="38">
        <v>17.84</v>
      </c>
      <c r="T58" s="46">
        <v>114</v>
      </c>
      <c r="U58" s="38">
        <v>27</v>
      </c>
      <c r="V58" s="45">
        <v>424</v>
      </c>
      <c r="W58" s="47" t="s">
        <v>345</v>
      </c>
    </row>
    <row r="59" spans="1:23" s="38" customFormat="1">
      <c r="A59" s="38">
        <v>2011</v>
      </c>
      <c r="B59" s="45" t="s">
        <v>46</v>
      </c>
      <c r="C59" s="48">
        <v>40708</v>
      </c>
      <c r="D59" s="38">
        <v>116</v>
      </c>
      <c r="E59" s="49" t="s">
        <v>67</v>
      </c>
      <c r="F59" s="50" t="s">
        <v>285</v>
      </c>
      <c r="G59" s="45" t="s">
        <v>1</v>
      </c>
      <c r="H59" s="45" t="s">
        <v>1</v>
      </c>
      <c r="I59" s="45" t="s">
        <v>1</v>
      </c>
      <c r="K59" s="38">
        <v>23.27</v>
      </c>
      <c r="L59" s="46">
        <v>191</v>
      </c>
      <c r="M59" s="45" t="s">
        <v>47</v>
      </c>
      <c r="N59" s="45" t="s">
        <v>264</v>
      </c>
      <c r="O59" s="45" t="s">
        <v>1</v>
      </c>
      <c r="P59" s="45" t="s">
        <v>1</v>
      </c>
      <c r="Q59" s="45" t="s">
        <v>1</v>
      </c>
      <c r="S59" s="38">
        <v>23.38</v>
      </c>
      <c r="T59" s="46">
        <v>193</v>
      </c>
      <c r="U59" s="38">
        <v>42</v>
      </c>
      <c r="V59" s="45" t="s">
        <v>1</v>
      </c>
      <c r="W59" s="47"/>
    </row>
    <row r="60" spans="1:23">
      <c r="A60">
        <v>2011</v>
      </c>
      <c r="B60" s="22" t="s">
        <v>46</v>
      </c>
      <c r="C60" s="2">
        <v>40722</v>
      </c>
      <c r="D60">
        <v>117</v>
      </c>
      <c r="E60" s="24" t="s">
        <v>55</v>
      </c>
      <c r="F60" s="25" t="s">
        <v>254</v>
      </c>
      <c r="G60">
        <v>10</v>
      </c>
      <c r="H60">
        <v>12</v>
      </c>
      <c r="I60">
        <v>15</v>
      </c>
      <c r="K60">
        <v>17.09</v>
      </c>
      <c r="L60" s="10">
        <v>58</v>
      </c>
      <c r="M60" s="22" t="s">
        <v>60</v>
      </c>
      <c r="N60" s="22" t="s">
        <v>277</v>
      </c>
      <c r="O60" s="22">
        <v>15</v>
      </c>
      <c r="P60" s="22">
        <v>10</v>
      </c>
      <c r="Q60" s="22">
        <v>10</v>
      </c>
      <c r="S60">
        <v>17.32</v>
      </c>
      <c r="T60" s="10">
        <v>55</v>
      </c>
      <c r="U60">
        <v>38</v>
      </c>
      <c r="V60">
        <v>721</v>
      </c>
    </row>
    <row r="61" spans="1:23">
      <c r="A61">
        <v>2011</v>
      </c>
      <c r="B61" s="22" t="s">
        <v>46</v>
      </c>
      <c r="C61" s="2">
        <v>40722</v>
      </c>
      <c r="D61">
        <v>117</v>
      </c>
      <c r="E61" s="24" t="s">
        <v>55</v>
      </c>
      <c r="F61" s="25" t="s">
        <v>256</v>
      </c>
      <c r="G61" s="22" t="s">
        <v>1</v>
      </c>
      <c r="H61" s="22" t="s">
        <v>1</v>
      </c>
      <c r="I61" s="22" t="s">
        <v>1</v>
      </c>
      <c r="K61">
        <v>14.11</v>
      </c>
      <c r="L61" s="10">
        <v>185</v>
      </c>
      <c r="M61" s="22" t="s">
        <v>60</v>
      </c>
      <c r="N61" s="22" t="s">
        <v>298</v>
      </c>
      <c r="O61" s="22" t="s">
        <v>1</v>
      </c>
      <c r="P61" s="22" t="s">
        <v>1</v>
      </c>
      <c r="Q61" s="22" t="s">
        <v>1</v>
      </c>
      <c r="S61">
        <v>13.84</v>
      </c>
      <c r="T61" s="10">
        <v>187</v>
      </c>
      <c r="U61">
        <v>32</v>
      </c>
      <c r="V61" s="22" t="s">
        <v>1</v>
      </c>
    </row>
    <row r="62" spans="1:23">
      <c r="A62">
        <v>2011</v>
      </c>
      <c r="B62" s="22" t="s">
        <v>46</v>
      </c>
      <c r="C62" s="2">
        <v>40722</v>
      </c>
      <c r="D62">
        <v>117</v>
      </c>
      <c r="E62" s="24" t="s">
        <v>67</v>
      </c>
      <c r="F62" s="25" t="s">
        <v>286</v>
      </c>
      <c r="G62" s="22">
        <v>11</v>
      </c>
      <c r="H62" s="22">
        <v>10</v>
      </c>
      <c r="I62" s="22">
        <v>18</v>
      </c>
      <c r="K62">
        <v>9.6</v>
      </c>
      <c r="L62" s="10">
        <v>70</v>
      </c>
      <c r="M62" s="22" t="s">
        <v>60</v>
      </c>
      <c r="N62" s="22" t="s">
        <v>301</v>
      </c>
      <c r="O62" s="22" t="s">
        <v>1</v>
      </c>
      <c r="P62" s="22" t="s">
        <v>1</v>
      </c>
      <c r="Q62" s="22" t="s">
        <v>1</v>
      </c>
      <c r="S62">
        <v>9.57</v>
      </c>
      <c r="T62" s="10">
        <v>70</v>
      </c>
      <c r="U62">
        <v>7</v>
      </c>
      <c r="V62" s="22">
        <v>722</v>
      </c>
    </row>
    <row r="63" spans="1:23">
      <c r="A63">
        <v>2011</v>
      </c>
      <c r="B63" s="22" t="s">
        <v>46</v>
      </c>
      <c r="C63" s="2">
        <v>40722</v>
      </c>
      <c r="D63">
        <v>117</v>
      </c>
      <c r="E63" s="24" t="s">
        <v>67</v>
      </c>
      <c r="F63" s="25" t="s">
        <v>308</v>
      </c>
      <c r="G63" s="22" t="s">
        <v>1</v>
      </c>
      <c r="H63" s="22" t="s">
        <v>1</v>
      </c>
      <c r="I63" s="22" t="s">
        <v>1</v>
      </c>
      <c r="K63">
        <v>14.79</v>
      </c>
      <c r="L63" s="10">
        <v>168</v>
      </c>
      <c r="M63" s="22" t="s">
        <v>47</v>
      </c>
      <c r="N63" s="22" t="s">
        <v>335</v>
      </c>
      <c r="O63" s="22" t="s">
        <v>1</v>
      </c>
      <c r="P63" s="22" t="s">
        <v>1</v>
      </c>
      <c r="Q63" s="22" t="s">
        <v>1</v>
      </c>
      <c r="S63">
        <v>15.12</v>
      </c>
      <c r="T63" s="10">
        <v>168</v>
      </c>
      <c r="U63">
        <v>34</v>
      </c>
      <c r="V63" s="22" t="s">
        <v>1</v>
      </c>
    </row>
    <row r="64" spans="1:23">
      <c r="A64">
        <v>2011</v>
      </c>
      <c r="B64" s="22" t="s">
        <v>46</v>
      </c>
      <c r="C64" s="2">
        <v>40703</v>
      </c>
      <c r="D64">
        <v>118</v>
      </c>
      <c r="E64" s="24" t="s">
        <v>1</v>
      </c>
      <c r="F64" s="25" t="s">
        <v>272</v>
      </c>
      <c r="G64" s="22" t="s">
        <v>1</v>
      </c>
      <c r="H64" s="22" t="s">
        <v>1</v>
      </c>
      <c r="I64" s="22" t="s">
        <v>1</v>
      </c>
      <c r="K64">
        <v>7.41</v>
      </c>
      <c r="L64" s="10">
        <v>173</v>
      </c>
      <c r="M64" s="22" t="s">
        <v>48</v>
      </c>
      <c r="N64" s="22" t="s">
        <v>257</v>
      </c>
      <c r="O64" s="22" t="s">
        <v>1</v>
      </c>
      <c r="P64" s="22" t="s">
        <v>1</v>
      </c>
      <c r="Q64" s="22" t="s">
        <v>1</v>
      </c>
      <c r="S64">
        <v>6.92</v>
      </c>
      <c r="T64" s="10">
        <v>174</v>
      </c>
      <c r="U64">
        <v>46</v>
      </c>
      <c r="V64" s="22" t="s">
        <v>1</v>
      </c>
      <c r="W64" s="35" t="s">
        <v>346</v>
      </c>
    </row>
    <row r="65" spans="1:23" s="38" customFormat="1">
      <c r="A65" s="38">
        <v>2011</v>
      </c>
      <c r="B65" s="45" t="s">
        <v>46</v>
      </c>
      <c r="C65" s="48">
        <v>40708</v>
      </c>
      <c r="D65" s="38">
        <v>119</v>
      </c>
      <c r="E65" s="49" t="s">
        <v>55</v>
      </c>
      <c r="F65" s="50" t="s">
        <v>254</v>
      </c>
      <c r="G65" s="38">
        <v>41</v>
      </c>
      <c r="H65" s="38">
        <v>27</v>
      </c>
      <c r="I65" s="38">
        <v>34</v>
      </c>
      <c r="K65" s="38">
        <v>10.54</v>
      </c>
      <c r="L65" s="46">
        <v>94</v>
      </c>
      <c r="M65" s="45" t="s">
        <v>47</v>
      </c>
      <c r="N65" s="45" t="s">
        <v>347</v>
      </c>
      <c r="O65" s="45">
        <v>17</v>
      </c>
      <c r="P65" s="45">
        <v>16</v>
      </c>
      <c r="Q65" s="45">
        <v>15</v>
      </c>
      <c r="S65" s="38">
        <v>10.7</v>
      </c>
      <c r="T65" s="46">
        <v>90</v>
      </c>
      <c r="U65" s="38">
        <v>31</v>
      </c>
      <c r="V65" s="38">
        <v>395</v>
      </c>
      <c r="W65" s="47"/>
    </row>
    <row r="66" spans="1:23" s="38" customFormat="1">
      <c r="A66" s="38">
        <v>2011</v>
      </c>
      <c r="B66" s="45" t="s">
        <v>46</v>
      </c>
      <c r="C66" s="48">
        <v>40708</v>
      </c>
      <c r="D66" s="38">
        <v>119</v>
      </c>
      <c r="E66" s="49" t="s">
        <v>55</v>
      </c>
      <c r="F66" s="50" t="s">
        <v>256</v>
      </c>
      <c r="G66" s="38">
        <v>121</v>
      </c>
      <c r="H66" s="38">
        <v>53</v>
      </c>
      <c r="I66" s="38">
        <v>57</v>
      </c>
      <c r="K66" s="38">
        <v>4.24</v>
      </c>
      <c r="L66" s="46">
        <v>182</v>
      </c>
      <c r="M66" s="45" t="s">
        <v>47</v>
      </c>
      <c r="N66" s="45" t="s">
        <v>337</v>
      </c>
      <c r="O66" s="45">
        <v>44</v>
      </c>
      <c r="P66" s="45">
        <v>38</v>
      </c>
      <c r="Q66" s="45">
        <v>20</v>
      </c>
      <c r="S66" s="38">
        <v>4.17</v>
      </c>
      <c r="T66" s="46">
        <v>172</v>
      </c>
      <c r="U66" s="38">
        <v>65</v>
      </c>
      <c r="V66" s="38">
        <v>399</v>
      </c>
      <c r="W66" s="47" t="s">
        <v>348</v>
      </c>
    </row>
    <row r="67" spans="1:23" s="38" customFormat="1">
      <c r="A67" s="38">
        <v>2011</v>
      </c>
      <c r="B67" s="45" t="s">
        <v>46</v>
      </c>
      <c r="C67" s="48">
        <v>40708</v>
      </c>
      <c r="D67" s="38">
        <v>119</v>
      </c>
      <c r="E67" s="49" t="s">
        <v>71</v>
      </c>
      <c r="F67" s="50" t="s">
        <v>280</v>
      </c>
      <c r="G67" s="38">
        <v>30</v>
      </c>
      <c r="H67" s="38">
        <v>26</v>
      </c>
      <c r="I67" s="38">
        <v>64</v>
      </c>
      <c r="K67" s="38">
        <v>6.67</v>
      </c>
      <c r="L67" s="46">
        <v>130</v>
      </c>
      <c r="M67" s="45" t="s">
        <v>47</v>
      </c>
      <c r="N67" s="45" t="s">
        <v>335</v>
      </c>
      <c r="O67" s="45">
        <v>24</v>
      </c>
      <c r="P67" s="45">
        <v>20</v>
      </c>
      <c r="Q67" s="45">
        <v>36</v>
      </c>
      <c r="S67" s="38">
        <v>6.49</v>
      </c>
      <c r="T67" s="46">
        <v>131</v>
      </c>
      <c r="U67" s="38">
        <v>22</v>
      </c>
      <c r="V67" s="38">
        <v>397</v>
      </c>
      <c r="W67" s="47" t="s">
        <v>349</v>
      </c>
    </row>
    <row r="68" spans="1:23" s="38" customFormat="1">
      <c r="A68" s="38">
        <v>2011</v>
      </c>
      <c r="B68" s="45" t="s">
        <v>46</v>
      </c>
      <c r="C68" s="48">
        <v>40708</v>
      </c>
      <c r="D68" s="38">
        <v>119</v>
      </c>
      <c r="E68" s="49" t="s">
        <v>73</v>
      </c>
      <c r="F68" s="50" t="s">
        <v>265</v>
      </c>
      <c r="G68" s="38">
        <v>34</v>
      </c>
      <c r="H68" s="38">
        <v>24</v>
      </c>
      <c r="I68" s="38">
        <v>43</v>
      </c>
      <c r="K68" s="38">
        <v>14.11</v>
      </c>
      <c r="L68" s="46">
        <v>143</v>
      </c>
      <c r="M68" s="45" t="s">
        <v>47</v>
      </c>
      <c r="N68" s="45" t="s">
        <v>340</v>
      </c>
      <c r="O68" s="45">
        <v>33</v>
      </c>
      <c r="P68" s="45">
        <v>30</v>
      </c>
      <c r="Q68" s="45">
        <v>37</v>
      </c>
      <c r="S68" s="38">
        <v>14.42</v>
      </c>
      <c r="T68" s="46">
        <v>141</v>
      </c>
      <c r="U68" s="38">
        <v>39</v>
      </c>
      <c r="V68" s="38">
        <v>398</v>
      </c>
      <c r="W68" s="47" t="s">
        <v>350</v>
      </c>
    </row>
    <row r="69" spans="1:23" s="38" customFormat="1">
      <c r="A69" s="38">
        <v>2011</v>
      </c>
      <c r="B69" s="45" t="s">
        <v>46</v>
      </c>
      <c r="C69" s="48">
        <v>40708</v>
      </c>
      <c r="D69" s="38">
        <v>119</v>
      </c>
      <c r="E69" s="49" t="s">
        <v>67</v>
      </c>
      <c r="F69" s="50" t="s">
        <v>291</v>
      </c>
      <c r="G69" s="38">
        <v>11</v>
      </c>
      <c r="H69" s="38">
        <v>9</v>
      </c>
      <c r="I69" s="38">
        <v>10</v>
      </c>
      <c r="K69" s="38">
        <v>1.91</v>
      </c>
      <c r="L69" s="46">
        <v>107</v>
      </c>
      <c r="M69" s="45" t="s">
        <v>47</v>
      </c>
      <c r="N69" s="45" t="s">
        <v>351</v>
      </c>
      <c r="O69" s="45">
        <v>31</v>
      </c>
      <c r="P69" s="45">
        <v>18</v>
      </c>
      <c r="Q69" s="45">
        <v>13</v>
      </c>
      <c r="S69" s="38">
        <v>2.0499999999999998</v>
      </c>
      <c r="T69" s="46">
        <v>106</v>
      </c>
      <c r="U69" s="38">
        <v>14</v>
      </c>
      <c r="V69" s="38">
        <v>396</v>
      </c>
      <c r="W69" s="47" t="s">
        <v>352</v>
      </c>
    </row>
    <row r="70" spans="1:23">
      <c r="A70">
        <v>2011</v>
      </c>
      <c r="B70" s="22" t="s">
        <v>46</v>
      </c>
      <c r="C70" s="2">
        <v>40708</v>
      </c>
      <c r="D70">
        <v>119</v>
      </c>
      <c r="E70" s="24" t="s">
        <v>67</v>
      </c>
      <c r="F70" s="25" t="s">
        <v>310</v>
      </c>
      <c r="G70">
        <v>13</v>
      </c>
      <c r="H70">
        <v>11</v>
      </c>
      <c r="I70">
        <v>21</v>
      </c>
      <c r="K70">
        <v>8.7899999999999991</v>
      </c>
      <c r="L70" s="10">
        <v>266</v>
      </c>
      <c r="M70" s="22" t="s">
        <v>321</v>
      </c>
      <c r="N70" s="22" t="s">
        <v>353</v>
      </c>
      <c r="O70" s="22">
        <v>22</v>
      </c>
      <c r="P70" s="22">
        <v>6</v>
      </c>
      <c r="Q70" s="22">
        <v>11</v>
      </c>
      <c r="S70">
        <v>8.83</v>
      </c>
      <c r="T70" s="10">
        <v>264</v>
      </c>
      <c r="U70">
        <v>32</v>
      </c>
      <c r="V70">
        <v>400</v>
      </c>
      <c r="W70" s="35" t="s">
        <v>354</v>
      </c>
    </row>
    <row r="71" spans="1:23">
      <c r="A71">
        <v>2011</v>
      </c>
      <c r="B71" s="22" t="s">
        <v>46</v>
      </c>
      <c r="C71" s="2">
        <v>40708</v>
      </c>
      <c r="D71">
        <v>119</v>
      </c>
      <c r="E71" s="24" t="s">
        <v>51</v>
      </c>
      <c r="F71" s="25" t="s">
        <v>272</v>
      </c>
      <c r="G71">
        <v>22</v>
      </c>
      <c r="H71">
        <v>14</v>
      </c>
      <c r="I71">
        <v>27</v>
      </c>
      <c r="K71">
        <v>14.07</v>
      </c>
      <c r="L71" s="10">
        <v>291</v>
      </c>
      <c r="M71" s="22" t="s">
        <v>47</v>
      </c>
      <c r="N71" s="22" t="s">
        <v>332</v>
      </c>
      <c r="O71" s="22">
        <v>15</v>
      </c>
      <c r="P71" s="22">
        <v>7</v>
      </c>
      <c r="Q71" s="22">
        <v>30</v>
      </c>
      <c r="S71">
        <v>13.72</v>
      </c>
      <c r="T71" s="10">
        <v>295</v>
      </c>
      <c r="U71">
        <v>55</v>
      </c>
      <c r="V71">
        <v>401</v>
      </c>
      <c r="W71" s="35" t="s">
        <v>355</v>
      </c>
    </row>
    <row r="72" spans="1:23">
      <c r="A72">
        <v>2011</v>
      </c>
      <c r="B72" s="22" t="s">
        <v>46</v>
      </c>
      <c r="C72" s="2">
        <v>40708</v>
      </c>
      <c r="D72">
        <v>120</v>
      </c>
      <c r="E72" s="24" t="s">
        <v>67</v>
      </c>
      <c r="F72" s="25" t="s">
        <v>285</v>
      </c>
      <c r="G72" s="22">
        <v>14</v>
      </c>
      <c r="H72">
        <v>13</v>
      </c>
      <c r="I72">
        <v>21</v>
      </c>
      <c r="K72">
        <v>12.29</v>
      </c>
      <c r="L72" s="10">
        <v>30</v>
      </c>
      <c r="M72" s="22" t="s">
        <v>356</v>
      </c>
      <c r="N72" s="22" t="s">
        <v>357</v>
      </c>
      <c r="O72" s="22">
        <v>23</v>
      </c>
      <c r="P72" s="22">
        <v>21</v>
      </c>
      <c r="Q72" s="22">
        <v>24</v>
      </c>
      <c r="S72">
        <v>11.93</v>
      </c>
      <c r="T72" s="10">
        <v>32</v>
      </c>
      <c r="U72">
        <v>55</v>
      </c>
      <c r="V72" s="22" t="s">
        <v>358</v>
      </c>
      <c r="W72" s="35" t="s">
        <v>359</v>
      </c>
    </row>
    <row r="73" spans="1:23">
      <c r="A73">
        <v>2011</v>
      </c>
      <c r="B73" s="22" t="s">
        <v>46</v>
      </c>
      <c r="C73" s="2">
        <v>40708</v>
      </c>
      <c r="D73">
        <v>120</v>
      </c>
      <c r="E73" s="24" t="s">
        <v>67</v>
      </c>
      <c r="F73" s="25" t="s">
        <v>286</v>
      </c>
      <c r="G73" s="22">
        <v>13</v>
      </c>
      <c r="H73" s="22">
        <v>8</v>
      </c>
      <c r="I73" s="22">
        <v>23</v>
      </c>
      <c r="K73">
        <v>8.27</v>
      </c>
      <c r="L73" s="10">
        <v>184</v>
      </c>
      <c r="M73" s="22" t="s">
        <v>85</v>
      </c>
      <c r="N73" s="22" t="s">
        <v>266</v>
      </c>
      <c r="O73" s="22">
        <v>22</v>
      </c>
      <c r="P73" s="22">
        <v>19</v>
      </c>
      <c r="Q73" s="22">
        <v>33</v>
      </c>
      <c r="S73">
        <v>7.98</v>
      </c>
      <c r="T73" s="10">
        <v>182</v>
      </c>
      <c r="U73">
        <v>34</v>
      </c>
      <c r="V73" s="22">
        <v>406</v>
      </c>
      <c r="W73" s="35" t="s">
        <v>360</v>
      </c>
    </row>
    <row r="74" spans="1:23">
      <c r="A74">
        <v>2011</v>
      </c>
      <c r="B74" s="22" t="s">
        <v>46</v>
      </c>
      <c r="C74" s="2">
        <v>40708</v>
      </c>
      <c r="D74">
        <v>120</v>
      </c>
      <c r="E74" s="24" t="s">
        <v>67</v>
      </c>
      <c r="F74" s="25" t="s">
        <v>308</v>
      </c>
      <c r="G74" s="22">
        <v>4</v>
      </c>
      <c r="H74" s="22">
        <v>4</v>
      </c>
      <c r="I74" s="22">
        <v>9</v>
      </c>
      <c r="K74">
        <v>0.99</v>
      </c>
      <c r="L74" s="10">
        <v>191</v>
      </c>
      <c r="M74" s="22" t="s">
        <v>58</v>
      </c>
      <c r="N74" s="22" t="s">
        <v>361</v>
      </c>
      <c r="O74" s="22">
        <v>6</v>
      </c>
      <c r="P74" s="22">
        <v>4</v>
      </c>
      <c r="Q74" s="22">
        <v>12</v>
      </c>
      <c r="S74">
        <v>1.1599999999999999</v>
      </c>
      <c r="T74" s="10">
        <v>191</v>
      </c>
      <c r="U74">
        <v>16</v>
      </c>
      <c r="V74" s="22">
        <v>411</v>
      </c>
      <c r="W74" s="35" t="s">
        <v>362</v>
      </c>
    </row>
    <row r="75" spans="1:23">
      <c r="A75">
        <v>2011</v>
      </c>
      <c r="B75" s="22" t="s">
        <v>46</v>
      </c>
      <c r="C75" s="2">
        <v>40708</v>
      </c>
      <c r="D75">
        <v>120</v>
      </c>
      <c r="E75" s="24" t="s">
        <v>67</v>
      </c>
      <c r="F75" s="25" t="s">
        <v>289</v>
      </c>
      <c r="G75" s="22">
        <v>7</v>
      </c>
      <c r="H75" s="22">
        <v>7</v>
      </c>
      <c r="I75" s="22">
        <v>9</v>
      </c>
      <c r="K75">
        <v>2.35</v>
      </c>
      <c r="L75" s="10">
        <v>222</v>
      </c>
      <c r="M75" s="45" t="s">
        <v>47</v>
      </c>
      <c r="N75" s="45" t="s">
        <v>324</v>
      </c>
      <c r="O75" s="45">
        <v>28</v>
      </c>
      <c r="P75" s="45">
        <v>14</v>
      </c>
      <c r="Q75" s="45">
        <v>13</v>
      </c>
      <c r="R75" s="38"/>
      <c r="S75" s="38">
        <v>2.4</v>
      </c>
      <c r="T75" s="46">
        <v>225</v>
      </c>
      <c r="U75" s="38">
        <v>14</v>
      </c>
      <c r="V75" s="45">
        <v>412</v>
      </c>
      <c r="W75" s="47" t="s">
        <v>362</v>
      </c>
    </row>
    <row r="76" spans="1:23">
      <c r="A76">
        <v>2011</v>
      </c>
      <c r="B76" s="22" t="s">
        <v>46</v>
      </c>
      <c r="C76" s="2">
        <v>40708</v>
      </c>
      <c r="D76">
        <v>120</v>
      </c>
      <c r="E76" s="24" t="s">
        <v>51</v>
      </c>
      <c r="F76" s="25" t="s">
        <v>273</v>
      </c>
      <c r="G76" s="22">
        <v>3</v>
      </c>
      <c r="H76">
        <v>2</v>
      </c>
      <c r="I76">
        <v>4</v>
      </c>
      <c r="K76">
        <v>4.4800000000000004</v>
      </c>
      <c r="L76" s="10">
        <v>133</v>
      </c>
      <c r="M76" s="45" t="s">
        <v>47</v>
      </c>
      <c r="N76" s="45" t="s">
        <v>264</v>
      </c>
      <c r="O76" s="45">
        <v>14</v>
      </c>
      <c r="P76" s="45">
        <v>7</v>
      </c>
      <c r="Q76" s="45">
        <v>7</v>
      </c>
      <c r="R76" s="38"/>
      <c r="S76" s="38">
        <v>4.62</v>
      </c>
      <c r="T76" s="46">
        <v>135</v>
      </c>
      <c r="U76" s="38">
        <v>25</v>
      </c>
      <c r="V76" s="45">
        <v>410</v>
      </c>
      <c r="W76" s="47"/>
    </row>
    <row r="77" spans="1:23">
      <c r="A77">
        <v>2011</v>
      </c>
      <c r="B77" s="22" t="s">
        <v>46</v>
      </c>
      <c r="C77" s="2">
        <v>40708</v>
      </c>
      <c r="D77">
        <v>120</v>
      </c>
      <c r="E77" s="24" t="s">
        <v>51</v>
      </c>
      <c r="F77" s="25" t="s">
        <v>363</v>
      </c>
      <c r="G77" s="22" t="s">
        <v>1</v>
      </c>
      <c r="H77" s="22" t="s">
        <v>1</v>
      </c>
      <c r="I77" s="22" t="s">
        <v>1</v>
      </c>
      <c r="K77">
        <v>7.87</v>
      </c>
      <c r="L77" s="10">
        <v>179</v>
      </c>
      <c r="M77" s="22" t="s">
        <v>85</v>
      </c>
      <c r="N77" s="22" t="s">
        <v>266</v>
      </c>
      <c r="O77" s="22">
        <v>22</v>
      </c>
      <c r="P77" s="22">
        <v>19</v>
      </c>
      <c r="Q77" s="22">
        <v>33</v>
      </c>
      <c r="S77">
        <v>7.98</v>
      </c>
      <c r="T77" s="10">
        <v>182</v>
      </c>
      <c r="U77">
        <v>55</v>
      </c>
      <c r="V77" s="22">
        <v>406</v>
      </c>
      <c r="W77" s="35" t="s">
        <v>364</v>
      </c>
    </row>
    <row r="78" spans="1:23">
      <c r="A78">
        <v>2011</v>
      </c>
      <c r="B78" s="22" t="s">
        <v>46</v>
      </c>
      <c r="C78" s="2">
        <v>40708</v>
      </c>
      <c r="D78">
        <v>120</v>
      </c>
      <c r="E78" s="24" t="s">
        <v>51</v>
      </c>
      <c r="F78" s="25" t="s">
        <v>365</v>
      </c>
      <c r="G78" s="22">
        <v>10</v>
      </c>
      <c r="H78" s="22">
        <v>8</v>
      </c>
      <c r="I78" s="22">
        <v>19</v>
      </c>
      <c r="K78">
        <v>18.03</v>
      </c>
      <c r="L78" s="10">
        <v>169</v>
      </c>
      <c r="M78" s="22" t="s">
        <v>85</v>
      </c>
      <c r="N78" s="22" t="s">
        <v>366</v>
      </c>
      <c r="O78" s="22">
        <v>28</v>
      </c>
      <c r="P78" s="22">
        <v>23</v>
      </c>
      <c r="Q78" s="22">
        <v>39</v>
      </c>
      <c r="S78">
        <v>17.899999999999999</v>
      </c>
      <c r="T78" s="10">
        <v>271</v>
      </c>
      <c r="U78">
        <v>39</v>
      </c>
      <c r="V78" s="22">
        <v>413</v>
      </c>
    </row>
    <row r="79" spans="1:23">
      <c r="B79" s="22"/>
    </row>
    <row r="80" spans="1:23">
      <c r="B80" s="22"/>
    </row>
    <row r="81" spans="2:2">
      <c r="B81" s="22"/>
    </row>
    <row r="82" spans="2:2">
      <c r="B82" s="22"/>
    </row>
    <row r="83" spans="2:2">
      <c r="B83" s="22"/>
    </row>
  </sheetData>
  <sortState xmlns:xlrd2="http://schemas.microsoft.com/office/spreadsheetml/2017/richdata2" ref="A5:W78">
    <sortCondition ref="B5:B78"/>
    <sortCondition ref="D5:D78"/>
    <sortCondition ref="F5:F78"/>
  </sortState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5"/>
  <sheetViews>
    <sheetView topLeftCell="C1" workbookViewId="0">
      <selection activeCell="F21" sqref="F21"/>
    </sheetView>
  </sheetViews>
  <sheetFormatPr defaultRowHeight="12.75"/>
  <cols>
    <col min="2" max="2" width="18.140625" bestFit="1" customWidth="1"/>
    <col min="3" max="3" width="8" customWidth="1"/>
    <col min="4" max="4" width="9.5703125" customWidth="1"/>
    <col min="8" max="8" width="18.42578125" bestFit="1" customWidth="1"/>
    <col min="9" max="9" width="8.5703125" customWidth="1"/>
    <col min="10" max="10" width="9.28515625" customWidth="1"/>
  </cols>
  <sheetData>
    <row r="1" spans="1:18" ht="13.5" thickBot="1">
      <c r="A1" s="7" t="s">
        <v>11</v>
      </c>
      <c r="B1" s="23" t="s">
        <v>367</v>
      </c>
      <c r="C1" s="23" t="s">
        <v>368</v>
      </c>
      <c r="D1" s="23" t="s">
        <v>369</v>
      </c>
      <c r="E1" s="8" t="s">
        <v>95</v>
      </c>
      <c r="F1" s="14" t="s">
        <v>208</v>
      </c>
      <c r="G1" s="8" t="s">
        <v>209</v>
      </c>
      <c r="H1" s="23" t="s">
        <v>370</v>
      </c>
      <c r="I1" s="23" t="s">
        <v>371</v>
      </c>
      <c r="J1" s="23" t="s">
        <v>372</v>
      </c>
      <c r="K1" s="13" t="s">
        <v>208</v>
      </c>
      <c r="L1" s="17" t="s">
        <v>209</v>
      </c>
      <c r="M1" s="22" t="s">
        <v>373</v>
      </c>
      <c r="O1" s="7" t="s">
        <v>11</v>
      </c>
      <c r="P1" s="8" t="s">
        <v>95</v>
      </c>
      <c r="Q1" s="8" t="s">
        <v>209</v>
      </c>
      <c r="R1" s="14" t="s">
        <v>208</v>
      </c>
    </row>
    <row r="2" spans="1:18" ht="13.5" thickTop="1">
      <c r="A2">
        <v>83</v>
      </c>
      <c r="B2" s="9" t="s">
        <v>72</v>
      </c>
      <c r="C2" s="24" t="s">
        <v>374</v>
      </c>
      <c r="D2" s="24" t="s">
        <v>375</v>
      </c>
      <c r="E2" s="4" t="s">
        <v>276</v>
      </c>
      <c r="F2">
        <v>19.72</v>
      </c>
      <c r="G2" s="10">
        <v>316</v>
      </c>
      <c r="H2" s="22" t="s">
        <v>60</v>
      </c>
      <c r="I2" s="22" t="s">
        <v>376</v>
      </c>
      <c r="J2" s="22" t="s">
        <v>375</v>
      </c>
      <c r="K2">
        <v>19.059999999999999</v>
      </c>
      <c r="L2" s="10">
        <v>316</v>
      </c>
      <c r="M2" t="str">
        <f>C2&amp;""&amp;I2</f>
        <v>BtLb</v>
      </c>
      <c r="O2">
        <v>30</v>
      </c>
      <c r="P2" s="4" t="s">
        <v>377</v>
      </c>
      <c r="Q2" s="10">
        <v>109</v>
      </c>
      <c r="R2">
        <v>7.19</v>
      </c>
    </row>
    <row r="3" spans="1:18">
      <c r="A3">
        <v>87</v>
      </c>
      <c r="B3" s="9" t="s">
        <v>72</v>
      </c>
      <c r="C3" s="24" t="s">
        <v>374</v>
      </c>
      <c r="D3" s="24" t="s">
        <v>375</v>
      </c>
      <c r="E3" s="4" t="s">
        <v>276</v>
      </c>
      <c r="F3">
        <v>11.02</v>
      </c>
      <c r="G3" s="10">
        <v>318</v>
      </c>
      <c r="H3" s="22" t="s">
        <v>60</v>
      </c>
      <c r="I3" s="22" t="s">
        <v>376</v>
      </c>
      <c r="J3" s="22" t="s">
        <v>375</v>
      </c>
      <c r="K3">
        <v>10.76</v>
      </c>
      <c r="L3" s="10">
        <v>319</v>
      </c>
      <c r="M3" t="str">
        <f t="shared" ref="M3:M66" si="0">C3&amp;""&amp;I3</f>
        <v>BtLb</v>
      </c>
      <c r="O3">
        <v>30</v>
      </c>
      <c r="P3" s="4" t="s">
        <v>378</v>
      </c>
      <c r="Q3" s="10">
        <v>93</v>
      </c>
      <c r="R3">
        <v>15.86</v>
      </c>
    </row>
    <row r="4" spans="1:18">
      <c r="A4">
        <v>88</v>
      </c>
      <c r="B4" s="9" t="s">
        <v>72</v>
      </c>
      <c r="C4" s="24" t="s">
        <v>374</v>
      </c>
      <c r="D4" s="24" t="s">
        <v>375</v>
      </c>
      <c r="E4" s="4" t="s">
        <v>313</v>
      </c>
      <c r="F4">
        <v>15.36</v>
      </c>
      <c r="G4" s="10">
        <v>94</v>
      </c>
      <c r="H4" s="22" t="s">
        <v>60</v>
      </c>
      <c r="I4" s="22" t="s">
        <v>376</v>
      </c>
      <c r="J4" s="22" t="s">
        <v>375</v>
      </c>
      <c r="K4">
        <v>14.61</v>
      </c>
      <c r="L4" s="10">
        <v>98</v>
      </c>
      <c r="M4" t="str">
        <f t="shared" si="0"/>
        <v>BtLb</v>
      </c>
      <c r="O4">
        <v>30</v>
      </c>
      <c r="P4" s="4" t="s">
        <v>379</v>
      </c>
      <c r="Q4" s="10">
        <v>162</v>
      </c>
      <c r="R4">
        <v>2.96</v>
      </c>
    </row>
    <row r="5" spans="1:18">
      <c r="A5">
        <v>30</v>
      </c>
      <c r="B5" s="9" t="s">
        <v>55</v>
      </c>
      <c r="C5" s="24" t="s">
        <v>380</v>
      </c>
      <c r="D5" s="24" t="s">
        <v>381</v>
      </c>
      <c r="E5" s="4" t="s">
        <v>256</v>
      </c>
      <c r="F5">
        <v>7.19</v>
      </c>
      <c r="G5" s="10">
        <v>109</v>
      </c>
      <c r="H5" s="22" t="s">
        <v>48</v>
      </c>
      <c r="I5" s="22" t="s">
        <v>382</v>
      </c>
      <c r="J5" s="22" t="s">
        <v>383</v>
      </c>
      <c r="K5">
        <v>7.35</v>
      </c>
      <c r="L5" s="10">
        <v>107</v>
      </c>
      <c r="M5" t="str">
        <f t="shared" si="0"/>
        <v>CoAs</v>
      </c>
      <c r="O5">
        <v>30</v>
      </c>
      <c r="P5" s="4" t="s">
        <v>384</v>
      </c>
      <c r="Q5" s="10">
        <v>96</v>
      </c>
      <c r="R5">
        <v>11.2</v>
      </c>
    </row>
    <row r="6" spans="1:18">
      <c r="A6">
        <v>30</v>
      </c>
      <c r="B6" s="9" t="s">
        <v>55</v>
      </c>
      <c r="C6" s="24" t="s">
        <v>380</v>
      </c>
      <c r="D6" s="24" t="s">
        <v>381</v>
      </c>
      <c r="E6" s="4" t="s">
        <v>251</v>
      </c>
      <c r="F6">
        <v>15.86</v>
      </c>
      <c r="G6" s="10">
        <v>93</v>
      </c>
      <c r="H6" s="22" t="s">
        <v>252</v>
      </c>
      <c r="I6" s="22" t="s">
        <v>385</v>
      </c>
      <c r="J6" s="22" t="s">
        <v>383</v>
      </c>
      <c r="K6">
        <v>16.37</v>
      </c>
      <c r="L6" s="10">
        <v>93</v>
      </c>
      <c r="M6" t="str">
        <f t="shared" si="0"/>
        <v>CoCco</v>
      </c>
      <c r="O6">
        <v>30</v>
      </c>
      <c r="P6" s="4" t="s">
        <v>386</v>
      </c>
      <c r="Q6" s="10">
        <v>154</v>
      </c>
      <c r="R6">
        <v>14.95</v>
      </c>
    </row>
    <row r="7" spans="1:18">
      <c r="A7">
        <v>30</v>
      </c>
      <c r="B7" s="9" t="s">
        <v>55</v>
      </c>
      <c r="C7" s="24" t="s">
        <v>380</v>
      </c>
      <c r="D7" s="24" t="s">
        <v>381</v>
      </c>
      <c r="E7" s="4" t="s">
        <v>258</v>
      </c>
      <c r="F7">
        <v>2.96</v>
      </c>
      <c r="G7" s="10">
        <v>162</v>
      </c>
      <c r="H7" s="22" t="s">
        <v>252</v>
      </c>
      <c r="I7" s="22" t="s">
        <v>385</v>
      </c>
      <c r="J7" s="22" t="s">
        <v>383</v>
      </c>
      <c r="K7">
        <v>2.7</v>
      </c>
      <c r="L7" s="10">
        <v>163</v>
      </c>
      <c r="M7" t="str">
        <f t="shared" si="0"/>
        <v>CoCco</v>
      </c>
      <c r="O7">
        <v>30</v>
      </c>
      <c r="P7" s="4" t="s">
        <v>387</v>
      </c>
      <c r="Q7" s="10">
        <v>3</v>
      </c>
      <c r="R7">
        <v>12.02</v>
      </c>
    </row>
    <row r="8" spans="1:18">
      <c r="A8">
        <v>87</v>
      </c>
      <c r="B8" s="9" t="s">
        <v>55</v>
      </c>
      <c r="C8" s="24" t="s">
        <v>380</v>
      </c>
      <c r="D8" s="24" t="s">
        <v>381</v>
      </c>
      <c r="E8" s="4" t="s">
        <v>258</v>
      </c>
      <c r="F8">
        <v>6.83</v>
      </c>
      <c r="G8" s="10">
        <v>324</v>
      </c>
      <c r="H8" s="22" t="s">
        <v>388</v>
      </c>
      <c r="I8" s="22" t="s">
        <v>389</v>
      </c>
      <c r="J8" s="22" t="s">
        <v>375</v>
      </c>
      <c r="K8">
        <v>6.23</v>
      </c>
      <c r="L8" s="10">
        <v>334</v>
      </c>
      <c r="M8" t="str">
        <f t="shared" si="0"/>
        <v>CoCor</v>
      </c>
      <c r="O8">
        <v>30</v>
      </c>
      <c r="P8" s="4" t="s">
        <v>390</v>
      </c>
      <c r="Q8" s="10">
        <v>265</v>
      </c>
      <c r="R8">
        <v>15.22</v>
      </c>
    </row>
    <row r="9" spans="1:18">
      <c r="A9">
        <v>30</v>
      </c>
      <c r="B9" s="9" t="s">
        <v>55</v>
      </c>
      <c r="C9" s="24" t="s">
        <v>380</v>
      </c>
      <c r="D9" s="24" t="s">
        <v>381</v>
      </c>
      <c r="E9" s="4" t="s">
        <v>254</v>
      </c>
      <c r="F9">
        <v>11.2</v>
      </c>
      <c r="G9" s="10">
        <v>96</v>
      </c>
      <c r="H9" s="22" t="s">
        <v>189</v>
      </c>
      <c r="I9" s="22" t="s">
        <v>391</v>
      </c>
      <c r="J9" s="22" t="s">
        <v>383</v>
      </c>
      <c r="K9">
        <v>11.23</v>
      </c>
      <c r="L9" s="10">
        <v>98</v>
      </c>
      <c r="M9" t="str">
        <f t="shared" si="0"/>
        <v>CoFg</v>
      </c>
      <c r="O9">
        <v>30</v>
      </c>
      <c r="P9" s="4" t="s">
        <v>392</v>
      </c>
      <c r="Q9" s="10">
        <v>102</v>
      </c>
      <c r="R9">
        <v>11.15</v>
      </c>
    </row>
    <row r="10" spans="1:18">
      <c r="A10">
        <v>88</v>
      </c>
      <c r="B10" s="9" t="s">
        <v>55</v>
      </c>
      <c r="C10" s="24" t="s">
        <v>380</v>
      </c>
      <c r="D10" s="24" t="s">
        <v>381</v>
      </c>
      <c r="E10" s="4" t="s">
        <v>256</v>
      </c>
      <c r="F10">
        <v>11.91</v>
      </c>
      <c r="G10" s="10">
        <v>248</v>
      </c>
      <c r="H10" s="22" t="s">
        <v>47</v>
      </c>
      <c r="I10" s="22" t="s">
        <v>393</v>
      </c>
      <c r="J10" s="22" t="s">
        <v>383</v>
      </c>
      <c r="K10">
        <v>12.42</v>
      </c>
      <c r="L10" s="10">
        <v>246</v>
      </c>
      <c r="M10" t="str">
        <f t="shared" si="0"/>
        <v>CoF</v>
      </c>
      <c r="O10">
        <v>30</v>
      </c>
      <c r="P10" s="4" t="s">
        <v>394</v>
      </c>
      <c r="Q10" s="10">
        <v>210</v>
      </c>
      <c r="R10">
        <v>17.190000000000001</v>
      </c>
    </row>
    <row r="11" spans="1:18">
      <c r="A11">
        <v>115</v>
      </c>
      <c r="B11" s="9" t="s">
        <v>55</v>
      </c>
      <c r="C11" s="24" t="s">
        <v>380</v>
      </c>
      <c r="D11" s="24" t="s">
        <v>381</v>
      </c>
      <c r="E11" s="4" t="s">
        <v>254</v>
      </c>
      <c r="F11">
        <v>19.05</v>
      </c>
      <c r="G11" s="10">
        <v>111</v>
      </c>
      <c r="H11" s="22" t="s">
        <v>47</v>
      </c>
      <c r="I11" s="22" t="s">
        <v>393</v>
      </c>
      <c r="J11" s="22" t="s">
        <v>383</v>
      </c>
      <c r="K11">
        <v>19.68</v>
      </c>
      <c r="L11" s="10">
        <v>112</v>
      </c>
      <c r="M11" t="str">
        <f t="shared" si="0"/>
        <v>CoF</v>
      </c>
      <c r="O11">
        <v>30</v>
      </c>
      <c r="P11" s="4" t="s">
        <v>395</v>
      </c>
      <c r="Q11" s="10">
        <v>203</v>
      </c>
      <c r="R11">
        <v>16.399999999999999</v>
      </c>
    </row>
    <row r="12" spans="1:18">
      <c r="A12">
        <v>115</v>
      </c>
      <c r="B12" s="9" t="s">
        <v>55</v>
      </c>
      <c r="C12" s="24" t="s">
        <v>380</v>
      </c>
      <c r="D12" s="24" t="s">
        <v>381</v>
      </c>
      <c r="E12" s="4" t="s">
        <v>251</v>
      </c>
      <c r="F12">
        <v>3.99</v>
      </c>
      <c r="G12" s="10">
        <v>144</v>
      </c>
      <c r="H12" s="22" t="s">
        <v>47</v>
      </c>
      <c r="I12" s="22" t="s">
        <v>393</v>
      </c>
      <c r="J12" s="22" t="s">
        <v>383</v>
      </c>
      <c r="K12">
        <v>4.29</v>
      </c>
      <c r="L12" s="10">
        <v>150</v>
      </c>
      <c r="M12" t="str">
        <f t="shared" si="0"/>
        <v>CoF</v>
      </c>
      <c r="O12">
        <v>30</v>
      </c>
      <c r="P12" s="4" t="s">
        <v>395</v>
      </c>
      <c r="Q12" s="10">
        <v>203</v>
      </c>
      <c r="R12">
        <v>16.399999999999999</v>
      </c>
    </row>
    <row r="13" spans="1:18">
      <c r="A13">
        <v>119</v>
      </c>
      <c r="B13" s="9" t="s">
        <v>55</v>
      </c>
      <c r="C13" s="24" t="s">
        <v>380</v>
      </c>
      <c r="D13" s="24" t="s">
        <v>381</v>
      </c>
      <c r="E13" s="4" t="s">
        <v>254</v>
      </c>
      <c r="F13">
        <v>10.54</v>
      </c>
      <c r="G13" s="10">
        <v>94</v>
      </c>
      <c r="H13" s="22" t="s">
        <v>47</v>
      </c>
      <c r="I13" s="22" t="s">
        <v>393</v>
      </c>
      <c r="J13" s="22" t="s">
        <v>383</v>
      </c>
      <c r="K13">
        <v>10.7</v>
      </c>
      <c r="L13" s="10">
        <v>90</v>
      </c>
      <c r="M13" t="str">
        <f t="shared" si="0"/>
        <v>CoF</v>
      </c>
      <c r="O13">
        <v>83</v>
      </c>
      <c r="P13" s="4" t="s">
        <v>396</v>
      </c>
      <c r="Q13" s="10">
        <v>316</v>
      </c>
      <c r="R13">
        <v>19.72</v>
      </c>
    </row>
    <row r="14" spans="1:18">
      <c r="A14">
        <v>119</v>
      </c>
      <c r="B14" s="9" t="s">
        <v>55</v>
      </c>
      <c r="C14" s="24" t="s">
        <v>380</v>
      </c>
      <c r="D14" s="24" t="s">
        <v>381</v>
      </c>
      <c r="E14" s="4" t="s">
        <v>256</v>
      </c>
      <c r="F14">
        <v>4.24</v>
      </c>
      <c r="G14" s="10">
        <v>182</v>
      </c>
      <c r="H14" s="22" t="s">
        <v>47</v>
      </c>
      <c r="I14" s="22" t="s">
        <v>393</v>
      </c>
      <c r="J14" s="22" t="s">
        <v>383</v>
      </c>
      <c r="K14">
        <v>4.17</v>
      </c>
      <c r="L14" s="10">
        <v>172</v>
      </c>
      <c r="M14" t="str">
        <f t="shared" si="0"/>
        <v>CoF</v>
      </c>
      <c r="O14">
        <v>83</v>
      </c>
      <c r="P14" s="4" t="s">
        <v>397</v>
      </c>
      <c r="Q14" s="10">
        <v>156</v>
      </c>
      <c r="R14">
        <v>10.24</v>
      </c>
    </row>
    <row r="15" spans="1:18">
      <c r="A15">
        <v>87</v>
      </c>
      <c r="B15" s="9" t="s">
        <v>55</v>
      </c>
      <c r="C15" s="24" t="s">
        <v>380</v>
      </c>
      <c r="D15" s="24" t="s">
        <v>381</v>
      </c>
      <c r="E15" s="4" t="s">
        <v>251</v>
      </c>
      <c r="F15">
        <v>10.42</v>
      </c>
      <c r="G15" s="10">
        <v>112</v>
      </c>
      <c r="H15" s="22" t="s">
        <v>60</v>
      </c>
      <c r="I15" s="22" t="s">
        <v>376</v>
      </c>
      <c r="J15" s="22" t="s">
        <v>375</v>
      </c>
      <c r="K15">
        <v>10.91</v>
      </c>
      <c r="L15" s="10">
        <v>110</v>
      </c>
      <c r="M15" t="str">
        <f t="shared" si="0"/>
        <v>CoLb</v>
      </c>
      <c r="O15">
        <v>83</v>
      </c>
      <c r="P15" s="4" t="s">
        <v>398</v>
      </c>
      <c r="Q15" s="10">
        <v>173</v>
      </c>
      <c r="R15">
        <v>12.96</v>
      </c>
    </row>
    <row r="16" spans="1:18">
      <c r="A16">
        <v>87</v>
      </c>
      <c r="B16" s="9" t="s">
        <v>55</v>
      </c>
      <c r="C16" s="24" t="s">
        <v>380</v>
      </c>
      <c r="D16" s="24" t="s">
        <v>381</v>
      </c>
      <c r="E16" s="4" t="s">
        <v>254</v>
      </c>
      <c r="F16">
        <v>11.4</v>
      </c>
      <c r="G16" s="10">
        <v>195</v>
      </c>
      <c r="H16" s="22" t="s">
        <v>60</v>
      </c>
      <c r="I16" s="22" t="s">
        <v>376</v>
      </c>
      <c r="J16" s="22" t="s">
        <v>375</v>
      </c>
      <c r="K16">
        <v>10.77</v>
      </c>
      <c r="L16" s="10">
        <v>193</v>
      </c>
      <c r="M16" t="str">
        <f t="shared" si="0"/>
        <v>CoLb</v>
      </c>
      <c r="O16">
        <v>83</v>
      </c>
      <c r="P16" s="4" t="s">
        <v>399</v>
      </c>
      <c r="Q16" s="10">
        <v>190</v>
      </c>
      <c r="R16">
        <v>16.09</v>
      </c>
    </row>
    <row r="17" spans="1:18">
      <c r="A17">
        <v>87</v>
      </c>
      <c r="B17" s="9" t="s">
        <v>55</v>
      </c>
      <c r="C17" s="24" t="s">
        <v>380</v>
      </c>
      <c r="D17" s="24" t="s">
        <v>381</v>
      </c>
      <c r="E17" s="4" t="s">
        <v>256</v>
      </c>
      <c r="F17">
        <v>8.7799999999999994</v>
      </c>
      <c r="G17" s="10">
        <v>265</v>
      </c>
      <c r="H17" s="22" t="s">
        <v>60</v>
      </c>
      <c r="I17" s="22" t="s">
        <v>376</v>
      </c>
      <c r="J17" s="22" t="s">
        <v>375</v>
      </c>
      <c r="K17">
        <v>8.82</v>
      </c>
      <c r="L17" s="10">
        <v>271</v>
      </c>
      <c r="M17" t="str">
        <f t="shared" si="0"/>
        <v>CoLb</v>
      </c>
      <c r="O17">
        <v>83</v>
      </c>
      <c r="P17" s="4" t="s">
        <v>400</v>
      </c>
      <c r="Q17" s="10">
        <v>146</v>
      </c>
      <c r="R17">
        <v>9.8000000000000007</v>
      </c>
    </row>
    <row r="18" spans="1:18">
      <c r="A18">
        <v>88</v>
      </c>
      <c r="B18" s="9" t="s">
        <v>55</v>
      </c>
      <c r="C18" s="24" t="s">
        <v>380</v>
      </c>
      <c r="D18" s="24" t="s">
        <v>381</v>
      </c>
      <c r="E18" s="4" t="s">
        <v>319</v>
      </c>
      <c r="F18">
        <v>14.29</v>
      </c>
      <c r="G18" s="10">
        <v>101</v>
      </c>
      <c r="H18" s="22" t="s">
        <v>60</v>
      </c>
      <c r="I18" s="22" t="s">
        <v>376</v>
      </c>
      <c r="J18" s="22" t="s">
        <v>375</v>
      </c>
      <c r="K18">
        <v>14.61</v>
      </c>
      <c r="L18" s="10">
        <v>98</v>
      </c>
      <c r="M18" t="str">
        <f t="shared" si="0"/>
        <v>CoLb</v>
      </c>
      <c r="O18">
        <v>83</v>
      </c>
      <c r="P18" s="4" t="s">
        <v>401</v>
      </c>
      <c r="Q18" s="10">
        <v>181</v>
      </c>
      <c r="R18">
        <v>16.98</v>
      </c>
    </row>
    <row r="19" spans="1:18">
      <c r="A19">
        <v>88</v>
      </c>
      <c r="B19" s="9" t="s">
        <v>55</v>
      </c>
      <c r="C19" s="24" t="s">
        <v>380</v>
      </c>
      <c r="D19" s="24" t="s">
        <v>381</v>
      </c>
      <c r="E19" s="4" t="s">
        <v>254</v>
      </c>
      <c r="F19">
        <v>5.46</v>
      </c>
      <c r="G19" s="10">
        <v>202</v>
      </c>
      <c r="H19" s="22" t="s">
        <v>60</v>
      </c>
      <c r="I19" s="22" t="s">
        <v>376</v>
      </c>
      <c r="J19" s="22" t="s">
        <v>375</v>
      </c>
      <c r="K19">
        <v>6.18</v>
      </c>
      <c r="L19" s="10">
        <v>197</v>
      </c>
      <c r="M19" t="str">
        <f t="shared" si="0"/>
        <v>CoLb</v>
      </c>
      <c r="O19">
        <v>83</v>
      </c>
      <c r="P19" s="4" t="s">
        <v>402</v>
      </c>
      <c r="Q19" s="10">
        <v>277</v>
      </c>
      <c r="R19">
        <v>9.19</v>
      </c>
    </row>
    <row r="20" spans="1:18">
      <c r="A20">
        <v>117</v>
      </c>
      <c r="B20" s="9" t="s">
        <v>55</v>
      </c>
      <c r="C20" s="24" t="s">
        <v>380</v>
      </c>
      <c r="D20" s="24" t="s">
        <v>381</v>
      </c>
      <c r="E20" s="4" t="s">
        <v>254</v>
      </c>
      <c r="F20">
        <v>17.09</v>
      </c>
      <c r="G20" s="10">
        <v>58</v>
      </c>
      <c r="H20" s="22" t="s">
        <v>60</v>
      </c>
      <c r="I20" s="22" t="s">
        <v>376</v>
      </c>
      <c r="J20" s="22" t="s">
        <v>375</v>
      </c>
      <c r="K20">
        <v>17.32</v>
      </c>
      <c r="L20" s="10">
        <v>55</v>
      </c>
      <c r="M20" t="str">
        <f t="shared" si="0"/>
        <v>CoLb</v>
      </c>
      <c r="O20">
        <v>83</v>
      </c>
      <c r="P20" s="4" t="s">
        <v>403</v>
      </c>
      <c r="Q20" s="10">
        <v>314</v>
      </c>
      <c r="R20">
        <v>19.43</v>
      </c>
    </row>
    <row r="21" spans="1:18">
      <c r="A21">
        <v>117</v>
      </c>
      <c r="B21" s="9" t="s">
        <v>55</v>
      </c>
      <c r="C21" s="24" t="s">
        <v>380</v>
      </c>
      <c r="D21" s="24" t="s">
        <v>381</v>
      </c>
      <c r="E21" s="4" t="s">
        <v>256</v>
      </c>
      <c r="F21">
        <v>14.11</v>
      </c>
      <c r="G21" s="10">
        <v>185</v>
      </c>
      <c r="H21" s="22" t="s">
        <v>60</v>
      </c>
      <c r="I21" s="22" t="s">
        <v>376</v>
      </c>
      <c r="J21" s="22" t="s">
        <v>375</v>
      </c>
      <c r="K21">
        <v>13.84</v>
      </c>
      <c r="L21" s="10">
        <v>187</v>
      </c>
      <c r="M21" t="str">
        <f t="shared" si="0"/>
        <v>CoLb</v>
      </c>
      <c r="O21">
        <v>83</v>
      </c>
      <c r="P21" s="4" t="s">
        <v>390</v>
      </c>
      <c r="Q21" s="10">
        <v>292</v>
      </c>
      <c r="R21">
        <v>4.7</v>
      </c>
    </row>
    <row r="22" spans="1:18">
      <c r="A22">
        <v>83</v>
      </c>
      <c r="B22" s="9" t="s">
        <v>71</v>
      </c>
      <c r="C22" s="24" t="s">
        <v>404</v>
      </c>
      <c r="D22" s="24" t="s">
        <v>375</v>
      </c>
      <c r="E22" s="4" t="s">
        <v>282</v>
      </c>
      <c r="F22">
        <v>10.24</v>
      </c>
      <c r="G22" s="10">
        <v>156</v>
      </c>
      <c r="H22" s="22" t="s">
        <v>54</v>
      </c>
      <c r="I22" s="22" t="s">
        <v>405</v>
      </c>
      <c r="J22" s="22" t="s">
        <v>383</v>
      </c>
      <c r="K22">
        <v>10.32</v>
      </c>
      <c r="L22" s="10">
        <v>150</v>
      </c>
      <c r="M22" t="str">
        <f t="shared" si="0"/>
        <v>EuCc</v>
      </c>
      <c r="O22">
        <v>83</v>
      </c>
      <c r="P22" s="4" t="s">
        <v>392</v>
      </c>
      <c r="Q22" s="10">
        <v>288</v>
      </c>
      <c r="R22">
        <v>4.76</v>
      </c>
    </row>
    <row r="23" spans="1:18">
      <c r="A23">
        <v>88</v>
      </c>
      <c r="B23" s="9" t="s">
        <v>71</v>
      </c>
      <c r="C23" s="24" t="s">
        <v>404</v>
      </c>
      <c r="D23" s="24" t="s">
        <v>375</v>
      </c>
      <c r="E23" s="4" t="s">
        <v>280</v>
      </c>
      <c r="F23">
        <v>15.87</v>
      </c>
      <c r="G23" s="10">
        <v>54</v>
      </c>
      <c r="H23" s="22" t="s">
        <v>388</v>
      </c>
      <c r="I23" s="22" t="s">
        <v>389</v>
      </c>
      <c r="J23" s="22" t="s">
        <v>375</v>
      </c>
      <c r="K23">
        <v>15.6</v>
      </c>
      <c r="L23" s="10">
        <v>52</v>
      </c>
      <c r="M23" t="str">
        <f t="shared" si="0"/>
        <v>EuCor</v>
      </c>
      <c r="O23">
        <v>87</v>
      </c>
      <c r="P23" s="4" t="s">
        <v>396</v>
      </c>
      <c r="Q23" s="10">
        <v>318</v>
      </c>
      <c r="R23">
        <v>11.02</v>
      </c>
    </row>
    <row r="24" spans="1:18">
      <c r="A24">
        <v>119</v>
      </c>
      <c r="B24" s="9" t="s">
        <v>71</v>
      </c>
      <c r="C24" s="24" t="s">
        <v>404</v>
      </c>
      <c r="D24" s="24" t="s">
        <v>375</v>
      </c>
      <c r="E24" s="4" t="s">
        <v>280</v>
      </c>
      <c r="F24">
        <v>6.67</v>
      </c>
      <c r="G24" s="10">
        <v>139</v>
      </c>
      <c r="H24" s="22" t="s">
        <v>47</v>
      </c>
      <c r="I24" s="22" t="s">
        <v>393</v>
      </c>
      <c r="J24" s="22" t="s">
        <v>383</v>
      </c>
      <c r="K24">
        <v>6.49</v>
      </c>
      <c r="L24" s="10">
        <v>139</v>
      </c>
      <c r="M24" t="str">
        <f t="shared" si="0"/>
        <v>EuF</v>
      </c>
      <c r="O24">
        <v>87</v>
      </c>
      <c r="P24" s="4" t="s">
        <v>379</v>
      </c>
      <c r="Q24" s="10">
        <v>324</v>
      </c>
      <c r="R24">
        <v>6.83</v>
      </c>
    </row>
    <row r="25" spans="1:18">
      <c r="A25">
        <v>83</v>
      </c>
      <c r="B25" s="9" t="s">
        <v>71</v>
      </c>
      <c r="C25" s="24" t="s">
        <v>404</v>
      </c>
      <c r="D25" s="24" t="s">
        <v>375</v>
      </c>
      <c r="E25" s="4" t="s">
        <v>280</v>
      </c>
      <c r="F25">
        <v>12.96</v>
      </c>
      <c r="G25" s="10">
        <v>173</v>
      </c>
      <c r="H25" s="22" t="s">
        <v>60</v>
      </c>
      <c r="I25" s="22" t="s">
        <v>376</v>
      </c>
      <c r="J25" s="22" t="s">
        <v>375</v>
      </c>
      <c r="K25">
        <v>13.39</v>
      </c>
      <c r="L25" s="10">
        <v>171</v>
      </c>
      <c r="M25" t="str">
        <f t="shared" si="0"/>
        <v>EuLb</v>
      </c>
      <c r="O25">
        <v>87</v>
      </c>
      <c r="P25" s="4" t="s">
        <v>378</v>
      </c>
      <c r="Q25" s="10">
        <v>112</v>
      </c>
      <c r="R25">
        <v>10.42</v>
      </c>
    </row>
    <row r="26" spans="1:18">
      <c r="A26">
        <v>83</v>
      </c>
      <c r="B26" s="9" t="s">
        <v>71</v>
      </c>
      <c r="C26" s="24" t="s">
        <v>404</v>
      </c>
      <c r="D26" s="24" t="s">
        <v>375</v>
      </c>
      <c r="E26" s="4" t="s">
        <v>278</v>
      </c>
      <c r="F26">
        <v>16.09</v>
      </c>
      <c r="G26" s="10">
        <v>190</v>
      </c>
      <c r="H26" s="22" t="s">
        <v>60</v>
      </c>
      <c r="I26" s="22" t="s">
        <v>376</v>
      </c>
      <c r="J26" s="22" t="s">
        <v>375</v>
      </c>
      <c r="K26">
        <v>16.89</v>
      </c>
      <c r="L26" s="10">
        <v>189</v>
      </c>
      <c r="M26" t="str">
        <f t="shared" si="0"/>
        <v>EuLb</v>
      </c>
      <c r="O26">
        <v>87</v>
      </c>
      <c r="P26" s="4" t="s">
        <v>384</v>
      </c>
      <c r="Q26" s="10">
        <v>195</v>
      </c>
      <c r="R26">
        <v>11.4</v>
      </c>
    </row>
    <row r="27" spans="1:18">
      <c r="A27">
        <v>87</v>
      </c>
      <c r="B27" s="9" t="s">
        <v>71</v>
      </c>
      <c r="C27" s="24" t="s">
        <v>404</v>
      </c>
      <c r="D27" s="24" t="s">
        <v>375</v>
      </c>
      <c r="E27" s="4" t="s">
        <v>278</v>
      </c>
      <c r="F27">
        <v>14.65</v>
      </c>
      <c r="G27" s="10">
        <v>206</v>
      </c>
      <c r="H27" s="22" t="s">
        <v>60</v>
      </c>
      <c r="I27" s="22" t="s">
        <v>376</v>
      </c>
      <c r="J27" s="22" t="s">
        <v>375</v>
      </c>
      <c r="K27">
        <v>14.79</v>
      </c>
      <c r="L27" s="10">
        <v>204</v>
      </c>
      <c r="M27" t="str">
        <f t="shared" si="0"/>
        <v>EuLb</v>
      </c>
      <c r="O27">
        <v>87</v>
      </c>
      <c r="P27" s="4" t="s">
        <v>377</v>
      </c>
      <c r="Q27" s="10">
        <v>265</v>
      </c>
      <c r="R27">
        <v>8.7799999999999994</v>
      </c>
    </row>
    <row r="28" spans="1:18">
      <c r="A28">
        <v>87</v>
      </c>
      <c r="B28" s="9" t="s">
        <v>180</v>
      </c>
      <c r="C28" s="24" t="s">
        <v>406</v>
      </c>
      <c r="D28" s="24" t="s">
        <v>375</v>
      </c>
      <c r="E28" s="4" t="s">
        <v>303</v>
      </c>
      <c r="F28">
        <v>7.08</v>
      </c>
      <c r="G28" s="10">
        <v>206</v>
      </c>
      <c r="H28" s="22" t="s">
        <v>60</v>
      </c>
      <c r="I28" s="22" t="s">
        <v>376</v>
      </c>
      <c r="J28" s="22" t="s">
        <v>375</v>
      </c>
      <c r="K28">
        <v>6.52</v>
      </c>
      <c r="L28" s="10">
        <v>210</v>
      </c>
      <c r="M28" t="str">
        <f t="shared" si="0"/>
        <v>LvLb</v>
      </c>
      <c r="O28">
        <v>87</v>
      </c>
      <c r="P28" s="4" t="s">
        <v>399</v>
      </c>
      <c r="Q28" s="10">
        <v>206</v>
      </c>
      <c r="R28">
        <v>14.65</v>
      </c>
    </row>
    <row r="29" spans="1:18">
      <c r="A29">
        <v>30</v>
      </c>
      <c r="B29" s="9" t="s">
        <v>407</v>
      </c>
      <c r="C29" s="24" t="s">
        <v>376</v>
      </c>
      <c r="D29" s="24" t="s">
        <v>375</v>
      </c>
      <c r="E29" s="4" t="s">
        <v>260</v>
      </c>
      <c r="F29">
        <v>14.95</v>
      </c>
      <c r="G29" s="10">
        <v>154</v>
      </c>
      <c r="H29" s="22" t="s">
        <v>48</v>
      </c>
      <c r="I29" s="22" t="s">
        <v>382</v>
      </c>
      <c r="J29" s="22" t="s">
        <v>383</v>
      </c>
      <c r="K29">
        <v>15.22</v>
      </c>
      <c r="L29" s="10">
        <v>150</v>
      </c>
      <c r="M29" t="str">
        <f t="shared" si="0"/>
        <v>LbAs</v>
      </c>
      <c r="O29">
        <v>87</v>
      </c>
      <c r="P29" s="4" t="s">
        <v>408</v>
      </c>
      <c r="Q29" s="10">
        <v>206</v>
      </c>
      <c r="R29">
        <v>7.08</v>
      </c>
    </row>
    <row r="30" spans="1:18">
      <c r="A30">
        <v>30</v>
      </c>
      <c r="B30" s="9" t="s">
        <v>407</v>
      </c>
      <c r="C30" s="24" t="s">
        <v>376</v>
      </c>
      <c r="D30" s="24" t="s">
        <v>375</v>
      </c>
      <c r="E30" s="4" t="s">
        <v>263</v>
      </c>
      <c r="F30">
        <v>12.02</v>
      </c>
      <c r="G30" s="10">
        <v>3</v>
      </c>
      <c r="H30" s="22" t="s">
        <v>47</v>
      </c>
      <c r="I30" s="22" t="s">
        <v>393</v>
      </c>
      <c r="J30" s="22" t="s">
        <v>383</v>
      </c>
      <c r="K30">
        <v>12.16</v>
      </c>
      <c r="L30" s="10">
        <v>4</v>
      </c>
      <c r="M30" t="str">
        <f t="shared" si="0"/>
        <v>LbF</v>
      </c>
      <c r="O30">
        <v>87</v>
      </c>
      <c r="P30" s="4" t="s">
        <v>409</v>
      </c>
      <c r="Q30" s="10">
        <v>43</v>
      </c>
      <c r="R30">
        <v>4.68</v>
      </c>
    </row>
    <row r="31" spans="1:18">
      <c r="A31">
        <v>83</v>
      </c>
      <c r="B31" s="9" t="s">
        <v>67</v>
      </c>
      <c r="C31" s="24" t="s">
        <v>410</v>
      </c>
      <c r="D31" s="24" t="s">
        <v>383</v>
      </c>
      <c r="E31" s="4" t="s">
        <v>308</v>
      </c>
      <c r="F31">
        <v>9.8000000000000007</v>
      </c>
      <c r="G31" s="10">
        <v>146</v>
      </c>
      <c r="H31" s="22" t="s">
        <v>54</v>
      </c>
      <c r="I31" s="22" t="s">
        <v>405</v>
      </c>
      <c r="J31" s="22" t="s">
        <v>383</v>
      </c>
      <c r="K31">
        <v>10.32</v>
      </c>
      <c r="L31" s="10">
        <v>150</v>
      </c>
      <c r="M31" t="str">
        <f t="shared" si="0"/>
        <v>RcCc</v>
      </c>
      <c r="O31">
        <v>87</v>
      </c>
      <c r="P31" s="4" t="s">
        <v>402</v>
      </c>
      <c r="Q31" s="10">
        <v>124</v>
      </c>
      <c r="R31">
        <v>10.94</v>
      </c>
    </row>
    <row r="32" spans="1:18">
      <c r="A32">
        <v>83</v>
      </c>
      <c r="B32" s="9" t="s">
        <v>67</v>
      </c>
      <c r="C32" s="24" t="s">
        <v>410</v>
      </c>
      <c r="D32" s="24" t="s">
        <v>383</v>
      </c>
      <c r="E32" s="4" t="s">
        <v>289</v>
      </c>
      <c r="F32">
        <v>16.98</v>
      </c>
      <c r="G32" s="10">
        <v>181</v>
      </c>
      <c r="H32" s="22" t="s">
        <v>54</v>
      </c>
      <c r="I32" s="22" t="s">
        <v>405</v>
      </c>
      <c r="J32" s="22" t="s">
        <v>383</v>
      </c>
      <c r="K32">
        <v>16.84</v>
      </c>
      <c r="L32" s="10">
        <v>179</v>
      </c>
      <c r="M32" t="str">
        <f t="shared" si="0"/>
        <v>RcCc</v>
      </c>
      <c r="O32">
        <v>87</v>
      </c>
      <c r="P32" s="4" t="s">
        <v>403</v>
      </c>
      <c r="Q32" s="10">
        <v>67</v>
      </c>
      <c r="R32">
        <v>10.45</v>
      </c>
    </row>
    <row r="33" spans="1:18">
      <c r="A33">
        <v>83</v>
      </c>
      <c r="B33" s="9" t="s">
        <v>67</v>
      </c>
      <c r="C33" s="24" t="s">
        <v>410</v>
      </c>
      <c r="D33" s="24" t="s">
        <v>383</v>
      </c>
      <c r="E33" s="4" t="s">
        <v>286</v>
      </c>
      <c r="F33">
        <v>9.19</v>
      </c>
      <c r="G33" s="10">
        <v>277</v>
      </c>
      <c r="H33" s="22" t="s">
        <v>54</v>
      </c>
      <c r="I33" s="22" t="s">
        <v>405</v>
      </c>
      <c r="J33" s="22" t="s">
        <v>383</v>
      </c>
      <c r="K33">
        <v>9.2799999999999994</v>
      </c>
      <c r="L33" s="10">
        <v>276</v>
      </c>
      <c r="M33" t="str">
        <f t="shared" si="0"/>
        <v>RcCc</v>
      </c>
      <c r="O33">
        <v>87</v>
      </c>
      <c r="P33" s="4" t="s">
        <v>400</v>
      </c>
      <c r="Q33" s="10">
        <v>200</v>
      </c>
      <c r="R33">
        <v>6.11</v>
      </c>
    </row>
    <row r="34" spans="1:18">
      <c r="A34">
        <v>87</v>
      </c>
      <c r="B34" s="9" t="s">
        <v>67</v>
      </c>
      <c r="C34" s="24" t="s">
        <v>410</v>
      </c>
      <c r="D34" s="24" t="s">
        <v>383</v>
      </c>
      <c r="E34" s="4" t="s">
        <v>311</v>
      </c>
      <c r="F34">
        <v>4.68</v>
      </c>
      <c r="G34" s="10">
        <v>43</v>
      </c>
      <c r="H34" s="22" t="s">
        <v>54</v>
      </c>
      <c r="I34" s="22" t="s">
        <v>405</v>
      </c>
      <c r="J34" s="22" t="s">
        <v>383</v>
      </c>
      <c r="K34">
        <v>4.26</v>
      </c>
      <c r="L34" s="10">
        <v>39</v>
      </c>
      <c r="M34" t="str">
        <f t="shared" si="0"/>
        <v>RcCc</v>
      </c>
      <c r="O34">
        <v>87</v>
      </c>
      <c r="P34" s="4" t="s">
        <v>401</v>
      </c>
      <c r="Q34" s="10">
        <v>196</v>
      </c>
      <c r="R34">
        <v>10.78</v>
      </c>
    </row>
    <row r="35" spans="1:18">
      <c r="A35">
        <v>120</v>
      </c>
      <c r="B35" s="9" t="s">
        <v>67</v>
      </c>
      <c r="C35" s="24" t="s">
        <v>410</v>
      </c>
      <c r="D35" s="24" t="s">
        <v>383</v>
      </c>
      <c r="E35" s="25" t="s">
        <v>285</v>
      </c>
      <c r="F35">
        <v>12.29</v>
      </c>
      <c r="G35" s="10">
        <v>30</v>
      </c>
      <c r="H35" s="22" t="s">
        <v>411</v>
      </c>
      <c r="I35" s="22" t="s">
        <v>412</v>
      </c>
      <c r="J35" s="22" t="s">
        <v>383</v>
      </c>
      <c r="K35">
        <v>11.93</v>
      </c>
      <c r="L35" s="10">
        <v>32</v>
      </c>
      <c r="M35" t="str">
        <f t="shared" si="0"/>
        <v>RcCar</v>
      </c>
      <c r="O35">
        <v>87</v>
      </c>
      <c r="P35" s="4" t="s">
        <v>413</v>
      </c>
      <c r="Q35" s="10">
        <v>319</v>
      </c>
      <c r="R35">
        <v>11.16</v>
      </c>
    </row>
    <row r="36" spans="1:18">
      <c r="A36">
        <v>87</v>
      </c>
      <c r="B36" s="9" t="s">
        <v>67</v>
      </c>
      <c r="C36" s="24" t="s">
        <v>410</v>
      </c>
      <c r="D36" s="24" t="s">
        <v>383</v>
      </c>
      <c r="E36" s="4" t="s">
        <v>286</v>
      </c>
      <c r="F36">
        <v>10.94</v>
      </c>
      <c r="G36" s="10">
        <v>124</v>
      </c>
      <c r="H36" s="22" t="s">
        <v>388</v>
      </c>
      <c r="I36" s="22" t="s">
        <v>389</v>
      </c>
      <c r="J36" s="22" t="s">
        <v>375</v>
      </c>
      <c r="K36">
        <v>11.67</v>
      </c>
      <c r="L36" s="10">
        <v>122</v>
      </c>
      <c r="M36" t="str">
        <f t="shared" si="0"/>
        <v>RcCor</v>
      </c>
      <c r="O36">
        <v>87</v>
      </c>
      <c r="P36" s="4" t="s">
        <v>394</v>
      </c>
      <c r="Q36" s="10">
        <v>123</v>
      </c>
      <c r="R36">
        <v>11.89</v>
      </c>
    </row>
    <row r="37" spans="1:18">
      <c r="A37">
        <v>119</v>
      </c>
      <c r="B37" s="9" t="s">
        <v>67</v>
      </c>
      <c r="C37" s="24" t="s">
        <v>410</v>
      </c>
      <c r="D37" s="24" t="s">
        <v>383</v>
      </c>
      <c r="E37" s="4" t="s">
        <v>310</v>
      </c>
      <c r="F37">
        <v>8.7899999999999991</v>
      </c>
      <c r="G37" s="10">
        <v>266</v>
      </c>
      <c r="H37" s="22" t="s">
        <v>388</v>
      </c>
      <c r="I37" s="22" t="s">
        <v>389</v>
      </c>
      <c r="J37" s="22" t="s">
        <v>375</v>
      </c>
      <c r="K37">
        <v>8.83</v>
      </c>
      <c r="L37" s="10">
        <v>264</v>
      </c>
      <c r="M37" t="str">
        <f t="shared" si="0"/>
        <v>RcCor</v>
      </c>
      <c r="O37">
        <v>87</v>
      </c>
      <c r="P37" s="4" t="s">
        <v>395</v>
      </c>
      <c r="Q37" s="10">
        <v>68</v>
      </c>
      <c r="R37">
        <v>9.74</v>
      </c>
    </row>
    <row r="38" spans="1:18">
      <c r="A38">
        <v>120</v>
      </c>
      <c r="B38" s="9" t="s">
        <v>67</v>
      </c>
      <c r="C38" s="24" t="s">
        <v>410</v>
      </c>
      <c r="D38" s="24" t="s">
        <v>383</v>
      </c>
      <c r="E38" s="25" t="s">
        <v>289</v>
      </c>
      <c r="F38">
        <v>2.35</v>
      </c>
      <c r="G38" s="10">
        <v>222</v>
      </c>
      <c r="H38" s="22" t="s">
        <v>47</v>
      </c>
      <c r="I38" s="22" t="s">
        <v>393</v>
      </c>
      <c r="J38" s="22" t="s">
        <v>383</v>
      </c>
      <c r="K38">
        <v>2.4</v>
      </c>
      <c r="L38" s="10">
        <v>225</v>
      </c>
      <c r="M38" t="str">
        <f t="shared" si="0"/>
        <v>RcF</v>
      </c>
      <c r="O38">
        <v>88</v>
      </c>
      <c r="P38" s="4" t="s">
        <v>414</v>
      </c>
      <c r="Q38" s="10">
        <v>94</v>
      </c>
      <c r="R38">
        <v>15.36</v>
      </c>
    </row>
    <row r="39" spans="1:18">
      <c r="A39">
        <v>115</v>
      </c>
      <c r="B39" s="9" t="s">
        <v>67</v>
      </c>
      <c r="C39" s="24" t="s">
        <v>410</v>
      </c>
      <c r="D39" s="24" t="s">
        <v>383</v>
      </c>
      <c r="E39" s="4" t="s">
        <v>308</v>
      </c>
      <c r="F39">
        <v>16.78</v>
      </c>
      <c r="G39" s="10">
        <v>36</v>
      </c>
      <c r="H39" s="22" t="s">
        <v>47</v>
      </c>
      <c r="I39" s="22" t="s">
        <v>393</v>
      </c>
      <c r="J39" s="22" t="s">
        <v>383</v>
      </c>
      <c r="K39">
        <v>17.23</v>
      </c>
      <c r="L39" s="10">
        <v>38</v>
      </c>
      <c r="M39" t="str">
        <f t="shared" si="0"/>
        <v>RcF</v>
      </c>
      <c r="O39">
        <v>88</v>
      </c>
      <c r="P39" s="4" t="s">
        <v>377</v>
      </c>
      <c r="Q39" s="10">
        <v>248</v>
      </c>
      <c r="R39">
        <v>11.91</v>
      </c>
    </row>
    <row r="40" spans="1:18">
      <c r="A40">
        <v>115</v>
      </c>
      <c r="B40" s="9" t="s">
        <v>67</v>
      </c>
      <c r="C40" s="24" t="s">
        <v>410</v>
      </c>
      <c r="D40" s="24" t="s">
        <v>383</v>
      </c>
      <c r="E40" s="4" t="s">
        <v>291</v>
      </c>
      <c r="F40">
        <v>18.190000000000001</v>
      </c>
      <c r="G40" s="10">
        <v>112</v>
      </c>
      <c r="H40" s="22" t="s">
        <v>47</v>
      </c>
      <c r="I40" s="22" t="s">
        <v>393</v>
      </c>
      <c r="J40" s="22" t="s">
        <v>383</v>
      </c>
      <c r="K40">
        <v>17.84</v>
      </c>
      <c r="L40" s="10">
        <v>114</v>
      </c>
      <c r="M40" t="str">
        <f t="shared" si="0"/>
        <v>RcF</v>
      </c>
      <c r="O40">
        <v>88</v>
      </c>
      <c r="P40" s="4" t="s">
        <v>415</v>
      </c>
      <c r="Q40" s="10">
        <v>101</v>
      </c>
      <c r="R40">
        <v>14.29</v>
      </c>
    </row>
    <row r="41" spans="1:18">
      <c r="A41">
        <v>115</v>
      </c>
      <c r="B41" s="9" t="s">
        <v>67</v>
      </c>
      <c r="C41" s="24" t="s">
        <v>410</v>
      </c>
      <c r="D41" s="24" t="s">
        <v>383</v>
      </c>
      <c r="E41" s="4" t="s">
        <v>330</v>
      </c>
      <c r="F41">
        <v>18.010000000000002</v>
      </c>
      <c r="G41" s="10">
        <v>115</v>
      </c>
      <c r="H41" s="22" t="s">
        <v>47</v>
      </c>
      <c r="I41" s="22" t="s">
        <v>393</v>
      </c>
      <c r="J41" s="22" t="s">
        <v>383</v>
      </c>
      <c r="K41">
        <v>17.84</v>
      </c>
      <c r="L41" s="10">
        <v>114</v>
      </c>
      <c r="M41" t="str">
        <f t="shared" si="0"/>
        <v>RcF</v>
      </c>
      <c r="O41">
        <v>88</v>
      </c>
      <c r="P41" s="4" t="s">
        <v>384</v>
      </c>
      <c r="Q41" s="10">
        <v>202</v>
      </c>
      <c r="R41">
        <v>5.46</v>
      </c>
    </row>
    <row r="42" spans="1:18">
      <c r="A42">
        <v>115</v>
      </c>
      <c r="B42" s="9" t="s">
        <v>67</v>
      </c>
      <c r="C42" s="24" t="s">
        <v>410</v>
      </c>
      <c r="D42" s="24" t="s">
        <v>383</v>
      </c>
      <c r="E42" s="4" t="s">
        <v>310</v>
      </c>
      <c r="F42">
        <v>1.5</v>
      </c>
      <c r="G42" s="10">
        <v>220</v>
      </c>
      <c r="H42" s="22" t="s">
        <v>47</v>
      </c>
      <c r="I42" s="22" t="s">
        <v>393</v>
      </c>
      <c r="J42" s="22" t="s">
        <v>383</v>
      </c>
      <c r="K42">
        <v>1.38</v>
      </c>
      <c r="L42" s="10">
        <v>204</v>
      </c>
      <c r="M42" t="str">
        <f t="shared" si="0"/>
        <v>RcF</v>
      </c>
      <c r="O42">
        <v>88</v>
      </c>
      <c r="P42" s="4" t="s">
        <v>398</v>
      </c>
      <c r="Q42" s="10">
        <v>54</v>
      </c>
      <c r="R42">
        <v>15.87</v>
      </c>
    </row>
    <row r="43" spans="1:18">
      <c r="A43">
        <v>115</v>
      </c>
      <c r="B43" s="9" t="s">
        <v>67</v>
      </c>
      <c r="C43" s="24" t="s">
        <v>410</v>
      </c>
      <c r="D43" s="24" t="s">
        <v>383</v>
      </c>
      <c r="E43" s="4" t="s">
        <v>325</v>
      </c>
      <c r="F43">
        <v>10.220000000000001</v>
      </c>
      <c r="G43" s="10">
        <v>245</v>
      </c>
      <c r="H43" s="22" t="s">
        <v>47</v>
      </c>
      <c r="I43" s="22" t="s">
        <v>393</v>
      </c>
      <c r="J43" s="22" t="s">
        <v>383</v>
      </c>
      <c r="K43">
        <v>10.38</v>
      </c>
      <c r="L43" s="10">
        <v>244</v>
      </c>
      <c r="M43" t="str">
        <f t="shared" si="0"/>
        <v>RcF</v>
      </c>
      <c r="O43">
        <v>88</v>
      </c>
      <c r="P43" s="4" t="s">
        <v>416</v>
      </c>
      <c r="Q43" s="10">
        <v>26</v>
      </c>
      <c r="R43">
        <v>9.14</v>
      </c>
    </row>
    <row r="44" spans="1:18">
      <c r="A44">
        <v>115</v>
      </c>
      <c r="B44" s="9" t="s">
        <v>67</v>
      </c>
      <c r="C44" s="24" t="s">
        <v>410</v>
      </c>
      <c r="D44" s="24" t="s">
        <v>383</v>
      </c>
      <c r="E44" s="4" t="s">
        <v>338</v>
      </c>
      <c r="F44">
        <v>10.84</v>
      </c>
      <c r="G44" s="10">
        <v>244</v>
      </c>
      <c r="H44" s="22" t="s">
        <v>47</v>
      </c>
      <c r="I44" s="22" t="s">
        <v>393</v>
      </c>
      <c r="J44" s="22" t="s">
        <v>383</v>
      </c>
      <c r="K44">
        <v>10.38</v>
      </c>
      <c r="L44" s="10">
        <v>244</v>
      </c>
      <c r="M44" t="str">
        <f t="shared" si="0"/>
        <v>RcF</v>
      </c>
      <c r="O44">
        <v>88</v>
      </c>
      <c r="P44" s="4" t="s">
        <v>400</v>
      </c>
      <c r="Q44" s="10">
        <v>42</v>
      </c>
      <c r="R44">
        <v>17.510000000000002</v>
      </c>
    </row>
    <row r="45" spans="1:18">
      <c r="A45">
        <v>116</v>
      </c>
      <c r="B45" s="9" t="s">
        <v>67</v>
      </c>
      <c r="C45" s="24" t="s">
        <v>410</v>
      </c>
      <c r="D45" s="24" t="s">
        <v>383</v>
      </c>
      <c r="E45" s="4" t="s">
        <v>285</v>
      </c>
      <c r="F45">
        <v>23.27</v>
      </c>
      <c r="G45" s="10">
        <v>191</v>
      </c>
      <c r="H45" s="22" t="s">
        <v>47</v>
      </c>
      <c r="I45" s="22" t="s">
        <v>393</v>
      </c>
      <c r="J45" s="22" t="s">
        <v>383</v>
      </c>
      <c r="K45">
        <v>23.38</v>
      </c>
      <c r="L45" s="10">
        <v>193</v>
      </c>
      <c r="M45" t="str">
        <f t="shared" si="0"/>
        <v>RcF</v>
      </c>
      <c r="O45">
        <v>88</v>
      </c>
      <c r="P45" s="4" t="s">
        <v>417</v>
      </c>
      <c r="Q45" s="10">
        <v>44</v>
      </c>
      <c r="R45">
        <v>5.47</v>
      </c>
    </row>
    <row r="46" spans="1:18">
      <c r="A46">
        <v>117</v>
      </c>
      <c r="B46" s="9" t="s">
        <v>67</v>
      </c>
      <c r="C46" s="24" t="s">
        <v>410</v>
      </c>
      <c r="D46" s="24" t="s">
        <v>383</v>
      </c>
      <c r="E46" s="4" t="s">
        <v>308</v>
      </c>
      <c r="F46">
        <v>14.79</v>
      </c>
      <c r="G46" s="10">
        <v>168</v>
      </c>
      <c r="H46" s="22" t="s">
        <v>47</v>
      </c>
      <c r="I46" s="22" t="s">
        <v>393</v>
      </c>
      <c r="J46" s="22" t="s">
        <v>383</v>
      </c>
      <c r="K46">
        <v>15.12</v>
      </c>
      <c r="L46" s="10">
        <v>168</v>
      </c>
      <c r="M46" t="str">
        <f t="shared" si="0"/>
        <v>RcF</v>
      </c>
      <c r="O46">
        <v>88</v>
      </c>
      <c r="P46" s="4" t="s">
        <v>401</v>
      </c>
      <c r="Q46" s="10">
        <v>86</v>
      </c>
      <c r="R46">
        <v>16.63</v>
      </c>
    </row>
    <row r="47" spans="1:18">
      <c r="A47">
        <v>119</v>
      </c>
      <c r="B47" s="9" t="s">
        <v>67</v>
      </c>
      <c r="C47" s="24" t="s">
        <v>410</v>
      </c>
      <c r="D47" s="24" t="s">
        <v>383</v>
      </c>
      <c r="E47" s="4" t="s">
        <v>291</v>
      </c>
      <c r="F47">
        <v>1.91</v>
      </c>
      <c r="G47" s="10">
        <v>107</v>
      </c>
      <c r="H47" s="22" t="s">
        <v>47</v>
      </c>
      <c r="I47" s="22" t="s">
        <v>393</v>
      </c>
      <c r="J47" s="22" t="s">
        <v>383</v>
      </c>
      <c r="K47">
        <v>2.0499999999999998</v>
      </c>
      <c r="L47" s="10">
        <v>106</v>
      </c>
      <c r="M47" t="str">
        <f t="shared" si="0"/>
        <v>RcF</v>
      </c>
      <c r="O47">
        <v>88</v>
      </c>
      <c r="P47" s="4" t="s">
        <v>395</v>
      </c>
      <c r="Q47" s="10">
        <v>181</v>
      </c>
      <c r="R47">
        <v>5.76</v>
      </c>
    </row>
    <row r="48" spans="1:18">
      <c r="A48">
        <v>83</v>
      </c>
      <c r="B48" s="9" t="s">
        <v>67</v>
      </c>
      <c r="C48" s="24" t="s">
        <v>410</v>
      </c>
      <c r="D48" s="24" t="s">
        <v>383</v>
      </c>
      <c r="E48" s="4" t="s">
        <v>285</v>
      </c>
      <c r="F48">
        <v>19.43</v>
      </c>
      <c r="G48" s="10">
        <v>314</v>
      </c>
      <c r="H48" s="22" t="s">
        <v>60</v>
      </c>
      <c r="I48" s="22" t="s">
        <v>376</v>
      </c>
      <c r="J48" s="22" t="s">
        <v>375</v>
      </c>
      <c r="K48">
        <v>19.059999999999999</v>
      </c>
      <c r="L48" s="10">
        <v>316</v>
      </c>
      <c r="M48" t="str">
        <f t="shared" si="0"/>
        <v>RcLb</v>
      </c>
      <c r="O48">
        <v>115</v>
      </c>
      <c r="P48" s="4" t="s">
        <v>384</v>
      </c>
      <c r="Q48" s="10">
        <v>111</v>
      </c>
      <c r="R48">
        <v>19.05</v>
      </c>
    </row>
    <row r="49" spans="1:18">
      <c r="A49">
        <v>87</v>
      </c>
      <c r="B49" s="9" t="s">
        <v>67</v>
      </c>
      <c r="C49" s="24" t="s">
        <v>410</v>
      </c>
      <c r="D49" s="24" t="s">
        <v>383</v>
      </c>
      <c r="E49" s="4" t="s">
        <v>285</v>
      </c>
      <c r="F49">
        <v>10.45</v>
      </c>
      <c r="G49" s="10">
        <v>67</v>
      </c>
      <c r="H49" s="22" t="s">
        <v>60</v>
      </c>
      <c r="I49" s="22" t="s">
        <v>376</v>
      </c>
      <c r="J49" s="22" t="s">
        <v>375</v>
      </c>
      <c r="K49">
        <v>10.18</v>
      </c>
      <c r="L49" s="10">
        <v>66</v>
      </c>
      <c r="M49" t="str">
        <f t="shared" si="0"/>
        <v>RcLb</v>
      </c>
      <c r="O49">
        <v>115</v>
      </c>
      <c r="P49" s="4" t="s">
        <v>378</v>
      </c>
      <c r="Q49" s="10">
        <v>144</v>
      </c>
      <c r="R49">
        <v>3.99</v>
      </c>
    </row>
    <row r="50" spans="1:18">
      <c r="A50">
        <v>87</v>
      </c>
      <c r="B50" s="9" t="s">
        <v>67</v>
      </c>
      <c r="C50" s="24" t="s">
        <v>410</v>
      </c>
      <c r="D50" s="24" t="s">
        <v>383</v>
      </c>
      <c r="E50" s="4" t="s">
        <v>308</v>
      </c>
      <c r="F50">
        <v>6.11</v>
      </c>
      <c r="G50" s="10">
        <v>200</v>
      </c>
      <c r="H50" s="22" t="s">
        <v>60</v>
      </c>
      <c r="I50" s="22" t="s">
        <v>376</v>
      </c>
      <c r="J50" s="22" t="s">
        <v>375</v>
      </c>
      <c r="K50">
        <v>6.52</v>
      </c>
      <c r="L50" s="10">
        <v>210</v>
      </c>
      <c r="M50" t="str">
        <f t="shared" si="0"/>
        <v>RcLb</v>
      </c>
      <c r="O50">
        <v>115</v>
      </c>
      <c r="P50" s="4" t="s">
        <v>400</v>
      </c>
      <c r="Q50" s="10">
        <v>36</v>
      </c>
      <c r="R50">
        <v>16.78</v>
      </c>
    </row>
    <row r="51" spans="1:18">
      <c r="A51">
        <v>87</v>
      </c>
      <c r="B51" s="9" t="s">
        <v>67</v>
      </c>
      <c r="C51" s="24" t="s">
        <v>410</v>
      </c>
      <c r="D51" s="24" t="s">
        <v>383</v>
      </c>
      <c r="E51" s="4" t="s">
        <v>289</v>
      </c>
      <c r="F51">
        <v>10.78</v>
      </c>
      <c r="G51" s="10">
        <v>196</v>
      </c>
      <c r="H51" s="22" t="s">
        <v>60</v>
      </c>
      <c r="I51" s="22" t="s">
        <v>376</v>
      </c>
      <c r="J51" s="22" t="s">
        <v>375</v>
      </c>
      <c r="K51">
        <v>10.77</v>
      </c>
      <c r="L51" s="10">
        <v>193</v>
      </c>
      <c r="M51" t="str">
        <f t="shared" si="0"/>
        <v>RcLb</v>
      </c>
      <c r="O51">
        <v>115</v>
      </c>
      <c r="P51" s="4" t="s">
        <v>418</v>
      </c>
      <c r="Q51" s="10">
        <v>112</v>
      </c>
      <c r="R51">
        <v>18.190000000000001</v>
      </c>
    </row>
    <row r="52" spans="1:18">
      <c r="A52">
        <v>87</v>
      </c>
      <c r="B52" s="9" t="s">
        <v>67</v>
      </c>
      <c r="C52" s="24" t="s">
        <v>410</v>
      </c>
      <c r="D52" s="24" t="s">
        <v>383</v>
      </c>
      <c r="E52" s="4" t="s">
        <v>310</v>
      </c>
      <c r="F52">
        <v>11.16</v>
      </c>
      <c r="G52" s="10">
        <v>319</v>
      </c>
      <c r="H52" s="22" t="s">
        <v>60</v>
      </c>
      <c r="I52" s="22" t="s">
        <v>376</v>
      </c>
      <c r="J52" s="22" t="s">
        <v>375</v>
      </c>
      <c r="K52">
        <v>10.76</v>
      </c>
      <c r="L52" s="10">
        <v>319</v>
      </c>
      <c r="M52" t="str">
        <f t="shared" si="0"/>
        <v>RcLb</v>
      </c>
      <c r="O52">
        <v>115</v>
      </c>
      <c r="P52" s="4" t="s">
        <v>417</v>
      </c>
      <c r="Q52" s="10">
        <v>115</v>
      </c>
      <c r="R52">
        <v>18.010000000000002</v>
      </c>
    </row>
    <row r="53" spans="1:18">
      <c r="A53">
        <v>88</v>
      </c>
      <c r="B53" s="9" t="s">
        <v>67</v>
      </c>
      <c r="C53" s="24" t="s">
        <v>410</v>
      </c>
      <c r="D53" s="24" t="s">
        <v>383</v>
      </c>
      <c r="E53" s="4" t="s">
        <v>325</v>
      </c>
      <c r="F53">
        <v>9.14</v>
      </c>
      <c r="G53" s="10">
        <v>26</v>
      </c>
      <c r="H53" s="22" t="s">
        <v>60</v>
      </c>
      <c r="I53" s="22" t="s">
        <v>376</v>
      </c>
      <c r="J53" s="22" t="s">
        <v>375</v>
      </c>
      <c r="K53">
        <v>9.16</v>
      </c>
      <c r="L53" s="10">
        <v>28</v>
      </c>
      <c r="M53" t="str">
        <f t="shared" si="0"/>
        <v>RcLb</v>
      </c>
      <c r="O53">
        <v>115</v>
      </c>
      <c r="P53" s="4" t="s">
        <v>413</v>
      </c>
      <c r="Q53" s="10">
        <v>220</v>
      </c>
      <c r="R53">
        <v>1.5</v>
      </c>
    </row>
    <row r="54" spans="1:18">
      <c r="A54">
        <v>88</v>
      </c>
      <c r="B54" s="9" t="s">
        <v>67</v>
      </c>
      <c r="C54" s="24" t="s">
        <v>410</v>
      </c>
      <c r="D54" s="24" t="s">
        <v>383</v>
      </c>
      <c r="E54" s="4" t="s">
        <v>308</v>
      </c>
      <c r="F54">
        <v>17.510000000000002</v>
      </c>
      <c r="G54" s="10">
        <v>42</v>
      </c>
      <c r="H54" s="22" t="s">
        <v>60</v>
      </c>
      <c r="I54" s="22" t="s">
        <v>376</v>
      </c>
      <c r="J54" s="22" t="s">
        <v>375</v>
      </c>
      <c r="K54">
        <v>17.45</v>
      </c>
      <c r="L54" s="10">
        <v>40</v>
      </c>
      <c r="M54" t="str">
        <f t="shared" si="0"/>
        <v>RcLb</v>
      </c>
      <c r="O54">
        <v>115</v>
      </c>
      <c r="P54" s="4" t="s">
        <v>416</v>
      </c>
      <c r="Q54" s="10">
        <v>245</v>
      </c>
      <c r="R54">
        <v>10.220000000000001</v>
      </c>
    </row>
    <row r="55" spans="1:18">
      <c r="A55">
        <v>88</v>
      </c>
      <c r="B55" s="9" t="s">
        <v>67</v>
      </c>
      <c r="C55" s="24" t="s">
        <v>410</v>
      </c>
      <c r="D55" s="24" t="s">
        <v>383</v>
      </c>
      <c r="E55" s="4" t="s">
        <v>330</v>
      </c>
      <c r="F55">
        <v>5.47</v>
      </c>
      <c r="G55" s="10">
        <v>44</v>
      </c>
      <c r="H55" s="22" t="s">
        <v>60</v>
      </c>
      <c r="I55" s="22" t="s">
        <v>376</v>
      </c>
      <c r="J55" s="22" t="s">
        <v>375</v>
      </c>
      <c r="K55">
        <v>5.46</v>
      </c>
      <c r="L55" s="10">
        <v>41</v>
      </c>
      <c r="M55" t="str">
        <f t="shared" si="0"/>
        <v>RcLb</v>
      </c>
      <c r="O55">
        <v>115</v>
      </c>
      <c r="P55" s="4" t="s">
        <v>419</v>
      </c>
      <c r="Q55" s="10">
        <v>244</v>
      </c>
      <c r="R55">
        <v>10.84</v>
      </c>
    </row>
    <row r="56" spans="1:18">
      <c r="A56">
        <v>117</v>
      </c>
      <c r="B56" s="9" t="s">
        <v>67</v>
      </c>
      <c r="C56" s="24" t="s">
        <v>410</v>
      </c>
      <c r="D56" s="24" t="s">
        <v>383</v>
      </c>
      <c r="E56" s="4" t="s">
        <v>286</v>
      </c>
      <c r="F56">
        <v>9.6</v>
      </c>
      <c r="G56" s="10">
        <v>70</v>
      </c>
      <c r="H56" s="22" t="s">
        <v>60</v>
      </c>
      <c r="I56" s="22" t="s">
        <v>376</v>
      </c>
      <c r="J56" s="22" t="s">
        <v>375</v>
      </c>
      <c r="K56">
        <v>9.57</v>
      </c>
      <c r="L56" s="10">
        <v>70</v>
      </c>
      <c r="M56" t="str">
        <f t="shared" si="0"/>
        <v>RcLb</v>
      </c>
      <c r="O56">
        <v>116</v>
      </c>
      <c r="P56" s="4" t="s">
        <v>403</v>
      </c>
      <c r="Q56" s="10">
        <v>191</v>
      </c>
      <c r="R56">
        <v>23.27</v>
      </c>
    </row>
    <row r="57" spans="1:18">
      <c r="A57">
        <v>120</v>
      </c>
      <c r="B57" s="9" t="s">
        <v>67</v>
      </c>
      <c r="C57" s="24" t="s">
        <v>410</v>
      </c>
      <c r="D57" s="24" t="s">
        <v>383</v>
      </c>
      <c r="E57" s="25" t="s">
        <v>308</v>
      </c>
      <c r="F57">
        <v>0.99</v>
      </c>
      <c r="G57" s="10">
        <v>191</v>
      </c>
      <c r="H57" s="22" t="s">
        <v>58</v>
      </c>
      <c r="I57" s="22" t="s">
        <v>420</v>
      </c>
      <c r="J57" s="22" t="s">
        <v>383</v>
      </c>
      <c r="K57">
        <v>1.1599999999999999</v>
      </c>
      <c r="L57" s="10">
        <v>191</v>
      </c>
      <c r="M57" t="str">
        <f t="shared" si="0"/>
        <v>RcPs</v>
      </c>
      <c r="O57">
        <v>117</v>
      </c>
      <c r="P57" s="4" t="s">
        <v>384</v>
      </c>
      <c r="Q57" s="10">
        <v>58</v>
      </c>
      <c r="R57">
        <v>17.09</v>
      </c>
    </row>
    <row r="58" spans="1:18">
      <c r="A58">
        <v>120</v>
      </c>
      <c r="B58" s="9" t="s">
        <v>67</v>
      </c>
      <c r="C58" s="24" t="s">
        <v>410</v>
      </c>
      <c r="D58" s="24" t="s">
        <v>383</v>
      </c>
      <c r="E58" s="25" t="s">
        <v>286</v>
      </c>
      <c r="F58">
        <v>8.27</v>
      </c>
      <c r="G58" s="10">
        <v>184</v>
      </c>
      <c r="H58" s="22" t="s">
        <v>85</v>
      </c>
      <c r="I58" s="22" t="s">
        <v>421</v>
      </c>
      <c r="J58" s="22" t="s">
        <v>375</v>
      </c>
      <c r="K58">
        <v>7.98</v>
      </c>
      <c r="L58" s="10">
        <v>182</v>
      </c>
      <c r="M58" t="str">
        <f t="shared" si="0"/>
        <v>RcVa</v>
      </c>
      <c r="O58">
        <v>117</v>
      </c>
      <c r="P58" s="4" t="s">
        <v>377</v>
      </c>
      <c r="Q58" s="10">
        <v>185</v>
      </c>
      <c r="R58">
        <v>14.11</v>
      </c>
    </row>
    <row r="59" spans="1:18">
      <c r="A59">
        <v>88</v>
      </c>
      <c r="B59" s="9" t="s">
        <v>67</v>
      </c>
      <c r="C59" s="24" t="s">
        <v>410</v>
      </c>
      <c r="D59" s="24" t="s">
        <v>383</v>
      </c>
      <c r="E59" s="4" t="s">
        <v>289</v>
      </c>
      <c r="F59">
        <v>16.63</v>
      </c>
      <c r="G59" s="10">
        <v>86</v>
      </c>
      <c r="H59" s="22" t="s">
        <v>85</v>
      </c>
      <c r="I59" s="22" t="s">
        <v>421</v>
      </c>
      <c r="J59" s="22" t="s">
        <v>375</v>
      </c>
      <c r="K59">
        <v>16.88</v>
      </c>
      <c r="L59" s="10">
        <v>85</v>
      </c>
      <c r="M59" t="str">
        <f t="shared" si="0"/>
        <v>RcVa</v>
      </c>
      <c r="O59">
        <v>117</v>
      </c>
      <c r="P59" s="4" t="s">
        <v>400</v>
      </c>
      <c r="Q59" s="10">
        <v>168</v>
      </c>
      <c r="R59">
        <v>14.79</v>
      </c>
    </row>
    <row r="60" spans="1:18">
      <c r="A60">
        <v>118</v>
      </c>
      <c r="B60" s="22" t="s">
        <v>51</v>
      </c>
      <c r="C60" s="22" t="s">
        <v>422</v>
      </c>
      <c r="D60" s="24" t="s">
        <v>383</v>
      </c>
      <c r="E60" s="25" t="s">
        <v>272</v>
      </c>
      <c r="F60">
        <v>7.41</v>
      </c>
      <c r="G60" s="10">
        <v>173</v>
      </c>
      <c r="H60" s="22" t="s">
        <v>48</v>
      </c>
      <c r="I60" s="22" t="s">
        <v>382</v>
      </c>
      <c r="J60" s="22" t="s">
        <v>383</v>
      </c>
      <c r="K60">
        <v>6.92</v>
      </c>
      <c r="L60" s="10">
        <v>174</v>
      </c>
      <c r="M60" t="str">
        <f t="shared" si="0"/>
        <v>RfAs</v>
      </c>
      <c r="O60">
        <v>117</v>
      </c>
      <c r="P60" s="4" t="s">
        <v>402</v>
      </c>
      <c r="Q60" s="10">
        <v>70</v>
      </c>
      <c r="R60">
        <v>9.6</v>
      </c>
    </row>
    <row r="61" spans="1:18">
      <c r="A61">
        <v>30</v>
      </c>
      <c r="B61" s="9" t="s">
        <v>51</v>
      </c>
      <c r="C61" s="24" t="s">
        <v>422</v>
      </c>
      <c r="D61" s="24" t="s">
        <v>383</v>
      </c>
      <c r="E61" s="4" t="s">
        <v>273</v>
      </c>
      <c r="F61">
        <v>15.22</v>
      </c>
      <c r="G61" s="10">
        <v>265</v>
      </c>
      <c r="H61" s="22" t="s">
        <v>48</v>
      </c>
      <c r="I61" s="22" t="s">
        <v>382</v>
      </c>
      <c r="J61" s="22" t="s">
        <v>383</v>
      </c>
      <c r="K61">
        <v>15.39</v>
      </c>
      <c r="L61" s="10">
        <v>264</v>
      </c>
      <c r="M61" t="str">
        <f t="shared" si="0"/>
        <v>RfAs</v>
      </c>
      <c r="O61">
        <v>118</v>
      </c>
      <c r="P61" s="25" t="s">
        <v>392</v>
      </c>
      <c r="Q61" s="10">
        <v>173</v>
      </c>
      <c r="R61">
        <v>7.41</v>
      </c>
    </row>
    <row r="62" spans="1:18">
      <c r="A62">
        <v>83</v>
      </c>
      <c r="B62" s="9" t="s">
        <v>51</v>
      </c>
      <c r="C62" s="24" t="s">
        <v>422</v>
      </c>
      <c r="D62" s="24" t="s">
        <v>383</v>
      </c>
      <c r="E62" s="4" t="s">
        <v>273</v>
      </c>
      <c r="F62">
        <v>4.7</v>
      </c>
      <c r="G62" s="10">
        <v>292</v>
      </c>
      <c r="H62" s="22" t="s">
        <v>54</v>
      </c>
      <c r="I62" s="22" t="s">
        <v>405</v>
      </c>
      <c r="J62" s="22" t="s">
        <v>383</v>
      </c>
      <c r="K62">
        <v>4.6900000000000004</v>
      </c>
      <c r="L62" s="10">
        <v>290</v>
      </c>
      <c r="M62" t="str">
        <f t="shared" si="0"/>
        <v>RfCc</v>
      </c>
      <c r="O62">
        <v>119</v>
      </c>
      <c r="P62" s="4" t="s">
        <v>384</v>
      </c>
      <c r="Q62" s="10">
        <v>94</v>
      </c>
      <c r="R62">
        <v>10.54</v>
      </c>
    </row>
    <row r="63" spans="1:18">
      <c r="A63">
        <v>83</v>
      </c>
      <c r="B63" s="9" t="s">
        <v>51</v>
      </c>
      <c r="C63" s="24" t="s">
        <v>422</v>
      </c>
      <c r="D63" s="24" t="s">
        <v>383</v>
      </c>
      <c r="E63" s="4" t="s">
        <v>272</v>
      </c>
      <c r="F63">
        <v>4.76</v>
      </c>
      <c r="G63" s="10">
        <v>288</v>
      </c>
      <c r="H63" s="22" t="s">
        <v>54</v>
      </c>
      <c r="I63" s="22" t="s">
        <v>405</v>
      </c>
      <c r="J63" s="22" t="s">
        <v>383</v>
      </c>
      <c r="K63">
        <v>4.6900000000000004</v>
      </c>
      <c r="L63" s="10">
        <v>290</v>
      </c>
      <c r="M63" t="str">
        <f t="shared" si="0"/>
        <v>RfCc</v>
      </c>
      <c r="O63">
        <v>119</v>
      </c>
      <c r="P63" s="4" t="s">
        <v>377</v>
      </c>
      <c r="Q63" s="10">
        <v>182</v>
      </c>
      <c r="R63">
        <v>4.24</v>
      </c>
    </row>
    <row r="64" spans="1:18">
      <c r="A64">
        <v>30</v>
      </c>
      <c r="B64" s="9" t="s">
        <v>51</v>
      </c>
      <c r="C64" s="24" t="s">
        <v>422</v>
      </c>
      <c r="D64" s="24" t="s">
        <v>383</v>
      </c>
      <c r="E64" s="4" t="s">
        <v>272</v>
      </c>
      <c r="F64">
        <v>11.15</v>
      </c>
      <c r="G64" s="10">
        <v>102</v>
      </c>
      <c r="H64" s="22" t="s">
        <v>189</v>
      </c>
      <c r="I64" s="22" t="s">
        <v>391</v>
      </c>
      <c r="J64" s="22" t="s">
        <v>383</v>
      </c>
      <c r="K64">
        <v>11.23</v>
      </c>
      <c r="L64" s="10">
        <v>98</v>
      </c>
      <c r="M64" t="str">
        <f t="shared" si="0"/>
        <v>RfFg</v>
      </c>
      <c r="O64">
        <v>119</v>
      </c>
      <c r="P64" s="4" t="s">
        <v>398</v>
      </c>
      <c r="Q64" s="10">
        <v>139</v>
      </c>
      <c r="R64">
        <v>6.67</v>
      </c>
    </row>
    <row r="65" spans="1:18">
      <c r="A65">
        <v>120</v>
      </c>
      <c r="B65" s="9" t="s">
        <v>51</v>
      </c>
      <c r="C65" s="24" t="s">
        <v>422</v>
      </c>
      <c r="D65" s="24" t="s">
        <v>383</v>
      </c>
      <c r="E65" s="25" t="s">
        <v>273</v>
      </c>
      <c r="F65">
        <v>4.4800000000000004</v>
      </c>
      <c r="G65" s="10">
        <v>133</v>
      </c>
      <c r="H65" s="22" t="s">
        <v>47</v>
      </c>
      <c r="I65" s="22" t="s">
        <v>393</v>
      </c>
      <c r="J65" s="22" t="s">
        <v>383</v>
      </c>
      <c r="K65">
        <v>4.62</v>
      </c>
      <c r="L65" s="10">
        <v>135</v>
      </c>
      <c r="M65" t="str">
        <f t="shared" si="0"/>
        <v>RfF</v>
      </c>
      <c r="O65">
        <v>119</v>
      </c>
      <c r="P65" s="4" t="s">
        <v>413</v>
      </c>
      <c r="Q65" s="10">
        <v>266</v>
      </c>
      <c r="R65">
        <v>8.7899999999999991</v>
      </c>
    </row>
    <row r="66" spans="1:18">
      <c r="A66">
        <v>119</v>
      </c>
      <c r="B66" s="9" t="s">
        <v>51</v>
      </c>
      <c r="C66" s="24" t="s">
        <v>422</v>
      </c>
      <c r="D66" s="24" t="s">
        <v>383</v>
      </c>
      <c r="E66" s="4" t="s">
        <v>272</v>
      </c>
      <c r="F66">
        <v>14.07</v>
      </c>
      <c r="G66" s="10">
        <v>291</v>
      </c>
      <c r="H66" s="22" t="s">
        <v>47</v>
      </c>
      <c r="I66" s="22" t="s">
        <v>393</v>
      </c>
      <c r="J66" s="22" t="s">
        <v>383</v>
      </c>
      <c r="K66">
        <v>13.72</v>
      </c>
      <c r="L66" s="10">
        <v>295</v>
      </c>
      <c r="M66" t="str">
        <f t="shared" si="0"/>
        <v>RfF</v>
      </c>
      <c r="O66">
        <v>119</v>
      </c>
      <c r="P66" s="4" t="s">
        <v>418</v>
      </c>
      <c r="Q66" s="10">
        <v>107</v>
      </c>
      <c r="R66">
        <v>1.91</v>
      </c>
    </row>
    <row r="67" spans="1:18">
      <c r="A67">
        <v>120</v>
      </c>
      <c r="B67" s="9" t="s">
        <v>51</v>
      </c>
      <c r="C67" s="24" t="s">
        <v>422</v>
      </c>
      <c r="D67" s="24" t="s">
        <v>383</v>
      </c>
      <c r="E67" s="25" t="s">
        <v>363</v>
      </c>
      <c r="F67">
        <v>7.87</v>
      </c>
      <c r="G67" s="10">
        <v>179</v>
      </c>
      <c r="H67" s="22" t="s">
        <v>85</v>
      </c>
      <c r="I67" s="22" t="s">
        <v>421</v>
      </c>
      <c r="J67" s="22" t="s">
        <v>375</v>
      </c>
      <c r="K67">
        <v>7.98</v>
      </c>
      <c r="L67" s="10">
        <v>182</v>
      </c>
      <c r="M67" t="str">
        <f t="shared" ref="M67:M75" si="1">C67&amp;""&amp;I67</f>
        <v>RfVa</v>
      </c>
      <c r="O67">
        <v>119</v>
      </c>
      <c r="P67" s="4" t="s">
        <v>392</v>
      </c>
      <c r="Q67" s="10">
        <v>291</v>
      </c>
      <c r="R67">
        <v>14.07</v>
      </c>
    </row>
    <row r="68" spans="1:18">
      <c r="A68">
        <v>120</v>
      </c>
      <c r="B68" s="9" t="s">
        <v>51</v>
      </c>
      <c r="C68" s="24" t="s">
        <v>422</v>
      </c>
      <c r="D68" s="24" t="s">
        <v>383</v>
      </c>
      <c r="E68" s="25" t="s">
        <v>365</v>
      </c>
      <c r="F68">
        <v>18.03</v>
      </c>
      <c r="G68" s="10">
        <v>169</v>
      </c>
      <c r="H68" s="22" t="s">
        <v>85</v>
      </c>
      <c r="I68" s="22" t="s">
        <v>421</v>
      </c>
      <c r="J68" s="22" t="s">
        <v>375</v>
      </c>
      <c r="K68">
        <v>17.899999999999999</v>
      </c>
      <c r="L68" s="10">
        <v>271</v>
      </c>
      <c r="M68" t="str">
        <f t="shared" si="1"/>
        <v>RfVa</v>
      </c>
      <c r="O68">
        <v>119</v>
      </c>
      <c r="P68" s="4" t="s">
        <v>395</v>
      </c>
      <c r="Q68" s="10">
        <v>143</v>
      </c>
      <c r="R68">
        <v>14.11</v>
      </c>
    </row>
    <row r="69" spans="1:18">
      <c r="A69">
        <v>30</v>
      </c>
      <c r="B69" s="9" t="s">
        <v>73</v>
      </c>
      <c r="C69" s="24" t="s">
        <v>423</v>
      </c>
      <c r="D69" s="24" t="s">
        <v>375</v>
      </c>
      <c r="E69" s="4" t="s">
        <v>268</v>
      </c>
      <c r="F69">
        <v>17.190000000000001</v>
      </c>
      <c r="G69" s="10">
        <v>210</v>
      </c>
      <c r="H69" s="22" t="s">
        <v>252</v>
      </c>
      <c r="I69" s="22" t="s">
        <v>385</v>
      </c>
      <c r="J69" s="22" t="s">
        <v>383</v>
      </c>
      <c r="K69">
        <v>17.079999999999998</v>
      </c>
      <c r="L69" s="10">
        <v>214</v>
      </c>
      <c r="M69" t="str">
        <f t="shared" si="1"/>
        <v>RmCco</v>
      </c>
      <c r="O69">
        <v>120</v>
      </c>
      <c r="P69" s="25" t="s">
        <v>403</v>
      </c>
      <c r="Q69" s="10">
        <v>30</v>
      </c>
      <c r="R69">
        <v>12.29</v>
      </c>
    </row>
    <row r="70" spans="1:18">
      <c r="A70">
        <v>87</v>
      </c>
      <c r="B70" s="9" t="s">
        <v>73</v>
      </c>
      <c r="C70" s="24" t="s">
        <v>423</v>
      </c>
      <c r="D70" s="24" t="s">
        <v>375</v>
      </c>
      <c r="E70" s="4" t="s">
        <v>268</v>
      </c>
      <c r="F70">
        <v>11.89</v>
      </c>
      <c r="G70" s="10">
        <v>123</v>
      </c>
      <c r="H70" s="22" t="s">
        <v>388</v>
      </c>
      <c r="I70" s="22" t="s">
        <v>389</v>
      </c>
      <c r="J70" s="22" t="s">
        <v>375</v>
      </c>
      <c r="K70">
        <v>11.67</v>
      </c>
      <c r="L70" s="10">
        <v>122</v>
      </c>
      <c r="M70" t="str">
        <f t="shared" si="1"/>
        <v>RmCor</v>
      </c>
      <c r="O70">
        <v>120</v>
      </c>
      <c r="P70" s="25" t="s">
        <v>401</v>
      </c>
      <c r="Q70" s="10">
        <v>222</v>
      </c>
      <c r="R70">
        <v>2.35</v>
      </c>
    </row>
    <row r="71" spans="1:18">
      <c r="A71">
        <v>88</v>
      </c>
      <c r="B71" s="9" t="s">
        <v>73</v>
      </c>
      <c r="C71" s="24" t="s">
        <v>423</v>
      </c>
      <c r="D71" s="24" t="s">
        <v>375</v>
      </c>
      <c r="E71" s="4" t="s">
        <v>265</v>
      </c>
      <c r="F71">
        <v>5.76</v>
      </c>
      <c r="G71" s="10">
        <v>181</v>
      </c>
      <c r="H71" s="22" t="s">
        <v>47</v>
      </c>
      <c r="I71" s="22" t="s">
        <v>393</v>
      </c>
      <c r="J71" s="22" t="s">
        <v>383</v>
      </c>
      <c r="K71">
        <v>5.58</v>
      </c>
      <c r="L71" s="10">
        <v>184</v>
      </c>
      <c r="M71" t="str">
        <f t="shared" si="1"/>
        <v>RmF</v>
      </c>
      <c r="O71">
        <v>120</v>
      </c>
      <c r="P71" s="25" t="s">
        <v>400</v>
      </c>
      <c r="Q71" s="10">
        <v>191</v>
      </c>
      <c r="R71">
        <v>0.99</v>
      </c>
    </row>
    <row r="72" spans="1:18">
      <c r="A72">
        <v>119</v>
      </c>
      <c r="B72" s="9" t="s">
        <v>73</v>
      </c>
      <c r="C72" s="24" t="s">
        <v>423</v>
      </c>
      <c r="D72" s="24" t="s">
        <v>375</v>
      </c>
      <c r="E72" s="4" t="s">
        <v>265</v>
      </c>
      <c r="F72">
        <v>14.11</v>
      </c>
      <c r="G72" s="10">
        <v>143</v>
      </c>
      <c r="H72" s="22" t="s">
        <v>47</v>
      </c>
      <c r="I72" s="22" t="s">
        <v>393</v>
      </c>
      <c r="J72" s="22" t="s">
        <v>383</v>
      </c>
      <c r="K72">
        <v>14.42</v>
      </c>
      <c r="L72" s="10">
        <v>141</v>
      </c>
      <c r="M72" t="str">
        <f t="shared" si="1"/>
        <v>RmF</v>
      </c>
      <c r="O72">
        <v>120</v>
      </c>
      <c r="P72" s="25" t="s">
        <v>402</v>
      </c>
      <c r="Q72" s="10">
        <v>184</v>
      </c>
      <c r="R72">
        <v>8.27</v>
      </c>
    </row>
    <row r="73" spans="1:18">
      <c r="A73">
        <v>87</v>
      </c>
      <c r="B73" s="9" t="s">
        <v>73</v>
      </c>
      <c r="C73" s="24" t="s">
        <v>423</v>
      </c>
      <c r="D73" s="24" t="s">
        <v>375</v>
      </c>
      <c r="E73" s="4" t="s">
        <v>265</v>
      </c>
      <c r="F73">
        <v>9.74</v>
      </c>
      <c r="G73" s="10">
        <v>68</v>
      </c>
      <c r="H73" s="22" t="s">
        <v>60</v>
      </c>
      <c r="I73" s="22" t="s">
        <v>376</v>
      </c>
      <c r="J73" s="22" t="s">
        <v>375</v>
      </c>
      <c r="K73">
        <v>10.18</v>
      </c>
      <c r="L73" s="10">
        <v>66</v>
      </c>
      <c r="M73" t="str">
        <f t="shared" si="1"/>
        <v>RmLb</v>
      </c>
      <c r="O73">
        <v>120</v>
      </c>
      <c r="P73" s="25" t="s">
        <v>390</v>
      </c>
      <c r="Q73" s="10">
        <v>133</v>
      </c>
      <c r="R73">
        <v>4.4800000000000004</v>
      </c>
    </row>
    <row r="74" spans="1:18">
      <c r="A74">
        <v>30</v>
      </c>
      <c r="B74" s="9" t="s">
        <v>73</v>
      </c>
      <c r="C74" s="24" t="s">
        <v>423</v>
      </c>
      <c r="D74" s="24" t="s">
        <v>375</v>
      </c>
      <c r="E74" s="4" t="s">
        <v>265</v>
      </c>
      <c r="F74">
        <v>16.399999999999999</v>
      </c>
      <c r="G74" s="10">
        <v>203</v>
      </c>
      <c r="H74" s="22" t="s">
        <v>85</v>
      </c>
      <c r="I74" s="22" t="s">
        <v>421</v>
      </c>
      <c r="J74" s="22" t="s">
        <v>375</v>
      </c>
      <c r="K74">
        <v>16.3</v>
      </c>
      <c r="L74" s="10">
        <v>205</v>
      </c>
      <c r="M74" t="str">
        <f t="shared" si="1"/>
        <v>RmVa</v>
      </c>
      <c r="O74">
        <v>120</v>
      </c>
      <c r="P74" s="25" t="s">
        <v>424</v>
      </c>
      <c r="Q74" s="10">
        <v>179</v>
      </c>
      <c r="R74">
        <v>7.87</v>
      </c>
    </row>
    <row r="75" spans="1:18">
      <c r="A75">
        <v>30</v>
      </c>
      <c r="B75" s="9" t="s">
        <v>73</v>
      </c>
      <c r="C75" s="24" t="s">
        <v>423</v>
      </c>
      <c r="D75" s="24" t="s">
        <v>375</v>
      </c>
      <c r="E75" s="4" t="s">
        <v>265</v>
      </c>
      <c r="F75">
        <v>16.399999999999999</v>
      </c>
      <c r="G75" s="10">
        <v>203</v>
      </c>
      <c r="H75" s="22" t="s">
        <v>85</v>
      </c>
      <c r="I75" s="22" t="s">
        <v>421</v>
      </c>
      <c r="J75" s="22" t="s">
        <v>375</v>
      </c>
      <c r="K75">
        <v>16.3</v>
      </c>
      <c r="L75" s="10">
        <v>205</v>
      </c>
      <c r="M75" t="str">
        <f t="shared" si="1"/>
        <v>RmVa</v>
      </c>
      <c r="O75">
        <v>120</v>
      </c>
      <c r="P75" s="25" t="s">
        <v>425</v>
      </c>
      <c r="Q75" s="10">
        <v>169</v>
      </c>
      <c r="R75">
        <v>18.03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N129"/>
  <sheetViews>
    <sheetView workbookViewId="0">
      <pane xSplit="2" ySplit="2" topLeftCell="C3" activePane="bottomRight" state="frozen"/>
      <selection pane="bottomRight" activeCell="C22" sqref="C22"/>
      <selection pane="bottomLeft" activeCell="A3" sqref="A3"/>
      <selection pane="topRight" activeCell="C1" sqref="C1"/>
    </sheetView>
  </sheetViews>
  <sheetFormatPr defaultRowHeight="12.75"/>
  <cols>
    <col min="1" max="1" width="9" bestFit="1" customWidth="1"/>
    <col min="2" max="2" width="30.42578125" bestFit="1" customWidth="1"/>
    <col min="3" max="3" width="14.28515625" bestFit="1" customWidth="1"/>
    <col min="10" max="11" width="9" bestFit="1" customWidth="1"/>
    <col min="16" max="16" width="9" bestFit="1" customWidth="1"/>
    <col min="26" max="26" width="9" bestFit="1" customWidth="1"/>
    <col min="28" max="29" width="9" bestFit="1" customWidth="1"/>
    <col min="31" max="31" width="9" bestFit="1" customWidth="1"/>
    <col min="32" max="32" width="9.140625" bestFit="1" customWidth="1"/>
    <col min="33" max="33" width="9" bestFit="1" customWidth="1"/>
    <col min="36" max="39" width="9" bestFit="1" customWidth="1"/>
    <col min="43" max="43" width="9" bestFit="1" customWidth="1"/>
    <col min="46" max="48" width="9" bestFit="1" customWidth="1"/>
    <col min="55" max="80" width="9" bestFit="1" customWidth="1"/>
    <col min="86" max="95" width="9" bestFit="1" customWidth="1"/>
    <col min="100" max="108" width="9" bestFit="1" customWidth="1"/>
  </cols>
  <sheetData>
    <row r="1" spans="1:118">
      <c r="A1" t="s">
        <v>426</v>
      </c>
      <c r="B1" t="s">
        <v>427</v>
      </c>
    </row>
    <row r="2" spans="1:118">
      <c r="A2" t="s">
        <v>428</v>
      </c>
      <c r="B2" t="s">
        <v>429</v>
      </c>
      <c r="C2" t="s">
        <v>430</v>
      </c>
      <c r="D2" t="s">
        <v>431</v>
      </c>
      <c r="E2" t="s">
        <v>432</v>
      </c>
      <c r="F2" t="s">
        <v>433</v>
      </c>
      <c r="G2" t="s">
        <v>434</v>
      </c>
      <c r="H2" t="s">
        <v>435</v>
      </c>
      <c r="I2" t="s">
        <v>436</v>
      </c>
      <c r="J2" t="s">
        <v>437</v>
      </c>
      <c r="K2" t="s">
        <v>438</v>
      </c>
      <c r="L2" t="s">
        <v>439</v>
      </c>
      <c r="M2" t="s">
        <v>440</v>
      </c>
      <c r="N2" t="s">
        <v>441</v>
      </c>
      <c r="O2" t="s">
        <v>442</v>
      </c>
      <c r="P2" t="s">
        <v>443</v>
      </c>
      <c r="Q2" t="s">
        <v>444</v>
      </c>
      <c r="R2" t="s">
        <v>445</v>
      </c>
      <c r="S2" t="s">
        <v>446</v>
      </c>
      <c r="T2" t="s">
        <v>447</v>
      </c>
      <c r="U2" t="s">
        <v>448</v>
      </c>
      <c r="V2" t="s">
        <v>449</v>
      </c>
      <c r="W2" t="s">
        <v>450</v>
      </c>
      <c r="X2" t="s">
        <v>451</v>
      </c>
      <c r="Y2" t="s">
        <v>452</v>
      </c>
      <c r="Z2" t="s">
        <v>453</v>
      </c>
      <c r="AA2" t="s">
        <v>454</v>
      </c>
      <c r="AB2" t="s">
        <v>455</v>
      </c>
      <c r="AC2" t="s">
        <v>456</v>
      </c>
      <c r="AD2" t="s">
        <v>457</v>
      </c>
      <c r="AE2" t="s">
        <v>458</v>
      </c>
      <c r="AF2" t="s">
        <v>459</v>
      </c>
      <c r="AG2" t="s">
        <v>460</v>
      </c>
      <c r="AH2" t="s">
        <v>461</v>
      </c>
      <c r="AI2" t="s">
        <v>462</v>
      </c>
      <c r="AJ2" t="s">
        <v>463</v>
      </c>
      <c r="AK2" t="s">
        <v>464</v>
      </c>
      <c r="AL2" t="s">
        <v>465</v>
      </c>
      <c r="AM2" t="s">
        <v>466</v>
      </c>
      <c r="AN2" t="s">
        <v>467</v>
      </c>
      <c r="AO2" t="s">
        <v>468</v>
      </c>
      <c r="AP2" t="s">
        <v>469</v>
      </c>
      <c r="AQ2" t="s">
        <v>470</v>
      </c>
      <c r="AR2" t="s">
        <v>471</v>
      </c>
      <c r="AS2" t="s">
        <v>472</v>
      </c>
      <c r="AT2" t="s">
        <v>473</v>
      </c>
      <c r="AU2" t="s">
        <v>474</v>
      </c>
      <c r="AV2" t="s">
        <v>475</v>
      </c>
      <c r="AW2" t="s">
        <v>476</v>
      </c>
      <c r="AX2" t="s">
        <v>477</v>
      </c>
      <c r="AY2" t="s">
        <v>478</v>
      </c>
      <c r="AZ2" t="s">
        <v>479</v>
      </c>
      <c r="BA2" t="s">
        <v>480</v>
      </c>
      <c r="BB2" t="s">
        <v>481</v>
      </c>
      <c r="BC2" t="s">
        <v>482</v>
      </c>
      <c r="BD2" t="s">
        <v>483</v>
      </c>
      <c r="BE2" t="s">
        <v>484</v>
      </c>
      <c r="BF2" t="s">
        <v>485</v>
      </c>
      <c r="BG2" t="s">
        <v>486</v>
      </c>
      <c r="BH2" t="s">
        <v>487</v>
      </c>
      <c r="BI2" t="s">
        <v>488</v>
      </c>
      <c r="BJ2" t="s">
        <v>489</v>
      </c>
      <c r="BK2" t="s">
        <v>490</v>
      </c>
      <c r="BL2" t="s">
        <v>491</v>
      </c>
      <c r="BM2" t="s">
        <v>492</v>
      </c>
      <c r="BN2" t="s">
        <v>493</v>
      </c>
      <c r="BO2" t="s">
        <v>494</v>
      </c>
      <c r="BP2" t="s">
        <v>495</v>
      </c>
      <c r="BQ2" t="s">
        <v>496</v>
      </c>
      <c r="BR2" t="s">
        <v>497</v>
      </c>
      <c r="BS2" t="s">
        <v>498</v>
      </c>
      <c r="BT2" t="s">
        <v>499</v>
      </c>
      <c r="BU2" t="s">
        <v>500</v>
      </c>
      <c r="BV2" t="s">
        <v>501</v>
      </c>
      <c r="BW2" t="s">
        <v>502</v>
      </c>
      <c r="BX2" t="s">
        <v>503</v>
      </c>
      <c r="BY2" t="s">
        <v>504</v>
      </c>
      <c r="BZ2" t="s">
        <v>505</v>
      </c>
      <c r="CA2" t="s">
        <v>506</v>
      </c>
      <c r="CB2" t="s">
        <v>507</v>
      </c>
      <c r="CC2" t="s">
        <v>508</v>
      </c>
      <c r="CD2" t="s">
        <v>509</v>
      </c>
      <c r="CE2" t="s">
        <v>510</v>
      </c>
      <c r="CF2" t="s">
        <v>511</v>
      </c>
      <c r="CG2" t="s">
        <v>512</v>
      </c>
      <c r="CH2" t="s">
        <v>513</v>
      </c>
      <c r="CI2" t="s">
        <v>514</v>
      </c>
      <c r="CJ2" t="s">
        <v>515</v>
      </c>
      <c r="CK2" t="s">
        <v>516</v>
      </c>
      <c r="CL2" t="s">
        <v>517</v>
      </c>
      <c r="CM2" t="s">
        <v>518</v>
      </c>
      <c r="CN2" t="s">
        <v>519</v>
      </c>
      <c r="CO2" t="s">
        <v>520</v>
      </c>
      <c r="CP2" t="s">
        <v>521</v>
      </c>
      <c r="CQ2" t="s">
        <v>522</v>
      </c>
      <c r="CR2" t="s">
        <v>523</v>
      </c>
      <c r="CS2" t="s">
        <v>524</v>
      </c>
      <c r="CT2" t="s">
        <v>525</v>
      </c>
      <c r="CU2" t="s">
        <v>526</v>
      </c>
      <c r="CV2" t="s">
        <v>527</v>
      </c>
      <c r="CW2" t="s">
        <v>528</v>
      </c>
      <c r="CX2" t="s">
        <v>529</v>
      </c>
      <c r="CY2" t="s">
        <v>530</v>
      </c>
      <c r="CZ2" t="s">
        <v>531</v>
      </c>
      <c r="DA2" t="s">
        <v>532</v>
      </c>
      <c r="DB2" t="s">
        <v>533</v>
      </c>
      <c r="DC2" t="s">
        <v>534</v>
      </c>
      <c r="DD2" t="s">
        <v>535</v>
      </c>
      <c r="DE2" t="s">
        <v>536</v>
      </c>
      <c r="DF2" t="s">
        <v>537</v>
      </c>
      <c r="DG2" t="s">
        <v>538</v>
      </c>
      <c r="DH2" t="s">
        <v>539</v>
      </c>
      <c r="DI2" t="s">
        <v>540</v>
      </c>
      <c r="DJ2" t="s">
        <v>541</v>
      </c>
      <c r="DK2" t="s">
        <v>542</v>
      </c>
      <c r="DL2" t="s">
        <v>543</v>
      </c>
      <c r="DM2" t="s">
        <v>544</v>
      </c>
      <c r="DN2" t="s">
        <v>545</v>
      </c>
    </row>
    <row r="7" spans="1:118">
      <c r="C7" s="19"/>
      <c r="AE7" s="20"/>
      <c r="AF7" s="20"/>
      <c r="AQ7" s="20"/>
      <c r="AT7" s="21"/>
    </row>
    <row r="8" spans="1:118">
      <c r="C8" s="19"/>
      <c r="AE8" s="20"/>
      <c r="AF8" s="20"/>
      <c r="AQ8" s="20"/>
      <c r="AT8" s="21"/>
    </row>
    <row r="9" spans="1:118" s="27" customFormat="1">
      <c r="C9" s="28"/>
      <c r="AE9" s="29"/>
      <c r="AF9" s="29"/>
      <c r="AQ9" s="29"/>
      <c r="AT9" s="30"/>
    </row>
    <row r="10" spans="1:118">
      <c r="C10" s="19"/>
      <c r="AE10" s="20"/>
      <c r="AF10" s="20"/>
      <c r="AQ10" s="20"/>
      <c r="AT10" s="21"/>
    </row>
    <row r="11" spans="1:118">
      <c r="C11" s="19"/>
      <c r="AE11" s="20"/>
      <c r="AF11" s="20"/>
      <c r="AQ11" s="20"/>
      <c r="AT11" s="21"/>
    </row>
    <row r="12" spans="1:118">
      <c r="C12" s="19"/>
      <c r="AE12" s="20"/>
      <c r="AF12" s="20"/>
      <c r="AQ12" s="20"/>
      <c r="AT12" s="21"/>
    </row>
    <row r="13" spans="1:118">
      <c r="C13" s="19"/>
      <c r="AE13" s="20"/>
      <c r="AF13" s="20"/>
      <c r="AQ13" s="20"/>
      <c r="AT13" s="21"/>
    </row>
    <row r="14" spans="1:118">
      <c r="C14" s="19"/>
      <c r="AE14" s="20"/>
      <c r="AF14" s="20"/>
      <c r="AQ14" s="20"/>
      <c r="AT14" s="21"/>
    </row>
    <row r="15" spans="1:118">
      <c r="C15" s="19"/>
      <c r="AE15" s="20"/>
      <c r="AF15" s="20"/>
      <c r="AQ15" s="20"/>
      <c r="AT15" s="21"/>
    </row>
    <row r="16" spans="1:118">
      <c r="C16" s="19"/>
      <c r="AE16" s="20"/>
      <c r="AF16" s="20"/>
      <c r="AQ16" s="20"/>
      <c r="AT16" s="21"/>
    </row>
    <row r="17" spans="2:46">
      <c r="C17" s="19"/>
      <c r="AE17" s="20"/>
      <c r="AF17" s="20"/>
      <c r="AQ17" s="20"/>
      <c r="AT17" s="21"/>
    </row>
    <row r="18" spans="2:46">
      <c r="C18" s="19"/>
      <c r="AE18" s="20"/>
      <c r="AF18" s="20"/>
      <c r="AQ18" s="20"/>
      <c r="AT18" s="21"/>
    </row>
    <row r="19" spans="2:46">
      <c r="C19" s="19"/>
      <c r="AE19" s="20"/>
      <c r="AF19" s="20"/>
      <c r="AQ19" s="20"/>
      <c r="AT19" s="21"/>
    </row>
    <row r="20" spans="2:46">
      <c r="C20" s="19"/>
      <c r="AE20" s="20"/>
      <c r="AF20" s="20"/>
      <c r="AQ20" s="20"/>
      <c r="AT20" s="21"/>
    </row>
    <row r="21" spans="2:46">
      <c r="C21" s="19"/>
      <c r="AE21" s="20"/>
      <c r="AF21" s="20"/>
      <c r="AQ21" s="20"/>
      <c r="AT21" s="21"/>
    </row>
    <row r="22" spans="2:46">
      <c r="C22" s="19"/>
      <c r="AE22" s="20"/>
      <c r="AF22" s="20"/>
      <c r="AQ22" s="20"/>
      <c r="AT22" s="21"/>
    </row>
    <row r="23" spans="2:46">
      <c r="C23" s="19"/>
      <c r="AE23" s="20"/>
      <c r="AF23" s="20"/>
      <c r="AQ23" s="20"/>
      <c r="AT23" s="21"/>
    </row>
    <row r="24" spans="2:46">
      <c r="B24" s="22"/>
      <c r="C24" s="19"/>
      <c r="AE24" s="20"/>
      <c r="AF24" s="20"/>
      <c r="AQ24" s="20"/>
      <c r="AT24" s="21"/>
    </row>
    <row r="25" spans="2:46">
      <c r="C25" s="19"/>
      <c r="AE25" s="20"/>
      <c r="AF25" s="20"/>
      <c r="AQ25" s="20"/>
      <c r="AT25" s="21"/>
    </row>
    <row r="26" spans="2:46">
      <c r="C26" s="19"/>
      <c r="AE26" s="20"/>
      <c r="AF26" s="20"/>
      <c r="AQ26" s="20"/>
      <c r="AT26" s="21"/>
    </row>
    <row r="27" spans="2:46">
      <c r="C27" s="19"/>
      <c r="AE27" s="20"/>
      <c r="AF27" s="20"/>
      <c r="AQ27" s="20"/>
      <c r="AT27" s="21"/>
    </row>
    <row r="28" spans="2:46">
      <c r="C28" s="19"/>
      <c r="AE28" s="20"/>
      <c r="AF28" s="20"/>
      <c r="AQ28" s="20"/>
      <c r="AT28" s="21"/>
    </row>
    <row r="29" spans="2:46">
      <c r="C29" s="19"/>
      <c r="AE29" s="20"/>
      <c r="AF29" s="20"/>
      <c r="AQ29" s="20"/>
      <c r="AT29" s="21"/>
    </row>
    <row r="30" spans="2:46">
      <c r="C30" s="19"/>
      <c r="AE30" s="20"/>
      <c r="AF30" s="20"/>
      <c r="AQ30" s="20"/>
      <c r="AT30" s="21"/>
    </row>
    <row r="31" spans="2:46">
      <c r="C31" s="19"/>
      <c r="AE31" s="20"/>
      <c r="AF31" s="20"/>
      <c r="AQ31" s="20"/>
      <c r="AT31" s="21"/>
    </row>
    <row r="32" spans="2:46">
      <c r="C32" s="19"/>
      <c r="AE32" s="20"/>
      <c r="AF32" s="20"/>
      <c r="AQ32" s="20"/>
      <c r="AT32" s="21"/>
    </row>
    <row r="33" spans="3:46">
      <c r="C33" s="19"/>
      <c r="AE33" s="20"/>
      <c r="AF33" s="20"/>
      <c r="AQ33" s="20"/>
      <c r="AT33" s="21"/>
    </row>
    <row r="34" spans="3:46">
      <c r="C34" s="19"/>
      <c r="AE34" s="20"/>
      <c r="AF34" s="20"/>
      <c r="AQ34" s="20"/>
      <c r="AT34" s="21"/>
    </row>
    <row r="35" spans="3:46">
      <c r="C35" s="19"/>
      <c r="AE35" s="20"/>
      <c r="AF35" s="20"/>
      <c r="AQ35" s="20"/>
      <c r="AT35" s="21"/>
    </row>
    <row r="36" spans="3:46">
      <c r="C36" s="19"/>
      <c r="AE36" s="20"/>
      <c r="AF36" s="20"/>
      <c r="AQ36" s="20"/>
      <c r="AT36" s="21"/>
    </row>
    <row r="37" spans="3:46">
      <c r="C37" s="19"/>
      <c r="AE37" s="20"/>
      <c r="AF37" s="20"/>
      <c r="AQ37" s="20"/>
      <c r="AT37" s="21"/>
    </row>
    <row r="38" spans="3:46">
      <c r="C38" s="19"/>
      <c r="AE38" s="20"/>
      <c r="AF38" s="20"/>
      <c r="AQ38" s="20"/>
      <c r="AT38" s="21"/>
    </row>
    <row r="39" spans="3:46">
      <c r="C39" s="19"/>
      <c r="AE39" s="20"/>
      <c r="AF39" s="20"/>
      <c r="AQ39" s="20"/>
      <c r="AT39" s="21"/>
    </row>
    <row r="40" spans="3:46">
      <c r="C40" s="19"/>
      <c r="AE40" s="20"/>
      <c r="AF40" s="20"/>
      <c r="AQ40" s="20"/>
      <c r="AT40" s="21"/>
    </row>
    <row r="41" spans="3:46">
      <c r="C41" s="19"/>
      <c r="AE41" s="20"/>
      <c r="AF41" s="20"/>
      <c r="AQ41" s="20"/>
      <c r="AT41" s="21"/>
    </row>
    <row r="42" spans="3:46">
      <c r="C42" s="19"/>
      <c r="AE42" s="20"/>
      <c r="AF42" s="20"/>
      <c r="AQ42" s="20"/>
      <c r="AT42" s="21"/>
    </row>
    <row r="43" spans="3:46">
      <c r="C43" s="19"/>
      <c r="AE43" s="20"/>
      <c r="AF43" s="20"/>
      <c r="AQ43" s="20"/>
      <c r="AT43" s="21"/>
    </row>
    <row r="44" spans="3:46">
      <c r="C44" s="19"/>
      <c r="AE44" s="20"/>
      <c r="AF44" s="20"/>
      <c r="AQ44" s="20"/>
      <c r="AT44" s="21"/>
    </row>
    <row r="45" spans="3:46">
      <c r="C45" s="19"/>
      <c r="AE45" s="20"/>
      <c r="AF45" s="20"/>
      <c r="AQ45" s="20"/>
      <c r="AT45" s="21"/>
    </row>
    <row r="46" spans="3:46">
      <c r="C46" s="19"/>
      <c r="AE46" s="20"/>
      <c r="AF46" s="20"/>
      <c r="AQ46" s="20"/>
      <c r="AT46" s="21"/>
    </row>
    <row r="47" spans="3:46">
      <c r="C47" s="19"/>
      <c r="AE47" s="20"/>
      <c r="AF47" s="20"/>
      <c r="AQ47" s="20"/>
      <c r="AT47" s="21"/>
    </row>
    <row r="48" spans="3:46">
      <c r="C48" s="19"/>
      <c r="AE48" s="20"/>
      <c r="AF48" s="20"/>
      <c r="AQ48" s="20"/>
      <c r="AT48" s="21"/>
    </row>
    <row r="49" spans="3:46">
      <c r="C49" s="19"/>
      <c r="AE49" s="20"/>
      <c r="AF49" s="20"/>
      <c r="AQ49" s="20"/>
      <c r="AT49" s="21"/>
    </row>
    <row r="50" spans="3:46">
      <c r="C50" s="19"/>
      <c r="AE50" s="20"/>
      <c r="AF50" s="20"/>
      <c r="AQ50" s="20"/>
      <c r="AT50" s="21"/>
    </row>
    <row r="51" spans="3:46">
      <c r="C51" s="19"/>
      <c r="AE51" s="20"/>
      <c r="AF51" s="20"/>
      <c r="AQ51" s="20"/>
      <c r="AT51" s="21"/>
    </row>
    <row r="52" spans="3:46">
      <c r="C52" s="19"/>
      <c r="AE52" s="20"/>
      <c r="AF52" s="20"/>
      <c r="AQ52" s="20"/>
      <c r="AT52" s="21"/>
    </row>
    <row r="53" spans="3:46">
      <c r="C53" s="19"/>
      <c r="AE53" s="20"/>
      <c r="AF53" s="20"/>
      <c r="AQ53" s="20"/>
      <c r="AT53" s="21"/>
    </row>
    <row r="54" spans="3:46">
      <c r="C54" s="19"/>
      <c r="AE54" s="20"/>
      <c r="AF54" s="20"/>
      <c r="AQ54" s="20"/>
      <c r="AT54" s="21"/>
    </row>
    <row r="55" spans="3:46">
      <c r="C55" s="19"/>
      <c r="AE55" s="20"/>
      <c r="AF55" s="20"/>
      <c r="AQ55" s="20"/>
      <c r="AT55" s="21"/>
    </row>
    <row r="56" spans="3:46">
      <c r="C56" s="19"/>
      <c r="AE56" s="20"/>
      <c r="AF56" s="20"/>
      <c r="AQ56" s="20"/>
      <c r="AT56" s="21"/>
    </row>
    <row r="57" spans="3:46">
      <c r="C57" s="19"/>
      <c r="AE57" s="20"/>
      <c r="AF57" s="20"/>
      <c r="AQ57" s="20"/>
      <c r="AT57" s="21"/>
    </row>
    <row r="58" spans="3:46">
      <c r="C58" s="19"/>
      <c r="AE58" s="20"/>
      <c r="AF58" s="20"/>
      <c r="AQ58" s="20"/>
      <c r="AT58" s="21"/>
    </row>
    <row r="59" spans="3:46">
      <c r="C59" s="19"/>
      <c r="AE59" s="20"/>
      <c r="AF59" s="20"/>
      <c r="AQ59" s="20"/>
      <c r="AT59" s="21"/>
    </row>
    <row r="60" spans="3:46">
      <c r="C60" s="19"/>
      <c r="AE60" s="20"/>
      <c r="AF60" s="20"/>
      <c r="AQ60" s="20"/>
      <c r="AT60" s="21"/>
    </row>
    <row r="61" spans="3:46">
      <c r="C61" s="19"/>
      <c r="AE61" s="20"/>
      <c r="AF61" s="20"/>
      <c r="AQ61" s="20"/>
      <c r="AT61" s="21"/>
    </row>
    <row r="62" spans="3:46">
      <c r="C62" s="19"/>
      <c r="AE62" s="20"/>
      <c r="AF62" s="20"/>
      <c r="AQ62" s="20"/>
      <c r="AT62" s="21"/>
    </row>
    <row r="63" spans="3:46">
      <c r="C63" s="19"/>
      <c r="AE63" s="20"/>
      <c r="AF63" s="20"/>
      <c r="AQ63" s="20"/>
      <c r="AT63" s="21"/>
    </row>
    <row r="64" spans="3:46">
      <c r="C64" s="19"/>
      <c r="AE64" s="20"/>
      <c r="AF64" s="20"/>
      <c r="AQ64" s="20"/>
      <c r="AT64" s="21"/>
    </row>
    <row r="65" spans="2:46">
      <c r="C65" s="19"/>
      <c r="AE65" s="20"/>
      <c r="AF65" s="20"/>
      <c r="AQ65" s="20"/>
      <c r="AT65" s="21"/>
    </row>
    <row r="66" spans="2:46">
      <c r="C66" s="19"/>
      <c r="AE66" s="20"/>
      <c r="AF66" s="20"/>
      <c r="AQ66" s="20"/>
      <c r="AT66" s="21"/>
    </row>
    <row r="67" spans="2:46">
      <c r="C67" s="19"/>
      <c r="AE67" s="20"/>
      <c r="AF67" s="20"/>
      <c r="AQ67" s="20"/>
      <c r="AT67" s="21"/>
    </row>
    <row r="68" spans="2:46">
      <c r="C68" s="19"/>
      <c r="AE68" s="20"/>
      <c r="AF68" s="20"/>
      <c r="AQ68" s="20"/>
      <c r="AT68" s="21"/>
    </row>
    <row r="69" spans="2:46">
      <c r="B69" s="22"/>
      <c r="C69" s="19"/>
      <c r="AE69" s="20"/>
      <c r="AF69" s="20"/>
      <c r="AQ69" s="20"/>
      <c r="AT69" s="21"/>
    </row>
    <row r="70" spans="2:46">
      <c r="C70" s="19"/>
      <c r="AE70" s="20"/>
      <c r="AF70" s="20"/>
      <c r="AQ70" s="20"/>
      <c r="AT70" s="21"/>
    </row>
    <row r="71" spans="2:46">
      <c r="C71" s="19"/>
      <c r="AE71" s="20"/>
      <c r="AF71" s="20"/>
      <c r="AQ71" s="20"/>
      <c r="AT71" s="21"/>
    </row>
    <row r="72" spans="2:46">
      <c r="C72" s="19"/>
      <c r="AE72" s="20"/>
      <c r="AF72" s="20"/>
      <c r="AQ72" s="20"/>
      <c r="AT72" s="21"/>
    </row>
    <row r="73" spans="2:46">
      <c r="C73" s="19"/>
      <c r="AE73" s="20"/>
      <c r="AF73" s="20"/>
      <c r="AQ73" s="20"/>
      <c r="AT73" s="21"/>
    </row>
    <row r="74" spans="2:46">
      <c r="C74" s="19"/>
      <c r="AE74" s="20"/>
      <c r="AF74" s="20"/>
      <c r="AQ74" s="20"/>
      <c r="AT74" s="21"/>
    </row>
    <row r="75" spans="2:46">
      <c r="C75" s="19"/>
      <c r="AE75" s="20"/>
      <c r="AF75" s="20"/>
      <c r="AQ75" s="20"/>
      <c r="AT75" s="21"/>
    </row>
    <row r="76" spans="2:46">
      <c r="C76" s="19"/>
      <c r="AE76" s="20"/>
      <c r="AF76" s="20"/>
      <c r="AQ76" s="20"/>
      <c r="AT76" s="21"/>
    </row>
    <row r="77" spans="2:46">
      <c r="C77" s="19"/>
      <c r="AE77" s="20"/>
      <c r="AF77" s="20"/>
      <c r="AQ77" s="20"/>
      <c r="AT77" s="21"/>
    </row>
    <row r="78" spans="2:46">
      <c r="C78" s="19"/>
      <c r="AE78" s="20"/>
      <c r="AF78" s="20"/>
      <c r="AQ78" s="20"/>
      <c r="AT78" s="21"/>
    </row>
    <row r="79" spans="2:46">
      <c r="C79" s="19"/>
      <c r="AE79" s="20"/>
      <c r="AF79" s="20"/>
      <c r="AQ79" s="20"/>
      <c r="AT79" s="21"/>
    </row>
    <row r="80" spans="2:46">
      <c r="C80" s="19"/>
      <c r="AE80" s="20"/>
      <c r="AF80" s="20"/>
      <c r="AQ80" s="20"/>
      <c r="AT80" s="21"/>
    </row>
    <row r="81" spans="3:46">
      <c r="C81" s="19"/>
      <c r="AE81" s="20"/>
      <c r="AF81" s="20"/>
      <c r="AQ81" s="20"/>
      <c r="AT81" s="21"/>
    </row>
    <row r="82" spans="3:46">
      <c r="C82" s="19"/>
      <c r="AE82" s="20"/>
      <c r="AF82" s="20"/>
      <c r="AQ82" s="20"/>
      <c r="AT82" s="21"/>
    </row>
    <row r="83" spans="3:46">
      <c r="C83" s="19"/>
      <c r="AE83" s="20"/>
      <c r="AF83" s="20"/>
      <c r="AQ83" s="20"/>
      <c r="AT83" s="21"/>
    </row>
    <row r="84" spans="3:46">
      <c r="C84" s="19"/>
      <c r="AE84" s="20"/>
      <c r="AF84" s="20"/>
      <c r="AQ84" s="20"/>
      <c r="AT84" s="21"/>
    </row>
    <row r="85" spans="3:46">
      <c r="C85" s="19"/>
      <c r="AE85" s="20"/>
      <c r="AF85" s="20"/>
      <c r="AQ85" s="20"/>
      <c r="AT85" s="21"/>
    </row>
    <row r="86" spans="3:46">
      <c r="C86" s="19"/>
      <c r="AE86" s="20"/>
      <c r="AF86" s="20"/>
      <c r="AQ86" s="20"/>
      <c r="AT86" s="21"/>
    </row>
    <row r="87" spans="3:46">
      <c r="C87" s="19"/>
      <c r="AE87" s="20"/>
      <c r="AF87" s="20"/>
      <c r="AQ87" s="20"/>
      <c r="AT87" s="21"/>
    </row>
    <row r="88" spans="3:46">
      <c r="C88" s="19"/>
      <c r="AE88" s="20"/>
      <c r="AF88" s="20"/>
      <c r="AQ88" s="20"/>
      <c r="AT88" s="21"/>
    </row>
    <row r="89" spans="3:46">
      <c r="C89" s="19"/>
      <c r="AE89" s="20"/>
      <c r="AF89" s="20"/>
      <c r="AQ89" s="20"/>
      <c r="AT89" s="21"/>
    </row>
    <row r="90" spans="3:46">
      <c r="C90" s="19"/>
      <c r="AE90" s="20"/>
      <c r="AF90" s="20"/>
      <c r="AQ90" s="20"/>
      <c r="AT90" s="21"/>
    </row>
    <row r="91" spans="3:46">
      <c r="C91" s="19"/>
      <c r="AE91" s="20"/>
      <c r="AF91" s="20"/>
      <c r="AQ91" s="20"/>
      <c r="AT91" s="21"/>
    </row>
    <row r="92" spans="3:46">
      <c r="C92" s="19"/>
      <c r="AE92" s="20"/>
      <c r="AF92" s="20"/>
      <c r="AQ92" s="20"/>
      <c r="AT92" s="21"/>
    </row>
    <row r="93" spans="3:46">
      <c r="C93" s="19"/>
      <c r="AE93" s="20"/>
      <c r="AF93" s="20"/>
      <c r="AQ93" s="20"/>
      <c r="AT93" s="21"/>
    </row>
    <row r="94" spans="3:46">
      <c r="C94" s="19"/>
      <c r="AE94" s="20"/>
      <c r="AF94" s="20"/>
      <c r="AQ94" s="20"/>
      <c r="AT94" s="21"/>
    </row>
    <row r="95" spans="3:46">
      <c r="C95" s="19"/>
      <c r="AE95" s="20"/>
      <c r="AF95" s="20"/>
      <c r="AQ95" s="20"/>
      <c r="AT95" s="21"/>
    </row>
    <row r="96" spans="3:46">
      <c r="C96" s="19"/>
      <c r="AE96" s="20"/>
      <c r="AF96" s="20"/>
      <c r="AQ96" s="20"/>
      <c r="AT96" s="21"/>
    </row>
    <row r="97" spans="3:46">
      <c r="C97" s="19"/>
      <c r="AE97" s="20"/>
      <c r="AF97" s="20"/>
      <c r="AQ97" s="20"/>
      <c r="AT97" s="21"/>
    </row>
    <row r="98" spans="3:46">
      <c r="C98" s="19"/>
      <c r="AE98" s="20"/>
      <c r="AF98" s="20"/>
      <c r="AQ98" s="20"/>
      <c r="AT98" s="21"/>
    </row>
    <row r="99" spans="3:46">
      <c r="C99" s="19"/>
      <c r="AE99" s="20"/>
      <c r="AF99" s="20"/>
      <c r="AQ99" s="20"/>
      <c r="AT99" s="21"/>
    </row>
    <row r="100" spans="3:46">
      <c r="C100" s="19"/>
      <c r="AE100" s="20"/>
      <c r="AF100" s="20"/>
      <c r="AQ100" s="20"/>
      <c r="AT100" s="21"/>
    </row>
    <row r="101" spans="3:46">
      <c r="C101" s="19"/>
      <c r="AE101" s="20"/>
      <c r="AF101" s="20"/>
      <c r="AQ101" s="20"/>
      <c r="AT101" s="21"/>
    </row>
    <row r="102" spans="3:46">
      <c r="C102" s="19"/>
      <c r="AE102" s="20"/>
      <c r="AF102" s="20"/>
      <c r="AQ102" s="20"/>
      <c r="AT102" s="21"/>
    </row>
    <row r="103" spans="3:46">
      <c r="C103" s="19"/>
      <c r="AE103" s="20"/>
      <c r="AF103" s="20"/>
      <c r="AQ103" s="20"/>
      <c r="AT103" s="21"/>
    </row>
    <row r="104" spans="3:46">
      <c r="C104" s="19"/>
      <c r="AE104" s="20"/>
      <c r="AF104" s="20"/>
      <c r="AQ104" s="20"/>
      <c r="AT104" s="21"/>
    </row>
    <row r="105" spans="3:46">
      <c r="C105" s="19"/>
      <c r="AE105" s="20"/>
      <c r="AF105" s="20"/>
      <c r="AQ105" s="20"/>
      <c r="AT105" s="21"/>
    </row>
    <row r="106" spans="3:46">
      <c r="C106" s="19"/>
      <c r="AE106" s="20"/>
      <c r="AF106" s="20"/>
      <c r="AQ106" s="20"/>
      <c r="AT106" s="21"/>
    </row>
    <row r="107" spans="3:46">
      <c r="C107" s="19"/>
      <c r="AE107" s="20"/>
      <c r="AF107" s="20"/>
      <c r="AQ107" s="20"/>
      <c r="AT107" s="21"/>
    </row>
    <row r="108" spans="3:46">
      <c r="C108" s="19"/>
      <c r="AE108" s="20"/>
      <c r="AF108" s="20"/>
      <c r="AQ108" s="20"/>
      <c r="AT108" s="21"/>
    </row>
    <row r="109" spans="3:46">
      <c r="C109" s="19"/>
      <c r="AE109" s="20"/>
      <c r="AF109" s="20"/>
      <c r="AQ109" s="20"/>
      <c r="AT109" s="21"/>
    </row>
    <row r="110" spans="3:46">
      <c r="C110" s="19"/>
      <c r="AE110" s="20"/>
      <c r="AF110" s="20"/>
      <c r="AQ110" s="20"/>
      <c r="AT110" s="21"/>
    </row>
    <row r="111" spans="3:46">
      <c r="C111" s="19"/>
      <c r="AE111" s="20"/>
      <c r="AF111" s="20"/>
      <c r="AQ111" s="20"/>
      <c r="AT111" s="21"/>
    </row>
    <row r="112" spans="3:46">
      <c r="C112" s="19"/>
      <c r="AE112" s="20"/>
      <c r="AF112" s="20"/>
      <c r="AQ112" s="20"/>
      <c r="AT112" s="21"/>
    </row>
    <row r="113" spans="3:46">
      <c r="C113" s="19"/>
      <c r="AE113" s="20"/>
      <c r="AF113" s="20"/>
      <c r="AQ113" s="20"/>
      <c r="AT113" s="21"/>
    </row>
    <row r="114" spans="3:46">
      <c r="C114" s="19"/>
      <c r="AE114" s="20"/>
      <c r="AF114" s="20"/>
      <c r="AQ114" s="20"/>
      <c r="AT114" s="21"/>
    </row>
    <row r="115" spans="3:46">
      <c r="C115" s="19"/>
      <c r="AE115" s="20"/>
      <c r="AF115" s="20"/>
      <c r="AQ115" s="20"/>
      <c r="AT115" s="21"/>
    </row>
    <row r="116" spans="3:46">
      <c r="C116" s="19"/>
      <c r="AE116" s="20"/>
      <c r="AF116" s="20"/>
      <c r="AQ116" s="20"/>
      <c r="AT116" s="21"/>
    </row>
    <row r="117" spans="3:46">
      <c r="C117" s="19"/>
      <c r="AE117" s="20"/>
      <c r="AF117" s="20"/>
      <c r="AQ117" s="20"/>
      <c r="AT117" s="21"/>
    </row>
    <row r="118" spans="3:46">
      <c r="C118" s="19"/>
      <c r="AE118" s="20"/>
      <c r="AF118" s="20"/>
      <c r="AQ118" s="20"/>
      <c r="AT118" s="21"/>
    </row>
    <row r="119" spans="3:46">
      <c r="C119" s="19"/>
      <c r="AE119" s="20"/>
      <c r="AF119" s="20"/>
      <c r="AQ119" s="20"/>
      <c r="AT119" s="21"/>
    </row>
    <row r="120" spans="3:46">
      <c r="C120" s="19"/>
      <c r="AE120" s="20"/>
      <c r="AF120" s="20"/>
      <c r="AQ120" s="20"/>
      <c r="AT120" s="21"/>
    </row>
    <row r="121" spans="3:46">
      <c r="C121" s="19"/>
      <c r="AE121" s="20"/>
      <c r="AF121" s="20"/>
      <c r="AQ121" s="20"/>
      <c r="AT121" s="21"/>
    </row>
    <row r="122" spans="3:46">
      <c r="C122" s="19"/>
      <c r="AE122" s="20"/>
      <c r="AF122" s="20"/>
      <c r="AQ122" s="20"/>
      <c r="AT122" s="21"/>
    </row>
    <row r="123" spans="3:46">
      <c r="C123" s="19"/>
      <c r="AE123" s="20"/>
      <c r="AF123" s="20"/>
      <c r="AQ123" s="20"/>
      <c r="AT123" s="21"/>
    </row>
    <row r="124" spans="3:46">
      <c r="C124" s="19"/>
      <c r="AE124" s="20"/>
      <c r="AF124" s="20"/>
      <c r="AQ124" s="20"/>
      <c r="AT124" s="21"/>
    </row>
    <row r="125" spans="3:46">
      <c r="C125" s="19"/>
      <c r="AE125" s="20"/>
      <c r="AF125" s="20"/>
      <c r="AQ125" s="20"/>
      <c r="AT125" s="21"/>
    </row>
    <row r="126" spans="3:46">
      <c r="C126" s="19"/>
      <c r="AE126" s="20"/>
      <c r="AF126" s="20"/>
      <c r="AQ126" s="20"/>
      <c r="AT126" s="21"/>
    </row>
    <row r="127" spans="3:46">
      <c r="C127" s="19"/>
      <c r="AE127" s="20"/>
      <c r="AF127" s="20"/>
      <c r="AQ127" s="20"/>
      <c r="AT127" s="21"/>
    </row>
    <row r="128" spans="3:46">
      <c r="C128" s="19"/>
      <c r="AE128" s="20"/>
      <c r="AF128" s="20"/>
      <c r="AQ128" s="20"/>
      <c r="AT128" s="21"/>
    </row>
    <row r="129" spans="3:46">
      <c r="C129" s="19"/>
      <c r="AE129" s="20"/>
      <c r="AF129" s="20"/>
      <c r="AQ129" s="20"/>
      <c r="AT129" s="21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34"/>
  <sheetViews>
    <sheetView workbookViewId="0">
      <pane ySplit="2" topLeftCell="A118" activePane="bottomLeft" state="frozen"/>
      <selection pane="bottomLeft" activeCell="E133" sqref="E133"/>
    </sheetView>
  </sheetViews>
  <sheetFormatPr defaultRowHeight="12.75"/>
  <cols>
    <col min="4" max="4" width="9.7109375" customWidth="1"/>
    <col min="6" max="6" width="10.7109375" customWidth="1"/>
    <col min="12" max="12" width="9.7109375" hidden="1" customWidth="1"/>
    <col min="17" max="19" width="8.85546875"/>
  </cols>
  <sheetData>
    <row r="1" spans="1:19">
      <c r="A1" t="s">
        <v>426</v>
      </c>
      <c r="B1" t="s">
        <v>427</v>
      </c>
      <c r="E1" s="27"/>
    </row>
    <row r="2" spans="1:19">
      <c r="A2" t="s">
        <v>428</v>
      </c>
      <c r="B2" t="s">
        <v>9</v>
      </c>
      <c r="C2" t="s">
        <v>11</v>
      </c>
      <c r="D2" s="22" t="s">
        <v>546</v>
      </c>
      <c r="E2" s="22" t="s">
        <v>95</v>
      </c>
      <c r="F2" t="s">
        <v>487</v>
      </c>
      <c r="G2" t="s">
        <v>488</v>
      </c>
      <c r="L2" s="22"/>
      <c r="M2" s="22"/>
    </row>
    <row r="3" spans="1:19">
      <c r="R3" s="9"/>
      <c r="S3" s="3"/>
    </row>
    <row r="4" spans="1:19">
      <c r="R4" s="9"/>
      <c r="S4" s="3"/>
    </row>
    <row r="5" spans="1:19">
      <c r="R5" s="9"/>
      <c r="S5" s="3"/>
    </row>
    <row r="6" spans="1:19">
      <c r="R6" s="9"/>
      <c r="S6" s="3"/>
    </row>
    <row r="7" spans="1:19">
      <c r="R7" s="9"/>
      <c r="S7" s="3"/>
    </row>
    <row r="8" spans="1:19">
      <c r="R8" s="9"/>
      <c r="S8" s="3"/>
    </row>
    <row r="9" spans="1:19">
      <c r="R9" s="9"/>
      <c r="S9" s="3"/>
    </row>
    <row r="10" spans="1:19">
      <c r="R10" s="9"/>
      <c r="S10" s="3"/>
    </row>
    <row r="11" spans="1:19">
      <c r="R11" s="9"/>
      <c r="S11" s="3"/>
    </row>
    <row r="12" spans="1:19">
      <c r="R12" s="9"/>
      <c r="S12" s="3"/>
    </row>
    <row r="13" spans="1:19">
      <c r="R13" s="9"/>
      <c r="S13" s="3"/>
    </row>
    <row r="14" spans="1:19">
      <c r="R14" s="9"/>
      <c r="S14" s="3"/>
    </row>
    <row r="15" spans="1:19">
      <c r="R15" s="9"/>
      <c r="S15" s="3"/>
    </row>
    <row r="16" spans="1:19">
      <c r="R16" s="9"/>
      <c r="S16" s="3"/>
    </row>
    <row r="17" spans="18:19">
      <c r="R17" s="9"/>
      <c r="S17" s="3"/>
    </row>
    <row r="18" spans="18:19">
      <c r="R18" s="9"/>
      <c r="S18" s="3"/>
    </row>
    <row r="19" spans="18:19">
      <c r="R19" s="9"/>
      <c r="S19" s="3"/>
    </row>
    <row r="20" spans="18:19">
      <c r="R20" s="9"/>
      <c r="S20" s="3"/>
    </row>
    <row r="21" spans="18:19">
      <c r="R21" s="9"/>
      <c r="S21" s="3"/>
    </row>
    <row r="22" spans="18:19">
      <c r="R22" s="9"/>
      <c r="S22" s="3"/>
    </row>
    <row r="23" spans="18:19">
      <c r="R23" s="9"/>
      <c r="S23" s="3"/>
    </row>
    <row r="24" spans="18:19">
      <c r="R24" s="9"/>
      <c r="S24" s="3"/>
    </row>
    <row r="25" spans="18:19">
      <c r="R25" s="9"/>
      <c r="S25" s="3"/>
    </row>
    <row r="26" spans="18:19">
      <c r="R26" s="9"/>
      <c r="S26" s="3"/>
    </row>
    <row r="27" spans="18:19">
      <c r="R27" s="9"/>
      <c r="S27" s="3"/>
    </row>
    <row r="28" spans="18:19">
      <c r="R28" s="9"/>
      <c r="S28" s="3"/>
    </row>
    <row r="29" spans="18:19">
      <c r="R29" s="9"/>
      <c r="S29" s="3"/>
    </row>
    <row r="30" spans="18:19">
      <c r="R30" s="9"/>
      <c r="S30" s="3"/>
    </row>
    <row r="31" spans="18:19">
      <c r="R31" s="9"/>
      <c r="S31" s="3"/>
    </row>
    <row r="32" spans="18:19">
      <c r="R32" s="9"/>
      <c r="S32" s="3"/>
    </row>
    <row r="33" spans="4:19">
      <c r="R33" s="9"/>
      <c r="S33" s="3"/>
    </row>
    <row r="34" spans="4:19">
      <c r="R34" s="9"/>
      <c r="S34" s="3"/>
    </row>
    <row r="35" spans="4:19">
      <c r="R35" s="9"/>
      <c r="S35" s="3"/>
    </row>
    <row r="36" spans="4:19">
      <c r="R36" s="9"/>
      <c r="S36" s="3"/>
    </row>
    <row r="37" spans="4:19">
      <c r="R37" s="9"/>
      <c r="S37" s="3"/>
    </row>
    <row r="38" spans="4:19">
      <c r="R38" s="9"/>
      <c r="S38" s="3"/>
    </row>
    <row r="39" spans="4:19">
      <c r="R39" s="9"/>
      <c r="S39" s="3"/>
    </row>
    <row r="40" spans="4:19">
      <c r="R40" s="9"/>
      <c r="S40" s="3"/>
    </row>
    <row r="41" spans="4:19">
      <c r="R41" s="9"/>
      <c r="S41" s="3"/>
    </row>
    <row r="42" spans="4:19">
      <c r="R42" s="9"/>
      <c r="S42" s="3"/>
    </row>
    <row r="43" spans="4:19">
      <c r="R43" s="9"/>
      <c r="S43" s="3"/>
    </row>
    <row r="44" spans="4:19">
      <c r="R44" s="9"/>
      <c r="S44" s="3"/>
    </row>
    <row r="45" spans="4:19">
      <c r="R45" s="9"/>
      <c r="S45" s="3"/>
    </row>
    <row r="46" spans="4:19">
      <c r="R46" s="9"/>
      <c r="S46" s="3"/>
    </row>
    <row r="47" spans="4:19">
      <c r="R47" s="9"/>
      <c r="S47" s="3"/>
    </row>
    <row r="48" spans="4:19">
      <c r="D48" s="22"/>
      <c r="R48" s="9"/>
      <c r="S48" s="3"/>
    </row>
    <row r="49" spans="4:19">
      <c r="D49" s="22"/>
      <c r="E49" s="22"/>
      <c r="R49" s="9"/>
      <c r="S49" s="3"/>
    </row>
    <row r="50" spans="4:19">
      <c r="R50" s="9"/>
      <c r="S50" s="3"/>
    </row>
    <row r="51" spans="4:19">
      <c r="R51" s="9"/>
      <c r="S51" s="3"/>
    </row>
    <row r="52" spans="4:19">
      <c r="R52" s="9"/>
      <c r="S52" s="3"/>
    </row>
    <row r="53" spans="4:19">
      <c r="R53" s="9"/>
      <c r="S53" s="3"/>
    </row>
    <row r="54" spans="4:19">
      <c r="R54" s="9"/>
      <c r="S54" s="3"/>
    </row>
    <row r="55" spans="4:19">
      <c r="R55" s="9"/>
      <c r="S55" s="3"/>
    </row>
    <row r="56" spans="4:19">
      <c r="R56" s="9"/>
      <c r="S56" s="3"/>
    </row>
    <row r="57" spans="4:19">
      <c r="R57" s="9"/>
      <c r="S57" s="3"/>
    </row>
    <row r="58" spans="4:19">
      <c r="R58" s="9"/>
      <c r="S58" s="3"/>
    </row>
    <row r="59" spans="4:19">
      <c r="R59" s="9"/>
      <c r="S59" s="3"/>
    </row>
    <row r="60" spans="4:19">
      <c r="R60" s="9"/>
      <c r="S60" s="3"/>
    </row>
    <row r="61" spans="4:19">
      <c r="R61" s="9"/>
      <c r="S61" s="3"/>
    </row>
    <row r="62" spans="4:19">
      <c r="R62" s="9"/>
      <c r="S62" s="3"/>
    </row>
    <row r="63" spans="4:19">
      <c r="R63" s="9"/>
      <c r="S63" s="3"/>
    </row>
    <row r="64" spans="4:19">
      <c r="R64" s="9"/>
      <c r="S64" s="3"/>
    </row>
    <row r="65" spans="18:19">
      <c r="R65" s="9"/>
      <c r="S65" s="3"/>
    </row>
    <row r="66" spans="18:19">
      <c r="R66" s="9"/>
      <c r="S66" s="3"/>
    </row>
    <row r="67" spans="18:19">
      <c r="R67" s="9"/>
      <c r="S67" s="3"/>
    </row>
    <row r="68" spans="18:19">
      <c r="R68" s="9"/>
      <c r="S68" s="3"/>
    </row>
    <row r="69" spans="18:19">
      <c r="R69" s="9"/>
      <c r="S69" s="3"/>
    </row>
    <row r="70" spans="18:19">
      <c r="R70" s="9"/>
      <c r="S70" s="3"/>
    </row>
    <row r="71" spans="18:19">
      <c r="R71" s="9"/>
      <c r="S71" s="3"/>
    </row>
    <row r="72" spans="18:19">
      <c r="R72" s="9"/>
      <c r="S72" s="3"/>
    </row>
    <row r="73" spans="18:19">
      <c r="R73" s="9"/>
      <c r="S73" s="3"/>
    </row>
    <row r="74" spans="18:19">
      <c r="R74" s="9"/>
      <c r="S74" s="3"/>
    </row>
    <row r="75" spans="18:19">
      <c r="R75" s="9"/>
      <c r="S75" s="3"/>
    </row>
    <row r="76" spans="18:19">
      <c r="R76" s="9"/>
      <c r="S76" s="3"/>
    </row>
    <row r="77" spans="18:19">
      <c r="R77" s="9"/>
      <c r="S77" s="3"/>
    </row>
    <row r="78" spans="18:19">
      <c r="R78" s="9"/>
      <c r="S78" s="3"/>
    </row>
    <row r="79" spans="18:19">
      <c r="R79" s="9"/>
      <c r="S79" s="3"/>
    </row>
    <row r="80" spans="18:19">
      <c r="R80" s="9"/>
      <c r="S80" s="3"/>
    </row>
    <row r="81" spans="2:19">
      <c r="R81" s="9"/>
      <c r="S81" s="3"/>
    </row>
    <row r="82" spans="2:19">
      <c r="E82" s="22"/>
      <c r="R82" s="9"/>
      <c r="S82" s="3"/>
    </row>
    <row r="87" spans="2:19">
      <c r="B87" s="22"/>
      <c r="D87" s="22"/>
      <c r="E87" s="22"/>
    </row>
    <row r="88" spans="2:19">
      <c r="B88" s="22"/>
      <c r="D88" s="22"/>
      <c r="E88" s="22"/>
    </row>
    <row r="95" spans="2:19">
      <c r="R95" s="9"/>
      <c r="S95" s="3"/>
    </row>
    <row r="96" spans="2:19">
      <c r="R96" s="9"/>
      <c r="S96" s="3"/>
    </row>
    <row r="97" spans="18:19">
      <c r="R97" s="9"/>
      <c r="S97" s="3"/>
    </row>
    <row r="98" spans="18:19">
      <c r="R98" s="9"/>
      <c r="S98" s="3"/>
    </row>
    <row r="99" spans="18:19">
      <c r="R99" s="22"/>
      <c r="S99" s="51"/>
    </row>
    <row r="100" spans="18:19">
      <c r="R100" s="9"/>
      <c r="S100" s="3"/>
    </row>
    <row r="101" spans="18:19">
      <c r="R101" s="9"/>
      <c r="S101" s="3"/>
    </row>
    <row r="102" spans="18:19">
      <c r="R102" s="9"/>
      <c r="S102" s="3"/>
    </row>
    <row r="103" spans="18:19">
      <c r="R103" s="9"/>
      <c r="S103" s="3"/>
    </row>
    <row r="104" spans="18:19">
      <c r="R104" s="9"/>
      <c r="S104" s="3"/>
    </row>
    <row r="105" spans="18:19">
      <c r="R105" s="9"/>
      <c r="S105" s="3"/>
    </row>
    <row r="106" spans="18:19">
      <c r="R106" s="9"/>
      <c r="S106" s="3"/>
    </row>
    <row r="125" spans="18:19">
      <c r="R125" s="9"/>
      <c r="S125" s="51"/>
    </row>
    <row r="126" spans="18:19">
      <c r="R126" s="9"/>
      <c r="S126" s="51"/>
    </row>
    <row r="127" spans="18:19">
      <c r="R127" s="9"/>
      <c r="S127" s="51"/>
    </row>
    <row r="128" spans="18:19">
      <c r="R128" s="9"/>
      <c r="S128" s="51"/>
    </row>
    <row r="129" spans="4:19">
      <c r="D129" s="22"/>
      <c r="R129" s="9"/>
      <c r="S129" s="51"/>
    </row>
    <row r="130" spans="4:19">
      <c r="D130" s="22"/>
      <c r="E130" s="22"/>
      <c r="R130" s="9"/>
      <c r="S130" s="51"/>
    </row>
    <row r="131" spans="4:19">
      <c r="D131" s="22"/>
      <c r="E131" s="22"/>
      <c r="R131" s="9"/>
      <c r="S131" s="51"/>
    </row>
    <row r="132" spans="4:19">
      <c r="R132" s="9"/>
      <c r="S132" s="51"/>
    </row>
    <row r="133" spans="4:19">
      <c r="R133" s="9"/>
      <c r="S133" s="51"/>
    </row>
    <row r="134" spans="4:19">
      <c r="E134" s="22"/>
    </row>
  </sheetData>
  <sortState xmlns:xlrd2="http://schemas.microsoft.com/office/spreadsheetml/2017/richdata2" ref="Q3:S76">
    <sortCondition ref="Q3:Q76"/>
    <sortCondition ref="S3:S7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6"/>
  <sheetViews>
    <sheetView workbookViewId="0">
      <pane ySplit="2" topLeftCell="A109" activePane="bottomLeft" state="frozen"/>
      <selection pane="bottomLeft" activeCell="H119" sqref="H119"/>
    </sheetView>
  </sheetViews>
  <sheetFormatPr defaultRowHeight="12.75"/>
  <cols>
    <col min="10" max="10" width="11.28515625" customWidth="1"/>
  </cols>
  <sheetData>
    <row r="1" spans="1:11">
      <c r="A1" t="s">
        <v>426</v>
      </c>
      <c r="B1" t="s">
        <v>427</v>
      </c>
      <c r="C1" t="s">
        <v>547</v>
      </c>
      <c r="I1" s="27"/>
    </row>
    <row r="2" spans="1:11">
      <c r="A2" t="s">
        <v>428</v>
      </c>
      <c r="B2" t="s">
        <v>9</v>
      </c>
      <c r="C2" t="s">
        <v>11</v>
      </c>
      <c r="D2" t="s">
        <v>548</v>
      </c>
      <c r="E2" t="s">
        <v>549</v>
      </c>
      <c r="F2" t="s">
        <v>550</v>
      </c>
      <c r="G2" t="s">
        <v>551</v>
      </c>
      <c r="H2" t="s">
        <v>14</v>
      </c>
      <c r="I2" t="s">
        <v>98</v>
      </c>
      <c r="J2" t="s">
        <v>487</v>
      </c>
      <c r="K2" t="s">
        <v>488</v>
      </c>
    </row>
    <row r="84" spans="8:8" s="27" customFormat="1"/>
    <row r="85" spans="8:8">
      <c r="H85" s="22"/>
    </row>
    <row r="86" spans="8:8" s="27" customFormat="1"/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6"/>
  <sheetViews>
    <sheetView workbookViewId="0">
      <selection activeCell="I18" sqref="I18"/>
    </sheetView>
  </sheetViews>
  <sheetFormatPr defaultRowHeight="12.75"/>
  <cols>
    <col min="9" max="9" width="10.5703125" customWidth="1"/>
  </cols>
  <sheetData>
    <row r="1" spans="1:10">
      <c r="A1" t="s">
        <v>549</v>
      </c>
      <c r="B1" t="s">
        <v>548</v>
      </c>
      <c r="C1" t="s">
        <v>11</v>
      </c>
      <c r="D1" t="s">
        <v>552</v>
      </c>
      <c r="E1" t="s">
        <v>553</v>
      </c>
      <c r="F1" t="s">
        <v>554</v>
      </c>
      <c r="G1" t="s">
        <v>555</v>
      </c>
      <c r="H1" t="s">
        <v>556</v>
      </c>
      <c r="I1" t="s">
        <v>557</v>
      </c>
      <c r="J1" t="s">
        <v>558</v>
      </c>
    </row>
    <row r="2" spans="1:10">
      <c r="I2" s="26"/>
    </row>
    <row r="3" spans="1:10">
      <c r="I3" s="26"/>
    </row>
    <row r="4" spans="1:10">
      <c r="I4" s="26"/>
    </row>
    <row r="5" spans="1:10">
      <c r="I5" s="26"/>
    </row>
    <row r="6" spans="1:10">
      <c r="I6" s="26"/>
    </row>
    <row r="7" spans="1:10">
      <c r="I7" s="26"/>
    </row>
    <row r="8" spans="1:10">
      <c r="I8" s="26"/>
    </row>
    <row r="9" spans="1:10">
      <c r="I9" s="26"/>
    </row>
    <row r="10" spans="1:10">
      <c r="I10" s="26"/>
    </row>
    <row r="11" spans="1:10">
      <c r="I11" s="26"/>
      <c r="J11" s="27"/>
    </row>
    <row r="12" spans="1:10">
      <c r="I12" s="26"/>
      <c r="J12" s="27"/>
    </row>
    <row r="13" spans="1:10">
      <c r="I13" s="26"/>
    </row>
    <row r="14" spans="1:10">
      <c r="I14" s="26"/>
    </row>
    <row r="15" spans="1:10">
      <c r="I15" s="26"/>
    </row>
    <row r="16" spans="1:10">
      <c r="I16" s="26"/>
    </row>
  </sheetData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8CD1DE87728B4A91AC01A490840121" ma:contentTypeVersion="14" ma:contentTypeDescription="Create a new document." ma:contentTypeScope="" ma:versionID="0286a0c1720992b0cd926edcb110b1cc">
  <xsd:schema xmlns:xsd="http://www.w3.org/2001/XMLSchema" xmlns:xs="http://www.w3.org/2001/XMLSchema" xmlns:p="http://schemas.microsoft.com/office/2006/metadata/properties" xmlns:ns2="f6f6290a-188c-431b-bc1b-08909b9edd3c" xmlns:ns3="c4dec4b6-adc0-4ae7-a610-9837ec16b1be" targetNamespace="http://schemas.microsoft.com/office/2006/metadata/properties" ma:root="true" ma:fieldsID="7fcb779e9d849f44277e6e1dd1ee1357" ns2:_="" ns3:_="">
    <xsd:import namespace="f6f6290a-188c-431b-bc1b-08909b9edd3c"/>
    <xsd:import namespace="c4dec4b6-adc0-4ae7-a610-9837ec16b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6290a-188c-431b-bc1b-08909b9ed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b434354-605c-4a24-9fd5-b21458dd1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c4b6-adc0-4ae7-a610-9837ec16b1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e82eeb-41bc-476c-9695-595138dfca12}" ma:internalName="TaxCatchAll" ma:showField="CatchAllData" ma:web="c4dec4b6-adc0-4ae7-a610-9837ec16b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c4b6-adc0-4ae7-a610-9837ec16b1be" xsi:nil="true"/>
    <lcf76f155ced4ddcb4097134ff3c332f xmlns="f6f6290a-188c-431b-bc1b-08909b9edd3c">
      <Terms xmlns="http://schemas.microsoft.com/office/infopath/2007/PartnerControls"/>
    </lcf76f155ced4ddcb4097134ff3c332f>
    <Date xmlns="f6f6290a-188c-431b-bc1b-08909b9edd3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ACD63E-77B7-406A-8A57-DE572B6609EF}"/>
</file>

<file path=customXml/itemProps2.xml><?xml version="1.0" encoding="utf-8"?>
<ds:datastoreItem xmlns:ds="http://schemas.openxmlformats.org/officeDocument/2006/customXml" ds:itemID="{36AA0D5F-E856-4604-829B-1FC0AD2C5894}"/>
</file>

<file path=customXml/itemProps3.xml><?xml version="1.0" encoding="utf-8"?>
<ds:datastoreItem xmlns:ds="http://schemas.openxmlformats.org/officeDocument/2006/customXml" ds:itemID="{453341AF-DC7A-4953-B98E-BD6D8BE0C1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MSU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Wendy Klooster</dc:creator>
  <cp:keywords/>
  <dc:description/>
  <cp:lastModifiedBy>Tayal, Aaron</cp:lastModifiedBy>
  <cp:revision/>
  <dcterms:created xsi:type="dcterms:W3CDTF">2009-07-21T12:27:29Z</dcterms:created>
  <dcterms:modified xsi:type="dcterms:W3CDTF">2024-09-20T20:32:49Z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0x010100838CD1DE87728B4A91AC01A490840121</vt:lpwstr>
  </property>
</Properties>
</file>