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2f02f1096a9313f/Documents/Entomology MS/Thesis research/EAB_Michigan_2024_2025_github_folder/2011_data/"/>
    </mc:Choice>
  </mc:AlternateContent>
  <xr:revisionPtr revIDLastSave="2" documentId="11_D53B4EAA44B492CC0C46A2486F2505CA2204E38E" xr6:coauthVersionLast="47" xr6:coauthVersionMax="47" xr10:uidLastSave="{F0CC263A-3BBB-47ED-B2AD-220B9F6FFF01}"/>
  <bookViews>
    <workbookView xWindow="-110" yWindow="-110" windowWidth="19420" windowHeight="10420" firstSheet="3" activeTab="4" xr2:uid="{00000000-000D-0000-FFFF-FFFF00000000}"/>
  </bookViews>
  <sheets>
    <sheet name="quads.all" sheetId="7" r:id="rId1"/>
    <sheet name="pics" sheetId="5" r:id="rId2"/>
    <sheet name="FIA" sheetId="15" r:id="rId3"/>
    <sheet name="tall-skinny" sheetId="8" r:id="rId4"/>
    <sheet name="ash saplings" sheetId="6" r:id="rId5"/>
    <sheet name="nat&amp;inv" sheetId="2" r:id="rId6"/>
    <sheet name="Sheet1" sheetId="1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8" l="1"/>
  <c r="J52" i="8"/>
  <c r="H55" i="8"/>
  <c r="J55" i="8" s="1"/>
  <c r="G54" i="8"/>
  <c r="J54" i="8" s="1"/>
  <c r="F53" i="8"/>
  <c r="J53" i="8" s="1"/>
  <c r="AF51" i="7"/>
  <c r="AG51" i="7"/>
  <c r="AF52" i="7"/>
  <c r="AG52" i="7"/>
  <c r="AD51" i="7"/>
  <c r="AD52" i="7"/>
  <c r="AK52" i="7"/>
  <c r="AI52" i="7"/>
  <c r="AH52" i="7"/>
  <c r="AK51" i="7"/>
  <c r="AI51" i="7"/>
  <c r="AH51" i="7"/>
  <c r="X51" i="7"/>
  <c r="X52" i="7"/>
  <c r="R51" i="7"/>
  <c r="R52" i="7"/>
  <c r="L51" i="7"/>
  <c r="L52" i="7"/>
  <c r="J49" i="8"/>
  <c r="I50" i="8"/>
  <c r="H50" i="8"/>
  <c r="G50" i="8"/>
  <c r="F50" i="8"/>
  <c r="AI48" i="7"/>
  <c r="AI49" i="7"/>
  <c r="AI50" i="7"/>
  <c r="AF49" i="7"/>
  <c r="AG49" i="7"/>
  <c r="AF50" i="7"/>
  <c r="AG50" i="7"/>
  <c r="AK50" i="7"/>
  <c r="AK49" i="7"/>
  <c r="AK48" i="7"/>
  <c r="AD50" i="7"/>
  <c r="AD48" i="7"/>
  <c r="AD49" i="7"/>
  <c r="AH50" i="7"/>
  <c r="AH49" i="7"/>
  <c r="AH48" i="7"/>
  <c r="AG48" i="7"/>
  <c r="AF48" i="7"/>
  <c r="X48" i="7"/>
  <c r="X49" i="7"/>
  <c r="X50" i="7"/>
  <c r="R48" i="7"/>
  <c r="R49" i="7"/>
  <c r="R50" i="7"/>
  <c r="L48" i="7"/>
  <c r="L49" i="7"/>
  <c r="L50" i="7"/>
  <c r="G48" i="8"/>
  <c r="J48" i="8" s="1"/>
  <c r="G47" i="8"/>
  <c r="J47" i="8" s="1"/>
  <c r="AK47" i="7"/>
  <c r="AD47" i="7"/>
  <c r="AI47" i="7"/>
  <c r="AH47" i="7"/>
  <c r="AG47" i="7"/>
  <c r="AF47" i="7"/>
  <c r="X47" i="7"/>
  <c r="R47" i="7"/>
  <c r="L47" i="7"/>
  <c r="J26" i="8"/>
  <c r="J27" i="8"/>
  <c r="J28" i="8"/>
  <c r="J29" i="8"/>
  <c r="J30" i="8"/>
  <c r="I32" i="8"/>
  <c r="I31" i="8"/>
  <c r="H34" i="8"/>
  <c r="H32" i="8"/>
  <c r="G34" i="8"/>
  <c r="J34" i="8" s="1"/>
  <c r="G33" i="8"/>
  <c r="J33" i="8" s="1"/>
  <c r="G32" i="8"/>
  <c r="F32" i="8"/>
  <c r="F31" i="8"/>
  <c r="J31" i="8" s="1"/>
  <c r="AK29" i="7"/>
  <c r="AK30" i="7"/>
  <c r="AK31" i="7"/>
  <c r="AK32" i="7"/>
  <c r="AK33" i="7"/>
  <c r="AK34" i="7"/>
  <c r="AI30" i="7"/>
  <c r="AI31" i="7"/>
  <c r="AI32" i="7"/>
  <c r="AI33" i="7"/>
  <c r="AI34" i="7"/>
  <c r="AF27" i="7"/>
  <c r="AG27" i="7"/>
  <c r="AF28" i="7"/>
  <c r="AG28" i="7"/>
  <c r="AF29" i="7"/>
  <c r="AG29" i="7"/>
  <c r="AF30" i="7"/>
  <c r="AG30" i="7"/>
  <c r="AF31" i="7"/>
  <c r="AG31" i="7"/>
  <c r="AF32" i="7"/>
  <c r="AG32" i="7"/>
  <c r="AF33" i="7"/>
  <c r="AG33" i="7"/>
  <c r="AF34" i="7"/>
  <c r="AG34" i="7"/>
  <c r="AK28" i="7"/>
  <c r="AK27" i="7"/>
  <c r="AD27" i="7"/>
  <c r="AD28" i="7"/>
  <c r="AD29" i="7"/>
  <c r="AD30" i="7"/>
  <c r="AD31" i="7"/>
  <c r="AD32" i="7"/>
  <c r="AD33" i="7"/>
  <c r="AD34" i="7"/>
  <c r="AI29" i="7"/>
  <c r="AI28" i="7"/>
  <c r="AI27" i="7"/>
  <c r="AH34" i="7"/>
  <c r="AH33" i="7"/>
  <c r="AH32" i="7"/>
  <c r="AH31" i="7"/>
  <c r="AH30" i="7"/>
  <c r="AH29" i="7"/>
  <c r="AH28" i="7"/>
  <c r="AH27" i="7"/>
  <c r="X27" i="7"/>
  <c r="X28" i="7"/>
  <c r="X29" i="7"/>
  <c r="X30" i="7"/>
  <c r="X31" i="7"/>
  <c r="X32" i="7"/>
  <c r="X33" i="7"/>
  <c r="X34" i="7"/>
  <c r="R27" i="7"/>
  <c r="R28" i="7"/>
  <c r="R29" i="7"/>
  <c r="R30" i="7"/>
  <c r="R31" i="7"/>
  <c r="R32" i="7"/>
  <c r="R33" i="7"/>
  <c r="R34" i="7"/>
  <c r="L27" i="7"/>
  <c r="L28" i="7"/>
  <c r="L29" i="7"/>
  <c r="L30" i="7"/>
  <c r="L31" i="7"/>
  <c r="L32" i="7"/>
  <c r="L33" i="7"/>
  <c r="L34" i="7"/>
  <c r="J20" i="8"/>
  <c r="J21" i="8"/>
  <c r="J22" i="8"/>
  <c r="J23" i="8"/>
  <c r="I24" i="8"/>
  <c r="H25" i="8"/>
  <c r="J25" i="8" s="1"/>
  <c r="H24" i="8"/>
  <c r="G24" i="8"/>
  <c r="F24" i="8"/>
  <c r="AF24" i="7"/>
  <c r="AG24" i="7"/>
  <c r="AF25" i="7"/>
  <c r="AG25" i="7"/>
  <c r="AF26" i="7"/>
  <c r="AG26" i="7"/>
  <c r="AK26" i="7"/>
  <c r="AK25" i="7"/>
  <c r="AK24" i="7"/>
  <c r="AD24" i="7"/>
  <c r="AD25" i="7"/>
  <c r="AD26" i="7"/>
  <c r="AI26" i="7"/>
  <c r="AI25" i="7"/>
  <c r="AI24" i="7"/>
  <c r="AH26" i="7"/>
  <c r="AH25" i="7"/>
  <c r="AH24" i="7"/>
  <c r="X24" i="7"/>
  <c r="X25" i="7"/>
  <c r="X26" i="7"/>
  <c r="R24" i="7"/>
  <c r="R25" i="7"/>
  <c r="R26" i="7"/>
  <c r="L24" i="7"/>
  <c r="L25" i="7"/>
  <c r="L26" i="7"/>
  <c r="J14" i="8"/>
  <c r="J15" i="8"/>
  <c r="J16" i="8"/>
  <c r="I19" i="8"/>
  <c r="J19" i="8" s="1"/>
  <c r="I17" i="8"/>
  <c r="H18" i="8"/>
  <c r="J18" i="8" s="1"/>
  <c r="H17" i="8"/>
  <c r="J17" i="8" s="1"/>
  <c r="AK19" i="7"/>
  <c r="AK20" i="7"/>
  <c r="AK21" i="7"/>
  <c r="AK22" i="7"/>
  <c r="AK23" i="7"/>
  <c r="AI16" i="7"/>
  <c r="AI17" i="7"/>
  <c r="AI18" i="7"/>
  <c r="AI19" i="7"/>
  <c r="AI20" i="7"/>
  <c r="AI21" i="7"/>
  <c r="AI22" i="7"/>
  <c r="AI23" i="7"/>
  <c r="AH19" i="7"/>
  <c r="AH20" i="7"/>
  <c r="AH21" i="7"/>
  <c r="AH22" i="7"/>
  <c r="AH23" i="7"/>
  <c r="AF16" i="7"/>
  <c r="AG16" i="7"/>
  <c r="AF17" i="7"/>
  <c r="AG17" i="7"/>
  <c r="AF18" i="7"/>
  <c r="AG18" i="7"/>
  <c r="AF19" i="7"/>
  <c r="AG19" i="7"/>
  <c r="AF20" i="7"/>
  <c r="AJ20" i="7" s="1"/>
  <c r="AG20" i="7"/>
  <c r="AF21" i="7"/>
  <c r="AG21" i="7"/>
  <c r="AF22" i="7"/>
  <c r="AG22" i="7"/>
  <c r="AF23" i="7"/>
  <c r="AJ23" i="7" s="1"/>
  <c r="AG23" i="7"/>
  <c r="AK18" i="7"/>
  <c r="AK17" i="7"/>
  <c r="AK16" i="7"/>
  <c r="AD16" i="7"/>
  <c r="AD17" i="7"/>
  <c r="AD18" i="7"/>
  <c r="AD19" i="7"/>
  <c r="AD20" i="7"/>
  <c r="AD21" i="7"/>
  <c r="AD22" i="7"/>
  <c r="AD23" i="7"/>
  <c r="AH18" i="7"/>
  <c r="AH17" i="7"/>
  <c r="AH16" i="7"/>
  <c r="X16" i="7"/>
  <c r="X17" i="7"/>
  <c r="X18" i="7"/>
  <c r="X19" i="7"/>
  <c r="X20" i="7"/>
  <c r="X21" i="7"/>
  <c r="X22" i="7"/>
  <c r="X23" i="7"/>
  <c r="R16" i="7"/>
  <c r="R17" i="7"/>
  <c r="R18" i="7"/>
  <c r="R19" i="7"/>
  <c r="R20" i="7"/>
  <c r="R21" i="7"/>
  <c r="R22" i="7"/>
  <c r="R23" i="7"/>
  <c r="L16" i="7"/>
  <c r="L17" i="7"/>
  <c r="L18" i="7"/>
  <c r="L19" i="7"/>
  <c r="L20" i="7"/>
  <c r="L21" i="7"/>
  <c r="L22" i="7"/>
  <c r="L23" i="7"/>
  <c r="I89" i="8"/>
  <c r="I88" i="8"/>
  <c r="J87" i="8"/>
  <c r="J86" i="8"/>
  <c r="J85" i="8"/>
  <c r="H89" i="8"/>
  <c r="H88" i="8"/>
  <c r="G89" i="8"/>
  <c r="F89" i="8"/>
  <c r="J89" i="8" s="1"/>
  <c r="F88" i="8"/>
  <c r="J88" i="8" s="1"/>
  <c r="AI86" i="7"/>
  <c r="AI87" i="7"/>
  <c r="AI88" i="7"/>
  <c r="AI89" i="7"/>
  <c r="AI90" i="7"/>
  <c r="AI91" i="7"/>
  <c r="AI92" i="7"/>
  <c r="AI93" i="7"/>
  <c r="AI94" i="7"/>
  <c r="AI95" i="7"/>
  <c r="AF86" i="7"/>
  <c r="AG86" i="7"/>
  <c r="AF87" i="7"/>
  <c r="AG87" i="7"/>
  <c r="AF88" i="7"/>
  <c r="AG88" i="7"/>
  <c r="AF89" i="7"/>
  <c r="AG89" i="7"/>
  <c r="AF90" i="7"/>
  <c r="AG90" i="7"/>
  <c r="AF91" i="7"/>
  <c r="AG91" i="7"/>
  <c r="AF92" i="7"/>
  <c r="AG92" i="7"/>
  <c r="AF93" i="7"/>
  <c r="AG93" i="7"/>
  <c r="AF94" i="7"/>
  <c r="AG94" i="7"/>
  <c r="AF95" i="7"/>
  <c r="AG95" i="7"/>
  <c r="AK95" i="7"/>
  <c r="AK94" i="7"/>
  <c r="AK93" i="7"/>
  <c r="AK92" i="7"/>
  <c r="AK91" i="7"/>
  <c r="AK90" i="7"/>
  <c r="AK89" i="7"/>
  <c r="AK88" i="7"/>
  <c r="AK87" i="7"/>
  <c r="AK86" i="7"/>
  <c r="AD86" i="7"/>
  <c r="AD87" i="7"/>
  <c r="AD88" i="7"/>
  <c r="AD89" i="7"/>
  <c r="AD90" i="7"/>
  <c r="AD91" i="7"/>
  <c r="AD92" i="7"/>
  <c r="AD93" i="7"/>
  <c r="AD94" i="7"/>
  <c r="AD95" i="7"/>
  <c r="AH95" i="7"/>
  <c r="AH94" i="7"/>
  <c r="AH93" i="7"/>
  <c r="AH92" i="7"/>
  <c r="AH91" i="7"/>
  <c r="AH90" i="7"/>
  <c r="AH89" i="7"/>
  <c r="AH88" i="7"/>
  <c r="AH87" i="7"/>
  <c r="AH86" i="7"/>
  <c r="X86" i="7"/>
  <c r="X87" i="7"/>
  <c r="X88" i="7"/>
  <c r="X89" i="7"/>
  <c r="X90" i="7"/>
  <c r="X91" i="7"/>
  <c r="X92" i="7"/>
  <c r="X93" i="7"/>
  <c r="X94" i="7"/>
  <c r="X95" i="7"/>
  <c r="R86" i="7"/>
  <c r="R87" i="7"/>
  <c r="R88" i="7"/>
  <c r="R89" i="7"/>
  <c r="R90" i="7"/>
  <c r="R91" i="7"/>
  <c r="R92" i="7"/>
  <c r="R93" i="7"/>
  <c r="R94" i="7"/>
  <c r="R95" i="7"/>
  <c r="L86" i="7"/>
  <c r="L87" i="7"/>
  <c r="L88" i="7"/>
  <c r="L89" i="7"/>
  <c r="L90" i="7"/>
  <c r="L91" i="7"/>
  <c r="L92" i="7"/>
  <c r="L93" i="7"/>
  <c r="L94" i="7"/>
  <c r="L95" i="7"/>
  <c r="J81" i="8"/>
  <c r="J82" i="8"/>
  <c r="J83" i="8"/>
  <c r="J84" i="8"/>
  <c r="AF82" i="7"/>
  <c r="AG82" i="7"/>
  <c r="AF83" i="7"/>
  <c r="AG83" i="7"/>
  <c r="AF84" i="7"/>
  <c r="AG84" i="7"/>
  <c r="AF85" i="7"/>
  <c r="AG85" i="7"/>
  <c r="AK85" i="7"/>
  <c r="AK84" i="7"/>
  <c r="AK83" i="7"/>
  <c r="AK82" i="7"/>
  <c r="AD82" i="7"/>
  <c r="AD83" i="7"/>
  <c r="AD84" i="7"/>
  <c r="AD85" i="7"/>
  <c r="AI85" i="7"/>
  <c r="AI84" i="7"/>
  <c r="AI83" i="7"/>
  <c r="AI82" i="7"/>
  <c r="AH85" i="7"/>
  <c r="AH84" i="7"/>
  <c r="AH83" i="7"/>
  <c r="AH82" i="7"/>
  <c r="X82" i="7"/>
  <c r="X83" i="7"/>
  <c r="X84" i="7"/>
  <c r="X85" i="7"/>
  <c r="R82" i="7"/>
  <c r="R83" i="7"/>
  <c r="R84" i="7"/>
  <c r="R85" i="7"/>
  <c r="L82" i="7"/>
  <c r="L83" i="7"/>
  <c r="L84" i="7"/>
  <c r="L85" i="7"/>
  <c r="J75" i="8"/>
  <c r="J76" i="8"/>
  <c r="J77" i="8"/>
  <c r="J78" i="8"/>
  <c r="F80" i="8"/>
  <c r="J80" i="8" s="1"/>
  <c r="F79" i="8"/>
  <c r="J79" i="8" s="1"/>
  <c r="AF79" i="7"/>
  <c r="AG79" i="7"/>
  <c r="AF80" i="7"/>
  <c r="AG80" i="7"/>
  <c r="AF81" i="7"/>
  <c r="AG81" i="7"/>
  <c r="AK81" i="7"/>
  <c r="AK80" i="7"/>
  <c r="AK79" i="7"/>
  <c r="AK78" i="7"/>
  <c r="AD79" i="7"/>
  <c r="AD80" i="7"/>
  <c r="AD81" i="7"/>
  <c r="AI81" i="7"/>
  <c r="AI80" i="7"/>
  <c r="AI79" i="7"/>
  <c r="AD78" i="7"/>
  <c r="AI78" i="7"/>
  <c r="AH81" i="7"/>
  <c r="AH80" i="7"/>
  <c r="AH79" i="7"/>
  <c r="AH78" i="7"/>
  <c r="AG78" i="7"/>
  <c r="AF78" i="7"/>
  <c r="X78" i="7"/>
  <c r="X79" i="7"/>
  <c r="X80" i="7"/>
  <c r="X81" i="7"/>
  <c r="R78" i="7"/>
  <c r="R79" i="7"/>
  <c r="R80" i="7"/>
  <c r="R81" i="7"/>
  <c r="L78" i="7"/>
  <c r="L79" i="7"/>
  <c r="L80" i="7"/>
  <c r="L81" i="7"/>
  <c r="J73" i="8"/>
  <c r="H74" i="8"/>
  <c r="J74" i="8" s="1"/>
  <c r="AI73" i="7"/>
  <c r="AI74" i="7"/>
  <c r="AI75" i="7"/>
  <c r="AI76" i="7"/>
  <c r="AI77" i="7"/>
  <c r="AF74" i="7"/>
  <c r="AG74" i="7"/>
  <c r="AF75" i="7"/>
  <c r="AG75" i="7"/>
  <c r="AF76" i="7"/>
  <c r="AG76" i="7"/>
  <c r="AF77" i="7"/>
  <c r="AG77" i="7"/>
  <c r="AK77" i="7"/>
  <c r="AK76" i="7"/>
  <c r="AK75" i="7"/>
  <c r="AK74" i="7"/>
  <c r="AK73" i="7"/>
  <c r="AD73" i="7"/>
  <c r="AD74" i="7"/>
  <c r="AD75" i="7"/>
  <c r="AD76" i="7"/>
  <c r="AD77" i="7"/>
  <c r="AH77" i="7"/>
  <c r="AH76" i="7"/>
  <c r="AH75" i="7"/>
  <c r="AH74" i="7"/>
  <c r="AH73" i="7"/>
  <c r="AG73" i="7"/>
  <c r="AF73" i="7"/>
  <c r="X73" i="7"/>
  <c r="X74" i="7"/>
  <c r="X75" i="7"/>
  <c r="X76" i="7"/>
  <c r="X77" i="7"/>
  <c r="R73" i="7"/>
  <c r="R74" i="7"/>
  <c r="R75" i="7"/>
  <c r="R76" i="7"/>
  <c r="R77" i="7"/>
  <c r="L74" i="7"/>
  <c r="L75" i="7"/>
  <c r="L76" i="7"/>
  <c r="L77" i="7"/>
  <c r="L73" i="7"/>
  <c r="F72" i="8"/>
  <c r="J72" i="8" s="1"/>
  <c r="AK72" i="7"/>
  <c r="AD72" i="7"/>
  <c r="AI72" i="7"/>
  <c r="AH72" i="7"/>
  <c r="AG72" i="7"/>
  <c r="AF72" i="7"/>
  <c r="X72" i="7"/>
  <c r="R72" i="7"/>
  <c r="L72" i="7"/>
  <c r="H71" i="8"/>
  <c r="J71" i="8" s="1"/>
  <c r="AK71" i="7"/>
  <c r="AD71" i="7"/>
  <c r="AI71" i="7"/>
  <c r="AH71" i="7"/>
  <c r="AG71" i="7"/>
  <c r="AF71" i="7"/>
  <c r="X71" i="7"/>
  <c r="R71" i="7"/>
  <c r="L71" i="7"/>
  <c r="J66" i="8"/>
  <c r="J67" i="8"/>
  <c r="J68" i="8"/>
  <c r="I70" i="8"/>
  <c r="I69" i="8"/>
  <c r="J64" i="8"/>
  <c r="J63" i="8"/>
  <c r="H69" i="8"/>
  <c r="H62" i="8"/>
  <c r="H65" i="8"/>
  <c r="J65" i="8" s="1"/>
  <c r="G70" i="8"/>
  <c r="J70" i="8" s="1"/>
  <c r="G62" i="8"/>
  <c r="F69" i="8"/>
  <c r="J69" i="8" s="1"/>
  <c r="AI63" i="7"/>
  <c r="AI64" i="7"/>
  <c r="AI65" i="7"/>
  <c r="AI66" i="7"/>
  <c r="AI62" i="7"/>
  <c r="AI67" i="7"/>
  <c r="AI68" i="7"/>
  <c r="AI69" i="7"/>
  <c r="AI70" i="7"/>
  <c r="AF63" i="7"/>
  <c r="AG63" i="7"/>
  <c r="AF64" i="7"/>
  <c r="AG64" i="7"/>
  <c r="AF65" i="7"/>
  <c r="AG65" i="7"/>
  <c r="AF66" i="7"/>
  <c r="AG66" i="7"/>
  <c r="AF62" i="7"/>
  <c r="AG62" i="7"/>
  <c r="AF67" i="7"/>
  <c r="AG67" i="7"/>
  <c r="AF68" i="7"/>
  <c r="AG68" i="7"/>
  <c r="AF69" i="7"/>
  <c r="AG69" i="7"/>
  <c r="AF70" i="7"/>
  <c r="AG70" i="7"/>
  <c r="AK70" i="7"/>
  <c r="AK69" i="7"/>
  <c r="AK68" i="7"/>
  <c r="AK67" i="7"/>
  <c r="AK62" i="7"/>
  <c r="AK66" i="7"/>
  <c r="AK65" i="7"/>
  <c r="AK64" i="7"/>
  <c r="AK63" i="7"/>
  <c r="AD63" i="7"/>
  <c r="AD64" i="7"/>
  <c r="AD65" i="7"/>
  <c r="AD66" i="7"/>
  <c r="AD62" i="7"/>
  <c r="AD67" i="7"/>
  <c r="AD68" i="7"/>
  <c r="AD69" i="7"/>
  <c r="AD70" i="7"/>
  <c r="AH70" i="7"/>
  <c r="AH69" i="7"/>
  <c r="AH68" i="7"/>
  <c r="AH67" i="7"/>
  <c r="AH62" i="7"/>
  <c r="AH66" i="7"/>
  <c r="AH65" i="7"/>
  <c r="AH64" i="7"/>
  <c r="AH63" i="7"/>
  <c r="X63" i="7"/>
  <c r="X64" i="7"/>
  <c r="X65" i="7"/>
  <c r="X66" i="7"/>
  <c r="X62" i="7"/>
  <c r="X67" i="7"/>
  <c r="X68" i="7"/>
  <c r="X69" i="7"/>
  <c r="X70" i="7"/>
  <c r="R63" i="7"/>
  <c r="R64" i="7"/>
  <c r="R65" i="7"/>
  <c r="R66" i="7"/>
  <c r="R62" i="7"/>
  <c r="R67" i="7"/>
  <c r="R68" i="7"/>
  <c r="R69" i="7"/>
  <c r="R70" i="7"/>
  <c r="L63" i="7"/>
  <c r="L64" i="7"/>
  <c r="L65" i="7"/>
  <c r="L66" i="7"/>
  <c r="L62" i="7"/>
  <c r="L67" i="7"/>
  <c r="L68" i="7"/>
  <c r="L69" i="7"/>
  <c r="L70" i="7"/>
  <c r="J56" i="8"/>
  <c r="J57" i="8"/>
  <c r="J58" i="8"/>
  <c r="J60" i="8"/>
  <c r="J61" i="8"/>
  <c r="G59" i="8"/>
  <c r="J59" i="8" s="1"/>
  <c r="AI54" i="7"/>
  <c r="AI55" i="7"/>
  <c r="AI56" i="7"/>
  <c r="AI60" i="7"/>
  <c r="AI61" i="7"/>
  <c r="AI57" i="7"/>
  <c r="AI58" i="7"/>
  <c r="AI59" i="7"/>
  <c r="AF55" i="7"/>
  <c r="AG55" i="7"/>
  <c r="AF56" i="7"/>
  <c r="AG56" i="7"/>
  <c r="AF60" i="7"/>
  <c r="AG60" i="7"/>
  <c r="AF61" i="7"/>
  <c r="AG61" i="7"/>
  <c r="AF57" i="7"/>
  <c r="AG57" i="7"/>
  <c r="AF58" i="7"/>
  <c r="AG58" i="7"/>
  <c r="AF59" i="7"/>
  <c r="AG59" i="7"/>
  <c r="AK59" i="7"/>
  <c r="AK58" i="7"/>
  <c r="AK57" i="7"/>
  <c r="AK61" i="7"/>
  <c r="AK60" i="7"/>
  <c r="AK56" i="7"/>
  <c r="AK55" i="7"/>
  <c r="AK54" i="7"/>
  <c r="AK53" i="7"/>
  <c r="AD54" i="7"/>
  <c r="AD55" i="7"/>
  <c r="AD56" i="7"/>
  <c r="AD60" i="7"/>
  <c r="AD61" i="7"/>
  <c r="AD57" i="7"/>
  <c r="AD58" i="7"/>
  <c r="AD59" i="7"/>
  <c r="AD53" i="7"/>
  <c r="AI53" i="7"/>
  <c r="AH59" i="7"/>
  <c r="AH58" i="7"/>
  <c r="AH57" i="7"/>
  <c r="AH61" i="7"/>
  <c r="AH60" i="7"/>
  <c r="AH56" i="7"/>
  <c r="AH55" i="7"/>
  <c r="AH54" i="7"/>
  <c r="AH53" i="7"/>
  <c r="AG54" i="7"/>
  <c r="AG53" i="7"/>
  <c r="AF54" i="7"/>
  <c r="AJ54" i="7" s="1"/>
  <c r="AF53" i="7"/>
  <c r="X55" i="7"/>
  <c r="X56" i="7"/>
  <c r="X60" i="7"/>
  <c r="X61" i="7"/>
  <c r="X57" i="7"/>
  <c r="X58" i="7"/>
  <c r="X59" i="7"/>
  <c r="X54" i="7"/>
  <c r="X53" i="7"/>
  <c r="R53" i="7"/>
  <c r="R54" i="7"/>
  <c r="R55" i="7"/>
  <c r="R56" i="7"/>
  <c r="R60" i="7"/>
  <c r="R61" i="7"/>
  <c r="R57" i="7"/>
  <c r="R58" i="7"/>
  <c r="R59" i="7"/>
  <c r="L53" i="7"/>
  <c r="L54" i="7"/>
  <c r="L55" i="7"/>
  <c r="L56" i="7"/>
  <c r="L60" i="7"/>
  <c r="L61" i="7"/>
  <c r="L57" i="7"/>
  <c r="L58" i="7"/>
  <c r="L59" i="7"/>
  <c r="I46" i="8"/>
  <c r="J46" i="8" s="1"/>
  <c r="J44" i="8"/>
  <c r="J43" i="8"/>
  <c r="J42" i="8"/>
  <c r="G45" i="8"/>
  <c r="J45" i="8" s="1"/>
  <c r="AF43" i="7"/>
  <c r="AG43" i="7"/>
  <c r="AF44" i="7"/>
  <c r="AG44" i="7"/>
  <c r="AF45" i="7"/>
  <c r="AG45" i="7"/>
  <c r="AF46" i="7"/>
  <c r="AG46" i="7"/>
  <c r="AK46" i="7"/>
  <c r="AK45" i="7"/>
  <c r="AK44" i="7"/>
  <c r="AK43" i="7"/>
  <c r="AD43" i="7"/>
  <c r="AD44" i="7"/>
  <c r="AD45" i="7"/>
  <c r="AD46" i="7"/>
  <c r="AI46" i="7"/>
  <c r="AI45" i="7"/>
  <c r="AI44" i="7"/>
  <c r="AI43" i="7"/>
  <c r="AH46" i="7"/>
  <c r="AH45" i="7"/>
  <c r="AH44" i="7"/>
  <c r="AH43" i="7"/>
  <c r="X43" i="7"/>
  <c r="X44" i="7"/>
  <c r="X45" i="7"/>
  <c r="X46" i="7"/>
  <c r="R43" i="7"/>
  <c r="R44" i="7"/>
  <c r="R45" i="7"/>
  <c r="R46" i="7"/>
  <c r="L43" i="7"/>
  <c r="L44" i="7"/>
  <c r="L45" i="7"/>
  <c r="L46" i="7"/>
  <c r="J40" i="8"/>
  <c r="J41" i="8"/>
  <c r="AF39" i="7"/>
  <c r="AG39" i="7"/>
  <c r="AF40" i="7"/>
  <c r="AG40" i="7"/>
  <c r="AF41" i="7"/>
  <c r="AG41" i="7"/>
  <c r="AF42" i="7"/>
  <c r="AG42" i="7"/>
  <c r="AK42" i="7"/>
  <c r="AK41" i="7"/>
  <c r="AK40" i="7"/>
  <c r="AK39" i="7"/>
  <c r="AD39" i="7"/>
  <c r="AD40" i="7"/>
  <c r="AD41" i="7"/>
  <c r="AD42" i="7"/>
  <c r="AI42" i="7"/>
  <c r="AI41" i="7"/>
  <c r="AI40" i="7"/>
  <c r="AI39" i="7"/>
  <c r="AH42" i="7"/>
  <c r="AH41" i="7"/>
  <c r="AH40" i="7"/>
  <c r="AH39" i="7"/>
  <c r="X39" i="7"/>
  <c r="X40" i="7"/>
  <c r="X41" i="7"/>
  <c r="X42" i="7"/>
  <c r="R39" i="7"/>
  <c r="R40" i="7"/>
  <c r="R41" i="7"/>
  <c r="R42" i="7"/>
  <c r="L39" i="7"/>
  <c r="L40" i="7"/>
  <c r="L41" i="7"/>
  <c r="L42" i="7"/>
  <c r="J38" i="8"/>
  <c r="J37" i="8"/>
  <c r="J36" i="8"/>
  <c r="J35" i="8"/>
  <c r="H39" i="8"/>
  <c r="J39" i="8" s="1"/>
  <c r="AF35" i="7"/>
  <c r="AG35" i="7"/>
  <c r="AF36" i="7"/>
  <c r="AG36" i="7"/>
  <c r="AF37" i="7"/>
  <c r="AG37" i="7"/>
  <c r="AF38" i="7"/>
  <c r="AG38" i="7"/>
  <c r="AK38" i="7"/>
  <c r="AK37" i="7"/>
  <c r="AK36" i="7"/>
  <c r="AK35" i="7"/>
  <c r="AD35" i="7"/>
  <c r="AD36" i="7"/>
  <c r="AD37" i="7"/>
  <c r="AD38" i="7"/>
  <c r="AI38" i="7"/>
  <c r="AI37" i="7"/>
  <c r="AI36" i="7"/>
  <c r="AI35" i="7"/>
  <c r="AH38" i="7"/>
  <c r="AH37" i="7"/>
  <c r="AH36" i="7"/>
  <c r="AH35" i="7"/>
  <c r="X35" i="7"/>
  <c r="X36" i="7"/>
  <c r="X37" i="7"/>
  <c r="X38" i="7"/>
  <c r="R35" i="7"/>
  <c r="R36" i="7"/>
  <c r="R37" i="7"/>
  <c r="R38" i="7"/>
  <c r="L35" i="7"/>
  <c r="L36" i="7"/>
  <c r="L37" i="7"/>
  <c r="L38" i="7"/>
  <c r="J13" i="8"/>
  <c r="J12" i="8"/>
  <c r="J11" i="8"/>
  <c r="AF13" i="7"/>
  <c r="AG13" i="7"/>
  <c r="AF14" i="7"/>
  <c r="AG14" i="7"/>
  <c r="AF15" i="7"/>
  <c r="AG15" i="7"/>
  <c r="AK15" i="7"/>
  <c r="AK14" i="7"/>
  <c r="AK13" i="7"/>
  <c r="AD13" i="7"/>
  <c r="AD14" i="7"/>
  <c r="AD15" i="7"/>
  <c r="AI15" i="7"/>
  <c r="AI14" i="7"/>
  <c r="AI13" i="7"/>
  <c r="AH15" i="7"/>
  <c r="AH14" i="7"/>
  <c r="AH13" i="7"/>
  <c r="X13" i="7"/>
  <c r="X14" i="7"/>
  <c r="X15" i="7"/>
  <c r="R13" i="7"/>
  <c r="R14" i="7"/>
  <c r="R15" i="7"/>
  <c r="L13" i="7"/>
  <c r="L14" i="7"/>
  <c r="L15" i="7"/>
  <c r="J7" i="8"/>
  <c r="J8" i="8"/>
  <c r="J9" i="8"/>
  <c r="J10" i="8"/>
  <c r="AF9" i="7"/>
  <c r="AG9" i="7"/>
  <c r="AH9" i="7"/>
  <c r="AI9" i="7"/>
  <c r="AK9" i="7"/>
  <c r="AF10" i="7"/>
  <c r="AG10" i="7"/>
  <c r="AH10" i="7"/>
  <c r="AI10" i="7"/>
  <c r="AK10" i="7"/>
  <c r="AF11" i="7"/>
  <c r="AG11" i="7"/>
  <c r="AH11" i="7"/>
  <c r="AI11" i="7"/>
  <c r="AK11" i="7"/>
  <c r="AF12" i="7"/>
  <c r="AG12" i="7"/>
  <c r="AH12" i="7"/>
  <c r="AI12" i="7"/>
  <c r="AK12" i="7"/>
  <c r="AD9" i="7"/>
  <c r="AD10" i="7"/>
  <c r="AD11" i="7"/>
  <c r="AD12" i="7"/>
  <c r="X9" i="7"/>
  <c r="X10" i="7"/>
  <c r="X11" i="7"/>
  <c r="X12" i="7"/>
  <c r="R9" i="7"/>
  <c r="R10" i="7"/>
  <c r="R11" i="7"/>
  <c r="R12" i="7"/>
  <c r="L9" i="7"/>
  <c r="L10" i="7"/>
  <c r="L11" i="7"/>
  <c r="L12" i="7"/>
  <c r="J5" i="8"/>
  <c r="J6" i="8"/>
  <c r="J4" i="8"/>
  <c r="AF7" i="7"/>
  <c r="AG7" i="7"/>
  <c r="AH7" i="7"/>
  <c r="AI7" i="7"/>
  <c r="AK7" i="7"/>
  <c r="AF8" i="7"/>
  <c r="AG8" i="7"/>
  <c r="AH8" i="7"/>
  <c r="AI8" i="7"/>
  <c r="AK8" i="7"/>
  <c r="AD7" i="7"/>
  <c r="AD8" i="7"/>
  <c r="X7" i="7"/>
  <c r="X8" i="7"/>
  <c r="R7" i="7"/>
  <c r="R8" i="7"/>
  <c r="L7" i="7"/>
  <c r="L8" i="7"/>
  <c r="L6" i="7"/>
  <c r="J24" i="8" l="1"/>
  <c r="AJ70" i="7"/>
  <c r="AJ22" i="7"/>
  <c r="AJ19" i="7"/>
  <c r="AJ48" i="7"/>
  <c r="J50" i="8"/>
  <c r="AJ21" i="7"/>
  <c r="AJ73" i="7"/>
  <c r="J32" i="8"/>
  <c r="J62" i="8"/>
  <c r="AJ68" i="7"/>
  <c r="AJ62" i="7"/>
  <c r="AJ65" i="7"/>
  <c r="AJ63" i="7"/>
  <c r="AJ77" i="7"/>
  <c r="AJ76" i="7"/>
  <c r="AJ75" i="7"/>
  <c r="AJ74" i="7"/>
  <c r="AJ80" i="7"/>
  <c r="AJ85" i="7"/>
  <c r="AJ84" i="7"/>
  <c r="AJ83" i="7"/>
  <c r="AJ82" i="7"/>
  <c r="AJ95" i="7"/>
  <c r="AJ94" i="7"/>
  <c r="AJ93" i="7"/>
  <c r="AJ92" i="7"/>
  <c r="AJ91" i="7"/>
  <c r="AJ90" i="7"/>
  <c r="AJ89" i="7"/>
  <c r="AJ88" i="7"/>
  <c r="AJ87" i="7"/>
  <c r="AJ86" i="7"/>
  <c r="AJ18" i="7"/>
  <c r="AJ17" i="7"/>
  <c r="AJ16" i="7"/>
  <c r="AJ26" i="7"/>
  <c r="AJ24" i="7"/>
  <c r="AJ52" i="7"/>
  <c r="AJ51" i="7"/>
  <c r="AJ81" i="7"/>
  <c r="AJ79" i="7"/>
  <c r="AJ25" i="7"/>
  <c r="AJ34" i="7"/>
  <c r="AJ33" i="7"/>
  <c r="AJ32" i="7"/>
  <c r="AJ31" i="7"/>
  <c r="AJ30" i="7"/>
  <c r="AJ29" i="7"/>
  <c r="AJ28" i="7"/>
  <c r="AJ27" i="7"/>
  <c r="AJ50" i="7"/>
  <c r="AJ49" i="7"/>
  <c r="AJ69" i="7"/>
  <c r="AJ67" i="7"/>
  <c r="AJ66" i="7"/>
  <c r="AJ64" i="7"/>
  <c r="AJ72" i="7"/>
  <c r="AJ78" i="7"/>
  <c r="AJ47" i="7"/>
  <c r="AJ59" i="7"/>
  <c r="AJ57" i="7"/>
  <c r="AJ71" i="7"/>
  <c r="AJ38" i="7"/>
  <c r="AJ37" i="7"/>
  <c r="AJ36" i="7"/>
  <c r="AJ35" i="7"/>
  <c r="AJ42" i="7"/>
  <c r="AJ41" i="7"/>
  <c r="AJ40" i="7"/>
  <c r="AJ39" i="7"/>
  <c r="AJ46" i="7"/>
  <c r="AJ45" i="7"/>
  <c r="AJ44" i="7"/>
  <c r="AJ43" i="7"/>
  <c r="AJ15" i="7"/>
  <c r="AJ14" i="7"/>
  <c r="AJ13" i="7"/>
  <c r="AJ58" i="7"/>
  <c r="AJ61" i="7"/>
  <c r="AJ60" i="7"/>
  <c r="AJ56" i="7"/>
  <c r="AJ55" i="7"/>
  <c r="AJ8" i="7"/>
  <c r="AJ11" i="7"/>
  <c r="AJ9" i="7"/>
  <c r="AJ7" i="7"/>
  <c r="AJ12" i="7"/>
  <c r="AJ10" i="7"/>
  <c r="AJ53" i="7"/>
  <c r="G1" i="8"/>
  <c r="AK6" i="7"/>
  <c r="AG6" i="7"/>
  <c r="AH6" i="7"/>
  <c r="AI6" i="7"/>
  <c r="AF6" i="7"/>
  <c r="AD6" i="7"/>
  <c r="X6" i="7"/>
  <c r="R6" i="7"/>
  <c r="AJ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Wendy Klooster</author>
  </authors>
  <commentList>
    <comment ref="H5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Wendy Klooster:</t>
        </r>
        <r>
          <rPr>
            <sz val="9"/>
            <color indexed="81"/>
            <rFont val="Tahoma"/>
            <charset val="1"/>
          </rPr>
          <t xml:space="preserve">
only count new plants for ash and invasives in 2011</t>
        </r>
      </text>
    </comment>
    <comment ref="I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Wendy Klooster:</t>
        </r>
        <r>
          <rPr>
            <sz val="9"/>
            <color indexed="81"/>
            <rFont val="Tahoma"/>
            <charset val="1"/>
          </rPr>
          <t xml:space="preserve">
only count short plants for ash and invasives in 2011</t>
        </r>
      </text>
    </comment>
  </commentList>
</comments>
</file>

<file path=xl/sharedStrings.xml><?xml version="1.0" encoding="utf-8"?>
<sst xmlns="http://schemas.openxmlformats.org/spreadsheetml/2006/main" count="2196" uniqueCount="351">
  <si>
    <t>QUADRAT SURVEY</t>
  </si>
  <si>
    <t>.</t>
  </si>
  <si>
    <t>&lt;1</t>
  </si>
  <si>
    <t>cover classes: &lt;1, 1, 2-5, 6-10, 11-20, 21-30, …etc.</t>
  </si>
  <si>
    <t>NORTH</t>
  </si>
  <si>
    <t>EAST</t>
  </si>
  <si>
    <t>SOUTH</t>
  </si>
  <si>
    <t>WEST</t>
  </si>
  <si>
    <t>year</t>
  </si>
  <si>
    <t>park</t>
  </si>
  <si>
    <t>date</t>
  </si>
  <si>
    <t>plot</t>
  </si>
  <si>
    <t>species</t>
  </si>
  <si>
    <t>common name</t>
  </si>
  <si>
    <t>type</t>
  </si>
  <si>
    <t>N_new</t>
  </si>
  <si>
    <t>N_short</t>
  </si>
  <si>
    <t>N_mid</t>
  </si>
  <si>
    <t>N_tall</t>
  </si>
  <si>
    <t>N_total</t>
  </si>
  <si>
    <t>N_cov</t>
  </si>
  <si>
    <t>E_new</t>
  </si>
  <si>
    <t>E_short</t>
  </si>
  <si>
    <t>E_mid</t>
  </si>
  <si>
    <t>E_tall</t>
  </si>
  <si>
    <t>E_total</t>
  </si>
  <si>
    <t>E_cov</t>
  </si>
  <si>
    <t>S_new</t>
  </si>
  <si>
    <t>S_short</t>
  </si>
  <si>
    <t>S_mid</t>
  </si>
  <si>
    <t>S_tall</t>
  </si>
  <si>
    <t>S_total</t>
  </si>
  <si>
    <t>S_cov</t>
  </si>
  <si>
    <t>W_new</t>
  </si>
  <si>
    <t>W_short</t>
  </si>
  <si>
    <t>W_mid</t>
  </si>
  <si>
    <t>W_tall</t>
  </si>
  <si>
    <t>W_total</t>
  </si>
  <si>
    <t>W_cov</t>
  </si>
  <si>
    <t>new_ttl</t>
  </si>
  <si>
    <t>short_ttl</t>
  </si>
  <si>
    <t>mid_ttl</t>
  </si>
  <si>
    <t>tall_ttl</t>
  </si>
  <si>
    <t>plot_ttl</t>
  </si>
  <si>
    <t>cov_ttl</t>
  </si>
  <si>
    <t>notes</t>
  </si>
  <si>
    <t>indian springs</t>
  </si>
  <si>
    <t>Fraxinus</t>
  </si>
  <si>
    <t>S quad: mid size ash fell almost on PVC (held up by sapling) - moved it a bit aside.</t>
  </si>
  <si>
    <t>Acer saccharum</t>
  </si>
  <si>
    <t>Carya spp</t>
  </si>
  <si>
    <t>Carpinus caroliniana</t>
  </si>
  <si>
    <t>Ostrya virginiana</t>
  </si>
  <si>
    <t>E: 4/6 = rt spts</t>
  </si>
  <si>
    <t>Lindera benzoin</t>
  </si>
  <si>
    <t>rt spts: E mid=5, S mid=1</t>
  </si>
  <si>
    <t>Populus tremuloides</t>
  </si>
  <si>
    <t>rt spts: S mid=4</t>
  </si>
  <si>
    <t>Fagus grandifolia</t>
  </si>
  <si>
    <t>Rubus</t>
  </si>
  <si>
    <t>Zanthoxylum americanum</t>
  </si>
  <si>
    <t>rt spts: S mid=3</t>
  </si>
  <si>
    <t>Rhamnus frangula</t>
  </si>
  <si>
    <t>Ilex verticillata</t>
  </si>
  <si>
    <t>Corylus americana</t>
  </si>
  <si>
    <t>Rhamnus cathartica</t>
  </si>
  <si>
    <t>Viburnum lentago</t>
  </si>
  <si>
    <t>Rosa multiflora</t>
  </si>
  <si>
    <t>Viburnum acerifolium</t>
  </si>
  <si>
    <t>Amelanchier arborea</t>
  </si>
  <si>
    <t>E: brown, dying</t>
  </si>
  <si>
    <t>W: 2/3 = rt spts, 1 tall = trunk spt (w/o = 3.5 cover)</t>
  </si>
  <si>
    <t>S: mid= no cover in quad</t>
  </si>
  <si>
    <t>Rosa eglanteria</t>
  </si>
  <si>
    <t>none</t>
  </si>
  <si>
    <t>nothing in quads</t>
  </si>
  <si>
    <t>rt spts: S mid=2</t>
  </si>
  <si>
    <t>Celastrus orbiculatus</t>
  </si>
  <si>
    <t>S: 3/6 = rt spts</t>
  </si>
  <si>
    <t>Ribes cynosbati</t>
  </si>
  <si>
    <t>Ribes (smooth?)</t>
  </si>
  <si>
    <t>pics  7314-17</t>
  </si>
  <si>
    <t>S: 5/12 = rt spts</t>
  </si>
  <si>
    <t>Elaeagnus umbellata</t>
  </si>
  <si>
    <t>N mid:14 = rt spts</t>
  </si>
  <si>
    <t>Ulmus americana</t>
  </si>
  <si>
    <t>N: all mottled</t>
  </si>
  <si>
    <t>N: root spt</t>
  </si>
  <si>
    <t>Smilax tamnoides</t>
  </si>
  <si>
    <t>E mid: 2/7 = epicormic shoots</t>
  </si>
  <si>
    <t>Quercus rubra</t>
  </si>
  <si>
    <t>Quercus alba</t>
  </si>
  <si>
    <t>Carya cordiformis</t>
  </si>
  <si>
    <t>PHOTOS</t>
  </si>
  <si>
    <t>code</t>
  </si>
  <si>
    <t>hemi</t>
  </si>
  <si>
    <t>plot pics</t>
  </si>
  <si>
    <t>quad</t>
  </si>
  <si>
    <t>tag</t>
  </si>
  <si>
    <t>center</t>
  </si>
  <si>
    <t>north</t>
  </si>
  <si>
    <t>east</t>
  </si>
  <si>
    <t>7701-2</t>
  </si>
  <si>
    <t>7694-7: dobson fly in S quad</t>
  </si>
  <si>
    <t>south</t>
  </si>
  <si>
    <t>small ash almost smashed pvc - moved to side</t>
  </si>
  <si>
    <t>west</t>
  </si>
  <si>
    <t>7678-80: deer fly bite?</t>
  </si>
  <si>
    <t xml:space="preserve"> </t>
  </si>
  <si>
    <t>7684-5</t>
  </si>
  <si>
    <t>7669-71: uprooted trees, snapped ash in plot</t>
  </si>
  <si>
    <t>7665-6</t>
  </si>
  <si>
    <t>7673-4</t>
  </si>
  <si>
    <t>7676-7: red dragon fly</t>
  </si>
  <si>
    <t>1113-5</t>
  </si>
  <si>
    <t>hemi: sun</t>
  </si>
  <si>
    <t>1257-8</t>
  </si>
  <si>
    <t>7867-8</t>
  </si>
  <si>
    <t>1260-1</t>
  </si>
  <si>
    <t>7869-70</t>
  </si>
  <si>
    <t>7863-4</t>
  </si>
  <si>
    <t>7871-2</t>
  </si>
  <si>
    <t>7873-4</t>
  </si>
  <si>
    <t>1282-3</t>
  </si>
  <si>
    <t>7898-9</t>
  </si>
  <si>
    <t>7900-1</t>
  </si>
  <si>
    <t>7896-7</t>
  </si>
  <si>
    <t>1136-7</t>
  </si>
  <si>
    <t>7720-1</t>
  </si>
  <si>
    <t>7733-4</t>
  </si>
  <si>
    <t>1129-30</t>
  </si>
  <si>
    <t>7710-12: wood lice?</t>
  </si>
  <si>
    <t>1243-4</t>
  </si>
  <si>
    <t>some pics of tree lice (??) before tag pic</t>
  </si>
  <si>
    <t>1245-6, 55</t>
  </si>
  <si>
    <t>hemi: too bright</t>
  </si>
  <si>
    <t>1249-51</t>
  </si>
  <si>
    <t>7854-5</t>
  </si>
  <si>
    <t>1252-4</t>
  </si>
  <si>
    <t>7840-1</t>
  </si>
  <si>
    <t>1223-5</t>
  </si>
  <si>
    <t>7834-5</t>
  </si>
  <si>
    <t>928-9</t>
  </si>
  <si>
    <t>7350-1</t>
  </si>
  <si>
    <t>931-2</t>
  </si>
  <si>
    <t>7355-6</t>
  </si>
  <si>
    <t>947-8</t>
  </si>
  <si>
    <t>7362-4</t>
  </si>
  <si>
    <t>7334-5</t>
  </si>
  <si>
    <t>7328-9</t>
  </si>
  <si>
    <t>7332-3</t>
  </si>
  <si>
    <t>7314-7: Ribes in N quad</t>
  </si>
  <si>
    <t>7324-5</t>
  </si>
  <si>
    <t>7319-20</t>
  </si>
  <si>
    <t>7342-3</t>
  </si>
  <si>
    <t>7344-5</t>
  </si>
  <si>
    <t>7290-1</t>
  </si>
  <si>
    <t>882-3</t>
  </si>
  <si>
    <t>884-5</t>
  </si>
  <si>
    <t>887-8</t>
  </si>
  <si>
    <t>7309-10</t>
  </si>
  <si>
    <t>897-8</t>
  </si>
  <si>
    <t>7616-7</t>
  </si>
  <si>
    <t>7628-46: live ash, EAB eggs on farmland trail with Kevin</t>
  </si>
  <si>
    <t>7647-51: bittersweet nightshade</t>
  </si>
  <si>
    <t>7655-6</t>
  </si>
  <si>
    <t>fence in quad</t>
  </si>
  <si>
    <t>pic # ??</t>
  </si>
  <si>
    <t>7619-20</t>
  </si>
  <si>
    <t>FIA survey</t>
  </si>
  <si>
    <t>% cover: 0, &lt;1, 1-5, 6-10, 11-20, 21-40, 41-60, 61-80, 81-100</t>
  </si>
  <si>
    <t>0-2 ft</t>
  </si>
  <si>
    <t>0-2 mid</t>
  </si>
  <si>
    <t>2-6 ft</t>
  </si>
  <si>
    <t>2-6 mid</t>
  </si>
  <si>
    <t>6-16 ft</t>
  </si>
  <si>
    <t>6-16 mid</t>
  </si>
  <si>
    <t>&gt;16 ft</t>
  </si>
  <si>
    <t>&gt;16 mid</t>
  </si>
  <si>
    <t>TOTAL</t>
  </si>
  <si>
    <t>NATIVE</t>
  </si>
  <si>
    <t>Lonicera bush</t>
  </si>
  <si>
    <t>Berberis thunbergii</t>
  </si>
  <si>
    <t>tall-skinny trees (&gt;bh, &lt;2.5cm dbh) and shrubs (&gt;1m tall)</t>
  </si>
  <si>
    <t>8m2 area:</t>
  </si>
  <si>
    <t>trees = # stems; shrubs = m2</t>
  </si>
  <si>
    <t>NE</t>
  </si>
  <si>
    <t>SE</t>
  </si>
  <si>
    <t>SW</t>
  </si>
  <si>
    <t>NW</t>
  </si>
  <si>
    <t>total</t>
  </si>
  <si>
    <t>rt spts: NW=1</t>
  </si>
  <si>
    <t xml:space="preserve">rt spts: NE=1, SE=4, SW=3 </t>
  </si>
  <si>
    <t>rt spts: SE=4</t>
  </si>
  <si>
    <t>rt spts: NE=1</t>
  </si>
  <si>
    <t>rt spts: SE=3, NW=2</t>
  </si>
  <si>
    <t>rt spts: SW=6</t>
  </si>
  <si>
    <t>Acer rubrum</t>
  </si>
  <si>
    <t>rt spts: NE=3</t>
  </si>
  <si>
    <t>rt spts: NE=4, SE=6, SW=8</t>
  </si>
  <si>
    <t>Prunus virginiana</t>
  </si>
  <si>
    <t>Crataegus punctata</t>
  </si>
  <si>
    <t>rt spts: SW=1</t>
  </si>
  <si>
    <t>rt spts: SE=1, SW=1</t>
  </si>
  <si>
    <t>rt spts: NE=1, NW=1</t>
  </si>
  <si>
    <t>rt spts: SE=10, SW=5</t>
  </si>
  <si>
    <t>ash saplings: &gt;1m tall, &lt;2.5cm dbh</t>
  </si>
  <si>
    <t>label</t>
  </si>
  <si>
    <t>diam @ 12"</t>
  </si>
  <si>
    <t>diam @ bh</t>
  </si>
  <si>
    <t>distance</t>
  </si>
  <si>
    <t>degree</t>
  </si>
  <si>
    <t>healthy</t>
  </si>
  <si>
    <t>healthy, dbl-stem</t>
  </si>
  <si>
    <t>dead</t>
  </si>
  <si>
    <t>lower branch dieback</t>
  </si>
  <si>
    <t>11.14, 8.89</t>
  </si>
  <si>
    <t>4.69, 5.56</t>
  </si>
  <si>
    <t>trunk splits below 1ft (S/N), healthy</t>
  </si>
  <si>
    <t>main leader broken off, bark damage on trunk</t>
  </si>
  <si>
    <t>good</t>
  </si>
  <si>
    <t>missing</t>
  </si>
  <si>
    <t>some leaf curl</t>
  </si>
  <si>
    <t>new 2011</t>
  </si>
  <si>
    <t>no tag, very sure same</t>
  </si>
  <si>
    <t>browsed top</t>
  </si>
  <si>
    <t>dropped in 2011 - too small</t>
  </si>
  <si>
    <t>tag off, drop</t>
  </si>
  <si>
    <t>dead, found tag</t>
  </si>
  <si>
    <t>new in 2011 (other angles listed opp in 2010)</t>
  </si>
  <si>
    <t>tagged natives &amp; invasives</t>
  </si>
  <si>
    <t>* = native?</t>
  </si>
  <si>
    <t>INVASIVE</t>
  </si>
  <si>
    <t>(cm)</t>
  </si>
  <si>
    <t>(m)</t>
  </si>
  <si>
    <t>inv.code</t>
  </si>
  <si>
    <t>length</t>
  </si>
  <si>
    <t>width</t>
  </si>
  <si>
    <t>height</t>
  </si>
  <si>
    <t>inv_vol (m3)</t>
  </si>
  <si>
    <t>nat.code</t>
  </si>
  <si>
    <t>nat_vol (m3)</t>
  </si>
  <si>
    <t>dist b/n</t>
  </si>
  <si>
    <t>photo</t>
  </si>
  <si>
    <t>EU1</t>
  </si>
  <si>
    <t>ACSA3-1</t>
  </si>
  <si>
    <t>1m NE of cut ash stump (othr stmp frthr NE); Acer scraggly</t>
  </si>
  <si>
    <t>CO1</t>
  </si>
  <si>
    <t>CACA18-4</t>
  </si>
  <si>
    <t>on edge of hummock just N of hazlenut clump</t>
  </si>
  <si>
    <t>LIBE3-1</t>
  </si>
  <si>
    <t>just in front of fallen log</t>
  </si>
  <si>
    <t>EU2</t>
  </si>
  <si>
    <t>FRAXI-2</t>
  </si>
  <si>
    <t>~3m in front of rotting log; Frax - tag off, prob same</t>
  </si>
  <si>
    <t>EU3</t>
  </si>
  <si>
    <t>LIBE3-7</t>
  </si>
  <si>
    <t>~1.5m SW oak; LB: 2 stem; EU: 1 stem dead</t>
  </si>
  <si>
    <t>MF2</t>
  </si>
  <si>
    <t>CACA18-5</t>
  </si>
  <si>
    <t>1267-8</t>
  </si>
  <si>
    <t>MF3</t>
  </si>
  <si>
    <t>MF4</t>
  </si>
  <si>
    <t>LIBE3-2</t>
  </si>
  <si>
    <t>next to leaning A. saccharum</t>
  </si>
  <si>
    <t>MF5</t>
  </si>
  <si>
    <t>LIBE3-4</t>
  </si>
  <si>
    <t>MF6</t>
  </si>
  <si>
    <t>FRAXI-1</t>
  </si>
  <si>
    <t>Frax: main stem dead, side branch good</t>
  </si>
  <si>
    <t>RC1</t>
  </si>
  <si>
    <t>CACA18-1</t>
  </si>
  <si>
    <t>other RC nearby</t>
  </si>
  <si>
    <t>RF2</t>
  </si>
  <si>
    <t>RF3</t>
  </si>
  <si>
    <t>LIBE3-3</t>
  </si>
  <si>
    <t>RF4</t>
  </si>
  <si>
    <t>RF6</t>
  </si>
  <si>
    <t>LIBE3-5</t>
  </si>
  <si>
    <t>RF7</t>
  </si>
  <si>
    <t>Cornus spp</t>
  </si>
  <si>
    <t>CORNU-1</t>
  </si>
  <si>
    <t>LB1</t>
  </si>
  <si>
    <t>LB2</t>
  </si>
  <si>
    <t>OSVI-3</t>
  </si>
  <si>
    <t>was dbl-invasive, dbl-native, but now RF3 dead</t>
  </si>
  <si>
    <t>ULAM-2</t>
  </si>
  <si>
    <t>Ulmus small (Ostrya = 2nd native)</t>
  </si>
  <si>
    <t>MF1</t>
  </si>
  <si>
    <t>OSVI-1</t>
  </si>
  <si>
    <t>next to fallen dead ash</t>
  </si>
  <si>
    <t>OSVI-2</t>
  </si>
  <si>
    <t>frthr down fallen dead ash (b/n MF&amp;OV)</t>
  </si>
  <si>
    <t>FRAXI-3</t>
  </si>
  <si>
    <t>other MF nearby</t>
  </si>
  <si>
    <t>behind dead ash</t>
  </si>
  <si>
    <t>RC3</t>
  </si>
  <si>
    <t>FRAXI-4</t>
  </si>
  <si>
    <t>next to snapped ash trunk</t>
  </si>
  <si>
    <t>ULAM-1</t>
  </si>
  <si>
    <t>under Tilia; ULAM not CACA18!!</t>
  </si>
  <si>
    <t>next to big Carpinus with root sprouts</t>
  </si>
  <si>
    <t>big MF outside 8m - not msd</t>
  </si>
  <si>
    <t>EU: ~bent by fallen tree; Cc: long side branch</t>
  </si>
  <si>
    <t>CARYA-1</t>
  </si>
  <si>
    <t>Carya: part of 1 leaf broken; behind big A. rubrum</t>
  </si>
  <si>
    <t>CACA18-2</t>
  </si>
  <si>
    <t>under top of fallen tree</t>
  </si>
  <si>
    <t>RC2</t>
  </si>
  <si>
    <t>CACA18-3</t>
  </si>
  <si>
    <t>couldn't find in 2011 - under tree top snag</t>
  </si>
  <si>
    <t>Carp: pulled out of ground, few roots (tried to replant)</t>
  </si>
  <si>
    <t>Carp: tag off, sure same</t>
  </si>
  <si>
    <t>ILVE-1</t>
  </si>
  <si>
    <t>Ilex: on hummock, just before stream</t>
  </si>
  <si>
    <t>next to dead ash/ fallen log by ctr</t>
  </si>
  <si>
    <t>Frax: 1 stm; just past 3-stm silver maple on mound</t>
  </si>
  <si>
    <t>RF1</t>
  </si>
  <si>
    <t>Frax: leaf curl; with side branch</t>
  </si>
  <si>
    <t>Cornus florida</t>
  </si>
  <si>
    <t>COFL-1</t>
  </si>
  <si>
    <t>COFL not CORA</t>
  </si>
  <si>
    <t>in S quad</t>
  </si>
  <si>
    <t>RC4</t>
  </si>
  <si>
    <t>Carp: mostly dead, long stem w/ 1 leaf</t>
  </si>
  <si>
    <t>in front of big A. saccharinum</t>
  </si>
  <si>
    <t>RC: 2-stm (or side branch?)</t>
  </si>
  <si>
    <t>by big A. saccharum</t>
  </si>
  <si>
    <t>by big Q. bicolor; EU: 1 stem dead</t>
  </si>
  <si>
    <t>Frax: was vined w/ hog peanut; MF: 1 clmp, othrs nearby</t>
  </si>
  <si>
    <t>in N quad; Carp mostly dead; RF w/ side branch</t>
  </si>
  <si>
    <t>near W quad in mucky area</t>
  </si>
  <si>
    <t>BT1</t>
  </si>
  <si>
    <t>ZAAM-1</t>
  </si>
  <si>
    <t>LB: multi-stem</t>
  </si>
  <si>
    <t>Ligustrum vulgare</t>
  </si>
  <si>
    <t>LV1</t>
  </si>
  <si>
    <t>CACA18-6</t>
  </si>
  <si>
    <t>next to white oak</t>
  </si>
  <si>
    <t>ZAAM-3</t>
  </si>
  <si>
    <t>extra native for Kevin</t>
  </si>
  <si>
    <t>MF: browsed</t>
  </si>
  <si>
    <t>MF: sprawling</t>
  </si>
  <si>
    <t>tree fell b/n; Ulmus nearly dead; metal fence just behind; MF sprawling</t>
  </si>
  <si>
    <t>ZAAM-2</t>
  </si>
  <si>
    <t>next to big red oak</t>
  </si>
  <si>
    <t>MF7</t>
  </si>
  <si>
    <t>Frax ~ under log; by tree/log</t>
  </si>
  <si>
    <t>Ulmus NOT Carpinus!! RF: main stem dead?</t>
  </si>
  <si>
    <t>RF5</t>
  </si>
  <si>
    <t>RF: 1 stem, other nearby; just bhnd mult-stm A. sacch.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</si>
</sst>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mmmyy"/>
    <numFmt numFmtId="165" formatCode="0.0000"/>
  </numFmts>
  <fonts count="6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DD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2" xfId="0" applyNumberForma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164" fontId="0" fillId="0" borderId="2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4" fontId="0" fillId="0" borderId="0" xfId="0" applyNumberFormat="1" applyAlignment="1">
      <alignment horizontal="left"/>
    </xf>
    <xf numFmtId="165" fontId="0" fillId="0" borderId="1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2" xfId="0" applyFont="1" applyBorder="1" applyAlignment="1">
      <alignment horizontal="left"/>
    </xf>
    <xf numFmtId="0" fontId="2" fillId="2" borderId="0" xfId="0" applyFont="1" applyFill="1"/>
    <xf numFmtId="0" fontId="0" fillId="2" borderId="0" xfId="0" applyFill="1"/>
    <xf numFmtId="0" fontId="0" fillId="2" borderId="1" xfId="0" applyFill="1" applyBorder="1"/>
    <xf numFmtId="164" fontId="0" fillId="2" borderId="0" xfId="0" applyNumberFormat="1" applyFill="1"/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3" borderId="0" xfId="0" applyFill="1"/>
    <xf numFmtId="0" fontId="0" fillId="3" borderId="2" xfId="0" applyFill="1" applyBorder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4"/>
  <sheetViews>
    <sheetView workbookViewId="0">
      <pane xSplit="7" ySplit="5" topLeftCell="H6" activePane="bottomRight" state="frozen"/>
      <selection pane="topRight" activeCell="H1" sqref="H1"/>
      <selection pane="bottomLeft" activeCell="A6" sqref="A6"/>
      <selection pane="bottomRight" activeCell="E10" sqref="E10"/>
    </sheetView>
  </sheetViews>
  <sheetFormatPr defaultColWidth="9.1796875" defaultRowHeight="12.5" x14ac:dyDescent="0.25"/>
  <cols>
    <col min="2" max="2" width="12.453125" customWidth="1"/>
    <col min="3" max="3" width="9.81640625" style="12" customWidth="1"/>
    <col min="4" max="4" width="7.453125" style="3" customWidth="1"/>
    <col min="5" max="5" width="25" customWidth="1"/>
    <col min="6" max="6" width="21.54296875" hidden="1" customWidth="1"/>
    <col min="7" max="7" width="12.54296875" hidden="1" customWidth="1"/>
    <col min="8" max="31" width="9.1796875" style="1"/>
    <col min="32" max="36" width="9.1796875" style="9" customWidth="1"/>
    <col min="38" max="38" width="29.26953125" style="28" bestFit="1" customWidth="1"/>
  </cols>
  <sheetData>
    <row r="1" spans="1:38" x14ac:dyDescent="0.25">
      <c r="A1" s="17" t="s">
        <v>0</v>
      </c>
      <c r="B1" s="3"/>
      <c r="C1"/>
      <c r="D1"/>
      <c r="F1" s="1" t="s">
        <v>1</v>
      </c>
      <c r="G1" s="1" t="s">
        <v>2</v>
      </c>
      <c r="H1" s="1">
        <v>1</v>
      </c>
      <c r="I1">
        <v>2</v>
      </c>
      <c r="J1">
        <v>6</v>
      </c>
      <c r="K1">
        <v>11</v>
      </c>
      <c r="L1">
        <v>21</v>
      </c>
      <c r="M1">
        <v>31</v>
      </c>
      <c r="N1">
        <v>41</v>
      </c>
      <c r="O1">
        <v>51</v>
      </c>
      <c r="P1">
        <v>61</v>
      </c>
      <c r="Q1">
        <v>71</v>
      </c>
      <c r="R1">
        <v>81</v>
      </c>
      <c r="S1">
        <v>91</v>
      </c>
      <c r="U1" s="9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L1" s="29"/>
    </row>
    <row r="2" spans="1:38" x14ac:dyDescent="0.25">
      <c r="A2" s="17" t="s">
        <v>3</v>
      </c>
      <c r="B2" s="3"/>
      <c r="C2"/>
      <c r="D2"/>
      <c r="F2" s="1">
        <v>0</v>
      </c>
      <c r="G2" s="1">
        <v>0.5</v>
      </c>
      <c r="H2" s="1">
        <v>1.5</v>
      </c>
      <c r="I2">
        <v>3.5</v>
      </c>
      <c r="J2">
        <v>8</v>
      </c>
      <c r="K2">
        <v>15</v>
      </c>
      <c r="L2">
        <v>25</v>
      </c>
      <c r="M2">
        <v>35</v>
      </c>
      <c r="N2">
        <v>45</v>
      </c>
      <c r="O2">
        <v>55</v>
      </c>
      <c r="P2">
        <v>65</v>
      </c>
      <c r="Q2">
        <v>75</v>
      </c>
      <c r="R2">
        <v>85</v>
      </c>
      <c r="S2">
        <v>95</v>
      </c>
      <c r="U2" s="9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L2" s="29"/>
    </row>
    <row r="3" spans="1:38" x14ac:dyDescent="0.25">
      <c r="C3" s="17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</row>
    <row r="4" spans="1:38" x14ac:dyDescent="0.25">
      <c r="H4" s="3"/>
      <c r="I4" s="3"/>
      <c r="J4" s="3" t="s">
        <v>4</v>
      </c>
      <c r="K4" s="3"/>
      <c r="L4" s="3"/>
      <c r="M4" s="3"/>
      <c r="N4" s="3"/>
      <c r="O4" s="3"/>
      <c r="P4" s="3" t="s">
        <v>5</v>
      </c>
      <c r="Q4" s="3"/>
      <c r="R4" s="3"/>
      <c r="S4" s="3"/>
      <c r="T4" s="3"/>
      <c r="U4" s="3"/>
      <c r="V4" s="3"/>
      <c r="W4" s="3" t="s">
        <v>6</v>
      </c>
      <c r="X4" s="3"/>
      <c r="Y4" s="3"/>
      <c r="Z4" s="3"/>
      <c r="AA4" s="3"/>
      <c r="AB4" s="3" t="s">
        <v>7</v>
      </c>
      <c r="AC4" s="3"/>
      <c r="AD4" s="3"/>
      <c r="AE4" s="3"/>
    </row>
    <row r="5" spans="1:38" x14ac:dyDescent="0.25">
      <c r="A5" s="21" t="s">
        <v>8</v>
      </c>
      <c r="B5" s="21" t="s">
        <v>9</v>
      </c>
      <c r="C5" s="12" t="s">
        <v>10</v>
      </c>
      <c r="D5" s="3" t="s">
        <v>11</v>
      </c>
      <c r="E5" t="s">
        <v>12</v>
      </c>
      <c r="F5" t="s">
        <v>13</v>
      </c>
      <c r="G5" t="s">
        <v>14</v>
      </c>
      <c r="H5" s="3" t="s">
        <v>15</v>
      </c>
      <c r="I5" s="3" t="s">
        <v>16</v>
      </c>
      <c r="J5" s="3" t="s">
        <v>17</v>
      </c>
      <c r="K5" s="3" t="s">
        <v>18</v>
      </c>
      <c r="L5" s="3" t="s">
        <v>19</v>
      </c>
      <c r="M5" s="3" t="s">
        <v>20</v>
      </c>
      <c r="N5" s="3" t="s">
        <v>21</v>
      </c>
      <c r="O5" s="3" t="s">
        <v>22</v>
      </c>
      <c r="P5" s="3" t="s">
        <v>23</v>
      </c>
      <c r="Q5" s="3" t="s">
        <v>24</v>
      </c>
      <c r="R5" s="3" t="s">
        <v>25</v>
      </c>
      <c r="S5" s="3" t="s">
        <v>26</v>
      </c>
      <c r="T5" s="3" t="s">
        <v>27</v>
      </c>
      <c r="U5" s="3" t="s">
        <v>28</v>
      </c>
      <c r="V5" s="3" t="s">
        <v>29</v>
      </c>
      <c r="W5" s="3" t="s">
        <v>30</v>
      </c>
      <c r="X5" s="3" t="s">
        <v>31</v>
      </c>
      <c r="Y5" s="3" t="s">
        <v>32</v>
      </c>
      <c r="Z5" s="3" t="s">
        <v>33</v>
      </c>
      <c r="AA5" s="3" t="s">
        <v>34</v>
      </c>
      <c r="AB5" s="3" t="s">
        <v>35</v>
      </c>
      <c r="AC5" s="3" t="s">
        <v>36</v>
      </c>
      <c r="AD5" s="3" t="s">
        <v>37</v>
      </c>
      <c r="AE5" s="3" t="s">
        <v>38</v>
      </c>
      <c r="AF5" s="23" t="s">
        <v>39</v>
      </c>
      <c r="AG5" s="23" t="s">
        <v>40</v>
      </c>
      <c r="AH5" s="23" t="s">
        <v>41</v>
      </c>
      <c r="AI5" s="23" t="s">
        <v>42</v>
      </c>
      <c r="AJ5" s="23" t="s">
        <v>43</v>
      </c>
      <c r="AK5" s="23" t="s">
        <v>44</v>
      </c>
      <c r="AL5" s="23" t="s">
        <v>45</v>
      </c>
    </row>
    <row r="6" spans="1:38" x14ac:dyDescent="0.25">
      <c r="A6">
        <v>2011</v>
      </c>
      <c r="B6" s="21" t="s">
        <v>46</v>
      </c>
      <c r="C6" s="12">
        <v>40745</v>
      </c>
      <c r="D6" s="3">
        <v>67</v>
      </c>
      <c r="E6" s="21" t="s">
        <v>47</v>
      </c>
      <c r="H6" s="27">
        <v>0</v>
      </c>
      <c r="I6" s="1">
        <v>14</v>
      </c>
      <c r="J6" s="27">
        <v>0</v>
      </c>
      <c r="K6" s="27">
        <v>0</v>
      </c>
      <c r="L6" s="1">
        <f>SUM(H6:K6)</f>
        <v>14</v>
      </c>
      <c r="M6" s="1">
        <v>1.5</v>
      </c>
      <c r="N6" s="27">
        <v>0</v>
      </c>
      <c r="O6" s="1">
        <v>186</v>
      </c>
      <c r="P6" s="27">
        <v>0</v>
      </c>
      <c r="Q6" s="1">
        <v>0</v>
      </c>
      <c r="R6" s="1">
        <f>SUM(N6:Q6)</f>
        <v>186</v>
      </c>
      <c r="S6" s="1">
        <v>55</v>
      </c>
      <c r="T6" s="27">
        <v>0</v>
      </c>
      <c r="U6" s="1">
        <v>0</v>
      </c>
      <c r="V6" s="27">
        <v>0</v>
      </c>
      <c r="W6" s="27">
        <v>0</v>
      </c>
      <c r="X6" s="1">
        <f>SUM(T6:W6)</f>
        <v>0</v>
      </c>
      <c r="Y6" s="1">
        <v>0</v>
      </c>
      <c r="Z6" s="27">
        <v>0</v>
      </c>
      <c r="AA6" s="1">
        <v>6</v>
      </c>
      <c r="AB6" s="27">
        <v>0</v>
      </c>
      <c r="AC6" s="27">
        <v>0</v>
      </c>
      <c r="AD6" s="1">
        <f>SUM(Z6:AC6)</f>
        <v>6</v>
      </c>
      <c r="AE6" s="1">
        <v>0.5</v>
      </c>
      <c r="AF6" s="23">
        <f>SUM(H6,N6,T6,Z6)</f>
        <v>0</v>
      </c>
      <c r="AG6" s="23">
        <f t="shared" ref="AG6:AI6" si="0">SUM(I6,O6,U6,AA6)</f>
        <v>206</v>
      </c>
      <c r="AH6" s="23">
        <f t="shared" si="0"/>
        <v>0</v>
      </c>
      <c r="AI6" s="23">
        <f t="shared" si="0"/>
        <v>0</v>
      </c>
      <c r="AJ6" s="23">
        <f>SUM(AF6:AI6)</f>
        <v>206</v>
      </c>
      <c r="AK6" s="23">
        <f>M6+S6+Y6+AE6</f>
        <v>57</v>
      </c>
      <c r="AL6" s="28" t="s">
        <v>48</v>
      </c>
    </row>
    <row r="7" spans="1:38" x14ac:dyDescent="0.25">
      <c r="A7">
        <v>2011</v>
      </c>
      <c r="B7" s="21" t="s">
        <v>46</v>
      </c>
      <c r="C7" s="12">
        <v>40745</v>
      </c>
      <c r="D7" s="3">
        <v>67</v>
      </c>
      <c r="E7" s="21" t="s">
        <v>49</v>
      </c>
      <c r="H7" s="27" t="s">
        <v>1</v>
      </c>
      <c r="I7" s="27" t="s">
        <v>1</v>
      </c>
      <c r="J7" s="27">
        <v>0</v>
      </c>
      <c r="K7" s="27">
        <v>2</v>
      </c>
      <c r="L7" s="1">
        <f t="shared" ref="L7:L11" si="1">SUM(H7:K7)</f>
        <v>2</v>
      </c>
      <c r="M7" s="27">
        <v>55</v>
      </c>
      <c r="N7" s="27" t="s">
        <v>1</v>
      </c>
      <c r="O7" s="1" t="s">
        <v>1</v>
      </c>
      <c r="P7" s="27">
        <v>0</v>
      </c>
      <c r="Q7" s="1">
        <v>0</v>
      </c>
      <c r="R7" s="1">
        <f t="shared" ref="R7:R95" si="2">SUM(N7:Q7)</f>
        <v>0</v>
      </c>
      <c r="S7" s="27">
        <v>0</v>
      </c>
      <c r="T7" s="1" t="s">
        <v>1</v>
      </c>
      <c r="U7" s="27" t="s">
        <v>1</v>
      </c>
      <c r="V7" s="27">
        <v>0</v>
      </c>
      <c r="W7" s="27">
        <v>1</v>
      </c>
      <c r="X7" s="1">
        <f t="shared" ref="X7:X95" si="3">SUM(T7:W7)</f>
        <v>1</v>
      </c>
      <c r="Y7" s="27">
        <v>55</v>
      </c>
      <c r="Z7" s="27" t="s">
        <v>1</v>
      </c>
      <c r="AA7" s="27" t="s">
        <v>1</v>
      </c>
      <c r="AB7" s="27">
        <v>0</v>
      </c>
      <c r="AC7" s="27">
        <v>3</v>
      </c>
      <c r="AD7" s="1">
        <f t="shared" ref="AD7:AD95" si="4">SUM(Z7:AC7)</f>
        <v>3</v>
      </c>
      <c r="AE7" s="27">
        <v>45</v>
      </c>
      <c r="AF7" s="23">
        <f t="shared" ref="AF7:AF8" si="5">SUM(H7,N7,T7,Z7)</f>
        <v>0</v>
      </c>
      <c r="AG7" s="23">
        <f t="shared" ref="AG7:AG8" si="6">SUM(I7,O7,U7,AA7)</f>
        <v>0</v>
      </c>
      <c r="AH7" s="23">
        <f t="shared" ref="AH7:AH8" si="7">SUM(J7,P7,V7,AB7)</f>
        <v>0</v>
      </c>
      <c r="AI7" s="23">
        <f t="shared" ref="AI7:AI8" si="8">SUM(K7,Q7,W7,AC7)</f>
        <v>6</v>
      </c>
      <c r="AJ7" s="23">
        <f t="shared" ref="AJ7:AJ8" si="9">SUM(AF7:AI7)</f>
        <v>6</v>
      </c>
      <c r="AK7" s="23">
        <f t="shared" ref="AK7:AK8" si="10">M7+S7+Y7+AE7</f>
        <v>155</v>
      </c>
    </row>
    <row r="8" spans="1:38" x14ac:dyDescent="0.25">
      <c r="A8">
        <v>2011</v>
      </c>
      <c r="B8" s="21" t="s">
        <v>46</v>
      </c>
      <c r="C8" s="12">
        <v>40745</v>
      </c>
      <c r="D8" s="3">
        <v>67</v>
      </c>
      <c r="E8" s="21" t="s">
        <v>50</v>
      </c>
      <c r="H8" s="27" t="s">
        <v>1</v>
      </c>
      <c r="I8" s="1" t="s">
        <v>1</v>
      </c>
      <c r="J8" s="27">
        <v>0</v>
      </c>
      <c r="K8" s="27">
        <v>0</v>
      </c>
      <c r="L8" s="1">
        <f t="shared" si="1"/>
        <v>0</v>
      </c>
      <c r="M8" s="1">
        <v>0</v>
      </c>
      <c r="N8" s="27" t="s">
        <v>1</v>
      </c>
      <c r="O8" s="1" t="s">
        <v>1</v>
      </c>
      <c r="P8" s="27">
        <v>0</v>
      </c>
      <c r="Q8" s="1">
        <v>1</v>
      </c>
      <c r="R8" s="1">
        <f t="shared" si="2"/>
        <v>1</v>
      </c>
      <c r="S8" s="27">
        <v>15</v>
      </c>
      <c r="T8" s="27" t="s">
        <v>1</v>
      </c>
      <c r="U8" s="1" t="s">
        <v>1</v>
      </c>
      <c r="V8" s="27">
        <v>0</v>
      </c>
      <c r="W8" s="27">
        <v>0</v>
      </c>
      <c r="X8" s="1">
        <f t="shared" si="3"/>
        <v>0</v>
      </c>
      <c r="Y8" s="1">
        <v>0</v>
      </c>
      <c r="Z8" s="27" t="s">
        <v>1</v>
      </c>
      <c r="AA8" s="1" t="s">
        <v>1</v>
      </c>
      <c r="AB8" s="27">
        <v>0</v>
      </c>
      <c r="AC8" s="27">
        <v>0</v>
      </c>
      <c r="AD8" s="1">
        <f t="shared" si="4"/>
        <v>0</v>
      </c>
      <c r="AE8" s="1">
        <v>0</v>
      </c>
      <c r="AF8" s="23">
        <f t="shared" si="5"/>
        <v>0</v>
      </c>
      <c r="AG8" s="23">
        <f t="shared" si="6"/>
        <v>0</v>
      </c>
      <c r="AH8" s="23">
        <f t="shared" si="7"/>
        <v>0</v>
      </c>
      <c r="AI8" s="23">
        <f t="shared" si="8"/>
        <v>1</v>
      </c>
      <c r="AJ8" s="23">
        <f t="shared" si="9"/>
        <v>1</v>
      </c>
      <c r="AK8" s="23">
        <f t="shared" si="10"/>
        <v>15</v>
      </c>
    </row>
    <row r="9" spans="1:38" x14ac:dyDescent="0.25">
      <c r="A9">
        <v>2011</v>
      </c>
      <c r="B9" s="21" t="s">
        <v>46</v>
      </c>
      <c r="C9" s="12">
        <v>40745</v>
      </c>
      <c r="D9" s="3">
        <v>68</v>
      </c>
      <c r="E9" s="21" t="s">
        <v>47</v>
      </c>
      <c r="H9" s="27">
        <v>0</v>
      </c>
      <c r="I9" s="1">
        <v>152</v>
      </c>
      <c r="J9" s="27">
        <v>0</v>
      </c>
      <c r="K9" s="27">
        <v>1</v>
      </c>
      <c r="L9" s="1">
        <f t="shared" si="1"/>
        <v>153</v>
      </c>
      <c r="M9" s="1">
        <v>65</v>
      </c>
      <c r="N9" s="27">
        <v>0</v>
      </c>
      <c r="O9" s="1">
        <v>89</v>
      </c>
      <c r="P9" s="27">
        <v>0</v>
      </c>
      <c r="Q9" s="1">
        <v>0</v>
      </c>
      <c r="R9" s="1">
        <f t="shared" si="2"/>
        <v>89</v>
      </c>
      <c r="S9" s="27">
        <v>15</v>
      </c>
      <c r="T9" s="27">
        <v>0</v>
      </c>
      <c r="U9" s="1">
        <v>0</v>
      </c>
      <c r="V9" s="27">
        <v>0</v>
      </c>
      <c r="W9" s="27">
        <v>0</v>
      </c>
      <c r="X9" s="1">
        <f t="shared" si="3"/>
        <v>0</v>
      </c>
      <c r="Y9" s="1">
        <v>0</v>
      </c>
      <c r="Z9" s="27">
        <v>0</v>
      </c>
      <c r="AA9" s="1">
        <v>118</v>
      </c>
      <c r="AB9" s="27">
        <v>0</v>
      </c>
      <c r="AC9" s="27">
        <v>0</v>
      </c>
      <c r="AD9" s="1">
        <f t="shared" si="4"/>
        <v>118</v>
      </c>
      <c r="AE9" s="1">
        <v>25</v>
      </c>
      <c r="AF9" s="23">
        <f t="shared" ref="AF9:AF12" si="11">SUM(H9,N9,T9,Z9)</f>
        <v>0</v>
      </c>
      <c r="AG9" s="23">
        <f t="shared" ref="AG9:AG12" si="12">SUM(I9,O9,U9,AA9)</f>
        <v>359</v>
      </c>
      <c r="AH9" s="23">
        <f t="shared" ref="AH9:AH95" si="13">SUM(J9,P9,V9,AB9)</f>
        <v>0</v>
      </c>
      <c r="AI9" s="23">
        <f t="shared" ref="AI9:AI53" si="14">SUM(K9,Q9,W9,AC9)</f>
        <v>1</v>
      </c>
      <c r="AJ9" s="23">
        <f t="shared" ref="AJ9:AJ53" si="15">SUM(AF9:AI9)</f>
        <v>360</v>
      </c>
      <c r="AK9" s="23">
        <f t="shared" ref="AK9:AK95" si="16">M9+S9+Y9+AE9</f>
        <v>105</v>
      </c>
    </row>
    <row r="10" spans="1:38" x14ac:dyDescent="0.25">
      <c r="A10">
        <v>2011</v>
      </c>
      <c r="B10" s="21" t="s">
        <v>46</v>
      </c>
      <c r="C10" s="12">
        <v>40745</v>
      </c>
      <c r="D10" s="3">
        <v>68</v>
      </c>
      <c r="E10" s="21" t="s">
        <v>51</v>
      </c>
      <c r="H10" s="27" t="s">
        <v>1</v>
      </c>
      <c r="I10" s="27" t="s">
        <v>1</v>
      </c>
      <c r="J10" s="27">
        <v>1</v>
      </c>
      <c r="K10" s="27">
        <v>1</v>
      </c>
      <c r="L10" s="1">
        <f t="shared" si="1"/>
        <v>2</v>
      </c>
      <c r="M10" s="27">
        <v>25</v>
      </c>
      <c r="N10" s="27" t="s">
        <v>1</v>
      </c>
      <c r="O10" s="27" t="s">
        <v>1</v>
      </c>
      <c r="P10" s="27">
        <v>0</v>
      </c>
      <c r="Q10" s="1">
        <v>0</v>
      </c>
      <c r="R10" s="1">
        <f t="shared" si="2"/>
        <v>0</v>
      </c>
      <c r="S10" s="27">
        <v>0</v>
      </c>
      <c r="T10" s="27" t="s">
        <v>1</v>
      </c>
      <c r="U10" s="1" t="s">
        <v>1</v>
      </c>
      <c r="V10" s="27">
        <v>0</v>
      </c>
      <c r="W10" s="27">
        <v>0</v>
      </c>
      <c r="X10" s="1">
        <f t="shared" si="3"/>
        <v>0</v>
      </c>
      <c r="Y10" s="1">
        <v>0</v>
      </c>
      <c r="Z10" s="27" t="s">
        <v>1</v>
      </c>
      <c r="AA10" s="27" t="s">
        <v>1</v>
      </c>
      <c r="AB10" s="27">
        <v>0</v>
      </c>
      <c r="AC10" s="27">
        <v>0</v>
      </c>
      <c r="AD10" s="1">
        <f t="shared" si="4"/>
        <v>0</v>
      </c>
      <c r="AE10" s="27">
        <v>0</v>
      </c>
      <c r="AF10" s="23">
        <f t="shared" si="11"/>
        <v>0</v>
      </c>
      <c r="AG10" s="23">
        <f t="shared" si="12"/>
        <v>0</v>
      </c>
      <c r="AH10" s="23">
        <f t="shared" si="13"/>
        <v>1</v>
      </c>
      <c r="AI10" s="23">
        <f t="shared" si="14"/>
        <v>1</v>
      </c>
      <c r="AJ10" s="23">
        <f t="shared" si="15"/>
        <v>2</v>
      </c>
      <c r="AK10" s="23">
        <f t="shared" si="16"/>
        <v>25</v>
      </c>
    </row>
    <row r="11" spans="1:38" x14ac:dyDescent="0.25">
      <c r="A11">
        <v>2011</v>
      </c>
      <c r="B11" s="21" t="s">
        <v>46</v>
      </c>
      <c r="C11" s="12">
        <v>40745</v>
      </c>
      <c r="D11" s="3">
        <v>68</v>
      </c>
      <c r="E11" s="21" t="s">
        <v>49</v>
      </c>
      <c r="H11" s="27" t="s">
        <v>1</v>
      </c>
      <c r="I11" s="27" t="s">
        <v>1</v>
      </c>
      <c r="J11" s="27">
        <v>0</v>
      </c>
      <c r="K11" s="27">
        <v>1</v>
      </c>
      <c r="L11" s="1">
        <f t="shared" si="1"/>
        <v>1</v>
      </c>
      <c r="M11" s="27">
        <v>55</v>
      </c>
      <c r="N11" s="27" t="s">
        <v>1</v>
      </c>
      <c r="O11" s="27" t="s">
        <v>1</v>
      </c>
      <c r="P11" s="27">
        <v>0</v>
      </c>
      <c r="Q11" s="1">
        <v>1</v>
      </c>
      <c r="R11" s="1">
        <f t="shared" si="2"/>
        <v>1</v>
      </c>
      <c r="S11" s="27">
        <v>3.5</v>
      </c>
      <c r="T11" s="27" t="s">
        <v>1</v>
      </c>
      <c r="U11" s="1" t="s">
        <v>1</v>
      </c>
      <c r="V11" s="27">
        <v>0</v>
      </c>
      <c r="W11" s="27">
        <v>0</v>
      </c>
      <c r="X11" s="1">
        <f t="shared" si="3"/>
        <v>0</v>
      </c>
      <c r="Y11" s="1">
        <v>0</v>
      </c>
      <c r="Z11" s="27" t="s">
        <v>1</v>
      </c>
      <c r="AA11" s="27" t="s">
        <v>1</v>
      </c>
      <c r="AB11" s="27">
        <v>0</v>
      </c>
      <c r="AC11" s="27">
        <v>0</v>
      </c>
      <c r="AD11" s="1">
        <f t="shared" si="4"/>
        <v>0</v>
      </c>
      <c r="AE11" s="27">
        <v>0</v>
      </c>
      <c r="AF11" s="23">
        <f t="shared" si="11"/>
        <v>0</v>
      </c>
      <c r="AG11" s="23">
        <f t="shared" si="12"/>
        <v>0</v>
      </c>
      <c r="AH11" s="23">
        <f t="shared" si="13"/>
        <v>0</v>
      </c>
      <c r="AI11" s="23">
        <f t="shared" si="14"/>
        <v>2</v>
      </c>
      <c r="AJ11" s="23">
        <f t="shared" si="15"/>
        <v>2</v>
      </c>
      <c r="AK11" s="23">
        <f t="shared" si="16"/>
        <v>58.5</v>
      </c>
    </row>
    <row r="12" spans="1:38" x14ac:dyDescent="0.25">
      <c r="A12">
        <v>2011</v>
      </c>
      <c r="B12" s="21" t="s">
        <v>46</v>
      </c>
      <c r="C12" s="12">
        <v>40745</v>
      </c>
      <c r="D12" s="3">
        <v>68</v>
      </c>
      <c r="E12" s="21" t="s">
        <v>52</v>
      </c>
      <c r="H12" s="1" t="s">
        <v>1</v>
      </c>
      <c r="I12" s="1" t="s">
        <v>1</v>
      </c>
      <c r="J12" s="1">
        <v>0</v>
      </c>
      <c r="K12" s="1">
        <v>1</v>
      </c>
      <c r="L12" s="1">
        <f>SUM(H12:K12)</f>
        <v>1</v>
      </c>
      <c r="M12" s="1">
        <v>45</v>
      </c>
      <c r="N12" s="1" t="s">
        <v>1</v>
      </c>
      <c r="O12" s="1" t="s">
        <v>1</v>
      </c>
      <c r="P12" s="27">
        <v>0</v>
      </c>
      <c r="Q12" s="1">
        <v>0</v>
      </c>
      <c r="R12" s="1">
        <f t="shared" si="2"/>
        <v>0</v>
      </c>
      <c r="S12" s="1">
        <v>0</v>
      </c>
      <c r="T12" s="1" t="s">
        <v>1</v>
      </c>
      <c r="U12" s="1" t="s">
        <v>1</v>
      </c>
      <c r="V12" s="27">
        <v>0</v>
      </c>
      <c r="W12" s="27">
        <v>0</v>
      </c>
      <c r="X12" s="1">
        <f t="shared" si="3"/>
        <v>0</v>
      </c>
      <c r="Y12" s="1">
        <v>0</v>
      </c>
      <c r="Z12" s="27" t="s">
        <v>1</v>
      </c>
      <c r="AA12" s="1" t="s">
        <v>1</v>
      </c>
      <c r="AB12" s="27">
        <v>0</v>
      </c>
      <c r="AC12" s="27">
        <v>0</v>
      </c>
      <c r="AD12" s="1">
        <f t="shared" si="4"/>
        <v>0</v>
      </c>
      <c r="AE12" s="1">
        <v>0</v>
      </c>
      <c r="AF12" s="23">
        <f t="shared" si="11"/>
        <v>0</v>
      </c>
      <c r="AG12" s="23">
        <f t="shared" si="12"/>
        <v>0</v>
      </c>
      <c r="AH12" s="23">
        <f t="shared" si="13"/>
        <v>0</v>
      </c>
      <c r="AI12" s="23">
        <f t="shared" si="14"/>
        <v>1</v>
      </c>
      <c r="AJ12" s="23">
        <f t="shared" si="15"/>
        <v>1</v>
      </c>
      <c r="AK12" s="23">
        <f t="shared" si="16"/>
        <v>45</v>
      </c>
    </row>
    <row r="13" spans="1:38" x14ac:dyDescent="0.25">
      <c r="A13">
        <v>2011</v>
      </c>
      <c r="B13" s="21" t="s">
        <v>46</v>
      </c>
      <c r="C13" s="12">
        <v>40745</v>
      </c>
      <c r="D13" s="3">
        <v>69</v>
      </c>
      <c r="E13" s="21" t="s">
        <v>47</v>
      </c>
      <c r="H13" s="1">
        <v>0</v>
      </c>
      <c r="I13" s="1">
        <v>112</v>
      </c>
      <c r="J13" s="1">
        <v>1</v>
      </c>
      <c r="K13" s="1">
        <v>0</v>
      </c>
      <c r="L13" s="1">
        <f t="shared" ref="L13:L95" si="17">SUM(H13:K13)</f>
        <v>113</v>
      </c>
      <c r="M13" s="1">
        <v>35</v>
      </c>
      <c r="N13" s="1">
        <v>0</v>
      </c>
      <c r="O13" s="1">
        <v>62</v>
      </c>
      <c r="P13" s="1">
        <v>0</v>
      </c>
      <c r="Q13" s="1">
        <v>0</v>
      </c>
      <c r="R13" s="1">
        <f t="shared" si="2"/>
        <v>62</v>
      </c>
      <c r="S13" s="1">
        <v>8</v>
      </c>
      <c r="T13" s="1">
        <v>0</v>
      </c>
      <c r="U13" s="1">
        <v>94</v>
      </c>
      <c r="V13" s="1">
        <v>0</v>
      </c>
      <c r="W13" s="27">
        <v>0</v>
      </c>
      <c r="X13" s="1">
        <f t="shared" si="3"/>
        <v>94</v>
      </c>
      <c r="Y13" s="1">
        <v>35</v>
      </c>
      <c r="Z13" s="27">
        <v>0</v>
      </c>
      <c r="AA13" s="1">
        <v>19</v>
      </c>
      <c r="AB13" s="27">
        <v>0</v>
      </c>
      <c r="AC13" s="27">
        <v>0</v>
      </c>
      <c r="AD13" s="1">
        <f t="shared" si="4"/>
        <v>19</v>
      </c>
      <c r="AE13" s="1">
        <v>3.5</v>
      </c>
      <c r="AF13" s="23">
        <f t="shared" ref="AF13:AF15" si="18">SUM(H13,N13,T13,Z13)</f>
        <v>0</v>
      </c>
      <c r="AG13" s="23">
        <f t="shared" ref="AG13:AG15" si="19">SUM(I13,O13,U13,AA13)</f>
        <v>287</v>
      </c>
      <c r="AH13" s="23">
        <f t="shared" si="13"/>
        <v>1</v>
      </c>
      <c r="AI13" s="23">
        <f t="shared" si="14"/>
        <v>0</v>
      </c>
      <c r="AJ13" s="23">
        <f t="shared" si="15"/>
        <v>288</v>
      </c>
      <c r="AK13" s="23">
        <f t="shared" si="16"/>
        <v>81.5</v>
      </c>
    </row>
    <row r="14" spans="1:38" x14ac:dyDescent="0.25">
      <c r="A14">
        <v>2011</v>
      </c>
      <c r="B14" s="21" t="s">
        <v>46</v>
      </c>
      <c r="C14" s="12">
        <v>40745</v>
      </c>
      <c r="D14" s="3">
        <v>69</v>
      </c>
      <c r="E14" s="21" t="s">
        <v>49</v>
      </c>
      <c r="H14" s="27" t="s">
        <v>1</v>
      </c>
      <c r="I14" s="27" t="s">
        <v>1</v>
      </c>
      <c r="J14" s="1">
        <v>0</v>
      </c>
      <c r="K14" s="1">
        <v>2</v>
      </c>
      <c r="L14" s="1">
        <f t="shared" si="17"/>
        <v>2</v>
      </c>
      <c r="M14" s="1">
        <v>35</v>
      </c>
      <c r="N14" s="27" t="s">
        <v>1</v>
      </c>
      <c r="O14" s="27" t="s">
        <v>1</v>
      </c>
      <c r="P14" s="1">
        <v>0</v>
      </c>
      <c r="Q14" s="1">
        <v>0</v>
      </c>
      <c r="R14" s="1">
        <f t="shared" si="2"/>
        <v>0</v>
      </c>
      <c r="S14" s="1">
        <v>0</v>
      </c>
      <c r="T14" s="27" t="s">
        <v>1</v>
      </c>
      <c r="U14" s="27" t="s">
        <v>1</v>
      </c>
      <c r="V14" s="1">
        <v>0</v>
      </c>
      <c r="W14" s="27">
        <v>0</v>
      </c>
      <c r="X14" s="1">
        <f t="shared" si="3"/>
        <v>0</v>
      </c>
      <c r="Y14" s="1">
        <v>0</v>
      </c>
      <c r="Z14" s="27" t="s">
        <v>1</v>
      </c>
      <c r="AA14" s="27" t="s">
        <v>1</v>
      </c>
      <c r="AB14" s="27">
        <v>0</v>
      </c>
      <c r="AC14" s="27">
        <v>0</v>
      </c>
      <c r="AD14" s="1">
        <f t="shared" si="4"/>
        <v>0</v>
      </c>
      <c r="AE14" s="1">
        <v>0</v>
      </c>
      <c r="AF14" s="23">
        <f t="shared" si="18"/>
        <v>0</v>
      </c>
      <c r="AG14" s="23">
        <f t="shared" si="19"/>
        <v>0</v>
      </c>
      <c r="AH14" s="23">
        <f t="shared" si="13"/>
        <v>0</v>
      </c>
      <c r="AI14" s="23">
        <f t="shared" si="14"/>
        <v>2</v>
      </c>
      <c r="AJ14" s="23">
        <f t="shared" si="15"/>
        <v>2</v>
      </c>
      <c r="AK14" s="23">
        <f t="shared" si="16"/>
        <v>35</v>
      </c>
    </row>
    <row r="15" spans="1:38" x14ac:dyDescent="0.25">
      <c r="A15">
        <v>2011</v>
      </c>
      <c r="B15" s="21" t="s">
        <v>46</v>
      </c>
      <c r="C15" s="12">
        <v>40745</v>
      </c>
      <c r="D15" s="3">
        <v>69</v>
      </c>
      <c r="E15" s="21" t="s">
        <v>51</v>
      </c>
      <c r="H15" s="27" t="s">
        <v>1</v>
      </c>
      <c r="I15" s="27" t="s">
        <v>1</v>
      </c>
      <c r="J15" s="1">
        <v>6</v>
      </c>
      <c r="K15" s="1">
        <v>0</v>
      </c>
      <c r="L15" s="1">
        <f t="shared" si="17"/>
        <v>6</v>
      </c>
      <c r="M15" s="1">
        <v>0</v>
      </c>
      <c r="N15" s="27" t="s">
        <v>1</v>
      </c>
      <c r="O15" s="27" t="s">
        <v>1</v>
      </c>
      <c r="P15" s="1">
        <v>6</v>
      </c>
      <c r="Q15" s="1">
        <v>0</v>
      </c>
      <c r="R15" s="1">
        <f t="shared" si="2"/>
        <v>6</v>
      </c>
      <c r="S15" s="1">
        <v>3.5</v>
      </c>
      <c r="T15" s="27" t="s">
        <v>1</v>
      </c>
      <c r="U15" s="27" t="s">
        <v>1</v>
      </c>
      <c r="V15" s="1">
        <v>4</v>
      </c>
      <c r="W15" s="27">
        <v>0</v>
      </c>
      <c r="X15" s="1">
        <f t="shared" si="3"/>
        <v>4</v>
      </c>
      <c r="Y15" s="1">
        <v>3.5</v>
      </c>
      <c r="Z15" s="27" t="s">
        <v>1</v>
      </c>
      <c r="AA15" s="27" t="s">
        <v>1</v>
      </c>
      <c r="AB15" s="27">
        <v>1</v>
      </c>
      <c r="AC15" s="27">
        <v>0</v>
      </c>
      <c r="AD15" s="1">
        <f t="shared" si="4"/>
        <v>1</v>
      </c>
      <c r="AE15" s="1">
        <v>1.5</v>
      </c>
      <c r="AF15" s="23">
        <f t="shared" si="18"/>
        <v>0</v>
      </c>
      <c r="AG15" s="23">
        <f t="shared" si="19"/>
        <v>0</v>
      </c>
      <c r="AH15" s="23">
        <f t="shared" si="13"/>
        <v>17</v>
      </c>
      <c r="AI15" s="23">
        <f t="shared" si="14"/>
        <v>0</v>
      </c>
      <c r="AJ15" s="23">
        <f t="shared" si="15"/>
        <v>17</v>
      </c>
      <c r="AK15" s="23">
        <f t="shared" si="16"/>
        <v>8.5</v>
      </c>
      <c r="AL15" s="28" t="s">
        <v>53</v>
      </c>
    </row>
    <row r="16" spans="1:38" x14ac:dyDescent="0.25">
      <c r="A16">
        <v>2011</v>
      </c>
      <c r="B16" s="21" t="s">
        <v>46</v>
      </c>
      <c r="C16" s="12">
        <v>40751</v>
      </c>
      <c r="D16" s="3">
        <v>70</v>
      </c>
      <c r="E16" s="21" t="s">
        <v>47</v>
      </c>
      <c r="H16" s="1">
        <v>0</v>
      </c>
      <c r="I16" s="1">
        <v>72</v>
      </c>
      <c r="J16" s="1">
        <v>2</v>
      </c>
      <c r="K16" s="1">
        <v>0</v>
      </c>
      <c r="L16" s="1">
        <f t="shared" ref="L16:L34" si="20">SUM(H16:K16)</f>
        <v>74</v>
      </c>
      <c r="M16" s="1">
        <v>25</v>
      </c>
      <c r="N16" s="1">
        <v>0</v>
      </c>
      <c r="O16" s="1">
        <v>0</v>
      </c>
      <c r="P16" s="1">
        <v>0</v>
      </c>
      <c r="Q16" s="1">
        <v>0</v>
      </c>
      <c r="R16" s="1">
        <f t="shared" ref="R16:R34" si="21">SUM(N16:Q16)</f>
        <v>0</v>
      </c>
      <c r="S16" s="1">
        <v>0</v>
      </c>
      <c r="T16" s="1">
        <v>0</v>
      </c>
      <c r="U16" s="1">
        <v>42</v>
      </c>
      <c r="V16" s="1">
        <v>0</v>
      </c>
      <c r="W16" s="1">
        <v>0</v>
      </c>
      <c r="X16" s="1">
        <f t="shared" ref="X16:X34" si="22">SUM(T16:W16)</f>
        <v>42</v>
      </c>
      <c r="Y16" s="1">
        <v>15</v>
      </c>
      <c r="Z16" s="1">
        <v>0</v>
      </c>
      <c r="AA16" s="1">
        <v>87</v>
      </c>
      <c r="AB16" s="1">
        <v>4</v>
      </c>
      <c r="AC16" s="1">
        <v>1</v>
      </c>
      <c r="AD16" s="1">
        <f t="shared" ref="AD16:AD34" si="23">SUM(Z16:AC16)</f>
        <v>92</v>
      </c>
      <c r="AE16" s="1">
        <v>45</v>
      </c>
      <c r="AF16" s="23">
        <f t="shared" ref="AF16:AF23" si="24">SUM(H16,N16,T16,Z16)</f>
        <v>0</v>
      </c>
      <c r="AG16" s="23">
        <f t="shared" ref="AG16:AI23" si="25">SUM(I16,O16,U16,AA16)</f>
        <v>201</v>
      </c>
      <c r="AH16" s="9">
        <f t="shared" si="25"/>
        <v>6</v>
      </c>
      <c r="AI16" s="23">
        <f t="shared" si="25"/>
        <v>1</v>
      </c>
      <c r="AJ16" s="23">
        <f t="shared" ref="AJ16:AJ34" si="26">SUM(AF16:AI16)</f>
        <v>208</v>
      </c>
      <c r="AK16" s="23">
        <f t="shared" ref="AK16:AK34" si="27">M16+S16+Y16+AE16</f>
        <v>85</v>
      </c>
    </row>
    <row r="17" spans="1:38" x14ac:dyDescent="0.25">
      <c r="A17">
        <v>2011</v>
      </c>
      <c r="B17" s="21" t="s">
        <v>46</v>
      </c>
      <c r="C17" s="12">
        <v>40751</v>
      </c>
      <c r="D17" s="3">
        <v>70</v>
      </c>
      <c r="E17" s="21" t="s">
        <v>54</v>
      </c>
      <c r="H17" s="1" t="s">
        <v>1</v>
      </c>
      <c r="I17" s="1" t="s">
        <v>1</v>
      </c>
      <c r="J17" s="1">
        <v>6</v>
      </c>
      <c r="K17" s="1">
        <v>0</v>
      </c>
      <c r="L17" s="1">
        <f t="shared" si="20"/>
        <v>6</v>
      </c>
      <c r="M17" s="1">
        <v>15</v>
      </c>
      <c r="N17" s="1" t="s">
        <v>1</v>
      </c>
      <c r="O17" s="1" t="s">
        <v>1</v>
      </c>
      <c r="P17" s="1">
        <v>0</v>
      </c>
      <c r="Q17" s="1">
        <v>0</v>
      </c>
      <c r="R17" s="1">
        <f t="shared" si="21"/>
        <v>0</v>
      </c>
      <c r="S17" s="1">
        <v>0</v>
      </c>
      <c r="T17" s="1" t="s">
        <v>1</v>
      </c>
      <c r="U17" s="1" t="s">
        <v>1</v>
      </c>
      <c r="V17" s="1">
        <v>7</v>
      </c>
      <c r="W17" s="1">
        <v>0</v>
      </c>
      <c r="X17" s="1">
        <f t="shared" si="22"/>
        <v>7</v>
      </c>
      <c r="Y17" s="1">
        <v>15</v>
      </c>
      <c r="Z17" s="1" t="s">
        <v>1</v>
      </c>
      <c r="AA17" s="1" t="s">
        <v>1</v>
      </c>
      <c r="AB17" s="1">
        <v>9</v>
      </c>
      <c r="AC17" s="1">
        <v>2</v>
      </c>
      <c r="AD17" s="1">
        <f t="shared" si="23"/>
        <v>11</v>
      </c>
      <c r="AE17" s="1">
        <v>15</v>
      </c>
      <c r="AF17" s="23">
        <f t="shared" si="24"/>
        <v>0</v>
      </c>
      <c r="AG17" s="23">
        <f t="shared" si="25"/>
        <v>0</v>
      </c>
      <c r="AH17" s="9">
        <f t="shared" si="25"/>
        <v>22</v>
      </c>
      <c r="AI17" s="23">
        <f t="shared" si="25"/>
        <v>2</v>
      </c>
      <c r="AJ17" s="23">
        <f t="shared" si="26"/>
        <v>24</v>
      </c>
      <c r="AK17" s="23">
        <f t="shared" si="27"/>
        <v>45</v>
      </c>
      <c r="AL17" s="28" t="s">
        <v>55</v>
      </c>
    </row>
    <row r="18" spans="1:38" x14ac:dyDescent="0.25">
      <c r="A18">
        <v>2011</v>
      </c>
      <c r="B18" s="21" t="s">
        <v>46</v>
      </c>
      <c r="C18" s="12">
        <v>40751</v>
      </c>
      <c r="D18" s="3">
        <v>70</v>
      </c>
      <c r="E18" s="21" t="s">
        <v>56</v>
      </c>
      <c r="H18" s="27" t="s">
        <v>1</v>
      </c>
      <c r="I18" s="27" t="s">
        <v>1</v>
      </c>
      <c r="J18" s="1">
        <v>3</v>
      </c>
      <c r="K18" s="1">
        <v>0</v>
      </c>
      <c r="L18" s="1">
        <f t="shared" si="20"/>
        <v>3</v>
      </c>
      <c r="M18" s="1">
        <v>0.5</v>
      </c>
      <c r="N18" s="1" t="s">
        <v>1</v>
      </c>
      <c r="O18" s="1" t="s">
        <v>1</v>
      </c>
      <c r="P18" s="1">
        <v>0</v>
      </c>
      <c r="Q18" s="1">
        <v>0</v>
      </c>
      <c r="R18" s="1">
        <f t="shared" si="21"/>
        <v>0</v>
      </c>
      <c r="S18" s="1">
        <v>0</v>
      </c>
      <c r="T18" s="1" t="s">
        <v>1</v>
      </c>
      <c r="U18" s="1" t="s">
        <v>1</v>
      </c>
      <c r="V18" s="1">
        <v>0</v>
      </c>
      <c r="W18" s="1">
        <v>0</v>
      </c>
      <c r="X18" s="1">
        <f t="shared" si="22"/>
        <v>0</v>
      </c>
      <c r="Y18" s="1">
        <v>0</v>
      </c>
      <c r="Z18" s="1" t="s">
        <v>1</v>
      </c>
      <c r="AA18" s="1" t="s">
        <v>1</v>
      </c>
      <c r="AB18" s="1">
        <v>0</v>
      </c>
      <c r="AC18" s="1">
        <v>0</v>
      </c>
      <c r="AD18" s="1">
        <f t="shared" si="23"/>
        <v>0</v>
      </c>
      <c r="AE18" s="1">
        <v>0</v>
      </c>
      <c r="AF18" s="23">
        <f t="shared" si="24"/>
        <v>0</v>
      </c>
      <c r="AG18" s="23">
        <f t="shared" si="25"/>
        <v>0</v>
      </c>
      <c r="AH18" s="9">
        <f t="shared" si="25"/>
        <v>3</v>
      </c>
      <c r="AI18" s="23">
        <f t="shared" si="25"/>
        <v>0</v>
      </c>
      <c r="AJ18" s="23">
        <f t="shared" si="26"/>
        <v>3</v>
      </c>
      <c r="AK18" s="23">
        <f t="shared" si="27"/>
        <v>0.5</v>
      </c>
      <c r="AL18" s="28" t="s">
        <v>57</v>
      </c>
    </row>
    <row r="19" spans="1:38" x14ac:dyDescent="0.25">
      <c r="A19">
        <v>2011</v>
      </c>
      <c r="B19" s="21" t="s">
        <v>46</v>
      </c>
      <c r="C19" s="12">
        <v>40751</v>
      </c>
      <c r="D19" s="3">
        <v>70</v>
      </c>
      <c r="E19" s="21" t="s">
        <v>49</v>
      </c>
      <c r="H19" s="1" t="s">
        <v>1</v>
      </c>
      <c r="I19" s="1" t="s">
        <v>1</v>
      </c>
      <c r="J19" s="1">
        <v>0</v>
      </c>
      <c r="K19" s="1">
        <v>1</v>
      </c>
      <c r="L19" s="1">
        <f t="shared" si="20"/>
        <v>1</v>
      </c>
      <c r="M19" s="1">
        <v>55</v>
      </c>
      <c r="N19" s="1" t="s">
        <v>1</v>
      </c>
      <c r="O19" s="1" t="s">
        <v>1</v>
      </c>
      <c r="P19" s="1">
        <v>0</v>
      </c>
      <c r="Q19" s="1">
        <v>0</v>
      </c>
      <c r="R19" s="1">
        <f t="shared" si="21"/>
        <v>0</v>
      </c>
      <c r="S19" s="1">
        <v>0</v>
      </c>
      <c r="T19" s="1" t="s">
        <v>1</v>
      </c>
      <c r="U19" s="1" t="s">
        <v>1</v>
      </c>
      <c r="V19" s="1">
        <v>0</v>
      </c>
      <c r="W19" s="1">
        <v>0</v>
      </c>
      <c r="X19" s="1">
        <f t="shared" si="22"/>
        <v>0</v>
      </c>
      <c r="Y19" s="1">
        <v>0</v>
      </c>
      <c r="Z19" s="1" t="s">
        <v>1</v>
      </c>
      <c r="AA19" s="1" t="s">
        <v>1</v>
      </c>
      <c r="AB19" s="1">
        <v>0</v>
      </c>
      <c r="AC19" s="1">
        <v>0</v>
      </c>
      <c r="AD19" s="1">
        <f t="shared" si="23"/>
        <v>0</v>
      </c>
      <c r="AE19" s="1">
        <v>0</v>
      </c>
      <c r="AF19" s="23">
        <f t="shared" si="24"/>
        <v>0</v>
      </c>
      <c r="AG19" s="23">
        <f t="shared" si="25"/>
        <v>0</v>
      </c>
      <c r="AH19" s="9">
        <f t="shared" si="25"/>
        <v>0</v>
      </c>
      <c r="AI19" s="23">
        <f t="shared" si="25"/>
        <v>1</v>
      </c>
      <c r="AJ19" s="23">
        <f t="shared" si="26"/>
        <v>1</v>
      </c>
      <c r="AK19" s="23">
        <f t="shared" si="27"/>
        <v>55</v>
      </c>
    </row>
    <row r="20" spans="1:38" x14ac:dyDescent="0.25">
      <c r="A20">
        <v>2011</v>
      </c>
      <c r="B20" s="21" t="s">
        <v>46</v>
      </c>
      <c r="C20" s="12">
        <v>40751</v>
      </c>
      <c r="D20" s="3">
        <v>70</v>
      </c>
      <c r="E20" s="21" t="s">
        <v>51</v>
      </c>
      <c r="H20" s="27" t="s">
        <v>1</v>
      </c>
      <c r="I20" s="27" t="s">
        <v>1</v>
      </c>
      <c r="J20" s="1">
        <v>0</v>
      </c>
      <c r="K20" s="1">
        <v>0</v>
      </c>
      <c r="L20" s="1">
        <f t="shared" si="20"/>
        <v>0</v>
      </c>
      <c r="M20" s="1">
        <v>0</v>
      </c>
      <c r="N20" s="1" t="s">
        <v>1</v>
      </c>
      <c r="O20" s="1" t="s">
        <v>1</v>
      </c>
      <c r="P20" s="1">
        <v>5</v>
      </c>
      <c r="Q20" s="1">
        <v>2</v>
      </c>
      <c r="R20" s="1">
        <f t="shared" si="21"/>
        <v>7</v>
      </c>
      <c r="S20" s="1">
        <v>8</v>
      </c>
      <c r="T20" s="1" t="s">
        <v>1</v>
      </c>
      <c r="U20" s="1" t="s">
        <v>1</v>
      </c>
      <c r="V20" s="1">
        <v>1</v>
      </c>
      <c r="W20" s="1">
        <v>1</v>
      </c>
      <c r="X20" s="1">
        <f t="shared" si="22"/>
        <v>2</v>
      </c>
      <c r="Y20" s="1">
        <v>15</v>
      </c>
      <c r="Z20" s="1" t="s">
        <v>1</v>
      </c>
      <c r="AA20" s="1" t="s">
        <v>1</v>
      </c>
      <c r="AB20" s="1">
        <v>0</v>
      </c>
      <c r="AC20" s="1">
        <v>0</v>
      </c>
      <c r="AD20" s="1">
        <f t="shared" si="23"/>
        <v>0</v>
      </c>
      <c r="AE20" s="1">
        <v>0</v>
      </c>
      <c r="AF20" s="23">
        <f t="shared" si="24"/>
        <v>0</v>
      </c>
      <c r="AG20" s="23">
        <f t="shared" si="25"/>
        <v>0</v>
      </c>
      <c r="AH20" s="9">
        <f t="shared" si="25"/>
        <v>6</v>
      </c>
      <c r="AI20" s="23">
        <f t="shared" si="25"/>
        <v>3</v>
      </c>
      <c r="AJ20" s="23">
        <f t="shared" si="26"/>
        <v>9</v>
      </c>
      <c r="AK20" s="23">
        <f t="shared" si="27"/>
        <v>23</v>
      </c>
    </row>
    <row r="21" spans="1:38" x14ac:dyDescent="0.25">
      <c r="A21">
        <v>2011</v>
      </c>
      <c r="B21" s="21" t="s">
        <v>46</v>
      </c>
      <c r="C21" s="12">
        <v>40751</v>
      </c>
      <c r="D21" s="3">
        <v>70</v>
      </c>
      <c r="E21" s="21" t="s">
        <v>58</v>
      </c>
      <c r="H21" s="1" t="s">
        <v>1</v>
      </c>
      <c r="I21" s="1" t="s">
        <v>1</v>
      </c>
      <c r="J21" s="1">
        <v>0</v>
      </c>
      <c r="K21" s="1">
        <v>0</v>
      </c>
      <c r="L21" s="1">
        <f t="shared" si="20"/>
        <v>0</v>
      </c>
      <c r="M21" s="1">
        <v>0</v>
      </c>
      <c r="N21" s="1" t="s">
        <v>1</v>
      </c>
      <c r="O21" s="1" t="s">
        <v>1</v>
      </c>
      <c r="P21" s="1">
        <v>0</v>
      </c>
      <c r="Q21" s="1">
        <v>0</v>
      </c>
      <c r="R21" s="1">
        <f t="shared" si="21"/>
        <v>0</v>
      </c>
      <c r="S21" s="1">
        <v>0</v>
      </c>
      <c r="T21" s="1" t="s">
        <v>1</v>
      </c>
      <c r="U21" s="1" t="s">
        <v>1</v>
      </c>
      <c r="V21" s="1">
        <v>4</v>
      </c>
      <c r="W21" s="1">
        <v>0</v>
      </c>
      <c r="X21" s="1">
        <f t="shared" si="22"/>
        <v>4</v>
      </c>
      <c r="Y21" s="1">
        <v>8</v>
      </c>
      <c r="Z21" s="1" t="s">
        <v>1</v>
      </c>
      <c r="AA21" s="1" t="s">
        <v>1</v>
      </c>
      <c r="AB21" s="1">
        <v>0</v>
      </c>
      <c r="AC21" s="1">
        <v>0</v>
      </c>
      <c r="AD21" s="1">
        <f t="shared" si="23"/>
        <v>0</v>
      </c>
      <c r="AE21" s="1">
        <v>0</v>
      </c>
      <c r="AF21" s="23">
        <f t="shared" si="24"/>
        <v>0</v>
      </c>
      <c r="AG21" s="23">
        <f t="shared" si="25"/>
        <v>0</v>
      </c>
      <c r="AH21" s="9">
        <f t="shared" si="25"/>
        <v>4</v>
      </c>
      <c r="AI21" s="23">
        <f t="shared" si="25"/>
        <v>0</v>
      </c>
      <c r="AJ21" s="23">
        <f t="shared" si="26"/>
        <v>4</v>
      </c>
      <c r="AK21" s="23">
        <f t="shared" si="27"/>
        <v>8</v>
      </c>
    </row>
    <row r="22" spans="1:38" x14ac:dyDescent="0.25">
      <c r="A22">
        <v>2011</v>
      </c>
      <c r="B22" s="21" t="s">
        <v>46</v>
      </c>
      <c r="C22" s="12">
        <v>40751</v>
      </c>
      <c r="D22" s="3">
        <v>70</v>
      </c>
      <c r="E22" s="21" t="s">
        <v>59</v>
      </c>
      <c r="H22" s="27" t="s">
        <v>1</v>
      </c>
      <c r="I22" s="27" t="s">
        <v>1</v>
      </c>
      <c r="J22" s="1">
        <v>0</v>
      </c>
      <c r="K22" s="1">
        <v>0</v>
      </c>
      <c r="L22" s="1">
        <f t="shared" si="20"/>
        <v>0</v>
      </c>
      <c r="M22" s="1">
        <v>0</v>
      </c>
      <c r="N22" s="1" t="s">
        <v>1</v>
      </c>
      <c r="O22" s="1" t="s">
        <v>1</v>
      </c>
      <c r="P22" s="1">
        <v>0</v>
      </c>
      <c r="Q22" s="1">
        <v>0</v>
      </c>
      <c r="R22" s="1">
        <f t="shared" si="21"/>
        <v>0</v>
      </c>
      <c r="S22" s="1">
        <v>0</v>
      </c>
      <c r="T22" s="1" t="s">
        <v>1</v>
      </c>
      <c r="U22" s="1" t="s">
        <v>1</v>
      </c>
      <c r="V22" s="1">
        <v>0</v>
      </c>
      <c r="W22" s="1">
        <v>0</v>
      </c>
      <c r="X22" s="1">
        <f t="shared" si="22"/>
        <v>0</v>
      </c>
      <c r="Y22" s="1">
        <v>0</v>
      </c>
      <c r="Z22" s="1" t="s">
        <v>1</v>
      </c>
      <c r="AA22" s="1" t="s">
        <v>1</v>
      </c>
      <c r="AB22" s="1">
        <v>3</v>
      </c>
      <c r="AC22" s="1">
        <v>0</v>
      </c>
      <c r="AD22" s="1">
        <f t="shared" si="23"/>
        <v>3</v>
      </c>
      <c r="AE22" s="1">
        <v>1.5</v>
      </c>
      <c r="AF22" s="23">
        <f t="shared" si="24"/>
        <v>0</v>
      </c>
      <c r="AG22" s="23">
        <f t="shared" si="25"/>
        <v>0</v>
      </c>
      <c r="AH22" s="9">
        <f t="shared" si="25"/>
        <v>3</v>
      </c>
      <c r="AI22" s="23">
        <f t="shared" si="25"/>
        <v>0</v>
      </c>
      <c r="AJ22" s="23">
        <f t="shared" si="26"/>
        <v>3</v>
      </c>
      <c r="AK22" s="23">
        <f t="shared" si="27"/>
        <v>1.5</v>
      </c>
    </row>
    <row r="23" spans="1:38" x14ac:dyDescent="0.25">
      <c r="A23">
        <v>2011</v>
      </c>
      <c r="B23" s="21" t="s">
        <v>46</v>
      </c>
      <c r="C23" s="12">
        <v>40751</v>
      </c>
      <c r="D23" s="3">
        <v>70</v>
      </c>
      <c r="E23" s="21" t="s">
        <v>60</v>
      </c>
      <c r="H23" s="1" t="s">
        <v>1</v>
      </c>
      <c r="I23" s="1" t="s">
        <v>1</v>
      </c>
      <c r="J23" s="1">
        <v>0</v>
      </c>
      <c r="K23" s="1">
        <v>0</v>
      </c>
      <c r="L23" s="1">
        <f t="shared" si="20"/>
        <v>0</v>
      </c>
      <c r="M23" s="1">
        <v>0</v>
      </c>
      <c r="N23" s="1" t="s">
        <v>1</v>
      </c>
      <c r="O23" s="1" t="s">
        <v>1</v>
      </c>
      <c r="P23" s="1">
        <v>0</v>
      </c>
      <c r="Q23" s="1">
        <v>0</v>
      </c>
      <c r="R23" s="1">
        <f t="shared" si="21"/>
        <v>0</v>
      </c>
      <c r="S23" s="1">
        <v>0</v>
      </c>
      <c r="T23" s="1" t="s">
        <v>1</v>
      </c>
      <c r="U23" s="1" t="s">
        <v>1</v>
      </c>
      <c r="V23" s="1">
        <v>0</v>
      </c>
      <c r="W23" s="1">
        <v>0</v>
      </c>
      <c r="X23" s="1">
        <f t="shared" si="22"/>
        <v>0</v>
      </c>
      <c r="Y23" s="1">
        <v>0</v>
      </c>
      <c r="Z23" s="1" t="s">
        <v>1</v>
      </c>
      <c r="AA23" s="1" t="s">
        <v>1</v>
      </c>
      <c r="AB23" s="1">
        <v>0</v>
      </c>
      <c r="AC23" s="1">
        <v>1</v>
      </c>
      <c r="AD23" s="1">
        <f t="shared" si="23"/>
        <v>1</v>
      </c>
      <c r="AE23" s="1">
        <v>15</v>
      </c>
      <c r="AF23" s="23">
        <f t="shared" si="24"/>
        <v>0</v>
      </c>
      <c r="AG23" s="23">
        <f t="shared" si="25"/>
        <v>0</v>
      </c>
      <c r="AH23" s="9">
        <f t="shared" si="25"/>
        <v>0</v>
      </c>
      <c r="AI23" s="23">
        <f t="shared" si="25"/>
        <v>1</v>
      </c>
      <c r="AJ23" s="23">
        <f t="shared" si="26"/>
        <v>1</v>
      </c>
      <c r="AK23" s="23">
        <f t="shared" si="27"/>
        <v>15</v>
      </c>
    </row>
    <row r="24" spans="1:38" x14ac:dyDescent="0.25">
      <c r="A24">
        <v>2011</v>
      </c>
      <c r="B24" s="21" t="s">
        <v>46</v>
      </c>
      <c r="C24" s="12">
        <v>40751</v>
      </c>
      <c r="D24" s="3">
        <v>71</v>
      </c>
      <c r="E24" s="21" t="s">
        <v>47</v>
      </c>
      <c r="H24" s="27">
        <v>0</v>
      </c>
      <c r="I24" s="27">
        <v>5</v>
      </c>
      <c r="J24" s="1">
        <v>9</v>
      </c>
      <c r="K24" s="1">
        <v>0</v>
      </c>
      <c r="L24" s="1">
        <f t="shared" si="20"/>
        <v>14</v>
      </c>
      <c r="M24" s="1">
        <v>15</v>
      </c>
      <c r="N24" s="27">
        <v>0</v>
      </c>
      <c r="O24" s="27">
        <v>0</v>
      </c>
      <c r="P24" s="1">
        <v>0</v>
      </c>
      <c r="Q24" s="1">
        <v>0</v>
      </c>
      <c r="R24" s="1">
        <f t="shared" si="21"/>
        <v>0</v>
      </c>
      <c r="S24" s="1">
        <v>0</v>
      </c>
      <c r="T24" s="27">
        <v>0</v>
      </c>
      <c r="U24" s="27">
        <v>2</v>
      </c>
      <c r="V24" s="1">
        <v>5</v>
      </c>
      <c r="W24" s="1">
        <v>0</v>
      </c>
      <c r="X24" s="1">
        <f t="shared" si="22"/>
        <v>7</v>
      </c>
      <c r="Y24" s="1">
        <v>8</v>
      </c>
      <c r="Z24" s="27">
        <v>0</v>
      </c>
      <c r="AA24" s="27">
        <v>16</v>
      </c>
      <c r="AB24" s="1">
        <v>6</v>
      </c>
      <c r="AC24" s="1">
        <v>0</v>
      </c>
      <c r="AD24" s="1">
        <f t="shared" si="23"/>
        <v>22</v>
      </c>
      <c r="AE24" s="1">
        <v>8</v>
      </c>
      <c r="AF24" s="23">
        <f t="shared" ref="AF24:AF26" si="28">SUM(H24,N24,T24,Z24)</f>
        <v>0</v>
      </c>
      <c r="AG24" s="23">
        <f t="shared" ref="AG24:AG26" si="29">SUM(I24,O24,U24,AA24)</f>
        <v>23</v>
      </c>
      <c r="AH24" s="9">
        <f t="shared" ref="AH24:AH34" si="30">SUM(J24,P24,V24,AB24)</f>
        <v>20</v>
      </c>
      <c r="AI24" s="9">
        <f t="shared" ref="AI24:AI34" si="31">SUM(K24,Q24,W24,AC24)</f>
        <v>0</v>
      </c>
      <c r="AJ24" s="23">
        <f t="shared" si="26"/>
        <v>43</v>
      </c>
      <c r="AK24" s="23">
        <f t="shared" si="27"/>
        <v>31</v>
      </c>
      <c r="AL24" s="28" t="s">
        <v>61</v>
      </c>
    </row>
    <row r="25" spans="1:38" x14ac:dyDescent="0.25">
      <c r="A25">
        <v>2011</v>
      </c>
      <c r="B25" s="21" t="s">
        <v>46</v>
      </c>
      <c r="C25" s="12">
        <v>40751</v>
      </c>
      <c r="D25" s="3">
        <v>71</v>
      </c>
      <c r="E25" s="21" t="s">
        <v>62</v>
      </c>
      <c r="H25" s="1">
        <v>0</v>
      </c>
      <c r="I25" s="1">
        <v>0</v>
      </c>
      <c r="J25" s="1">
        <v>0</v>
      </c>
      <c r="K25" s="1">
        <v>0</v>
      </c>
      <c r="L25" s="1">
        <f t="shared" si="20"/>
        <v>0</v>
      </c>
      <c r="M25" s="1">
        <v>0</v>
      </c>
      <c r="N25" s="1">
        <v>1</v>
      </c>
      <c r="O25" s="1">
        <v>0</v>
      </c>
      <c r="P25" s="1">
        <v>0</v>
      </c>
      <c r="Q25" s="1">
        <v>0</v>
      </c>
      <c r="R25" s="1">
        <f t="shared" si="21"/>
        <v>1</v>
      </c>
      <c r="S25" s="1">
        <v>0.5</v>
      </c>
      <c r="T25" s="1">
        <v>0</v>
      </c>
      <c r="U25" s="1">
        <v>0</v>
      </c>
      <c r="V25" s="1">
        <v>0</v>
      </c>
      <c r="W25" s="1">
        <v>0</v>
      </c>
      <c r="X25" s="1">
        <f t="shared" si="22"/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f t="shared" si="23"/>
        <v>0</v>
      </c>
      <c r="AE25" s="1">
        <v>0</v>
      </c>
      <c r="AF25" s="23">
        <f t="shared" si="28"/>
        <v>1</v>
      </c>
      <c r="AG25" s="23">
        <f t="shared" si="29"/>
        <v>0</v>
      </c>
      <c r="AH25" s="9">
        <f t="shared" si="30"/>
        <v>0</v>
      </c>
      <c r="AI25" s="9">
        <f t="shared" si="31"/>
        <v>0</v>
      </c>
      <c r="AJ25" s="23">
        <f t="shared" si="26"/>
        <v>1</v>
      </c>
      <c r="AK25" s="23">
        <f t="shared" si="27"/>
        <v>0.5</v>
      </c>
    </row>
    <row r="26" spans="1:38" x14ac:dyDescent="0.25">
      <c r="A26">
        <v>2011</v>
      </c>
      <c r="B26" s="21" t="s">
        <v>46</v>
      </c>
      <c r="C26" s="12">
        <v>40751</v>
      </c>
      <c r="D26" s="3">
        <v>71</v>
      </c>
      <c r="E26" s="21" t="s">
        <v>63</v>
      </c>
      <c r="H26" s="27" t="s">
        <v>1</v>
      </c>
      <c r="I26" s="27" t="s">
        <v>1</v>
      </c>
      <c r="J26" s="1">
        <v>0</v>
      </c>
      <c r="K26" s="1">
        <v>0</v>
      </c>
      <c r="L26" s="1">
        <f t="shared" si="20"/>
        <v>0</v>
      </c>
      <c r="M26" s="1">
        <v>0</v>
      </c>
      <c r="N26" s="27" t="s">
        <v>1</v>
      </c>
      <c r="O26" s="27" t="s">
        <v>1</v>
      </c>
      <c r="P26" s="1">
        <v>0</v>
      </c>
      <c r="Q26" s="1">
        <v>0</v>
      </c>
      <c r="R26" s="1">
        <f t="shared" si="21"/>
        <v>0</v>
      </c>
      <c r="S26" s="1">
        <v>0</v>
      </c>
      <c r="T26" s="27" t="s">
        <v>1</v>
      </c>
      <c r="U26" s="27" t="s">
        <v>1</v>
      </c>
      <c r="V26" s="1">
        <v>0</v>
      </c>
      <c r="W26" s="1">
        <v>0</v>
      </c>
      <c r="X26" s="1">
        <f t="shared" si="22"/>
        <v>0</v>
      </c>
      <c r="Y26" s="1">
        <v>0</v>
      </c>
      <c r="Z26" s="27" t="s">
        <v>1</v>
      </c>
      <c r="AA26" s="27" t="s">
        <v>1</v>
      </c>
      <c r="AB26" s="1">
        <v>5</v>
      </c>
      <c r="AC26" s="1">
        <v>0</v>
      </c>
      <c r="AD26" s="1">
        <f t="shared" si="23"/>
        <v>5</v>
      </c>
      <c r="AE26" s="1">
        <v>3.5</v>
      </c>
      <c r="AF26" s="23">
        <f t="shared" si="28"/>
        <v>0</v>
      </c>
      <c r="AG26" s="23">
        <f t="shared" si="29"/>
        <v>0</v>
      </c>
      <c r="AH26" s="9">
        <f t="shared" si="30"/>
        <v>5</v>
      </c>
      <c r="AI26" s="9">
        <f t="shared" si="31"/>
        <v>0</v>
      </c>
      <c r="AJ26" s="23">
        <f t="shared" si="26"/>
        <v>5</v>
      </c>
      <c r="AK26" s="23">
        <f t="shared" si="27"/>
        <v>3.5</v>
      </c>
    </row>
    <row r="27" spans="1:38" x14ac:dyDescent="0.25">
      <c r="A27">
        <v>2011</v>
      </c>
      <c r="B27" s="21" t="s">
        <v>46</v>
      </c>
      <c r="C27" s="12">
        <v>40751</v>
      </c>
      <c r="D27" s="3">
        <v>72</v>
      </c>
      <c r="E27" s="21" t="s">
        <v>47</v>
      </c>
      <c r="H27" s="27">
        <v>0</v>
      </c>
      <c r="I27" s="27">
        <v>11</v>
      </c>
      <c r="J27" s="1">
        <v>6</v>
      </c>
      <c r="K27" s="1">
        <v>0</v>
      </c>
      <c r="L27" s="1">
        <f t="shared" si="20"/>
        <v>17</v>
      </c>
      <c r="M27" s="1">
        <v>25</v>
      </c>
      <c r="N27" s="27">
        <v>0</v>
      </c>
      <c r="O27" s="27">
        <v>1</v>
      </c>
      <c r="P27" s="1">
        <v>2</v>
      </c>
      <c r="Q27" s="1">
        <v>0</v>
      </c>
      <c r="R27" s="1">
        <f t="shared" si="21"/>
        <v>3</v>
      </c>
      <c r="S27" s="1">
        <v>3.5</v>
      </c>
      <c r="T27" s="27">
        <v>0</v>
      </c>
      <c r="U27" s="27">
        <v>5</v>
      </c>
      <c r="V27" s="1">
        <v>5</v>
      </c>
      <c r="W27" s="1">
        <v>3</v>
      </c>
      <c r="X27" s="1">
        <f t="shared" si="22"/>
        <v>13</v>
      </c>
      <c r="Y27" s="1">
        <v>75</v>
      </c>
      <c r="Z27" s="27">
        <v>0</v>
      </c>
      <c r="AA27" s="27">
        <v>1</v>
      </c>
      <c r="AB27" s="1">
        <v>1</v>
      </c>
      <c r="AC27" s="1">
        <v>0</v>
      </c>
      <c r="AD27" s="1">
        <f t="shared" si="23"/>
        <v>2</v>
      </c>
      <c r="AE27" s="1">
        <v>1.5</v>
      </c>
      <c r="AF27" s="23">
        <f t="shared" ref="AF27:AG34" si="32">SUM(H27,N27,T27,Z27)</f>
        <v>0</v>
      </c>
      <c r="AG27" s="23">
        <f t="shared" si="32"/>
        <v>18</v>
      </c>
      <c r="AH27" s="9">
        <f t="shared" si="30"/>
        <v>14</v>
      </c>
      <c r="AI27" s="9">
        <f t="shared" si="31"/>
        <v>3</v>
      </c>
      <c r="AJ27" s="23">
        <f t="shared" si="26"/>
        <v>35</v>
      </c>
      <c r="AK27" s="23">
        <f t="shared" si="27"/>
        <v>105</v>
      </c>
    </row>
    <row r="28" spans="1:38" x14ac:dyDescent="0.25">
      <c r="A28">
        <v>2011</v>
      </c>
      <c r="B28" s="21" t="s">
        <v>46</v>
      </c>
      <c r="C28" s="12">
        <v>40751</v>
      </c>
      <c r="D28" s="3">
        <v>72</v>
      </c>
      <c r="E28" s="21" t="s">
        <v>54</v>
      </c>
      <c r="H28" s="1" t="s">
        <v>1</v>
      </c>
      <c r="I28" s="1" t="s">
        <v>1</v>
      </c>
      <c r="J28" s="1">
        <v>2</v>
      </c>
      <c r="K28" s="1">
        <v>1</v>
      </c>
      <c r="L28" s="1">
        <f t="shared" si="20"/>
        <v>3</v>
      </c>
      <c r="M28" s="1">
        <v>35</v>
      </c>
      <c r="N28" s="1" t="s">
        <v>1</v>
      </c>
      <c r="O28" s="1" t="s">
        <v>1</v>
      </c>
      <c r="P28" s="1">
        <v>8</v>
      </c>
      <c r="Q28" s="1">
        <v>2</v>
      </c>
      <c r="R28" s="1">
        <f t="shared" si="21"/>
        <v>10</v>
      </c>
      <c r="S28" s="1">
        <v>25</v>
      </c>
      <c r="T28" s="1" t="s">
        <v>1</v>
      </c>
      <c r="U28" s="1" t="s">
        <v>1</v>
      </c>
      <c r="V28" s="1">
        <v>6</v>
      </c>
      <c r="W28" s="1">
        <v>8</v>
      </c>
      <c r="X28" s="1">
        <f t="shared" si="22"/>
        <v>14</v>
      </c>
      <c r="Y28" s="1">
        <v>55</v>
      </c>
      <c r="Z28" s="1" t="s">
        <v>1</v>
      </c>
      <c r="AA28" s="1" t="s">
        <v>1</v>
      </c>
      <c r="AB28" s="1">
        <v>6</v>
      </c>
      <c r="AC28" s="1">
        <v>5</v>
      </c>
      <c r="AD28" s="1">
        <f t="shared" si="23"/>
        <v>11</v>
      </c>
      <c r="AE28" s="1">
        <v>45</v>
      </c>
      <c r="AF28" s="23">
        <f t="shared" si="32"/>
        <v>0</v>
      </c>
      <c r="AG28" s="23">
        <f t="shared" si="32"/>
        <v>0</v>
      </c>
      <c r="AH28" s="9">
        <f t="shared" si="30"/>
        <v>22</v>
      </c>
      <c r="AI28" s="9">
        <f t="shared" si="31"/>
        <v>16</v>
      </c>
      <c r="AJ28" s="23">
        <f t="shared" si="26"/>
        <v>38</v>
      </c>
      <c r="AK28" s="23">
        <f t="shared" si="27"/>
        <v>160</v>
      </c>
    </row>
    <row r="29" spans="1:38" x14ac:dyDescent="0.25">
      <c r="A29">
        <v>2011</v>
      </c>
      <c r="B29" s="21" t="s">
        <v>46</v>
      </c>
      <c r="C29" s="12">
        <v>40751</v>
      </c>
      <c r="D29" s="3">
        <v>72</v>
      </c>
      <c r="E29" s="21" t="s">
        <v>64</v>
      </c>
      <c r="H29" s="27" t="s">
        <v>1</v>
      </c>
      <c r="I29" s="27" t="s">
        <v>1</v>
      </c>
      <c r="J29" s="1">
        <v>3</v>
      </c>
      <c r="K29" s="1">
        <v>0</v>
      </c>
      <c r="L29" s="1">
        <f t="shared" si="20"/>
        <v>3</v>
      </c>
      <c r="M29" s="1">
        <v>8</v>
      </c>
      <c r="N29" s="27" t="s">
        <v>1</v>
      </c>
      <c r="O29" s="27" t="s">
        <v>1</v>
      </c>
      <c r="P29" s="1">
        <v>0</v>
      </c>
      <c r="Q29" s="1">
        <v>0</v>
      </c>
      <c r="R29" s="1">
        <f t="shared" si="21"/>
        <v>0</v>
      </c>
      <c r="S29" s="1">
        <v>0</v>
      </c>
      <c r="T29" s="27" t="s">
        <v>1</v>
      </c>
      <c r="U29" s="1" t="s">
        <v>1</v>
      </c>
      <c r="V29" s="1">
        <v>0</v>
      </c>
      <c r="W29" s="1">
        <v>0</v>
      </c>
      <c r="X29" s="1">
        <f t="shared" si="22"/>
        <v>0</v>
      </c>
      <c r="Y29" s="1">
        <v>0</v>
      </c>
      <c r="Z29" s="1" t="s">
        <v>1</v>
      </c>
      <c r="AA29" s="1" t="s">
        <v>1</v>
      </c>
      <c r="AB29" s="1">
        <v>0</v>
      </c>
      <c r="AC29" s="1">
        <v>0</v>
      </c>
      <c r="AD29" s="1">
        <f t="shared" si="23"/>
        <v>0</v>
      </c>
      <c r="AE29" s="1">
        <v>0</v>
      </c>
      <c r="AF29" s="23">
        <f t="shared" si="32"/>
        <v>0</v>
      </c>
      <c r="AG29" s="23">
        <f t="shared" si="32"/>
        <v>0</v>
      </c>
      <c r="AH29" s="9">
        <f t="shared" si="30"/>
        <v>3</v>
      </c>
      <c r="AI29" s="9">
        <f t="shared" si="31"/>
        <v>0</v>
      </c>
      <c r="AJ29" s="23">
        <f t="shared" si="26"/>
        <v>3</v>
      </c>
      <c r="AK29" s="23">
        <f t="shared" si="27"/>
        <v>8</v>
      </c>
    </row>
    <row r="30" spans="1:38" x14ac:dyDescent="0.25">
      <c r="A30">
        <v>2011</v>
      </c>
      <c r="B30" s="21" t="s">
        <v>46</v>
      </c>
      <c r="C30" s="12">
        <v>40751</v>
      </c>
      <c r="D30" s="3">
        <v>72</v>
      </c>
      <c r="E30" s="21" t="s">
        <v>51</v>
      </c>
      <c r="H30" s="1" t="s">
        <v>1</v>
      </c>
      <c r="I30" s="1" t="s">
        <v>1</v>
      </c>
      <c r="J30" s="1">
        <v>3</v>
      </c>
      <c r="K30" s="1">
        <v>0</v>
      </c>
      <c r="L30" s="1">
        <f t="shared" si="20"/>
        <v>3</v>
      </c>
      <c r="M30" s="1">
        <v>3.5</v>
      </c>
      <c r="N30" s="1" t="s">
        <v>1</v>
      </c>
      <c r="O30" s="1" t="s">
        <v>1</v>
      </c>
      <c r="P30" s="1">
        <v>0</v>
      </c>
      <c r="Q30" s="1">
        <v>0</v>
      </c>
      <c r="R30" s="1">
        <f t="shared" si="21"/>
        <v>0</v>
      </c>
      <c r="S30" s="1">
        <v>0</v>
      </c>
      <c r="T30" s="1" t="s">
        <v>1</v>
      </c>
      <c r="U30" s="1" t="s">
        <v>1</v>
      </c>
      <c r="V30" s="1">
        <v>0</v>
      </c>
      <c r="W30" s="1">
        <v>0</v>
      </c>
      <c r="X30" s="1">
        <f t="shared" si="22"/>
        <v>0</v>
      </c>
      <c r="Y30" s="1">
        <v>0</v>
      </c>
      <c r="Z30" s="1" t="s">
        <v>1</v>
      </c>
      <c r="AA30" s="1" t="s">
        <v>1</v>
      </c>
      <c r="AB30" s="1">
        <v>1</v>
      </c>
      <c r="AC30" s="1">
        <v>0</v>
      </c>
      <c r="AD30" s="1">
        <f t="shared" si="23"/>
        <v>1</v>
      </c>
      <c r="AE30" s="1">
        <v>0.5</v>
      </c>
      <c r="AF30" s="23">
        <f t="shared" si="32"/>
        <v>0</v>
      </c>
      <c r="AG30" s="23">
        <f t="shared" si="32"/>
        <v>0</v>
      </c>
      <c r="AH30" s="9">
        <f t="shared" si="30"/>
        <v>4</v>
      </c>
      <c r="AI30" s="9">
        <f t="shared" si="31"/>
        <v>0</v>
      </c>
      <c r="AJ30" s="23">
        <f t="shared" si="26"/>
        <v>4</v>
      </c>
      <c r="AK30" s="23">
        <f t="shared" si="27"/>
        <v>4</v>
      </c>
    </row>
    <row r="31" spans="1:38" x14ac:dyDescent="0.25">
      <c r="A31">
        <v>2011</v>
      </c>
      <c r="B31" s="21" t="s">
        <v>46</v>
      </c>
      <c r="C31" s="12">
        <v>40751</v>
      </c>
      <c r="D31" s="3">
        <v>72</v>
      </c>
      <c r="E31" s="21" t="s">
        <v>65</v>
      </c>
      <c r="H31" s="27">
        <v>0</v>
      </c>
      <c r="I31" s="27">
        <v>0</v>
      </c>
      <c r="J31" s="1">
        <v>1</v>
      </c>
      <c r="K31" s="1">
        <v>0</v>
      </c>
      <c r="L31" s="1">
        <f t="shared" si="20"/>
        <v>1</v>
      </c>
      <c r="M31" s="1">
        <v>1.5</v>
      </c>
      <c r="N31" s="27">
        <v>0</v>
      </c>
      <c r="O31" s="27">
        <v>0</v>
      </c>
      <c r="P31" s="1">
        <v>0</v>
      </c>
      <c r="Q31" s="1">
        <v>0</v>
      </c>
      <c r="R31" s="1">
        <f t="shared" si="21"/>
        <v>0</v>
      </c>
      <c r="S31" s="1">
        <v>0</v>
      </c>
      <c r="T31" s="27">
        <v>0</v>
      </c>
      <c r="U31" s="27">
        <v>0</v>
      </c>
      <c r="V31" s="1">
        <v>0</v>
      </c>
      <c r="W31" s="1">
        <v>0</v>
      </c>
      <c r="X31" s="1">
        <f t="shared" si="22"/>
        <v>0</v>
      </c>
      <c r="Y31" s="1">
        <v>0</v>
      </c>
      <c r="Z31" s="27">
        <v>0</v>
      </c>
      <c r="AA31" s="27">
        <v>0</v>
      </c>
      <c r="AB31" s="1">
        <v>0</v>
      </c>
      <c r="AC31" s="1">
        <v>0</v>
      </c>
      <c r="AD31" s="1">
        <f t="shared" si="23"/>
        <v>0</v>
      </c>
      <c r="AE31" s="1">
        <v>0</v>
      </c>
      <c r="AF31" s="23">
        <f t="shared" si="32"/>
        <v>0</v>
      </c>
      <c r="AG31" s="23">
        <f t="shared" si="32"/>
        <v>0</v>
      </c>
      <c r="AH31" s="9">
        <f t="shared" si="30"/>
        <v>1</v>
      </c>
      <c r="AI31" s="9">
        <f t="shared" si="31"/>
        <v>0</v>
      </c>
      <c r="AJ31" s="23">
        <f t="shared" si="26"/>
        <v>1</v>
      </c>
      <c r="AK31" s="23">
        <f t="shared" si="27"/>
        <v>1.5</v>
      </c>
    </row>
    <row r="32" spans="1:38" x14ac:dyDescent="0.25">
      <c r="A32">
        <v>2011</v>
      </c>
      <c r="B32" s="21" t="s">
        <v>46</v>
      </c>
      <c r="C32" s="12">
        <v>40751</v>
      </c>
      <c r="D32" s="3">
        <v>72</v>
      </c>
      <c r="E32" s="21" t="s">
        <v>62</v>
      </c>
      <c r="H32" s="27">
        <v>0</v>
      </c>
      <c r="I32" s="27">
        <v>0</v>
      </c>
      <c r="J32" s="1">
        <v>0</v>
      </c>
      <c r="K32" s="1">
        <v>0</v>
      </c>
      <c r="L32" s="1">
        <f t="shared" si="20"/>
        <v>0</v>
      </c>
      <c r="M32" s="1">
        <v>0</v>
      </c>
      <c r="N32" s="27">
        <v>0</v>
      </c>
      <c r="O32" s="27">
        <v>0</v>
      </c>
      <c r="P32" s="1">
        <v>0</v>
      </c>
      <c r="Q32" s="1">
        <v>0</v>
      </c>
      <c r="R32" s="1">
        <f t="shared" si="21"/>
        <v>0</v>
      </c>
      <c r="S32" s="1">
        <v>0</v>
      </c>
      <c r="T32" s="27">
        <v>0</v>
      </c>
      <c r="U32" s="27">
        <v>0</v>
      </c>
      <c r="V32" s="1">
        <v>3</v>
      </c>
      <c r="W32" s="1">
        <v>0</v>
      </c>
      <c r="X32" s="1">
        <f t="shared" si="22"/>
        <v>3</v>
      </c>
      <c r="Y32" s="1">
        <v>3.5</v>
      </c>
      <c r="Z32" s="27">
        <v>0</v>
      </c>
      <c r="AA32" s="27">
        <v>0</v>
      </c>
      <c r="AB32" s="1">
        <v>0</v>
      </c>
      <c r="AC32" s="1">
        <v>0</v>
      </c>
      <c r="AD32" s="1">
        <f t="shared" si="23"/>
        <v>0</v>
      </c>
      <c r="AE32" s="1">
        <v>0</v>
      </c>
      <c r="AF32" s="23">
        <f t="shared" si="32"/>
        <v>0</v>
      </c>
      <c r="AG32" s="23">
        <f t="shared" si="32"/>
        <v>0</v>
      </c>
      <c r="AH32" s="9">
        <f t="shared" si="30"/>
        <v>3</v>
      </c>
      <c r="AI32" s="9">
        <f t="shared" si="31"/>
        <v>0</v>
      </c>
      <c r="AJ32" s="23">
        <f t="shared" si="26"/>
        <v>3</v>
      </c>
      <c r="AK32" s="23">
        <f t="shared" si="27"/>
        <v>3.5</v>
      </c>
    </row>
    <row r="33" spans="1:38" x14ac:dyDescent="0.25">
      <c r="A33">
        <v>2011</v>
      </c>
      <c r="B33" s="21" t="s">
        <v>46</v>
      </c>
      <c r="C33" s="12">
        <v>40751</v>
      </c>
      <c r="D33" s="3">
        <v>72</v>
      </c>
      <c r="E33" s="21" t="s">
        <v>66</v>
      </c>
      <c r="H33" s="27" t="s">
        <v>1</v>
      </c>
      <c r="I33" s="27" t="s">
        <v>1</v>
      </c>
      <c r="J33" s="1">
        <v>0</v>
      </c>
      <c r="K33" s="1">
        <v>0</v>
      </c>
      <c r="L33" s="1">
        <f t="shared" si="20"/>
        <v>0</v>
      </c>
      <c r="M33" s="1">
        <v>0</v>
      </c>
      <c r="N33" s="27" t="s">
        <v>1</v>
      </c>
      <c r="O33" s="27" t="s">
        <v>1</v>
      </c>
      <c r="P33" s="1">
        <v>0</v>
      </c>
      <c r="Q33" s="1">
        <v>0</v>
      </c>
      <c r="R33" s="1">
        <f t="shared" si="21"/>
        <v>0</v>
      </c>
      <c r="S33" s="1">
        <v>0</v>
      </c>
      <c r="T33" s="27" t="s">
        <v>1</v>
      </c>
      <c r="U33" s="27" t="s">
        <v>1</v>
      </c>
      <c r="V33" s="1">
        <v>0</v>
      </c>
      <c r="W33" s="1">
        <v>1</v>
      </c>
      <c r="X33" s="1">
        <f t="shared" si="22"/>
        <v>1</v>
      </c>
      <c r="Y33" s="1">
        <v>8</v>
      </c>
      <c r="Z33" s="27" t="s">
        <v>1</v>
      </c>
      <c r="AA33" s="27" t="s">
        <v>1</v>
      </c>
      <c r="AB33" s="1">
        <v>0</v>
      </c>
      <c r="AC33" s="1">
        <v>0</v>
      </c>
      <c r="AD33" s="1">
        <f t="shared" si="23"/>
        <v>0</v>
      </c>
      <c r="AE33" s="1">
        <v>0</v>
      </c>
      <c r="AF33" s="23">
        <f t="shared" si="32"/>
        <v>0</v>
      </c>
      <c r="AG33" s="23">
        <f t="shared" si="32"/>
        <v>0</v>
      </c>
      <c r="AH33" s="9">
        <f t="shared" si="30"/>
        <v>0</v>
      </c>
      <c r="AI33" s="9">
        <f t="shared" si="31"/>
        <v>1</v>
      </c>
      <c r="AJ33" s="23">
        <f t="shared" si="26"/>
        <v>1</v>
      </c>
      <c r="AK33" s="23">
        <f t="shared" si="27"/>
        <v>8</v>
      </c>
    </row>
    <row r="34" spans="1:38" x14ac:dyDescent="0.25">
      <c r="A34">
        <v>2011</v>
      </c>
      <c r="B34" s="21" t="s">
        <v>46</v>
      </c>
      <c r="C34" s="12">
        <v>40751</v>
      </c>
      <c r="D34" s="3">
        <v>72</v>
      </c>
      <c r="E34" s="21" t="s">
        <v>67</v>
      </c>
      <c r="H34" s="27">
        <v>0</v>
      </c>
      <c r="I34" s="27">
        <v>0</v>
      </c>
      <c r="J34" s="1">
        <v>0</v>
      </c>
      <c r="K34" s="1">
        <v>0</v>
      </c>
      <c r="L34" s="1">
        <f t="shared" si="20"/>
        <v>0</v>
      </c>
      <c r="M34" s="1">
        <v>0</v>
      </c>
      <c r="N34" s="27">
        <v>0</v>
      </c>
      <c r="O34" s="27">
        <v>0</v>
      </c>
      <c r="P34" s="1">
        <v>0</v>
      </c>
      <c r="Q34" s="1">
        <v>0</v>
      </c>
      <c r="R34" s="1">
        <f t="shared" si="21"/>
        <v>0</v>
      </c>
      <c r="S34" s="1">
        <v>0</v>
      </c>
      <c r="T34" s="27">
        <v>0</v>
      </c>
      <c r="U34" s="27">
        <v>0</v>
      </c>
      <c r="V34" s="1">
        <v>0</v>
      </c>
      <c r="W34" s="1">
        <v>0</v>
      </c>
      <c r="X34" s="1">
        <f t="shared" si="22"/>
        <v>0</v>
      </c>
      <c r="Y34" s="1">
        <v>0</v>
      </c>
      <c r="Z34" s="27">
        <v>0</v>
      </c>
      <c r="AA34" s="27">
        <v>0</v>
      </c>
      <c r="AB34" s="1">
        <v>2</v>
      </c>
      <c r="AC34" s="1">
        <v>0</v>
      </c>
      <c r="AD34" s="1">
        <f t="shared" si="23"/>
        <v>2</v>
      </c>
      <c r="AE34" s="1">
        <v>15</v>
      </c>
      <c r="AF34" s="23">
        <f t="shared" si="32"/>
        <v>0</v>
      </c>
      <c r="AG34" s="23">
        <f t="shared" si="32"/>
        <v>0</v>
      </c>
      <c r="AH34" s="9">
        <f t="shared" si="30"/>
        <v>2</v>
      </c>
      <c r="AI34" s="9">
        <f t="shared" si="31"/>
        <v>0</v>
      </c>
      <c r="AJ34" s="23">
        <f t="shared" si="26"/>
        <v>2</v>
      </c>
      <c r="AK34" s="23">
        <f t="shared" si="27"/>
        <v>15</v>
      </c>
    </row>
    <row r="35" spans="1:38" x14ac:dyDescent="0.25">
      <c r="A35">
        <v>2011</v>
      </c>
      <c r="B35" s="21" t="s">
        <v>46</v>
      </c>
      <c r="C35" s="12">
        <v>40745</v>
      </c>
      <c r="D35" s="3">
        <v>73</v>
      </c>
      <c r="E35" s="21" t="s">
        <v>47</v>
      </c>
      <c r="H35" s="1">
        <v>0</v>
      </c>
      <c r="I35" s="1">
        <v>0</v>
      </c>
      <c r="J35" s="1">
        <v>0</v>
      </c>
      <c r="K35" s="1">
        <v>0</v>
      </c>
      <c r="L35" s="1">
        <f t="shared" si="17"/>
        <v>0</v>
      </c>
      <c r="M35" s="1">
        <v>0</v>
      </c>
      <c r="N35" s="1">
        <v>0</v>
      </c>
      <c r="O35" s="1">
        <v>45</v>
      </c>
      <c r="P35" s="1">
        <v>0</v>
      </c>
      <c r="Q35" s="1">
        <v>0</v>
      </c>
      <c r="R35" s="1">
        <f t="shared" si="2"/>
        <v>45</v>
      </c>
      <c r="S35" s="1">
        <v>25</v>
      </c>
      <c r="T35" s="1">
        <v>0</v>
      </c>
      <c r="U35" s="1">
        <v>58</v>
      </c>
      <c r="V35" s="1">
        <v>0</v>
      </c>
      <c r="W35" s="1">
        <v>0</v>
      </c>
      <c r="X35" s="1">
        <f t="shared" si="3"/>
        <v>58</v>
      </c>
      <c r="Y35" s="1">
        <v>15</v>
      </c>
      <c r="Z35" s="27">
        <v>0</v>
      </c>
      <c r="AA35" s="1">
        <v>37</v>
      </c>
      <c r="AB35" s="27">
        <v>0</v>
      </c>
      <c r="AC35" s="27">
        <v>0</v>
      </c>
      <c r="AD35" s="1">
        <f t="shared" si="4"/>
        <v>37</v>
      </c>
      <c r="AE35" s="1">
        <v>8</v>
      </c>
      <c r="AF35" s="23">
        <f t="shared" ref="AF35:AF38" si="33">SUM(H35,N35,T35,Z35)</f>
        <v>0</v>
      </c>
      <c r="AG35" s="23">
        <f t="shared" ref="AG35:AG38" si="34">SUM(I35,O35,U35,AA35)</f>
        <v>140</v>
      </c>
      <c r="AH35" s="23">
        <f t="shared" si="13"/>
        <v>0</v>
      </c>
      <c r="AI35" s="23">
        <f t="shared" si="14"/>
        <v>0</v>
      </c>
      <c r="AJ35" s="23">
        <f t="shared" si="15"/>
        <v>140</v>
      </c>
      <c r="AK35" s="23">
        <f t="shared" si="16"/>
        <v>48</v>
      </c>
    </row>
    <row r="36" spans="1:38" x14ac:dyDescent="0.25">
      <c r="A36">
        <v>2011</v>
      </c>
      <c r="B36" s="21" t="s">
        <v>46</v>
      </c>
      <c r="C36" s="12">
        <v>40745</v>
      </c>
      <c r="D36" s="3">
        <v>73</v>
      </c>
      <c r="E36" s="21" t="s">
        <v>62</v>
      </c>
      <c r="H36" s="1">
        <v>0</v>
      </c>
      <c r="I36" s="1">
        <v>0</v>
      </c>
      <c r="J36" s="1">
        <v>0</v>
      </c>
      <c r="K36" s="1">
        <v>0</v>
      </c>
      <c r="L36" s="1">
        <f t="shared" si="17"/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f t="shared" si="2"/>
        <v>1</v>
      </c>
      <c r="S36" s="1">
        <v>0.5</v>
      </c>
      <c r="T36" s="1">
        <v>0</v>
      </c>
      <c r="U36" s="1">
        <v>0</v>
      </c>
      <c r="V36" s="1">
        <v>0</v>
      </c>
      <c r="W36" s="1">
        <v>0</v>
      </c>
      <c r="X36" s="1">
        <f t="shared" si="3"/>
        <v>0</v>
      </c>
      <c r="Y36" s="1">
        <v>0</v>
      </c>
      <c r="Z36" s="27">
        <v>0</v>
      </c>
      <c r="AA36" s="1">
        <v>0</v>
      </c>
      <c r="AB36" s="27">
        <v>0</v>
      </c>
      <c r="AC36" s="27">
        <v>0</v>
      </c>
      <c r="AD36" s="1">
        <f t="shared" si="4"/>
        <v>0</v>
      </c>
      <c r="AE36" s="1">
        <v>0</v>
      </c>
      <c r="AF36" s="23">
        <f t="shared" si="33"/>
        <v>1</v>
      </c>
      <c r="AG36" s="23">
        <f t="shared" si="34"/>
        <v>0</v>
      </c>
      <c r="AH36" s="23">
        <f t="shared" si="13"/>
        <v>0</v>
      </c>
      <c r="AI36" s="23">
        <f t="shared" si="14"/>
        <v>0</v>
      </c>
      <c r="AJ36" s="23">
        <f t="shared" si="15"/>
        <v>1</v>
      </c>
      <c r="AK36" s="23">
        <f t="shared" si="16"/>
        <v>0.5</v>
      </c>
    </row>
    <row r="37" spans="1:38" x14ac:dyDescent="0.25">
      <c r="A37">
        <v>2011</v>
      </c>
      <c r="B37" s="21" t="s">
        <v>46</v>
      </c>
      <c r="C37" s="12">
        <v>40745</v>
      </c>
      <c r="D37" s="3">
        <v>73</v>
      </c>
      <c r="E37" s="21" t="s">
        <v>49</v>
      </c>
      <c r="H37" s="27" t="s">
        <v>1</v>
      </c>
      <c r="I37" s="27" t="s">
        <v>1</v>
      </c>
      <c r="J37" s="1">
        <v>0</v>
      </c>
      <c r="K37" s="1">
        <v>0</v>
      </c>
      <c r="L37" s="1">
        <f t="shared" si="17"/>
        <v>0</v>
      </c>
      <c r="M37" s="1">
        <v>0</v>
      </c>
      <c r="N37" s="27" t="s">
        <v>1</v>
      </c>
      <c r="O37" s="27" t="s">
        <v>1</v>
      </c>
      <c r="P37" s="1">
        <v>0</v>
      </c>
      <c r="Q37" s="1">
        <v>0</v>
      </c>
      <c r="R37" s="1">
        <f t="shared" si="2"/>
        <v>0</v>
      </c>
      <c r="S37" s="1">
        <v>0</v>
      </c>
      <c r="T37" s="27" t="s">
        <v>1</v>
      </c>
      <c r="U37" s="27" t="s">
        <v>1</v>
      </c>
      <c r="V37" s="1">
        <v>0</v>
      </c>
      <c r="W37" s="1">
        <v>3</v>
      </c>
      <c r="X37" s="1">
        <f t="shared" si="3"/>
        <v>3</v>
      </c>
      <c r="Y37" s="1">
        <v>65</v>
      </c>
      <c r="Z37" s="27" t="s">
        <v>1</v>
      </c>
      <c r="AA37" s="27" t="s">
        <v>1</v>
      </c>
      <c r="AB37" s="1">
        <v>0</v>
      </c>
      <c r="AC37" s="1">
        <v>3</v>
      </c>
      <c r="AD37" s="1">
        <f t="shared" si="4"/>
        <v>3</v>
      </c>
      <c r="AE37" s="1">
        <v>65</v>
      </c>
      <c r="AF37" s="23">
        <f t="shared" si="33"/>
        <v>0</v>
      </c>
      <c r="AG37" s="23">
        <f t="shared" si="34"/>
        <v>0</v>
      </c>
      <c r="AH37" s="23">
        <f t="shared" si="13"/>
        <v>0</v>
      </c>
      <c r="AI37" s="23">
        <f t="shared" si="14"/>
        <v>6</v>
      </c>
      <c r="AJ37" s="23">
        <f t="shared" si="15"/>
        <v>6</v>
      </c>
      <c r="AK37" s="23">
        <f t="shared" si="16"/>
        <v>130</v>
      </c>
    </row>
    <row r="38" spans="1:38" x14ac:dyDescent="0.25">
      <c r="A38">
        <v>2011</v>
      </c>
      <c r="B38" s="21" t="s">
        <v>46</v>
      </c>
      <c r="C38" s="12">
        <v>40745</v>
      </c>
      <c r="D38" s="3">
        <v>73</v>
      </c>
      <c r="E38" s="21" t="s">
        <v>68</v>
      </c>
      <c r="H38" s="27" t="s">
        <v>1</v>
      </c>
      <c r="I38" s="27" t="s">
        <v>1</v>
      </c>
      <c r="J38" s="1">
        <v>0</v>
      </c>
      <c r="K38" s="1">
        <v>0</v>
      </c>
      <c r="L38" s="1">
        <f t="shared" si="17"/>
        <v>0</v>
      </c>
      <c r="M38" s="1">
        <v>0</v>
      </c>
      <c r="N38" s="27" t="s">
        <v>1</v>
      </c>
      <c r="O38" s="27" t="s">
        <v>1</v>
      </c>
      <c r="P38" s="1">
        <v>0</v>
      </c>
      <c r="Q38" s="1">
        <v>0</v>
      </c>
      <c r="R38" s="1">
        <f t="shared" si="2"/>
        <v>0</v>
      </c>
      <c r="S38" s="1">
        <v>0</v>
      </c>
      <c r="T38" s="27" t="s">
        <v>1</v>
      </c>
      <c r="U38" s="27" t="s">
        <v>1</v>
      </c>
      <c r="V38" s="1">
        <v>0</v>
      </c>
      <c r="W38" s="1">
        <v>0</v>
      </c>
      <c r="X38" s="1">
        <f t="shared" si="3"/>
        <v>0</v>
      </c>
      <c r="Y38" s="1">
        <v>0</v>
      </c>
      <c r="Z38" s="27" t="s">
        <v>1</v>
      </c>
      <c r="AA38" s="27" t="s">
        <v>1</v>
      </c>
      <c r="AB38" s="1">
        <v>1</v>
      </c>
      <c r="AC38" s="1">
        <v>0</v>
      </c>
      <c r="AD38" s="1">
        <f t="shared" si="4"/>
        <v>1</v>
      </c>
      <c r="AE38" s="1">
        <v>3.5</v>
      </c>
      <c r="AF38" s="23">
        <f t="shared" si="33"/>
        <v>0</v>
      </c>
      <c r="AG38" s="23">
        <f t="shared" si="34"/>
        <v>0</v>
      </c>
      <c r="AH38" s="23">
        <f t="shared" si="13"/>
        <v>1</v>
      </c>
      <c r="AI38" s="23">
        <f t="shared" si="14"/>
        <v>0</v>
      </c>
      <c r="AJ38" s="23">
        <f t="shared" si="15"/>
        <v>1</v>
      </c>
      <c r="AK38" s="23">
        <f t="shared" si="16"/>
        <v>3.5</v>
      </c>
    </row>
    <row r="39" spans="1:38" x14ac:dyDescent="0.25">
      <c r="A39">
        <v>2011</v>
      </c>
      <c r="B39" s="21" t="s">
        <v>46</v>
      </c>
      <c r="C39" s="12">
        <v>40745</v>
      </c>
      <c r="D39" s="3">
        <v>74</v>
      </c>
      <c r="E39" s="21" t="s">
        <v>47</v>
      </c>
      <c r="H39" s="1">
        <v>0</v>
      </c>
      <c r="I39" s="1">
        <v>0</v>
      </c>
      <c r="J39" s="1">
        <v>0</v>
      </c>
      <c r="K39" s="1">
        <v>0</v>
      </c>
      <c r="L39" s="1">
        <f t="shared" si="17"/>
        <v>0</v>
      </c>
      <c r="M39" s="1">
        <v>0</v>
      </c>
      <c r="N39" s="1">
        <v>0</v>
      </c>
      <c r="O39" s="1">
        <v>18</v>
      </c>
      <c r="P39" s="1">
        <v>0</v>
      </c>
      <c r="Q39" s="1">
        <v>0</v>
      </c>
      <c r="R39" s="1">
        <f t="shared" si="2"/>
        <v>18</v>
      </c>
      <c r="S39" s="1">
        <v>8</v>
      </c>
      <c r="T39" s="1">
        <v>0</v>
      </c>
      <c r="U39" s="1">
        <v>2</v>
      </c>
      <c r="V39" s="1">
        <v>0</v>
      </c>
      <c r="W39" s="1">
        <v>0</v>
      </c>
      <c r="X39" s="1">
        <f t="shared" si="3"/>
        <v>2</v>
      </c>
      <c r="Y39" s="1">
        <v>0.5</v>
      </c>
      <c r="Z39" s="1">
        <v>0</v>
      </c>
      <c r="AA39" s="1">
        <v>3</v>
      </c>
      <c r="AB39" s="1">
        <v>0</v>
      </c>
      <c r="AC39" s="1">
        <v>0</v>
      </c>
      <c r="AD39" s="1">
        <f t="shared" si="4"/>
        <v>3</v>
      </c>
      <c r="AE39" s="1">
        <v>0.5</v>
      </c>
      <c r="AF39" s="23">
        <f t="shared" ref="AF39:AF42" si="35">SUM(H39,N39,T39,Z39)</f>
        <v>0</v>
      </c>
      <c r="AG39" s="23">
        <f t="shared" ref="AG39:AG42" si="36">SUM(I39,O39,U39,AA39)</f>
        <v>23</v>
      </c>
      <c r="AH39" s="23">
        <f t="shared" si="13"/>
        <v>0</v>
      </c>
      <c r="AI39" s="23">
        <f t="shared" si="14"/>
        <v>0</v>
      </c>
      <c r="AJ39" s="23">
        <f t="shared" si="15"/>
        <v>23</v>
      </c>
      <c r="AK39" s="23">
        <f t="shared" si="16"/>
        <v>9</v>
      </c>
    </row>
    <row r="40" spans="1:38" x14ac:dyDescent="0.25">
      <c r="A40">
        <v>2011</v>
      </c>
      <c r="B40" s="21" t="s">
        <v>46</v>
      </c>
      <c r="C40" s="12">
        <v>40745</v>
      </c>
      <c r="D40" s="3">
        <v>74</v>
      </c>
      <c r="E40" s="21" t="s">
        <v>69</v>
      </c>
      <c r="H40" s="27" t="s">
        <v>1</v>
      </c>
      <c r="I40" s="27" t="s">
        <v>1</v>
      </c>
      <c r="J40" s="1">
        <v>0</v>
      </c>
      <c r="K40" s="1">
        <v>0</v>
      </c>
      <c r="L40" s="1">
        <f t="shared" si="17"/>
        <v>0</v>
      </c>
      <c r="M40" s="1">
        <v>0</v>
      </c>
      <c r="N40" s="27" t="s">
        <v>1</v>
      </c>
      <c r="O40" s="27" t="s">
        <v>1</v>
      </c>
      <c r="P40" s="1">
        <v>0</v>
      </c>
      <c r="Q40" s="1">
        <v>1</v>
      </c>
      <c r="R40" s="1">
        <f t="shared" si="2"/>
        <v>1</v>
      </c>
      <c r="S40" s="1">
        <v>15</v>
      </c>
      <c r="T40" s="27" t="s">
        <v>1</v>
      </c>
      <c r="U40" s="27" t="s">
        <v>1</v>
      </c>
      <c r="V40" s="1">
        <v>0</v>
      </c>
      <c r="W40" s="1">
        <v>1</v>
      </c>
      <c r="X40" s="1">
        <f t="shared" si="3"/>
        <v>1</v>
      </c>
      <c r="Y40" s="1">
        <v>65</v>
      </c>
      <c r="Z40" s="27" t="s">
        <v>1</v>
      </c>
      <c r="AA40" s="27" t="s">
        <v>1</v>
      </c>
      <c r="AB40" s="1">
        <v>0</v>
      </c>
      <c r="AC40" s="1">
        <v>0</v>
      </c>
      <c r="AD40" s="1">
        <f t="shared" si="4"/>
        <v>0</v>
      </c>
      <c r="AE40" s="1">
        <v>0</v>
      </c>
      <c r="AF40" s="23">
        <f t="shared" si="35"/>
        <v>0</v>
      </c>
      <c r="AG40" s="23">
        <f t="shared" si="36"/>
        <v>0</v>
      </c>
      <c r="AH40" s="23">
        <f t="shared" si="13"/>
        <v>0</v>
      </c>
      <c r="AI40" s="23">
        <f t="shared" si="14"/>
        <v>2</v>
      </c>
      <c r="AJ40" s="23">
        <f t="shared" si="15"/>
        <v>2</v>
      </c>
      <c r="AK40" s="23">
        <f t="shared" si="16"/>
        <v>80</v>
      </c>
      <c r="AL40" s="28" t="s">
        <v>70</v>
      </c>
    </row>
    <row r="41" spans="1:38" x14ac:dyDescent="0.25">
      <c r="A41">
        <v>2011</v>
      </c>
      <c r="B41" s="21" t="s">
        <v>46</v>
      </c>
      <c r="C41" s="12">
        <v>40745</v>
      </c>
      <c r="D41" s="3">
        <v>74</v>
      </c>
      <c r="E41" s="21" t="s">
        <v>49</v>
      </c>
      <c r="H41" s="27" t="s">
        <v>1</v>
      </c>
      <c r="I41" s="27" t="s">
        <v>1</v>
      </c>
      <c r="J41" s="1">
        <v>0</v>
      </c>
      <c r="K41" s="1">
        <v>0</v>
      </c>
      <c r="L41" s="1">
        <f t="shared" si="17"/>
        <v>0</v>
      </c>
      <c r="M41" s="1">
        <v>0</v>
      </c>
      <c r="N41" s="27" t="s">
        <v>1</v>
      </c>
      <c r="O41" s="27" t="s">
        <v>1</v>
      </c>
      <c r="P41" s="1">
        <v>0</v>
      </c>
      <c r="Q41" s="1">
        <v>0</v>
      </c>
      <c r="R41" s="1">
        <f t="shared" si="2"/>
        <v>0</v>
      </c>
      <c r="S41" s="1">
        <v>0</v>
      </c>
      <c r="T41" s="27" t="s">
        <v>1</v>
      </c>
      <c r="U41" s="27" t="s">
        <v>1</v>
      </c>
      <c r="V41" s="1">
        <v>0</v>
      </c>
      <c r="W41" s="1">
        <v>1</v>
      </c>
      <c r="X41" s="1">
        <f t="shared" si="3"/>
        <v>1</v>
      </c>
      <c r="Y41" s="1">
        <v>85</v>
      </c>
      <c r="Z41" s="27" t="s">
        <v>1</v>
      </c>
      <c r="AA41" s="27" t="s">
        <v>1</v>
      </c>
      <c r="AB41" s="1">
        <v>0</v>
      </c>
      <c r="AC41" s="1">
        <v>0</v>
      </c>
      <c r="AD41" s="1">
        <f t="shared" si="4"/>
        <v>0</v>
      </c>
      <c r="AE41" s="1">
        <v>0</v>
      </c>
      <c r="AF41" s="23">
        <f t="shared" si="35"/>
        <v>0</v>
      </c>
      <c r="AG41" s="23">
        <f t="shared" si="36"/>
        <v>0</v>
      </c>
      <c r="AH41" s="23">
        <f t="shared" si="13"/>
        <v>0</v>
      </c>
      <c r="AI41" s="23">
        <f t="shared" si="14"/>
        <v>1</v>
      </c>
      <c r="AJ41" s="23">
        <f t="shared" si="15"/>
        <v>1</v>
      </c>
      <c r="AK41" s="23">
        <f t="shared" si="16"/>
        <v>85</v>
      </c>
    </row>
    <row r="42" spans="1:38" x14ac:dyDescent="0.25">
      <c r="A42">
        <v>2011</v>
      </c>
      <c r="B42" s="21" t="s">
        <v>46</v>
      </c>
      <c r="C42" s="12">
        <v>40745</v>
      </c>
      <c r="D42" s="3">
        <v>74</v>
      </c>
      <c r="E42" s="21" t="s">
        <v>51</v>
      </c>
      <c r="H42" s="27" t="s">
        <v>1</v>
      </c>
      <c r="I42" s="27" t="s">
        <v>1</v>
      </c>
      <c r="J42" s="1">
        <v>0</v>
      </c>
      <c r="K42" s="1">
        <v>0</v>
      </c>
      <c r="L42" s="1">
        <f t="shared" si="17"/>
        <v>0</v>
      </c>
      <c r="M42" s="1">
        <v>0</v>
      </c>
      <c r="N42" s="27" t="s">
        <v>1</v>
      </c>
      <c r="O42" s="27" t="s">
        <v>1</v>
      </c>
      <c r="P42" s="1">
        <v>0</v>
      </c>
      <c r="Q42" s="1">
        <v>0</v>
      </c>
      <c r="R42" s="1">
        <f t="shared" si="2"/>
        <v>0</v>
      </c>
      <c r="S42" s="1">
        <v>0</v>
      </c>
      <c r="T42" s="27" t="s">
        <v>1</v>
      </c>
      <c r="U42" s="27" t="s">
        <v>1</v>
      </c>
      <c r="V42" s="1">
        <v>0</v>
      </c>
      <c r="W42" s="1">
        <v>0</v>
      </c>
      <c r="X42" s="1">
        <f t="shared" si="3"/>
        <v>0</v>
      </c>
      <c r="Y42" s="1">
        <v>0</v>
      </c>
      <c r="Z42" s="27" t="s">
        <v>1</v>
      </c>
      <c r="AA42" s="27" t="s">
        <v>1</v>
      </c>
      <c r="AB42" s="1">
        <v>3</v>
      </c>
      <c r="AC42" s="1">
        <v>1</v>
      </c>
      <c r="AD42" s="1">
        <f t="shared" si="4"/>
        <v>4</v>
      </c>
      <c r="AE42" s="1">
        <v>8</v>
      </c>
      <c r="AF42" s="23">
        <f t="shared" si="35"/>
        <v>0</v>
      </c>
      <c r="AG42" s="23">
        <f t="shared" si="36"/>
        <v>0</v>
      </c>
      <c r="AH42" s="23">
        <f t="shared" si="13"/>
        <v>3</v>
      </c>
      <c r="AI42" s="23">
        <f t="shared" si="14"/>
        <v>1</v>
      </c>
      <c r="AJ42" s="23">
        <f t="shared" si="15"/>
        <v>4</v>
      </c>
      <c r="AK42" s="23">
        <f t="shared" si="16"/>
        <v>8</v>
      </c>
      <c r="AL42" s="28" t="s">
        <v>71</v>
      </c>
    </row>
    <row r="43" spans="1:38" x14ac:dyDescent="0.25">
      <c r="A43">
        <v>2011</v>
      </c>
      <c r="B43" s="21" t="s">
        <v>46</v>
      </c>
      <c r="C43" s="12">
        <v>40745</v>
      </c>
      <c r="D43" s="3">
        <v>75</v>
      </c>
      <c r="E43" s="21" t="s">
        <v>47</v>
      </c>
      <c r="H43" s="1">
        <v>0</v>
      </c>
      <c r="I43" s="1">
        <v>27</v>
      </c>
      <c r="J43" s="1">
        <v>0</v>
      </c>
      <c r="K43" s="1">
        <v>0</v>
      </c>
      <c r="L43" s="1">
        <f t="shared" si="17"/>
        <v>27</v>
      </c>
      <c r="M43" s="1">
        <v>3.5</v>
      </c>
      <c r="N43" s="1">
        <v>0</v>
      </c>
      <c r="O43" s="27">
        <v>15</v>
      </c>
      <c r="P43" s="1">
        <v>0</v>
      </c>
      <c r="Q43" s="1">
        <v>0</v>
      </c>
      <c r="R43" s="1">
        <f t="shared" si="2"/>
        <v>15</v>
      </c>
      <c r="S43" s="1">
        <v>3.5</v>
      </c>
      <c r="T43" s="1">
        <v>0</v>
      </c>
      <c r="U43" s="1">
        <v>59</v>
      </c>
      <c r="V43" s="1">
        <v>0</v>
      </c>
      <c r="W43" s="1">
        <v>0</v>
      </c>
      <c r="X43" s="1">
        <f t="shared" si="3"/>
        <v>59</v>
      </c>
      <c r="Y43" s="1">
        <v>8</v>
      </c>
      <c r="Z43" s="1">
        <v>0</v>
      </c>
      <c r="AA43" s="1">
        <v>105</v>
      </c>
      <c r="AB43" s="1">
        <v>0</v>
      </c>
      <c r="AC43" s="1">
        <v>0</v>
      </c>
      <c r="AD43" s="1">
        <f t="shared" si="4"/>
        <v>105</v>
      </c>
      <c r="AE43" s="1">
        <v>25</v>
      </c>
      <c r="AF43" s="23">
        <f t="shared" ref="AF43:AF54" si="37">SUM(H43,N43,T43,Z43)</f>
        <v>0</v>
      </c>
      <c r="AG43" s="23">
        <f t="shared" ref="AG43:AG54" si="38">SUM(I43,O43,U43,AA43)</f>
        <v>206</v>
      </c>
      <c r="AH43" s="23">
        <f t="shared" si="13"/>
        <v>0</v>
      </c>
      <c r="AI43" s="23">
        <f t="shared" si="14"/>
        <v>0</v>
      </c>
      <c r="AJ43" s="23">
        <f t="shared" si="15"/>
        <v>206</v>
      </c>
      <c r="AK43" s="23">
        <f t="shared" si="16"/>
        <v>40</v>
      </c>
    </row>
    <row r="44" spans="1:38" x14ac:dyDescent="0.25">
      <c r="A44">
        <v>2011</v>
      </c>
      <c r="B44" s="21" t="s">
        <v>46</v>
      </c>
      <c r="C44" s="12">
        <v>40745</v>
      </c>
      <c r="D44" s="3">
        <v>75</v>
      </c>
      <c r="E44" s="21" t="s">
        <v>49</v>
      </c>
      <c r="H44" s="27" t="s">
        <v>1</v>
      </c>
      <c r="I44" s="27" t="s">
        <v>1</v>
      </c>
      <c r="J44" s="1">
        <v>0</v>
      </c>
      <c r="K44" s="1">
        <v>0</v>
      </c>
      <c r="L44" s="1">
        <f t="shared" si="17"/>
        <v>0</v>
      </c>
      <c r="M44" s="1">
        <v>0</v>
      </c>
      <c r="N44" s="27" t="s">
        <v>1</v>
      </c>
      <c r="O44" s="27" t="s">
        <v>1</v>
      </c>
      <c r="P44" s="1">
        <v>0</v>
      </c>
      <c r="Q44" s="1">
        <v>1</v>
      </c>
      <c r="R44" s="1">
        <f t="shared" si="2"/>
        <v>1</v>
      </c>
      <c r="S44" s="1">
        <v>15</v>
      </c>
      <c r="T44" s="27" t="s">
        <v>1</v>
      </c>
      <c r="U44" s="27" t="s">
        <v>1</v>
      </c>
      <c r="V44" s="1">
        <v>1</v>
      </c>
      <c r="W44" s="1">
        <v>1</v>
      </c>
      <c r="X44" s="1">
        <f t="shared" si="3"/>
        <v>2</v>
      </c>
      <c r="Y44" s="1">
        <v>35</v>
      </c>
      <c r="Z44" s="27" t="s">
        <v>1</v>
      </c>
      <c r="AA44" s="27" t="s">
        <v>1</v>
      </c>
      <c r="AB44" s="1">
        <v>0</v>
      </c>
      <c r="AC44" s="1">
        <v>0</v>
      </c>
      <c r="AD44" s="1">
        <f t="shared" si="4"/>
        <v>0</v>
      </c>
      <c r="AE44" s="1">
        <v>0</v>
      </c>
      <c r="AF44" s="23">
        <f t="shared" si="37"/>
        <v>0</v>
      </c>
      <c r="AG44" s="23">
        <f t="shared" si="38"/>
        <v>0</v>
      </c>
      <c r="AH44" s="23">
        <f t="shared" si="13"/>
        <v>1</v>
      </c>
      <c r="AI44" s="23">
        <f t="shared" si="14"/>
        <v>2</v>
      </c>
      <c r="AJ44" s="23">
        <f t="shared" si="15"/>
        <v>3</v>
      </c>
      <c r="AK44" s="23">
        <f t="shared" si="16"/>
        <v>50</v>
      </c>
      <c r="AL44" s="28" t="s">
        <v>72</v>
      </c>
    </row>
    <row r="45" spans="1:38" x14ac:dyDescent="0.25">
      <c r="A45">
        <v>2011</v>
      </c>
      <c r="B45" s="21" t="s">
        <v>46</v>
      </c>
      <c r="C45" s="12">
        <v>40745</v>
      </c>
      <c r="D45" s="3">
        <v>75</v>
      </c>
      <c r="E45" s="21" t="s">
        <v>73</v>
      </c>
      <c r="H45" s="27" t="s">
        <v>1</v>
      </c>
      <c r="I45" s="27" t="s">
        <v>1</v>
      </c>
      <c r="J45" s="1">
        <v>0</v>
      </c>
      <c r="K45" s="1">
        <v>0</v>
      </c>
      <c r="L45" s="1">
        <f t="shared" si="17"/>
        <v>0</v>
      </c>
      <c r="M45" s="1">
        <v>0</v>
      </c>
      <c r="N45" s="27" t="s">
        <v>1</v>
      </c>
      <c r="O45" s="27" t="s">
        <v>1</v>
      </c>
      <c r="P45" s="1">
        <v>0</v>
      </c>
      <c r="Q45" s="1">
        <v>0</v>
      </c>
      <c r="R45" s="1">
        <f t="shared" si="2"/>
        <v>0</v>
      </c>
      <c r="S45" s="1">
        <v>0</v>
      </c>
      <c r="T45" s="27" t="s">
        <v>1</v>
      </c>
      <c r="U45" s="27" t="s">
        <v>1</v>
      </c>
      <c r="V45" s="1">
        <v>1</v>
      </c>
      <c r="W45" s="1">
        <v>0</v>
      </c>
      <c r="X45" s="1">
        <f t="shared" si="3"/>
        <v>1</v>
      </c>
      <c r="Y45" s="1">
        <v>0.5</v>
      </c>
      <c r="Z45" s="27" t="s">
        <v>1</v>
      </c>
      <c r="AA45" s="27" t="s">
        <v>1</v>
      </c>
      <c r="AB45" s="1">
        <v>0</v>
      </c>
      <c r="AC45" s="1">
        <v>0</v>
      </c>
      <c r="AD45" s="1">
        <f t="shared" si="4"/>
        <v>0</v>
      </c>
      <c r="AE45" s="1">
        <v>0</v>
      </c>
      <c r="AF45" s="23">
        <f t="shared" si="37"/>
        <v>0</v>
      </c>
      <c r="AG45" s="23">
        <f t="shared" si="38"/>
        <v>0</v>
      </c>
      <c r="AH45" s="23">
        <f t="shared" si="13"/>
        <v>1</v>
      </c>
      <c r="AI45" s="23">
        <f t="shared" si="14"/>
        <v>0</v>
      </c>
      <c r="AJ45" s="23">
        <f t="shared" si="15"/>
        <v>1</v>
      </c>
      <c r="AK45" s="23">
        <f t="shared" si="16"/>
        <v>0.5</v>
      </c>
    </row>
    <row r="46" spans="1:38" x14ac:dyDescent="0.25">
      <c r="A46">
        <v>2011</v>
      </c>
      <c r="B46" s="21" t="s">
        <v>46</v>
      </c>
      <c r="C46" s="12">
        <v>40745</v>
      </c>
      <c r="D46" s="3">
        <v>75</v>
      </c>
      <c r="E46" s="21" t="s">
        <v>67</v>
      </c>
      <c r="H46" s="1">
        <v>0</v>
      </c>
      <c r="I46" s="1">
        <v>0</v>
      </c>
      <c r="J46" s="1">
        <v>0</v>
      </c>
      <c r="K46" s="1">
        <v>0</v>
      </c>
      <c r="L46" s="1">
        <f t="shared" si="17"/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f t="shared" si="2"/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f t="shared" si="3"/>
        <v>0</v>
      </c>
      <c r="Y46" s="1">
        <v>0</v>
      </c>
      <c r="Z46" s="1">
        <v>0</v>
      </c>
      <c r="AA46" s="1">
        <v>0</v>
      </c>
      <c r="AB46" s="1">
        <v>0</v>
      </c>
      <c r="AC46" s="1">
        <v>1</v>
      </c>
      <c r="AD46" s="1">
        <f t="shared" si="4"/>
        <v>1</v>
      </c>
      <c r="AE46" s="1">
        <v>3.5</v>
      </c>
      <c r="AF46" s="23">
        <f t="shared" si="37"/>
        <v>0</v>
      </c>
      <c r="AG46" s="23">
        <f t="shared" si="38"/>
        <v>0</v>
      </c>
      <c r="AH46" s="23">
        <f t="shared" si="13"/>
        <v>0</v>
      </c>
      <c r="AI46" s="23">
        <f t="shared" si="14"/>
        <v>1</v>
      </c>
      <c r="AJ46" s="23">
        <f t="shared" si="15"/>
        <v>1</v>
      </c>
      <c r="AK46" s="23">
        <f t="shared" si="16"/>
        <v>3.5</v>
      </c>
    </row>
    <row r="47" spans="1:38" x14ac:dyDescent="0.25">
      <c r="A47">
        <v>2011</v>
      </c>
      <c r="B47" s="21" t="s">
        <v>46</v>
      </c>
      <c r="C47" s="12">
        <v>40751</v>
      </c>
      <c r="D47" s="3">
        <v>76</v>
      </c>
      <c r="E47" s="21" t="s">
        <v>74</v>
      </c>
      <c r="H47" s="1">
        <v>0</v>
      </c>
      <c r="I47" s="1">
        <v>0</v>
      </c>
      <c r="J47" s="1">
        <v>0</v>
      </c>
      <c r="K47" s="1">
        <v>0</v>
      </c>
      <c r="L47" s="1">
        <f t="shared" ref="L47:L52" si="39">SUM(H47:K47)</f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f t="shared" ref="R47:R52" si="40">SUM(N47:Q47)</f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f t="shared" ref="X47:X52" si="41">SUM(T47:W47)</f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f t="shared" ref="AD47:AD52" si="42">SUM(Z47:AC47)</f>
        <v>0</v>
      </c>
      <c r="AE47" s="1">
        <v>0</v>
      </c>
      <c r="AF47" s="23">
        <f t="shared" ref="AF47:AF48" si="43">SUM(H47,N47,T47,Z47)</f>
        <v>0</v>
      </c>
      <c r="AG47" s="9">
        <f t="shared" ref="AG47:AG48" si="44">SUM(I47,O47,U47,AA47)</f>
        <v>0</v>
      </c>
      <c r="AH47" s="9">
        <f t="shared" ref="AH47:AH52" si="45">SUM(J47,P47,V47,AB47)</f>
        <v>0</v>
      </c>
      <c r="AI47" s="9">
        <f t="shared" ref="AI47" si="46">SUM(K47,Q47,W47,AC47)</f>
        <v>0</v>
      </c>
      <c r="AJ47" s="23">
        <f t="shared" ref="AJ47" si="47">SUM(AF47:AI47)</f>
        <v>0</v>
      </c>
      <c r="AK47" s="23">
        <f t="shared" ref="AK47:AK52" si="48">M47+S47+Y47+AE47</f>
        <v>0</v>
      </c>
      <c r="AL47" s="28" t="s">
        <v>75</v>
      </c>
    </row>
    <row r="48" spans="1:38" x14ac:dyDescent="0.25">
      <c r="A48">
        <v>2011</v>
      </c>
      <c r="B48" s="21" t="s">
        <v>46</v>
      </c>
      <c r="C48" s="12">
        <v>40751</v>
      </c>
      <c r="D48" s="3">
        <v>77</v>
      </c>
      <c r="E48" s="21" t="s">
        <v>47</v>
      </c>
      <c r="H48" s="1">
        <v>0</v>
      </c>
      <c r="I48" s="1">
        <v>0</v>
      </c>
      <c r="J48" s="1">
        <v>0</v>
      </c>
      <c r="K48" s="1">
        <v>0</v>
      </c>
      <c r="L48" s="1">
        <f t="shared" si="39"/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f t="shared" si="40"/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f t="shared" si="41"/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f t="shared" si="42"/>
        <v>0</v>
      </c>
      <c r="AE48" s="1">
        <v>0</v>
      </c>
      <c r="AF48" s="9">
        <f t="shared" si="43"/>
        <v>0</v>
      </c>
      <c r="AG48" s="9">
        <f t="shared" si="44"/>
        <v>0</v>
      </c>
      <c r="AH48" s="9">
        <f t="shared" si="45"/>
        <v>0</v>
      </c>
      <c r="AI48" s="9">
        <f t="shared" ref="AI48:AI52" si="49">SUM(K48,Q48,W48,AC48)</f>
        <v>0</v>
      </c>
      <c r="AJ48" s="23">
        <f t="shared" ref="AJ48:AJ52" si="50">SUM(AF48:AI48)</f>
        <v>0</v>
      </c>
      <c r="AK48" s="23">
        <f t="shared" si="48"/>
        <v>0</v>
      </c>
    </row>
    <row r="49" spans="1:38" x14ac:dyDescent="0.25">
      <c r="A49">
        <v>2011</v>
      </c>
      <c r="B49" s="21" t="s">
        <v>46</v>
      </c>
      <c r="C49" s="12">
        <v>40751</v>
      </c>
      <c r="D49" s="3">
        <v>77</v>
      </c>
      <c r="E49" s="21" t="s">
        <v>54</v>
      </c>
      <c r="H49" s="1" t="s">
        <v>1</v>
      </c>
      <c r="I49" s="1" t="s">
        <v>1</v>
      </c>
      <c r="J49" s="1">
        <v>0</v>
      </c>
      <c r="K49" s="1">
        <v>0</v>
      </c>
      <c r="L49" s="1">
        <f t="shared" si="39"/>
        <v>0</v>
      </c>
      <c r="M49" s="1">
        <v>0</v>
      </c>
      <c r="N49" s="1" t="s">
        <v>1</v>
      </c>
      <c r="O49" s="1" t="s">
        <v>1</v>
      </c>
      <c r="P49" s="1">
        <v>0</v>
      </c>
      <c r="Q49" s="1">
        <v>0</v>
      </c>
      <c r="R49" s="1">
        <f t="shared" si="40"/>
        <v>0</v>
      </c>
      <c r="S49" s="1">
        <v>0</v>
      </c>
      <c r="T49" s="1" t="s">
        <v>1</v>
      </c>
      <c r="U49" s="1" t="s">
        <v>1</v>
      </c>
      <c r="V49" s="1">
        <v>5</v>
      </c>
      <c r="W49" s="1">
        <v>0</v>
      </c>
      <c r="X49" s="1">
        <f t="shared" si="41"/>
        <v>5</v>
      </c>
      <c r="Y49" s="1">
        <v>8</v>
      </c>
      <c r="Z49" s="1" t="s">
        <v>1</v>
      </c>
      <c r="AA49" s="1" t="s">
        <v>1</v>
      </c>
      <c r="AB49" s="1">
        <v>3</v>
      </c>
      <c r="AC49" s="1">
        <v>0</v>
      </c>
      <c r="AD49" s="1">
        <f t="shared" si="42"/>
        <v>3</v>
      </c>
      <c r="AE49" s="1">
        <v>3.5</v>
      </c>
      <c r="AF49" s="9">
        <f t="shared" ref="AF49:AF50" si="51">SUM(H49,N49,T49,Z49)</f>
        <v>0</v>
      </c>
      <c r="AG49" s="9">
        <f t="shared" ref="AG49:AG50" si="52">SUM(I49,O49,U49,AA49)</f>
        <v>0</v>
      </c>
      <c r="AH49" s="9">
        <f t="shared" si="45"/>
        <v>8</v>
      </c>
      <c r="AI49" s="9">
        <f t="shared" si="49"/>
        <v>0</v>
      </c>
      <c r="AJ49" s="23">
        <f t="shared" si="50"/>
        <v>8</v>
      </c>
      <c r="AK49" s="23">
        <f t="shared" si="48"/>
        <v>11.5</v>
      </c>
    </row>
    <row r="50" spans="1:38" x14ac:dyDescent="0.25">
      <c r="A50">
        <v>2011</v>
      </c>
      <c r="B50" s="21" t="s">
        <v>46</v>
      </c>
      <c r="C50" s="12">
        <v>40751</v>
      </c>
      <c r="D50" s="3">
        <v>77</v>
      </c>
      <c r="E50" s="21" t="s">
        <v>51</v>
      </c>
      <c r="H50" s="1" t="s">
        <v>1</v>
      </c>
      <c r="I50" s="1" t="s">
        <v>1</v>
      </c>
      <c r="J50" s="1">
        <v>0</v>
      </c>
      <c r="K50" s="1">
        <v>0</v>
      </c>
      <c r="L50" s="1">
        <f t="shared" si="39"/>
        <v>0</v>
      </c>
      <c r="M50" s="1">
        <v>0</v>
      </c>
      <c r="N50" s="1" t="s">
        <v>1</v>
      </c>
      <c r="O50" s="1" t="s">
        <v>1</v>
      </c>
      <c r="P50" s="1">
        <v>0</v>
      </c>
      <c r="Q50" s="1">
        <v>0</v>
      </c>
      <c r="R50" s="1">
        <f t="shared" si="40"/>
        <v>0</v>
      </c>
      <c r="S50" s="1">
        <v>0</v>
      </c>
      <c r="T50" s="1" t="s">
        <v>1</v>
      </c>
      <c r="U50" s="1" t="s">
        <v>1</v>
      </c>
      <c r="V50" s="1">
        <v>2</v>
      </c>
      <c r="W50" s="1">
        <v>0</v>
      </c>
      <c r="X50" s="1">
        <f t="shared" si="41"/>
        <v>2</v>
      </c>
      <c r="Y50" s="1">
        <v>1.5</v>
      </c>
      <c r="Z50" s="1" t="s">
        <v>1</v>
      </c>
      <c r="AA50" s="1" t="s">
        <v>1</v>
      </c>
      <c r="AB50" s="1">
        <v>0</v>
      </c>
      <c r="AC50" s="1">
        <v>0</v>
      </c>
      <c r="AD50" s="1">
        <f t="shared" si="42"/>
        <v>0</v>
      </c>
      <c r="AE50" s="1">
        <v>0</v>
      </c>
      <c r="AF50" s="9">
        <f t="shared" si="51"/>
        <v>0</v>
      </c>
      <c r="AG50" s="9">
        <f t="shared" si="52"/>
        <v>0</v>
      </c>
      <c r="AH50" s="9">
        <f t="shared" si="45"/>
        <v>2</v>
      </c>
      <c r="AI50" s="9">
        <f t="shared" si="49"/>
        <v>0</v>
      </c>
      <c r="AJ50" s="23">
        <f t="shared" si="50"/>
        <v>2</v>
      </c>
      <c r="AK50" s="23">
        <f t="shared" si="48"/>
        <v>1.5</v>
      </c>
      <c r="AL50" s="28" t="s">
        <v>76</v>
      </c>
    </row>
    <row r="51" spans="1:38" x14ac:dyDescent="0.25">
      <c r="A51">
        <v>2011</v>
      </c>
      <c r="B51" s="21" t="s">
        <v>46</v>
      </c>
      <c r="C51" s="12">
        <v>40751</v>
      </c>
      <c r="D51" s="3">
        <v>78</v>
      </c>
      <c r="E51" s="21" t="s">
        <v>47</v>
      </c>
      <c r="H51" s="1">
        <v>0</v>
      </c>
      <c r="I51" s="1">
        <v>0</v>
      </c>
      <c r="J51" s="1">
        <v>0</v>
      </c>
      <c r="K51" s="1">
        <v>0</v>
      </c>
      <c r="L51" s="1">
        <f t="shared" si="39"/>
        <v>0</v>
      </c>
      <c r="M51" s="1">
        <v>0</v>
      </c>
      <c r="N51" s="1">
        <v>0</v>
      </c>
      <c r="O51" s="1">
        <v>15</v>
      </c>
      <c r="P51" s="1">
        <v>31</v>
      </c>
      <c r="Q51" s="1">
        <v>3</v>
      </c>
      <c r="R51" s="1">
        <f t="shared" si="40"/>
        <v>49</v>
      </c>
      <c r="S51" s="1">
        <v>45</v>
      </c>
      <c r="T51" s="1">
        <v>0</v>
      </c>
      <c r="U51" s="1">
        <v>0</v>
      </c>
      <c r="V51" s="1">
        <v>0</v>
      </c>
      <c r="W51" s="1">
        <v>0</v>
      </c>
      <c r="X51" s="1">
        <f t="shared" si="41"/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f t="shared" si="42"/>
        <v>0</v>
      </c>
      <c r="AE51" s="1">
        <v>0</v>
      </c>
      <c r="AF51" s="9">
        <f t="shared" ref="AF51:AF52" si="53">SUM(H51,N51,T51,Z51)</f>
        <v>0</v>
      </c>
      <c r="AG51" s="9">
        <f t="shared" ref="AG51:AG52" si="54">SUM(I51,O51,U51,AA51)</f>
        <v>15</v>
      </c>
      <c r="AH51" s="9">
        <f t="shared" si="45"/>
        <v>31</v>
      </c>
      <c r="AI51" s="9">
        <f t="shared" si="49"/>
        <v>3</v>
      </c>
      <c r="AJ51" s="23">
        <f t="shared" si="50"/>
        <v>49</v>
      </c>
      <c r="AK51" s="23">
        <f t="shared" si="48"/>
        <v>45</v>
      </c>
    </row>
    <row r="52" spans="1:38" x14ac:dyDescent="0.25">
      <c r="A52">
        <v>2011</v>
      </c>
      <c r="B52" s="21" t="s">
        <v>46</v>
      </c>
      <c r="C52" s="12">
        <v>40751</v>
      </c>
      <c r="D52" s="3">
        <v>78</v>
      </c>
      <c r="E52" s="21" t="s">
        <v>51</v>
      </c>
      <c r="H52" s="1" t="s">
        <v>1</v>
      </c>
      <c r="I52" s="1" t="s">
        <v>1</v>
      </c>
      <c r="J52" s="1">
        <v>0</v>
      </c>
      <c r="K52" s="1">
        <v>0</v>
      </c>
      <c r="L52" s="1">
        <f t="shared" si="39"/>
        <v>0</v>
      </c>
      <c r="M52" s="1">
        <v>0</v>
      </c>
      <c r="N52" s="1" t="s">
        <v>1</v>
      </c>
      <c r="O52" s="1" t="s">
        <v>1</v>
      </c>
      <c r="P52" s="1">
        <v>3</v>
      </c>
      <c r="Q52" s="1">
        <v>0</v>
      </c>
      <c r="R52" s="1">
        <f t="shared" si="40"/>
        <v>3</v>
      </c>
      <c r="S52" s="1">
        <v>3.5</v>
      </c>
      <c r="T52" s="1" t="s">
        <v>1</v>
      </c>
      <c r="U52" s="1" t="s">
        <v>1</v>
      </c>
      <c r="V52" s="1">
        <v>0</v>
      </c>
      <c r="W52" s="1">
        <v>0</v>
      </c>
      <c r="X52" s="1">
        <f t="shared" si="41"/>
        <v>0</v>
      </c>
      <c r="Y52" s="1">
        <v>0</v>
      </c>
      <c r="Z52" s="1" t="s">
        <v>1</v>
      </c>
      <c r="AA52" s="1" t="s">
        <v>1</v>
      </c>
      <c r="AB52" s="1">
        <v>0</v>
      </c>
      <c r="AC52" s="1">
        <v>0</v>
      </c>
      <c r="AD52" s="1">
        <f t="shared" si="42"/>
        <v>0</v>
      </c>
      <c r="AE52" s="1">
        <v>0</v>
      </c>
      <c r="AF52" s="9">
        <f t="shared" si="53"/>
        <v>0</v>
      </c>
      <c r="AG52" s="9">
        <f t="shared" si="54"/>
        <v>0</v>
      </c>
      <c r="AH52" s="9">
        <f t="shared" si="45"/>
        <v>3</v>
      </c>
      <c r="AI52" s="9">
        <f t="shared" si="49"/>
        <v>0</v>
      </c>
      <c r="AJ52" s="23">
        <f t="shared" si="50"/>
        <v>3</v>
      </c>
      <c r="AK52" s="23">
        <f t="shared" si="48"/>
        <v>3.5</v>
      </c>
    </row>
    <row r="53" spans="1:38" x14ac:dyDescent="0.25">
      <c r="A53">
        <v>2011</v>
      </c>
      <c r="B53" s="21" t="s">
        <v>46</v>
      </c>
      <c r="C53" s="12">
        <v>40737</v>
      </c>
      <c r="D53" s="3">
        <v>79</v>
      </c>
      <c r="E53" s="21" t="s">
        <v>47</v>
      </c>
      <c r="H53" s="1">
        <v>0</v>
      </c>
      <c r="I53" s="1">
        <v>121</v>
      </c>
      <c r="J53" s="1">
        <v>0</v>
      </c>
      <c r="K53" s="1">
        <v>0</v>
      </c>
      <c r="L53" s="1">
        <f t="shared" si="17"/>
        <v>121</v>
      </c>
      <c r="M53" s="1">
        <v>45</v>
      </c>
      <c r="N53" s="1">
        <v>0</v>
      </c>
      <c r="O53" s="1">
        <v>102</v>
      </c>
      <c r="P53" s="1">
        <v>1</v>
      </c>
      <c r="Q53" s="1">
        <v>0</v>
      </c>
      <c r="R53" s="1">
        <f t="shared" si="2"/>
        <v>103</v>
      </c>
      <c r="S53" s="1">
        <v>35</v>
      </c>
      <c r="T53" s="1">
        <v>0</v>
      </c>
      <c r="U53" s="1">
        <v>3</v>
      </c>
      <c r="V53" s="1">
        <v>0</v>
      </c>
      <c r="W53" s="1">
        <v>0</v>
      </c>
      <c r="X53" s="1">
        <f t="shared" si="3"/>
        <v>3</v>
      </c>
      <c r="Y53" s="1">
        <v>0.5</v>
      </c>
      <c r="Z53" s="1">
        <v>0</v>
      </c>
      <c r="AA53" s="1">
        <v>54</v>
      </c>
      <c r="AB53" s="1">
        <v>0</v>
      </c>
      <c r="AC53" s="1">
        <v>0</v>
      </c>
      <c r="AD53" s="1">
        <f t="shared" si="4"/>
        <v>54</v>
      </c>
      <c r="AE53" s="1">
        <v>15</v>
      </c>
      <c r="AF53" s="23">
        <f t="shared" si="37"/>
        <v>0</v>
      </c>
      <c r="AG53" s="23">
        <f t="shared" si="38"/>
        <v>280</v>
      </c>
      <c r="AH53" s="23">
        <f t="shared" si="13"/>
        <v>1</v>
      </c>
      <c r="AI53" s="23">
        <f t="shared" si="14"/>
        <v>0</v>
      </c>
      <c r="AJ53" s="23">
        <f t="shared" si="15"/>
        <v>281</v>
      </c>
      <c r="AK53" s="23">
        <f t="shared" si="16"/>
        <v>95.5</v>
      </c>
    </row>
    <row r="54" spans="1:38" x14ac:dyDescent="0.25">
      <c r="A54">
        <v>2011</v>
      </c>
      <c r="B54" s="21" t="s">
        <v>46</v>
      </c>
      <c r="C54" s="12">
        <v>40737</v>
      </c>
      <c r="D54" s="3">
        <v>79</v>
      </c>
      <c r="E54" s="21" t="s">
        <v>77</v>
      </c>
      <c r="H54" s="1">
        <v>0</v>
      </c>
      <c r="I54" s="1">
        <v>0</v>
      </c>
      <c r="J54" s="1">
        <v>0</v>
      </c>
      <c r="K54" s="1">
        <v>0</v>
      </c>
      <c r="L54" s="1">
        <f t="shared" si="17"/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f t="shared" si="2"/>
        <v>1</v>
      </c>
      <c r="S54" s="1">
        <v>0.5</v>
      </c>
      <c r="T54" s="1">
        <v>0</v>
      </c>
      <c r="U54" s="1">
        <v>0</v>
      </c>
      <c r="V54" s="1">
        <v>0</v>
      </c>
      <c r="W54" s="1">
        <v>0</v>
      </c>
      <c r="X54" s="1">
        <f t="shared" si="3"/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f t="shared" si="4"/>
        <v>0</v>
      </c>
      <c r="AE54" s="1">
        <v>0</v>
      </c>
      <c r="AF54" s="23">
        <f t="shared" si="37"/>
        <v>0</v>
      </c>
      <c r="AG54" s="23">
        <f t="shared" si="38"/>
        <v>1</v>
      </c>
      <c r="AH54" s="23">
        <f t="shared" si="13"/>
        <v>0</v>
      </c>
      <c r="AI54" s="23">
        <f t="shared" ref="AI54:AI61" si="55">SUM(K54,Q54,W54,AC54)</f>
        <v>0</v>
      </c>
      <c r="AJ54" s="23">
        <f t="shared" ref="AJ54:AJ61" si="56">SUM(AF54:AI54)</f>
        <v>1</v>
      </c>
      <c r="AK54" s="23">
        <f t="shared" si="16"/>
        <v>0.5</v>
      </c>
    </row>
    <row r="55" spans="1:38" x14ac:dyDescent="0.25">
      <c r="A55">
        <v>2011</v>
      </c>
      <c r="B55" s="21" t="s">
        <v>46</v>
      </c>
      <c r="C55" s="12">
        <v>40737</v>
      </c>
      <c r="D55" s="3">
        <v>79</v>
      </c>
      <c r="E55" s="21" t="s">
        <v>51</v>
      </c>
      <c r="H55" s="27" t="s">
        <v>1</v>
      </c>
      <c r="I55" s="27" t="s">
        <v>1</v>
      </c>
      <c r="J55" s="1">
        <v>0</v>
      </c>
      <c r="K55" s="1">
        <v>0</v>
      </c>
      <c r="L55" s="1">
        <f t="shared" si="17"/>
        <v>0</v>
      </c>
      <c r="M55" s="1">
        <v>0</v>
      </c>
      <c r="N55" s="27" t="s">
        <v>1</v>
      </c>
      <c r="O55" s="27" t="s">
        <v>1</v>
      </c>
      <c r="P55" s="1">
        <v>0</v>
      </c>
      <c r="Q55" s="1">
        <v>0</v>
      </c>
      <c r="R55" s="1">
        <f t="shared" si="2"/>
        <v>0</v>
      </c>
      <c r="S55" s="1">
        <v>0</v>
      </c>
      <c r="T55" s="27" t="s">
        <v>1</v>
      </c>
      <c r="U55" s="27" t="s">
        <v>1</v>
      </c>
      <c r="V55" s="1">
        <v>6</v>
      </c>
      <c r="W55" s="1">
        <v>0</v>
      </c>
      <c r="X55" s="1">
        <f t="shared" si="3"/>
        <v>6</v>
      </c>
      <c r="Y55" s="1">
        <v>1.5</v>
      </c>
      <c r="Z55" s="27" t="s">
        <v>1</v>
      </c>
      <c r="AA55" s="27" t="s">
        <v>1</v>
      </c>
      <c r="AB55" s="1">
        <v>0</v>
      </c>
      <c r="AC55" s="1">
        <v>0</v>
      </c>
      <c r="AD55" s="1">
        <f t="shared" si="4"/>
        <v>0</v>
      </c>
      <c r="AE55" s="1">
        <v>0</v>
      </c>
      <c r="AF55" s="23">
        <f t="shared" ref="AF55:AF61" si="57">SUM(H55,N55,T55,Z55)</f>
        <v>0</v>
      </c>
      <c r="AG55" s="23">
        <f t="shared" ref="AG55:AG61" si="58">SUM(I55,O55,U55,AA55)</f>
        <v>0</v>
      </c>
      <c r="AH55" s="23">
        <f t="shared" si="13"/>
        <v>6</v>
      </c>
      <c r="AI55" s="23">
        <f t="shared" si="55"/>
        <v>0</v>
      </c>
      <c r="AJ55" s="23">
        <f t="shared" si="56"/>
        <v>6</v>
      </c>
      <c r="AK55" s="23">
        <f t="shared" si="16"/>
        <v>1.5</v>
      </c>
      <c r="AL55" s="28" t="s">
        <v>78</v>
      </c>
    </row>
    <row r="56" spans="1:38" x14ac:dyDescent="0.25">
      <c r="A56">
        <v>2011</v>
      </c>
      <c r="B56" s="21" t="s">
        <v>46</v>
      </c>
      <c r="C56" s="12">
        <v>40737</v>
      </c>
      <c r="D56" s="3">
        <v>79</v>
      </c>
      <c r="E56" s="21" t="s">
        <v>67</v>
      </c>
      <c r="H56" s="1">
        <v>0</v>
      </c>
      <c r="I56" s="1">
        <v>0</v>
      </c>
      <c r="J56" s="1">
        <v>0</v>
      </c>
      <c r="K56" s="1">
        <v>0</v>
      </c>
      <c r="L56" s="1">
        <f t="shared" si="17"/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f t="shared" si="2"/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f t="shared" si="3"/>
        <v>0</v>
      </c>
      <c r="Y56" s="1">
        <v>0</v>
      </c>
      <c r="Z56" s="1">
        <v>0</v>
      </c>
      <c r="AA56" s="1">
        <v>0</v>
      </c>
      <c r="AB56" s="1">
        <v>1</v>
      </c>
      <c r="AC56" s="1">
        <v>0</v>
      </c>
      <c r="AD56" s="1">
        <f t="shared" si="4"/>
        <v>1</v>
      </c>
      <c r="AE56" s="1">
        <v>1.5</v>
      </c>
      <c r="AF56" s="23">
        <f t="shared" si="57"/>
        <v>0</v>
      </c>
      <c r="AG56" s="23">
        <f t="shared" si="58"/>
        <v>0</v>
      </c>
      <c r="AH56" s="23">
        <f t="shared" si="13"/>
        <v>1</v>
      </c>
      <c r="AI56" s="23">
        <f t="shared" si="55"/>
        <v>0</v>
      </c>
      <c r="AJ56" s="23">
        <f t="shared" si="56"/>
        <v>1</v>
      </c>
      <c r="AK56" s="23">
        <f t="shared" si="16"/>
        <v>1.5</v>
      </c>
    </row>
    <row r="57" spans="1:38" x14ac:dyDescent="0.25">
      <c r="A57">
        <v>2011</v>
      </c>
      <c r="B57" s="21" t="s">
        <v>46</v>
      </c>
      <c r="C57" s="12">
        <v>40737</v>
      </c>
      <c r="D57" s="3">
        <v>80</v>
      </c>
      <c r="E57" s="21" t="s">
        <v>47</v>
      </c>
      <c r="H57" s="1">
        <v>0</v>
      </c>
      <c r="I57" s="1">
        <v>80</v>
      </c>
      <c r="J57" s="1">
        <v>0</v>
      </c>
      <c r="K57" s="1">
        <v>0</v>
      </c>
      <c r="L57" s="1">
        <f>SUM(H57:K57)</f>
        <v>80</v>
      </c>
      <c r="M57" s="1">
        <v>15</v>
      </c>
      <c r="N57" s="1">
        <v>0</v>
      </c>
      <c r="O57" s="1">
        <v>76</v>
      </c>
      <c r="P57" s="1">
        <v>0</v>
      </c>
      <c r="Q57" s="1">
        <v>0</v>
      </c>
      <c r="R57" s="1">
        <f>SUM(N57:Q57)</f>
        <v>76</v>
      </c>
      <c r="S57" s="1">
        <v>8</v>
      </c>
      <c r="T57" s="1">
        <v>0</v>
      </c>
      <c r="U57" s="1">
        <v>122</v>
      </c>
      <c r="V57" s="1">
        <v>2</v>
      </c>
      <c r="W57" s="1">
        <v>0</v>
      </c>
      <c r="X57" s="1">
        <f>SUM(T57:W57)</f>
        <v>124</v>
      </c>
      <c r="Y57" s="1">
        <v>25</v>
      </c>
      <c r="Z57" s="1">
        <v>0</v>
      </c>
      <c r="AA57" s="1">
        <v>66</v>
      </c>
      <c r="AB57" s="1">
        <v>5</v>
      </c>
      <c r="AC57" s="1">
        <v>0</v>
      </c>
      <c r="AD57" s="1">
        <f>SUM(Z57:AC57)</f>
        <v>71</v>
      </c>
      <c r="AE57" s="1">
        <v>15</v>
      </c>
      <c r="AF57" s="23">
        <f t="shared" ref="AF57:AI59" si="59">SUM(H57,N57,T57,Z57)</f>
        <v>0</v>
      </c>
      <c r="AG57" s="23">
        <f t="shared" si="59"/>
        <v>344</v>
      </c>
      <c r="AH57" s="23">
        <f t="shared" si="59"/>
        <v>7</v>
      </c>
      <c r="AI57" s="23">
        <f t="shared" si="59"/>
        <v>0</v>
      </c>
      <c r="AJ57" s="23">
        <f>SUM(AF57:AI57)</f>
        <v>351</v>
      </c>
      <c r="AK57" s="23">
        <f>M57+S57+Y57+AE57</f>
        <v>63</v>
      </c>
    </row>
    <row r="58" spans="1:38" x14ac:dyDescent="0.25">
      <c r="A58">
        <v>2011</v>
      </c>
      <c r="B58" s="21" t="s">
        <v>46</v>
      </c>
      <c r="C58" s="12">
        <v>40737</v>
      </c>
      <c r="D58" s="3">
        <v>80</v>
      </c>
      <c r="E58" s="21" t="s">
        <v>79</v>
      </c>
      <c r="H58" s="27" t="s">
        <v>1</v>
      </c>
      <c r="I58" s="27" t="s">
        <v>1</v>
      </c>
      <c r="J58" s="1">
        <v>1</v>
      </c>
      <c r="K58" s="1">
        <v>0</v>
      </c>
      <c r="L58" s="1">
        <f>SUM(H58:K58)</f>
        <v>1</v>
      </c>
      <c r="M58" s="1">
        <v>0.5</v>
      </c>
      <c r="N58" s="27" t="s">
        <v>1</v>
      </c>
      <c r="O58" s="27" t="s">
        <v>1</v>
      </c>
      <c r="P58" s="1">
        <v>0</v>
      </c>
      <c r="Q58" s="1">
        <v>0</v>
      </c>
      <c r="R58" s="1">
        <f>SUM(N58:Q58)</f>
        <v>0</v>
      </c>
      <c r="S58" s="1">
        <v>0</v>
      </c>
      <c r="T58" s="27" t="s">
        <v>1</v>
      </c>
      <c r="U58" s="27" t="s">
        <v>1</v>
      </c>
      <c r="V58" s="1">
        <v>2</v>
      </c>
      <c r="W58" s="1">
        <v>0</v>
      </c>
      <c r="X58" s="1">
        <f>SUM(T58:W58)</f>
        <v>2</v>
      </c>
      <c r="Y58" s="1">
        <v>1.5</v>
      </c>
      <c r="Z58" s="27" t="s">
        <v>1</v>
      </c>
      <c r="AA58" s="27" t="s">
        <v>1</v>
      </c>
      <c r="AB58" s="1">
        <v>0</v>
      </c>
      <c r="AC58" s="1">
        <v>0</v>
      </c>
      <c r="AD58" s="1">
        <f>SUM(Z58:AC58)</f>
        <v>0</v>
      </c>
      <c r="AE58" s="1">
        <v>0</v>
      </c>
      <c r="AF58" s="23">
        <f t="shared" si="59"/>
        <v>0</v>
      </c>
      <c r="AG58" s="23">
        <f t="shared" si="59"/>
        <v>0</v>
      </c>
      <c r="AH58" s="23">
        <f t="shared" si="59"/>
        <v>3</v>
      </c>
      <c r="AI58" s="23">
        <f t="shared" si="59"/>
        <v>0</v>
      </c>
      <c r="AJ58" s="23">
        <f>SUM(AF58:AI58)</f>
        <v>3</v>
      </c>
      <c r="AK58" s="23">
        <f>M58+S58+Y58+AE58</f>
        <v>2</v>
      </c>
    </row>
    <row r="59" spans="1:38" x14ac:dyDescent="0.25">
      <c r="A59">
        <v>2011</v>
      </c>
      <c r="B59" s="21" t="s">
        <v>46</v>
      </c>
      <c r="C59" s="12">
        <v>40737</v>
      </c>
      <c r="D59" s="3">
        <v>80</v>
      </c>
      <c r="E59" s="21" t="s">
        <v>54</v>
      </c>
      <c r="H59" s="27" t="s">
        <v>1</v>
      </c>
      <c r="I59" s="27" t="s">
        <v>1</v>
      </c>
      <c r="J59" s="1">
        <v>0</v>
      </c>
      <c r="K59" s="1">
        <v>0</v>
      </c>
      <c r="L59" s="1">
        <f>SUM(H59:K59)</f>
        <v>0</v>
      </c>
      <c r="M59" s="1">
        <v>0</v>
      </c>
      <c r="N59" s="27" t="s">
        <v>1</v>
      </c>
      <c r="O59" s="27" t="s">
        <v>1</v>
      </c>
      <c r="P59" s="1">
        <v>1</v>
      </c>
      <c r="Q59" s="1">
        <v>0</v>
      </c>
      <c r="R59" s="1">
        <f>SUM(N59:Q59)</f>
        <v>1</v>
      </c>
      <c r="S59" s="1">
        <v>1.5</v>
      </c>
      <c r="T59" s="27" t="s">
        <v>1</v>
      </c>
      <c r="U59" s="27" t="s">
        <v>1</v>
      </c>
      <c r="V59" s="1">
        <v>6</v>
      </c>
      <c r="W59" s="1">
        <v>0</v>
      </c>
      <c r="X59" s="1">
        <f>SUM(T59:W59)</f>
        <v>6</v>
      </c>
      <c r="Y59" s="1">
        <v>15</v>
      </c>
      <c r="Z59" s="27" t="s">
        <v>1</v>
      </c>
      <c r="AA59" s="27" t="s">
        <v>1</v>
      </c>
      <c r="AB59" s="1">
        <v>0</v>
      </c>
      <c r="AC59" s="1">
        <v>0</v>
      </c>
      <c r="AD59" s="1">
        <f>SUM(Z59:AC59)</f>
        <v>0</v>
      </c>
      <c r="AE59" s="1">
        <v>0</v>
      </c>
      <c r="AF59" s="23">
        <f t="shared" si="59"/>
        <v>0</v>
      </c>
      <c r="AG59" s="23">
        <f t="shared" si="59"/>
        <v>0</v>
      </c>
      <c r="AH59" s="23">
        <f t="shared" si="59"/>
        <v>7</v>
      </c>
      <c r="AI59" s="23">
        <f t="shared" si="59"/>
        <v>0</v>
      </c>
      <c r="AJ59" s="23">
        <f>SUM(AF59:AI59)</f>
        <v>7</v>
      </c>
      <c r="AK59" s="23">
        <f>M59+S59+Y59+AE59</f>
        <v>16.5</v>
      </c>
    </row>
    <row r="60" spans="1:38" x14ac:dyDescent="0.25">
      <c r="A60">
        <v>2011</v>
      </c>
      <c r="B60" s="21" t="s">
        <v>46</v>
      </c>
      <c r="C60" s="12">
        <v>40737</v>
      </c>
      <c r="D60" s="3">
        <v>81</v>
      </c>
      <c r="E60" s="21" t="s">
        <v>47</v>
      </c>
      <c r="H60" s="1">
        <v>0</v>
      </c>
      <c r="I60" s="1">
        <v>57</v>
      </c>
      <c r="J60" s="1">
        <v>0</v>
      </c>
      <c r="K60" s="1">
        <v>0</v>
      </c>
      <c r="L60" s="1">
        <f t="shared" si="17"/>
        <v>57</v>
      </c>
      <c r="M60" s="1">
        <v>15</v>
      </c>
      <c r="N60" s="1">
        <v>0</v>
      </c>
      <c r="O60" s="1">
        <v>45</v>
      </c>
      <c r="P60" s="1">
        <v>1</v>
      </c>
      <c r="Q60" s="1">
        <v>0</v>
      </c>
      <c r="R60" s="1">
        <f t="shared" si="2"/>
        <v>46</v>
      </c>
      <c r="S60" s="1">
        <v>25</v>
      </c>
      <c r="T60" s="1">
        <v>0</v>
      </c>
      <c r="U60" s="1">
        <v>36</v>
      </c>
      <c r="V60" s="1">
        <v>0</v>
      </c>
      <c r="W60" s="1">
        <v>0</v>
      </c>
      <c r="X60" s="1">
        <f t="shared" si="3"/>
        <v>36</v>
      </c>
      <c r="Y60" s="1">
        <v>3.5</v>
      </c>
      <c r="Z60" s="1">
        <v>0</v>
      </c>
      <c r="AA60" s="1">
        <v>14</v>
      </c>
      <c r="AB60" s="1">
        <v>0</v>
      </c>
      <c r="AC60" s="1">
        <v>0</v>
      </c>
      <c r="AD60" s="1">
        <f t="shared" si="4"/>
        <v>14</v>
      </c>
      <c r="AE60" s="1">
        <v>1.5</v>
      </c>
      <c r="AF60" s="23">
        <f t="shared" si="57"/>
        <v>0</v>
      </c>
      <c r="AG60" s="23">
        <f t="shared" si="58"/>
        <v>152</v>
      </c>
      <c r="AH60" s="23">
        <f t="shared" si="13"/>
        <v>1</v>
      </c>
      <c r="AI60" s="23">
        <f t="shared" si="55"/>
        <v>0</v>
      </c>
      <c r="AJ60" s="23">
        <f t="shared" si="56"/>
        <v>153</v>
      </c>
      <c r="AK60" s="23">
        <f t="shared" si="16"/>
        <v>45</v>
      </c>
    </row>
    <row r="61" spans="1:38" x14ac:dyDescent="0.25">
      <c r="A61">
        <v>2011</v>
      </c>
      <c r="B61" s="21" t="s">
        <v>46</v>
      </c>
      <c r="C61" s="12">
        <v>40737</v>
      </c>
      <c r="D61" s="3">
        <v>81</v>
      </c>
      <c r="E61" s="21" t="s">
        <v>49</v>
      </c>
      <c r="H61" s="27" t="s">
        <v>1</v>
      </c>
      <c r="I61" s="27" t="s">
        <v>1</v>
      </c>
      <c r="J61" s="1">
        <v>0</v>
      </c>
      <c r="K61" s="1">
        <v>0</v>
      </c>
      <c r="L61" s="1">
        <f t="shared" si="17"/>
        <v>0</v>
      </c>
      <c r="M61" s="1">
        <v>0</v>
      </c>
      <c r="N61" s="27" t="s">
        <v>1</v>
      </c>
      <c r="O61" s="27" t="s">
        <v>1</v>
      </c>
      <c r="P61" s="1">
        <v>0</v>
      </c>
      <c r="Q61" s="1">
        <v>1</v>
      </c>
      <c r="R61" s="1">
        <f t="shared" si="2"/>
        <v>1</v>
      </c>
      <c r="S61" s="1">
        <v>15</v>
      </c>
      <c r="T61" s="27" t="s">
        <v>1</v>
      </c>
      <c r="U61" s="27" t="s">
        <v>1</v>
      </c>
      <c r="V61" s="1">
        <v>0</v>
      </c>
      <c r="W61" s="1">
        <v>1</v>
      </c>
      <c r="X61" s="1">
        <f t="shared" si="3"/>
        <v>1</v>
      </c>
      <c r="Y61" s="1">
        <v>3.5</v>
      </c>
      <c r="Z61" s="27" t="s">
        <v>1</v>
      </c>
      <c r="AA61" s="27" t="s">
        <v>1</v>
      </c>
      <c r="AB61" s="1">
        <v>0</v>
      </c>
      <c r="AC61" s="1">
        <v>0</v>
      </c>
      <c r="AD61" s="1">
        <f t="shared" si="4"/>
        <v>0</v>
      </c>
      <c r="AE61" s="1">
        <v>0</v>
      </c>
      <c r="AF61" s="23">
        <f t="shared" si="57"/>
        <v>0</v>
      </c>
      <c r="AG61" s="23">
        <f t="shared" si="58"/>
        <v>0</v>
      </c>
      <c r="AH61" s="23">
        <f t="shared" si="13"/>
        <v>0</v>
      </c>
      <c r="AI61" s="23">
        <f t="shared" si="55"/>
        <v>2</v>
      </c>
      <c r="AJ61" s="23">
        <f t="shared" si="56"/>
        <v>2</v>
      </c>
      <c r="AK61" s="23">
        <f t="shared" si="16"/>
        <v>18.5</v>
      </c>
    </row>
    <row r="62" spans="1:38" x14ac:dyDescent="0.25">
      <c r="A62">
        <v>2011</v>
      </c>
      <c r="B62" s="21" t="s">
        <v>46</v>
      </c>
      <c r="C62" s="12">
        <v>40737</v>
      </c>
      <c r="D62" s="3">
        <v>103</v>
      </c>
      <c r="E62" s="21" t="s">
        <v>47</v>
      </c>
      <c r="H62" s="1">
        <v>0</v>
      </c>
      <c r="I62" s="1">
        <v>0</v>
      </c>
      <c r="J62" s="1">
        <v>0</v>
      </c>
      <c r="K62" s="1">
        <v>0</v>
      </c>
      <c r="L62" s="1">
        <f>SUM(H62:K62)</f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f>SUM(N62:Q62)</f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f>SUM(T62:W62)</f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f>SUM(Z62:AC62)</f>
        <v>0</v>
      </c>
      <c r="AE62" s="1">
        <v>0</v>
      </c>
      <c r="AF62" s="23">
        <f>SUM(H62,N62,T62,Z62)</f>
        <v>0</v>
      </c>
      <c r="AG62" s="23">
        <f>SUM(I62,O62,U62,AA62)</f>
        <v>0</v>
      </c>
      <c r="AH62" s="23">
        <f>SUM(J62,P62,V62,AB62)</f>
        <v>0</v>
      </c>
      <c r="AI62" s="23">
        <f>SUM(K62,Q62,W62,AC62)</f>
        <v>0</v>
      </c>
      <c r="AJ62" s="23">
        <f>SUM(AF62:AI62)</f>
        <v>0</v>
      </c>
      <c r="AK62" s="23">
        <f>M62+S62+Y62+AE62</f>
        <v>0</v>
      </c>
    </row>
    <row r="63" spans="1:38" x14ac:dyDescent="0.25">
      <c r="A63">
        <v>2011</v>
      </c>
      <c r="B63" s="21" t="s">
        <v>46</v>
      </c>
      <c r="C63" s="12">
        <v>40737</v>
      </c>
      <c r="D63" s="3">
        <v>104</v>
      </c>
      <c r="E63" s="21" t="s">
        <v>47</v>
      </c>
      <c r="H63" s="1">
        <v>0</v>
      </c>
      <c r="I63" s="1">
        <v>0</v>
      </c>
      <c r="J63" s="1">
        <v>0</v>
      </c>
      <c r="K63" s="1">
        <v>0</v>
      </c>
      <c r="L63" s="1">
        <f t="shared" si="17"/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f t="shared" si="2"/>
        <v>0</v>
      </c>
      <c r="S63" s="1">
        <v>0</v>
      </c>
      <c r="T63" s="1">
        <v>0</v>
      </c>
      <c r="U63" s="1">
        <v>1</v>
      </c>
      <c r="V63" s="1">
        <v>2</v>
      </c>
      <c r="W63" s="1">
        <v>0</v>
      </c>
      <c r="X63" s="1">
        <f t="shared" si="3"/>
        <v>3</v>
      </c>
      <c r="Y63" s="1">
        <v>3.5</v>
      </c>
      <c r="Z63" s="1">
        <v>0</v>
      </c>
      <c r="AA63" s="1">
        <v>6</v>
      </c>
      <c r="AB63" s="1">
        <v>0</v>
      </c>
      <c r="AC63" s="1">
        <v>0</v>
      </c>
      <c r="AD63" s="1">
        <f t="shared" si="4"/>
        <v>6</v>
      </c>
      <c r="AE63" s="1">
        <v>0.5</v>
      </c>
      <c r="AF63" s="23">
        <f t="shared" ref="AF63:AF73" si="60">SUM(H63,N63,T63,Z63)</f>
        <v>0</v>
      </c>
      <c r="AG63" s="23">
        <f t="shared" ref="AG63:AG73" si="61">SUM(I63,O63,U63,AA63)</f>
        <v>7</v>
      </c>
      <c r="AH63" s="23">
        <f t="shared" si="13"/>
        <v>2</v>
      </c>
      <c r="AI63" s="23">
        <f t="shared" ref="AI63:AI72" si="62">SUM(K63,Q63,W63,AC63)</f>
        <v>0</v>
      </c>
      <c r="AJ63" s="23">
        <f t="shared" ref="AJ63:AJ72" si="63">SUM(AF63:AI63)</f>
        <v>9</v>
      </c>
      <c r="AK63" s="23">
        <f t="shared" si="16"/>
        <v>4</v>
      </c>
    </row>
    <row r="64" spans="1:38" x14ac:dyDescent="0.25">
      <c r="A64">
        <v>2011</v>
      </c>
      <c r="B64" s="21" t="s">
        <v>46</v>
      </c>
      <c r="C64" s="12">
        <v>40737</v>
      </c>
      <c r="D64" s="3">
        <v>104</v>
      </c>
      <c r="E64" s="21" t="s">
        <v>54</v>
      </c>
      <c r="H64" s="1" t="s">
        <v>1</v>
      </c>
      <c r="I64" s="1" t="s">
        <v>1</v>
      </c>
      <c r="J64" s="1">
        <v>1</v>
      </c>
      <c r="K64" s="1">
        <v>0</v>
      </c>
      <c r="L64" s="1">
        <f t="shared" si="17"/>
        <v>1</v>
      </c>
      <c r="M64" s="1">
        <v>3.5</v>
      </c>
      <c r="N64" s="1" t="s">
        <v>1</v>
      </c>
      <c r="O64" s="1" t="s">
        <v>1</v>
      </c>
      <c r="P64" s="1">
        <v>0</v>
      </c>
      <c r="Q64" s="1">
        <v>0</v>
      </c>
      <c r="R64" s="1">
        <f t="shared" si="2"/>
        <v>0</v>
      </c>
      <c r="S64" s="1">
        <v>0</v>
      </c>
      <c r="T64" s="1" t="s">
        <v>1</v>
      </c>
      <c r="U64" s="1" t="s">
        <v>1</v>
      </c>
      <c r="V64" s="1">
        <v>0</v>
      </c>
      <c r="W64" s="1">
        <v>0</v>
      </c>
      <c r="X64" s="1">
        <f t="shared" si="3"/>
        <v>0</v>
      </c>
      <c r="Y64" s="1">
        <v>0</v>
      </c>
      <c r="Z64" s="1" t="s">
        <v>1</v>
      </c>
      <c r="AA64" s="1" t="s">
        <v>1</v>
      </c>
      <c r="AB64" s="1">
        <v>0</v>
      </c>
      <c r="AC64" s="1">
        <v>0</v>
      </c>
      <c r="AD64" s="1">
        <f t="shared" si="4"/>
        <v>0</v>
      </c>
      <c r="AE64" s="1">
        <v>0</v>
      </c>
      <c r="AF64" s="23">
        <f t="shared" si="60"/>
        <v>0</v>
      </c>
      <c r="AG64" s="23">
        <f t="shared" si="61"/>
        <v>0</v>
      </c>
      <c r="AH64" s="23">
        <f t="shared" si="13"/>
        <v>1</v>
      </c>
      <c r="AI64" s="23">
        <f t="shared" si="62"/>
        <v>0</v>
      </c>
      <c r="AJ64" s="23">
        <f t="shared" si="63"/>
        <v>1</v>
      </c>
      <c r="AK64" s="23">
        <f t="shared" si="16"/>
        <v>3.5</v>
      </c>
    </row>
    <row r="65" spans="1:38" x14ac:dyDescent="0.25">
      <c r="A65">
        <v>2011</v>
      </c>
      <c r="B65" s="21" t="s">
        <v>46</v>
      </c>
      <c r="C65" s="12">
        <v>40737</v>
      </c>
      <c r="D65" s="3">
        <v>104</v>
      </c>
      <c r="E65" s="21" t="s">
        <v>80</v>
      </c>
      <c r="H65" s="1" t="s">
        <v>1</v>
      </c>
      <c r="I65" s="1" t="s">
        <v>1</v>
      </c>
      <c r="J65" s="1">
        <v>1</v>
      </c>
      <c r="K65" s="1">
        <v>0</v>
      </c>
      <c r="L65" s="1">
        <f t="shared" si="17"/>
        <v>1</v>
      </c>
      <c r="M65" s="1">
        <v>0.5</v>
      </c>
      <c r="N65" s="1" t="s">
        <v>1</v>
      </c>
      <c r="O65" s="1" t="s">
        <v>1</v>
      </c>
      <c r="P65" s="1">
        <v>0</v>
      </c>
      <c r="Q65" s="1">
        <v>0</v>
      </c>
      <c r="R65" s="1">
        <f t="shared" si="2"/>
        <v>0</v>
      </c>
      <c r="S65" s="1">
        <v>0</v>
      </c>
      <c r="T65" s="1" t="s">
        <v>1</v>
      </c>
      <c r="U65" s="1" t="s">
        <v>1</v>
      </c>
      <c r="V65" s="1">
        <v>0</v>
      </c>
      <c r="W65" s="1">
        <v>0</v>
      </c>
      <c r="X65" s="1">
        <f t="shared" si="3"/>
        <v>0</v>
      </c>
      <c r="Y65" s="1">
        <v>0</v>
      </c>
      <c r="Z65" s="1" t="s">
        <v>1</v>
      </c>
      <c r="AA65" s="1" t="s">
        <v>1</v>
      </c>
      <c r="AB65" s="1">
        <v>0</v>
      </c>
      <c r="AC65" s="1">
        <v>0</v>
      </c>
      <c r="AD65" s="1">
        <f t="shared" si="4"/>
        <v>0</v>
      </c>
      <c r="AE65" s="1">
        <v>0</v>
      </c>
      <c r="AF65" s="23">
        <f t="shared" si="60"/>
        <v>0</v>
      </c>
      <c r="AG65" s="23">
        <f t="shared" si="61"/>
        <v>0</v>
      </c>
      <c r="AH65" s="23">
        <f t="shared" si="13"/>
        <v>1</v>
      </c>
      <c r="AI65" s="23">
        <f t="shared" si="62"/>
        <v>0</v>
      </c>
      <c r="AJ65" s="23">
        <f t="shared" si="63"/>
        <v>1</v>
      </c>
      <c r="AK65" s="23">
        <f t="shared" si="16"/>
        <v>0.5</v>
      </c>
      <c r="AL65" s="28" t="s">
        <v>81</v>
      </c>
    </row>
    <row r="66" spans="1:38" x14ac:dyDescent="0.25">
      <c r="A66">
        <v>2011</v>
      </c>
      <c r="B66" s="21" t="s">
        <v>46</v>
      </c>
      <c r="C66" s="12">
        <v>40737</v>
      </c>
      <c r="D66" s="3">
        <v>104</v>
      </c>
      <c r="E66" s="21" t="s">
        <v>51</v>
      </c>
      <c r="H66" s="1" t="s">
        <v>1</v>
      </c>
      <c r="I66" s="1" t="s">
        <v>1</v>
      </c>
      <c r="J66" s="1">
        <v>0</v>
      </c>
      <c r="K66" s="1">
        <v>0</v>
      </c>
      <c r="L66" s="1">
        <f t="shared" si="17"/>
        <v>0</v>
      </c>
      <c r="M66" s="1">
        <v>0</v>
      </c>
      <c r="N66" s="1" t="s">
        <v>1</v>
      </c>
      <c r="O66" s="1" t="s">
        <v>1</v>
      </c>
      <c r="P66" s="1">
        <v>0</v>
      </c>
      <c r="Q66" s="1">
        <v>0</v>
      </c>
      <c r="R66" s="1">
        <f t="shared" si="2"/>
        <v>0</v>
      </c>
      <c r="S66" s="1">
        <v>0</v>
      </c>
      <c r="T66" s="1" t="s">
        <v>1</v>
      </c>
      <c r="U66" s="1" t="s">
        <v>1</v>
      </c>
      <c r="V66" s="1">
        <v>0</v>
      </c>
      <c r="W66" s="1">
        <v>0</v>
      </c>
      <c r="X66" s="1">
        <f t="shared" si="3"/>
        <v>0</v>
      </c>
      <c r="Y66" s="1">
        <v>0</v>
      </c>
      <c r="Z66" s="1" t="s">
        <v>1</v>
      </c>
      <c r="AA66" s="1" t="s">
        <v>1</v>
      </c>
      <c r="AB66" s="1">
        <v>3</v>
      </c>
      <c r="AC66" s="1">
        <v>0</v>
      </c>
      <c r="AD66" s="1">
        <f t="shared" si="4"/>
        <v>3</v>
      </c>
      <c r="AE66" s="1">
        <v>1.5</v>
      </c>
      <c r="AF66" s="23">
        <f t="shared" si="60"/>
        <v>0</v>
      </c>
      <c r="AG66" s="23">
        <f t="shared" si="61"/>
        <v>0</v>
      </c>
      <c r="AH66" s="23">
        <f t="shared" si="13"/>
        <v>3</v>
      </c>
      <c r="AI66" s="23">
        <f t="shared" si="62"/>
        <v>0</v>
      </c>
      <c r="AJ66" s="23">
        <f t="shared" si="63"/>
        <v>3</v>
      </c>
      <c r="AK66" s="23">
        <f t="shared" si="16"/>
        <v>1.5</v>
      </c>
    </row>
    <row r="67" spans="1:38" x14ac:dyDescent="0.25">
      <c r="A67">
        <v>2011</v>
      </c>
      <c r="B67" s="21" t="s">
        <v>46</v>
      </c>
      <c r="C67" s="12">
        <v>40737</v>
      </c>
      <c r="D67" s="3">
        <v>105</v>
      </c>
      <c r="E67" s="21" t="s">
        <v>47</v>
      </c>
      <c r="H67" s="1">
        <v>0</v>
      </c>
      <c r="I67" s="1">
        <v>0</v>
      </c>
      <c r="J67" s="1">
        <v>0</v>
      </c>
      <c r="K67" s="1">
        <v>0</v>
      </c>
      <c r="L67" s="1">
        <f t="shared" si="17"/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f t="shared" si="2"/>
        <v>0</v>
      </c>
      <c r="S67" s="1">
        <v>0</v>
      </c>
      <c r="T67" s="1">
        <v>0</v>
      </c>
      <c r="U67" s="1">
        <v>1</v>
      </c>
      <c r="V67" s="1">
        <v>0</v>
      </c>
      <c r="W67" s="1">
        <v>0</v>
      </c>
      <c r="X67" s="1">
        <f t="shared" si="3"/>
        <v>1</v>
      </c>
      <c r="Y67" s="1">
        <v>0.5</v>
      </c>
      <c r="Z67" s="1">
        <v>0</v>
      </c>
      <c r="AA67" s="1">
        <v>0</v>
      </c>
      <c r="AB67" s="1">
        <v>0</v>
      </c>
      <c r="AC67" s="1">
        <v>0</v>
      </c>
      <c r="AD67" s="1">
        <f t="shared" si="4"/>
        <v>0</v>
      </c>
      <c r="AE67" s="1">
        <v>0</v>
      </c>
      <c r="AF67" s="23">
        <f t="shared" si="60"/>
        <v>0</v>
      </c>
      <c r="AG67" s="23">
        <f t="shared" si="61"/>
        <v>1</v>
      </c>
      <c r="AH67" s="23">
        <f t="shared" si="13"/>
        <v>0</v>
      </c>
      <c r="AI67" s="23">
        <f t="shared" si="62"/>
        <v>0</v>
      </c>
      <c r="AJ67" s="23">
        <f t="shared" si="63"/>
        <v>1</v>
      </c>
      <c r="AK67" s="23">
        <f t="shared" si="16"/>
        <v>0.5</v>
      </c>
    </row>
    <row r="68" spans="1:38" x14ac:dyDescent="0.25">
      <c r="A68">
        <v>2011</v>
      </c>
      <c r="B68" s="21" t="s">
        <v>46</v>
      </c>
      <c r="C68" s="12">
        <v>40737</v>
      </c>
      <c r="D68" s="3">
        <v>105</v>
      </c>
      <c r="E68" s="21" t="s">
        <v>54</v>
      </c>
      <c r="H68" s="1" t="s">
        <v>1</v>
      </c>
      <c r="I68" s="1" t="s">
        <v>1</v>
      </c>
      <c r="J68" s="1">
        <v>0</v>
      </c>
      <c r="K68" s="1">
        <v>0</v>
      </c>
      <c r="L68" s="1">
        <f t="shared" si="17"/>
        <v>0</v>
      </c>
      <c r="M68" s="1">
        <v>0</v>
      </c>
      <c r="N68" s="1" t="s">
        <v>1</v>
      </c>
      <c r="O68" s="1" t="s">
        <v>1</v>
      </c>
      <c r="P68" s="1">
        <v>2</v>
      </c>
      <c r="Q68" s="1">
        <v>0</v>
      </c>
      <c r="R68" s="1">
        <f t="shared" si="2"/>
        <v>2</v>
      </c>
      <c r="S68" s="1">
        <v>0.5</v>
      </c>
      <c r="T68" s="1" t="s">
        <v>1</v>
      </c>
      <c r="U68" s="1" t="s">
        <v>1</v>
      </c>
      <c r="V68" s="1">
        <v>5</v>
      </c>
      <c r="W68" s="1">
        <v>0</v>
      </c>
      <c r="X68" s="1">
        <f t="shared" si="3"/>
        <v>5</v>
      </c>
      <c r="Y68" s="1">
        <v>8</v>
      </c>
      <c r="Z68" s="1" t="s">
        <v>1</v>
      </c>
      <c r="AA68" s="1" t="s">
        <v>1</v>
      </c>
      <c r="AB68" s="1">
        <v>1</v>
      </c>
      <c r="AC68" s="1">
        <v>1</v>
      </c>
      <c r="AD68" s="1">
        <f t="shared" si="4"/>
        <v>2</v>
      </c>
      <c r="AE68" s="1">
        <v>3.5</v>
      </c>
      <c r="AF68" s="23">
        <f t="shared" si="60"/>
        <v>0</v>
      </c>
      <c r="AG68" s="23">
        <f t="shared" si="61"/>
        <v>0</v>
      </c>
      <c r="AH68" s="23">
        <f t="shared" si="13"/>
        <v>8</v>
      </c>
      <c r="AI68" s="23">
        <f t="shared" si="62"/>
        <v>1</v>
      </c>
      <c r="AJ68" s="23">
        <f t="shared" si="63"/>
        <v>9</v>
      </c>
      <c r="AK68" s="23">
        <f t="shared" si="16"/>
        <v>12</v>
      </c>
    </row>
    <row r="69" spans="1:38" x14ac:dyDescent="0.25">
      <c r="A69">
        <v>2011</v>
      </c>
      <c r="B69" s="21" t="s">
        <v>46</v>
      </c>
      <c r="C69" s="12">
        <v>40737</v>
      </c>
      <c r="D69" s="3">
        <v>105</v>
      </c>
      <c r="E69" s="21" t="s">
        <v>51</v>
      </c>
      <c r="H69" s="1" t="s">
        <v>1</v>
      </c>
      <c r="I69" s="1" t="s">
        <v>1</v>
      </c>
      <c r="J69" s="1">
        <v>0</v>
      </c>
      <c r="K69" s="1">
        <v>0</v>
      </c>
      <c r="L69" s="1">
        <f t="shared" si="17"/>
        <v>0</v>
      </c>
      <c r="M69" s="1">
        <v>0</v>
      </c>
      <c r="N69" s="1" t="s">
        <v>1</v>
      </c>
      <c r="O69" s="1" t="s">
        <v>1</v>
      </c>
      <c r="P69" s="1">
        <v>0</v>
      </c>
      <c r="Q69" s="1">
        <v>0</v>
      </c>
      <c r="R69" s="1">
        <f t="shared" si="2"/>
        <v>0</v>
      </c>
      <c r="S69" s="1">
        <v>0</v>
      </c>
      <c r="T69" s="1" t="s">
        <v>1</v>
      </c>
      <c r="U69" s="1" t="s">
        <v>1</v>
      </c>
      <c r="V69" s="1">
        <v>12</v>
      </c>
      <c r="W69" s="1">
        <v>1</v>
      </c>
      <c r="X69" s="1">
        <f t="shared" si="3"/>
        <v>13</v>
      </c>
      <c r="Y69" s="1">
        <v>3.5</v>
      </c>
      <c r="Z69" s="1" t="s">
        <v>1</v>
      </c>
      <c r="AA69" s="1" t="s">
        <v>1</v>
      </c>
      <c r="AB69" s="1">
        <v>0</v>
      </c>
      <c r="AC69" s="1">
        <v>0</v>
      </c>
      <c r="AD69" s="1">
        <f t="shared" si="4"/>
        <v>0</v>
      </c>
      <c r="AE69" s="1">
        <v>0</v>
      </c>
      <c r="AF69" s="23">
        <f t="shared" si="60"/>
        <v>0</v>
      </c>
      <c r="AG69" s="23">
        <f t="shared" si="61"/>
        <v>0</v>
      </c>
      <c r="AH69" s="23">
        <f t="shared" si="13"/>
        <v>12</v>
      </c>
      <c r="AI69" s="23">
        <f t="shared" si="62"/>
        <v>1</v>
      </c>
      <c r="AJ69" s="23">
        <f t="shared" si="63"/>
        <v>13</v>
      </c>
      <c r="AK69" s="23">
        <f t="shared" si="16"/>
        <v>3.5</v>
      </c>
      <c r="AL69" s="28" t="s">
        <v>82</v>
      </c>
    </row>
    <row r="70" spans="1:38" x14ac:dyDescent="0.25">
      <c r="A70">
        <v>2011</v>
      </c>
      <c r="B70" s="21" t="s">
        <v>46</v>
      </c>
      <c r="C70" s="12">
        <v>40737</v>
      </c>
      <c r="D70" s="3">
        <v>105</v>
      </c>
      <c r="E70" s="21" t="s">
        <v>83</v>
      </c>
      <c r="H70" s="1">
        <v>0</v>
      </c>
      <c r="I70" s="1">
        <v>0</v>
      </c>
      <c r="J70" s="1">
        <v>0</v>
      </c>
      <c r="K70" s="1">
        <v>0</v>
      </c>
      <c r="L70" s="1">
        <f t="shared" si="17"/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f t="shared" si="2"/>
        <v>0</v>
      </c>
      <c r="S70" s="1">
        <v>0</v>
      </c>
      <c r="T70" s="1">
        <v>0</v>
      </c>
      <c r="U70" s="1">
        <v>0</v>
      </c>
      <c r="V70" s="1">
        <v>0</v>
      </c>
      <c r="W70" s="1">
        <v>1</v>
      </c>
      <c r="X70" s="1">
        <f t="shared" si="3"/>
        <v>1</v>
      </c>
      <c r="Y70" s="1">
        <v>3.5</v>
      </c>
      <c r="Z70" s="1">
        <v>0</v>
      </c>
      <c r="AA70" s="1">
        <v>0</v>
      </c>
      <c r="AB70" s="1">
        <v>0</v>
      </c>
      <c r="AC70" s="1">
        <v>0</v>
      </c>
      <c r="AD70" s="1">
        <f t="shared" si="4"/>
        <v>0</v>
      </c>
      <c r="AE70" s="1">
        <v>0</v>
      </c>
      <c r="AF70" s="23">
        <f t="shared" si="60"/>
        <v>0</v>
      </c>
      <c r="AG70" s="23">
        <f t="shared" si="61"/>
        <v>0</v>
      </c>
      <c r="AH70" s="23">
        <f t="shared" si="13"/>
        <v>0</v>
      </c>
      <c r="AI70" s="23">
        <f t="shared" si="62"/>
        <v>1</v>
      </c>
      <c r="AJ70" s="23">
        <f t="shared" si="63"/>
        <v>1</v>
      </c>
      <c r="AK70" s="23">
        <f t="shared" si="16"/>
        <v>3.5</v>
      </c>
    </row>
    <row r="71" spans="1:38" x14ac:dyDescent="0.25">
      <c r="A71">
        <v>2011</v>
      </c>
      <c r="B71" s="21" t="s">
        <v>46</v>
      </c>
      <c r="C71" s="12">
        <v>40737</v>
      </c>
      <c r="D71" s="3">
        <v>106</v>
      </c>
      <c r="E71" s="21" t="s">
        <v>47</v>
      </c>
      <c r="H71" s="1">
        <v>0</v>
      </c>
      <c r="I71" s="1">
        <v>3</v>
      </c>
      <c r="J71" s="1">
        <v>1</v>
      </c>
      <c r="K71" s="1">
        <v>0</v>
      </c>
      <c r="L71" s="1">
        <f t="shared" si="17"/>
        <v>4</v>
      </c>
      <c r="M71" s="1">
        <v>1.5</v>
      </c>
      <c r="N71" s="1">
        <v>0</v>
      </c>
      <c r="O71" s="1">
        <v>0</v>
      </c>
      <c r="P71" s="1">
        <v>0</v>
      </c>
      <c r="Q71" s="1">
        <v>0</v>
      </c>
      <c r="R71" s="1">
        <f t="shared" si="2"/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f t="shared" si="3"/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f t="shared" si="4"/>
        <v>0</v>
      </c>
      <c r="AE71" s="1">
        <v>0</v>
      </c>
      <c r="AF71" s="23">
        <f t="shared" si="60"/>
        <v>0</v>
      </c>
      <c r="AG71" s="23">
        <f t="shared" si="61"/>
        <v>3</v>
      </c>
      <c r="AH71" s="23">
        <f t="shared" si="13"/>
        <v>1</v>
      </c>
      <c r="AI71" s="23">
        <f t="shared" si="62"/>
        <v>0</v>
      </c>
      <c r="AJ71" s="23">
        <f t="shared" si="63"/>
        <v>4</v>
      </c>
      <c r="AK71" s="23">
        <f t="shared" si="16"/>
        <v>1.5</v>
      </c>
    </row>
    <row r="72" spans="1:38" x14ac:dyDescent="0.25">
      <c r="A72">
        <v>2011</v>
      </c>
      <c r="B72" s="21" t="s">
        <v>46</v>
      </c>
      <c r="C72" s="12">
        <v>40737</v>
      </c>
      <c r="D72" s="3">
        <v>107</v>
      </c>
      <c r="E72" s="21" t="s">
        <v>47</v>
      </c>
      <c r="H72" s="1">
        <v>0</v>
      </c>
      <c r="I72" s="1">
        <v>0</v>
      </c>
      <c r="J72" s="1">
        <v>2</v>
      </c>
      <c r="K72" s="1">
        <v>0</v>
      </c>
      <c r="L72" s="1">
        <f t="shared" si="17"/>
        <v>2</v>
      </c>
      <c r="M72" s="1">
        <v>1.5</v>
      </c>
      <c r="N72" s="1">
        <v>0</v>
      </c>
      <c r="O72" s="1">
        <v>0</v>
      </c>
      <c r="P72" s="1">
        <v>0</v>
      </c>
      <c r="Q72" s="1">
        <v>0</v>
      </c>
      <c r="R72" s="1">
        <f t="shared" si="2"/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f t="shared" si="3"/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f t="shared" si="4"/>
        <v>0</v>
      </c>
      <c r="AE72" s="1">
        <v>0</v>
      </c>
      <c r="AF72" s="23">
        <f t="shared" si="60"/>
        <v>0</v>
      </c>
      <c r="AG72" s="23">
        <f t="shared" si="61"/>
        <v>0</v>
      </c>
      <c r="AH72" s="23">
        <f t="shared" si="13"/>
        <v>2</v>
      </c>
      <c r="AI72" s="23">
        <f t="shared" si="62"/>
        <v>0</v>
      </c>
      <c r="AJ72" s="23">
        <f t="shared" si="63"/>
        <v>2</v>
      </c>
      <c r="AK72" s="23">
        <f t="shared" si="16"/>
        <v>1.5</v>
      </c>
    </row>
    <row r="73" spans="1:38" x14ac:dyDescent="0.25">
      <c r="A73">
        <v>2011</v>
      </c>
      <c r="B73" s="21" t="s">
        <v>46</v>
      </c>
      <c r="C73" s="12">
        <v>40737</v>
      </c>
      <c r="D73" s="3">
        <v>108</v>
      </c>
      <c r="E73" s="21" t="s">
        <v>47</v>
      </c>
      <c r="H73" s="1">
        <v>0</v>
      </c>
      <c r="I73" s="1">
        <v>0</v>
      </c>
      <c r="J73" s="1">
        <v>0</v>
      </c>
      <c r="K73" s="1">
        <v>1</v>
      </c>
      <c r="L73" s="1">
        <f t="shared" si="17"/>
        <v>1</v>
      </c>
      <c r="M73" s="1">
        <v>3.5</v>
      </c>
      <c r="N73" s="1">
        <v>0</v>
      </c>
      <c r="O73" s="1">
        <v>0</v>
      </c>
      <c r="P73" s="1">
        <v>0</v>
      </c>
      <c r="Q73" s="1">
        <v>0</v>
      </c>
      <c r="R73" s="1">
        <f t="shared" si="2"/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f t="shared" si="3"/>
        <v>0</v>
      </c>
      <c r="Y73" s="1">
        <v>0</v>
      </c>
      <c r="Z73" s="1">
        <v>0</v>
      </c>
      <c r="AA73" s="1">
        <v>0</v>
      </c>
      <c r="AB73" s="1">
        <v>1</v>
      </c>
      <c r="AC73" s="1">
        <v>0</v>
      </c>
      <c r="AD73" s="1">
        <f t="shared" si="4"/>
        <v>1</v>
      </c>
      <c r="AE73" s="1">
        <v>1.5</v>
      </c>
      <c r="AF73" s="23">
        <f t="shared" si="60"/>
        <v>0</v>
      </c>
      <c r="AG73" s="23">
        <f t="shared" si="61"/>
        <v>0</v>
      </c>
      <c r="AH73" s="23">
        <f t="shared" si="13"/>
        <v>1</v>
      </c>
      <c r="AI73" s="23">
        <f t="shared" ref="AI73:AI85" si="64">SUM(K73,Q73,W73,AC73)</f>
        <v>1</v>
      </c>
      <c r="AJ73" s="23">
        <f t="shared" ref="AJ73:AJ85" si="65">SUM(AF73:AI73)</f>
        <v>2</v>
      </c>
      <c r="AK73" s="23">
        <f t="shared" si="16"/>
        <v>5</v>
      </c>
    </row>
    <row r="74" spans="1:38" x14ac:dyDescent="0.25">
      <c r="A74">
        <v>2011</v>
      </c>
      <c r="B74" s="21" t="s">
        <v>46</v>
      </c>
      <c r="C74" s="12">
        <v>40737</v>
      </c>
      <c r="D74" s="3">
        <v>108</v>
      </c>
      <c r="E74" s="21" t="s">
        <v>51</v>
      </c>
      <c r="H74" s="27" t="s">
        <v>1</v>
      </c>
      <c r="I74" s="27" t="s">
        <v>1</v>
      </c>
      <c r="J74" s="1">
        <v>14</v>
      </c>
      <c r="K74" s="1">
        <v>0</v>
      </c>
      <c r="L74" s="1">
        <f t="shared" si="17"/>
        <v>14</v>
      </c>
      <c r="M74" s="1">
        <v>3.5</v>
      </c>
      <c r="N74" s="27" t="s">
        <v>1</v>
      </c>
      <c r="O74" s="27" t="s">
        <v>1</v>
      </c>
      <c r="P74" s="1">
        <v>0</v>
      </c>
      <c r="Q74" s="1">
        <v>0</v>
      </c>
      <c r="R74" s="1">
        <f t="shared" si="2"/>
        <v>0</v>
      </c>
      <c r="S74" s="1">
        <v>0</v>
      </c>
      <c r="T74" s="27" t="s">
        <v>1</v>
      </c>
      <c r="U74" s="27" t="s">
        <v>1</v>
      </c>
      <c r="V74" s="1">
        <v>0</v>
      </c>
      <c r="W74" s="1">
        <v>0</v>
      </c>
      <c r="X74" s="1">
        <f t="shared" si="3"/>
        <v>0</v>
      </c>
      <c r="Y74" s="1">
        <v>0</v>
      </c>
      <c r="Z74" s="27" t="s">
        <v>1</v>
      </c>
      <c r="AA74" s="27" t="s">
        <v>1</v>
      </c>
      <c r="AB74" s="1">
        <v>0</v>
      </c>
      <c r="AC74" s="1">
        <v>0</v>
      </c>
      <c r="AD74" s="1">
        <f t="shared" si="4"/>
        <v>0</v>
      </c>
      <c r="AE74" s="1">
        <v>0</v>
      </c>
      <c r="AF74" s="23">
        <f t="shared" ref="AF74:AF78" si="66">SUM(H74,N74,T74,Z74)</f>
        <v>0</v>
      </c>
      <c r="AG74" s="23">
        <f t="shared" ref="AG74:AG78" si="67">SUM(I74,O74,U74,AA74)</f>
        <v>0</v>
      </c>
      <c r="AH74" s="23">
        <f t="shared" si="13"/>
        <v>14</v>
      </c>
      <c r="AI74" s="23">
        <f t="shared" si="64"/>
        <v>0</v>
      </c>
      <c r="AJ74" s="23">
        <f t="shared" si="65"/>
        <v>14</v>
      </c>
      <c r="AK74" s="23">
        <f t="shared" si="16"/>
        <v>3.5</v>
      </c>
      <c r="AL74" s="28" t="s">
        <v>84</v>
      </c>
    </row>
    <row r="75" spans="1:38" x14ac:dyDescent="0.25">
      <c r="A75">
        <v>2011</v>
      </c>
      <c r="B75" s="21" t="s">
        <v>46</v>
      </c>
      <c r="C75" s="12">
        <v>40737</v>
      </c>
      <c r="D75" s="3">
        <v>108</v>
      </c>
      <c r="E75" s="21" t="s">
        <v>85</v>
      </c>
      <c r="H75" s="27" t="s">
        <v>1</v>
      </c>
      <c r="I75" s="27" t="s">
        <v>1</v>
      </c>
      <c r="J75" s="1">
        <v>0</v>
      </c>
      <c r="K75" s="1">
        <v>1</v>
      </c>
      <c r="L75" s="1">
        <f t="shared" si="17"/>
        <v>1</v>
      </c>
      <c r="M75" s="1">
        <v>8</v>
      </c>
      <c r="N75" s="27" t="s">
        <v>1</v>
      </c>
      <c r="O75" s="27" t="s">
        <v>1</v>
      </c>
      <c r="P75" s="1">
        <v>0</v>
      </c>
      <c r="Q75" s="1">
        <v>0</v>
      </c>
      <c r="R75" s="1">
        <f t="shared" si="2"/>
        <v>0</v>
      </c>
      <c r="S75" s="1">
        <v>0</v>
      </c>
      <c r="T75" s="27" t="s">
        <v>1</v>
      </c>
      <c r="U75" s="27" t="s">
        <v>1</v>
      </c>
      <c r="V75" s="1">
        <v>0</v>
      </c>
      <c r="W75" s="1">
        <v>0</v>
      </c>
      <c r="X75" s="1">
        <f t="shared" si="3"/>
        <v>0</v>
      </c>
      <c r="Y75" s="1">
        <v>0</v>
      </c>
      <c r="Z75" s="27" t="s">
        <v>1</v>
      </c>
      <c r="AA75" s="27" t="s">
        <v>1</v>
      </c>
      <c r="AB75" s="1">
        <v>0</v>
      </c>
      <c r="AC75" s="1">
        <v>0</v>
      </c>
      <c r="AD75" s="1">
        <f t="shared" si="4"/>
        <v>0</v>
      </c>
      <c r="AE75" s="1">
        <v>0</v>
      </c>
      <c r="AF75" s="23">
        <f t="shared" si="66"/>
        <v>0</v>
      </c>
      <c r="AG75" s="23">
        <f t="shared" si="67"/>
        <v>0</v>
      </c>
      <c r="AH75" s="23">
        <f t="shared" si="13"/>
        <v>0</v>
      </c>
      <c r="AI75" s="23">
        <f t="shared" si="64"/>
        <v>1</v>
      </c>
      <c r="AJ75" s="23">
        <f t="shared" si="65"/>
        <v>1</v>
      </c>
      <c r="AK75" s="23">
        <f t="shared" si="16"/>
        <v>8</v>
      </c>
    </row>
    <row r="76" spans="1:38" x14ac:dyDescent="0.25">
      <c r="A76">
        <v>2011</v>
      </c>
      <c r="B76" s="21" t="s">
        <v>46</v>
      </c>
      <c r="C76" s="12">
        <v>40737</v>
      </c>
      <c r="D76" s="3">
        <v>108</v>
      </c>
      <c r="E76" s="21" t="s">
        <v>54</v>
      </c>
      <c r="H76" s="27" t="s">
        <v>1</v>
      </c>
      <c r="I76" s="27" t="s">
        <v>1</v>
      </c>
      <c r="J76" s="1">
        <v>1</v>
      </c>
      <c r="K76" s="1">
        <v>0</v>
      </c>
      <c r="L76" s="1">
        <f t="shared" si="17"/>
        <v>1</v>
      </c>
      <c r="M76" s="1">
        <v>1.5</v>
      </c>
      <c r="N76" s="27" t="s">
        <v>1</v>
      </c>
      <c r="O76" s="27" t="s">
        <v>1</v>
      </c>
      <c r="P76" s="1">
        <v>1</v>
      </c>
      <c r="Q76" s="1">
        <v>0</v>
      </c>
      <c r="R76" s="1">
        <f t="shared" si="2"/>
        <v>1</v>
      </c>
      <c r="S76" s="1">
        <v>1.5</v>
      </c>
      <c r="T76" s="27" t="s">
        <v>1</v>
      </c>
      <c r="U76" s="27" t="s">
        <v>1</v>
      </c>
      <c r="V76" s="1">
        <v>0</v>
      </c>
      <c r="W76" s="1">
        <v>0</v>
      </c>
      <c r="X76" s="1">
        <f t="shared" si="3"/>
        <v>0</v>
      </c>
      <c r="Y76" s="1">
        <v>0</v>
      </c>
      <c r="Z76" s="27" t="s">
        <v>1</v>
      </c>
      <c r="AA76" s="27" t="s">
        <v>1</v>
      </c>
      <c r="AB76" s="1">
        <v>1</v>
      </c>
      <c r="AC76" s="1">
        <v>0</v>
      </c>
      <c r="AD76" s="1">
        <f t="shared" si="4"/>
        <v>1</v>
      </c>
      <c r="AE76" s="1">
        <v>1.5</v>
      </c>
      <c r="AF76" s="23">
        <f t="shared" si="66"/>
        <v>0</v>
      </c>
      <c r="AG76" s="23">
        <f t="shared" si="67"/>
        <v>0</v>
      </c>
      <c r="AH76" s="23">
        <f t="shared" si="13"/>
        <v>3</v>
      </c>
      <c r="AI76" s="23">
        <f t="shared" si="64"/>
        <v>0</v>
      </c>
      <c r="AJ76" s="23">
        <f t="shared" si="65"/>
        <v>3</v>
      </c>
      <c r="AK76" s="23">
        <f t="shared" si="16"/>
        <v>4.5</v>
      </c>
    </row>
    <row r="77" spans="1:38" x14ac:dyDescent="0.25">
      <c r="A77">
        <v>2011</v>
      </c>
      <c r="B77" s="21" t="s">
        <v>46</v>
      </c>
      <c r="C77" s="12">
        <v>40737</v>
      </c>
      <c r="D77" s="3">
        <v>108</v>
      </c>
      <c r="E77" s="21" t="s">
        <v>65</v>
      </c>
      <c r="H77" s="1">
        <v>0</v>
      </c>
      <c r="I77" s="1">
        <v>0</v>
      </c>
      <c r="J77" s="1">
        <v>1</v>
      </c>
      <c r="K77" s="1">
        <v>0</v>
      </c>
      <c r="L77" s="1">
        <f t="shared" si="17"/>
        <v>1</v>
      </c>
      <c r="M77" s="1">
        <v>0.5</v>
      </c>
      <c r="N77" s="1">
        <v>0</v>
      </c>
      <c r="O77" s="1">
        <v>0</v>
      </c>
      <c r="P77" s="1">
        <v>0</v>
      </c>
      <c r="Q77" s="1">
        <v>0</v>
      </c>
      <c r="R77" s="1">
        <f t="shared" si="2"/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f t="shared" si="3"/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f t="shared" si="4"/>
        <v>0</v>
      </c>
      <c r="AE77" s="1">
        <v>0</v>
      </c>
      <c r="AF77" s="23">
        <f t="shared" si="66"/>
        <v>0</v>
      </c>
      <c r="AG77" s="23">
        <f t="shared" si="67"/>
        <v>0</v>
      </c>
      <c r="AH77" s="23">
        <f t="shared" si="13"/>
        <v>1</v>
      </c>
      <c r="AI77" s="23">
        <f t="shared" si="64"/>
        <v>0</v>
      </c>
      <c r="AJ77" s="23">
        <f t="shared" si="65"/>
        <v>1</v>
      </c>
      <c r="AK77" s="23">
        <f t="shared" si="16"/>
        <v>0.5</v>
      </c>
    </row>
    <row r="78" spans="1:38" x14ac:dyDescent="0.25">
      <c r="A78">
        <v>2011</v>
      </c>
      <c r="B78" s="21" t="s">
        <v>46</v>
      </c>
      <c r="C78" s="12">
        <v>40744</v>
      </c>
      <c r="D78" s="3">
        <v>109</v>
      </c>
      <c r="E78" s="21" t="s">
        <v>47</v>
      </c>
      <c r="H78" s="1">
        <v>0</v>
      </c>
      <c r="I78" s="1">
        <v>376</v>
      </c>
      <c r="J78" s="1">
        <v>1</v>
      </c>
      <c r="K78" s="1">
        <v>0</v>
      </c>
      <c r="L78" s="1">
        <f t="shared" si="17"/>
        <v>377</v>
      </c>
      <c r="M78" s="1">
        <v>75</v>
      </c>
      <c r="N78" s="1">
        <v>0</v>
      </c>
      <c r="O78" s="1">
        <v>87</v>
      </c>
      <c r="P78" s="1">
        <v>2</v>
      </c>
      <c r="Q78" s="1">
        <v>0</v>
      </c>
      <c r="R78" s="1">
        <f t="shared" si="2"/>
        <v>89</v>
      </c>
      <c r="S78" s="1">
        <v>25</v>
      </c>
      <c r="T78" s="1">
        <v>0</v>
      </c>
      <c r="U78" s="1">
        <v>317</v>
      </c>
      <c r="V78" s="1">
        <v>0</v>
      </c>
      <c r="W78" s="1">
        <v>0</v>
      </c>
      <c r="X78" s="1">
        <f t="shared" si="3"/>
        <v>317</v>
      </c>
      <c r="Y78" s="1">
        <v>75</v>
      </c>
      <c r="Z78" s="1">
        <v>0</v>
      </c>
      <c r="AA78" s="1">
        <v>150</v>
      </c>
      <c r="AB78" s="1">
        <v>0</v>
      </c>
      <c r="AC78" s="1">
        <v>0</v>
      </c>
      <c r="AD78" s="1">
        <f t="shared" si="4"/>
        <v>150</v>
      </c>
      <c r="AE78" s="1">
        <v>25</v>
      </c>
      <c r="AF78" s="23">
        <f t="shared" si="66"/>
        <v>0</v>
      </c>
      <c r="AG78" s="23">
        <f t="shared" si="67"/>
        <v>930</v>
      </c>
      <c r="AH78" s="23">
        <f t="shared" si="13"/>
        <v>3</v>
      </c>
      <c r="AI78" s="23">
        <f t="shared" si="64"/>
        <v>0</v>
      </c>
      <c r="AJ78" s="23">
        <f t="shared" si="65"/>
        <v>933</v>
      </c>
      <c r="AK78" s="23">
        <f t="shared" si="16"/>
        <v>200</v>
      </c>
      <c r="AL78" s="28" t="s">
        <v>86</v>
      </c>
    </row>
    <row r="79" spans="1:38" x14ac:dyDescent="0.25">
      <c r="A79">
        <v>2011</v>
      </c>
      <c r="B79" s="21" t="s">
        <v>46</v>
      </c>
      <c r="C79" s="12">
        <v>40744</v>
      </c>
      <c r="D79" s="3">
        <v>109</v>
      </c>
      <c r="E79" s="21" t="s">
        <v>54</v>
      </c>
      <c r="H79" s="27" t="s">
        <v>1</v>
      </c>
      <c r="I79" s="27" t="s">
        <v>1</v>
      </c>
      <c r="J79" s="1">
        <v>1</v>
      </c>
      <c r="K79" s="1">
        <v>0</v>
      </c>
      <c r="L79" s="1">
        <f t="shared" si="17"/>
        <v>1</v>
      </c>
      <c r="M79" s="1">
        <v>1.5</v>
      </c>
      <c r="N79" s="27" t="s">
        <v>1</v>
      </c>
      <c r="O79" s="27" t="s">
        <v>1</v>
      </c>
      <c r="P79" s="1">
        <v>0</v>
      </c>
      <c r="Q79" s="1">
        <v>0</v>
      </c>
      <c r="R79" s="1">
        <f t="shared" si="2"/>
        <v>0</v>
      </c>
      <c r="S79" s="1">
        <v>0</v>
      </c>
      <c r="T79" s="27" t="s">
        <v>1</v>
      </c>
      <c r="U79" s="27" t="s">
        <v>1</v>
      </c>
      <c r="V79" s="1">
        <v>0</v>
      </c>
      <c r="W79" s="1">
        <v>0</v>
      </c>
      <c r="X79" s="1">
        <f t="shared" si="3"/>
        <v>0</v>
      </c>
      <c r="Y79" s="1">
        <v>0</v>
      </c>
      <c r="Z79" s="27" t="s">
        <v>1</v>
      </c>
      <c r="AA79" s="27" t="s">
        <v>1</v>
      </c>
      <c r="AB79" s="1">
        <v>0</v>
      </c>
      <c r="AC79" s="1">
        <v>0</v>
      </c>
      <c r="AD79" s="1">
        <f t="shared" si="4"/>
        <v>0</v>
      </c>
      <c r="AE79" s="1">
        <v>0</v>
      </c>
      <c r="AF79" s="23">
        <f t="shared" ref="AF79:AF81" si="68">SUM(H79,N79,T79,Z79)</f>
        <v>0</v>
      </c>
      <c r="AG79" s="23">
        <f t="shared" ref="AG79:AG81" si="69">SUM(I79,O79,U79,AA79)</f>
        <v>0</v>
      </c>
      <c r="AH79" s="23">
        <f t="shared" si="13"/>
        <v>1</v>
      </c>
      <c r="AI79" s="23">
        <f t="shared" si="64"/>
        <v>0</v>
      </c>
      <c r="AJ79" s="23">
        <f t="shared" si="65"/>
        <v>1</v>
      </c>
      <c r="AK79" s="23">
        <f t="shared" si="16"/>
        <v>1.5</v>
      </c>
    </row>
    <row r="80" spans="1:38" x14ac:dyDescent="0.25">
      <c r="A80">
        <v>2011</v>
      </c>
      <c r="B80" s="21" t="s">
        <v>46</v>
      </c>
      <c r="C80" s="12">
        <v>40744</v>
      </c>
      <c r="D80" s="3">
        <v>109</v>
      </c>
      <c r="E80" s="21" t="s">
        <v>49</v>
      </c>
      <c r="H80" s="27" t="s">
        <v>1</v>
      </c>
      <c r="I80" s="27" t="s">
        <v>1</v>
      </c>
      <c r="J80" s="1">
        <v>0</v>
      </c>
      <c r="K80" s="1">
        <v>0</v>
      </c>
      <c r="L80" s="1">
        <f t="shared" si="17"/>
        <v>0</v>
      </c>
      <c r="M80" s="1">
        <v>0</v>
      </c>
      <c r="N80" s="27" t="s">
        <v>1</v>
      </c>
      <c r="O80" s="27" t="s">
        <v>1</v>
      </c>
      <c r="P80" s="1">
        <v>0</v>
      </c>
      <c r="Q80" s="1">
        <v>0</v>
      </c>
      <c r="R80" s="1">
        <f t="shared" si="2"/>
        <v>0</v>
      </c>
      <c r="S80" s="1">
        <v>0</v>
      </c>
      <c r="T80" s="27" t="s">
        <v>1</v>
      </c>
      <c r="U80" s="27" t="s">
        <v>1</v>
      </c>
      <c r="V80" s="1">
        <v>0</v>
      </c>
      <c r="W80" s="1">
        <v>0</v>
      </c>
      <c r="X80" s="1">
        <f t="shared" si="3"/>
        <v>0</v>
      </c>
      <c r="Y80" s="1">
        <v>0</v>
      </c>
      <c r="Z80" s="27" t="s">
        <v>1</v>
      </c>
      <c r="AA80" s="27" t="s">
        <v>1</v>
      </c>
      <c r="AB80" s="1">
        <v>0</v>
      </c>
      <c r="AC80" s="1">
        <v>1</v>
      </c>
      <c r="AD80" s="1">
        <f t="shared" si="4"/>
        <v>1</v>
      </c>
      <c r="AE80" s="1">
        <v>15</v>
      </c>
      <c r="AF80" s="23">
        <f t="shared" si="68"/>
        <v>0</v>
      </c>
      <c r="AG80" s="23">
        <f t="shared" si="69"/>
        <v>0</v>
      </c>
      <c r="AH80" s="23">
        <f t="shared" si="13"/>
        <v>0</v>
      </c>
      <c r="AI80" s="23">
        <f t="shared" si="64"/>
        <v>1</v>
      </c>
      <c r="AJ80" s="23">
        <f t="shared" si="65"/>
        <v>1</v>
      </c>
      <c r="AK80" s="23">
        <f t="shared" si="16"/>
        <v>15</v>
      </c>
    </row>
    <row r="81" spans="1:38" x14ac:dyDescent="0.25">
      <c r="A81">
        <v>2011</v>
      </c>
      <c r="B81" s="21" t="s">
        <v>46</v>
      </c>
      <c r="C81" s="12">
        <v>40744</v>
      </c>
      <c r="D81" s="3">
        <v>109</v>
      </c>
      <c r="E81" s="21" t="s">
        <v>52</v>
      </c>
      <c r="H81" s="27" t="s">
        <v>1</v>
      </c>
      <c r="I81" s="27" t="s">
        <v>1</v>
      </c>
      <c r="J81" s="1">
        <v>0</v>
      </c>
      <c r="K81" s="1">
        <v>0</v>
      </c>
      <c r="L81" s="1">
        <f t="shared" si="17"/>
        <v>0</v>
      </c>
      <c r="M81" s="1">
        <v>0</v>
      </c>
      <c r="N81" s="27" t="s">
        <v>1</v>
      </c>
      <c r="O81" s="27" t="s">
        <v>1</v>
      </c>
      <c r="P81" s="1">
        <v>0</v>
      </c>
      <c r="Q81" s="1">
        <v>0</v>
      </c>
      <c r="R81" s="1">
        <f t="shared" si="2"/>
        <v>0</v>
      </c>
      <c r="S81" s="1">
        <v>0</v>
      </c>
      <c r="T81" s="27" t="s">
        <v>1</v>
      </c>
      <c r="U81" s="27" t="s">
        <v>1</v>
      </c>
      <c r="V81" s="1">
        <v>0</v>
      </c>
      <c r="W81" s="1">
        <v>0</v>
      </c>
      <c r="X81" s="1">
        <f t="shared" si="3"/>
        <v>0</v>
      </c>
      <c r="Y81" s="1">
        <v>0</v>
      </c>
      <c r="Z81" s="27" t="s">
        <v>1</v>
      </c>
      <c r="AA81" s="27" t="s">
        <v>1</v>
      </c>
      <c r="AB81" s="1">
        <v>1</v>
      </c>
      <c r="AC81" s="1">
        <v>0</v>
      </c>
      <c r="AD81" s="1">
        <f t="shared" si="4"/>
        <v>1</v>
      </c>
      <c r="AE81" s="1">
        <v>8</v>
      </c>
      <c r="AF81" s="23">
        <f t="shared" si="68"/>
        <v>0</v>
      </c>
      <c r="AG81" s="23">
        <f t="shared" si="69"/>
        <v>0</v>
      </c>
      <c r="AH81" s="9">
        <f t="shared" si="13"/>
        <v>1</v>
      </c>
      <c r="AI81" s="23">
        <f t="shared" si="64"/>
        <v>0</v>
      </c>
      <c r="AJ81" s="23">
        <f t="shared" si="65"/>
        <v>1</v>
      </c>
      <c r="AK81" s="23">
        <f t="shared" si="16"/>
        <v>8</v>
      </c>
    </row>
    <row r="82" spans="1:38" x14ac:dyDescent="0.25">
      <c r="A82">
        <v>2011</v>
      </c>
      <c r="B82" s="21" t="s">
        <v>46</v>
      </c>
      <c r="C82" s="12">
        <v>40745</v>
      </c>
      <c r="D82" s="3">
        <v>110</v>
      </c>
      <c r="E82" s="21" t="s">
        <v>47</v>
      </c>
      <c r="H82" s="1">
        <v>0</v>
      </c>
      <c r="I82" s="1">
        <v>53</v>
      </c>
      <c r="J82" s="1">
        <v>0</v>
      </c>
      <c r="K82" s="1">
        <v>0</v>
      </c>
      <c r="L82" s="1">
        <f t="shared" si="17"/>
        <v>53</v>
      </c>
      <c r="M82" s="1">
        <v>15</v>
      </c>
      <c r="N82" s="1">
        <v>0</v>
      </c>
      <c r="O82" s="1">
        <v>60</v>
      </c>
      <c r="P82" s="1">
        <v>0</v>
      </c>
      <c r="Q82" s="1">
        <v>0</v>
      </c>
      <c r="R82" s="1">
        <f t="shared" si="2"/>
        <v>60</v>
      </c>
      <c r="S82" s="1">
        <v>15</v>
      </c>
      <c r="T82" s="1">
        <v>0</v>
      </c>
      <c r="U82" s="1">
        <v>112</v>
      </c>
      <c r="V82" s="1">
        <v>0</v>
      </c>
      <c r="W82" s="1">
        <v>0</v>
      </c>
      <c r="X82" s="1">
        <f t="shared" si="3"/>
        <v>112</v>
      </c>
      <c r="Y82" s="1">
        <v>25</v>
      </c>
      <c r="Z82" s="1">
        <v>0</v>
      </c>
      <c r="AA82" s="1">
        <v>10</v>
      </c>
      <c r="AB82" s="1">
        <v>0</v>
      </c>
      <c r="AC82" s="1">
        <v>0</v>
      </c>
      <c r="AD82" s="1">
        <f t="shared" si="4"/>
        <v>10</v>
      </c>
      <c r="AE82" s="1">
        <v>3.5</v>
      </c>
      <c r="AF82" s="23">
        <f t="shared" ref="AF82:AF85" si="70">SUM(H82,N82,T82,Z82)</f>
        <v>0</v>
      </c>
      <c r="AG82" s="23">
        <f t="shared" ref="AG82:AG85" si="71">SUM(I82,O82,U82,AA82)</f>
        <v>235</v>
      </c>
      <c r="AH82" s="9">
        <f t="shared" si="13"/>
        <v>0</v>
      </c>
      <c r="AI82" s="23">
        <f t="shared" si="64"/>
        <v>0</v>
      </c>
      <c r="AJ82" s="23">
        <f t="shared" si="65"/>
        <v>235</v>
      </c>
      <c r="AK82" s="23">
        <f t="shared" si="16"/>
        <v>58.5</v>
      </c>
    </row>
    <row r="83" spans="1:38" x14ac:dyDescent="0.25">
      <c r="A83">
        <v>2011</v>
      </c>
      <c r="B83" s="21" t="s">
        <v>46</v>
      </c>
      <c r="C83" s="12">
        <v>40745</v>
      </c>
      <c r="D83" s="3">
        <v>110</v>
      </c>
      <c r="E83" s="21" t="s">
        <v>49</v>
      </c>
      <c r="H83" s="27" t="s">
        <v>1</v>
      </c>
      <c r="I83" s="27" t="s">
        <v>1</v>
      </c>
      <c r="J83" s="1">
        <v>0</v>
      </c>
      <c r="K83" s="1">
        <v>1</v>
      </c>
      <c r="L83" s="1">
        <f t="shared" si="17"/>
        <v>1</v>
      </c>
      <c r="M83" s="1">
        <v>55</v>
      </c>
      <c r="N83" s="27" t="s">
        <v>1</v>
      </c>
      <c r="O83" s="27" t="s">
        <v>1</v>
      </c>
      <c r="P83" s="1">
        <v>0</v>
      </c>
      <c r="Q83" s="1">
        <v>0</v>
      </c>
      <c r="R83" s="1">
        <f t="shared" si="2"/>
        <v>0</v>
      </c>
      <c r="S83" s="1">
        <v>0</v>
      </c>
      <c r="T83" s="27" t="s">
        <v>1</v>
      </c>
      <c r="U83" s="27" t="s">
        <v>1</v>
      </c>
      <c r="V83" s="1">
        <v>0</v>
      </c>
      <c r="W83" s="1">
        <v>0</v>
      </c>
      <c r="X83" s="1">
        <f t="shared" si="3"/>
        <v>0</v>
      </c>
      <c r="Y83" s="1">
        <v>0</v>
      </c>
      <c r="Z83" s="27" t="s">
        <v>1</v>
      </c>
      <c r="AA83" s="27" t="s">
        <v>1</v>
      </c>
      <c r="AB83" s="1">
        <v>0</v>
      </c>
      <c r="AC83" s="1">
        <v>1</v>
      </c>
      <c r="AD83" s="1">
        <f t="shared" si="4"/>
        <v>1</v>
      </c>
      <c r="AE83" s="1">
        <v>25</v>
      </c>
      <c r="AF83" s="23">
        <f t="shared" si="70"/>
        <v>0</v>
      </c>
      <c r="AG83" s="23">
        <f t="shared" si="71"/>
        <v>0</v>
      </c>
      <c r="AH83" s="9">
        <f t="shared" si="13"/>
        <v>0</v>
      </c>
      <c r="AI83" s="23">
        <f t="shared" si="64"/>
        <v>2</v>
      </c>
      <c r="AJ83" s="23">
        <f t="shared" si="65"/>
        <v>2</v>
      </c>
      <c r="AK83" s="23">
        <f t="shared" si="16"/>
        <v>80</v>
      </c>
    </row>
    <row r="84" spans="1:38" x14ac:dyDescent="0.25">
      <c r="A84">
        <v>2011</v>
      </c>
      <c r="B84" s="21" t="s">
        <v>46</v>
      </c>
      <c r="C84" s="12">
        <v>40745</v>
      </c>
      <c r="D84" s="3">
        <v>110</v>
      </c>
      <c r="E84" s="21" t="s">
        <v>51</v>
      </c>
      <c r="H84" s="27" t="s">
        <v>1</v>
      </c>
      <c r="I84" s="27" t="s">
        <v>1</v>
      </c>
      <c r="J84" s="1">
        <v>1</v>
      </c>
      <c r="K84" s="1">
        <v>0</v>
      </c>
      <c r="L84" s="1">
        <f t="shared" si="17"/>
        <v>1</v>
      </c>
      <c r="M84" s="1">
        <v>3.5</v>
      </c>
      <c r="N84" s="27" t="s">
        <v>1</v>
      </c>
      <c r="O84" s="27" t="s">
        <v>1</v>
      </c>
      <c r="P84" s="1">
        <v>1</v>
      </c>
      <c r="Q84" s="1">
        <v>0</v>
      </c>
      <c r="R84" s="1">
        <f t="shared" si="2"/>
        <v>1</v>
      </c>
      <c r="S84" s="1">
        <v>3.5</v>
      </c>
      <c r="T84" s="27" t="s">
        <v>1</v>
      </c>
      <c r="U84" s="27" t="s">
        <v>1</v>
      </c>
      <c r="V84" s="1">
        <v>0</v>
      </c>
      <c r="W84" s="1">
        <v>0</v>
      </c>
      <c r="X84" s="1">
        <f t="shared" si="3"/>
        <v>0</v>
      </c>
      <c r="Y84" s="1">
        <v>0</v>
      </c>
      <c r="Z84" s="27" t="s">
        <v>1</v>
      </c>
      <c r="AA84" s="27" t="s">
        <v>1</v>
      </c>
      <c r="AB84" s="1">
        <v>0</v>
      </c>
      <c r="AC84" s="1">
        <v>0</v>
      </c>
      <c r="AD84" s="1">
        <f t="shared" si="4"/>
        <v>0</v>
      </c>
      <c r="AE84" s="1">
        <v>0</v>
      </c>
      <c r="AF84" s="23">
        <f t="shared" si="70"/>
        <v>0</v>
      </c>
      <c r="AG84" s="23">
        <f t="shared" si="71"/>
        <v>0</v>
      </c>
      <c r="AH84" s="9">
        <f t="shared" si="13"/>
        <v>2</v>
      </c>
      <c r="AI84" s="23">
        <f t="shared" si="64"/>
        <v>0</v>
      </c>
      <c r="AJ84" s="23">
        <f t="shared" si="65"/>
        <v>2</v>
      </c>
      <c r="AK84" s="23">
        <f t="shared" si="16"/>
        <v>7</v>
      </c>
      <c r="AL84" s="28" t="s">
        <v>87</v>
      </c>
    </row>
    <row r="85" spans="1:38" x14ac:dyDescent="0.25">
      <c r="A85">
        <v>2011</v>
      </c>
      <c r="B85" s="21" t="s">
        <v>46</v>
      </c>
      <c r="C85" s="12">
        <v>40745</v>
      </c>
      <c r="D85" s="3">
        <v>110</v>
      </c>
      <c r="E85" s="21" t="s">
        <v>88</v>
      </c>
      <c r="H85" s="27" t="s">
        <v>1</v>
      </c>
      <c r="I85" s="27" t="s">
        <v>1</v>
      </c>
      <c r="J85" s="1">
        <v>0</v>
      </c>
      <c r="K85" s="1">
        <v>0</v>
      </c>
      <c r="L85" s="1">
        <f t="shared" si="17"/>
        <v>0</v>
      </c>
      <c r="M85" s="1">
        <v>0</v>
      </c>
      <c r="N85" s="27" t="s">
        <v>1</v>
      </c>
      <c r="O85" s="27" t="s">
        <v>1</v>
      </c>
      <c r="P85" s="1">
        <v>0</v>
      </c>
      <c r="Q85" s="1">
        <v>0</v>
      </c>
      <c r="R85" s="1">
        <f t="shared" si="2"/>
        <v>0</v>
      </c>
      <c r="S85" s="1">
        <v>0</v>
      </c>
      <c r="T85" s="27" t="s">
        <v>1</v>
      </c>
      <c r="U85" s="27" t="s">
        <v>1</v>
      </c>
      <c r="V85" s="1">
        <v>1</v>
      </c>
      <c r="W85" s="1">
        <v>0</v>
      </c>
      <c r="X85" s="1">
        <f t="shared" si="3"/>
        <v>1</v>
      </c>
      <c r="Y85" s="1">
        <v>1.5</v>
      </c>
      <c r="Z85" s="27" t="s">
        <v>1</v>
      </c>
      <c r="AA85" s="27" t="s">
        <v>1</v>
      </c>
      <c r="AB85" s="1">
        <v>0</v>
      </c>
      <c r="AC85" s="1">
        <v>0</v>
      </c>
      <c r="AD85" s="1">
        <f t="shared" si="4"/>
        <v>0</v>
      </c>
      <c r="AE85" s="1">
        <v>0</v>
      </c>
      <c r="AF85" s="23">
        <f t="shared" si="70"/>
        <v>0</v>
      </c>
      <c r="AG85" s="23">
        <f t="shared" si="71"/>
        <v>0</v>
      </c>
      <c r="AH85" s="9">
        <f t="shared" si="13"/>
        <v>1</v>
      </c>
      <c r="AI85" s="23">
        <f t="shared" si="64"/>
        <v>0</v>
      </c>
      <c r="AJ85" s="23">
        <f t="shared" si="65"/>
        <v>1</v>
      </c>
      <c r="AK85" s="23">
        <f t="shared" si="16"/>
        <v>1.5</v>
      </c>
    </row>
    <row r="86" spans="1:38" x14ac:dyDescent="0.25">
      <c r="A86">
        <v>2011</v>
      </c>
      <c r="B86" s="21" t="s">
        <v>46</v>
      </c>
      <c r="C86" s="12">
        <v>40744</v>
      </c>
      <c r="D86" s="3">
        <v>111</v>
      </c>
      <c r="E86" s="21" t="s">
        <v>47</v>
      </c>
      <c r="H86" s="1">
        <v>0</v>
      </c>
      <c r="I86" s="1">
        <v>130</v>
      </c>
      <c r="J86" s="1">
        <v>4</v>
      </c>
      <c r="K86" s="1">
        <v>0</v>
      </c>
      <c r="L86" s="1">
        <f t="shared" si="17"/>
        <v>134</v>
      </c>
      <c r="M86" s="1">
        <v>35</v>
      </c>
      <c r="N86" s="1">
        <v>0</v>
      </c>
      <c r="O86" s="1">
        <v>83</v>
      </c>
      <c r="P86" s="1">
        <v>7</v>
      </c>
      <c r="Q86" s="1">
        <v>0</v>
      </c>
      <c r="R86" s="1">
        <f t="shared" si="2"/>
        <v>90</v>
      </c>
      <c r="S86" s="1">
        <v>25</v>
      </c>
      <c r="T86" s="1">
        <v>0</v>
      </c>
      <c r="U86" s="1">
        <v>6</v>
      </c>
      <c r="V86" s="1">
        <v>0</v>
      </c>
      <c r="W86" s="1">
        <v>0</v>
      </c>
      <c r="X86" s="1">
        <f t="shared" si="3"/>
        <v>6</v>
      </c>
      <c r="Y86" s="1">
        <v>3.5</v>
      </c>
      <c r="Z86" s="1">
        <v>0</v>
      </c>
      <c r="AA86" s="1">
        <v>122</v>
      </c>
      <c r="AB86" s="1">
        <v>6</v>
      </c>
      <c r="AC86" s="1">
        <v>0</v>
      </c>
      <c r="AD86" s="1">
        <f t="shared" si="4"/>
        <v>128</v>
      </c>
      <c r="AE86" s="1">
        <v>65</v>
      </c>
      <c r="AF86" s="23">
        <f t="shared" ref="AF86:AF95" si="72">SUM(H86,N86,T86,Z86)</f>
        <v>0</v>
      </c>
      <c r="AG86" s="23">
        <f t="shared" ref="AG86:AG95" si="73">SUM(I86,O86,U86,AA86)</f>
        <v>341</v>
      </c>
      <c r="AH86" s="9">
        <f t="shared" si="13"/>
        <v>17</v>
      </c>
      <c r="AI86" s="23">
        <f t="shared" ref="AI86:AI95" si="74">SUM(K86,Q86,W86,AC86)</f>
        <v>0</v>
      </c>
      <c r="AJ86" s="23">
        <f t="shared" ref="AJ86:AJ95" si="75">SUM(AF86:AI86)</f>
        <v>358</v>
      </c>
      <c r="AK86" s="23">
        <f t="shared" si="16"/>
        <v>128.5</v>
      </c>
      <c r="AL86" s="28" t="s">
        <v>89</v>
      </c>
    </row>
    <row r="87" spans="1:38" x14ac:dyDescent="0.25">
      <c r="A87">
        <v>2011</v>
      </c>
      <c r="B87" s="21" t="s">
        <v>46</v>
      </c>
      <c r="C87" s="12">
        <v>40744</v>
      </c>
      <c r="D87" s="3">
        <v>111</v>
      </c>
      <c r="E87" s="21" t="s">
        <v>60</v>
      </c>
      <c r="H87" s="27" t="s">
        <v>1</v>
      </c>
      <c r="I87" s="27" t="s">
        <v>1</v>
      </c>
      <c r="J87" s="1">
        <v>1</v>
      </c>
      <c r="K87" s="1">
        <v>9</v>
      </c>
      <c r="L87" s="1">
        <f t="shared" si="17"/>
        <v>10</v>
      </c>
      <c r="M87" s="1">
        <v>35</v>
      </c>
      <c r="N87" s="27" t="s">
        <v>1</v>
      </c>
      <c r="O87" s="27" t="s">
        <v>1</v>
      </c>
      <c r="P87" s="1">
        <v>0</v>
      </c>
      <c r="Q87" s="1">
        <v>4</v>
      </c>
      <c r="R87" s="1">
        <f t="shared" si="2"/>
        <v>4</v>
      </c>
      <c r="S87" s="1">
        <v>25</v>
      </c>
      <c r="T87" s="27" t="s">
        <v>1</v>
      </c>
      <c r="U87" s="27" t="s">
        <v>1</v>
      </c>
      <c r="V87" s="1">
        <v>0</v>
      </c>
      <c r="W87" s="1">
        <v>0</v>
      </c>
      <c r="X87" s="1">
        <f t="shared" si="3"/>
        <v>0</v>
      </c>
      <c r="Y87" s="1">
        <v>0</v>
      </c>
      <c r="Z87" s="27" t="s">
        <v>1</v>
      </c>
      <c r="AA87" s="27" t="s">
        <v>1</v>
      </c>
      <c r="AB87" s="1">
        <v>0</v>
      </c>
      <c r="AC87" s="1">
        <v>0</v>
      </c>
      <c r="AD87" s="1">
        <f t="shared" si="4"/>
        <v>0</v>
      </c>
      <c r="AE87" s="1">
        <v>0</v>
      </c>
      <c r="AF87" s="23">
        <f t="shared" si="72"/>
        <v>0</v>
      </c>
      <c r="AG87" s="23">
        <f t="shared" si="73"/>
        <v>0</v>
      </c>
      <c r="AH87" s="9">
        <f t="shared" si="13"/>
        <v>1</v>
      </c>
      <c r="AI87" s="23">
        <f t="shared" si="74"/>
        <v>13</v>
      </c>
      <c r="AJ87" s="23">
        <f t="shared" si="75"/>
        <v>14</v>
      </c>
      <c r="AK87" s="23">
        <f t="shared" si="16"/>
        <v>60</v>
      </c>
    </row>
    <row r="88" spans="1:38" x14ac:dyDescent="0.25">
      <c r="A88">
        <v>2011</v>
      </c>
      <c r="B88" s="21" t="s">
        <v>46</v>
      </c>
      <c r="C88" s="12">
        <v>40744</v>
      </c>
      <c r="D88" s="3">
        <v>111</v>
      </c>
      <c r="E88" s="21" t="s">
        <v>67</v>
      </c>
      <c r="H88" s="1">
        <v>0</v>
      </c>
      <c r="I88" s="1">
        <v>0</v>
      </c>
      <c r="J88" s="1">
        <v>0</v>
      </c>
      <c r="K88" s="1">
        <v>1</v>
      </c>
      <c r="L88" s="1">
        <f t="shared" si="17"/>
        <v>1</v>
      </c>
      <c r="M88" s="1">
        <v>25</v>
      </c>
      <c r="N88" s="1">
        <v>0</v>
      </c>
      <c r="O88" s="1">
        <v>0</v>
      </c>
      <c r="P88" s="1">
        <v>0</v>
      </c>
      <c r="Q88" s="1">
        <v>0</v>
      </c>
      <c r="R88" s="1">
        <f t="shared" si="2"/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f t="shared" si="3"/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f t="shared" si="4"/>
        <v>0</v>
      </c>
      <c r="AE88" s="1">
        <v>0</v>
      </c>
      <c r="AF88" s="23">
        <f t="shared" si="72"/>
        <v>0</v>
      </c>
      <c r="AG88" s="23">
        <f t="shared" si="73"/>
        <v>0</v>
      </c>
      <c r="AH88" s="9">
        <f t="shared" si="13"/>
        <v>0</v>
      </c>
      <c r="AI88" s="23">
        <f t="shared" si="74"/>
        <v>1</v>
      </c>
      <c r="AJ88" s="23">
        <f t="shared" si="75"/>
        <v>1</v>
      </c>
      <c r="AK88" s="23">
        <f t="shared" si="16"/>
        <v>25</v>
      </c>
    </row>
    <row r="89" spans="1:38" x14ac:dyDescent="0.25">
      <c r="A89">
        <v>2011</v>
      </c>
      <c r="B89" s="21" t="s">
        <v>46</v>
      </c>
      <c r="C89" s="12">
        <v>40744</v>
      </c>
      <c r="D89" s="3">
        <v>111</v>
      </c>
      <c r="E89" s="21" t="s">
        <v>59</v>
      </c>
      <c r="H89" s="27" t="s">
        <v>1</v>
      </c>
      <c r="I89" s="27" t="s">
        <v>1</v>
      </c>
      <c r="J89" s="1">
        <v>0</v>
      </c>
      <c r="K89" s="1">
        <v>0</v>
      </c>
      <c r="L89" s="1">
        <f t="shared" si="17"/>
        <v>0</v>
      </c>
      <c r="M89" s="1">
        <v>0</v>
      </c>
      <c r="N89" s="27" t="s">
        <v>1</v>
      </c>
      <c r="O89" s="27" t="s">
        <v>1</v>
      </c>
      <c r="P89" s="1">
        <v>8</v>
      </c>
      <c r="Q89" s="1">
        <v>0</v>
      </c>
      <c r="R89" s="1">
        <f t="shared" si="2"/>
        <v>8</v>
      </c>
      <c r="S89" s="1">
        <v>8</v>
      </c>
      <c r="T89" s="27" t="s">
        <v>1</v>
      </c>
      <c r="U89" s="27" t="s">
        <v>1</v>
      </c>
      <c r="V89" s="1">
        <v>0</v>
      </c>
      <c r="W89" s="1">
        <v>0</v>
      </c>
      <c r="X89" s="1">
        <f t="shared" si="3"/>
        <v>0</v>
      </c>
      <c r="Y89" s="1">
        <v>0</v>
      </c>
      <c r="Z89" s="27" t="s">
        <v>1</v>
      </c>
      <c r="AA89" s="27" t="s">
        <v>1</v>
      </c>
      <c r="AB89" s="1">
        <v>0</v>
      </c>
      <c r="AC89" s="1">
        <v>0</v>
      </c>
      <c r="AD89" s="1">
        <f t="shared" si="4"/>
        <v>0</v>
      </c>
      <c r="AE89" s="1">
        <v>0</v>
      </c>
      <c r="AF89" s="23">
        <f t="shared" si="72"/>
        <v>0</v>
      </c>
      <c r="AG89" s="23">
        <f t="shared" si="73"/>
        <v>0</v>
      </c>
      <c r="AH89" s="9">
        <f t="shared" si="13"/>
        <v>8</v>
      </c>
      <c r="AI89" s="23">
        <f t="shared" si="74"/>
        <v>0</v>
      </c>
      <c r="AJ89" s="23">
        <f t="shared" si="75"/>
        <v>8</v>
      </c>
      <c r="AK89" s="23">
        <f t="shared" si="16"/>
        <v>8</v>
      </c>
    </row>
    <row r="90" spans="1:38" x14ac:dyDescent="0.25">
      <c r="A90">
        <v>2011</v>
      </c>
      <c r="B90" s="21" t="s">
        <v>46</v>
      </c>
      <c r="C90" s="12">
        <v>40744</v>
      </c>
      <c r="D90" s="3">
        <v>111</v>
      </c>
      <c r="E90" s="21" t="s">
        <v>90</v>
      </c>
      <c r="H90" s="27" t="s">
        <v>1</v>
      </c>
      <c r="I90" s="27" t="s">
        <v>1</v>
      </c>
      <c r="J90" s="1">
        <v>0</v>
      </c>
      <c r="K90" s="1">
        <v>0</v>
      </c>
      <c r="L90" s="1">
        <f t="shared" si="17"/>
        <v>0</v>
      </c>
      <c r="M90" s="1">
        <v>0</v>
      </c>
      <c r="N90" s="27" t="s">
        <v>1</v>
      </c>
      <c r="O90" s="27" t="s">
        <v>1</v>
      </c>
      <c r="P90" s="1">
        <v>1</v>
      </c>
      <c r="Q90" s="1">
        <v>0</v>
      </c>
      <c r="R90" s="1">
        <f t="shared" si="2"/>
        <v>1</v>
      </c>
      <c r="S90" s="1">
        <v>1.5</v>
      </c>
      <c r="T90" s="27" t="s">
        <v>1</v>
      </c>
      <c r="U90" s="27" t="s">
        <v>1</v>
      </c>
      <c r="V90" s="1">
        <v>0</v>
      </c>
      <c r="W90" s="1">
        <v>0</v>
      </c>
      <c r="X90" s="1">
        <f t="shared" si="3"/>
        <v>0</v>
      </c>
      <c r="Y90" s="1">
        <v>0</v>
      </c>
      <c r="Z90" s="27" t="s">
        <v>1</v>
      </c>
      <c r="AA90" s="27" t="s">
        <v>1</v>
      </c>
      <c r="AB90" s="1">
        <v>0</v>
      </c>
      <c r="AC90" s="1">
        <v>0</v>
      </c>
      <c r="AD90" s="1">
        <f t="shared" si="4"/>
        <v>0</v>
      </c>
      <c r="AE90" s="1">
        <v>0</v>
      </c>
      <c r="AF90" s="23">
        <f t="shared" si="72"/>
        <v>0</v>
      </c>
      <c r="AG90" s="23">
        <f t="shared" si="73"/>
        <v>0</v>
      </c>
      <c r="AH90" s="9">
        <f t="shared" si="13"/>
        <v>1</v>
      </c>
      <c r="AI90" s="23">
        <f t="shared" si="74"/>
        <v>0</v>
      </c>
      <c r="AJ90" s="23">
        <f t="shared" si="75"/>
        <v>1</v>
      </c>
      <c r="AK90" s="23">
        <f t="shared" si="16"/>
        <v>1.5</v>
      </c>
    </row>
    <row r="91" spans="1:38" x14ac:dyDescent="0.25">
      <c r="A91">
        <v>2011</v>
      </c>
      <c r="B91" s="21" t="s">
        <v>46</v>
      </c>
      <c r="C91" s="12">
        <v>40744</v>
      </c>
      <c r="D91" s="3">
        <v>111</v>
      </c>
      <c r="E91" s="21" t="s">
        <v>51</v>
      </c>
      <c r="H91" s="27" t="s">
        <v>1</v>
      </c>
      <c r="I91" s="27" t="s">
        <v>1</v>
      </c>
      <c r="J91" s="1">
        <v>0</v>
      </c>
      <c r="K91" s="1">
        <v>0</v>
      </c>
      <c r="L91" s="1">
        <f t="shared" si="17"/>
        <v>0</v>
      </c>
      <c r="M91" s="1">
        <v>0</v>
      </c>
      <c r="N91" s="27" t="s">
        <v>1</v>
      </c>
      <c r="O91" s="27" t="s">
        <v>1</v>
      </c>
      <c r="P91" s="1">
        <v>0</v>
      </c>
      <c r="Q91" s="1">
        <v>0</v>
      </c>
      <c r="R91" s="1">
        <f t="shared" si="2"/>
        <v>0</v>
      </c>
      <c r="S91" s="1">
        <v>0</v>
      </c>
      <c r="T91" s="27" t="s">
        <v>1</v>
      </c>
      <c r="U91" s="27" t="s">
        <v>1</v>
      </c>
      <c r="V91" s="1">
        <v>1</v>
      </c>
      <c r="W91" s="1">
        <v>0</v>
      </c>
      <c r="X91" s="1">
        <f t="shared" si="3"/>
        <v>1</v>
      </c>
      <c r="Y91" s="1">
        <v>0.5</v>
      </c>
      <c r="Z91" s="27" t="s">
        <v>1</v>
      </c>
      <c r="AA91" s="27" t="s">
        <v>1</v>
      </c>
      <c r="AB91" s="1">
        <v>1</v>
      </c>
      <c r="AC91" s="1">
        <v>0</v>
      </c>
      <c r="AD91" s="1">
        <f t="shared" si="4"/>
        <v>1</v>
      </c>
      <c r="AE91" s="1">
        <v>3.5</v>
      </c>
      <c r="AF91" s="23">
        <f t="shared" si="72"/>
        <v>0</v>
      </c>
      <c r="AG91" s="23">
        <f t="shared" si="73"/>
        <v>0</v>
      </c>
      <c r="AH91" s="9">
        <f t="shared" si="13"/>
        <v>2</v>
      </c>
      <c r="AI91" s="23">
        <f t="shared" si="74"/>
        <v>0</v>
      </c>
      <c r="AJ91" s="23">
        <f t="shared" si="75"/>
        <v>2</v>
      </c>
      <c r="AK91" s="23">
        <f t="shared" si="16"/>
        <v>4</v>
      </c>
    </row>
    <row r="92" spans="1:38" x14ac:dyDescent="0.25">
      <c r="A92">
        <v>2011</v>
      </c>
      <c r="B92" s="21" t="s">
        <v>46</v>
      </c>
      <c r="C92" s="12">
        <v>40744</v>
      </c>
      <c r="D92" s="3">
        <v>111</v>
      </c>
      <c r="E92" s="21" t="s">
        <v>85</v>
      </c>
      <c r="H92" s="27" t="s">
        <v>1</v>
      </c>
      <c r="I92" s="27" t="s">
        <v>1</v>
      </c>
      <c r="J92" s="1">
        <v>0</v>
      </c>
      <c r="K92" s="1">
        <v>0</v>
      </c>
      <c r="L92" s="1">
        <f t="shared" si="17"/>
        <v>0</v>
      </c>
      <c r="M92" s="1">
        <v>0</v>
      </c>
      <c r="N92" s="27" t="s">
        <v>1</v>
      </c>
      <c r="O92" s="27" t="s">
        <v>1</v>
      </c>
      <c r="P92" s="1">
        <v>0</v>
      </c>
      <c r="Q92" s="1">
        <v>0</v>
      </c>
      <c r="R92" s="1">
        <f t="shared" si="2"/>
        <v>0</v>
      </c>
      <c r="S92" s="1">
        <v>0</v>
      </c>
      <c r="T92" s="27" t="s">
        <v>1</v>
      </c>
      <c r="U92" s="27" t="s">
        <v>1</v>
      </c>
      <c r="V92" s="1">
        <v>1</v>
      </c>
      <c r="W92" s="1">
        <v>0</v>
      </c>
      <c r="X92" s="1">
        <f t="shared" si="3"/>
        <v>1</v>
      </c>
      <c r="Y92" s="1">
        <v>0.5</v>
      </c>
      <c r="Z92" s="27" t="s">
        <v>1</v>
      </c>
      <c r="AA92" s="27" t="s">
        <v>1</v>
      </c>
      <c r="AB92" s="1">
        <v>0</v>
      </c>
      <c r="AC92" s="1">
        <v>0</v>
      </c>
      <c r="AD92" s="1">
        <f t="shared" si="4"/>
        <v>0</v>
      </c>
      <c r="AE92" s="1">
        <v>0</v>
      </c>
      <c r="AF92" s="23">
        <f t="shared" si="72"/>
        <v>0</v>
      </c>
      <c r="AG92" s="23">
        <f t="shared" si="73"/>
        <v>0</v>
      </c>
      <c r="AH92" s="9">
        <f t="shared" si="13"/>
        <v>1</v>
      </c>
      <c r="AI92" s="23">
        <f t="shared" si="74"/>
        <v>0</v>
      </c>
      <c r="AJ92" s="23">
        <f t="shared" si="75"/>
        <v>1</v>
      </c>
      <c r="AK92" s="23">
        <f t="shared" si="16"/>
        <v>0.5</v>
      </c>
    </row>
    <row r="93" spans="1:38" x14ac:dyDescent="0.25">
      <c r="A93">
        <v>2011</v>
      </c>
      <c r="B93" s="21" t="s">
        <v>46</v>
      </c>
      <c r="C93" s="12">
        <v>40744</v>
      </c>
      <c r="D93" s="3">
        <v>111</v>
      </c>
      <c r="E93" s="21" t="s">
        <v>91</v>
      </c>
      <c r="H93" s="27" t="s">
        <v>1</v>
      </c>
      <c r="I93" s="27" t="s">
        <v>1</v>
      </c>
      <c r="J93" s="1">
        <v>0</v>
      </c>
      <c r="K93" s="1">
        <v>0</v>
      </c>
      <c r="L93" s="1">
        <f t="shared" si="17"/>
        <v>0</v>
      </c>
      <c r="M93" s="1">
        <v>0</v>
      </c>
      <c r="N93" s="27" t="s">
        <v>1</v>
      </c>
      <c r="O93" s="27" t="s">
        <v>1</v>
      </c>
      <c r="P93" s="1">
        <v>0</v>
      </c>
      <c r="Q93" s="1">
        <v>0</v>
      </c>
      <c r="R93" s="1">
        <f t="shared" si="2"/>
        <v>0</v>
      </c>
      <c r="S93" s="1">
        <v>0</v>
      </c>
      <c r="T93" s="27" t="s">
        <v>1</v>
      </c>
      <c r="U93" s="27" t="s">
        <v>1</v>
      </c>
      <c r="V93" s="1">
        <v>0</v>
      </c>
      <c r="W93" s="1">
        <v>0</v>
      </c>
      <c r="X93" s="1">
        <f t="shared" si="3"/>
        <v>0</v>
      </c>
      <c r="Y93" s="1">
        <v>0</v>
      </c>
      <c r="Z93" s="27" t="s">
        <v>1</v>
      </c>
      <c r="AA93" s="27" t="s">
        <v>1</v>
      </c>
      <c r="AB93" s="1">
        <v>1</v>
      </c>
      <c r="AC93" s="1">
        <v>0</v>
      </c>
      <c r="AD93" s="1">
        <f t="shared" si="4"/>
        <v>1</v>
      </c>
      <c r="AE93" s="1">
        <v>1.5</v>
      </c>
      <c r="AF93" s="23">
        <f t="shared" si="72"/>
        <v>0</v>
      </c>
      <c r="AG93" s="23">
        <f t="shared" si="73"/>
        <v>0</v>
      </c>
      <c r="AH93" s="9">
        <f t="shared" si="13"/>
        <v>1</v>
      </c>
      <c r="AI93" s="23">
        <f t="shared" si="74"/>
        <v>0</v>
      </c>
      <c r="AJ93" s="23">
        <f t="shared" si="75"/>
        <v>1</v>
      </c>
      <c r="AK93" s="23">
        <f t="shared" si="16"/>
        <v>1.5</v>
      </c>
    </row>
    <row r="94" spans="1:38" x14ac:dyDescent="0.25">
      <c r="A94">
        <v>2011</v>
      </c>
      <c r="B94" s="21" t="s">
        <v>46</v>
      </c>
      <c r="C94" s="12">
        <v>40744</v>
      </c>
      <c r="D94" s="3">
        <v>111</v>
      </c>
      <c r="E94" s="21" t="s">
        <v>52</v>
      </c>
      <c r="H94" s="27" t="s">
        <v>1</v>
      </c>
      <c r="I94" s="27" t="s">
        <v>1</v>
      </c>
      <c r="J94" s="1">
        <v>0</v>
      </c>
      <c r="K94" s="1">
        <v>0</v>
      </c>
      <c r="L94" s="1">
        <f t="shared" si="17"/>
        <v>0</v>
      </c>
      <c r="M94" s="1">
        <v>0</v>
      </c>
      <c r="N94" s="27" t="s">
        <v>1</v>
      </c>
      <c r="O94" s="27" t="s">
        <v>1</v>
      </c>
      <c r="P94" s="1">
        <v>0</v>
      </c>
      <c r="Q94" s="1">
        <v>0</v>
      </c>
      <c r="R94" s="1">
        <f t="shared" si="2"/>
        <v>0</v>
      </c>
      <c r="S94" s="1">
        <v>0</v>
      </c>
      <c r="T94" s="27" t="s">
        <v>1</v>
      </c>
      <c r="U94" s="27" t="s">
        <v>1</v>
      </c>
      <c r="V94" s="1">
        <v>0</v>
      </c>
      <c r="W94" s="1">
        <v>0</v>
      </c>
      <c r="X94" s="1">
        <f t="shared" si="3"/>
        <v>0</v>
      </c>
      <c r="Y94" s="1">
        <v>0</v>
      </c>
      <c r="Z94" s="27" t="s">
        <v>1</v>
      </c>
      <c r="AA94" s="27" t="s">
        <v>1</v>
      </c>
      <c r="AB94" s="1">
        <v>1</v>
      </c>
      <c r="AC94" s="1">
        <v>0</v>
      </c>
      <c r="AD94" s="1">
        <f t="shared" si="4"/>
        <v>1</v>
      </c>
      <c r="AE94" s="1">
        <v>3.5</v>
      </c>
      <c r="AF94" s="23">
        <f t="shared" si="72"/>
        <v>0</v>
      </c>
      <c r="AG94" s="23">
        <f t="shared" si="73"/>
        <v>0</v>
      </c>
      <c r="AH94" s="9">
        <f t="shared" si="13"/>
        <v>1</v>
      </c>
      <c r="AI94" s="23">
        <f t="shared" si="74"/>
        <v>0</v>
      </c>
      <c r="AJ94" s="23">
        <f t="shared" si="75"/>
        <v>1</v>
      </c>
      <c r="AK94" s="23">
        <f t="shared" si="16"/>
        <v>3.5</v>
      </c>
    </row>
    <row r="95" spans="1:38" x14ac:dyDescent="0.25">
      <c r="A95">
        <v>2011</v>
      </c>
      <c r="B95" s="21" t="s">
        <v>46</v>
      </c>
      <c r="C95" s="12">
        <v>40744</v>
      </c>
      <c r="D95" s="3">
        <v>111</v>
      </c>
      <c r="E95" s="21" t="s">
        <v>92</v>
      </c>
      <c r="H95" s="27" t="s">
        <v>1</v>
      </c>
      <c r="I95" s="27" t="s">
        <v>1</v>
      </c>
      <c r="J95" s="1">
        <v>0</v>
      </c>
      <c r="K95" s="1">
        <v>0</v>
      </c>
      <c r="L95" s="1">
        <f t="shared" si="17"/>
        <v>0</v>
      </c>
      <c r="M95" s="1">
        <v>0</v>
      </c>
      <c r="N95" s="27" t="s">
        <v>1</v>
      </c>
      <c r="O95" s="27" t="s">
        <v>1</v>
      </c>
      <c r="P95" s="1">
        <v>0</v>
      </c>
      <c r="Q95" s="1">
        <v>0</v>
      </c>
      <c r="R95" s="1">
        <f t="shared" si="2"/>
        <v>0</v>
      </c>
      <c r="S95" s="1">
        <v>0</v>
      </c>
      <c r="T95" s="27" t="s">
        <v>1</v>
      </c>
      <c r="U95" s="27" t="s">
        <v>1</v>
      </c>
      <c r="V95" s="1">
        <v>0</v>
      </c>
      <c r="W95" s="1">
        <v>0</v>
      </c>
      <c r="X95" s="1">
        <f t="shared" si="3"/>
        <v>0</v>
      </c>
      <c r="Y95" s="1">
        <v>0</v>
      </c>
      <c r="Z95" s="27" t="s">
        <v>1</v>
      </c>
      <c r="AA95" s="27" t="s">
        <v>1</v>
      </c>
      <c r="AB95" s="1">
        <v>1</v>
      </c>
      <c r="AC95" s="1">
        <v>0</v>
      </c>
      <c r="AD95" s="1">
        <f t="shared" si="4"/>
        <v>1</v>
      </c>
      <c r="AE95" s="1">
        <v>3.5</v>
      </c>
      <c r="AF95" s="23">
        <f t="shared" si="72"/>
        <v>0</v>
      </c>
      <c r="AG95" s="23">
        <f t="shared" si="73"/>
        <v>0</v>
      </c>
      <c r="AH95" s="9">
        <f t="shared" si="13"/>
        <v>1</v>
      </c>
      <c r="AI95" s="23">
        <f t="shared" si="74"/>
        <v>0</v>
      </c>
      <c r="AJ95" s="23">
        <f t="shared" si="75"/>
        <v>1</v>
      </c>
      <c r="AK95" s="23">
        <f t="shared" si="16"/>
        <v>3.5</v>
      </c>
    </row>
    <row r="96" spans="1:38" x14ac:dyDescent="0.25">
      <c r="B96" s="21"/>
    </row>
    <row r="97" spans="2:2" x14ac:dyDescent="0.25">
      <c r="B97" s="21"/>
    </row>
    <row r="98" spans="2:2" x14ac:dyDescent="0.25">
      <c r="B98" s="21"/>
    </row>
    <row r="99" spans="2:2" x14ac:dyDescent="0.25">
      <c r="B99" s="21"/>
    </row>
    <row r="100" spans="2:2" x14ac:dyDescent="0.25">
      <c r="B100" s="21"/>
    </row>
    <row r="101" spans="2:2" x14ac:dyDescent="0.25">
      <c r="B101" s="21"/>
    </row>
    <row r="102" spans="2:2" x14ac:dyDescent="0.25">
      <c r="B102" s="21"/>
    </row>
    <row r="103" spans="2:2" x14ac:dyDescent="0.25">
      <c r="B103" s="21"/>
    </row>
    <row r="104" spans="2:2" x14ac:dyDescent="0.25">
      <c r="B104" s="21"/>
    </row>
  </sheetData>
  <phoneticPr fontId="1" type="noConversion"/>
  <pageMargins left="0.75" right="0.75" top="1" bottom="1" header="0.5" footer="0.5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7"/>
  <sheetViews>
    <sheetView workbookViewId="0">
      <pane ySplit="3" topLeftCell="A4" activePane="bottomLeft" state="frozen"/>
      <selection pane="bottomLeft" activeCell="F4" sqref="F4"/>
    </sheetView>
  </sheetViews>
  <sheetFormatPr defaultRowHeight="12.5" x14ac:dyDescent="0.25"/>
  <cols>
    <col min="2" max="2" width="12.453125" customWidth="1"/>
    <col min="3" max="3" width="9.1796875" style="2" customWidth="1"/>
  </cols>
  <sheetData>
    <row r="1" spans="1:12" x14ac:dyDescent="0.25">
      <c r="A1" s="26" t="s">
        <v>93</v>
      </c>
    </row>
    <row r="3" spans="1:12" x14ac:dyDescent="0.25">
      <c r="A3" s="21" t="s">
        <v>8</v>
      </c>
      <c r="B3" s="21" t="s">
        <v>9</v>
      </c>
      <c r="C3" s="2" t="s">
        <v>10</v>
      </c>
      <c r="D3" t="s">
        <v>11</v>
      </c>
      <c r="E3" t="s">
        <v>94</v>
      </c>
      <c r="F3" t="s">
        <v>95</v>
      </c>
      <c r="G3" s="21" t="s">
        <v>96</v>
      </c>
      <c r="H3" t="s">
        <v>97</v>
      </c>
      <c r="I3" t="s">
        <v>45</v>
      </c>
    </row>
    <row r="4" spans="1:12" ht="13" x14ac:dyDescent="0.3">
      <c r="A4">
        <v>2011</v>
      </c>
      <c r="B4" s="21" t="s">
        <v>46</v>
      </c>
      <c r="C4" s="2">
        <v>40745</v>
      </c>
      <c r="D4">
        <v>67</v>
      </c>
      <c r="E4" t="s">
        <v>98</v>
      </c>
      <c r="F4">
        <v>1122</v>
      </c>
      <c r="G4">
        <v>7691</v>
      </c>
      <c r="H4" s="21" t="s">
        <v>1</v>
      </c>
      <c r="J4" s="20"/>
    </row>
    <row r="5" spans="1:12" x14ac:dyDescent="0.25">
      <c r="A5">
        <v>2011</v>
      </c>
      <c r="B5" s="21" t="s">
        <v>46</v>
      </c>
      <c r="C5" s="2">
        <v>40745</v>
      </c>
      <c r="D5">
        <v>67</v>
      </c>
      <c r="E5" t="s">
        <v>99</v>
      </c>
      <c r="F5">
        <v>1123</v>
      </c>
      <c r="G5" s="21" t="s">
        <v>1</v>
      </c>
      <c r="H5" s="21" t="s">
        <v>1</v>
      </c>
    </row>
    <row r="6" spans="1:12" x14ac:dyDescent="0.25">
      <c r="A6">
        <v>2011</v>
      </c>
      <c r="B6" s="21" t="s">
        <v>46</v>
      </c>
      <c r="C6" s="2">
        <v>40745</v>
      </c>
      <c r="D6">
        <v>67</v>
      </c>
      <c r="E6" t="s">
        <v>100</v>
      </c>
      <c r="F6">
        <v>1124</v>
      </c>
      <c r="G6">
        <v>7700</v>
      </c>
      <c r="H6">
        <v>7692</v>
      </c>
    </row>
    <row r="7" spans="1:12" x14ac:dyDescent="0.25">
      <c r="A7">
        <v>2011</v>
      </c>
      <c r="B7" s="21" t="s">
        <v>46</v>
      </c>
      <c r="C7" s="2">
        <v>40745</v>
      </c>
      <c r="D7">
        <v>67</v>
      </c>
      <c r="E7" t="s">
        <v>101</v>
      </c>
      <c r="F7">
        <v>1125</v>
      </c>
      <c r="G7" t="s">
        <v>102</v>
      </c>
      <c r="H7">
        <v>7693</v>
      </c>
      <c r="I7" t="s">
        <v>103</v>
      </c>
    </row>
    <row r="8" spans="1:12" x14ac:dyDescent="0.25">
      <c r="A8">
        <v>2011</v>
      </c>
      <c r="B8" s="21" t="s">
        <v>46</v>
      </c>
      <c r="C8" s="2">
        <v>40745</v>
      </c>
      <c r="D8">
        <v>67</v>
      </c>
      <c r="E8" t="s">
        <v>104</v>
      </c>
      <c r="F8">
        <v>1126</v>
      </c>
      <c r="G8">
        <v>7703</v>
      </c>
      <c r="H8">
        <v>7698</v>
      </c>
      <c r="I8" t="s">
        <v>105</v>
      </c>
    </row>
    <row r="9" spans="1:12" x14ac:dyDescent="0.25">
      <c r="A9">
        <v>2011</v>
      </c>
      <c r="B9" s="21" t="s">
        <v>46</v>
      </c>
      <c r="C9" s="2">
        <v>40745</v>
      </c>
      <c r="D9">
        <v>67</v>
      </c>
      <c r="E9" t="s">
        <v>106</v>
      </c>
      <c r="F9">
        <v>1127</v>
      </c>
      <c r="G9">
        <v>7704</v>
      </c>
      <c r="H9">
        <v>7699</v>
      </c>
    </row>
    <row r="10" spans="1:12" ht="13" x14ac:dyDescent="0.3">
      <c r="A10">
        <v>2011</v>
      </c>
      <c r="B10" s="21" t="s">
        <v>46</v>
      </c>
      <c r="C10" s="2">
        <v>40745</v>
      </c>
      <c r="D10">
        <v>68</v>
      </c>
      <c r="E10" t="s">
        <v>98</v>
      </c>
      <c r="F10">
        <v>1116</v>
      </c>
      <c r="G10">
        <v>7681</v>
      </c>
      <c r="H10" t="s">
        <v>1</v>
      </c>
      <c r="J10" s="20"/>
    </row>
    <row r="11" spans="1:12" x14ac:dyDescent="0.25">
      <c r="A11">
        <v>2011</v>
      </c>
      <c r="B11" s="21" t="s">
        <v>46</v>
      </c>
      <c r="C11" s="2">
        <v>40745</v>
      </c>
      <c r="D11">
        <v>68</v>
      </c>
      <c r="E11" t="s">
        <v>99</v>
      </c>
      <c r="F11">
        <v>1117</v>
      </c>
      <c r="G11" s="21" t="s">
        <v>1</v>
      </c>
      <c r="H11" s="21" t="s">
        <v>1</v>
      </c>
      <c r="I11" s="21" t="s">
        <v>107</v>
      </c>
    </row>
    <row r="12" spans="1:12" x14ac:dyDescent="0.25">
      <c r="A12">
        <v>2011</v>
      </c>
      <c r="B12" s="21" t="s">
        <v>46</v>
      </c>
      <c r="C12" s="2">
        <v>40745</v>
      </c>
      <c r="D12">
        <v>68</v>
      </c>
      <c r="E12" t="s">
        <v>100</v>
      </c>
      <c r="F12">
        <v>1118</v>
      </c>
      <c r="G12" s="21">
        <v>7687</v>
      </c>
      <c r="H12" s="21">
        <v>7682</v>
      </c>
      <c r="L12" t="s">
        <v>108</v>
      </c>
    </row>
    <row r="13" spans="1:12" x14ac:dyDescent="0.25">
      <c r="A13">
        <v>2011</v>
      </c>
      <c r="B13" s="21" t="s">
        <v>46</v>
      </c>
      <c r="C13" s="2">
        <v>40745</v>
      </c>
      <c r="D13">
        <v>68</v>
      </c>
      <c r="E13" t="s">
        <v>101</v>
      </c>
      <c r="F13">
        <v>1119</v>
      </c>
      <c r="G13" s="21">
        <v>7688</v>
      </c>
      <c r="H13" s="21">
        <v>7683</v>
      </c>
    </row>
    <row r="14" spans="1:12" x14ac:dyDescent="0.25">
      <c r="A14">
        <v>2011</v>
      </c>
      <c r="B14" s="21" t="s">
        <v>46</v>
      </c>
      <c r="C14" s="2">
        <v>40745</v>
      </c>
      <c r="D14">
        <v>68</v>
      </c>
      <c r="E14" t="s">
        <v>104</v>
      </c>
      <c r="F14">
        <v>1120</v>
      </c>
      <c r="G14" s="21">
        <v>7689</v>
      </c>
      <c r="H14" s="21" t="s">
        <v>109</v>
      </c>
      <c r="I14" s="21"/>
    </row>
    <row r="15" spans="1:12" x14ac:dyDescent="0.25">
      <c r="A15">
        <v>2011</v>
      </c>
      <c r="B15" s="21" t="s">
        <v>46</v>
      </c>
      <c r="C15" s="2">
        <v>40745</v>
      </c>
      <c r="D15">
        <v>68</v>
      </c>
      <c r="E15" t="s">
        <v>106</v>
      </c>
      <c r="F15">
        <v>1121</v>
      </c>
      <c r="G15" s="21">
        <v>7690</v>
      </c>
      <c r="H15" s="21">
        <v>7686</v>
      </c>
    </row>
    <row r="16" spans="1:12" ht="13" x14ac:dyDescent="0.3">
      <c r="A16">
        <v>2011</v>
      </c>
      <c r="B16" s="21" t="s">
        <v>46</v>
      </c>
      <c r="C16" s="2">
        <v>40745</v>
      </c>
      <c r="D16">
        <v>69</v>
      </c>
      <c r="E16" t="s">
        <v>98</v>
      </c>
      <c r="F16">
        <v>1108</v>
      </c>
      <c r="G16" s="21">
        <v>7662</v>
      </c>
      <c r="H16" s="21" t="s">
        <v>1</v>
      </c>
      <c r="J16" s="20"/>
    </row>
    <row r="17" spans="1:9" x14ac:dyDescent="0.25">
      <c r="A17">
        <v>2011</v>
      </c>
      <c r="B17" s="21" t="s">
        <v>46</v>
      </c>
      <c r="C17" s="2">
        <v>40745</v>
      </c>
      <c r="D17">
        <v>69</v>
      </c>
      <c r="E17" t="s">
        <v>99</v>
      </c>
      <c r="F17">
        <v>1109</v>
      </c>
      <c r="G17" s="21" t="s">
        <v>1</v>
      </c>
      <c r="H17" s="21" t="s">
        <v>1</v>
      </c>
    </row>
    <row r="18" spans="1:9" x14ac:dyDescent="0.25">
      <c r="A18">
        <v>2011</v>
      </c>
      <c r="B18" s="21" t="s">
        <v>46</v>
      </c>
      <c r="C18" s="2">
        <v>40745</v>
      </c>
      <c r="D18">
        <v>69</v>
      </c>
      <c r="E18" t="s">
        <v>100</v>
      </c>
      <c r="F18">
        <v>1110</v>
      </c>
      <c r="G18" s="21">
        <v>7663</v>
      </c>
      <c r="H18" s="21">
        <v>7668</v>
      </c>
      <c r="I18" s="21" t="s">
        <v>110</v>
      </c>
    </row>
    <row r="19" spans="1:9" x14ac:dyDescent="0.25">
      <c r="A19">
        <v>2011</v>
      </c>
      <c r="B19" s="21" t="s">
        <v>46</v>
      </c>
      <c r="C19" s="2">
        <v>40745</v>
      </c>
      <c r="D19">
        <v>69</v>
      </c>
      <c r="E19" t="s">
        <v>101</v>
      </c>
      <c r="F19">
        <v>1111</v>
      </c>
      <c r="G19" s="21">
        <v>7664</v>
      </c>
      <c r="H19" s="21">
        <v>7672</v>
      </c>
    </row>
    <row r="20" spans="1:9" x14ac:dyDescent="0.25">
      <c r="A20">
        <v>2011</v>
      </c>
      <c r="B20" s="21" t="s">
        <v>46</v>
      </c>
      <c r="C20" s="2">
        <v>40745</v>
      </c>
      <c r="D20">
        <v>69</v>
      </c>
      <c r="E20" t="s">
        <v>104</v>
      </c>
      <c r="F20">
        <v>1112</v>
      </c>
      <c r="G20" s="21" t="s">
        <v>111</v>
      </c>
      <c r="H20" s="21" t="s">
        <v>112</v>
      </c>
      <c r="I20" s="21" t="s">
        <v>113</v>
      </c>
    </row>
    <row r="21" spans="1:9" x14ac:dyDescent="0.25">
      <c r="A21">
        <v>2011</v>
      </c>
      <c r="B21" s="21" t="s">
        <v>46</v>
      </c>
      <c r="C21" s="2">
        <v>40745</v>
      </c>
      <c r="D21">
        <v>69</v>
      </c>
      <c r="E21" t="s">
        <v>106</v>
      </c>
      <c r="F21" s="21" t="s">
        <v>114</v>
      </c>
      <c r="G21" s="21">
        <v>7667</v>
      </c>
      <c r="H21" s="21">
        <v>7675</v>
      </c>
      <c r="I21" s="21" t="s">
        <v>115</v>
      </c>
    </row>
    <row r="22" spans="1:9" x14ac:dyDescent="0.25">
      <c r="A22">
        <v>2011</v>
      </c>
      <c r="B22" s="21" t="s">
        <v>46</v>
      </c>
      <c r="C22" s="2">
        <v>40751</v>
      </c>
      <c r="D22">
        <v>70</v>
      </c>
      <c r="E22" t="s">
        <v>98</v>
      </c>
      <c r="F22">
        <v>1256</v>
      </c>
      <c r="G22" s="21">
        <v>7861</v>
      </c>
      <c r="H22" t="s">
        <v>1</v>
      </c>
    </row>
    <row r="23" spans="1:9" x14ac:dyDescent="0.25">
      <c r="A23">
        <v>2011</v>
      </c>
      <c r="B23" s="21" t="s">
        <v>46</v>
      </c>
      <c r="C23" s="2">
        <v>40751</v>
      </c>
      <c r="D23">
        <v>70</v>
      </c>
      <c r="E23" t="s">
        <v>99</v>
      </c>
      <c r="F23" t="s">
        <v>116</v>
      </c>
      <c r="G23" t="s">
        <v>1</v>
      </c>
      <c r="H23" t="s">
        <v>1</v>
      </c>
    </row>
    <row r="24" spans="1:9" x14ac:dyDescent="0.25">
      <c r="A24">
        <v>2011</v>
      </c>
      <c r="B24" s="21" t="s">
        <v>46</v>
      </c>
      <c r="C24" s="2">
        <v>40751</v>
      </c>
      <c r="D24">
        <v>70</v>
      </c>
      <c r="E24" t="s">
        <v>100</v>
      </c>
      <c r="F24">
        <v>1259</v>
      </c>
      <c r="G24" t="s">
        <v>117</v>
      </c>
      <c r="H24">
        <v>7862</v>
      </c>
    </row>
    <row r="25" spans="1:9" x14ac:dyDescent="0.25">
      <c r="A25">
        <v>2011</v>
      </c>
      <c r="B25" s="21" t="s">
        <v>46</v>
      </c>
      <c r="C25" s="2">
        <v>40751</v>
      </c>
      <c r="D25">
        <v>70</v>
      </c>
      <c r="E25" t="s">
        <v>101</v>
      </c>
      <c r="F25" t="s">
        <v>118</v>
      </c>
      <c r="G25" t="s">
        <v>119</v>
      </c>
      <c r="H25" t="s">
        <v>120</v>
      </c>
    </row>
    <row r="26" spans="1:9" x14ac:dyDescent="0.25">
      <c r="A26">
        <v>2011</v>
      </c>
      <c r="B26" s="21" t="s">
        <v>46</v>
      </c>
      <c r="C26" s="2">
        <v>40751</v>
      </c>
      <c r="D26">
        <v>70</v>
      </c>
      <c r="E26" t="s">
        <v>104</v>
      </c>
      <c r="F26">
        <v>1262</v>
      </c>
      <c r="G26" t="s">
        <v>121</v>
      </c>
      <c r="H26">
        <v>7865</v>
      </c>
    </row>
    <row r="27" spans="1:9" x14ac:dyDescent="0.25">
      <c r="A27">
        <v>2011</v>
      </c>
      <c r="B27" s="21" t="s">
        <v>46</v>
      </c>
      <c r="C27" s="2">
        <v>40751</v>
      </c>
      <c r="D27">
        <v>70</v>
      </c>
      <c r="E27" t="s">
        <v>106</v>
      </c>
      <c r="F27">
        <v>1263</v>
      </c>
      <c r="G27" t="s">
        <v>122</v>
      </c>
      <c r="H27">
        <v>7866</v>
      </c>
    </row>
    <row r="28" spans="1:9" x14ac:dyDescent="0.25">
      <c r="A28">
        <v>2011</v>
      </c>
      <c r="B28" s="21" t="s">
        <v>46</v>
      </c>
      <c r="C28" s="2">
        <v>40751</v>
      </c>
      <c r="D28">
        <v>71</v>
      </c>
      <c r="E28" t="s">
        <v>98</v>
      </c>
      <c r="F28" t="s">
        <v>123</v>
      </c>
      <c r="G28" t="s">
        <v>124</v>
      </c>
      <c r="H28" t="s">
        <v>1</v>
      </c>
    </row>
    <row r="29" spans="1:9" x14ac:dyDescent="0.25">
      <c r="A29">
        <v>2011</v>
      </c>
      <c r="B29" s="21" t="s">
        <v>46</v>
      </c>
      <c r="C29" s="2">
        <v>40751</v>
      </c>
      <c r="D29">
        <v>71</v>
      </c>
      <c r="E29" t="s">
        <v>99</v>
      </c>
      <c r="F29">
        <v>1284</v>
      </c>
      <c r="G29" t="s">
        <v>1</v>
      </c>
      <c r="H29" t="s">
        <v>1</v>
      </c>
    </row>
    <row r="30" spans="1:9" x14ac:dyDescent="0.25">
      <c r="A30">
        <v>2011</v>
      </c>
      <c r="B30" s="21" t="s">
        <v>46</v>
      </c>
      <c r="C30" s="2">
        <v>40751</v>
      </c>
      <c r="D30">
        <v>71</v>
      </c>
      <c r="E30" t="s">
        <v>100</v>
      </c>
      <c r="F30">
        <v>1285</v>
      </c>
      <c r="G30">
        <v>7908</v>
      </c>
      <c r="H30" t="s">
        <v>125</v>
      </c>
    </row>
    <row r="31" spans="1:9" x14ac:dyDescent="0.25">
      <c r="A31">
        <v>2011</v>
      </c>
      <c r="B31" s="21" t="s">
        <v>46</v>
      </c>
      <c r="C31" s="2">
        <v>40751</v>
      </c>
      <c r="D31">
        <v>71</v>
      </c>
      <c r="E31" t="s">
        <v>101</v>
      </c>
      <c r="F31">
        <v>1286</v>
      </c>
      <c r="G31">
        <v>7909</v>
      </c>
      <c r="H31">
        <v>7902</v>
      </c>
    </row>
    <row r="32" spans="1:9" x14ac:dyDescent="0.25">
      <c r="A32">
        <v>2011</v>
      </c>
      <c r="B32" s="21" t="s">
        <v>46</v>
      </c>
      <c r="C32" s="2">
        <v>40751</v>
      </c>
      <c r="D32">
        <v>71</v>
      </c>
      <c r="E32" t="s">
        <v>104</v>
      </c>
      <c r="F32">
        <v>1287</v>
      </c>
      <c r="G32">
        <v>7910</v>
      </c>
      <c r="H32">
        <v>7903</v>
      </c>
    </row>
    <row r="33" spans="1:10" x14ac:dyDescent="0.25">
      <c r="A33">
        <v>2011</v>
      </c>
      <c r="B33" s="21" t="s">
        <v>46</v>
      </c>
      <c r="C33" s="2">
        <v>40751</v>
      </c>
      <c r="D33">
        <v>71</v>
      </c>
      <c r="E33" t="s">
        <v>106</v>
      </c>
      <c r="F33">
        <v>1288</v>
      </c>
      <c r="G33">
        <v>7911</v>
      </c>
      <c r="H33">
        <v>7904</v>
      </c>
    </row>
    <row r="34" spans="1:10" x14ac:dyDescent="0.25">
      <c r="A34">
        <v>2011</v>
      </c>
      <c r="B34" s="21" t="s">
        <v>46</v>
      </c>
      <c r="C34" s="2">
        <v>40751</v>
      </c>
      <c r="D34">
        <v>72</v>
      </c>
      <c r="E34" t="s">
        <v>98</v>
      </c>
      <c r="F34">
        <v>1276</v>
      </c>
      <c r="G34">
        <v>7888</v>
      </c>
      <c r="H34" t="s">
        <v>1</v>
      </c>
    </row>
    <row r="35" spans="1:10" x14ac:dyDescent="0.25">
      <c r="A35">
        <v>2011</v>
      </c>
      <c r="B35" s="21" t="s">
        <v>46</v>
      </c>
      <c r="C35" s="2">
        <v>40751</v>
      </c>
      <c r="D35">
        <v>72</v>
      </c>
      <c r="E35" t="s">
        <v>99</v>
      </c>
      <c r="F35">
        <v>1277</v>
      </c>
      <c r="G35" t="s">
        <v>1</v>
      </c>
      <c r="H35" t="s">
        <v>1</v>
      </c>
    </row>
    <row r="36" spans="1:10" x14ac:dyDescent="0.25">
      <c r="A36">
        <v>2011</v>
      </c>
      <c r="B36" s="21" t="s">
        <v>46</v>
      </c>
      <c r="C36" s="2">
        <v>40751</v>
      </c>
      <c r="D36">
        <v>72</v>
      </c>
      <c r="E36" t="s">
        <v>100</v>
      </c>
      <c r="F36">
        <v>1278</v>
      </c>
      <c r="G36">
        <v>7893</v>
      </c>
      <c r="H36">
        <v>7889</v>
      </c>
    </row>
    <row r="37" spans="1:10" x14ac:dyDescent="0.25">
      <c r="A37">
        <v>2011</v>
      </c>
      <c r="B37" s="21" t="s">
        <v>46</v>
      </c>
      <c r="C37" s="2">
        <v>40751</v>
      </c>
      <c r="D37">
        <v>72</v>
      </c>
      <c r="E37" t="s">
        <v>101</v>
      </c>
      <c r="F37">
        <v>1279</v>
      </c>
      <c r="G37">
        <v>7894</v>
      </c>
      <c r="H37">
        <v>7890</v>
      </c>
    </row>
    <row r="38" spans="1:10" x14ac:dyDescent="0.25">
      <c r="A38">
        <v>2011</v>
      </c>
      <c r="B38" s="21" t="s">
        <v>46</v>
      </c>
      <c r="C38" s="2">
        <v>40751</v>
      </c>
      <c r="D38">
        <v>72</v>
      </c>
      <c r="E38" t="s">
        <v>104</v>
      </c>
      <c r="F38">
        <v>1280</v>
      </c>
      <c r="G38">
        <v>7895</v>
      </c>
      <c r="H38">
        <v>7891</v>
      </c>
    </row>
    <row r="39" spans="1:10" x14ac:dyDescent="0.25">
      <c r="A39">
        <v>2011</v>
      </c>
      <c r="B39" s="21" t="s">
        <v>46</v>
      </c>
      <c r="C39" s="2">
        <v>40751</v>
      </c>
      <c r="D39">
        <v>72</v>
      </c>
      <c r="E39" t="s">
        <v>106</v>
      </c>
      <c r="F39">
        <v>1281</v>
      </c>
      <c r="G39" t="s">
        <v>126</v>
      </c>
      <c r="H39">
        <v>7892</v>
      </c>
    </row>
    <row r="40" spans="1:10" ht="13" x14ac:dyDescent="0.3">
      <c r="A40">
        <v>2011</v>
      </c>
      <c r="B40" s="21" t="s">
        <v>46</v>
      </c>
      <c r="C40" s="2">
        <v>40745</v>
      </c>
      <c r="D40">
        <v>73</v>
      </c>
      <c r="E40" t="s">
        <v>98</v>
      </c>
      <c r="F40" s="21" t="s">
        <v>127</v>
      </c>
      <c r="G40" s="21">
        <v>7717</v>
      </c>
      <c r="H40" s="21" t="s">
        <v>1</v>
      </c>
      <c r="J40" s="20"/>
    </row>
    <row r="41" spans="1:10" x14ac:dyDescent="0.25">
      <c r="A41">
        <v>2011</v>
      </c>
      <c r="B41" s="21" t="s">
        <v>46</v>
      </c>
      <c r="C41" s="2">
        <v>40745</v>
      </c>
      <c r="D41">
        <v>73</v>
      </c>
      <c r="E41" t="s">
        <v>99</v>
      </c>
      <c r="F41">
        <v>1138</v>
      </c>
      <c r="G41" s="21" t="s">
        <v>1</v>
      </c>
      <c r="H41" s="21" t="s">
        <v>1</v>
      </c>
    </row>
    <row r="42" spans="1:10" x14ac:dyDescent="0.25">
      <c r="A42">
        <v>2011</v>
      </c>
      <c r="B42" s="21" t="s">
        <v>46</v>
      </c>
      <c r="C42" s="2">
        <v>40745</v>
      </c>
      <c r="D42">
        <v>73</v>
      </c>
      <c r="E42" t="s">
        <v>100</v>
      </c>
      <c r="F42">
        <v>1139</v>
      </c>
      <c r="G42" s="21">
        <v>7718</v>
      </c>
      <c r="H42">
        <v>7723</v>
      </c>
    </row>
    <row r="43" spans="1:10" x14ac:dyDescent="0.25">
      <c r="A43">
        <v>2011</v>
      </c>
      <c r="B43" s="21" t="s">
        <v>46</v>
      </c>
      <c r="C43" s="2">
        <v>40745</v>
      </c>
      <c r="D43">
        <v>73</v>
      </c>
      <c r="E43" t="s">
        <v>101</v>
      </c>
      <c r="F43">
        <v>1140</v>
      </c>
      <c r="G43" s="21">
        <v>7719</v>
      </c>
      <c r="H43" s="21">
        <v>7724</v>
      </c>
    </row>
    <row r="44" spans="1:10" x14ac:dyDescent="0.25">
      <c r="A44">
        <v>2011</v>
      </c>
      <c r="B44" s="21" t="s">
        <v>46</v>
      </c>
      <c r="C44" s="2">
        <v>40745</v>
      </c>
      <c r="D44">
        <v>73</v>
      </c>
      <c r="E44" t="s">
        <v>104</v>
      </c>
      <c r="F44">
        <v>1141</v>
      </c>
      <c r="G44" s="21" t="s">
        <v>128</v>
      </c>
      <c r="H44" s="21">
        <v>7725</v>
      </c>
    </row>
    <row r="45" spans="1:10" x14ac:dyDescent="0.25">
      <c r="A45">
        <v>2011</v>
      </c>
      <c r="B45" s="21" t="s">
        <v>46</v>
      </c>
      <c r="C45" s="2">
        <v>40745</v>
      </c>
      <c r="D45">
        <v>73</v>
      </c>
      <c r="E45" t="s">
        <v>106</v>
      </c>
      <c r="F45">
        <v>1142</v>
      </c>
      <c r="G45" s="21">
        <v>7722</v>
      </c>
      <c r="H45" s="21">
        <v>7726</v>
      </c>
    </row>
    <row r="46" spans="1:10" ht="13" x14ac:dyDescent="0.3">
      <c r="A46">
        <v>2011</v>
      </c>
      <c r="B46" s="21" t="s">
        <v>46</v>
      </c>
      <c r="C46" s="2">
        <v>40745</v>
      </c>
      <c r="D46">
        <v>74</v>
      </c>
      <c r="E46" t="s">
        <v>98</v>
      </c>
      <c r="F46">
        <v>1151</v>
      </c>
      <c r="G46" s="21">
        <v>7727</v>
      </c>
      <c r="H46" s="21" t="s">
        <v>1</v>
      </c>
      <c r="J46" s="20"/>
    </row>
    <row r="47" spans="1:10" x14ac:dyDescent="0.25">
      <c r="A47">
        <v>2011</v>
      </c>
      <c r="B47" s="21" t="s">
        <v>46</v>
      </c>
      <c r="C47" s="2">
        <v>40745</v>
      </c>
      <c r="D47">
        <v>74</v>
      </c>
      <c r="E47" t="s">
        <v>99</v>
      </c>
      <c r="F47">
        <v>1152</v>
      </c>
      <c r="G47" s="21" t="s">
        <v>1</v>
      </c>
      <c r="H47" s="21" t="s">
        <v>1</v>
      </c>
    </row>
    <row r="48" spans="1:10" x14ac:dyDescent="0.25">
      <c r="A48">
        <v>2011</v>
      </c>
      <c r="B48" s="21" t="s">
        <v>46</v>
      </c>
      <c r="C48" s="2">
        <v>40745</v>
      </c>
      <c r="D48">
        <v>74</v>
      </c>
      <c r="E48" t="s">
        <v>100</v>
      </c>
      <c r="F48">
        <v>1153</v>
      </c>
      <c r="G48" s="21">
        <v>7732</v>
      </c>
      <c r="H48" s="21">
        <v>7728</v>
      </c>
    </row>
    <row r="49" spans="1:10" x14ac:dyDescent="0.25">
      <c r="A49">
        <v>2011</v>
      </c>
      <c r="B49" s="21" t="s">
        <v>46</v>
      </c>
      <c r="C49" s="2">
        <v>40745</v>
      </c>
      <c r="D49">
        <v>74</v>
      </c>
      <c r="E49" t="s">
        <v>101</v>
      </c>
      <c r="F49">
        <v>1154</v>
      </c>
      <c r="G49" s="21" t="s">
        <v>129</v>
      </c>
      <c r="H49" s="21">
        <v>7729</v>
      </c>
    </row>
    <row r="50" spans="1:10" x14ac:dyDescent="0.25">
      <c r="A50">
        <v>2011</v>
      </c>
      <c r="B50" s="21" t="s">
        <v>46</v>
      </c>
      <c r="C50" s="2">
        <v>40745</v>
      </c>
      <c r="D50">
        <v>74</v>
      </c>
      <c r="E50" t="s">
        <v>104</v>
      </c>
      <c r="F50">
        <v>1155</v>
      </c>
      <c r="G50" s="21">
        <v>7735</v>
      </c>
      <c r="H50" s="21">
        <v>7730</v>
      </c>
    </row>
    <row r="51" spans="1:10" x14ac:dyDescent="0.25">
      <c r="A51">
        <v>2011</v>
      </c>
      <c r="B51" s="21" t="s">
        <v>46</v>
      </c>
      <c r="C51" s="2">
        <v>40745</v>
      </c>
      <c r="D51">
        <v>74</v>
      </c>
      <c r="E51" t="s">
        <v>106</v>
      </c>
      <c r="F51">
        <v>1156</v>
      </c>
      <c r="G51" s="21">
        <v>7736</v>
      </c>
      <c r="H51" s="21">
        <v>7731</v>
      </c>
    </row>
    <row r="52" spans="1:10" ht="13" x14ac:dyDescent="0.3">
      <c r="A52">
        <v>2011</v>
      </c>
      <c r="B52" s="21" t="s">
        <v>46</v>
      </c>
      <c r="C52" s="2">
        <v>40745</v>
      </c>
      <c r="D52">
        <v>75</v>
      </c>
      <c r="E52" t="s">
        <v>98</v>
      </c>
      <c r="F52" s="21" t="s">
        <v>130</v>
      </c>
      <c r="G52" s="21">
        <v>7705</v>
      </c>
      <c r="H52" s="21" t="s">
        <v>1</v>
      </c>
      <c r="J52" s="20"/>
    </row>
    <row r="53" spans="1:10" x14ac:dyDescent="0.25">
      <c r="A53">
        <v>2011</v>
      </c>
      <c r="B53" s="21" t="s">
        <v>46</v>
      </c>
      <c r="C53" s="2">
        <v>40745</v>
      </c>
      <c r="D53">
        <v>75</v>
      </c>
      <c r="E53" t="s">
        <v>99</v>
      </c>
      <c r="F53">
        <v>1131</v>
      </c>
      <c r="G53" s="21" t="s">
        <v>1</v>
      </c>
      <c r="H53" s="21" t="s">
        <v>1</v>
      </c>
      <c r="I53" s="21" t="s">
        <v>131</v>
      </c>
    </row>
    <row r="54" spans="1:10" x14ac:dyDescent="0.25">
      <c r="A54">
        <v>2011</v>
      </c>
      <c r="B54" s="21" t="s">
        <v>46</v>
      </c>
      <c r="C54" s="2">
        <v>40745</v>
      </c>
      <c r="D54">
        <v>75</v>
      </c>
      <c r="E54" t="s">
        <v>100</v>
      </c>
      <c r="F54">
        <v>1132</v>
      </c>
      <c r="G54" s="21">
        <v>7706</v>
      </c>
      <c r="H54" s="21">
        <v>7713</v>
      </c>
    </row>
    <row r="55" spans="1:10" x14ac:dyDescent="0.25">
      <c r="A55">
        <v>2011</v>
      </c>
      <c r="B55" s="21" t="s">
        <v>46</v>
      </c>
      <c r="C55" s="2">
        <v>40745</v>
      </c>
      <c r="D55">
        <v>75</v>
      </c>
      <c r="E55" t="s">
        <v>101</v>
      </c>
      <c r="F55">
        <v>1133</v>
      </c>
      <c r="G55" s="21">
        <v>7707</v>
      </c>
      <c r="H55" s="21">
        <v>7714</v>
      </c>
    </row>
    <row r="56" spans="1:10" x14ac:dyDescent="0.25">
      <c r="A56">
        <v>2011</v>
      </c>
      <c r="B56" s="21" t="s">
        <v>46</v>
      </c>
      <c r="C56" s="2">
        <v>40745</v>
      </c>
      <c r="D56">
        <v>75</v>
      </c>
      <c r="E56" t="s">
        <v>104</v>
      </c>
      <c r="F56">
        <v>1134</v>
      </c>
      <c r="G56" s="21">
        <v>7708</v>
      </c>
      <c r="H56" s="21">
        <v>7715</v>
      </c>
    </row>
    <row r="57" spans="1:10" x14ac:dyDescent="0.25">
      <c r="A57">
        <v>2011</v>
      </c>
      <c r="B57" s="21" t="s">
        <v>46</v>
      </c>
      <c r="C57" s="2">
        <v>40745</v>
      </c>
      <c r="D57">
        <v>75</v>
      </c>
      <c r="E57" t="s">
        <v>106</v>
      </c>
      <c r="F57">
        <v>1135</v>
      </c>
      <c r="G57" s="21">
        <v>7709</v>
      </c>
      <c r="H57" s="21">
        <v>7716</v>
      </c>
    </row>
    <row r="58" spans="1:10" x14ac:dyDescent="0.25">
      <c r="A58">
        <v>2011</v>
      </c>
      <c r="B58" s="21" t="s">
        <v>46</v>
      </c>
      <c r="C58" s="2">
        <v>40751</v>
      </c>
      <c r="D58">
        <v>76</v>
      </c>
      <c r="E58" t="s">
        <v>98</v>
      </c>
      <c r="F58" t="s">
        <v>132</v>
      </c>
      <c r="G58">
        <v>7851</v>
      </c>
      <c r="H58" t="s">
        <v>1</v>
      </c>
      <c r="I58" t="s">
        <v>133</v>
      </c>
    </row>
    <row r="59" spans="1:10" x14ac:dyDescent="0.25">
      <c r="A59">
        <v>2011</v>
      </c>
      <c r="B59" s="21" t="s">
        <v>46</v>
      </c>
      <c r="C59" s="2">
        <v>40751</v>
      </c>
      <c r="D59">
        <v>76</v>
      </c>
      <c r="E59" t="s">
        <v>99</v>
      </c>
      <c r="F59" t="s">
        <v>134</v>
      </c>
      <c r="G59" t="s">
        <v>1</v>
      </c>
      <c r="H59" t="s">
        <v>1</v>
      </c>
      <c r="I59" t="s">
        <v>135</v>
      </c>
    </row>
    <row r="60" spans="1:10" x14ac:dyDescent="0.25">
      <c r="A60">
        <v>2011</v>
      </c>
      <c r="B60" s="21" t="s">
        <v>46</v>
      </c>
      <c r="C60" s="2">
        <v>40751</v>
      </c>
      <c r="D60">
        <v>76</v>
      </c>
      <c r="E60" t="s">
        <v>100</v>
      </c>
      <c r="F60">
        <v>1247</v>
      </c>
      <c r="G60">
        <v>7852</v>
      </c>
      <c r="H60">
        <v>7857</v>
      </c>
    </row>
    <row r="61" spans="1:10" x14ac:dyDescent="0.25">
      <c r="A61">
        <v>2011</v>
      </c>
      <c r="B61" s="21" t="s">
        <v>46</v>
      </c>
      <c r="C61" s="2">
        <v>40751</v>
      </c>
      <c r="D61">
        <v>76</v>
      </c>
      <c r="E61" t="s">
        <v>101</v>
      </c>
      <c r="F61">
        <v>1248</v>
      </c>
      <c r="G61">
        <v>7853</v>
      </c>
      <c r="H61">
        <v>7858</v>
      </c>
    </row>
    <row r="62" spans="1:10" x14ac:dyDescent="0.25">
      <c r="A62">
        <v>2011</v>
      </c>
      <c r="B62" s="21" t="s">
        <v>46</v>
      </c>
      <c r="C62" s="2">
        <v>40751</v>
      </c>
      <c r="D62">
        <v>76</v>
      </c>
      <c r="E62" t="s">
        <v>104</v>
      </c>
      <c r="F62" t="s">
        <v>136</v>
      </c>
      <c r="G62" t="s">
        <v>137</v>
      </c>
      <c r="H62">
        <v>7859</v>
      </c>
    </row>
    <row r="63" spans="1:10" x14ac:dyDescent="0.25">
      <c r="A63">
        <v>2011</v>
      </c>
      <c r="B63" s="21" t="s">
        <v>46</v>
      </c>
      <c r="C63" s="2">
        <v>40751</v>
      </c>
      <c r="D63">
        <v>76</v>
      </c>
      <c r="E63" t="s">
        <v>106</v>
      </c>
      <c r="F63" t="s">
        <v>138</v>
      </c>
      <c r="G63">
        <v>7856</v>
      </c>
      <c r="H63">
        <v>7860</v>
      </c>
    </row>
    <row r="64" spans="1:10" x14ac:dyDescent="0.25">
      <c r="A64">
        <v>2011</v>
      </c>
      <c r="B64" s="21" t="s">
        <v>46</v>
      </c>
      <c r="C64" s="2">
        <v>40751</v>
      </c>
      <c r="D64">
        <v>77</v>
      </c>
      <c r="E64" t="s">
        <v>98</v>
      </c>
      <c r="F64">
        <v>1235</v>
      </c>
      <c r="G64">
        <v>7837</v>
      </c>
      <c r="H64" t="s">
        <v>1</v>
      </c>
    </row>
    <row r="65" spans="1:10" x14ac:dyDescent="0.25">
      <c r="A65">
        <v>2011</v>
      </c>
      <c r="B65" s="21" t="s">
        <v>46</v>
      </c>
      <c r="C65" s="2">
        <v>40751</v>
      </c>
      <c r="D65">
        <v>77</v>
      </c>
      <c r="E65" t="s">
        <v>99</v>
      </c>
      <c r="F65">
        <v>1236</v>
      </c>
      <c r="G65" t="s">
        <v>1</v>
      </c>
      <c r="H65" t="s">
        <v>1</v>
      </c>
    </row>
    <row r="66" spans="1:10" x14ac:dyDescent="0.25">
      <c r="A66">
        <v>2011</v>
      </c>
      <c r="B66" s="21" t="s">
        <v>46</v>
      </c>
      <c r="C66" s="2">
        <v>40751</v>
      </c>
      <c r="D66">
        <v>77</v>
      </c>
      <c r="E66" t="s">
        <v>100</v>
      </c>
      <c r="F66">
        <v>1237</v>
      </c>
      <c r="G66">
        <v>7843</v>
      </c>
      <c r="H66">
        <v>7838</v>
      </c>
    </row>
    <row r="67" spans="1:10" x14ac:dyDescent="0.25">
      <c r="A67">
        <v>2011</v>
      </c>
      <c r="B67" s="21" t="s">
        <v>46</v>
      </c>
      <c r="C67" s="2">
        <v>40751</v>
      </c>
      <c r="D67">
        <v>77</v>
      </c>
      <c r="E67" t="s">
        <v>101</v>
      </c>
      <c r="F67">
        <v>1238</v>
      </c>
      <c r="G67">
        <v>7844</v>
      </c>
      <c r="H67">
        <v>7839</v>
      </c>
    </row>
    <row r="68" spans="1:10" x14ac:dyDescent="0.25">
      <c r="A68">
        <v>2011</v>
      </c>
      <c r="B68" s="21" t="s">
        <v>46</v>
      </c>
      <c r="C68" s="2">
        <v>40751</v>
      </c>
      <c r="D68">
        <v>77</v>
      </c>
      <c r="E68" t="s">
        <v>104</v>
      </c>
      <c r="F68">
        <v>1239</v>
      </c>
      <c r="G68">
        <v>7845</v>
      </c>
      <c r="H68" t="s">
        <v>139</v>
      </c>
    </row>
    <row r="69" spans="1:10" x14ac:dyDescent="0.25">
      <c r="A69">
        <v>2011</v>
      </c>
      <c r="B69" s="21" t="s">
        <v>46</v>
      </c>
      <c r="C69" s="2">
        <v>40751</v>
      </c>
      <c r="D69">
        <v>77</v>
      </c>
      <c r="E69" t="s">
        <v>106</v>
      </c>
      <c r="F69">
        <v>1240</v>
      </c>
      <c r="G69">
        <v>7846</v>
      </c>
      <c r="H69">
        <v>7842</v>
      </c>
    </row>
    <row r="70" spans="1:10" x14ac:dyDescent="0.25">
      <c r="A70">
        <v>2011</v>
      </c>
      <c r="B70" s="21" t="s">
        <v>46</v>
      </c>
      <c r="C70" s="2">
        <v>40751</v>
      </c>
      <c r="D70">
        <v>78</v>
      </c>
      <c r="E70" t="s">
        <v>98</v>
      </c>
      <c r="F70" t="s">
        <v>140</v>
      </c>
      <c r="G70">
        <v>7827</v>
      </c>
      <c r="H70" t="s">
        <v>1</v>
      </c>
    </row>
    <row r="71" spans="1:10" x14ac:dyDescent="0.25">
      <c r="A71">
        <v>2011</v>
      </c>
      <c r="B71" s="21" t="s">
        <v>46</v>
      </c>
      <c r="C71" s="2">
        <v>40751</v>
      </c>
      <c r="D71">
        <v>78</v>
      </c>
      <c r="E71" t="s">
        <v>99</v>
      </c>
      <c r="F71">
        <v>1226</v>
      </c>
      <c r="G71" t="s">
        <v>1</v>
      </c>
      <c r="H71" t="s">
        <v>1</v>
      </c>
    </row>
    <row r="72" spans="1:10" x14ac:dyDescent="0.25">
      <c r="A72">
        <v>2011</v>
      </c>
      <c r="B72" s="21" t="s">
        <v>46</v>
      </c>
      <c r="C72" s="2">
        <v>40751</v>
      </c>
      <c r="D72">
        <v>78</v>
      </c>
      <c r="E72" t="s">
        <v>100</v>
      </c>
      <c r="F72">
        <v>1227</v>
      </c>
      <c r="G72">
        <v>7832</v>
      </c>
      <c r="H72">
        <v>7828</v>
      </c>
    </row>
    <row r="73" spans="1:10" x14ac:dyDescent="0.25">
      <c r="A73">
        <v>2011</v>
      </c>
      <c r="B73" s="21" t="s">
        <v>46</v>
      </c>
      <c r="C73" s="2">
        <v>40751</v>
      </c>
      <c r="D73">
        <v>78</v>
      </c>
      <c r="E73" t="s">
        <v>101</v>
      </c>
      <c r="F73">
        <v>1228</v>
      </c>
      <c r="G73">
        <v>7833</v>
      </c>
      <c r="H73">
        <v>7829</v>
      </c>
    </row>
    <row r="74" spans="1:10" x14ac:dyDescent="0.25">
      <c r="A74">
        <v>2011</v>
      </c>
      <c r="B74" s="21" t="s">
        <v>46</v>
      </c>
      <c r="C74" s="2">
        <v>40751</v>
      </c>
      <c r="D74">
        <v>78</v>
      </c>
      <c r="E74" t="s">
        <v>104</v>
      </c>
      <c r="F74">
        <v>1229</v>
      </c>
      <c r="G74" t="s">
        <v>141</v>
      </c>
      <c r="H74">
        <v>7830</v>
      </c>
    </row>
    <row r="75" spans="1:10" x14ac:dyDescent="0.25">
      <c r="A75">
        <v>2011</v>
      </c>
      <c r="B75" s="21" t="s">
        <v>46</v>
      </c>
      <c r="C75" s="2">
        <v>40751</v>
      </c>
      <c r="D75">
        <v>78</v>
      </c>
      <c r="E75" t="s">
        <v>106</v>
      </c>
      <c r="F75">
        <v>1230</v>
      </c>
      <c r="G75">
        <v>7836</v>
      </c>
      <c r="H75">
        <v>7831</v>
      </c>
    </row>
    <row r="76" spans="1:10" ht="13" x14ac:dyDescent="0.3">
      <c r="A76">
        <v>2011</v>
      </c>
      <c r="B76" s="21" t="s">
        <v>46</v>
      </c>
      <c r="C76" s="2">
        <v>40737</v>
      </c>
      <c r="D76">
        <v>79</v>
      </c>
      <c r="E76" t="s">
        <v>98</v>
      </c>
      <c r="F76" s="21" t="s">
        <v>142</v>
      </c>
      <c r="G76" s="21" t="s">
        <v>143</v>
      </c>
      <c r="H76" s="21" t="s">
        <v>1</v>
      </c>
      <c r="J76" s="20"/>
    </row>
    <row r="77" spans="1:10" x14ac:dyDescent="0.25">
      <c r="A77">
        <v>2011</v>
      </c>
      <c r="B77" s="21" t="s">
        <v>46</v>
      </c>
      <c r="C77" s="2">
        <v>40737</v>
      </c>
      <c r="D77">
        <v>79</v>
      </c>
      <c r="E77" t="s">
        <v>99</v>
      </c>
      <c r="F77">
        <v>930</v>
      </c>
      <c r="G77" s="21" t="s">
        <v>1</v>
      </c>
      <c r="H77" s="21" t="s">
        <v>1</v>
      </c>
    </row>
    <row r="78" spans="1:10" x14ac:dyDescent="0.25">
      <c r="A78">
        <v>2011</v>
      </c>
      <c r="B78" s="21" t="s">
        <v>46</v>
      </c>
      <c r="C78" s="2">
        <v>40737</v>
      </c>
      <c r="D78">
        <v>79</v>
      </c>
      <c r="E78" t="s">
        <v>100</v>
      </c>
      <c r="F78" s="21" t="s">
        <v>144</v>
      </c>
      <c r="G78" s="21">
        <v>7352</v>
      </c>
      <c r="H78" s="21">
        <v>7357</v>
      </c>
    </row>
    <row r="79" spans="1:10" x14ac:dyDescent="0.25">
      <c r="A79">
        <v>2011</v>
      </c>
      <c r="B79" s="21" t="s">
        <v>46</v>
      </c>
      <c r="C79" s="2">
        <v>40737</v>
      </c>
      <c r="D79">
        <v>79</v>
      </c>
      <c r="E79" t="s">
        <v>101</v>
      </c>
      <c r="F79">
        <v>933</v>
      </c>
      <c r="G79" s="21">
        <v>7353</v>
      </c>
      <c r="H79" s="21">
        <v>7358</v>
      </c>
    </row>
    <row r="80" spans="1:10" x14ac:dyDescent="0.25">
      <c r="A80">
        <v>2011</v>
      </c>
      <c r="B80" s="21" t="s">
        <v>46</v>
      </c>
      <c r="C80" s="2">
        <v>40737</v>
      </c>
      <c r="D80">
        <v>79</v>
      </c>
      <c r="E80" t="s">
        <v>104</v>
      </c>
      <c r="F80">
        <v>934</v>
      </c>
      <c r="G80" s="21">
        <v>7354</v>
      </c>
      <c r="H80" s="21">
        <v>7359</v>
      </c>
    </row>
    <row r="81" spans="1:10" x14ac:dyDescent="0.25">
      <c r="A81">
        <v>2011</v>
      </c>
      <c r="B81" s="21" t="s">
        <v>46</v>
      </c>
      <c r="C81" s="2">
        <v>40737</v>
      </c>
      <c r="D81">
        <v>79</v>
      </c>
      <c r="E81" t="s">
        <v>106</v>
      </c>
      <c r="F81">
        <v>935</v>
      </c>
      <c r="G81" s="21" t="s">
        <v>145</v>
      </c>
      <c r="H81" s="21">
        <v>7360</v>
      </c>
    </row>
    <row r="82" spans="1:10" ht="13" x14ac:dyDescent="0.3">
      <c r="A82">
        <v>2011</v>
      </c>
      <c r="B82" s="21" t="s">
        <v>46</v>
      </c>
      <c r="C82" s="2">
        <v>40737</v>
      </c>
      <c r="D82">
        <v>80</v>
      </c>
      <c r="E82" t="s">
        <v>98</v>
      </c>
      <c r="F82">
        <v>944</v>
      </c>
      <c r="G82" s="21">
        <v>7388</v>
      </c>
      <c r="H82" s="21" t="s">
        <v>1</v>
      </c>
      <c r="J82" s="20"/>
    </row>
    <row r="83" spans="1:10" x14ac:dyDescent="0.25">
      <c r="A83">
        <v>2011</v>
      </c>
      <c r="B83" s="21" t="s">
        <v>46</v>
      </c>
      <c r="C83" s="2">
        <v>40737</v>
      </c>
      <c r="D83">
        <v>80</v>
      </c>
      <c r="E83" t="s">
        <v>99</v>
      </c>
      <c r="F83">
        <v>945</v>
      </c>
      <c r="G83" s="21" t="s">
        <v>1</v>
      </c>
      <c r="H83" s="21" t="s">
        <v>1</v>
      </c>
    </row>
    <row r="84" spans="1:10" x14ac:dyDescent="0.25">
      <c r="A84">
        <v>2011</v>
      </c>
      <c r="B84" s="21" t="s">
        <v>46</v>
      </c>
      <c r="C84" s="2">
        <v>40737</v>
      </c>
      <c r="D84">
        <v>80</v>
      </c>
      <c r="E84" t="s">
        <v>100</v>
      </c>
      <c r="F84">
        <v>946</v>
      </c>
      <c r="G84" s="21">
        <v>7392</v>
      </c>
      <c r="H84" s="21">
        <v>7387</v>
      </c>
    </row>
    <row r="85" spans="1:10" x14ac:dyDescent="0.25">
      <c r="A85">
        <v>2011</v>
      </c>
      <c r="B85" s="21" t="s">
        <v>46</v>
      </c>
      <c r="C85" s="2">
        <v>40737</v>
      </c>
      <c r="D85">
        <v>80</v>
      </c>
      <c r="E85" t="s">
        <v>101</v>
      </c>
      <c r="F85" s="21" t="s">
        <v>146</v>
      </c>
      <c r="G85" s="21">
        <v>7393</v>
      </c>
      <c r="H85" s="21">
        <v>7389</v>
      </c>
    </row>
    <row r="86" spans="1:10" x14ac:dyDescent="0.25">
      <c r="A86">
        <v>2011</v>
      </c>
      <c r="B86" s="21" t="s">
        <v>46</v>
      </c>
      <c r="C86" s="2">
        <v>40737</v>
      </c>
      <c r="D86">
        <v>80</v>
      </c>
      <c r="E86" t="s">
        <v>104</v>
      </c>
      <c r="F86">
        <v>949</v>
      </c>
      <c r="G86" s="21">
        <v>7394</v>
      </c>
      <c r="H86" s="21">
        <v>7390</v>
      </c>
    </row>
    <row r="87" spans="1:10" x14ac:dyDescent="0.25">
      <c r="A87">
        <v>2011</v>
      </c>
      <c r="B87" s="21" t="s">
        <v>46</v>
      </c>
      <c r="C87" s="2">
        <v>40737</v>
      </c>
      <c r="D87">
        <v>80</v>
      </c>
      <c r="E87" t="s">
        <v>106</v>
      </c>
      <c r="F87">
        <v>950</v>
      </c>
      <c r="G87" s="21">
        <v>7395</v>
      </c>
      <c r="H87" s="21">
        <v>7391</v>
      </c>
    </row>
    <row r="88" spans="1:10" ht="13" x14ac:dyDescent="0.3">
      <c r="A88">
        <v>2011</v>
      </c>
      <c r="B88" s="21" t="s">
        <v>46</v>
      </c>
      <c r="C88" s="2">
        <v>40737</v>
      </c>
      <c r="D88">
        <v>81</v>
      </c>
      <c r="E88" t="s">
        <v>98</v>
      </c>
      <c r="F88">
        <v>936</v>
      </c>
      <c r="G88" s="21">
        <v>7361</v>
      </c>
      <c r="H88" s="21" t="s">
        <v>1</v>
      </c>
      <c r="J88" s="20"/>
    </row>
    <row r="89" spans="1:10" x14ac:dyDescent="0.25">
      <c r="A89">
        <v>2011</v>
      </c>
      <c r="B89" s="21" t="s">
        <v>46</v>
      </c>
      <c r="C89" s="2">
        <v>40737</v>
      </c>
      <c r="D89">
        <v>81</v>
      </c>
      <c r="E89" t="s">
        <v>99</v>
      </c>
      <c r="F89">
        <v>937</v>
      </c>
      <c r="G89" s="21" t="s">
        <v>1</v>
      </c>
      <c r="H89" s="21" t="s">
        <v>1</v>
      </c>
    </row>
    <row r="90" spans="1:10" x14ac:dyDescent="0.25">
      <c r="A90">
        <v>2011</v>
      </c>
      <c r="B90" s="21" t="s">
        <v>46</v>
      </c>
      <c r="C90" s="2">
        <v>40737</v>
      </c>
      <c r="D90">
        <v>81</v>
      </c>
      <c r="E90" t="s">
        <v>100</v>
      </c>
      <c r="F90">
        <v>938</v>
      </c>
      <c r="G90" s="21">
        <v>7383</v>
      </c>
      <c r="H90" s="21" t="s">
        <v>147</v>
      </c>
    </row>
    <row r="91" spans="1:10" x14ac:dyDescent="0.25">
      <c r="A91">
        <v>2011</v>
      </c>
      <c r="B91" s="21" t="s">
        <v>46</v>
      </c>
      <c r="C91" s="2">
        <v>40737</v>
      </c>
      <c r="D91">
        <v>81</v>
      </c>
      <c r="E91" t="s">
        <v>101</v>
      </c>
      <c r="F91">
        <v>939</v>
      </c>
      <c r="G91" s="21">
        <v>7384</v>
      </c>
      <c r="H91">
        <v>7365</v>
      </c>
    </row>
    <row r="92" spans="1:10" x14ac:dyDescent="0.25">
      <c r="A92">
        <v>2011</v>
      </c>
      <c r="B92" s="21" t="s">
        <v>46</v>
      </c>
      <c r="C92" s="2">
        <v>40737</v>
      </c>
      <c r="D92">
        <v>81</v>
      </c>
      <c r="E92" t="s">
        <v>104</v>
      </c>
      <c r="F92">
        <v>940</v>
      </c>
      <c r="G92" s="21">
        <v>7385</v>
      </c>
      <c r="H92">
        <v>7372</v>
      </c>
    </row>
    <row r="93" spans="1:10" x14ac:dyDescent="0.25">
      <c r="A93">
        <v>2011</v>
      </c>
      <c r="B93" s="21" t="s">
        <v>46</v>
      </c>
      <c r="C93" s="2">
        <v>40737</v>
      </c>
      <c r="D93">
        <v>81</v>
      </c>
      <c r="E93" t="s">
        <v>106</v>
      </c>
      <c r="F93">
        <v>941</v>
      </c>
      <c r="G93" s="21">
        <v>7386</v>
      </c>
      <c r="H93">
        <v>7381</v>
      </c>
    </row>
    <row r="94" spans="1:10" ht="13" x14ac:dyDescent="0.3">
      <c r="A94">
        <v>2011</v>
      </c>
      <c r="B94" s="21" t="s">
        <v>46</v>
      </c>
      <c r="C94" s="2">
        <v>40737</v>
      </c>
      <c r="D94">
        <v>103</v>
      </c>
      <c r="E94" t="s">
        <v>98</v>
      </c>
      <c r="F94">
        <v>909</v>
      </c>
      <c r="G94">
        <v>7327</v>
      </c>
      <c r="H94" s="21" t="s">
        <v>1</v>
      </c>
      <c r="J94" s="20"/>
    </row>
    <row r="95" spans="1:10" x14ac:dyDescent="0.25">
      <c r="A95">
        <v>2011</v>
      </c>
      <c r="B95" s="21" t="s">
        <v>46</v>
      </c>
      <c r="C95" s="2">
        <v>40737</v>
      </c>
      <c r="D95">
        <v>103</v>
      </c>
      <c r="E95" t="s">
        <v>99</v>
      </c>
      <c r="F95">
        <v>910</v>
      </c>
      <c r="G95" s="21" t="s">
        <v>1</v>
      </c>
      <c r="H95" s="21" t="s">
        <v>1</v>
      </c>
    </row>
    <row r="96" spans="1:10" x14ac:dyDescent="0.25">
      <c r="A96">
        <v>2011</v>
      </c>
      <c r="B96" s="21" t="s">
        <v>46</v>
      </c>
      <c r="C96" s="2">
        <v>40737</v>
      </c>
      <c r="D96">
        <v>103</v>
      </c>
      <c r="E96" t="s">
        <v>100</v>
      </c>
      <c r="F96">
        <v>911</v>
      </c>
      <c r="G96" s="21" t="s">
        <v>148</v>
      </c>
      <c r="H96" s="21" t="s">
        <v>149</v>
      </c>
    </row>
    <row r="97" spans="1:10" x14ac:dyDescent="0.25">
      <c r="A97">
        <v>2011</v>
      </c>
      <c r="B97" s="21" t="s">
        <v>46</v>
      </c>
      <c r="C97" s="2">
        <v>40737</v>
      </c>
      <c r="D97">
        <v>103</v>
      </c>
      <c r="E97" t="s">
        <v>101</v>
      </c>
      <c r="F97">
        <v>912</v>
      </c>
      <c r="G97" s="21">
        <v>7336</v>
      </c>
      <c r="H97" s="21">
        <v>7330</v>
      </c>
    </row>
    <row r="98" spans="1:10" x14ac:dyDescent="0.25">
      <c r="A98">
        <v>2011</v>
      </c>
      <c r="B98" s="21" t="s">
        <v>46</v>
      </c>
      <c r="C98" s="2">
        <v>40737</v>
      </c>
      <c r="D98">
        <v>103</v>
      </c>
      <c r="E98" t="s">
        <v>104</v>
      </c>
      <c r="F98">
        <v>914</v>
      </c>
      <c r="G98" s="21">
        <v>7337</v>
      </c>
      <c r="H98" s="21">
        <v>7331</v>
      </c>
    </row>
    <row r="99" spans="1:10" x14ac:dyDescent="0.25">
      <c r="A99">
        <v>2011</v>
      </c>
      <c r="B99" s="21" t="s">
        <v>46</v>
      </c>
      <c r="C99" s="2">
        <v>40737</v>
      </c>
      <c r="D99">
        <v>103</v>
      </c>
      <c r="E99" t="s">
        <v>106</v>
      </c>
      <c r="F99">
        <v>915</v>
      </c>
      <c r="G99" s="21">
        <v>7338</v>
      </c>
      <c r="H99" s="21" t="s">
        <v>150</v>
      </c>
    </row>
    <row r="100" spans="1:10" ht="13" x14ac:dyDescent="0.3">
      <c r="A100">
        <v>2011</v>
      </c>
      <c r="B100" s="21" t="s">
        <v>46</v>
      </c>
      <c r="C100" s="2">
        <v>40737</v>
      </c>
      <c r="D100">
        <v>104</v>
      </c>
      <c r="E100" t="s">
        <v>98</v>
      </c>
      <c r="F100">
        <v>901</v>
      </c>
      <c r="G100" s="21">
        <v>7312</v>
      </c>
      <c r="H100" s="21" t="s">
        <v>1</v>
      </c>
      <c r="J100" s="20"/>
    </row>
    <row r="101" spans="1:10" x14ac:dyDescent="0.25">
      <c r="A101">
        <v>2011</v>
      </c>
      <c r="B101" s="21" t="s">
        <v>46</v>
      </c>
      <c r="C101" s="2">
        <v>40737</v>
      </c>
      <c r="D101">
        <v>104</v>
      </c>
      <c r="E101" t="s">
        <v>99</v>
      </c>
      <c r="F101">
        <v>902</v>
      </c>
      <c r="G101" s="21" t="s">
        <v>1</v>
      </c>
      <c r="H101" s="21" t="s">
        <v>1</v>
      </c>
    </row>
    <row r="102" spans="1:10" x14ac:dyDescent="0.25">
      <c r="A102">
        <v>2011</v>
      </c>
      <c r="B102" s="21" t="s">
        <v>46</v>
      </c>
      <c r="C102" s="2">
        <v>40737</v>
      </c>
      <c r="D102">
        <v>104</v>
      </c>
      <c r="E102" t="s">
        <v>100</v>
      </c>
      <c r="F102">
        <v>903</v>
      </c>
      <c r="G102" s="21">
        <v>7322</v>
      </c>
      <c r="H102" s="21">
        <v>7313</v>
      </c>
      <c r="I102" s="21" t="s">
        <v>151</v>
      </c>
    </row>
    <row r="103" spans="1:10" x14ac:dyDescent="0.25">
      <c r="A103">
        <v>2011</v>
      </c>
      <c r="B103" s="21" t="s">
        <v>46</v>
      </c>
      <c r="C103" s="2">
        <v>40737</v>
      </c>
      <c r="D103">
        <v>104</v>
      </c>
      <c r="E103" t="s">
        <v>101</v>
      </c>
      <c r="F103">
        <v>904</v>
      </c>
      <c r="G103" s="21">
        <v>7323</v>
      </c>
      <c r="H103" s="21">
        <v>7318</v>
      </c>
      <c r="I103" s="21"/>
    </row>
    <row r="104" spans="1:10" x14ac:dyDescent="0.25">
      <c r="A104">
        <v>2011</v>
      </c>
      <c r="B104" s="21" t="s">
        <v>46</v>
      </c>
      <c r="C104" s="2">
        <v>40737</v>
      </c>
      <c r="D104">
        <v>104</v>
      </c>
      <c r="E104" t="s">
        <v>104</v>
      </c>
      <c r="F104">
        <v>905</v>
      </c>
      <c r="G104" t="s">
        <v>152</v>
      </c>
      <c r="H104" t="s">
        <v>153</v>
      </c>
    </row>
    <row r="105" spans="1:10" x14ac:dyDescent="0.25">
      <c r="A105">
        <v>2011</v>
      </c>
      <c r="B105" s="21" t="s">
        <v>46</v>
      </c>
      <c r="C105" s="2">
        <v>40737</v>
      </c>
      <c r="D105">
        <v>104</v>
      </c>
      <c r="E105" t="s">
        <v>106</v>
      </c>
      <c r="F105">
        <v>906</v>
      </c>
      <c r="G105">
        <v>7326</v>
      </c>
      <c r="H105">
        <v>7321</v>
      </c>
    </row>
    <row r="106" spans="1:10" ht="13" x14ac:dyDescent="0.3">
      <c r="A106">
        <v>2011</v>
      </c>
      <c r="B106" s="21" t="s">
        <v>46</v>
      </c>
      <c r="C106" s="2">
        <v>40737</v>
      </c>
      <c r="D106">
        <v>105</v>
      </c>
      <c r="E106" t="s">
        <v>98</v>
      </c>
      <c r="F106">
        <v>917</v>
      </c>
      <c r="G106" s="21">
        <v>7339</v>
      </c>
      <c r="H106" s="21" t="s">
        <v>1</v>
      </c>
      <c r="I106" s="21"/>
      <c r="J106" s="20"/>
    </row>
    <row r="107" spans="1:10" x14ac:dyDescent="0.25">
      <c r="A107">
        <v>2011</v>
      </c>
      <c r="B107" s="21" t="s">
        <v>46</v>
      </c>
      <c r="C107" s="2">
        <v>40737</v>
      </c>
      <c r="D107">
        <v>105</v>
      </c>
      <c r="E107" t="s">
        <v>99</v>
      </c>
      <c r="F107">
        <v>918</v>
      </c>
      <c r="G107" s="21" t="s">
        <v>1</v>
      </c>
      <c r="H107" s="21" t="s">
        <v>1</v>
      </c>
    </row>
    <row r="108" spans="1:10" x14ac:dyDescent="0.25">
      <c r="A108">
        <v>2011</v>
      </c>
      <c r="B108" s="21" t="s">
        <v>46</v>
      </c>
      <c r="C108" s="2">
        <v>40737</v>
      </c>
      <c r="D108">
        <v>105</v>
      </c>
      <c r="E108" t="s">
        <v>100</v>
      </c>
      <c r="F108">
        <v>919</v>
      </c>
      <c r="G108" s="21">
        <v>7346</v>
      </c>
      <c r="H108" s="21">
        <v>7340</v>
      </c>
    </row>
    <row r="109" spans="1:10" x14ac:dyDescent="0.25">
      <c r="A109">
        <v>2011</v>
      </c>
      <c r="B109" s="21" t="s">
        <v>46</v>
      </c>
      <c r="C109" s="2">
        <v>40737</v>
      </c>
      <c r="D109">
        <v>105</v>
      </c>
      <c r="E109" t="s">
        <v>101</v>
      </c>
      <c r="F109">
        <v>920</v>
      </c>
      <c r="G109" s="21">
        <v>7347</v>
      </c>
      <c r="H109" s="21">
        <v>7341</v>
      </c>
    </row>
    <row r="110" spans="1:10" x14ac:dyDescent="0.25">
      <c r="A110">
        <v>2011</v>
      </c>
      <c r="B110" s="21" t="s">
        <v>46</v>
      </c>
      <c r="C110" s="2">
        <v>40737</v>
      </c>
      <c r="D110">
        <v>105</v>
      </c>
      <c r="E110" t="s">
        <v>104</v>
      </c>
      <c r="F110">
        <v>921</v>
      </c>
      <c r="G110" s="21">
        <v>7348</v>
      </c>
      <c r="H110" s="21" t="s">
        <v>154</v>
      </c>
    </row>
    <row r="111" spans="1:10" x14ac:dyDescent="0.25">
      <c r="A111">
        <v>2011</v>
      </c>
      <c r="B111" s="21" t="s">
        <v>46</v>
      </c>
      <c r="C111" s="2">
        <v>40737</v>
      </c>
      <c r="D111">
        <v>105</v>
      </c>
      <c r="E111" t="s">
        <v>106</v>
      </c>
      <c r="F111">
        <v>922</v>
      </c>
      <c r="G111" s="21">
        <v>7349</v>
      </c>
      <c r="H111" s="21" t="s">
        <v>155</v>
      </c>
    </row>
    <row r="112" spans="1:10" ht="13" x14ac:dyDescent="0.3">
      <c r="A112">
        <v>2011</v>
      </c>
      <c r="B112" s="21" t="s">
        <v>46</v>
      </c>
      <c r="C112" s="2">
        <v>40737</v>
      </c>
      <c r="D112">
        <v>106</v>
      </c>
      <c r="E112" t="s">
        <v>98</v>
      </c>
      <c r="F112">
        <v>872</v>
      </c>
      <c r="G112" s="21">
        <v>7283</v>
      </c>
      <c r="H112" s="21" t="s">
        <v>1</v>
      </c>
      <c r="J112" s="20"/>
    </row>
    <row r="113" spans="1:10" x14ac:dyDescent="0.25">
      <c r="A113">
        <v>2011</v>
      </c>
      <c r="B113" s="21" t="s">
        <v>46</v>
      </c>
      <c r="C113" s="2">
        <v>40737</v>
      </c>
      <c r="D113">
        <v>106</v>
      </c>
      <c r="E113" t="s">
        <v>99</v>
      </c>
      <c r="F113">
        <v>873</v>
      </c>
      <c r="G113" s="21" t="s">
        <v>1</v>
      </c>
      <c r="H113" s="21" t="s">
        <v>1</v>
      </c>
    </row>
    <row r="114" spans="1:10" x14ac:dyDescent="0.25">
      <c r="A114">
        <v>2011</v>
      </c>
      <c r="B114" s="21" t="s">
        <v>46</v>
      </c>
      <c r="C114" s="2">
        <v>40737</v>
      </c>
      <c r="D114">
        <v>106</v>
      </c>
      <c r="E114" t="s">
        <v>100</v>
      </c>
      <c r="F114">
        <v>874</v>
      </c>
      <c r="G114" s="21">
        <v>7288</v>
      </c>
      <c r="H114" s="21">
        <v>7284</v>
      </c>
      <c r="I114" s="21"/>
    </row>
    <row r="115" spans="1:10" x14ac:dyDescent="0.25">
      <c r="A115">
        <v>2011</v>
      </c>
      <c r="B115" s="21" t="s">
        <v>46</v>
      </c>
      <c r="C115" s="2">
        <v>40737</v>
      </c>
      <c r="D115">
        <v>106</v>
      </c>
      <c r="E115" t="s">
        <v>101</v>
      </c>
      <c r="F115">
        <v>875</v>
      </c>
      <c r="G115" s="21">
        <v>7289</v>
      </c>
      <c r="H115" s="21">
        <v>7285</v>
      </c>
    </row>
    <row r="116" spans="1:10" x14ac:dyDescent="0.25">
      <c r="A116">
        <v>2011</v>
      </c>
      <c r="B116" s="21" t="s">
        <v>46</v>
      </c>
      <c r="C116" s="2">
        <v>40737</v>
      </c>
      <c r="D116">
        <v>106</v>
      </c>
      <c r="E116" t="s">
        <v>104</v>
      </c>
      <c r="F116">
        <v>876</v>
      </c>
      <c r="G116" s="21" t="s">
        <v>156</v>
      </c>
      <c r="H116" s="21">
        <v>7286</v>
      </c>
    </row>
    <row r="117" spans="1:10" x14ac:dyDescent="0.25">
      <c r="A117">
        <v>2011</v>
      </c>
      <c r="B117" s="21" t="s">
        <v>46</v>
      </c>
      <c r="C117" s="2">
        <v>40737</v>
      </c>
      <c r="D117">
        <v>106</v>
      </c>
      <c r="E117" t="s">
        <v>106</v>
      </c>
      <c r="F117">
        <v>877</v>
      </c>
      <c r="G117" s="21">
        <v>7292</v>
      </c>
      <c r="H117" s="21">
        <v>7287</v>
      </c>
    </row>
    <row r="118" spans="1:10" ht="13" x14ac:dyDescent="0.3">
      <c r="A118">
        <v>2011</v>
      </c>
      <c r="B118" s="21" t="s">
        <v>46</v>
      </c>
      <c r="C118" s="2">
        <v>40737</v>
      </c>
      <c r="D118">
        <v>107</v>
      </c>
      <c r="E118" t="s">
        <v>98</v>
      </c>
      <c r="F118" s="21" t="s">
        <v>157</v>
      </c>
      <c r="G118" s="21">
        <v>7293</v>
      </c>
      <c r="H118" s="21" t="s">
        <v>1</v>
      </c>
      <c r="J118" s="20"/>
    </row>
    <row r="119" spans="1:10" x14ac:dyDescent="0.25">
      <c r="A119">
        <v>2011</v>
      </c>
      <c r="B119" s="21" t="s">
        <v>46</v>
      </c>
      <c r="C119" s="2">
        <v>40737</v>
      </c>
      <c r="D119">
        <v>107</v>
      </c>
      <c r="E119" t="s">
        <v>99</v>
      </c>
      <c r="F119" s="21" t="s">
        <v>158</v>
      </c>
      <c r="G119" s="21" t="s">
        <v>1</v>
      </c>
      <c r="H119" s="21" t="s">
        <v>1</v>
      </c>
    </row>
    <row r="120" spans="1:10" x14ac:dyDescent="0.25">
      <c r="A120">
        <v>2011</v>
      </c>
      <c r="B120" s="21" t="s">
        <v>46</v>
      </c>
      <c r="C120" s="2">
        <v>40737</v>
      </c>
      <c r="D120">
        <v>107</v>
      </c>
      <c r="E120" t="s">
        <v>100</v>
      </c>
      <c r="F120">
        <v>886</v>
      </c>
      <c r="G120" s="21">
        <v>7298</v>
      </c>
      <c r="H120" s="21">
        <v>7294</v>
      </c>
    </row>
    <row r="121" spans="1:10" x14ac:dyDescent="0.25">
      <c r="A121">
        <v>2011</v>
      </c>
      <c r="B121" s="21" t="s">
        <v>46</v>
      </c>
      <c r="C121" s="2">
        <v>40737</v>
      </c>
      <c r="D121">
        <v>107</v>
      </c>
      <c r="E121" t="s">
        <v>101</v>
      </c>
      <c r="F121" s="21" t="s">
        <v>159</v>
      </c>
      <c r="G121" s="21">
        <v>7299</v>
      </c>
      <c r="H121" s="21">
        <v>7295</v>
      </c>
    </row>
    <row r="122" spans="1:10" x14ac:dyDescent="0.25">
      <c r="A122">
        <v>2011</v>
      </c>
      <c r="B122" s="21" t="s">
        <v>46</v>
      </c>
      <c r="C122" s="2">
        <v>40737</v>
      </c>
      <c r="D122">
        <v>107</v>
      </c>
      <c r="E122" t="s">
        <v>104</v>
      </c>
      <c r="F122">
        <v>889</v>
      </c>
      <c r="G122" s="21">
        <v>7300</v>
      </c>
      <c r="H122" s="21">
        <v>7296</v>
      </c>
    </row>
    <row r="123" spans="1:10" x14ac:dyDescent="0.25">
      <c r="A123">
        <v>2011</v>
      </c>
      <c r="B123" s="21" t="s">
        <v>46</v>
      </c>
      <c r="C123" s="2">
        <v>40737</v>
      </c>
      <c r="D123">
        <v>107</v>
      </c>
      <c r="E123" t="s">
        <v>106</v>
      </c>
      <c r="F123">
        <v>890</v>
      </c>
      <c r="G123" s="21">
        <v>7301</v>
      </c>
      <c r="H123" s="21">
        <v>7297</v>
      </c>
      <c r="I123" s="21"/>
    </row>
    <row r="124" spans="1:10" ht="13" x14ac:dyDescent="0.3">
      <c r="A124">
        <v>2011</v>
      </c>
      <c r="B124" s="21" t="s">
        <v>46</v>
      </c>
      <c r="C124" s="2">
        <v>40737</v>
      </c>
      <c r="D124">
        <v>108</v>
      </c>
      <c r="E124" t="s">
        <v>98</v>
      </c>
      <c r="F124">
        <v>892</v>
      </c>
      <c r="G124" s="21">
        <v>7302</v>
      </c>
      <c r="H124" s="21" t="s">
        <v>1</v>
      </c>
      <c r="J124" s="20"/>
    </row>
    <row r="125" spans="1:10" x14ac:dyDescent="0.25">
      <c r="A125">
        <v>2011</v>
      </c>
      <c r="B125" s="21" t="s">
        <v>46</v>
      </c>
      <c r="C125" s="2">
        <v>40737</v>
      </c>
      <c r="D125">
        <v>108</v>
      </c>
      <c r="E125" t="s">
        <v>99</v>
      </c>
      <c r="F125">
        <v>893</v>
      </c>
      <c r="G125" s="21" t="s">
        <v>1</v>
      </c>
      <c r="H125" s="21" t="s">
        <v>1</v>
      </c>
    </row>
    <row r="126" spans="1:10" x14ac:dyDescent="0.25">
      <c r="A126">
        <v>2011</v>
      </c>
      <c r="B126" s="21" t="s">
        <v>46</v>
      </c>
      <c r="C126" s="2">
        <v>40737</v>
      </c>
      <c r="D126">
        <v>108</v>
      </c>
      <c r="E126" t="s">
        <v>100</v>
      </c>
      <c r="F126">
        <v>894</v>
      </c>
      <c r="G126" s="21">
        <v>7307</v>
      </c>
      <c r="H126" s="21">
        <v>7303</v>
      </c>
    </row>
    <row r="127" spans="1:10" x14ac:dyDescent="0.25">
      <c r="A127">
        <v>2011</v>
      </c>
      <c r="B127" s="21" t="s">
        <v>46</v>
      </c>
      <c r="C127" s="2">
        <v>40737</v>
      </c>
      <c r="D127">
        <v>108</v>
      </c>
      <c r="E127" t="s">
        <v>101</v>
      </c>
      <c r="F127">
        <v>895</v>
      </c>
      <c r="G127" s="21">
        <v>7308</v>
      </c>
      <c r="H127" s="21">
        <v>7304</v>
      </c>
    </row>
    <row r="128" spans="1:10" x14ac:dyDescent="0.25">
      <c r="A128">
        <v>2011</v>
      </c>
      <c r="B128" s="21" t="s">
        <v>46</v>
      </c>
      <c r="C128" s="2">
        <v>40737</v>
      </c>
      <c r="D128">
        <v>108</v>
      </c>
      <c r="E128" t="s">
        <v>104</v>
      </c>
      <c r="F128">
        <v>896</v>
      </c>
      <c r="G128" s="21" t="s">
        <v>160</v>
      </c>
      <c r="H128" s="21">
        <v>7305</v>
      </c>
    </row>
    <row r="129" spans="1:10" x14ac:dyDescent="0.25">
      <c r="A129">
        <v>2011</v>
      </c>
      <c r="B129" s="21" t="s">
        <v>46</v>
      </c>
      <c r="C129" s="2">
        <v>40737</v>
      </c>
      <c r="D129">
        <v>108</v>
      </c>
      <c r="E129" t="s">
        <v>106</v>
      </c>
      <c r="F129" s="21" t="s">
        <v>161</v>
      </c>
      <c r="G129" s="21">
        <v>7311</v>
      </c>
      <c r="H129" s="21">
        <v>7306</v>
      </c>
    </row>
    <row r="130" spans="1:10" ht="13" x14ac:dyDescent="0.3">
      <c r="A130">
        <v>2011</v>
      </c>
      <c r="B130" s="21" t="s">
        <v>46</v>
      </c>
      <c r="C130" s="2">
        <v>40744</v>
      </c>
      <c r="D130">
        <v>109</v>
      </c>
      <c r="E130" t="s">
        <v>98</v>
      </c>
      <c r="F130">
        <v>1075</v>
      </c>
      <c r="G130" s="21">
        <v>7608</v>
      </c>
      <c r="H130" s="21" t="s">
        <v>1</v>
      </c>
      <c r="J130" s="20"/>
    </row>
    <row r="131" spans="1:10" x14ac:dyDescent="0.25">
      <c r="A131">
        <v>2011</v>
      </c>
      <c r="B131" s="21" t="s">
        <v>46</v>
      </c>
      <c r="C131" s="2">
        <v>40744</v>
      </c>
      <c r="D131">
        <v>109</v>
      </c>
      <c r="E131" t="s">
        <v>99</v>
      </c>
      <c r="F131">
        <v>1076</v>
      </c>
      <c r="G131" s="21" t="s">
        <v>1</v>
      </c>
      <c r="H131" s="21" t="s">
        <v>1</v>
      </c>
    </row>
    <row r="132" spans="1:10" x14ac:dyDescent="0.25">
      <c r="A132">
        <v>2011</v>
      </c>
      <c r="B132" s="21" t="s">
        <v>46</v>
      </c>
      <c r="C132" s="2">
        <v>40744</v>
      </c>
      <c r="D132">
        <v>109</v>
      </c>
      <c r="E132" t="s">
        <v>100</v>
      </c>
      <c r="F132">
        <v>1077</v>
      </c>
      <c r="G132" s="21">
        <v>7613</v>
      </c>
      <c r="H132" s="21">
        <v>7609</v>
      </c>
    </row>
    <row r="133" spans="1:10" x14ac:dyDescent="0.25">
      <c r="A133">
        <v>2011</v>
      </c>
      <c r="B133" s="21" t="s">
        <v>46</v>
      </c>
      <c r="C133" s="2">
        <v>40744</v>
      </c>
      <c r="D133">
        <v>109</v>
      </c>
      <c r="E133" t="s">
        <v>101</v>
      </c>
      <c r="F133">
        <v>1078</v>
      </c>
      <c r="G133" s="21">
        <v>7614</v>
      </c>
      <c r="H133" s="21">
        <v>7610</v>
      </c>
    </row>
    <row r="134" spans="1:10" x14ac:dyDescent="0.25">
      <c r="A134">
        <v>2011</v>
      </c>
      <c r="B134" s="21" t="s">
        <v>46</v>
      </c>
      <c r="C134" s="2">
        <v>40744</v>
      </c>
      <c r="D134">
        <v>109</v>
      </c>
      <c r="E134" t="s">
        <v>104</v>
      </c>
      <c r="F134">
        <v>1079</v>
      </c>
      <c r="G134" s="21">
        <v>7615</v>
      </c>
      <c r="H134" s="21">
        <v>7611</v>
      </c>
    </row>
    <row r="135" spans="1:10" x14ac:dyDescent="0.25">
      <c r="A135">
        <v>2011</v>
      </c>
      <c r="B135" s="21" t="s">
        <v>46</v>
      </c>
      <c r="C135" s="2">
        <v>40744</v>
      </c>
      <c r="D135">
        <v>109</v>
      </c>
      <c r="E135" t="s">
        <v>106</v>
      </c>
      <c r="F135">
        <v>1080</v>
      </c>
      <c r="G135" s="21" t="s">
        <v>162</v>
      </c>
      <c r="H135" s="21">
        <v>7612</v>
      </c>
    </row>
    <row r="136" spans="1:10" ht="13" x14ac:dyDescent="0.3">
      <c r="A136">
        <v>2011</v>
      </c>
      <c r="B136" s="21" t="s">
        <v>46</v>
      </c>
      <c r="C136" s="2">
        <v>40745</v>
      </c>
      <c r="D136">
        <v>110</v>
      </c>
      <c r="E136" t="s">
        <v>98</v>
      </c>
      <c r="F136">
        <v>1102</v>
      </c>
      <c r="G136" s="21">
        <v>7652</v>
      </c>
      <c r="H136" s="21" t="s">
        <v>1</v>
      </c>
      <c r="I136" s="21" t="s">
        <v>163</v>
      </c>
      <c r="J136" s="20"/>
    </row>
    <row r="137" spans="1:10" x14ac:dyDescent="0.25">
      <c r="A137">
        <v>2011</v>
      </c>
      <c r="B137" s="21" t="s">
        <v>46</v>
      </c>
      <c r="C137" s="2">
        <v>40745</v>
      </c>
      <c r="D137">
        <v>110</v>
      </c>
      <c r="E137" t="s">
        <v>99</v>
      </c>
      <c r="F137">
        <v>1103</v>
      </c>
      <c r="G137" s="21" t="s">
        <v>1</v>
      </c>
      <c r="H137" s="21" t="s">
        <v>1</v>
      </c>
      <c r="I137" s="21" t="s">
        <v>164</v>
      </c>
    </row>
    <row r="138" spans="1:10" x14ac:dyDescent="0.25">
      <c r="A138">
        <v>2011</v>
      </c>
      <c r="B138" s="21" t="s">
        <v>46</v>
      </c>
      <c r="C138" s="2">
        <v>40745</v>
      </c>
      <c r="D138">
        <v>110</v>
      </c>
      <c r="E138" t="s">
        <v>100</v>
      </c>
      <c r="F138">
        <v>1104</v>
      </c>
      <c r="G138" s="21">
        <v>7653</v>
      </c>
      <c r="H138" s="21">
        <v>7658</v>
      </c>
    </row>
    <row r="139" spans="1:10" x14ac:dyDescent="0.25">
      <c r="A139">
        <v>2011</v>
      </c>
      <c r="B139" s="21" t="s">
        <v>46</v>
      </c>
      <c r="C139" s="2">
        <v>40745</v>
      </c>
      <c r="D139">
        <v>110</v>
      </c>
      <c r="E139" t="s">
        <v>101</v>
      </c>
      <c r="F139">
        <v>1105</v>
      </c>
      <c r="G139" s="21">
        <v>7654</v>
      </c>
      <c r="H139" s="21">
        <v>7659</v>
      </c>
    </row>
    <row r="140" spans="1:10" x14ac:dyDescent="0.25">
      <c r="A140">
        <v>2011</v>
      </c>
      <c r="B140" s="21" t="s">
        <v>46</v>
      </c>
      <c r="C140" s="2">
        <v>40745</v>
      </c>
      <c r="D140">
        <v>110</v>
      </c>
      <c r="E140" t="s">
        <v>104</v>
      </c>
      <c r="F140">
        <v>1106</v>
      </c>
      <c r="G140" s="21" t="s">
        <v>165</v>
      </c>
      <c r="H140" s="21">
        <v>7660</v>
      </c>
      <c r="I140" s="21" t="s">
        <v>166</v>
      </c>
    </row>
    <row r="141" spans="1:10" x14ac:dyDescent="0.25">
      <c r="A141">
        <v>2011</v>
      </c>
      <c r="B141" s="21" t="s">
        <v>46</v>
      </c>
      <c r="C141" s="2">
        <v>40745</v>
      </c>
      <c r="D141">
        <v>110</v>
      </c>
      <c r="E141" t="s">
        <v>106</v>
      </c>
      <c r="F141">
        <v>1107</v>
      </c>
      <c r="G141" s="21">
        <v>7657</v>
      </c>
      <c r="H141" s="21">
        <v>7661</v>
      </c>
      <c r="I141" s="21" t="s">
        <v>167</v>
      </c>
    </row>
    <row r="142" spans="1:10" ht="13" x14ac:dyDescent="0.3">
      <c r="A142">
        <v>2011</v>
      </c>
      <c r="B142" s="21" t="s">
        <v>46</v>
      </c>
      <c r="C142" s="2">
        <v>40744</v>
      </c>
      <c r="D142">
        <v>111</v>
      </c>
      <c r="E142" t="s">
        <v>98</v>
      </c>
      <c r="F142">
        <v>1081</v>
      </c>
      <c r="G142" s="21">
        <v>7618</v>
      </c>
      <c r="H142" s="21" t="s">
        <v>1</v>
      </c>
      <c r="J142" s="20"/>
    </row>
    <row r="143" spans="1:10" x14ac:dyDescent="0.25">
      <c r="A143">
        <v>2011</v>
      </c>
      <c r="B143" s="21" t="s">
        <v>46</v>
      </c>
      <c r="C143" s="2">
        <v>40744</v>
      </c>
      <c r="D143">
        <v>111</v>
      </c>
      <c r="E143" t="s">
        <v>99</v>
      </c>
      <c r="F143">
        <v>1082</v>
      </c>
      <c r="G143" s="21" t="s">
        <v>1</v>
      </c>
      <c r="H143" s="21" t="s">
        <v>1</v>
      </c>
    </row>
    <row r="144" spans="1:10" x14ac:dyDescent="0.25">
      <c r="A144">
        <v>2011</v>
      </c>
      <c r="B144" s="21" t="s">
        <v>46</v>
      </c>
      <c r="C144" s="2">
        <v>40744</v>
      </c>
      <c r="D144">
        <v>111</v>
      </c>
      <c r="E144" t="s">
        <v>100</v>
      </c>
      <c r="F144">
        <v>1083</v>
      </c>
      <c r="G144" s="21">
        <v>7624</v>
      </c>
      <c r="H144" s="21" t="s">
        <v>168</v>
      </c>
    </row>
    <row r="145" spans="1:8" x14ac:dyDescent="0.25">
      <c r="A145">
        <v>2011</v>
      </c>
      <c r="B145" s="21" t="s">
        <v>46</v>
      </c>
      <c r="C145" s="2">
        <v>40744</v>
      </c>
      <c r="D145">
        <v>111</v>
      </c>
      <c r="E145" t="s">
        <v>101</v>
      </c>
      <c r="F145">
        <v>1084</v>
      </c>
      <c r="G145" s="21">
        <v>7625</v>
      </c>
      <c r="H145" s="21">
        <v>7621</v>
      </c>
    </row>
    <row r="146" spans="1:8" x14ac:dyDescent="0.25">
      <c r="A146">
        <v>2011</v>
      </c>
      <c r="B146" s="21" t="s">
        <v>46</v>
      </c>
      <c r="C146" s="2">
        <v>40744</v>
      </c>
      <c r="D146">
        <v>111</v>
      </c>
      <c r="E146" t="s">
        <v>104</v>
      </c>
      <c r="F146">
        <v>1085</v>
      </c>
      <c r="G146" s="21">
        <v>7626</v>
      </c>
      <c r="H146" s="21">
        <v>7622</v>
      </c>
    </row>
    <row r="147" spans="1:8" x14ac:dyDescent="0.25">
      <c r="A147">
        <v>2011</v>
      </c>
      <c r="B147" s="21" t="s">
        <v>46</v>
      </c>
      <c r="C147" s="2">
        <v>40744</v>
      </c>
      <c r="D147">
        <v>111</v>
      </c>
      <c r="E147" t="s">
        <v>106</v>
      </c>
      <c r="F147">
        <v>1086</v>
      </c>
      <c r="G147" s="21">
        <v>7627</v>
      </c>
      <c r="H147" s="21">
        <v>7623</v>
      </c>
    </row>
  </sheetData>
  <phoneticPr fontId="1" type="noConversion"/>
  <pageMargins left="0.75" right="0.75" top="1" bottom="1" header="0.5" footer="0.5"/>
  <pageSetup orientation="portrait" horizontalDpi="4294967293" vertic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9"/>
  <sheetViews>
    <sheetView workbookViewId="0">
      <pane ySplit="4" topLeftCell="A5" activePane="bottomLeft" state="frozen"/>
      <selection pane="bottomLeft" activeCell="E14" sqref="E14"/>
    </sheetView>
  </sheetViews>
  <sheetFormatPr defaultRowHeight="12.5" x14ac:dyDescent="0.25"/>
  <cols>
    <col min="2" max="2" width="12.26953125" customWidth="1"/>
    <col min="3" max="3" width="9.1796875" style="2" customWidth="1"/>
    <col min="5" max="5" width="18.54296875" bestFit="1" customWidth="1"/>
  </cols>
  <sheetData>
    <row r="1" spans="1:13" x14ac:dyDescent="0.25">
      <c r="A1" s="2" t="s">
        <v>169</v>
      </c>
      <c r="D1" s="1"/>
      <c r="E1" s="1"/>
      <c r="F1" s="1"/>
      <c r="G1" s="1"/>
      <c r="H1" s="1"/>
      <c r="I1" s="1"/>
      <c r="J1" s="1"/>
      <c r="K1" s="1"/>
      <c r="L1" s="1"/>
    </row>
    <row r="2" spans="1:13" x14ac:dyDescent="0.25">
      <c r="A2" s="2" t="s">
        <v>170</v>
      </c>
      <c r="D2" s="1"/>
      <c r="E2" s="1"/>
      <c r="F2" s="1"/>
      <c r="G2" s="1"/>
      <c r="H2" s="1"/>
      <c r="I2" s="1"/>
      <c r="J2" s="1"/>
      <c r="K2" s="1"/>
      <c r="L2" s="1"/>
    </row>
    <row r="3" spans="1:13" x14ac:dyDescent="0.25">
      <c r="D3" s="1"/>
      <c r="E3" s="1"/>
      <c r="F3" s="1"/>
      <c r="G3" s="1"/>
      <c r="H3" s="1"/>
      <c r="I3" s="1"/>
      <c r="J3" s="1"/>
      <c r="K3" s="1"/>
      <c r="L3" s="1"/>
    </row>
    <row r="4" spans="1:13" ht="13" thickBot="1" x14ac:dyDescent="0.3">
      <c r="A4" s="25" t="s">
        <v>8</v>
      </c>
      <c r="B4" s="25" t="s">
        <v>9</v>
      </c>
      <c r="C4" s="11" t="s">
        <v>10</v>
      </c>
      <c r="D4" s="7" t="s">
        <v>11</v>
      </c>
      <c r="E4" s="7" t="s">
        <v>12</v>
      </c>
      <c r="F4" s="7" t="s">
        <v>171</v>
      </c>
      <c r="G4" s="22" t="s">
        <v>172</v>
      </c>
      <c r="H4" s="7" t="s">
        <v>173</v>
      </c>
      <c r="I4" s="22" t="s">
        <v>174</v>
      </c>
      <c r="J4" s="7" t="s">
        <v>175</v>
      </c>
      <c r="K4" s="22" t="s">
        <v>176</v>
      </c>
      <c r="L4" s="7" t="s">
        <v>177</v>
      </c>
      <c r="M4" s="7" t="s">
        <v>178</v>
      </c>
    </row>
    <row r="5" spans="1:13" ht="13" thickTop="1" x14ac:dyDescent="0.25">
      <c r="A5">
        <v>2011</v>
      </c>
      <c r="B5" t="s">
        <v>46</v>
      </c>
      <c r="C5" s="2">
        <v>40745</v>
      </c>
      <c r="D5">
        <v>67</v>
      </c>
      <c r="E5" t="s">
        <v>179</v>
      </c>
      <c r="F5">
        <v>1</v>
      </c>
      <c r="G5">
        <v>3</v>
      </c>
      <c r="H5">
        <v>41</v>
      </c>
      <c r="I5">
        <v>50</v>
      </c>
      <c r="J5">
        <v>81</v>
      </c>
      <c r="K5">
        <v>91</v>
      </c>
      <c r="L5">
        <v>81</v>
      </c>
      <c r="M5">
        <v>90</v>
      </c>
    </row>
    <row r="6" spans="1:13" x14ac:dyDescent="0.25">
      <c r="A6">
        <v>2011</v>
      </c>
      <c r="B6" t="s">
        <v>46</v>
      </c>
      <c r="C6" s="2">
        <v>40745</v>
      </c>
      <c r="D6">
        <v>67</v>
      </c>
      <c r="E6" t="s">
        <v>180</v>
      </c>
      <c r="F6">
        <v>1</v>
      </c>
      <c r="G6">
        <v>3</v>
      </c>
      <c r="H6">
        <v>41</v>
      </c>
      <c r="I6">
        <v>50</v>
      </c>
      <c r="J6">
        <v>81</v>
      </c>
      <c r="K6">
        <v>91</v>
      </c>
      <c r="L6">
        <v>81</v>
      </c>
      <c r="M6">
        <v>90</v>
      </c>
    </row>
    <row r="7" spans="1:13" x14ac:dyDescent="0.25">
      <c r="A7">
        <v>2011</v>
      </c>
      <c r="B7" t="s">
        <v>46</v>
      </c>
      <c r="C7" s="2">
        <v>40745</v>
      </c>
      <c r="D7">
        <v>68</v>
      </c>
      <c r="E7" t="s">
        <v>179</v>
      </c>
      <c r="F7">
        <v>61</v>
      </c>
      <c r="G7">
        <v>70</v>
      </c>
      <c r="H7">
        <v>41</v>
      </c>
      <c r="I7">
        <v>50</v>
      </c>
      <c r="J7">
        <v>81</v>
      </c>
      <c r="K7">
        <v>90</v>
      </c>
      <c r="L7">
        <v>61</v>
      </c>
      <c r="M7">
        <v>70</v>
      </c>
    </row>
    <row r="8" spans="1:13" x14ac:dyDescent="0.25">
      <c r="A8">
        <v>2011</v>
      </c>
      <c r="B8" t="s">
        <v>46</v>
      </c>
      <c r="C8" s="2">
        <v>40745</v>
      </c>
      <c r="D8">
        <v>68</v>
      </c>
      <c r="E8" t="s">
        <v>180</v>
      </c>
      <c r="F8">
        <v>61</v>
      </c>
      <c r="G8">
        <v>70</v>
      </c>
      <c r="H8">
        <v>41</v>
      </c>
      <c r="I8">
        <v>50</v>
      </c>
      <c r="J8">
        <v>81</v>
      </c>
      <c r="K8">
        <v>90</v>
      </c>
      <c r="L8">
        <v>61</v>
      </c>
      <c r="M8">
        <v>70</v>
      </c>
    </row>
    <row r="9" spans="1:13" x14ac:dyDescent="0.25">
      <c r="A9">
        <v>2011</v>
      </c>
      <c r="B9" t="s">
        <v>46</v>
      </c>
      <c r="C9" s="2">
        <v>40745</v>
      </c>
      <c r="D9">
        <v>69</v>
      </c>
      <c r="E9" s="21" t="s">
        <v>179</v>
      </c>
      <c r="F9" s="21">
        <v>11</v>
      </c>
      <c r="G9" s="21">
        <v>15</v>
      </c>
      <c r="H9" s="21">
        <v>61</v>
      </c>
      <c r="I9" s="21">
        <v>70</v>
      </c>
      <c r="J9" s="21">
        <v>81</v>
      </c>
      <c r="K9" s="21">
        <v>90</v>
      </c>
      <c r="L9" s="21">
        <v>61</v>
      </c>
      <c r="M9" s="21">
        <v>70</v>
      </c>
    </row>
    <row r="10" spans="1:13" x14ac:dyDescent="0.25">
      <c r="A10">
        <v>2011</v>
      </c>
      <c r="B10" t="s">
        <v>46</v>
      </c>
      <c r="C10" s="2">
        <v>40745</v>
      </c>
      <c r="D10">
        <v>69</v>
      </c>
      <c r="E10" s="21" t="s">
        <v>180</v>
      </c>
      <c r="F10" s="21">
        <v>11</v>
      </c>
      <c r="G10" s="21">
        <v>15</v>
      </c>
      <c r="H10" s="21">
        <v>61</v>
      </c>
      <c r="I10" s="21">
        <v>70</v>
      </c>
      <c r="J10" s="21">
        <v>81</v>
      </c>
      <c r="K10" s="21">
        <v>90</v>
      </c>
      <c r="L10" s="21">
        <v>61</v>
      </c>
      <c r="M10" s="21">
        <v>70</v>
      </c>
    </row>
    <row r="11" spans="1:13" x14ac:dyDescent="0.25">
      <c r="A11">
        <v>2011</v>
      </c>
      <c r="B11" t="s">
        <v>46</v>
      </c>
      <c r="C11" s="2">
        <v>40745</v>
      </c>
      <c r="D11">
        <v>69</v>
      </c>
      <c r="E11" s="21" t="s">
        <v>67</v>
      </c>
      <c r="F11" s="21" t="s">
        <v>2</v>
      </c>
      <c r="G11" s="21">
        <v>0.5</v>
      </c>
      <c r="H11" s="21" t="s">
        <v>2</v>
      </c>
      <c r="I11" s="21">
        <v>0.5</v>
      </c>
      <c r="J11" s="21">
        <v>0</v>
      </c>
      <c r="K11" s="21">
        <v>0</v>
      </c>
      <c r="L11" s="21">
        <v>0</v>
      </c>
      <c r="M11" s="21">
        <v>0</v>
      </c>
    </row>
    <row r="12" spans="1:13" x14ac:dyDescent="0.25">
      <c r="A12">
        <v>2011</v>
      </c>
      <c r="B12" t="s">
        <v>46</v>
      </c>
      <c r="C12" s="2">
        <v>40751</v>
      </c>
      <c r="D12" s="21">
        <v>70</v>
      </c>
      <c r="E12" s="21" t="s">
        <v>179</v>
      </c>
      <c r="F12" s="21">
        <v>41</v>
      </c>
      <c r="G12" s="21">
        <v>50</v>
      </c>
      <c r="H12" s="21">
        <v>21</v>
      </c>
      <c r="I12" s="21">
        <v>30</v>
      </c>
      <c r="J12" s="21">
        <v>81</v>
      </c>
      <c r="K12" s="21">
        <v>90</v>
      </c>
      <c r="L12" s="21">
        <v>81</v>
      </c>
      <c r="M12" s="21">
        <v>90</v>
      </c>
    </row>
    <row r="13" spans="1:13" x14ac:dyDescent="0.25">
      <c r="A13">
        <v>2011</v>
      </c>
      <c r="B13" t="s">
        <v>46</v>
      </c>
      <c r="C13" s="2">
        <v>40751</v>
      </c>
      <c r="D13" s="21">
        <v>70</v>
      </c>
      <c r="E13" s="21" t="s">
        <v>180</v>
      </c>
      <c r="F13" s="21">
        <v>41</v>
      </c>
      <c r="G13" s="21">
        <v>50</v>
      </c>
      <c r="H13" s="21">
        <v>21</v>
      </c>
      <c r="I13" s="21">
        <v>30</v>
      </c>
      <c r="J13" s="21">
        <v>81</v>
      </c>
      <c r="K13" s="21">
        <v>90</v>
      </c>
      <c r="L13" s="21">
        <v>81</v>
      </c>
      <c r="M13" s="21">
        <v>90</v>
      </c>
    </row>
    <row r="14" spans="1:13" x14ac:dyDescent="0.25">
      <c r="A14">
        <v>2011</v>
      </c>
      <c r="B14" t="s">
        <v>46</v>
      </c>
      <c r="C14" s="2">
        <v>40751</v>
      </c>
      <c r="D14" s="21">
        <v>70</v>
      </c>
      <c r="E14" s="21" t="s">
        <v>65</v>
      </c>
      <c r="F14" s="21" t="s">
        <v>2</v>
      </c>
      <c r="G14" s="21">
        <v>0.5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</row>
    <row r="15" spans="1:13" x14ac:dyDescent="0.25">
      <c r="A15">
        <v>2011</v>
      </c>
      <c r="B15" t="s">
        <v>46</v>
      </c>
      <c r="C15" s="2">
        <v>40751</v>
      </c>
      <c r="D15" s="21">
        <v>71</v>
      </c>
      <c r="E15" s="21" t="s">
        <v>179</v>
      </c>
      <c r="F15" s="21">
        <v>21</v>
      </c>
      <c r="G15" s="21">
        <v>30</v>
      </c>
      <c r="H15" s="21">
        <v>21</v>
      </c>
      <c r="I15" s="21">
        <v>30</v>
      </c>
      <c r="J15" s="21">
        <v>61</v>
      </c>
      <c r="K15" s="21">
        <v>70</v>
      </c>
      <c r="L15" s="21">
        <v>81</v>
      </c>
      <c r="M15" s="21">
        <v>90</v>
      </c>
    </row>
    <row r="16" spans="1:13" x14ac:dyDescent="0.25">
      <c r="A16">
        <v>2011</v>
      </c>
      <c r="B16" t="s">
        <v>46</v>
      </c>
      <c r="C16" s="2">
        <v>40751</v>
      </c>
      <c r="D16" s="21">
        <v>71</v>
      </c>
      <c r="E16" s="21" t="s">
        <v>180</v>
      </c>
      <c r="F16" s="21">
        <v>21</v>
      </c>
      <c r="G16" s="21">
        <v>30</v>
      </c>
      <c r="H16" s="21">
        <v>21</v>
      </c>
      <c r="I16" s="21">
        <v>30</v>
      </c>
      <c r="J16" s="21">
        <v>61</v>
      </c>
      <c r="K16" s="21">
        <v>70</v>
      </c>
      <c r="L16" s="21">
        <v>81</v>
      </c>
      <c r="M16" s="21">
        <v>90</v>
      </c>
    </row>
    <row r="17" spans="1:13" x14ac:dyDescent="0.25">
      <c r="A17">
        <v>2011</v>
      </c>
      <c r="B17" t="s">
        <v>46</v>
      </c>
      <c r="C17" s="2">
        <v>40751</v>
      </c>
      <c r="D17" s="21">
        <v>71</v>
      </c>
      <c r="E17" s="21" t="s">
        <v>62</v>
      </c>
      <c r="F17" s="21" t="s">
        <v>2</v>
      </c>
      <c r="G17" s="21">
        <v>0.5</v>
      </c>
      <c r="H17" s="21" t="s">
        <v>2</v>
      </c>
      <c r="I17" s="21">
        <v>0.5</v>
      </c>
      <c r="J17" s="21">
        <v>1</v>
      </c>
      <c r="K17" s="21">
        <v>3</v>
      </c>
      <c r="L17" s="21">
        <v>0</v>
      </c>
      <c r="M17" s="21">
        <v>0</v>
      </c>
    </row>
    <row r="18" spans="1:13" x14ac:dyDescent="0.25">
      <c r="A18">
        <v>2011</v>
      </c>
      <c r="B18" t="s">
        <v>46</v>
      </c>
      <c r="C18" s="2">
        <v>40751</v>
      </c>
      <c r="D18" s="21">
        <v>71</v>
      </c>
      <c r="E18" s="21" t="s">
        <v>65</v>
      </c>
      <c r="F18" s="21" t="s">
        <v>2</v>
      </c>
      <c r="G18" s="21">
        <v>0.5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</row>
    <row r="19" spans="1:13" x14ac:dyDescent="0.25">
      <c r="A19">
        <v>2011</v>
      </c>
      <c r="B19" t="s">
        <v>46</v>
      </c>
      <c r="C19" s="2">
        <v>40751</v>
      </c>
      <c r="D19" s="21">
        <v>72</v>
      </c>
      <c r="E19" s="21" t="s">
        <v>179</v>
      </c>
      <c r="F19" s="21">
        <v>81</v>
      </c>
      <c r="G19" s="21">
        <v>90</v>
      </c>
      <c r="H19" s="21">
        <v>81</v>
      </c>
      <c r="I19" s="21">
        <v>90</v>
      </c>
      <c r="J19" s="21">
        <v>81</v>
      </c>
      <c r="K19" s="21">
        <v>90</v>
      </c>
      <c r="L19" s="21">
        <v>41</v>
      </c>
      <c r="M19" s="21">
        <v>50</v>
      </c>
    </row>
    <row r="20" spans="1:13" x14ac:dyDescent="0.25">
      <c r="A20">
        <v>2011</v>
      </c>
      <c r="B20" t="s">
        <v>46</v>
      </c>
      <c r="C20" s="2">
        <v>40751</v>
      </c>
      <c r="D20" s="21">
        <v>72</v>
      </c>
      <c r="E20" s="21" t="s">
        <v>180</v>
      </c>
      <c r="F20" s="21">
        <v>81</v>
      </c>
      <c r="G20" s="21">
        <v>90</v>
      </c>
      <c r="H20" s="21">
        <v>81</v>
      </c>
      <c r="I20" s="21">
        <v>90</v>
      </c>
      <c r="J20" s="21">
        <v>81</v>
      </c>
      <c r="K20" s="21">
        <v>90</v>
      </c>
      <c r="L20" s="21">
        <v>41</v>
      </c>
      <c r="M20" s="21">
        <v>50</v>
      </c>
    </row>
    <row r="21" spans="1:13" x14ac:dyDescent="0.25">
      <c r="A21">
        <v>2011</v>
      </c>
      <c r="B21" t="s">
        <v>46</v>
      </c>
      <c r="C21" s="2">
        <v>40751</v>
      </c>
      <c r="D21" s="21">
        <v>72</v>
      </c>
      <c r="E21" s="21" t="s">
        <v>67</v>
      </c>
      <c r="F21" s="21" t="s">
        <v>2</v>
      </c>
      <c r="G21" s="21">
        <v>0.5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</row>
    <row r="22" spans="1:13" x14ac:dyDescent="0.25">
      <c r="A22">
        <v>2011</v>
      </c>
      <c r="B22" t="s">
        <v>46</v>
      </c>
      <c r="C22" s="2">
        <v>40751</v>
      </c>
      <c r="D22" s="21">
        <v>72</v>
      </c>
      <c r="E22" s="21" t="s">
        <v>62</v>
      </c>
      <c r="F22" s="21" t="s">
        <v>2</v>
      </c>
      <c r="G22" s="21">
        <v>0.5</v>
      </c>
      <c r="H22" s="21" t="s">
        <v>2</v>
      </c>
      <c r="I22" s="21">
        <v>0.5</v>
      </c>
      <c r="J22" s="21">
        <v>0</v>
      </c>
      <c r="K22" s="21">
        <v>0</v>
      </c>
      <c r="L22" s="21">
        <v>0</v>
      </c>
      <c r="M22" s="21">
        <v>0</v>
      </c>
    </row>
    <row r="23" spans="1:13" x14ac:dyDescent="0.25">
      <c r="A23">
        <v>2011</v>
      </c>
      <c r="B23" t="s">
        <v>46</v>
      </c>
      <c r="C23" s="2">
        <v>40751</v>
      </c>
      <c r="D23" s="21">
        <v>72</v>
      </c>
      <c r="E23" s="21" t="s">
        <v>65</v>
      </c>
      <c r="F23" s="21" t="s">
        <v>2</v>
      </c>
      <c r="G23" s="21">
        <v>0.5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</row>
    <row r="24" spans="1:13" x14ac:dyDescent="0.25">
      <c r="A24">
        <v>2011</v>
      </c>
      <c r="B24" t="s">
        <v>46</v>
      </c>
      <c r="C24" s="2">
        <v>40751</v>
      </c>
      <c r="D24" s="21">
        <v>72</v>
      </c>
      <c r="E24" s="21" t="s">
        <v>181</v>
      </c>
      <c r="F24" s="21" t="s">
        <v>2</v>
      </c>
      <c r="G24" s="21">
        <v>0.5</v>
      </c>
      <c r="H24" s="21" t="s">
        <v>2</v>
      </c>
      <c r="I24" s="21">
        <v>0.5</v>
      </c>
      <c r="J24" s="21">
        <v>0</v>
      </c>
      <c r="K24" s="21">
        <v>0</v>
      </c>
      <c r="L24" s="21">
        <v>0</v>
      </c>
      <c r="M24" s="21">
        <v>0</v>
      </c>
    </row>
    <row r="25" spans="1:13" x14ac:dyDescent="0.25">
      <c r="A25">
        <v>2011</v>
      </c>
      <c r="B25" t="s">
        <v>46</v>
      </c>
      <c r="C25" s="2">
        <v>40745</v>
      </c>
      <c r="D25">
        <v>73</v>
      </c>
      <c r="E25" s="21" t="s">
        <v>179</v>
      </c>
      <c r="F25" s="21">
        <v>41</v>
      </c>
      <c r="G25" s="21">
        <v>50</v>
      </c>
      <c r="H25" s="21">
        <v>41</v>
      </c>
      <c r="I25" s="21">
        <v>50</v>
      </c>
      <c r="J25" s="21">
        <v>61</v>
      </c>
      <c r="K25" s="21">
        <v>70</v>
      </c>
      <c r="L25" s="21">
        <v>81</v>
      </c>
      <c r="M25" s="21">
        <v>90</v>
      </c>
    </row>
    <row r="26" spans="1:13" x14ac:dyDescent="0.25">
      <c r="A26">
        <v>2011</v>
      </c>
      <c r="B26" t="s">
        <v>46</v>
      </c>
      <c r="C26" s="2">
        <v>40745</v>
      </c>
      <c r="D26">
        <v>73</v>
      </c>
      <c r="E26" s="21" t="s">
        <v>180</v>
      </c>
      <c r="F26" s="21">
        <v>41</v>
      </c>
      <c r="G26" s="21">
        <v>50</v>
      </c>
      <c r="H26" s="21">
        <v>41</v>
      </c>
      <c r="I26" s="21">
        <v>50</v>
      </c>
      <c r="J26" s="21">
        <v>61</v>
      </c>
      <c r="K26" s="21">
        <v>70</v>
      </c>
      <c r="L26" s="21">
        <v>81</v>
      </c>
      <c r="M26" s="21">
        <v>90</v>
      </c>
    </row>
    <row r="27" spans="1:13" x14ac:dyDescent="0.25">
      <c r="A27">
        <v>2011</v>
      </c>
      <c r="B27" t="s">
        <v>46</v>
      </c>
      <c r="C27" s="2">
        <v>40745</v>
      </c>
      <c r="D27">
        <v>73</v>
      </c>
      <c r="E27" s="21" t="s">
        <v>62</v>
      </c>
      <c r="F27" s="21" t="s">
        <v>2</v>
      </c>
      <c r="G27" s="21">
        <v>0.5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</row>
    <row r="28" spans="1:13" x14ac:dyDescent="0.25">
      <c r="A28">
        <v>2011</v>
      </c>
      <c r="B28" t="s">
        <v>46</v>
      </c>
      <c r="C28" s="2">
        <v>40745</v>
      </c>
      <c r="D28">
        <v>73</v>
      </c>
      <c r="E28" s="21" t="s">
        <v>181</v>
      </c>
      <c r="F28" s="21" t="s">
        <v>2</v>
      </c>
      <c r="G28" s="21">
        <v>0.5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</row>
    <row r="29" spans="1:13" x14ac:dyDescent="0.25">
      <c r="A29">
        <v>2011</v>
      </c>
      <c r="B29" t="s">
        <v>46</v>
      </c>
      <c r="C29" s="2">
        <v>40745</v>
      </c>
      <c r="D29">
        <v>73</v>
      </c>
      <c r="E29" s="21" t="s">
        <v>67</v>
      </c>
      <c r="F29" s="21" t="s">
        <v>2</v>
      </c>
      <c r="G29" s="21">
        <v>0.5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</row>
    <row r="30" spans="1:13" x14ac:dyDescent="0.25">
      <c r="A30">
        <v>2011</v>
      </c>
      <c r="B30" t="s">
        <v>46</v>
      </c>
      <c r="C30" s="2">
        <v>40745</v>
      </c>
      <c r="D30">
        <v>74</v>
      </c>
      <c r="E30" s="21" t="s">
        <v>179</v>
      </c>
      <c r="F30" s="21">
        <v>21</v>
      </c>
      <c r="G30" s="21">
        <v>30</v>
      </c>
      <c r="H30" s="21">
        <v>21</v>
      </c>
      <c r="I30" s="21">
        <v>30</v>
      </c>
      <c r="J30" s="21">
        <v>61</v>
      </c>
      <c r="K30" s="21">
        <v>70</v>
      </c>
      <c r="L30" s="21">
        <v>81</v>
      </c>
      <c r="M30" s="21">
        <v>90</v>
      </c>
    </row>
    <row r="31" spans="1:13" x14ac:dyDescent="0.25">
      <c r="A31">
        <v>2011</v>
      </c>
      <c r="B31" t="s">
        <v>46</v>
      </c>
      <c r="C31" s="2">
        <v>40745</v>
      </c>
      <c r="D31">
        <v>74</v>
      </c>
      <c r="E31" s="21" t="s">
        <v>180</v>
      </c>
      <c r="F31" s="21">
        <v>21</v>
      </c>
      <c r="G31" s="21">
        <v>30</v>
      </c>
      <c r="H31" s="21">
        <v>21</v>
      </c>
      <c r="I31" s="21">
        <v>30</v>
      </c>
      <c r="J31" s="21">
        <v>61</v>
      </c>
      <c r="K31" s="21">
        <v>70</v>
      </c>
      <c r="L31" s="21">
        <v>81</v>
      </c>
      <c r="M31" s="21">
        <v>90</v>
      </c>
    </row>
    <row r="32" spans="1:13" x14ac:dyDescent="0.25">
      <c r="A32">
        <v>2011</v>
      </c>
      <c r="B32" t="s">
        <v>46</v>
      </c>
      <c r="C32" s="2">
        <v>40745</v>
      </c>
      <c r="D32">
        <v>75</v>
      </c>
      <c r="E32" s="21" t="s">
        <v>179</v>
      </c>
      <c r="F32" s="21">
        <v>21</v>
      </c>
      <c r="G32" s="21">
        <v>30</v>
      </c>
      <c r="H32" s="21">
        <v>11</v>
      </c>
      <c r="I32" s="21">
        <v>15</v>
      </c>
      <c r="J32" s="21">
        <v>81</v>
      </c>
      <c r="K32" s="21">
        <v>90</v>
      </c>
      <c r="L32" s="21">
        <v>81</v>
      </c>
      <c r="M32" s="21">
        <v>90</v>
      </c>
    </row>
    <row r="33" spans="1:13" x14ac:dyDescent="0.25">
      <c r="A33">
        <v>2011</v>
      </c>
      <c r="B33" t="s">
        <v>46</v>
      </c>
      <c r="C33" s="2">
        <v>40745</v>
      </c>
      <c r="D33">
        <v>75</v>
      </c>
      <c r="E33" s="21" t="s">
        <v>180</v>
      </c>
      <c r="F33" s="21">
        <v>21</v>
      </c>
      <c r="G33" s="21">
        <v>30</v>
      </c>
      <c r="H33" s="21">
        <v>11</v>
      </c>
      <c r="I33" s="21">
        <v>15</v>
      </c>
      <c r="J33" s="21">
        <v>81</v>
      </c>
      <c r="K33" s="21">
        <v>90</v>
      </c>
      <c r="L33" s="21">
        <v>81</v>
      </c>
      <c r="M33" s="21">
        <v>90</v>
      </c>
    </row>
    <row r="34" spans="1:13" x14ac:dyDescent="0.25">
      <c r="A34">
        <v>2011</v>
      </c>
      <c r="B34" t="s">
        <v>46</v>
      </c>
      <c r="C34" s="2">
        <v>40745</v>
      </c>
      <c r="D34">
        <v>75</v>
      </c>
      <c r="E34" s="21" t="s">
        <v>67</v>
      </c>
      <c r="F34" s="21" t="s">
        <v>2</v>
      </c>
      <c r="G34" s="21">
        <v>0.5</v>
      </c>
      <c r="H34" s="21" t="s">
        <v>2</v>
      </c>
      <c r="I34" s="21">
        <v>0.5</v>
      </c>
      <c r="J34" s="21">
        <v>0</v>
      </c>
      <c r="K34" s="21">
        <v>0</v>
      </c>
      <c r="L34" s="21">
        <v>0</v>
      </c>
      <c r="M34" s="21">
        <v>0</v>
      </c>
    </row>
    <row r="35" spans="1:13" x14ac:dyDescent="0.25">
      <c r="A35">
        <v>2011</v>
      </c>
      <c r="B35" t="s">
        <v>46</v>
      </c>
      <c r="C35" s="2">
        <v>40751</v>
      </c>
      <c r="D35" s="21">
        <v>76</v>
      </c>
      <c r="E35" s="21" t="s">
        <v>179</v>
      </c>
      <c r="F35" s="21">
        <v>81</v>
      </c>
      <c r="G35" s="21">
        <v>90</v>
      </c>
      <c r="H35" s="21">
        <v>61</v>
      </c>
      <c r="I35" s="21">
        <v>70</v>
      </c>
      <c r="J35" s="21">
        <v>21</v>
      </c>
      <c r="K35" s="21">
        <v>30</v>
      </c>
      <c r="L35" s="21">
        <v>61</v>
      </c>
      <c r="M35" s="21">
        <v>70</v>
      </c>
    </row>
    <row r="36" spans="1:13" x14ac:dyDescent="0.25">
      <c r="A36">
        <v>2011</v>
      </c>
      <c r="B36" t="s">
        <v>46</v>
      </c>
      <c r="C36" s="2">
        <v>40751</v>
      </c>
      <c r="D36" s="21">
        <v>76</v>
      </c>
      <c r="E36" s="21" t="s">
        <v>180</v>
      </c>
      <c r="F36" s="21">
        <v>81</v>
      </c>
      <c r="G36" s="21">
        <v>90</v>
      </c>
      <c r="H36" s="21">
        <v>61</v>
      </c>
      <c r="I36" s="21">
        <v>70</v>
      </c>
      <c r="J36" s="21">
        <v>21</v>
      </c>
      <c r="K36" s="21">
        <v>30</v>
      </c>
      <c r="L36" s="21">
        <v>61</v>
      </c>
      <c r="M36" s="21">
        <v>70</v>
      </c>
    </row>
    <row r="37" spans="1:13" x14ac:dyDescent="0.25">
      <c r="A37">
        <v>2011</v>
      </c>
      <c r="B37" t="s">
        <v>46</v>
      </c>
      <c r="C37" s="2">
        <v>40751</v>
      </c>
      <c r="D37" s="21">
        <v>77</v>
      </c>
      <c r="E37" s="21" t="s">
        <v>179</v>
      </c>
      <c r="F37" s="21">
        <v>81</v>
      </c>
      <c r="G37" s="21">
        <v>90</v>
      </c>
      <c r="H37" s="21">
        <v>61</v>
      </c>
      <c r="I37" s="21">
        <v>70</v>
      </c>
      <c r="J37" s="21">
        <v>41</v>
      </c>
      <c r="K37" s="21">
        <v>50</v>
      </c>
      <c r="L37" s="21">
        <v>61</v>
      </c>
      <c r="M37" s="21">
        <v>70</v>
      </c>
    </row>
    <row r="38" spans="1:13" x14ac:dyDescent="0.25">
      <c r="A38">
        <v>2011</v>
      </c>
      <c r="B38" t="s">
        <v>46</v>
      </c>
      <c r="C38" s="2">
        <v>40751</v>
      </c>
      <c r="D38" s="21">
        <v>77</v>
      </c>
      <c r="E38" s="21" t="s">
        <v>180</v>
      </c>
      <c r="F38" s="21">
        <v>81</v>
      </c>
      <c r="G38" s="21">
        <v>90</v>
      </c>
      <c r="H38" s="21">
        <v>61</v>
      </c>
      <c r="I38" s="21">
        <v>70</v>
      </c>
      <c r="J38" s="21">
        <v>41</v>
      </c>
      <c r="K38" s="21">
        <v>50</v>
      </c>
      <c r="L38" s="21">
        <v>61</v>
      </c>
      <c r="M38" s="21">
        <v>70</v>
      </c>
    </row>
    <row r="39" spans="1:13" x14ac:dyDescent="0.25">
      <c r="A39">
        <v>2011</v>
      </c>
      <c r="B39" t="s">
        <v>46</v>
      </c>
      <c r="C39" s="2">
        <v>40751</v>
      </c>
      <c r="D39" s="21">
        <v>78</v>
      </c>
      <c r="E39" s="21" t="s">
        <v>179</v>
      </c>
      <c r="F39" s="21">
        <v>81</v>
      </c>
      <c r="G39" s="21">
        <v>90</v>
      </c>
      <c r="H39" s="21">
        <v>61</v>
      </c>
      <c r="I39" s="21">
        <v>70</v>
      </c>
      <c r="J39" s="21">
        <v>41</v>
      </c>
      <c r="K39" s="21">
        <v>50</v>
      </c>
      <c r="L39" s="21">
        <v>61</v>
      </c>
      <c r="M39" s="21">
        <v>70</v>
      </c>
    </row>
    <row r="40" spans="1:13" x14ac:dyDescent="0.25">
      <c r="A40">
        <v>2011</v>
      </c>
      <c r="B40" t="s">
        <v>46</v>
      </c>
      <c r="C40" s="2">
        <v>40751</v>
      </c>
      <c r="D40" s="21">
        <v>78</v>
      </c>
      <c r="E40" s="21" t="s">
        <v>180</v>
      </c>
      <c r="F40" s="21">
        <v>81</v>
      </c>
      <c r="G40" s="21">
        <v>90</v>
      </c>
      <c r="H40" s="21">
        <v>61</v>
      </c>
      <c r="I40" s="21">
        <v>70</v>
      </c>
      <c r="J40" s="21">
        <v>41</v>
      </c>
      <c r="K40" s="21">
        <v>50</v>
      </c>
      <c r="L40" s="21">
        <v>61</v>
      </c>
      <c r="M40" s="21">
        <v>70</v>
      </c>
    </row>
    <row r="41" spans="1:13" x14ac:dyDescent="0.25">
      <c r="A41">
        <v>2011</v>
      </c>
      <c r="B41" t="s">
        <v>46</v>
      </c>
      <c r="C41" s="2">
        <v>40737</v>
      </c>
      <c r="D41">
        <v>79</v>
      </c>
      <c r="E41" s="21" t="s">
        <v>179</v>
      </c>
      <c r="F41" s="21">
        <v>61</v>
      </c>
      <c r="G41" s="21">
        <v>70</v>
      </c>
      <c r="H41" s="21">
        <v>6</v>
      </c>
      <c r="I41" s="21">
        <v>8</v>
      </c>
      <c r="J41" s="21">
        <v>41</v>
      </c>
      <c r="K41" s="21">
        <v>50</v>
      </c>
      <c r="L41" s="21">
        <v>81</v>
      </c>
      <c r="M41" s="21">
        <v>90</v>
      </c>
    </row>
    <row r="42" spans="1:13" x14ac:dyDescent="0.25">
      <c r="A42">
        <v>2011</v>
      </c>
      <c r="B42" t="s">
        <v>46</v>
      </c>
      <c r="C42" s="2">
        <v>40737</v>
      </c>
      <c r="D42" s="21">
        <v>79</v>
      </c>
      <c r="E42" s="21" t="s">
        <v>180</v>
      </c>
      <c r="F42" s="21">
        <v>61</v>
      </c>
      <c r="G42" s="21">
        <v>70</v>
      </c>
      <c r="H42" s="21">
        <v>6</v>
      </c>
      <c r="I42" s="21">
        <v>8</v>
      </c>
      <c r="J42" s="21">
        <v>41</v>
      </c>
      <c r="K42" s="21">
        <v>50</v>
      </c>
      <c r="L42" s="21">
        <v>81</v>
      </c>
      <c r="M42" s="21">
        <v>90</v>
      </c>
    </row>
    <row r="43" spans="1:13" x14ac:dyDescent="0.25">
      <c r="A43">
        <v>2011</v>
      </c>
      <c r="B43" t="s">
        <v>46</v>
      </c>
      <c r="C43" s="2">
        <v>40737</v>
      </c>
      <c r="D43" s="21">
        <v>79</v>
      </c>
      <c r="E43" s="21" t="s">
        <v>67</v>
      </c>
      <c r="F43" s="21" t="s">
        <v>2</v>
      </c>
      <c r="G43" s="21">
        <v>0.5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</row>
    <row r="44" spans="1:13" x14ac:dyDescent="0.25">
      <c r="A44">
        <v>2011</v>
      </c>
      <c r="B44" t="s">
        <v>46</v>
      </c>
      <c r="C44" s="2">
        <v>40737</v>
      </c>
      <c r="D44" s="21">
        <v>80</v>
      </c>
      <c r="E44" s="21" t="s">
        <v>179</v>
      </c>
      <c r="F44" s="21">
        <v>21</v>
      </c>
      <c r="G44" s="21">
        <v>30</v>
      </c>
      <c r="H44" s="21">
        <v>6</v>
      </c>
      <c r="I44" s="21">
        <v>8</v>
      </c>
      <c r="J44" s="21">
        <v>41</v>
      </c>
      <c r="K44" s="21">
        <v>50</v>
      </c>
      <c r="L44" s="21">
        <v>81</v>
      </c>
      <c r="M44" s="21">
        <v>90</v>
      </c>
    </row>
    <row r="45" spans="1:13" x14ac:dyDescent="0.25">
      <c r="A45">
        <v>2011</v>
      </c>
      <c r="B45" t="s">
        <v>46</v>
      </c>
      <c r="C45" s="2">
        <v>40737</v>
      </c>
      <c r="D45" s="21">
        <v>80</v>
      </c>
      <c r="E45" s="21" t="s">
        <v>180</v>
      </c>
      <c r="F45" s="21">
        <v>21</v>
      </c>
      <c r="G45" s="21">
        <v>30</v>
      </c>
      <c r="H45" s="21">
        <v>6</v>
      </c>
      <c r="I45" s="21">
        <v>8</v>
      </c>
      <c r="J45" s="21">
        <v>41</v>
      </c>
      <c r="K45" s="21">
        <v>50</v>
      </c>
      <c r="L45" s="21">
        <v>81</v>
      </c>
      <c r="M45" s="21">
        <v>90</v>
      </c>
    </row>
    <row r="46" spans="1:13" x14ac:dyDescent="0.25">
      <c r="A46">
        <v>2011</v>
      </c>
      <c r="B46" t="s">
        <v>46</v>
      </c>
      <c r="C46" s="2">
        <v>40737</v>
      </c>
      <c r="D46" s="21">
        <v>80</v>
      </c>
      <c r="E46" s="21" t="s">
        <v>182</v>
      </c>
      <c r="F46" s="21" t="s">
        <v>2</v>
      </c>
      <c r="G46" s="21">
        <v>0.5</v>
      </c>
      <c r="H46" s="21" t="s">
        <v>2</v>
      </c>
      <c r="I46" s="21">
        <v>0.5</v>
      </c>
      <c r="J46" s="21">
        <v>0</v>
      </c>
      <c r="K46" s="21">
        <v>0</v>
      </c>
      <c r="L46" s="21">
        <v>0</v>
      </c>
      <c r="M46" s="21">
        <v>0</v>
      </c>
    </row>
    <row r="47" spans="1:13" x14ac:dyDescent="0.25">
      <c r="A47">
        <v>2011</v>
      </c>
      <c r="B47" t="s">
        <v>46</v>
      </c>
      <c r="C47" s="2">
        <v>40737</v>
      </c>
      <c r="D47" s="21">
        <v>81</v>
      </c>
      <c r="E47" s="21" t="s">
        <v>179</v>
      </c>
      <c r="F47" s="21">
        <v>41</v>
      </c>
      <c r="G47" s="21">
        <v>50</v>
      </c>
      <c r="H47" s="21">
        <v>6</v>
      </c>
      <c r="I47" s="21">
        <v>8</v>
      </c>
      <c r="J47" s="21">
        <v>41</v>
      </c>
      <c r="K47" s="21">
        <v>50</v>
      </c>
      <c r="L47" s="21">
        <v>81</v>
      </c>
      <c r="M47" s="21">
        <v>90</v>
      </c>
    </row>
    <row r="48" spans="1:13" x14ac:dyDescent="0.25">
      <c r="A48">
        <v>2011</v>
      </c>
      <c r="B48" t="s">
        <v>46</v>
      </c>
      <c r="C48" s="2">
        <v>40737</v>
      </c>
      <c r="D48" s="21">
        <v>81</v>
      </c>
      <c r="E48" s="21" t="s">
        <v>180</v>
      </c>
      <c r="F48" s="21">
        <v>41</v>
      </c>
      <c r="G48" s="21">
        <v>50</v>
      </c>
      <c r="H48" s="21">
        <v>6</v>
      </c>
      <c r="I48" s="21">
        <v>8</v>
      </c>
      <c r="J48" s="21">
        <v>41</v>
      </c>
      <c r="K48" s="21">
        <v>50</v>
      </c>
      <c r="L48" s="21">
        <v>81</v>
      </c>
      <c r="M48" s="21">
        <v>90</v>
      </c>
    </row>
    <row r="49" spans="1:13" x14ac:dyDescent="0.25">
      <c r="A49">
        <v>2011</v>
      </c>
      <c r="B49" t="s">
        <v>46</v>
      </c>
      <c r="C49" s="2">
        <v>40737</v>
      </c>
      <c r="D49" s="21">
        <v>103</v>
      </c>
      <c r="E49" s="21" t="s">
        <v>179</v>
      </c>
      <c r="F49" s="21">
        <v>81</v>
      </c>
      <c r="G49" s="21">
        <v>90</v>
      </c>
      <c r="H49" s="21">
        <v>81</v>
      </c>
      <c r="I49" s="21">
        <v>90</v>
      </c>
      <c r="J49" s="21">
        <v>41</v>
      </c>
      <c r="K49" s="21">
        <v>50</v>
      </c>
      <c r="L49" s="21">
        <v>41</v>
      </c>
      <c r="M49" s="21">
        <v>50</v>
      </c>
    </row>
    <row r="50" spans="1:13" x14ac:dyDescent="0.25">
      <c r="A50">
        <v>2011</v>
      </c>
      <c r="B50" t="s">
        <v>46</v>
      </c>
      <c r="C50" s="2">
        <v>40737</v>
      </c>
      <c r="D50" s="21">
        <v>103</v>
      </c>
      <c r="E50" s="21" t="s">
        <v>180</v>
      </c>
      <c r="F50" s="21">
        <v>81</v>
      </c>
      <c r="G50" s="21">
        <v>90</v>
      </c>
      <c r="H50" s="21">
        <v>81</v>
      </c>
      <c r="I50" s="21">
        <v>90</v>
      </c>
      <c r="J50" s="21">
        <v>41</v>
      </c>
      <c r="K50" s="21">
        <v>50</v>
      </c>
      <c r="L50" s="21">
        <v>41</v>
      </c>
      <c r="M50" s="21">
        <v>50</v>
      </c>
    </row>
    <row r="51" spans="1:13" x14ac:dyDescent="0.25">
      <c r="A51">
        <v>2011</v>
      </c>
      <c r="B51" t="s">
        <v>46</v>
      </c>
      <c r="C51" s="2">
        <v>40737</v>
      </c>
      <c r="D51" s="21">
        <v>103</v>
      </c>
      <c r="E51" s="21" t="s">
        <v>65</v>
      </c>
      <c r="F51" s="21" t="s">
        <v>2</v>
      </c>
      <c r="G51" s="21">
        <v>0.5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</row>
    <row r="52" spans="1:13" x14ac:dyDescent="0.25">
      <c r="A52">
        <v>2011</v>
      </c>
      <c r="B52" t="s">
        <v>46</v>
      </c>
      <c r="C52" s="2">
        <v>40737</v>
      </c>
      <c r="D52" s="21">
        <v>103</v>
      </c>
      <c r="E52" s="21" t="s">
        <v>83</v>
      </c>
      <c r="F52" s="21" t="s">
        <v>2</v>
      </c>
      <c r="G52" s="21">
        <v>0.5</v>
      </c>
      <c r="H52" s="21" t="s">
        <v>2</v>
      </c>
      <c r="I52" s="21">
        <v>0.5</v>
      </c>
      <c r="J52" s="21">
        <v>0</v>
      </c>
      <c r="K52" s="21">
        <v>0</v>
      </c>
      <c r="L52" s="21">
        <v>0</v>
      </c>
      <c r="M52" s="21">
        <v>0</v>
      </c>
    </row>
    <row r="53" spans="1:13" x14ac:dyDescent="0.25">
      <c r="A53">
        <v>2011</v>
      </c>
      <c r="B53" t="s">
        <v>46</v>
      </c>
      <c r="C53" s="2">
        <v>40737</v>
      </c>
      <c r="D53" s="21">
        <v>104</v>
      </c>
      <c r="E53" s="21" t="s">
        <v>179</v>
      </c>
      <c r="F53" s="21">
        <v>81</v>
      </c>
      <c r="G53" s="21">
        <v>90</v>
      </c>
      <c r="H53" s="21">
        <v>41</v>
      </c>
      <c r="I53" s="21">
        <v>50</v>
      </c>
      <c r="J53" s="21">
        <v>61</v>
      </c>
      <c r="K53" s="21">
        <v>70</v>
      </c>
      <c r="L53" s="21">
        <v>61</v>
      </c>
      <c r="M53" s="21">
        <v>70</v>
      </c>
    </row>
    <row r="54" spans="1:13" x14ac:dyDescent="0.25">
      <c r="A54">
        <v>2011</v>
      </c>
      <c r="B54" t="s">
        <v>46</v>
      </c>
      <c r="C54" s="2">
        <v>40737</v>
      </c>
      <c r="D54" s="21">
        <v>104</v>
      </c>
      <c r="E54" s="21" t="s">
        <v>180</v>
      </c>
      <c r="F54" s="21">
        <v>81</v>
      </c>
      <c r="G54" s="21">
        <v>90</v>
      </c>
      <c r="H54" s="21">
        <v>41</v>
      </c>
      <c r="I54" s="21">
        <v>50</v>
      </c>
      <c r="J54" s="21">
        <v>61</v>
      </c>
      <c r="K54" s="21">
        <v>70</v>
      </c>
      <c r="L54" s="21">
        <v>61</v>
      </c>
      <c r="M54" s="21">
        <v>70</v>
      </c>
    </row>
    <row r="55" spans="1:13" x14ac:dyDescent="0.25">
      <c r="A55">
        <v>2011</v>
      </c>
      <c r="B55" t="s">
        <v>46</v>
      </c>
      <c r="C55" s="2">
        <v>40737</v>
      </c>
      <c r="D55" s="21">
        <v>104</v>
      </c>
      <c r="E55" s="21" t="s">
        <v>62</v>
      </c>
      <c r="F55" s="21" t="s">
        <v>2</v>
      </c>
      <c r="G55" s="21">
        <v>0.5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</row>
    <row r="56" spans="1:13" x14ac:dyDescent="0.25">
      <c r="A56">
        <v>2011</v>
      </c>
      <c r="B56" t="s">
        <v>46</v>
      </c>
      <c r="C56" s="2">
        <v>40737</v>
      </c>
      <c r="D56" s="21">
        <v>105</v>
      </c>
      <c r="E56" s="21" t="s">
        <v>179</v>
      </c>
      <c r="F56" s="21">
        <v>81</v>
      </c>
      <c r="G56" s="21">
        <v>90</v>
      </c>
      <c r="H56" s="21">
        <v>61</v>
      </c>
      <c r="I56" s="21">
        <v>70</v>
      </c>
      <c r="J56" s="21">
        <v>61</v>
      </c>
      <c r="K56" s="21">
        <v>70</v>
      </c>
      <c r="L56" s="21">
        <v>81</v>
      </c>
      <c r="M56" s="21">
        <v>90</v>
      </c>
    </row>
    <row r="57" spans="1:13" x14ac:dyDescent="0.25">
      <c r="A57">
        <v>2011</v>
      </c>
      <c r="B57" t="s">
        <v>46</v>
      </c>
      <c r="C57" s="2">
        <v>40737</v>
      </c>
      <c r="D57" s="21">
        <v>105</v>
      </c>
      <c r="E57" s="21" t="s">
        <v>180</v>
      </c>
      <c r="F57" s="21">
        <v>81</v>
      </c>
      <c r="G57" s="21">
        <v>90</v>
      </c>
      <c r="H57" s="21">
        <v>61</v>
      </c>
      <c r="I57" s="21">
        <v>70</v>
      </c>
      <c r="J57" s="21">
        <v>61</v>
      </c>
      <c r="K57" s="21">
        <v>70</v>
      </c>
      <c r="L57" s="21">
        <v>81</v>
      </c>
      <c r="M57" s="21">
        <v>90</v>
      </c>
    </row>
    <row r="58" spans="1:13" x14ac:dyDescent="0.25">
      <c r="A58">
        <v>2011</v>
      </c>
      <c r="B58" t="s">
        <v>46</v>
      </c>
      <c r="C58" s="2">
        <v>40737</v>
      </c>
      <c r="D58" s="21">
        <v>105</v>
      </c>
      <c r="E58" s="21" t="s">
        <v>83</v>
      </c>
      <c r="F58" s="21" t="s">
        <v>2</v>
      </c>
      <c r="G58" s="21">
        <v>0.5</v>
      </c>
      <c r="H58" s="21">
        <v>1</v>
      </c>
      <c r="I58" s="21">
        <v>3</v>
      </c>
      <c r="J58" s="21" t="s">
        <v>2</v>
      </c>
      <c r="K58" s="21">
        <v>0.5</v>
      </c>
      <c r="L58" s="21">
        <v>0</v>
      </c>
      <c r="M58" s="21">
        <v>0</v>
      </c>
    </row>
    <row r="59" spans="1:13" x14ac:dyDescent="0.25">
      <c r="A59">
        <v>2011</v>
      </c>
      <c r="B59" t="s">
        <v>46</v>
      </c>
      <c r="C59" s="2">
        <v>40737</v>
      </c>
      <c r="D59" s="21">
        <v>105</v>
      </c>
      <c r="E59" s="21" t="s">
        <v>65</v>
      </c>
      <c r="F59" s="21" t="s">
        <v>2</v>
      </c>
      <c r="G59" s="21">
        <v>0.5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</row>
    <row r="60" spans="1:13" x14ac:dyDescent="0.25">
      <c r="A60">
        <v>2011</v>
      </c>
      <c r="B60" t="s">
        <v>46</v>
      </c>
      <c r="C60" s="2">
        <v>40737</v>
      </c>
      <c r="D60" s="21">
        <v>105</v>
      </c>
      <c r="E60" s="21" t="s">
        <v>62</v>
      </c>
      <c r="F60" s="21" t="s">
        <v>2</v>
      </c>
      <c r="G60" s="21">
        <v>0.5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</row>
    <row r="61" spans="1:13" x14ac:dyDescent="0.25">
      <c r="A61">
        <v>2011</v>
      </c>
      <c r="B61" t="s">
        <v>46</v>
      </c>
      <c r="C61" s="26">
        <v>40737</v>
      </c>
      <c r="D61" s="21">
        <v>106</v>
      </c>
      <c r="E61" s="21" t="s">
        <v>179</v>
      </c>
      <c r="F61" s="21">
        <v>81</v>
      </c>
      <c r="G61" s="21">
        <v>90</v>
      </c>
      <c r="H61" s="21">
        <v>61</v>
      </c>
      <c r="I61" s="21">
        <v>70</v>
      </c>
      <c r="J61" s="21">
        <v>21</v>
      </c>
      <c r="K61" s="21">
        <v>30</v>
      </c>
      <c r="L61" s="21">
        <v>61</v>
      </c>
      <c r="M61" s="21">
        <v>70</v>
      </c>
    </row>
    <row r="62" spans="1:13" x14ac:dyDescent="0.25">
      <c r="A62">
        <v>2011</v>
      </c>
      <c r="B62" t="s">
        <v>46</v>
      </c>
      <c r="C62" s="26">
        <v>40737</v>
      </c>
      <c r="D62" s="21">
        <v>106</v>
      </c>
      <c r="E62" s="21" t="s">
        <v>180</v>
      </c>
      <c r="F62" s="21">
        <v>81</v>
      </c>
      <c r="G62" s="21">
        <v>90</v>
      </c>
      <c r="H62" s="21">
        <v>61</v>
      </c>
      <c r="I62" s="21">
        <v>70</v>
      </c>
      <c r="J62" s="21">
        <v>21</v>
      </c>
      <c r="K62" s="21">
        <v>30</v>
      </c>
      <c r="L62" s="21">
        <v>61</v>
      </c>
      <c r="M62" s="21">
        <v>70</v>
      </c>
    </row>
    <row r="63" spans="1:13" x14ac:dyDescent="0.25">
      <c r="A63">
        <v>2011</v>
      </c>
      <c r="B63" t="s">
        <v>46</v>
      </c>
      <c r="C63" s="26">
        <v>40737</v>
      </c>
      <c r="D63" s="21">
        <v>106</v>
      </c>
      <c r="E63" s="21" t="s">
        <v>65</v>
      </c>
      <c r="F63" s="21" t="s">
        <v>2</v>
      </c>
      <c r="G63" s="21">
        <v>0.5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</row>
    <row r="64" spans="1:13" x14ac:dyDescent="0.25">
      <c r="A64">
        <v>2011</v>
      </c>
      <c r="B64" t="s">
        <v>46</v>
      </c>
      <c r="C64" s="26">
        <v>40737</v>
      </c>
      <c r="D64" s="21">
        <v>106</v>
      </c>
      <c r="E64" s="21" t="s">
        <v>83</v>
      </c>
      <c r="F64" s="21" t="s">
        <v>2</v>
      </c>
      <c r="G64" s="21">
        <v>0.5</v>
      </c>
      <c r="H64" s="21" t="s">
        <v>2</v>
      </c>
      <c r="I64" s="21">
        <v>0.5</v>
      </c>
      <c r="J64" s="21">
        <v>0</v>
      </c>
      <c r="K64" s="21">
        <v>0</v>
      </c>
      <c r="L64" s="21">
        <v>0</v>
      </c>
      <c r="M64" s="21">
        <v>0</v>
      </c>
    </row>
    <row r="65" spans="1:13" x14ac:dyDescent="0.25">
      <c r="A65">
        <v>2011</v>
      </c>
      <c r="B65" t="s">
        <v>46</v>
      </c>
      <c r="C65" s="2">
        <v>40737</v>
      </c>
      <c r="D65" s="21">
        <v>107</v>
      </c>
      <c r="E65" s="21" t="s">
        <v>179</v>
      </c>
      <c r="F65" s="21">
        <v>81</v>
      </c>
      <c r="G65" s="21">
        <v>90</v>
      </c>
      <c r="H65" s="21">
        <v>11</v>
      </c>
      <c r="I65" s="21">
        <v>15</v>
      </c>
      <c r="J65" s="21">
        <v>11</v>
      </c>
      <c r="K65" s="21">
        <v>15</v>
      </c>
      <c r="L65" s="21">
        <v>81</v>
      </c>
      <c r="M65" s="21">
        <v>90</v>
      </c>
    </row>
    <row r="66" spans="1:13" x14ac:dyDescent="0.25">
      <c r="A66">
        <v>2011</v>
      </c>
      <c r="B66" t="s">
        <v>46</v>
      </c>
      <c r="C66" s="2">
        <v>40737</v>
      </c>
      <c r="D66" s="21">
        <v>107</v>
      </c>
      <c r="E66" s="21" t="s">
        <v>180</v>
      </c>
      <c r="F66" s="21">
        <v>81</v>
      </c>
      <c r="G66" s="21">
        <v>90</v>
      </c>
      <c r="H66" s="21">
        <v>11</v>
      </c>
      <c r="I66" s="21">
        <v>15</v>
      </c>
      <c r="J66" s="21">
        <v>11</v>
      </c>
      <c r="K66" s="21">
        <v>15</v>
      </c>
      <c r="L66" s="21">
        <v>81</v>
      </c>
      <c r="M66" s="21">
        <v>90</v>
      </c>
    </row>
    <row r="67" spans="1:13" x14ac:dyDescent="0.25">
      <c r="A67">
        <v>2011</v>
      </c>
      <c r="B67" t="s">
        <v>46</v>
      </c>
      <c r="C67" s="2">
        <v>40737</v>
      </c>
      <c r="D67" s="21">
        <v>107</v>
      </c>
      <c r="E67" s="21" t="s">
        <v>83</v>
      </c>
      <c r="F67" s="21" t="s">
        <v>2</v>
      </c>
      <c r="G67" s="21">
        <v>0.5</v>
      </c>
      <c r="H67" s="21" t="s">
        <v>2</v>
      </c>
      <c r="I67" s="21">
        <v>0.5</v>
      </c>
      <c r="J67" s="21" t="s">
        <v>2</v>
      </c>
      <c r="K67" s="21">
        <v>0.5</v>
      </c>
      <c r="L67" s="21">
        <v>0</v>
      </c>
      <c r="M67" s="21">
        <v>0</v>
      </c>
    </row>
    <row r="68" spans="1:13" x14ac:dyDescent="0.25">
      <c r="A68">
        <v>2011</v>
      </c>
      <c r="B68" t="s">
        <v>46</v>
      </c>
      <c r="C68" s="2">
        <v>40737</v>
      </c>
      <c r="D68" s="21">
        <v>108</v>
      </c>
      <c r="E68" s="21" t="s">
        <v>179</v>
      </c>
      <c r="F68" s="21">
        <v>41</v>
      </c>
      <c r="G68" s="21">
        <v>50</v>
      </c>
      <c r="H68" s="21">
        <v>6</v>
      </c>
      <c r="I68" s="21">
        <v>8</v>
      </c>
      <c r="J68" s="21">
        <v>41</v>
      </c>
      <c r="K68" s="21">
        <v>50</v>
      </c>
      <c r="L68" s="21">
        <v>81</v>
      </c>
      <c r="M68" s="21">
        <v>90</v>
      </c>
    </row>
    <row r="69" spans="1:13" x14ac:dyDescent="0.25">
      <c r="A69">
        <v>2011</v>
      </c>
      <c r="B69" t="s">
        <v>46</v>
      </c>
      <c r="C69" s="2">
        <v>40737</v>
      </c>
      <c r="D69" s="21">
        <v>108</v>
      </c>
      <c r="E69" s="21" t="s">
        <v>180</v>
      </c>
      <c r="F69" s="21">
        <v>41</v>
      </c>
      <c r="G69" s="21">
        <v>50</v>
      </c>
      <c r="H69" s="21">
        <v>6</v>
      </c>
      <c r="I69" s="21">
        <v>8</v>
      </c>
      <c r="J69" s="21">
        <v>41</v>
      </c>
      <c r="K69" s="21">
        <v>50</v>
      </c>
      <c r="L69" s="21">
        <v>81</v>
      </c>
      <c r="M69" s="21">
        <v>90</v>
      </c>
    </row>
    <row r="70" spans="1:13" x14ac:dyDescent="0.25">
      <c r="A70">
        <v>2011</v>
      </c>
      <c r="B70" t="s">
        <v>46</v>
      </c>
      <c r="C70" s="2">
        <v>40737</v>
      </c>
      <c r="D70" s="21">
        <v>108</v>
      </c>
      <c r="E70" s="21" t="s">
        <v>65</v>
      </c>
      <c r="F70" s="21" t="s">
        <v>2</v>
      </c>
      <c r="G70" s="21">
        <v>0.5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</row>
    <row r="71" spans="1:13" x14ac:dyDescent="0.25">
      <c r="A71">
        <v>2011</v>
      </c>
      <c r="B71" t="s">
        <v>46</v>
      </c>
      <c r="C71" s="2">
        <v>40744</v>
      </c>
      <c r="D71" s="21">
        <v>109</v>
      </c>
      <c r="E71" s="21" t="s">
        <v>179</v>
      </c>
      <c r="F71" s="21">
        <v>61</v>
      </c>
      <c r="G71" s="21">
        <v>70</v>
      </c>
      <c r="H71" s="21">
        <v>21</v>
      </c>
      <c r="I71" s="21">
        <v>30</v>
      </c>
      <c r="J71" s="21">
        <v>41</v>
      </c>
      <c r="K71" s="21">
        <v>50</v>
      </c>
      <c r="L71" s="21">
        <v>81</v>
      </c>
      <c r="M71" s="21">
        <v>90</v>
      </c>
    </row>
    <row r="72" spans="1:13" x14ac:dyDescent="0.25">
      <c r="A72">
        <v>2011</v>
      </c>
      <c r="B72" t="s">
        <v>46</v>
      </c>
      <c r="C72" s="2">
        <v>40744</v>
      </c>
      <c r="D72" s="21">
        <v>109</v>
      </c>
      <c r="E72" s="21" t="s">
        <v>180</v>
      </c>
      <c r="F72" s="21">
        <v>61</v>
      </c>
      <c r="G72" s="21">
        <v>70</v>
      </c>
      <c r="H72" s="21">
        <v>21</v>
      </c>
      <c r="I72" s="21">
        <v>30</v>
      </c>
      <c r="J72" s="21">
        <v>41</v>
      </c>
      <c r="K72" s="21">
        <v>50</v>
      </c>
      <c r="L72" s="21">
        <v>81</v>
      </c>
      <c r="M72" s="21">
        <v>90</v>
      </c>
    </row>
    <row r="73" spans="1:13" x14ac:dyDescent="0.25">
      <c r="A73">
        <v>2011</v>
      </c>
      <c r="B73" t="s">
        <v>46</v>
      </c>
      <c r="C73" s="2">
        <v>40744</v>
      </c>
      <c r="D73" s="21">
        <v>109</v>
      </c>
      <c r="E73" s="21" t="s">
        <v>67</v>
      </c>
      <c r="F73" s="21" t="s">
        <v>2</v>
      </c>
      <c r="G73" s="21">
        <v>0.5</v>
      </c>
      <c r="H73" s="21" t="s">
        <v>2</v>
      </c>
      <c r="I73" s="21">
        <v>0.5</v>
      </c>
      <c r="J73" s="21">
        <v>0</v>
      </c>
      <c r="K73" s="21">
        <v>0</v>
      </c>
      <c r="L73" s="21">
        <v>0</v>
      </c>
      <c r="M73" s="21">
        <v>0</v>
      </c>
    </row>
    <row r="74" spans="1:13" x14ac:dyDescent="0.25">
      <c r="A74">
        <v>2011</v>
      </c>
      <c r="B74" t="s">
        <v>46</v>
      </c>
      <c r="C74" s="2">
        <v>40745</v>
      </c>
      <c r="D74" s="21">
        <v>110</v>
      </c>
      <c r="E74" s="21" t="s">
        <v>179</v>
      </c>
      <c r="F74" s="21">
        <v>41</v>
      </c>
      <c r="G74" s="21">
        <v>50</v>
      </c>
      <c r="H74" s="21">
        <v>61</v>
      </c>
      <c r="I74" s="21">
        <v>70</v>
      </c>
      <c r="J74" s="21">
        <v>81</v>
      </c>
      <c r="K74" s="21">
        <v>90</v>
      </c>
      <c r="L74" s="21">
        <v>81</v>
      </c>
      <c r="M74" s="21">
        <v>90</v>
      </c>
    </row>
    <row r="75" spans="1:13" x14ac:dyDescent="0.25">
      <c r="A75">
        <v>2011</v>
      </c>
      <c r="B75" t="s">
        <v>46</v>
      </c>
      <c r="C75" s="2">
        <v>40745</v>
      </c>
      <c r="D75" s="21">
        <v>110</v>
      </c>
      <c r="E75" s="21" t="s">
        <v>180</v>
      </c>
      <c r="F75" s="21">
        <v>41</v>
      </c>
      <c r="G75" s="21">
        <v>50</v>
      </c>
      <c r="H75" s="21">
        <v>61</v>
      </c>
      <c r="I75" s="21">
        <v>70</v>
      </c>
      <c r="J75" s="21">
        <v>81</v>
      </c>
      <c r="K75" s="21">
        <v>90</v>
      </c>
      <c r="L75" s="21">
        <v>81</v>
      </c>
      <c r="M75" s="21">
        <v>90</v>
      </c>
    </row>
    <row r="76" spans="1:13" x14ac:dyDescent="0.25">
      <c r="A76">
        <v>2011</v>
      </c>
      <c r="B76" t="s">
        <v>46</v>
      </c>
      <c r="C76" s="2">
        <v>40744</v>
      </c>
      <c r="D76" s="21">
        <v>111</v>
      </c>
      <c r="E76" s="21" t="s">
        <v>179</v>
      </c>
      <c r="F76" s="21">
        <v>81</v>
      </c>
      <c r="G76" s="21">
        <v>90</v>
      </c>
      <c r="H76" s="21">
        <v>61</v>
      </c>
      <c r="I76" s="21">
        <v>70</v>
      </c>
      <c r="J76" s="21">
        <v>61</v>
      </c>
      <c r="K76" s="21">
        <v>70</v>
      </c>
      <c r="L76" s="21">
        <v>61</v>
      </c>
      <c r="M76" s="21">
        <v>70</v>
      </c>
    </row>
    <row r="77" spans="1:13" x14ac:dyDescent="0.25">
      <c r="A77">
        <v>2011</v>
      </c>
      <c r="B77" t="s">
        <v>46</v>
      </c>
      <c r="C77" s="2">
        <v>40744</v>
      </c>
      <c r="D77" s="21">
        <v>111</v>
      </c>
      <c r="E77" s="21" t="s">
        <v>180</v>
      </c>
      <c r="F77" s="21">
        <v>81</v>
      </c>
      <c r="G77" s="21">
        <v>90</v>
      </c>
      <c r="H77" s="21">
        <v>61</v>
      </c>
      <c r="I77" s="21">
        <v>70</v>
      </c>
      <c r="J77" s="21">
        <v>61</v>
      </c>
      <c r="K77" s="21">
        <v>70</v>
      </c>
      <c r="L77" s="21">
        <v>61</v>
      </c>
      <c r="M77" s="21">
        <v>70</v>
      </c>
    </row>
    <row r="78" spans="1:13" x14ac:dyDescent="0.25">
      <c r="A78">
        <v>2011</v>
      </c>
      <c r="B78" t="s">
        <v>46</v>
      </c>
      <c r="C78" s="2">
        <v>40744</v>
      </c>
      <c r="D78" s="21">
        <v>111</v>
      </c>
      <c r="E78" s="21" t="s">
        <v>77</v>
      </c>
      <c r="F78" s="21" t="s">
        <v>2</v>
      </c>
      <c r="G78" s="21">
        <v>0.5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</row>
    <row r="79" spans="1:13" x14ac:dyDescent="0.25">
      <c r="A79">
        <v>2011</v>
      </c>
      <c r="B79" t="s">
        <v>46</v>
      </c>
      <c r="C79" s="2">
        <v>40744</v>
      </c>
      <c r="D79" s="21">
        <v>111</v>
      </c>
      <c r="E79" s="21" t="s">
        <v>67</v>
      </c>
      <c r="F79" s="21">
        <v>1</v>
      </c>
      <c r="G79" s="21">
        <v>3</v>
      </c>
      <c r="H79" s="21" t="s">
        <v>2</v>
      </c>
      <c r="I79" s="21">
        <v>0.5</v>
      </c>
      <c r="J79" s="21">
        <v>0</v>
      </c>
      <c r="K79" s="21">
        <v>0</v>
      </c>
      <c r="L79" s="21">
        <v>0</v>
      </c>
      <c r="M79" s="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89"/>
  <sheetViews>
    <sheetView workbookViewId="0">
      <pane ySplit="3" topLeftCell="A4" activePane="bottomLeft" state="frozen"/>
      <selection pane="bottomLeft" activeCell="C85" sqref="C85"/>
    </sheetView>
  </sheetViews>
  <sheetFormatPr defaultRowHeight="12.5" x14ac:dyDescent="0.25"/>
  <cols>
    <col min="1" max="1" width="8.7265625" customWidth="1"/>
    <col min="2" max="2" width="12.453125" customWidth="1"/>
    <col min="3" max="3" width="9.1796875" style="2" customWidth="1"/>
    <col min="5" max="5" width="21.26953125" customWidth="1"/>
    <col min="11" max="11" width="8.81640625" style="29"/>
  </cols>
  <sheetData>
    <row r="1" spans="1:11" x14ac:dyDescent="0.25">
      <c r="A1" s="2" t="s">
        <v>183</v>
      </c>
      <c r="F1" t="s">
        <v>184</v>
      </c>
      <c r="G1">
        <f>3.14159*(8*8)</f>
        <v>201.06175999999999</v>
      </c>
    </row>
    <row r="2" spans="1:11" x14ac:dyDescent="0.25">
      <c r="A2" t="s">
        <v>185</v>
      </c>
    </row>
    <row r="3" spans="1:11" ht="13" thickBot="1" x14ac:dyDescent="0.3">
      <c r="A3" s="25" t="s">
        <v>8</v>
      </c>
      <c r="B3" s="25" t="s">
        <v>9</v>
      </c>
      <c r="C3" s="5" t="s">
        <v>10</v>
      </c>
      <c r="D3" s="6" t="s">
        <v>11</v>
      </c>
      <c r="E3" s="6" t="s">
        <v>12</v>
      </c>
      <c r="F3" s="6" t="s">
        <v>186</v>
      </c>
      <c r="G3" s="6" t="s">
        <v>187</v>
      </c>
      <c r="H3" s="6" t="s">
        <v>188</v>
      </c>
      <c r="I3" s="6" t="s">
        <v>189</v>
      </c>
      <c r="J3" s="6" t="s">
        <v>190</v>
      </c>
      <c r="K3" s="21" t="s">
        <v>45</v>
      </c>
    </row>
    <row r="4" spans="1:11" ht="13" thickTop="1" x14ac:dyDescent="0.25">
      <c r="A4">
        <v>2011</v>
      </c>
      <c r="B4" s="21" t="s">
        <v>46</v>
      </c>
      <c r="C4" s="2">
        <v>40745</v>
      </c>
      <c r="D4">
        <v>67</v>
      </c>
      <c r="E4" s="21" t="s">
        <v>49</v>
      </c>
      <c r="F4" s="21">
        <v>13</v>
      </c>
      <c r="G4" s="21">
        <v>10</v>
      </c>
      <c r="H4" s="21">
        <v>22</v>
      </c>
      <c r="I4" s="21">
        <v>46</v>
      </c>
      <c r="J4">
        <f>SUM(F4:I4)</f>
        <v>91</v>
      </c>
    </row>
    <row r="5" spans="1:11" x14ac:dyDescent="0.25">
      <c r="A5">
        <v>2011</v>
      </c>
      <c r="B5" s="21" t="s">
        <v>46</v>
      </c>
      <c r="C5" s="2">
        <v>40745</v>
      </c>
      <c r="D5">
        <v>67</v>
      </c>
      <c r="E5" s="21" t="s">
        <v>52</v>
      </c>
      <c r="F5" s="21">
        <v>0</v>
      </c>
      <c r="G5" s="21">
        <v>0</v>
      </c>
      <c r="H5" s="21">
        <v>1</v>
      </c>
      <c r="I5" s="21">
        <v>0</v>
      </c>
      <c r="J5">
        <f t="shared" ref="J5:J89" si="0">SUM(F5:I5)</f>
        <v>1</v>
      </c>
    </row>
    <row r="6" spans="1:11" x14ac:dyDescent="0.25">
      <c r="A6">
        <v>2011</v>
      </c>
      <c r="B6" s="21" t="s">
        <v>46</v>
      </c>
      <c r="C6" s="2">
        <v>40745</v>
      </c>
      <c r="D6">
        <v>67</v>
      </c>
      <c r="E6" s="21" t="s">
        <v>69</v>
      </c>
      <c r="F6" s="21">
        <v>0</v>
      </c>
      <c r="G6" s="21">
        <v>0</v>
      </c>
      <c r="H6" s="21">
        <v>0</v>
      </c>
      <c r="I6" s="21">
        <v>1</v>
      </c>
      <c r="J6">
        <f t="shared" si="0"/>
        <v>1</v>
      </c>
    </row>
    <row r="7" spans="1:11" x14ac:dyDescent="0.25">
      <c r="A7">
        <v>2011</v>
      </c>
      <c r="B7" s="21" t="s">
        <v>46</v>
      </c>
      <c r="C7" s="2">
        <v>40745</v>
      </c>
      <c r="D7">
        <v>68</v>
      </c>
      <c r="E7" s="21" t="s">
        <v>49</v>
      </c>
      <c r="F7" s="21">
        <v>4</v>
      </c>
      <c r="G7" s="21">
        <v>1</v>
      </c>
      <c r="H7" s="21">
        <v>3</v>
      </c>
      <c r="I7" s="21">
        <v>12</v>
      </c>
      <c r="J7">
        <f t="shared" si="0"/>
        <v>20</v>
      </c>
      <c r="K7" s="29" t="s">
        <v>191</v>
      </c>
    </row>
    <row r="8" spans="1:11" x14ac:dyDescent="0.25">
      <c r="A8">
        <v>2011</v>
      </c>
      <c r="B8" s="21" t="s">
        <v>46</v>
      </c>
      <c r="C8" s="2">
        <v>40745</v>
      </c>
      <c r="D8">
        <v>68</v>
      </c>
      <c r="E8" s="21" t="s">
        <v>51</v>
      </c>
      <c r="F8" s="21">
        <v>3</v>
      </c>
      <c r="G8" s="21">
        <v>5</v>
      </c>
      <c r="H8" s="21">
        <v>3</v>
      </c>
      <c r="I8" s="21">
        <v>2</v>
      </c>
      <c r="J8">
        <f t="shared" si="0"/>
        <v>13</v>
      </c>
      <c r="K8" s="29" t="s">
        <v>192</v>
      </c>
    </row>
    <row r="9" spans="1:11" x14ac:dyDescent="0.25">
      <c r="A9">
        <v>2011</v>
      </c>
      <c r="B9" s="21" t="s">
        <v>46</v>
      </c>
      <c r="C9" s="2">
        <v>40745</v>
      </c>
      <c r="D9">
        <v>68</v>
      </c>
      <c r="E9" s="21" t="s">
        <v>47</v>
      </c>
      <c r="F9" s="21">
        <v>0</v>
      </c>
      <c r="G9" s="21">
        <v>0</v>
      </c>
      <c r="H9" s="21">
        <v>0</v>
      </c>
      <c r="I9" s="21">
        <v>1</v>
      </c>
      <c r="J9">
        <f t="shared" si="0"/>
        <v>1</v>
      </c>
    </row>
    <row r="10" spans="1:11" x14ac:dyDescent="0.25">
      <c r="A10">
        <v>2011</v>
      </c>
      <c r="B10" s="21" t="s">
        <v>46</v>
      </c>
      <c r="C10" s="2">
        <v>40745</v>
      </c>
      <c r="D10">
        <v>68</v>
      </c>
      <c r="E10" s="21" t="s">
        <v>52</v>
      </c>
      <c r="F10" s="21">
        <v>0</v>
      </c>
      <c r="G10" s="21">
        <v>0</v>
      </c>
      <c r="H10" s="21">
        <v>0</v>
      </c>
      <c r="I10" s="21">
        <v>1</v>
      </c>
      <c r="J10">
        <f t="shared" si="0"/>
        <v>1</v>
      </c>
    </row>
    <row r="11" spans="1:11" x14ac:dyDescent="0.25">
      <c r="A11">
        <v>2011</v>
      </c>
      <c r="B11" s="21" t="s">
        <v>46</v>
      </c>
      <c r="C11" s="2">
        <v>40745</v>
      </c>
      <c r="D11">
        <v>69</v>
      </c>
      <c r="E11" s="21" t="s">
        <v>49</v>
      </c>
      <c r="F11" s="21">
        <v>7</v>
      </c>
      <c r="G11" s="21">
        <v>6</v>
      </c>
      <c r="H11" s="21">
        <v>4</v>
      </c>
      <c r="I11" s="21">
        <v>29</v>
      </c>
      <c r="J11">
        <f t="shared" si="0"/>
        <v>46</v>
      </c>
    </row>
    <row r="12" spans="1:11" x14ac:dyDescent="0.25">
      <c r="A12">
        <v>2011</v>
      </c>
      <c r="B12" s="21" t="s">
        <v>46</v>
      </c>
      <c r="C12" s="2">
        <v>40745</v>
      </c>
      <c r="D12">
        <v>69</v>
      </c>
      <c r="E12" s="21" t="s">
        <v>51</v>
      </c>
      <c r="F12" s="21">
        <v>1</v>
      </c>
      <c r="G12" s="21">
        <v>5</v>
      </c>
      <c r="H12" s="21">
        <v>2</v>
      </c>
      <c r="I12" s="21">
        <v>3</v>
      </c>
      <c r="J12">
        <f t="shared" si="0"/>
        <v>11</v>
      </c>
      <c r="K12" s="29" t="s">
        <v>193</v>
      </c>
    </row>
    <row r="13" spans="1:11" x14ac:dyDescent="0.25">
      <c r="A13">
        <v>2011</v>
      </c>
      <c r="B13" s="21" t="s">
        <v>46</v>
      </c>
      <c r="C13" s="2">
        <v>40745</v>
      </c>
      <c r="D13">
        <v>69</v>
      </c>
      <c r="E13" s="21" t="s">
        <v>50</v>
      </c>
      <c r="F13" s="21">
        <v>0</v>
      </c>
      <c r="G13" s="21">
        <v>0</v>
      </c>
      <c r="H13" s="21">
        <v>2</v>
      </c>
      <c r="I13" s="21">
        <v>0</v>
      </c>
      <c r="J13">
        <f t="shared" si="0"/>
        <v>2</v>
      </c>
    </row>
    <row r="14" spans="1:11" x14ac:dyDescent="0.25">
      <c r="A14">
        <v>2011</v>
      </c>
      <c r="B14" s="21" t="s">
        <v>46</v>
      </c>
      <c r="C14" s="2">
        <v>40751</v>
      </c>
      <c r="D14">
        <v>70</v>
      </c>
      <c r="E14" s="21" t="s">
        <v>47</v>
      </c>
      <c r="F14" s="21">
        <v>1</v>
      </c>
      <c r="G14" s="21">
        <v>0</v>
      </c>
      <c r="H14" s="21">
        <v>2</v>
      </c>
      <c r="I14" s="21">
        <v>1</v>
      </c>
      <c r="J14">
        <f t="shared" ref="J14:J22" si="1">SUM(F14:I14)</f>
        <v>4</v>
      </c>
      <c r="K14" s="29" t="s">
        <v>194</v>
      </c>
    </row>
    <row r="15" spans="1:11" x14ac:dyDescent="0.25">
      <c r="A15">
        <v>2011</v>
      </c>
      <c r="B15" s="21" t="s">
        <v>46</v>
      </c>
      <c r="C15" s="2">
        <v>40751</v>
      </c>
      <c r="D15">
        <v>70</v>
      </c>
      <c r="E15" s="21" t="s">
        <v>51</v>
      </c>
      <c r="F15" s="21">
        <v>2</v>
      </c>
      <c r="G15" s="21">
        <v>6</v>
      </c>
      <c r="H15" s="21">
        <v>0</v>
      </c>
      <c r="I15" s="21">
        <v>2</v>
      </c>
      <c r="J15">
        <f t="shared" si="1"/>
        <v>10</v>
      </c>
      <c r="K15" s="29" t="s">
        <v>195</v>
      </c>
    </row>
    <row r="16" spans="1:11" x14ac:dyDescent="0.25">
      <c r="A16">
        <v>2011</v>
      </c>
      <c r="B16" s="21" t="s">
        <v>46</v>
      </c>
      <c r="C16" s="2">
        <v>40751</v>
      </c>
      <c r="D16">
        <v>70</v>
      </c>
      <c r="E16" s="21" t="s">
        <v>49</v>
      </c>
      <c r="F16" s="21">
        <v>0</v>
      </c>
      <c r="G16" s="21">
        <v>1</v>
      </c>
      <c r="H16" s="21">
        <v>1</v>
      </c>
      <c r="I16" s="21">
        <v>1</v>
      </c>
      <c r="J16">
        <f t="shared" si="1"/>
        <v>3</v>
      </c>
    </row>
    <row r="17" spans="1:11" x14ac:dyDescent="0.25">
      <c r="A17">
        <v>2011</v>
      </c>
      <c r="B17" s="21" t="s">
        <v>46</v>
      </c>
      <c r="C17" s="2">
        <v>40751</v>
      </c>
      <c r="D17">
        <v>70</v>
      </c>
      <c r="E17" s="21" t="s">
        <v>60</v>
      </c>
      <c r="F17" s="21">
        <v>0</v>
      </c>
      <c r="G17" s="21">
        <v>0</v>
      </c>
      <c r="H17">
        <f>(1.2*1)+(1*0.5)+(1.3*1.3)</f>
        <v>3.39</v>
      </c>
      <c r="I17">
        <f>(1.4*1)+(0.7*0.7)+(0.6*0.4)+(2*0.8)</f>
        <v>3.73</v>
      </c>
      <c r="J17">
        <f t="shared" si="1"/>
        <v>7.12</v>
      </c>
    </row>
    <row r="18" spans="1:11" x14ac:dyDescent="0.25">
      <c r="A18">
        <v>2011</v>
      </c>
      <c r="B18" s="21" t="s">
        <v>46</v>
      </c>
      <c r="C18" s="2">
        <v>40751</v>
      </c>
      <c r="D18">
        <v>70</v>
      </c>
      <c r="E18" s="21" t="s">
        <v>63</v>
      </c>
      <c r="F18" s="21">
        <v>0</v>
      </c>
      <c r="G18" s="21">
        <v>0</v>
      </c>
      <c r="H18">
        <f>(1.2*0.9)</f>
        <v>1.08</v>
      </c>
      <c r="I18">
        <v>0</v>
      </c>
      <c r="J18">
        <f t="shared" si="1"/>
        <v>1.08</v>
      </c>
    </row>
    <row r="19" spans="1:11" x14ac:dyDescent="0.25">
      <c r="A19">
        <v>2011</v>
      </c>
      <c r="B19" s="21" t="s">
        <v>46</v>
      </c>
      <c r="C19" s="2">
        <v>40751</v>
      </c>
      <c r="D19">
        <v>70</v>
      </c>
      <c r="E19" s="21" t="s">
        <v>54</v>
      </c>
      <c r="F19" s="21">
        <v>0</v>
      </c>
      <c r="G19" s="21">
        <v>0</v>
      </c>
      <c r="H19">
        <v>0</v>
      </c>
      <c r="I19">
        <f>(201*0.05)</f>
        <v>10.050000000000001</v>
      </c>
      <c r="J19">
        <f t="shared" si="1"/>
        <v>10.050000000000001</v>
      </c>
    </row>
    <row r="20" spans="1:11" x14ac:dyDescent="0.25">
      <c r="A20">
        <v>2011</v>
      </c>
      <c r="B20" s="21" t="s">
        <v>46</v>
      </c>
      <c r="C20" s="2">
        <v>40751</v>
      </c>
      <c r="D20">
        <v>71</v>
      </c>
      <c r="E20" s="21" t="s">
        <v>51</v>
      </c>
      <c r="F20" s="21">
        <v>0</v>
      </c>
      <c r="G20" s="21">
        <v>0</v>
      </c>
      <c r="H20" s="21">
        <v>6</v>
      </c>
      <c r="I20" s="21">
        <v>0</v>
      </c>
      <c r="J20">
        <f t="shared" si="1"/>
        <v>6</v>
      </c>
      <c r="K20" s="29" t="s">
        <v>196</v>
      </c>
    </row>
    <row r="21" spans="1:11" x14ac:dyDescent="0.25">
      <c r="A21">
        <v>2011</v>
      </c>
      <c r="B21" s="21" t="s">
        <v>46</v>
      </c>
      <c r="C21" s="2">
        <v>40751</v>
      </c>
      <c r="D21">
        <v>71</v>
      </c>
      <c r="E21" s="21" t="s">
        <v>52</v>
      </c>
      <c r="F21" s="21">
        <v>0</v>
      </c>
      <c r="G21" s="21">
        <v>0</v>
      </c>
      <c r="H21" s="21">
        <v>1</v>
      </c>
      <c r="I21" s="21">
        <v>0</v>
      </c>
      <c r="J21">
        <f t="shared" si="1"/>
        <v>1</v>
      </c>
    </row>
    <row r="22" spans="1:11" x14ac:dyDescent="0.25">
      <c r="A22">
        <v>2011</v>
      </c>
      <c r="B22" s="21" t="s">
        <v>46</v>
      </c>
      <c r="C22" s="2">
        <v>40751</v>
      </c>
      <c r="D22">
        <v>71</v>
      </c>
      <c r="E22" s="21" t="s">
        <v>47</v>
      </c>
      <c r="F22" s="21">
        <v>0</v>
      </c>
      <c r="G22" s="21">
        <v>0</v>
      </c>
      <c r="H22" s="21">
        <v>3</v>
      </c>
      <c r="I22" s="21">
        <v>5</v>
      </c>
      <c r="J22">
        <f t="shared" si="1"/>
        <v>8</v>
      </c>
    </row>
    <row r="23" spans="1:11" x14ac:dyDescent="0.25">
      <c r="A23">
        <v>2011</v>
      </c>
      <c r="B23" s="21" t="s">
        <v>46</v>
      </c>
      <c r="C23" s="2">
        <v>40751</v>
      </c>
      <c r="D23">
        <v>71</v>
      </c>
      <c r="E23" s="21" t="s">
        <v>197</v>
      </c>
      <c r="F23" s="21">
        <v>0</v>
      </c>
      <c r="G23" s="21">
        <v>0</v>
      </c>
      <c r="H23" s="21">
        <v>0</v>
      </c>
      <c r="I23" s="21">
        <v>1</v>
      </c>
      <c r="J23">
        <f t="shared" ref="J23:J34" si="2">SUM(F23:I23)</f>
        <v>1</v>
      </c>
    </row>
    <row r="24" spans="1:11" x14ac:dyDescent="0.25">
      <c r="A24">
        <v>2011</v>
      </c>
      <c r="B24" s="21" t="s">
        <v>46</v>
      </c>
      <c r="C24" s="2">
        <v>40751</v>
      </c>
      <c r="D24">
        <v>71</v>
      </c>
      <c r="E24" s="21" t="s">
        <v>63</v>
      </c>
      <c r="F24">
        <f>(1.6*0.8)</f>
        <v>1.2800000000000002</v>
      </c>
      <c r="G24">
        <f>(1*0.7)</f>
        <v>0.7</v>
      </c>
      <c r="H24">
        <f>(0.7*0.6)</f>
        <v>0.42</v>
      </c>
      <c r="I24">
        <f>(1.7*1.6)+(3*2.5)</f>
        <v>10.220000000000001</v>
      </c>
      <c r="J24">
        <f t="shared" si="2"/>
        <v>12.620000000000001</v>
      </c>
    </row>
    <row r="25" spans="1:11" x14ac:dyDescent="0.25">
      <c r="A25">
        <v>2011</v>
      </c>
      <c r="B25" s="21" t="s">
        <v>46</v>
      </c>
      <c r="C25" s="2">
        <v>40751</v>
      </c>
      <c r="D25">
        <v>71</v>
      </c>
      <c r="E25" s="21" t="s">
        <v>62</v>
      </c>
      <c r="F25" s="21">
        <v>0</v>
      </c>
      <c r="G25" s="21">
        <v>0</v>
      </c>
      <c r="H25">
        <f>(2.5*2)</f>
        <v>5</v>
      </c>
      <c r="I25">
        <v>0</v>
      </c>
      <c r="J25">
        <f t="shared" si="2"/>
        <v>5</v>
      </c>
    </row>
    <row r="26" spans="1:11" x14ac:dyDescent="0.25">
      <c r="A26">
        <v>2011</v>
      </c>
      <c r="B26" s="21" t="s">
        <v>46</v>
      </c>
      <c r="C26" s="2">
        <v>40751</v>
      </c>
      <c r="D26">
        <v>72</v>
      </c>
      <c r="E26" s="21" t="s">
        <v>51</v>
      </c>
      <c r="F26" s="21">
        <v>5</v>
      </c>
      <c r="G26" s="21">
        <v>2</v>
      </c>
      <c r="H26" s="21">
        <v>1</v>
      </c>
      <c r="I26" s="21">
        <v>6</v>
      </c>
      <c r="J26">
        <f t="shared" si="2"/>
        <v>14</v>
      </c>
      <c r="K26" s="29" t="s">
        <v>198</v>
      </c>
    </row>
    <row r="27" spans="1:11" x14ac:dyDescent="0.25">
      <c r="A27">
        <v>2011</v>
      </c>
      <c r="B27" s="21" t="s">
        <v>46</v>
      </c>
      <c r="C27" s="2">
        <v>40751</v>
      </c>
      <c r="D27">
        <v>72</v>
      </c>
      <c r="E27" s="21" t="s">
        <v>47</v>
      </c>
      <c r="F27" s="21">
        <v>14</v>
      </c>
      <c r="G27" s="21">
        <v>18</v>
      </c>
      <c r="H27" s="21">
        <v>25</v>
      </c>
      <c r="I27" s="21">
        <v>2</v>
      </c>
      <c r="J27">
        <f t="shared" si="2"/>
        <v>59</v>
      </c>
      <c r="K27" s="29" t="s">
        <v>199</v>
      </c>
    </row>
    <row r="28" spans="1:11" x14ac:dyDescent="0.25">
      <c r="A28">
        <v>2011</v>
      </c>
      <c r="B28" s="21" t="s">
        <v>46</v>
      </c>
      <c r="C28" s="2">
        <v>40751</v>
      </c>
      <c r="D28">
        <v>72</v>
      </c>
      <c r="E28" s="21" t="s">
        <v>197</v>
      </c>
      <c r="F28" s="21">
        <v>1</v>
      </c>
      <c r="G28" s="21">
        <v>0</v>
      </c>
      <c r="H28" s="21">
        <v>0</v>
      </c>
      <c r="I28" s="21">
        <v>0</v>
      </c>
      <c r="J28">
        <f t="shared" si="2"/>
        <v>1</v>
      </c>
    </row>
    <row r="29" spans="1:11" x14ac:dyDescent="0.25">
      <c r="A29">
        <v>2011</v>
      </c>
      <c r="B29" s="21" t="s">
        <v>46</v>
      </c>
      <c r="C29" s="2">
        <v>40751</v>
      </c>
      <c r="D29">
        <v>72</v>
      </c>
      <c r="E29" s="21" t="s">
        <v>200</v>
      </c>
      <c r="F29" s="21">
        <v>1</v>
      </c>
      <c r="G29" s="21">
        <v>2</v>
      </c>
      <c r="H29" s="21">
        <v>2</v>
      </c>
      <c r="I29" s="21">
        <v>0</v>
      </c>
      <c r="J29">
        <f t="shared" si="2"/>
        <v>5</v>
      </c>
    </row>
    <row r="30" spans="1:11" x14ac:dyDescent="0.25">
      <c r="A30">
        <v>2011</v>
      </c>
      <c r="B30" s="21" t="s">
        <v>46</v>
      </c>
      <c r="C30" s="2">
        <v>40751</v>
      </c>
      <c r="D30">
        <v>72</v>
      </c>
      <c r="E30" s="21" t="s">
        <v>91</v>
      </c>
      <c r="F30" s="21">
        <v>0</v>
      </c>
      <c r="G30" s="21">
        <v>1</v>
      </c>
      <c r="H30" s="21">
        <v>0</v>
      </c>
      <c r="I30" s="21">
        <v>0</v>
      </c>
      <c r="J30">
        <f t="shared" si="2"/>
        <v>1</v>
      </c>
    </row>
    <row r="31" spans="1:11" x14ac:dyDescent="0.25">
      <c r="A31">
        <v>2011</v>
      </c>
      <c r="B31" s="21" t="s">
        <v>46</v>
      </c>
      <c r="C31" s="2">
        <v>40751</v>
      </c>
      <c r="D31">
        <v>72</v>
      </c>
      <c r="E31" s="21" t="s">
        <v>64</v>
      </c>
      <c r="F31">
        <f>(1.7*1.2)</f>
        <v>2.04</v>
      </c>
      <c r="G31" s="21">
        <v>0</v>
      </c>
      <c r="H31" s="21">
        <v>0</v>
      </c>
      <c r="I31">
        <f>(1*0.9)+(0.8*0.7)+(1.3*1.1)</f>
        <v>2.89</v>
      </c>
      <c r="J31">
        <f t="shared" si="2"/>
        <v>4.93</v>
      </c>
    </row>
    <row r="32" spans="1:11" x14ac:dyDescent="0.25">
      <c r="A32">
        <v>2011</v>
      </c>
      <c r="B32" s="21" t="s">
        <v>46</v>
      </c>
      <c r="C32" s="2">
        <v>40751</v>
      </c>
      <c r="D32">
        <v>72</v>
      </c>
      <c r="E32" s="21" t="s">
        <v>54</v>
      </c>
      <c r="F32">
        <f>(201*0.06)</f>
        <v>12.059999999999999</v>
      </c>
      <c r="G32">
        <f>(201*0.08)</f>
        <v>16.080000000000002</v>
      </c>
      <c r="H32">
        <f>(201*0.1)</f>
        <v>20.100000000000001</v>
      </c>
      <c r="I32">
        <f>(201*0.02)</f>
        <v>4.0200000000000005</v>
      </c>
      <c r="J32">
        <f t="shared" si="2"/>
        <v>52.260000000000005</v>
      </c>
    </row>
    <row r="33" spans="1:10" x14ac:dyDescent="0.25">
      <c r="A33">
        <v>2011</v>
      </c>
      <c r="B33" s="21" t="s">
        <v>46</v>
      </c>
      <c r="C33" s="2">
        <v>40751</v>
      </c>
      <c r="D33">
        <v>72</v>
      </c>
      <c r="E33" s="21" t="s">
        <v>181</v>
      </c>
      <c r="F33" s="21">
        <v>0</v>
      </c>
      <c r="G33">
        <f>(1.2*0.7)</f>
        <v>0.84</v>
      </c>
      <c r="H33">
        <v>0</v>
      </c>
      <c r="I33">
        <v>0</v>
      </c>
      <c r="J33">
        <f t="shared" si="2"/>
        <v>0.84</v>
      </c>
    </row>
    <row r="34" spans="1:10" x14ac:dyDescent="0.25">
      <c r="A34">
        <v>2011</v>
      </c>
      <c r="B34" s="21" t="s">
        <v>46</v>
      </c>
      <c r="C34" s="2">
        <v>40751</v>
      </c>
      <c r="D34">
        <v>72</v>
      </c>
      <c r="E34" s="21" t="s">
        <v>66</v>
      </c>
      <c r="F34" s="21">
        <v>0</v>
      </c>
      <c r="G34">
        <f>(201*0.01)</f>
        <v>2.0100000000000002</v>
      </c>
      <c r="H34">
        <f>(1.5*1)</f>
        <v>1.5</v>
      </c>
      <c r="I34">
        <v>0</v>
      </c>
      <c r="J34">
        <f t="shared" si="2"/>
        <v>3.5100000000000002</v>
      </c>
    </row>
    <row r="35" spans="1:10" x14ac:dyDescent="0.25">
      <c r="A35">
        <v>2011</v>
      </c>
      <c r="B35" s="21" t="s">
        <v>46</v>
      </c>
      <c r="C35" s="2">
        <v>40745</v>
      </c>
      <c r="D35">
        <v>73</v>
      </c>
      <c r="E35" s="21" t="s">
        <v>49</v>
      </c>
      <c r="F35" s="21">
        <v>4</v>
      </c>
      <c r="G35" s="21">
        <v>8</v>
      </c>
      <c r="H35" s="21">
        <v>12</v>
      </c>
      <c r="I35" s="21">
        <v>2</v>
      </c>
      <c r="J35">
        <f t="shared" si="0"/>
        <v>26</v>
      </c>
    </row>
    <row r="36" spans="1:10" x14ac:dyDescent="0.25">
      <c r="A36">
        <v>2011</v>
      </c>
      <c r="B36" s="21" t="s">
        <v>46</v>
      </c>
      <c r="C36" s="2">
        <v>40745</v>
      </c>
      <c r="D36">
        <v>73</v>
      </c>
      <c r="E36" s="21" t="s">
        <v>52</v>
      </c>
      <c r="F36" s="21">
        <v>0</v>
      </c>
      <c r="G36" s="21">
        <v>0</v>
      </c>
      <c r="H36" s="21">
        <v>2</v>
      </c>
      <c r="I36" s="21">
        <v>0</v>
      </c>
      <c r="J36">
        <f t="shared" si="0"/>
        <v>2</v>
      </c>
    </row>
    <row r="37" spans="1:10" x14ac:dyDescent="0.25">
      <c r="A37">
        <v>2011</v>
      </c>
      <c r="B37" s="21" t="s">
        <v>46</v>
      </c>
      <c r="C37" s="2">
        <v>40745</v>
      </c>
      <c r="D37">
        <v>73</v>
      </c>
      <c r="E37" s="21" t="s">
        <v>51</v>
      </c>
      <c r="F37" s="21">
        <v>0</v>
      </c>
      <c r="G37" s="21">
        <v>0</v>
      </c>
      <c r="H37" s="21">
        <v>1</v>
      </c>
      <c r="I37" s="21">
        <v>0</v>
      </c>
      <c r="J37">
        <f t="shared" si="0"/>
        <v>1</v>
      </c>
    </row>
    <row r="38" spans="1:10" x14ac:dyDescent="0.25">
      <c r="A38">
        <v>2011</v>
      </c>
      <c r="B38" s="21" t="s">
        <v>46</v>
      </c>
      <c r="C38" s="2">
        <v>40745</v>
      </c>
      <c r="D38">
        <v>73</v>
      </c>
      <c r="E38" s="21" t="s">
        <v>201</v>
      </c>
      <c r="F38" s="21">
        <v>0</v>
      </c>
      <c r="G38" s="21">
        <v>0</v>
      </c>
      <c r="H38" s="21">
        <v>0</v>
      </c>
      <c r="I38" s="21">
        <v>1</v>
      </c>
      <c r="J38">
        <f t="shared" si="0"/>
        <v>1</v>
      </c>
    </row>
    <row r="39" spans="1:10" x14ac:dyDescent="0.25">
      <c r="A39">
        <v>2011</v>
      </c>
      <c r="B39" s="21" t="s">
        <v>46</v>
      </c>
      <c r="C39" s="2">
        <v>40745</v>
      </c>
      <c r="D39">
        <v>73</v>
      </c>
      <c r="E39" s="21" t="s">
        <v>68</v>
      </c>
      <c r="F39" s="21">
        <v>0</v>
      </c>
      <c r="G39" s="21">
        <v>0</v>
      </c>
      <c r="H39" s="21">
        <f>(0.9*0.3)</f>
        <v>0.27</v>
      </c>
      <c r="I39" s="21">
        <v>0</v>
      </c>
      <c r="J39">
        <f t="shared" si="0"/>
        <v>0.27</v>
      </c>
    </row>
    <row r="40" spans="1:10" x14ac:dyDescent="0.25">
      <c r="A40">
        <v>2011</v>
      </c>
      <c r="B40" s="21" t="s">
        <v>46</v>
      </c>
      <c r="C40" s="2">
        <v>40745</v>
      </c>
      <c r="D40">
        <v>74</v>
      </c>
      <c r="E40" s="21" t="s">
        <v>51</v>
      </c>
      <c r="F40" s="21">
        <v>1</v>
      </c>
      <c r="G40" s="21">
        <v>3</v>
      </c>
      <c r="H40" s="21">
        <v>6</v>
      </c>
      <c r="I40" s="21">
        <v>0</v>
      </c>
      <c r="J40">
        <f t="shared" si="0"/>
        <v>10</v>
      </c>
    </row>
    <row r="41" spans="1:10" x14ac:dyDescent="0.25">
      <c r="A41">
        <v>2011</v>
      </c>
      <c r="B41" s="21" t="s">
        <v>46</v>
      </c>
      <c r="C41" s="2">
        <v>40745</v>
      </c>
      <c r="D41">
        <v>74</v>
      </c>
      <c r="E41" s="21" t="s">
        <v>49</v>
      </c>
      <c r="F41" s="21">
        <v>0</v>
      </c>
      <c r="G41" s="21">
        <v>1</v>
      </c>
      <c r="H41" s="21">
        <v>6</v>
      </c>
      <c r="I41" s="21">
        <v>0</v>
      </c>
      <c r="J41">
        <f t="shared" si="0"/>
        <v>7</v>
      </c>
    </row>
    <row r="42" spans="1:10" x14ac:dyDescent="0.25">
      <c r="A42">
        <v>2011</v>
      </c>
      <c r="B42" s="21" t="s">
        <v>46</v>
      </c>
      <c r="C42" s="2">
        <v>40745</v>
      </c>
      <c r="D42">
        <v>75</v>
      </c>
      <c r="E42" s="21" t="s">
        <v>49</v>
      </c>
      <c r="F42" s="21">
        <v>3</v>
      </c>
      <c r="G42" s="21">
        <v>3</v>
      </c>
      <c r="H42" s="21">
        <v>3</v>
      </c>
      <c r="I42" s="21">
        <v>1</v>
      </c>
      <c r="J42">
        <f t="shared" si="0"/>
        <v>10</v>
      </c>
    </row>
    <row r="43" spans="1:10" x14ac:dyDescent="0.25">
      <c r="A43">
        <v>2011</v>
      </c>
      <c r="B43" s="21" t="s">
        <v>46</v>
      </c>
      <c r="C43" s="2">
        <v>40745</v>
      </c>
      <c r="D43">
        <v>75</v>
      </c>
      <c r="E43" s="21" t="s">
        <v>50</v>
      </c>
      <c r="F43" s="21">
        <v>1</v>
      </c>
      <c r="G43" s="21">
        <v>0</v>
      </c>
      <c r="H43" s="21">
        <v>0</v>
      </c>
      <c r="I43" s="21">
        <v>0</v>
      </c>
      <c r="J43">
        <f t="shared" si="0"/>
        <v>1</v>
      </c>
    </row>
    <row r="44" spans="1:10" x14ac:dyDescent="0.25">
      <c r="A44">
        <v>2011</v>
      </c>
      <c r="B44" s="21" t="s">
        <v>46</v>
      </c>
      <c r="C44" s="2">
        <v>40745</v>
      </c>
      <c r="D44">
        <v>75</v>
      </c>
      <c r="E44" s="21" t="s">
        <v>51</v>
      </c>
      <c r="F44" s="21">
        <v>0</v>
      </c>
      <c r="G44" s="21">
        <v>0</v>
      </c>
      <c r="H44" s="21">
        <v>0</v>
      </c>
      <c r="I44" s="21">
        <v>6</v>
      </c>
      <c r="J44">
        <f t="shared" si="0"/>
        <v>6</v>
      </c>
    </row>
    <row r="45" spans="1:10" x14ac:dyDescent="0.25">
      <c r="A45">
        <v>2011</v>
      </c>
      <c r="B45" s="21" t="s">
        <v>46</v>
      </c>
      <c r="C45" s="2">
        <v>40745</v>
      </c>
      <c r="D45">
        <v>75</v>
      </c>
      <c r="E45" s="21" t="s">
        <v>60</v>
      </c>
      <c r="F45" s="21">
        <v>0</v>
      </c>
      <c r="G45" s="21">
        <f>(1.2*1)</f>
        <v>1.2</v>
      </c>
      <c r="H45" s="21">
        <v>0</v>
      </c>
      <c r="I45" s="21">
        <v>0</v>
      </c>
      <c r="J45">
        <f t="shared" si="0"/>
        <v>1.2</v>
      </c>
    </row>
    <row r="46" spans="1:10" x14ac:dyDescent="0.25">
      <c r="A46">
        <v>2011</v>
      </c>
      <c r="B46" s="21" t="s">
        <v>46</v>
      </c>
      <c r="C46" s="2">
        <v>40745</v>
      </c>
      <c r="D46">
        <v>75</v>
      </c>
      <c r="E46" s="21" t="s">
        <v>67</v>
      </c>
      <c r="F46" s="21">
        <v>0</v>
      </c>
      <c r="G46" s="21">
        <v>0</v>
      </c>
      <c r="H46" s="21">
        <v>0</v>
      </c>
      <c r="I46" s="21">
        <f>(1*0.6)</f>
        <v>0.6</v>
      </c>
      <c r="J46">
        <f t="shared" si="0"/>
        <v>0.6</v>
      </c>
    </row>
    <row r="47" spans="1:10" x14ac:dyDescent="0.25">
      <c r="A47">
        <v>2011</v>
      </c>
      <c r="B47" s="21" t="s">
        <v>46</v>
      </c>
      <c r="C47" s="2">
        <v>40751</v>
      </c>
      <c r="D47">
        <v>76</v>
      </c>
      <c r="E47" s="21" t="s">
        <v>54</v>
      </c>
      <c r="F47" s="21">
        <v>0</v>
      </c>
      <c r="G47">
        <f>(2.5*2.4)</f>
        <v>6</v>
      </c>
      <c r="H47">
        <v>0</v>
      </c>
      <c r="I47">
        <v>0</v>
      </c>
      <c r="J47">
        <f t="shared" ref="J47:J55" si="3">SUM(F47:I47)</f>
        <v>6</v>
      </c>
    </row>
    <row r="48" spans="1:10" x14ac:dyDescent="0.25">
      <c r="A48">
        <v>2011</v>
      </c>
      <c r="B48" s="21" t="s">
        <v>46</v>
      </c>
      <c r="C48" s="2">
        <v>40751</v>
      </c>
      <c r="D48">
        <v>76</v>
      </c>
      <c r="E48" s="21" t="s">
        <v>63</v>
      </c>
      <c r="F48" s="21">
        <v>0</v>
      </c>
      <c r="G48">
        <f>(3*2.4)</f>
        <v>7.1999999999999993</v>
      </c>
      <c r="H48">
        <v>0</v>
      </c>
      <c r="I48">
        <v>0</v>
      </c>
      <c r="J48">
        <f t="shared" si="3"/>
        <v>7.1999999999999993</v>
      </c>
    </row>
    <row r="49" spans="1:11" x14ac:dyDescent="0.25">
      <c r="A49">
        <v>2011</v>
      </c>
      <c r="B49" s="21" t="s">
        <v>46</v>
      </c>
      <c r="C49" s="2">
        <v>40751</v>
      </c>
      <c r="D49">
        <v>77</v>
      </c>
      <c r="E49" s="21" t="s">
        <v>51</v>
      </c>
      <c r="F49" s="21">
        <v>0</v>
      </c>
      <c r="G49" s="21">
        <v>0</v>
      </c>
      <c r="H49" s="21">
        <v>1</v>
      </c>
      <c r="I49" s="21">
        <v>0</v>
      </c>
      <c r="J49">
        <f t="shared" si="3"/>
        <v>1</v>
      </c>
      <c r="K49" s="29" t="s">
        <v>202</v>
      </c>
    </row>
    <row r="50" spans="1:11" x14ac:dyDescent="0.25">
      <c r="A50">
        <v>2011</v>
      </c>
      <c r="B50" s="21" t="s">
        <v>46</v>
      </c>
      <c r="C50" s="2">
        <v>40751</v>
      </c>
      <c r="D50">
        <v>77</v>
      </c>
      <c r="E50" s="21" t="s">
        <v>54</v>
      </c>
      <c r="F50">
        <f>(5*3.8)</f>
        <v>19</v>
      </c>
      <c r="G50">
        <f>(1.8*0.8)+(1*0.8)</f>
        <v>2.2400000000000002</v>
      </c>
      <c r="H50">
        <f>(1.2*1.5)+(1.4*1)+(1.3*1)</f>
        <v>4.5</v>
      </c>
      <c r="I50">
        <f>(3.4*2.8)+(0.8*0.4)</f>
        <v>9.84</v>
      </c>
      <c r="J50">
        <f t="shared" si="3"/>
        <v>35.58</v>
      </c>
    </row>
    <row r="51" spans="1:11" x14ac:dyDescent="0.25">
      <c r="A51">
        <v>2011</v>
      </c>
      <c r="B51" s="21" t="s">
        <v>46</v>
      </c>
      <c r="C51" s="2">
        <v>40751</v>
      </c>
      <c r="D51">
        <v>78</v>
      </c>
      <c r="E51" s="21" t="s">
        <v>47</v>
      </c>
      <c r="F51" s="21">
        <v>5</v>
      </c>
      <c r="G51" s="21">
        <v>8</v>
      </c>
      <c r="H51" s="21">
        <v>0</v>
      </c>
      <c r="I51" s="21">
        <v>0</v>
      </c>
      <c r="J51">
        <f t="shared" si="3"/>
        <v>13</v>
      </c>
    </row>
    <row r="52" spans="1:11" x14ac:dyDescent="0.25">
      <c r="A52">
        <v>2011</v>
      </c>
      <c r="B52" s="21" t="s">
        <v>46</v>
      </c>
      <c r="C52" s="2">
        <v>40751</v>
      </c>
      <c r="D52">
        <v>78</v>
      </c>
      <c r="E52" s="21" t="s">
        <v>85</v>
      </c>
      <c r="F52" s="21">
        <v>1</v>
      </c>
      <c r="G52">
        <v>0</v>
      </c>
      <c r="H52" s="21">
        <v>0</v>
      </c>
      <c r="I52" s="21">
        <v>0</v>
      </c>
      <c r="J52">
        <f t="shared" si="3"/>
        <v>1</v>
      </c>
    </row>
    <row r="53" spans="1:11" x14ac:dyDescent="0.25">
      <c r="A53">
        <v>2011</v>
      </c>
      <c r="B53" s="21" t="s">
        <v>46</v>
      </c>
      <c r="C53" s="2">
        <v>40751</v>
      </c>
      <c r="D53">
        <v>78</v>
      </c>
      <c r="E53" s="21" t="s">
        <v>63</v>
      </c>
      <c r="F53">
        <f>(0.3*0.4)</f>
        <v>0.12</v>
      </c>
      <c r="G53">
        <v>0</v>
      </c>
      <c r="H53" s="21">
        <v>0</v>
      </c>
      <c r="I53" s="21">
        <v>0</v>
      </c>
      <c r="J53">
        <f t="shared" si="3"/>
        <v>0.12</v>
      </c>
    </row>
    <row r="54" spans="1:11" x14ac:dyDescent="0.25">
      <c r="A54">
        <v>2011</v>
      </c>
      <c r="B54" s="21" t="s">
        <v>46</v>
      </c>
      <c r="C54" s="2">
        <v>40751</v>
      </c>
      <c r="D54">
        <v>78</v>
      </c>
      <c r="E54" s="21" t="s">
        <v>54</v>
      </c>
      <c r="F54" s="21">
        <v>0</v>
      </c>
      <c r="G54">
        <f>(0.7*0.6)</f>
        <v>0.42</v>
      </c>
      <c r="H54" s="21">
        <v>0</v>
      </c>
      <c r="I54" s="21">
        <v>0</v>
      </c>
      <c r="J54">
        <f t="shared" si="3"/>
        <v>0.42</v>
      </c>
    </row>
    <row r="55" spans="1:11" x14ac:dyDescent="0.25">
      <c r="A55">
        <v>2011</v>
      </c>
      <c r="B55" s="21" t="s">
        <v>46</v>
      </c>
      <c r="C55" s="2">
        <v>40751</v>
      </c>
      <c r="D55">
        <v>78</v>
      </c>
      <c r="E55" s="21" t="s">
        <v>64</v>
      </c>
      <c r="F55" s="21">
        <v>0</v>
      </c>
      <c r="G55">
        <v>0</v>
      </c>
      <c r="H55">
        <f>(2*1.7)+(2.1*1.5)</f>
        <v>6.5500000000000007</v>
      </c>
      <c r="I55" s="21">
        <v>0</v>
      </c>
      <c r="J55">
        <f t="shared" si="3"/>
        <v>6.5500000000000007</v>
      </c>
    </row>
    <row r="56" spans="1:11" x14ac:dyDescent="0.25">
      <c r="A56">
        <v>2011</v>
      </c>
      <c r="B56" s="21" t="s">
        <v>46</v>
      </c>
      <c r="C56" s="2">
        <v>40737</v>
      </c>
      <c r="D56">
        <v>79</v>
      </c>
      <c r="E56" s="21" t="s">
        <v>49</v>
      </c>
      <c r="F56" s="21">
        <v>2</v>
      </c>
      <c r="G56" s="21">
        <v>0</v>
      </c>
      <c r="H56" s="21">
        <v>1</v>
      </c>
      <c r="I56" s="21">
        <v>2</v>
      </c>
      <c r="J56">
        <f t="shared" si="0"/>
        <v>5</v>
      </c>
    </row>
    <row r="57" spans="1:11" x14ac:dyDescent="0.25">
      <c r="A57">
        <v>2011</v>
      </c>
      <c r="B57" s="21" t="s">
        <v>46</v>
      </c>
      <c r="C57" s="2">
        <v>40737</v>
      </c>
      <c r="D57">
        <v>79</v>
      </c>
      <c r="E57" s="21" t="s">
        <v>51</v>
      </c>
      <c r="F57" s="21">
        <v>0</v>
      </c>
      <c r="G57" s="21">
        <v>0</v>
      </c>
      <c r="H57" s="21">
        <v>1</v>
      </c>
      <c r="I57" s="21">
        <v>0</v>
      </c>
      <c r="J57">
        <f t="shared" si="0"/>
        <v>1</v>
      </c>
    </row>
    <row r="58" spans="1:11" x14ac:dyDescent="0.25">
      <c r="A58">
        <v>2011</v>
      </c>
      <c r="B58" s="21" t="s">
        <v>46</v>
      </c>
      <c r="C58" s="2">
        <v>40737</v>
      </c>
      <c r="D58">
        <v>79</v>
      </c>
      <c r="E58" s="21" t="s">
        <v>52</v>
      </c>
      <c r="F58" s="21">
        <v>0</v>
      </c>
      <c r="G58" s="21">
        <v>0</v>
      </c>
      <c r="H58" s="21">
        <v>2</v>
      </c>
      <c r="I58" s="21">
        <v>0</v>
      </c>
      <c r="J58">
        <f t="shared" si="0"/>
        <v>2</v>
      </c>
    </row>
    <row r="59" spans="1:11" x14ac:dyDescent="0.25">
      <c r="A59">
        <v>2011</v>
      </c>
      <c r="B59" s="21" t="s">
        <v>46</v>
      </c>
      <c r="C59" s="2">
        <v>40737</v>
      </c>
      <c r="D59">
        <v>80</v>
      </c>
      <c r="E59" s="21" t="s">
        <v>182</v>
      </c>
      <c r="F59" s="21">
        <v>0</v>
      </c>
      <c r="G59">
        <f>(1*0.9)</f>
        <v>0.9</v>
      </c>
      <c r="H59" s="21">
        <v>0</v>
      </c>
      <c r="I59" s="21">
        <v>0</v>
      </c>
      <c r="J59">
        <f>SUM(F59:I59)</f>
        <v>0.9</v>
      </c>
    </row>
    <row r="60" spans="1:11" x14ac:dyDescent="0.25">
      <c r="A60">
        <v>2011</v>
      </c>
      <c r="B60" s="21" t="s">
        <v>46</v>
      </c>
      <c r="C60" s="2">
        <v>40737</v>
      </c>
      <c r="D60">
        <v>81</v>
      </c>
      <c r="E60" s="21" t="s">
        <v>49</v>
      </c>
      <c r="F60" s="21">
        <v>5</v>
      </c>
      <c r="G60" s="21">
        <v>3</v>
      </c>
      <c r="H60" s="21">
        <v>2</v>
      </c>
      <c r="I60" s="21">
        <v>2</v>
      </c>
      <c r="J60">
        <f t="shared" si="0"/>
        <v>12</v>
      </c>
    </row>
    <row r="61" spans="1:11" x14ac:dyDescent="0.25">
      <c r="A61">
        <v>2011</v>
      </c>
      <c r="B61" s="21" t="s">
        <v>46</v>
      </c>
      <c r="C61" s="2">
        <v>40737</v>
      </c>
      <c r="D61">
        <v>81</v>
      </c>
      <c r="E61" s="21" t="s">
        <v>51</v>
      </c>
      <c r="F61" s="21">
        <v>0</v>
      </c>
      <c r="G61" s="21">
        <v>0</v>
      </c>
      <c r="H61" s="21">
        <v>1</v>
      </c>
      <c r="I61" s="21">
        <v>0</v>
      </c>
      <c r="J61">
        <f t="shared" si="0"/>
        <v>1</v>
      </c>
    </row>
    <row r="62" spans="1:11" x14ac:dyDescent="0.25">
      <c r="A62">
        <v>2011</v>
      </c>
      <c r="B62" s="21" t="s">
        <v>46</v>
      </c>
      <c r="C62" s="2">
        <v>40737</v>
      </c>
      <c r="D62">
        <v>103</v>
      </c>
      <c r="E62" s="21" t="s">
        <v>63</v>
      </c>
      <c r="F62" s="21">
        <v>0</v>
      </c>
      <c r="G62" s="21">
        <f>(201*0.02)</f>
        <v>4.0200000000000005</v>
      </c>
      <c r="H62" s="21">
        <f>(201*0.03)</f>
        <v>6.0299999999999994</v>
      </c>
      <c r="I62" s="21">
        <v>0</v>
      </c>
      <c r="J62">
        <f>SUM(F62:I62)</f>
        <v>10.050000000000001</v>
      </c>
    </row>
    <row r="63" spans="1:11" x14ac:dyDescent="0.25">
      <c r="A63">
        <v>2011</v>
      </c>
      <c r="B63" s="21" t="s">
        <v>46</v>
      </c>
      <c r="C63" s="2">
        <v>40737</v>
      </c>
      <c r="D63">
        <v>104</v>
      </c>
      <c r="E63" s="21" t="s">
        <v>85</v>
      </c>
      <c r="F63" s="21">
        <v>0</v>
      </c>
      <c r="G63" s="21">
        <v>1</v>
      </c>
      <c r="H63" s="21">
        <v>4</v>
      </c>
      <c r="I63" s="21">
        <v>0</v>
      </c>
      <c r="J63">
        <f t="shared" si="0"/>
        <v>5</v>
      </c>
      <c r="K63" s="29" t="s">
        <v>203</v>
      </c>
    </row>
    <row r="64" spans="1:11" x14ac:dyDescent="0.25">
      <c r="A64">
        <v>2011</v>
      </c>
      <c r="B64" s="21" t="s">
        <v>46</v>
      </c>
      <c r="C64" s="2">
        <v>40737</v>
      </c>
      <c r="D64">
        <v>104</v>
      </c>
      <c r="E64" s="21" t="s">
        <v>52</v>
      </c>
      <c r="F64" s="21">
        <v>0</v>
      </c>
      <c r="G64" s="21">
        <v>0</v>
      </c>
      <c r="H64" s="21">
        <v>1</v>
      </c>
      <c r="I64" s="21">
        <v>0</v>
      </c>
      <c r="J64">
        <f t="shared" si="0"/>
        <v>1</v>
      </c>
    </row>
    <row r="65" spans="1:10" x14ac:dyDescent="0.25">
      <c r="A65">
        <v>2011</v>
      </c>
      <c r="B65" s="21" t="s">
        <v>46</v>
      </c>
      <c r="C65" s="2">
        <v>40737</v>
      </c>
      <c r="D65">
        <v>104</v>
      </c>
      <c r="E65" s="21" t="s">
        <v>54</v>
      </c>
      <c r="F65" s="21">
        <v>0</v>
      </c>
      <c r="G65" s="21">
        <v>0</v>
      </c>
      <c r="H65">
        <f>(1.7*1.5)</f>
        <v>2.5499999999999998</v>
      </c>
      <c r="I65" s="21">
        <v>0</v>
      </c>
      <c r="J65">
        <f t="shared" si="0"/>
        <v>2.5499999999999998</v>
      </c>
    </row>
    <row r="66" spans="1:10" x14ac:dyDescent="0.25">
      <c r="A66">
        <v>2011</v>
      </c>
      <c r="B66" s="21" t="s">
        <v>46</v>
      </c>
      <c r="C66" s="2">
        <v>40737</v>
      </c>
      <c r="D66">
        <v>105</v>
      </c>
      <c r="E66" s="21" t="s">
        <v>51</v>
      </c>
      <c r="F66" s="21">
        <v>1</v>
      </c>
      <c r="G66" s="21">
        <v>1</v>
      </c>
      <c r="H66" s="21">
        <v>0</v>
      </c>
      <c r="I66" s="21">
        <v>0</v>
      </c>
      <c r="J66">
        <f t="shared" si="0"/>
        <v>2</v>
      </c>
    </row>
    <row r="67" spans="1:10" x14ac:dyDescent="0.25">
      <c r="A67">
        <v>2011</v>
      </c>
      <c r="B67" s="21" t="s">
        <v>46</v>
      </c>
      <c r="C67" s="2">
        <v>40737</v>
      </c>
      <c r="D67">
        <v>105</v>
      </c>
      <c r="E67" s="21" t="s">
        <v>52</v>
      </c>
      <c r="F67" s="21">
        <v>1</v>
      </c>
      <c r="G67" s="21">
        <v>0</v>
      </c>
      <c r="H67" s="21">
        <v>0</v>
      </c>
      <c r="I67" s="21">
        <v>0</v>
      </c>
      <c r="J67">
        <f t="shared" si="0"/>
        <v>1</v>
      </c>
    </row>
    <row r="68" spans="1:10" x14ac:dyDescent="0.25">
      <c r="A68">
        <v>2011</v>
      </c>
      <c r="B68" s="21" t="s">
        <v>46</v>
      </c>
      <c r="C68" s="2">
        <v>40737</v>
      </c>
      <c r="D68">
        <v>105</v>
      </c>
      <c r="E68" s="21" t="s">
        <v>85</v>
      </c>
      <c r="F68" s="21">
        <v>1</v>
      </c>
      <c r="G68" s="21">
        <v>2</v>
      </c>
      <c r="H68" s="21">
        <v>0</v>
      </c>
      <c r="I68" s="21">
        <v>0</v>
      </c>
      <c r="J68">
        <f t="shared" si="0"/>
        <v>3</v>
      </c>
    </row>
    <row r="69" spans="1:10" x14ac:dyDescent="0.25">
      <c r="A69">
        <v>2011</v>
      </c>
      <c r="B69" s="21" t="s">
        <v>46</v>
      </c>
      <c r="C69" s="2">
        <v>40737</v>
      </c>
      <c r="D69">
        <v>105</v>
      </c>
      <c r="E69" s="21" t="s">
        <v>54</v>
      </c>
      <c r="F69" s="21">
        <f>(201*0.03)</f>
        <v>6.0299999999999994</v>
      </c>
      <c r="G69" s="21">
        <v>0</v>
      </c>
      <c r="H69">
        <f>(201*0.08)</f>
        <v>16.080000000000002</v>
      </c>
      <c r="I69" s="21">
        <f>(201*0.01)</f>
        <v>2.0100000000000002</v>
      </c>
      <c r="J69">
        <f t="shared" si="0"/>
        <v>24.12</v>
      </c>
    </row>
    <row r="70" spans="1:10" x14ac:dyDescent="0.25">
      <c r="A70">
        <v>2011</v>
      </c>
      <c r="B70" s="21" t="s">
        <v>46</v>
      </c>
      <c r="C70" s="2">
        <v>40737</v>
      </c>
      <c r="D70">
        <v>105</v>
      </c>
      <c r="E70" s="21" t="s">
        <v>83</v>
      </c>
      <c r="F70" s="21">
        <v>0</v>
      </c>
      <c r="G70" s="21">
        <f>(0.6*0.5)</f>
        <v>0.3</v>
      </c>
      <c r="H70" s="21">
        <v>0</v>
      </c>
      <c r="I70">
        <f>(3.4*2.6)</f>
        <v>8.84</v>
      </c>
      <c r="J70">
        <f t="shared" si="0"/>
        <v>9.14</v>
      </c>
    </row>
    <row r="71" spans="1:10" x14ac:dyDescent="0.25">
      <c r="A71">
        <v>2011</v>
      </c>
      <c r="B71" s="21" t="s">
        <v>46</v>
      </c>
      <c r="C71" s="2">
        <v>40737</v>
      </c>
      <c r="D71">
        <v>106</v>
      </c>
      <c r="E71" s="21" t="s">
        <v>83</v>
      </c>
      <c r="F71" s="21">
        <v>0</v>
      </c>
      <c r="G71" s="21">
        <v>0</v>
      </c>
      <c r="H71" s="21">
        <f>(0.5*0.4)</f>
        <v>0.2</v>
      </c>
      <c r="I71" s="21">
        <v>0</v>
      </c>
      <c r="J71">
        <f t="shared" si="0"/>
        <v>0.2</v>
      </c>
    </row>
    <row r="72" spans="1:10" x14ac:dyDescent="0.25">
      <c r="A72">
        <v>2011</v>
      </c>
      <c r="B72" s="21" t="s">
        <v>46</v>
      </c>
      <c r="C72" s="2">
        <v>40737</v>
      </c>
      <c r="D72">
        <v>107</v>
      </c>
      <c r="E72" s="21" t="s">
        <v>83</v>
      </c>
      <c r="F72" s="21">
        <f>(2.6*2.3)</f>
        <v>5.9799999999999995</v>
      </c>
      <c r="G72" s="21">
        <v>0</v>
      </c>
      <c r="H72" s="21">
        <v>0</v>
      </c>
      <c r="I72" s="21">
        <v>0</v>
      </c>
      <c r="J72">
        <f t="shared" si="0"/>
        <v>5.9799999999999995</v>
      </c>
    </row>
    <row r="73" spans="1:10" x14ac:dyDescent="0.25">
      <c r="A73">
        <v>2011</v>
      </c>
      <c r="B73" s="21" t="s">
        <v>46</v>
      </c>
      <c r="C73" s="26">
        <v>40737</v>
      </c>
      <c r="D73">
        <v>108</v>
      </c>
      <c r="E73" s="21" t="s">
        <v>85</v>
      </c>
      <c r="F73" s="21">
        <v>1</v>
      </c>
      <c r="G73" s="21">
        <v>0</v>
      </c>
      <c r="H73" s="21">
        <v>0</v>
      </c>
      <c r="I73" s="21">
        <v>0</v>
      </c>
      <c r="J73">
        <f t="shared" si="0"/>
        <v>1</v>
      </c>
    </row>
    <row r="74" spans="1:10" x14ac:dyDescent="0.25">
      <c r="A74">
        <v>2011</v>
      </c>
      <c r="B74" s="21" t="s">
        <v>46</v>
      </c>
      <c r="C74" s="26">
        <v>40737</v>
      </c>
      <c r="D74">
        <v>108</v>
      </c>
      <c r="E74" s="31" t="s">
        <v>54</v>
      </c>
      <c r="F74" s="21">
        <v>0</v>
      </c>
      <c r="G74" s="21">
        <v>0</v>
      </c>
      <c r="H74" s="21">
        <f>(1*0.7)</f>
        <v>0.7</v>
      </c>
      <c r="I74" s="21">
        <v>0</v>
      </c>
      <c r="J74">
        <f t="shared" si="0"/>
        <v>0.7</v>
      </c>
    </row>
    <row r="75" spans="1:10" x14ac:dyDescent="0.25">
      <c r="A75">
        <v>2011</v>
      </c>
      <c r="B75" s="21" t="s">
        <v>46</v>
      </c>
      <c r="C75" s="2">
        <v>40744</v>
      </c>
      <c r="D75">
        <v>109</v>
      </c>
      <c r="E75" s="21" t="s">
        <v>49</v>
      </c>
      <c r="F75" s="21">
        <v>1</v>
      </c>
      <c r="G75" s="21">
        <v>3</v>
      </c>
      <c r="H75" s="21">
        <v>7</v>
      </c>
      <c r="I75" s="21">
        <v>4</v>
      </c>
      <c r="J75">
        <f t="shared" si="0"/>
        <v>15</v>
      </c>
    </row>
    <row r="76" spans="1:10" x14ac:dyDescent="0.25">
      <c r="A76">
        <v>2011</v>
      </c>
      <c r="B76" s="21" t="s">
        <v>46</v>
      </c>
      <c r="C76" s="2">
        <v>40744</v>
      </c>
      <c r="D76">
        <v>109</v>
      </c>
      <c r="E76" s="21" t="s">
        <v>47</v>
      </c>
      <c r="F76" s="21">
        <v>1</v>
      </c>
      <c r="G76" s="21">
        <v>0</v>
      </c>
      <c r="H76" s="21">
        <v>0</v>
      </c>
      <c r="I76" s="21">
        <v>0</v>
      </c>
      <c r="J76">
        <f t="shared" si="0"/>
        <v>1</v>
      </c>
    </row>
    <row r="77" spans="1:10" x14ac:dyDescent="0.25">
      <c r="A77">
        <v>2011</v>
      </c>
      <c r="B77" s="21" t="s">
        <v>46</v>
      </c>
      <c r="C77" s="2">
        <v>40744</v>
      </c>
      <c r="D77">
        <v>109</v>
      </c>
      <c r="E77" s="21" t="s">
        <v>58</v>
      </c>
      <c r="F77" s="21">
        <v>0</v>
      </c>
      <c r="G77" s="21">
        <v>0</v>
      </c>
      <c r="H77" s="21">
        <v>2</v>
      </c>
      <c r="I77" s="21">
        <v>0</v>
      </c>
      <c r="J77">
        <f t="shared" si="0"/>
        <v>2</v>
      </c>
    </row>
    <row r="78" spans="1:10" x14ac:dyDescent="0.25">
      <c r="A78">
        <v>2011</v>
      </c>
      <c r="B78" s="21" t="s">
        <v>46</v>
      </c>
      <c r="C78" s="2">
        <v>40744</v>
      </c>
      <c r="D78">
        <v>109</v>
      </c>
      <c r="E78" s="21" t="s">
        <v>52</v>
      </c>
      <c r="F78" s="21">
        <v>0</v>
      </c>
      <c r="G78" s="21">
        <v>0</v>
      </c>
      <c r="H78" s="21">
        <v>4</v>
      </c>
      <c r="I78" s="21">
        <v>1</v>
      </c>
      <c r="J78">
        <f t="shared" si="0"/>
        <v>5</v>
      </c>
    </row>
    <row r="79" spans="1:10" x14ac:dyDescent="0.25">
      <c r="A79">
        <v>2011</v>
      </c>
      <c r="B79" s="21" t="s">
        <v>46</v>
      </c>
      <c r="C79" s="2">
        <v>40744</v>
      </c>
      <c r="D79">
        <v>109</v>
      </c>
      <c r="E79" s="21" t="s">
        <v>60</v>
      </c>
      <c r="F79">
        <f>(1.3*0.9)</f>
        <v>1.1700000000000002</v>
      </c>
      <c r="G79" s="21">
        <v>0</v>
      </c>
      <c r="H79" s="21">
        <v>0</v>
      </c>
      <c r="I79" s="21">
        <v>0</v>
      </c>
      <c r="J79">
        <f t="shared" si="0"/>
        <v>1.1700000000000002</v>
      </c>
    </row>
    <row r="80" spans="1:10" x14ac:dyDescent="0.25">
      <c r="A80">
        <v>2011</v>
      </c>
      <c r="B80" s="21" t="s">
        <v>46</v>
      </c>
      <c r="C80" s="2">
        <v>40744</v>
      </c>
      <c r="D80">
        <v>109</v>
      </c>
      <c r="E80" s="21" t="s">
        <v>67</v>
      </c>
      <c r="F80">
        <f>(1.8*1)</f>
        <v>1.8</v>
      </c>
      <c r="G80" s="21">
        <v>0</v>
      </c>
      <c r="H80" s="21">
        <v>0</v>
      </c>
      <c r="I80" s="21">
        <v>0</v>
      </c>
      <c r="J80">
        <f t="shared" si="0"/>
        <v>1.8</v>
      </c>
    </row>
    <row r="81" spans="1:11" x14ac:dyDescent="0.25">
      <c r="A81">
        <v>2011</v>
      </c>
      <c r="B81" s="21" t="s">
        <v>46</v>
      </c>
      <c r="C81" s="2">
        <v>40745</v>
      </c>
      <c r="D81">
        <v>110</v>
      </c>
      <c r="E81" s="21" t="s">
        <v>49</v>
      </c>
      <c r="F81" s="21">
        <v>10</v>
      </c>
      <c r="G81" s="21">
        <v>1</v>
      </c>
      <c r="H81" s="21">
        <v>19</v>
      </c>
      <c r="I81" s="21">
        <v>4</v>
      </c>
      <c r="J81">
        <f t="shared" si="0"/>
        <v>34</v>
      </c>
    </row>
    <row r="82" spans="1:11" x14ac:dyDescent="0.25">
      <c r="A82">
        <v>2011</v>
      </c>
      <c r="B82" s="21" t="s">
        <v>46</v>
      </c>
      <c r="C82" s="2">
        <v>40745</v>
      </c>
      <c r="D82">
        <v>110</v>
      </c>
      <c r="E82" s="21" t="s">
        <v>51</v>
      </c>
      <c r="F82" s="21">
        <v>5</v>
      </c>
      <c r="G82" s="21">
        <v>5</v>
      </c>
      <c r="H82" s="21">
        <v>2</v>
      </c>
      <c r="I82" s="21">
        <v>2</v>
      </c>
      <c r="J82">
        <f t="shared" si="0"/>
        <v>14</v>
      </c>
      <c r="K82" s="29" t="s">
        <v>204</v>
      </c>
    </row>
    <row r="83" spans="1:11" x14ac:dyDescent="0.25">
      <c r="A83">
        <v>2011</v>
      </c>
      <c r="B83" s="21" t="s">
        <v>46</v>
      </c>
      <c r="C83" s="2">
        <v>40745</v>
      </c>
      <c r="D83">
        <v>110</v>
      </c>
      <c r="E83" s="21" t="s">
        <v>52</v>
      </c>
      <c r="F83" s="21">
        <v>0</v>
      </c>
      <c r="G83" s="21">
        <v>2</v>
      </c>
      <c r="H83" s="21">
        <v>0</v>
      </c>
      <c r="I83" s="21">
        <v>0</v>
      </c>
      <c r="J83">
        <f t="shared" si="0"/>
        <v>2</v>
      </c>
    </row>
    <row r="84" spans="1:11" x14ac:dyDescent="0.25">
      <c r="A84">
        <v>2011</v>
      </c>
      <c r="B84" s="21" t="s">
        <v>46</v>
      </c>
      <c r="C84" s="2">
        <v>40745</v>
      </c>
      <c r="D84">
        <v>110</v>
      </c>
      <c r="E84" s="21" t="s">
        <v>58</v>
      </c>
      <c r="F84" s="21">
        <v>0</v>
      </c>
      <c r="G84" s="21">
        <v>1</v>
      </c>
      <c r="H84" s="21">
        <v>0</v>
      </c>
      <c r="I84" s="21">
        <v>0</v>
      </c>
      <c r="J84">
        <f t="shared" si="0"/>
        <v>1</v>
      </c>
    </row>
    <row r="85" spans="1:11" x14ac:dyDescent="0.25">
      <c r="A85">
        <v>2011</v>
      </c>
      <c r="B85" s="21" t="s">
        <v>46</v>
      </c>
      <c r="C85" s="2">
        <v>40745</v>
      </c>
      <c r="D85">
        <v>111</v>
      </c>
      <c r="E85" s="21" t="s">
        <v>51</v>
      </c>
      <c r="F85" s="21">
        <v>2</v>
      </c>
      <c r="G85" s="21">
        <v>10</v>
      </c>
      <c r="H85" s="21">
        <v>8</v>
      </c>
      <c r="I85" s="21">
        <v>1</v>
      </c>
      <c r="J85">
        <f t="shared" si="0"/>
        <v>21</v>
      </c>
      <c r="K85" s="29" t="s">
        <v>205</v>
      </c>
    </row>
    <row r="86" spans="1:11" x14ac:dyDescent="0.25">
      <c r="A86">
        <v>2011</v>
      </c>
      <c r="B86" s="21" t="s">
        <v>46</v>
      </c>
      <c r="C86" s="2">
        <v>40745</v>
      </c>
      <c r="D86">
        <v>111</v>
      </c>
      <c r="E86" s="21" t="s">
        <v>47</v>
      </c>
      <c r="F86" s="21">
        <v>1</v>
      </c>
      <c r="G86" s="21">
        <v>0</v>
      </c>
      <c r="H86" s="21">
        <v>0</v>
      </c>
      <c r="I86" s="21">
        <v>0</v>
      </c>
      <c r="J86">
        <f t="shared" si="0"/>
        <v>1</v>
      </c>
    </row>
    <row r="87" spans="1:11" x14ac:dyDescent="0.25">
      <c r="A87">
        <v>2011</v>
      </c>
      <c r="B87" s="21" t="s">
        <v>46</v>
      </c>
      <c r="C87" s="2">
        <v>40745</v>
      </c>
      <c r="D87">
        <v>111</v>
      </c>
      <c r="E87" s="21" t="s">
        <v>49</v>
      </c>
      <c r="F87" s="21">
        <v>0</v>
      </c>
      <c r="G87" s="21">
        <v>7</v>
      </c>
      <c r="H87" s="21">
        <v>3</v>
      </c>
      <c r="I87" s="21">
        <v>5</v>
      </c>
      <c r="J87">
        <f t="shared" si="0"/>
        <v>15</v>
      </c>
    </row>
    <row r="88" spans="1:11" x14ac:dyDescent="0.25">
      <c r="A88">
        <v>2011</v>
      </c>
      <c r="B88" s="21" t="s">
        <v>46</v>
      </c>
      <c r="C88" s="2">
        <v>40745</v>
      </c>
      <c r="D88">
        <v>111</v>
      </c>
      <c r="E88" s="21" t="s">
        <v>67</v>
      </c>
      <c r="F88">
        <f>(1.7*1.4)</f>
        <v>2.38</v>
      </c>
      <c r="G88" s="21">
        <v>0</v>
      </c>
      <c r="H88">
        <f>(0.9*0.5)</f>
        <v>0.45</v>
      </c>
      <c r="I88">
        <f>(201*0.03)</f>
        <v>6.0299999999999994</v>
      </c>
      <c r="J88">
        <f t="shared" si="0"/>
        <v>8.86</v>
      </c>
    </row>
    <row r="89" spans="1:11" x14ac:dyDescent="0.25">
      <c r="A89">
        <v>2011</v>
      </c>
      <c r="B89" s="21" t="s">
        <v>46</v>
      </c>
      <c r="C89" s="2">
        <v>40745</v>
      </c>
      <c r="D89">
        <v>111</v>
      </c>
      <c r="E89" s="21" t="s">
        <v>60</v>
      </c>
      <c r="F89">
        <f>(201*0.1)</f>
        <v>20.100000000000001</v>
      </c>
      <c r="G89">
        <f>(0.8*0.5)</f>
        <v>0.4</v>
      </c>
      <c r="H89">
        <f>(2.4*1.9)</f>
        <v>4.5599999999999996</v>
      </c>
      <c r="I89">
        <f>(201*0.05)</f>
        <v>10.050000000000001</v>
      </c>
      <c r="J89">
        <f t="shared" si="0"/>
        <v>35.11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0"/>
  <sheetViews>
    <sheetView tabSelected="1" workbookViewId="0">
      <pane ySplit="3" topLeftCell="A24" activePane="bottomLeft" state="frozen"/>
      <selection pane="bottomLeft" activeCell="D38" sqref="D38"/>
    </sheetView>
  </sheetViews>
  <sheetFormatPr defaultRowHeight="12.5" x14ac:dyDescent="0.25"/>
  <cols>
    <col min="2" max="2" width="12.26953125" customWidth="1"/>
    <col min="3" max="3" width="9.1796875" style="2" customWidth="1"/>
    <col min="6" max="6" width="10.81640625" customWidth="1"/>
    <col min="7" max="7" width="10.7265625" bestFit="1" customWidth="1"/>
    <col min="8" max="8" width="8.7265625" style="38"/>
    <col min="9" max="9" width="8" style="38" customWidth="1"/>
  </cols>
  <sheetData>
    <row r="1" spans="1:10" x14ac:dyDescent="0.25">
      <c r="A1" s="2" t="s">
        <v>206</v>
      </c>
    </row>
    <row r="3" spans="1:10" ht="13" thickBot="1" x14ac:dyDescent="0.3">
      <c r="A3" s="25" t="s">
        <v>8</v>
      </c>
      <c r="B3" s="25" t="s">
        <v>9</v>
      </c>
      <c r="C3" s="5" t="s">
        <v>10</v>
      </c>
      <c r="D3" s="6" t="s">
        <v>11</v>
      </c>
      <c r="E3" s="6" t="s">
        <v>207</v>
      </c>
      <c r="F3" s="6" t="s">
        <v>208</v>
      </c>
      <c r="G3" s="6" t="s">
        <v>209</v>
      </c>
      <c r="H3" s="39" t="s">
        <v>210</v>
      </c>
      <c r="I3" s="39" t="s">
        <v>211</v>
      </c>
      <c r="J3" s="6" t="s">
        <v>45</v>
      </c>
    </row>
    <row r="4" spans="1:10" ht="13" thickTop="1" x14ac:dyDescent="0.25">
      <c r="A4">
        <v>2011</v>
      </c>
      <c r="B4" s="21" t="s">
        <v>46</v>
      </c>
      <c r="C4" s="2">
        <v>40745</v>
      </c>
      <c r="D4">
        <v>67</v>
      </c>
      <c r="E4" t="s">
        <v>74</v>
      </c>
      <c r="F4" t="s">
        <v>1</v>
      </c>
      <c r="G4" t="s">
        <v>1</v>
      </c>
      <c r="H4" s="38" t="s">
        <v>1</v>
      </c>
      <c r="I4" s="38" t="s">
        <v>1</v>
      </c>
    </row>
    <row r="5" spans="1:10" x14ac:dyDescent="0.25">
      <c r="A5">
        <v>2011</v>
      </c>
      <c r="B5" s="21" t="s">
        <v>46</v>
      </c>
      <c r="C5" s="2">
        <v>40745</v>
      </c>
      <c r="D5">
        <v>68</v>
      </c>
      <c r="E5">
        <v>1</v>
      </c>
      <c r="F5">
        <v>21.83</v>
      </c>
      <c r="G5">
        <v>16.47</v>
      </c>
      <c r="H5" s="38">
        <v>6.91</v>
      </c>
      <c r="I5" s="38">
        <v>350</v>
      </c>
      <c r="J5" s="21" t="s">
        <v>212</v>
      </c>
    </row>
    <row r="6" spans="1:10" x14ac:dyDescent="0.25">
      <c r="A6">
        <v>2011</v>
      </c>
      <c r="B6" s="21" t="s">
        <v>46</v>
      </c>
      <c r="C6" s="2">
        <v>40745</v>
      </c>
      <c r="D6">
        <v>69</v>
      </c>
      <c r="E6">
        <v>1</v>
      </c>
      <c r="F6">
        <v>2.93</v>
      </c>
      <c r="G6" s="21" t="s">
        <v>1</v>
      </c>
      <c r="H6" s="38">
        <v>16.98</v>
      </c>
      <c r="I6" s="38">
        <v>69</v>
      </c>
      <c r="J6" s="21" t="s">
        <v>213</v>
      </c>
    </row>
    <row r="7" spans="1:10" x14ac:dyDescent="0.25">
      <c r="A7">
        <v>2011</v>
      </c>
      <c r="B7" s="21" t="s">
        <v>46</v>
      </c>
      <c r="C7" s="2">
        <v>40745</v>
      </c>
      <c r="D7">
        <v>69</v>
      </c>
      <c r="E7">
        <v>2</v>
      </c>
      <c r="F7" s="21">
        <v>3.55</v>
      </c>
      <c r="G7" s="21" t="s">
        <v>1</v>
      </c>
      <c r="H7" s="38">
        <v>17.09</v>
      </c>
      <c r="I7" s="38">
        <v>70</v>
      </c>
      <c r="J7" s="21" t="s">
        <v>212</v>
      </c>
    </row>
    <row r="8" spans="1:10" x14ac:dyDescent="0.25">
      <c r="A8">
        <v>2011</v>
      </c>
      <c r="B8" s="21" t="s">
        <v>46</v>
      </c>
      <c r="C8" s="2">
        <v>40745</v>
      </c>
      <c r="D8">
        <v>69</v>
      </c>
      <c r="E8">
        <v>3</v>
      </c>
      <c r="F8" s="21">
        <v>3.56</v>
      </c>
      <c r="G8" s="21" t="s">
        <v>1</v>
      </c>
      <c r="H8" s="38">
        <v>15.65</v>
      </c>
      <c r="I8" s="38">
        <v>76</v>
      </c>
      <c r="J8" s="21" t="s">
        <v>214</v>
      </c>
    </row>
    <row r="9" spans="1:10" x14ac:dyDescent="0.25">
      <c r="A9">
        <v>2011</v>
      </c>
      <c r="B9" s="21" t="s">
        <v>46</v>
      </c>
      <c r="C9" s="2">
        <v>40745</v>
      </c>
      <c r="D9">
        <v>69</v>
      </c>
      <c r="E9">
        <v>4</v>
      </c>
      <c r="F9" s="21">
        <v>6.36</v>
      </c>
      <c r="G9" s="21" t="s">
        <v>1</v>
      </c>
      <c r="H9" s="38">
        <v>15.02</v>
      </c>
      <c r="I9" s="38">
        <v>74</v>
      </c>
      <c r="J9" s="21"/>
    </row>
    <row r="10" spans="1:10" x14ac:dyDescent="0.25">
      <c r="A10">
        <v>2011</v>
      </c>
      <c r="B10" s="21" t="s">
        <v>46</v>
      </c>
      <c r="C10" s="2">
        <v>40751</v>
      </c>
      <c r="D10">
        <v>70</v>
      </c>
      <c r="E10" s="21">
        <v>1</v>
      </c>
      <c r="F10" s="21">
        <v>16.03</v>
      </c>
      <c r="G10" s="21">
        <v>11.92</v>
      </c>
      <c r="H10" s="40">
        <v>7.26</v>
      </c>
      <c r="I10" s="40">
        <v>224</v>
      </c>
      <c r="J10" s="21" t="s">
        <v>212</v>
      </c>
    </row>
    <row r="11" spans="1:10" x14ac:dyDescent="0.25">
      <c r="A11">
        <v>2011</v>
      </c>
      <c r="B11" s="21" t="s">
        <v>46</v>
      </c>
      <c r="C11" s="2">
        <v>40751</v>
      </c>
      <c r="D11">
        <v>70</v>
      </c>
      <c r="E11" s="21">
        <v>2</v>
      </c>
      <c r="F11" s="21">
        <v>16.66</v>
      </c>
      <c r="G11" s="21">
        <v>14.46</v>
      </c>
      <c r="H11" s="40">
        <v>16.12</v>
      </c>
      <c r="I11" s="40">
        <v>234</v>
      </c>
      <c r="J11" s="21" t="s">
        <v>212</v>
      </c>
    </row>
    <row r="12" spans="1:10" x14ac:dyDescent="0.25">
      <c r="A12">
        <v>2011</v>
      </c>
      <c r="B12" s="21" t="s">
        <v>46</v>
      </c>
      <c r="C12" s="2">
        <v>40751</v>
      </c>
      <c r="D12">
        <v>70</v>
      </c>
      <c r="E12" s="21">
        <v>3</v>
      </c>
      <c r="F12" s="21">
        <v>21.64</v>
      </c>
      <c r="G12" s="21">
        <v>14.67</v>
      </c>
      <c r="H12" s="40">
        <v>12.2</v>
      </c>
      <c r="I12" s="40">
        <v>290</v>
      </c>
      <c r="J12" s="21" t="s">
        <v>212</v>
      </c>
    </row>
    <row r="13" spans="1:10" x14ac:dyDescent="0.25">
      <c r="A13">
        <v>2011</v>
      </c>
      <c r="B13" s="21" t="s">
        <v>46</v>
      </c>
      <c r="C13" s="2">
        <v>40751</v>
      </c>
      <c r="D13">
        <v>70</v>
      </c>
      <c r="E13" s="21">
        <v>4</v>
      </c>
      <c r="F13" s="21">
        <v>26.09</v>
      </c>
      <c r="G13" s="21">
        <v>17.54</v>
      </c>
      <c r="H13" s="40">
        <v>17.8</v>
      </c>
      <c r="I13" s="40">
        <v>302</v>
      </c>
      <c r="J13" s="21" t="s">
        <v>212</v>
      </c>
    </row>
    <row r="14" spans="1:10" x14ac:dyDescent="0.25">
      <c r="A14">
        <v>2011</v>
      </c>
      <c r="B14" s="21" t="s">
        <v>46</v>
      </c>
      <c r="C14" s="2">
        <v>40751</v>
      </c>
      <c r="D14">
        <v>70</v>
      </c>
      <c r="E14" s="21">
        <v>5</v>
      </c>
      <c r="F14" s="21">
        <v>12.71</v>
      </c>
      <c r="G14" s="21">
        <v>6.28</v>
      </c>
      <c r="H14" s="40">
        <v>13.8</v>
      </c>
      <c r="I14" s="40">
        <v>300</v>
      </c>
      <c r="J14" s="21" t="s">
        <v>212</v>
      </c>
    </row>
    <row r="15" spans="1:10" x14ac:dyDescent="0.25">
      <c r="A15">
        <v>2011</v>
      </c>
      <c r="B15" s="21" t="s">
        <v>46</v>
      </c>
      <c r="C15" s="2">
        <v>40751</v>
      </c>
      <c r="D15">
        <v>70</v>
      </c>
      <c r="E15" s="21">
        <v>6</v>
      </c>
      <c r="F15" s="21">
        <v>19.93</v>
      </c>
      <c r="G15" s="21">
        <v>16.2</v>
      </c>
      <c r="H15" s="40">
        <v>11.11</v>
      </c>
      <c r="I15" s="40">
        <v>327</v>
      </c>
      <c r="J15" s="21" t="s">
        <v>212</v>
      </c>
    </row>
    <row r="16" spans="1:10" x14ac:dyDescent="0.25">
      <c r="A16">
        <v>2011</v>
      </c>
      <c r="B16" s="21" t="s">
        <v>46</v>
      </c>
      <c r="C16" s="2">
        <v>40751</v>
      </c>
      <c r="D16">
        <v>71</v>
      </c>
      <c r="E16" t="s">
        <v>74</v>
      </c>
      <c r="F16" s="21" t="s">
        <v>1</v>
      </c>
      <c r="G16" s="21" t="s">
        <v>1</v>
      </c>
      <c r="H16" s="40" t="s">
        <v>1</v>
      </c>
      <c r="I16" s="40" t="s">
        <v>1</v>
      </c>
      <c r="J16" s="21"/>
    </row>
    <row r="17" spans="1:10" x14ac:dyDescent="0.25">
      <c r="A17">
        <v>2011</v>
      </c>
      <c r="B17" s="21" t="s">
        <v>46</v>
      </c>
      <c r="C17" s="2">
        <v>40751</v>
      </c>
      <c r="D17">
        <v>72</v>
      </c>
      <c r="E17" t="s">
        <v>74</v>
      </c>
      <c r="F17" s="21" t="s">
        <v>1</v>
      </c>
      <c r="G17" s="21" t="s">
        <v>1</v>
      </c>
      <c r="H17" s="40" t="s">
        <v>1</v>
      </c>
      <c r="I17" s="40" t="s">
        <v>1</v>
      </c>
      <c r="J17" s="21"/>
    </row>
    <row r="18" spans="1:10" x14ac:dyDescent="0.25">
      <c r="A18">
        <v>2011</v>
      </c>
      <c r="B18" s="21" t="s">
        <v>46</v>
      </c>
      <c r="C18" s="2">
        <v>40745</v>
      </c>
      <c r="D18">
        <v>73</v>
      </c>
      <c r="E18" s="21" t="s">
        <v>74</v>
      </c>
      <c r="F18" s="21" t="s">
        <v>1</v>
      </c>
      <c r="G18" s="21" t="s">
        <v>1</v>
      </c>
      <c r="H18" s="40" t="s">
        <v>1</v>
      </c>
      <c r="I18" s="40" t="s">
        <v>1</v>
      </c>
      <c r="J18" s="21"/>
    </row>
    <row r="19" spans="1:10" x14ac:dyDescent="0.25">
      <c r="A19">
        <v>2011</v>
      </c>
      <c r="B19" s="21" t="s">
        <v>46</v>
      </c>
      <c r="C19" s="2">
        <v>40745</v>
      </c>
      <c r="D19">
        <v>74</v>
      </c>
      <c r="E19" s="21" t="s">
        <v>74</v>
      </c>
      <c r="F19" s="21" t="s">
        <v>1</v>
      </c>
      <c r="G19" s="21" t="s">
        <v>1</v>
      </c>
      <c r="H19" s="40" t="s">
        <v>1</v>
      </c>
      <c r="I19" s="40" t="s">
        <v>1</v>
      </c>
    </row>
    <row r="20" spans="1:10" x14ac:dyDescent="0.25">
      <c r="A20">
        <v>2011</v>
      </c>
      <c r="B20" s="21" t="s">
        <v>46</v>
      </c>
      <c r="C20" s="2">
        <v>40745</v>
      </c>
      <c r="D20">
        <v>75</v>
      </c>
      <c r="E20" s="21">
        <v>1</v>
      </c>
      <c r="F20" s="21">
        <v>22.78</v>
      </c>
      <c r="G20" s="21">
        <v>20.190000000000001</v>
      </c>
      <c r="H20" s="38">
        <v>28.82</v>
      </c>
      <c r="I20" s="38">
        <v>18</v>
      </c>
      <c r="J20" s="21" t="s">
        <v>215</v>
      </c>
    </row>
    <row r="21" spans="1:10" x14ac:dyDescent="0.25">
      <c r="A21">
        <v>2011</v>
      </c>
      <c r="B21" s="21" t="s">
        <v>46</v>
      </c>
      <c r="C21" s="2">
        <v>40745</v>
      </c>
      <c r="D21">
        <v>75</v>
      </c>
      <c r="E21" s="21">
        <v>2</v>
      </c>
      <c r="F21" s="21">
        <v>28.01</v>
      </c>
      <c r="G21" s="21">
        <v>20.079999999999998</v>
      </c>
      <c r="H21" s="38">
        <v>29.53</v>
      </c>
      <c r="I21" s="38">
        <v>58</v>
      </c>
      <c r="J21" s="21" t="s">
        <v>212</v>
      </c>
    </row>
    <row r="22" spans="1:10" x14ac:dyDescent="0.25">
      <c r="A22">
        <v>2011</v>
      </c>
      <c r="B22" s="21" t="s">
        <v>46</v>
      </c>
      <c r="C22" s="2">
        <v>40745</v>
      </c>
      <c r="D22">
        <v>75</v>
      </c>
      <c r="E22" s="21">
        <v>3</v>
      </c>
      <c r="F22" s="21">
        <v>19.05</v>
      </c>
      <c r="G22" s="21">
        <v>14.59</v>
      </c>
      <c r="H22" s="38">
        <v>27.55</v>
      </c>
      <c r="I22" s="38">
        <v>48</v>
      </c>
      <c r="J22" s="21" t="s">
        <v>212</v>
      </c>
    </row>
    <row r="23" spans="1:10" x14ac:dyDescent="0.25">
      <c r="A23">
        <v>2011</v>
      </c>
      <c r="B23" s="21" t="s">
        <v>46</v>
      </c>
      <c r="C23" s="2">
        <v>40745</v>
      </c>
      <c r="D23">
        <v>75</v>
      </c>
      <c r="E23" s="21">
        <v>4</v>
      </c>
      <c r="F23" s="21" t="s">
        <v>216</v>
      </c>
      <c r="G23" s="21" t="s">
        <v>217</v>
      </c>
      <c r="H23" s="38">
        <v>29.27</v>
      </c>
      <c r="I23" s="38">
        <v>65</v>
      </c>
      <c r="J23" s="21" t="s">
        <v>218</v>
      </c>
    </row>
    <row r="24" spans="1:10" x14ac:dyDescent="0.25">
      <c r="A24">
        <v>2011</v>
      </c>
      <c r="B24" s="21" t="s">
        <v>46</v>
      </c>
      <c r="C24" s="2">
        <v>40745</v>
      </c>
      <c r="D24">
        <v>75</v>
      </c>
      <c r="E24" s="21">
        <v>5</v>
      </c>
      <c r="F24" s="21">
        <v>16.940000000000001</v>
      </c>
      <c r="G24" s="21">
        <v>14.72</v>
      </c>
      <c r="H24" s="38">
        <v>16.809999999999999</v>
      </c>
      <c r="I24" s="38">
        <v>107</v>
      </c>
      <c r="J24" s="21" t="s">
        <v>219</v>
      </c>
    </row>
    <row r="25" spans="1:10" x14ac:dyDescent="0.25">
      <c r="A25">
        <v>2011</v>
      </c>
      <c r="B25" s="21" t="s">
        <v>46</v>
      </c>
      <c r="C25" s="2">
        <v>40751</v>
      </c>
      <c r="D25">
        <v>76</v>
      </c>
      <c r="E25" s="21" t="s">
        <v>74</v>
      </c>
      <c r="F25" s="21" t="s">
        <v>1</v>
      </c>
      <c r="G25" s="21" t="s">
        <v>1</v>
      </c>
      <c r="H25" s="40" t="s">
        <v>1</v>
      </c>
      <c r="I25" s="40" t="s">
        <v>1</v>
      </c>
      <c r="J25" s="21"/>
    </row>
    <row r="26" spans="1:10" x14ac:dyDescent="0.25">
      <c r="A26">
        <v>2011</v>
      </c>
      <c r="B26" s="21" t="s">
        <v>46</v>
      </c>
      <c r="C26" s="2">
        <v>40751</v>
      </c>
      <c r="D26">
        <v>77</v>
      </c>
      <c r="E26">
        <v>1</v>
      </c>
      <c r="F26">
        <v>17.87</v>
      </c>
      <c r="G26" s="21">
        <v>8.6</v>
      </c>
      <c r="H26" s="38">
        <v>9.9</v>
      </c>
      <c r="I26" s="40">
        <v>162</v>
      </c>
      <c r="J26" s="21" t="s">
        <v>220</v>
      </c>
    </row>
    <row r="27" spans="1:10" x14ac:dyDescent="0.25">
      <c r="A27">
        <v>2011</v>
      </c>
      <c r="B27" s="21" t="s">
        <v>46</v>
      </c>
      <c r="C27" s="2">
        <v>40751</v>
      </c>
      <c r="D27">
        <v>78</v>
      </c>
      <c r="E27">
        <v>1</v>
      </c>
      <c r="F27">
        <v>12.82</v>
      </c>
      <c r="G27" s="21">
        <v>7.21</v>
      </c>
      <c r="H27" s="40">
        <v>5.9</v>
      </c>
      <c r="I27" s="40">
        <v>93</v>
      </c>
      <c r="J27" s="21" t="s">
        <v>220</v>
      </c>
    </row>
    <row r="28" spans="1:10" x14ac:dyDescent="0.25">
      <c r="A28">
        <v>2011</v>
      </c>
      <c r="B28" s="21" t="s">
        <v>46</v>
      </c>
      <c r="C28" s="2">
        <v>40751</v>
      </c>
      <c r="D28">
        <v>78</v>
      </c>
      <c r="E28">
        <v>2</v>
      </c>
      <c r="F28">
        <v>18.600000000000001</v>
      </c>
      <c r="G28">
        <v>12.37</v>
      </c>
      <c r="H28" s="40">
        <v>5.5</v>
      </c>
      <c r="I28" s="40">
        <v>122</v>
      </c>
      <c r="J28" t="s">
        <v>220</v>
      </c>
    </row>
    <row r="29" spans="1:10" x14ac:dyDescent="0.25">
      <c r="A29">
        <v>2011</v>
      </c>
      <c r="B29" s="21" t="s">
        <v>46</v>
      </c>
      <c r="C29" s="2">
        <v>40751</v>
      </c>
      <c r="D29">
        <v>78</v>
      </c>
      <c r="E29">
        <v>3</v>
      </c>
      <c r="F29" t="s">
        <v>1</v>
      </c>
      <c r="G29" t="s">
        <v>1</v>
      </c>
      <c r="H29" s="38" t="s">
        <v>1</v>
      </c>
      <c r="I29" s="38" t="s">
        <v>1</v>
      </c>
      <c r="J29" t="s">
        <v>221</v>
      </c>
    </row>
    <row r="30" spans="1:10" x14ac:dyDescent="0.25">
      <c r="A30">
        <v>2011</v>
      </c>
      <c r="B30" s="21" t="s">
        <v>46</v>
      </c>
      <c r="C30" s="2">
        <v>40751</v>
      </c>
      <c r="D30">
        <v>78</v>
      </c>
      <c r="E30">
        <v>4</v>
      </c>
      <c r="F30" t="s">
        <v>1</v>
      </c>
      <c r="G30" t="s">
        <v>1</v>
      </c>
      <c r="H30" s="38" t="s">
        <v>1</v>
      </c>
      <c r="I30" s="38" t="s">
        <v>1</v>
      </c>
      <c r="J30" t="s">
        <v>221</v>
      </c>
    </row>
    <row r="31" spans="1:10" x14ac:dyDescent="0.25">
      <c r="A31">
        <v>2011</v>
      </c>
      <c r="B31" s="21" t="s">
        <v>46</v>
      </c>
      <c r="C31" s="2">
        <v>40751</v>
      </c>
      <c r="D31">
        <v>78</v>
      </c>
      <c r="E31">
        <v>5</v>
      </c>
      <c r="F31">
        <v>32.21</v>
      </c>
      <c r="G31">
        <v>25.41</v>
      </c>
      <c r="H31" s="38">
        <v>12.8</v>
      </c>
      <c r="I31" s="38">
        <v>124</v>
      </c>
      <c r="J31" t="s">
        <v>220</v>
      </c>
    </row>
    <row r="32" spans="1:10" x14ac:dyDescent="0.25">
      <c r="A32">
        <v>2011</v>
      </c>
      <c r="B32" s="21" t="s">
        <v>46</v>
      </c>
      <c r="C32" s="2">
        <v>40751</v>
      </c>
      <c r="D32">
        <v>78</v>
      </c>
      <c r="E32">
        <v>6</v>
      </c>
      <c r="F32">
        <v>23.31</v>
      </c>
      <c r="G32">
        <v>18.78</v>
      </c>
      <c r="H32" s="38">
        <v>13.8</v>
      </c>
      <c r="I32" s="38">
        <v>120</v>
      </c>
      <c r="J32" t="s">
        <v>220</v>
      </c>
    </row>
    <row r="33" spans="1:10" x14ac:dyDescent="0.25">
      <c r="A33">
        <v>2011</v>
      </c>
      <c r="B33" s="21" t="s">
        <v>46</v>
      </c>
      <c r="C33" s="2">
        <v>40751</v>
      </c>
      <c r="D33">
        <v>78</v>
      </c>
      <c r="E33">
        <v>7</v>
      </c>
      <c r="F33">
        <v>15.42</v>
      </c>
      <c r="G33">
        <v>9.9499999999999993</v>
      </c>
      <c r="H33" s="38">
        <v>11.1</v>
      </c>
      <c r="I33" s="38">
        <v>89</v>
      </c>
      <c r="J33" t="s">
        <v>222</v>
      </c>
    </row>
    <row r="34" spans="1:10" x14ac:dyDescent="0.25">
      <c r="A34">
        <v>2011</v>
      </c>
      <c r="B34" s="21" t="s">
        <v>46</v>
      </c>
      <c r="C34" s="2">
        <v>40751</v>
      </c>
      <c r="D34">
        <v>78</v>
      </c>
      <c r="E34">
        <v>8</v>
      </c>
      <c r="F34">
        <v>18.5</v>
      </c>
      <c r="G34">
        <v>13.03</v>
      </c>
      <c r="H34" s="38">
        <v>8.33</v>
      </c>
      <c r="I34" s="38">
        <v>73</v>
      </c>
      <c r="J34" t="s">
        <v>220</v>
      </c>
    </row>
    <row r="35" spans="1:10" x14ac:dyDescent="0.25">
      <c r="A35">
        <v>2011</v>
      </c>
      <c r="B35" s="21" t="s">
        <v>46</v>
      </c>
      <c r="C35" s="2">
        <v>40751</v>
      </c>
      <c r="D35">
        <v>78</v>
      </c>
      <c r="E35">
        <v>9</v>
      </c>
      <c r="F35">
        <v>17.41</v>
      </c>
      <c r="G35">
        <v>11.75</v>
      </c>
      <c r="H35" s="38">
        <v>8.06</v>
      </c>
      <c r="I35" s="38">
        <v>90</v>
      </c>
      <c r="J35" t="s">
        <v>223</v>
      </c>
    </row>
    <row r="36" spans="1:10" x14ac:dyDescent="0.25">
      <c r="A36">
        <v>2011</v>
      </c>
      <c r="B36" s="21" t="s">
        <v>46</v>
      </c>
      <c r="C36" s="2">
        <v>40751</v>
      </c>
      <c r="D36">
        <v>78</v>
      </c>
      <c r="E36">
        <v>10</v>
      </c>
      <c r="F36">
        <v>20.98</v>
      </c>
      <c r="G36" s="32">
        <v>13.25</v>
      </c>
      <c r="H36" s="38">
        <v>8.73</v>
      </c>
      <c r="I36" s="38">
        <v>101</v>
      </c>
      <c r="J36" t="s">
        <v>223</v>
      </c>
    </row>
    <row r="37" spans="1:10" x14ac:dyDescent="0.25">
      <c r="A37">
        <v>2011</v>
      </c>
      <c r="B37" s="21" t="s">
        <v>46</v>
      </c>
      <c r="C37" s="2">
        <v>40737</v>
      </c>
      <c r="D37">
        <v>79</v>
      </c>
      <c r="E37" s="21" t="s">
        <v>74</v>
      </c>
      <c r="F37" s="21" t="s">
        <v>1</v>
      </c>
      <c r="G37" s="21" t="s">
        <v>1</v>
      </c>
      <c r="H37" s="40" t="s">
        <v>1</v>
      </c>
      <c r="I37" s="40" t="s">
        <v>1</v>
      </c>
    </row>
    <row r="38" spans="1:10" x14ac:dyDescent="0.25">
      <c r="A38">
        <v>2011</v>
      </c>
      <c r="B38" s="21" t="s">
        <v>46</v>
      </c>
      <c r="C38" s="2">
        <v>40737</v>
      </c>
      <c r="D38">
        <v>80</v>
      </c>
      <c r="E38" s="21" t="s">
        <v>74</v>
      </c>
      <c r="F38" s="21" t="s">
        <v>1</v>
      </c>
      <c r="G38" s="21" t="s">
        <v>1</v>
      </c>
      <c r="H38" s="40" t="s">
        <v>1</v>
      </c>
      <c r="I38" s="40" t="s">
        <v>1</v>
      </c>
    </row>
    <row r="39" spans="1:10" x14ac:dyDescent="0.25">
      <c r="A39">
        <v>2011</v>
      </c>
      <c r="B39" s="21" t="s">
        <v>46</v>
      </c>
      <c r="C39" s="2">
        <v>40737</v>
      </c>
      <c r="D39">
        <v>81</v>
      </c>
      <c r="E39" s="21">
        <v>1</v>
      </c>
      <c r="F39" s="21">
        <v>20.96</v>
      </c>
      <c r="G39" s="21">
        <v>16.84</v>
      </c>
      <c r="H39" s="40">
        <v>16</v>
      </c>
      <c r="I39" s="40">
        <v>153</v>
      </c>
      <c r="J39" s="21" t="s">
        <v>212</v>
      </c>
    </row>
    <row r="40" spans="1:10" x14ac:dyDescent="0.25">
      <c r="A40">
        <v>2011</v>
      </c>
      <c r="B40" s="21" t="s">
        <v>46</v>
      </c>
      <c r="C40" s="2">
        <v>40737</v>
      </c>
      <c r="D40">
        <v>81</v>
      </c>
      <c r="E40" s="21">
        <v>2</v>
      </c>
      <c r="F40" s="21">
        <v>17.600000000000001</v>
      </c>
      <c r="G40" s="21">
        <v>12.41</v>
      </c>
      <c r="H40" s="40">
        <v>15.63</v>
      </c>
      <c r="I40" s="40">
        <v>151</v>
      </c>
      <c r="J40" s="21" t="s">
        <v>212</v>
      </c>
    </row>
    <row r="41" spans="1:10" x14ac:dyDescent="0.25">
      <c r="A41">
        <v>2011</v>
      </c>
      <c r="B41" s="21" t="s">
        <v>46</v>
      </c>
      <c r="C41" s="2">
        <v>40737</v>
      </c>
      <c r="D41">
        <v>103</v>
      </c>
      <c r="E41" s="21" t="s">
        <v>74</v>
      </c>
      <c r="F41" s="21" t="s">
        <v>1</v>
      </c>
      <c r="G41" s="21" t="s">
        <v>1</v>
      </c>
      <c r="H41" s="40" t="s">
        <v>1</v>
      </c>
      <c r="I41" s="40" t="s">
        <v>1</v>
      </c>
    </row>
    <row r="42" spans="1:10" x14ac:dyDescent="0.25">
      <c r="A42">
        <v>2011</v>
      </c>
      <c r="B42" s="21" t="s">
        <v>46</v>
      </c>
      <c r="C42" s="2">
        <v>40737</v>
      </c>
      <c r="D42">
        <v>104</v>
      </c>
      <c r="E42" s="21">
        <v>1</v>
      </c>
      <c r="F42" s="21">
        <v>9.2899999999999991</v>
      </c>
      <c r="G42" s="21" t="s">
        <v>1</v>
      </c>
      <c r="H42" s="40">
        <v>15.03</v>
      </c>
      <c r="I42" s="40">
        <v>230</v>
      </c>
      <c r="J42" s="21" t="s">
        <v>224</v>
      </c>
    </row>
    <row r="43" spans="1:10" x14ac:dyDescent="0.25">
      <c r="A43">
        <v>2011</v>
      </c>
      <c r="B43" s="21" t="s">
        <v>46</v>
      </c>
      <c r="C43" s="2">
        <v>40737</v>
      </c>
      <c r="D43">
        <v>104</v>
      </c>
      <c r="E43" s="21">
        <v>2</v>
      </c>
      <c r="F43" s="21">
        <v>11.81</v>
      </c>
      <c r="G43" s="21">
        <v>4.43</v>
      </c>
      <c r="H43" s="40">
        <v>16.850000000000001</v>
      </c>
      <c r="I43" s="40">
        <v>51</v>
      </c>
      <c r="J43" s="21" t="s">
        <v>212</v>
      </c>
    </row>
    <row r="44" spans="1:10" x14ac:dyDescent="0.25">
      <c r="A44">
        <v>2011</v>
      </c>
      <c r="B44" s="21" t="s">
        <v>46</v>
      </c>
      <c r="C44" s="2">
        <v>40737</v>
      </c>
      <c r="D44">
        <v>104</v>
      </c>
      <c r="E44" s="21">
        <v>3</v>
      </c>
      <c r="F44" s="21">
        <v>7.12</v>
      </c>
      <c r="G44" s="21" t="s">
        <v>1</v>
      </c>
      <c r="H44" s="40">
        <v>12.27</v>
      </c>
      <c r="I44" s="40">
        <v>292</v>
      </c>
      <c r="J44" s="21" t="s">
        <v>212</v>
      </c>
    </row>
    <row r="45" spans="1:10" x14ac:dyDescent="0.25">
      <c r="A45">
        <v>2011</v>
      </c>
      <c r="B45" s="21" t="s">
        <v>46</v>
      </c>
      <c r="C45" s="2">
        <v>40737</v>
      </c>
      <c r="D45">
        <v>105</v>
      </c>
      <c r="E45" s="21">
        <v>1</v>
      </c>
      <c r="F45" s="21">
        <v>9.98</v>
      </c>
      <c r="G45" s="21" t="s">
        <v>1</v>
      </c>
      <c r="H45" s="40">
        <v>6.62</v>
      </c>
      <c r="I45" s="40">
        <v>252</v>
      </c>
    </row>
    <row r="46" spans="1:10" x14ac:dyDescent="0.25">
      <c r="A46">
        <v>2011</v>
      </c>
      <c r="B46" s="21" t="s">
        <v>46</v>
      </c>
      <c r="C46" s="2">
        <v>40737</v>
      </c>
      <c r="D46">
        <v>106</v>
      </c>
      <c r="E46" s="21" t="s">
        <v>74</v>
      </c>
      <c r="F46" s="21" t="s">
        <v>1</v>
      </c>
      <c r="G46" s="21" t="s">
        <v>1</v>
      </c>
      <c r="H46" s="40" t="s">
        <v>1</v>
      </c>
      <c r="I46" s="40" t="s">
        <v>1</v>
      </c>
    </row>
    <row r="47" spans="1:10" x14ac:dyDescent="0.25">
      <c r="A47">
        <v>2011</v>
      </c>
      <c r="B47" s="21" t="s">
        <v>46</v>
      </c>
      <c r="C47" s="2">
        <v>40737</v>
      </c>
      <c r="D47">
        <v>107</v>
      </c>
      <c r="E47" s="21">
        <v>1</v>
      </c>
      <c r="F47" s="21">
        <v>8.2899999999999991</v>
      </c>
      <c r="G47" s="21" t="s">
        <v>1</v>
      </c>
      <c r="H47" s="38">
        <v>0.16</v>
      </c>
      <c r="I47" s="38">
        <v>244</v>
      </c>
      <c r="J47" s="21" t="s">
        <v>225</v>
      </c>
    </row>
    <row r="48" spans="1:10" x14ac:dyDescent="0.25">
      <c r="A48">
        <v>2011</v>
      </c>
      <c r="B48" s="21" t="s">
        <v>46</v>
      </c>
      <c r="C48" s="2">
        <v>40737</v>
      </c>
      <c r="D48">
        <v>107</v>
      </c>
      <c r="E48" s="21">
        <v>2</v>
      </c>
      <c r="F48" s="21">
        <v>7.54</v>
      </c>
      <c r="G48" s="21" t="s">
        <v>1</v>
      </c>
      <c r="H48" s="38">
        <v>1.6</v>
      </c>
      <c r="I48" s="38">
        <v>110</v>
      </c>
      <c r="J48" s="21" t="s">
        <v>225</v>
      </c>
    </row>
    <row r="49" spans="1:11" x14ac:dyDescent="0.25">
      <c r="A49">
        <v>2011</v>
      </c>
      <c r="B49" s="21" t="s">
        <v>46</v>
      </c>
      <c r="C49" s="2">
        <v>40737</v>
      </c>
      <c r="D49">
        <v>108</v>
      </c>
      <c r="E49" s="21">
        <v>1</v>
      </c>
      <c r="F49" s="21">
        <v>30.84</v>
      </c>
      <c r="G49" s="21">
        <v>22.72</v>
      </c>
      <c r="H49" s="40">
        <v>8.6999999999999993</v>
      </c>
      <c r="I49" s="40">
        <v>5</v>
      </c>
      <c r="J49" s="21" t="s">
        <v>212</v>
      </c>
    </row>
    <row r="50" spans="1:11" x14ac:dyDescent="0.25">
      <c r="A50">
        <v>2011</v>
      </c>
      <c r="B50" s="21" t="s">
        <v>46</v>
      </c>
      <c r="C50" s="2">
        <v>40737</v>
      </c>
      <c r="D50">
        <v>108</v>
      </c>
      <c r="E50" s="21">
        <v>2</v>
      </c>
      <c r="F50" s="21">
        <v>12.07</v>
      </c>
      <c r="G50" s="21" t="s">
        <v>1</v>
      </c>
      <c r="H50" s="40">
        <v>15.2</v>
      </c>
      <c r="I50" s="40">
        <v>10</v>
      </c>
      <c r="J50" s="21" t="s">
        <v>212</v>
      </c>
    </row>
    <row r="51" spans="1:11" x14ac:dyDescent="0.25">
      <c r="A51">
        <v>2011</v>
      </c>
      <c r="B51" s="21" t="s">
        <v>46</v>
      </c>
      <c r="C51" s="2">
        <v>40744</v>
      </c>
      <c r="D51">
        <v>109</v>
      </c>
      <c r="E51" s="21" t="s">
        <v>74</v>
      </c>
      <c r="F51" s="21" t="s">
        <v>1</v>
      </c>
      <c r="G51" s="21" t="s">
        <v>1</v>
      </c>
      <c r="H51" s="40" t="s">
        <v>1</v>
      </c>
      <c r="I51" s="40" t="s">
        <v>1</v>
      </c>
    </row>
    <row r="52" spans="1:11" x14ac:dyDescent="0.25">
      <c r="A52">
        <v>2011</v>
      </c>
      <c r="B52" s="21" t="s">
        <v>46</v>
      </c>
      <c r="C52" s="2">
        <v>40745</v>
      </c>
      <c r="D52">
        <v>110</v>
      </c>
      <c r="E52" s="21">
        <v>1</v>
      </c>
      <c r="F52" s="21">
        <v>5.34</v>
      </c>
      <c r="G52" s="21" t="s">
        <v>1</v>
      </c>
      <c r="H52" s="38">
        <v>11.01</v>
      </c>
      <c r="I52" s="38">
        <v>308</v>
      </c>
      <c r="J52" s="21" t="s">
        <v>226</v>
      </c>
    </row>
    <row r="53" spans="1:11" x14ac:dyDescent="0.25">
      <c r="A53">
        <v>2011</v>
      </c>
      <c r="B53" s="21" t="s">
        <v>46</v>
      </c>
      <c r="C53" s="2">
        <v>40745</v>
      </c>
      <c r="D53">
        <v>110</v>
      </c>
      <c r="E53" s="21">
        <v>2</v>
      </c>
      <c r="F53" s="21" t="s">
        <v>1</v>
      </c>
      <c r="G53" s="21" t="s">
        <v>1</v>
      </c>
      <c r="H53" s="38">
        <v>13.76</v>
      </c>
      <c r="I53" s="38">
        <v>281</v>
      </c>
      <c r="J53" s="21" t="s">
        <v>214</v>
      </c>
      <c r="K53" s="21"/>
    </row>
    <row r="54" spans="1:11" x14ac:dyDescent="0.25">
      <c r="A54">
        <v>2011</v>
      </c>
      <c r="B54" s="21" t="s">
        <v>46</v>
      </c>
      <c r="C54" s="2">
        <v>40745</v>
      </c>
      <c r="D54">
        <v>110</v>
      </c>
      <c r="E54" s="21">
        <v>3</v>
      </c>
      <c r="F54" s="21">
        <v>4.92</v>
      </c>
      <c r="G54" s="21" t="s">
        <v>1</v>
      </c>
      <c r="H54" s="38">
        <v>13.13</v>
      </c>
      <c r="I54" s="38">
        <v>283</v>
      </c>
      <c r="J54" s="21" t="s">
        <v>227</v>
      </c>
    </row>
    <row r="55" spans="1:11" x14ac:dyDescent="0.25">
      <c r="A55">
        <v>2011</v>
      </c>
      <c r="B55" s="21" t="s">
        <v>46</v>
      </c>
      <c r="C55" s="2">
        <v>40745</v>
      </c>
      <c r="D55">
        <v>110</v>
      </c>
      <c r="E55" s="21">
        <v>4</v>
      </c>
      <c r="F55" s="21">
        <v>14.6</v>
      </c>
      <c r="G55" s="21">
        <v>11.13</v>
      </c>
      <c r="H55" s="38">
        <v>16.2</v>
      </c>
      <c r="I55" s="38">
        <v>171</v>
      </c>
      <c r="J55" s="21" t="s">
        <v>212</v>
      </c>
    </row>
    <row r="56" spans="1:11" x14ac:dyDescent="0.25">
      <c r="A56">
        <v>2011</v>
      </c>
      <c r="B56" s="21" t="s">
        <v>46</v>
      </c>
      <c r="C56" s="2">
        <v>40745</v>
      </c>
      <c r="D56">
        <v>110</v>
      </c>
      <c r="E56" s="21">
        <v>5</v>
      </c>
      <c r="F56" s="21">
        <v>3.67</v>
      </c>
      <c r="G56" s="21" t="s">
        <v>1</v>
      </c>
      <c r="H56" s="38">
        <v>11.77</v>
      </c>
      <c r="I56" s="38">
        <v>100</v>
      </c>
      <c r="J56" s="21" t="s">
        <v>228</v>
      </c>
    </row>
    <row r="57" spans="1:11" x14ac:dyDescent="0.25">
      <c r="A57">
        <v>2011</v>
      </c>
      <c r="B57" s="21" t="s">
        <v>46</v>
      </c>
      <c r="C57" s="2">
        <v>40745</v>
      </c>
      <c r="D57">
        <v>110</v>
      </c>
      <c r="E57" s="21">
        <v>6</v>
      </c>
      <c r="F57" s="21">
        <v>5.2</v>
      </c>
      <c r="G57" s="21" t="s">
        <v>1</v>
      </c>
      <c r="H57" s="40">
        <v>14</v>
      </c>
      <c r="I57" s="40">
        <v>286</v>
      </c>
      <c r="J57" s="21" t="s">
        <v>229</v>
      </c>
    </row>
    <row r="58" spans="1:11" x14ac:dyDescent="0.25">
      <c r="A58">
        <v>2011</v>
      </c>
      <c r="B58" s="21" t="s">
        <v>46</v>
      </c>
      <c r="C58" s="2">
        <v>40744</v>
      </c>
      <c r="D58">
        <v>111</v>
      </c>
      <c r="E58" s="21" t="s">
        <v>74</v>
      </c>
      <c r="F58" s="21" t="s">
        <v>1</v>
      </c>
      <c r="G58" s="21" t="s">
        <v>1</v>
      </c>
      <c r="H58" s="40" t="s">
        <v>1</v>
      </c>
      <c r="I58" s="40" t="s">
        <v>1</v>
      </c>
    </row>
    <row r="59" spans="1:11" x14ac:dyDescent="0.25">
      <c r="B59" s="21"/>
    </row>
    <row r="60" spans="1:11" x14ac:dyDescent="0.25">
      <c r="B60" s="21"/>
    </row>
  </sheetData>
  <phoneticPr fontId="1" type="noConversion"/>
  <pageMargins left="0.75" right="0.75" top="1" bottom="1" header="0.5" footer="0.5"/>
  <pageSetup orientation="portrait" horizontalDpi="4294967293" vertic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85"/>
  <sheetViews>
    <sheetView workbookViewId="0">
      <pane xSplit="6" ySplit="4" topLeftCell="G37" activePane="bottomRight" state="frozen"/>
      <selection pane="topRight" activeCell="E1" sqref="E1"/>
      <selection pane="bottomLeft" activeCell="A5" sqref="A5"/>
      <selection pane="bottomRight" activeCell="A54" sqref="A54:XFD58"/>
    </sheetView>
  </sheetViews>
  <sheetFormatPr defaultRowHeight="12.5" x14ac:dyDescent="0.25"/>
  <cols>
    <col min="1" max="1" width="7.7265625" customWidth="1"/>
    <col min="2" max="2" width="12.26953125" customWidth="1"/>
    <col min="3" max="3" width="9.1796875" style="2" hidden="1" customWidth="1"/>
    <col min="4" max="4" width="6.26953125" customWidth="1"/>
    <col min="5" max="5" width="18.453125" customWidth="1"/>
    <col min="6" max="6" width="9.1796875" style="4" customWidth="1"/>
    <col min="9" max="10" width="9.1796875" customWidth="1"/>
    <col min="12" max="12" width="9.1796875" style="10" customWidth="1"/>
    <col min="13" max="13" width="21.54296875" customWidth="1"/>
    <col min="14" max="14" width="11.81640625" customWidth="1"/>
    <col min="20" max="20" width="9.1796875" style="10" customWidth="1"/>
    <col min="23" max="23" width="39.7265625" style="29" bestFit="1" customWidth="1"/>
  </cols>
  <sheetData>
    <row r="1" spans="1:23" x14ac:dyDescent="0.25">
      <c r="A1" s="2" t="s">
        <v>230</v>
      </c>
      <c r="E1" s="9"/>
      <c r="M1" s="9"/>
      <c r="N1" s="9"/>
      <c r="W1" s="28"/>
    </row>
    <row r="2" spans="1:23" x14ac:dyDescent="0.25">
      <c r="A2" s="2" t="s">
        <v>231</v>
      </c>
      <c r="E2" s="9"/>
      <c r="M2" s="9"/>
      <c r="N2" s="9"/>
      <c r="W2" s="28"/>
    </row>
    <row r="3" spans="1:23" s="3" customFormat="1" x14ac:dyDescent="0.25">
      <c r="C3" s="12"/>
      <c r="E3" s="9" t="s">
        <v>232</v>
      </c>
      <c r="F3" s="4"/>
      <c r="G3" s="3" t="s">
        <v>233</v>
      </c>
      <c r="H3" s="3" t="s">
        <v>233</v>
      </c>
      <c r="I3" s="3" t="s">
        <v>233</v>
      </c>
      <c r="K3" s="14" t="s">
        <v>234</v>
      </c>
      <c r="L3" s="4"/>
      <c r="M3" s="3" t="s">
        <v>180</v>
      </c>
      <c r="O3" s="3" t="s">
        <v>233</v>
      </c>
      <c r="P3" s="3" t="s">
        <v>233</v>
      </c>
      <c r="Q3" s="3" t="s">
        <v>233</v>
      </c>
      <c r="S3" s="13" t="s">
        <v>233</v>
      </c>
      <c r="T3" s="18"/>
      <c r="W3" s="28"/>
    </row>
    <row r="4" spans="1:23" s="7" customFormat="1" ht="13" thickBot="1" x14ac:dyDescent="0.3">
      <c r="A4" s="22" t="s">
        <v>8</v>
      </c>
      <c r="B4" s="22" t="s">
        <v>9</v>
      </c>
      <c r="C4" s="11" t="s">
        <v>10</v>
      </c>
      <c r="D4" s="7" t="s">
        <v>11</v>
      </c>
      <c r="E4" s="7" t="s">
        <v>12</v>
      </c>
      <c r="F4" s="8" t="s">
        <v>235</v>
      </c>
      <c r="G4" s="7" t="s">
        <v>236</v>
      </c>
      <c r="H4" s="7" t="s">
        <v>237</v>
      </c>
      <c r="I4" s="7" t="s">
        <v>238</v>
      </c>
      <c r="J4" s="7" t="s">
        <v>239</v>
      </c>
      <c r="K4" s="16" t="s">
        <v>210</v>
      </c>
      <c r="L4" s="8" t="s">
        <v>211</v>
      </c>
      <c r="M4" s="7" t="s">
        <v>12</v>
      </c>
      <c r="N4" s="7" t="s">
        <v>240</v>
      </c>
      <c r="O4" s="7" t="s">
        <v>236</v>
      </c>
      <c r="P4" s="7" t="s">
        <v>237</v>
      </c>
      <c r="Q4" s="7" t="s">
        <v>238</v>
      </c>
      <c r="R4" s="7" t="s">
        <v>241</v>
      </c>
      <c r="S4" s="15" t="s">
        <v>210</v>
      </c>
      <c r="T4" s="19" t="s">
        <v>211</v>
      </c>
      <c r="U4" s="7" t="s">
        <v>242</v>
      </c>
      <c r="V4" s="7" t="s">
        <v>243</v>
      </c>
      <c r="W4" s="30" t="s">
        <v>45</v>
      </c>
    </row>
    <row r="5" spans="1:23" ht="13" thickTop="1" x14ac:dyDescent="0.25">
      <c r="A5">
        <v>2011</v>
      </c>
      <c r="B5" s="21" t="s">
        <v>46</v>
      </c>
      <c r="C5" s="2">
        <v>40745</v>
      </c>
      <c r="D5">
        <v>67</v>
      </c>
      <c r="E5" s="21" t="s">
        <v>83</v>
      </c>
      <c r="F5" s="24" t="s">
        <v>244</v>
      </c>
      <c r="G5">
        <v>28</v>
      </c>
      <c r="H5">
        <v>28</v>
      </c>
      <c r="I5">
        <v>46</v>
      </c>
      <c r="K5">
        <v>14</v>
      </c>
      <c r="L5" s="10">
        <v>334</v>
      </c>
      <c r="M5" s="21" t="s">
        <v>49</v>
      </c>
      <c r="N5" s="21" t="s">
        <v>245</v>
      </c>
      <c r="O5" s="21">
        <v>8</v>
      </c>
      <c r="P5" s="21">
        <v>3</v>
      </c>
      <c r="Q5" s="21">
        <v>15</v>
      </c>
      <c r="S5">
        <v>15.6</v>
      </c>
      <c r="T5" s="10">
        <v>336</v>
      </c>
      <c r="U5">
        <v>46</v>
      </c>
      <c r="V5">
        <v>1128</v>
      </c>
      <c r="W5" s="29" t="s">
        <v>246</v>
      </c>
    </row>
    <row r="6" spans="1:23" x14ac:dyDescent="0.25">
      <c r="A6">
        <v>2011</v>
      </c>
      <c r="B6" s="21" t="s">
        <v>46</v>
      </c>
      <c r="C6" s="2">
        <v>40751</v>
      </c>
      <c r="D6">
        <v>70</v>
      </c>
      <c r="E6" s="23" t="s">
        <v>77</v>
      </c>
      <c r="F6" s="24" t="s">
        <v>247</v>
      </c>
      <c r="G6" s="21">
        <v>25</v>
      </c>
      <c r="H6" s="21">
        <v>14</v>
      </c>
      <c r="I6" s="21">
        <v>30</v>
      </c>
      <c r="K6">
        <v>16.02</v>
      </c>
      <c r="L6" s="10">
        <v>82</v>
      </c>
      <c r="M6" s="21" t="s">
        <v>51</v>
      </c>
      <c r="N6" s="21" t="s">
        <v>248</v>
      </c>
      <c r="O6" s="21">
        <v>17</v>
      </c>
      <c r="P6" s="21">
        <v>16</v>
      </c>
      <c r="Q6" s="21">
        <v>26</v>
      </c>
      <c r="S6">
        <v>15.77</v>
      </c>
      <c r="T6" s="10">
        <v>81</v>
      </c>
      <c r="U6">
        <v>24</v>
      </c>
      <c r="V6">
        <v>1266</v>
      </c>
      <c r="W6" s="29" t="s">
        <v>249</v>
      </c>
    </row>
    <row r="7" spans="1:23" x14ac:dyDescent="0.25">
      <c r="A7">
        <v>2011</v>
      </c>
      <c r="B7" s="21" t="s">
        <v>46</v>
      </c>
      <c r="C7" s="2">
        <v>40751</v>
      </c>
      <c r="D7">
        <v>70</v>
      </c>
      <c r="E7" s="23" t="s">
        <v>83</v>
      </c>
      <c r="F7" s="24" t="s">
        <v>244</v>
      </c>
      <c r="G7" s="21">
        <v>16</v>
      </c>
      <c r="H7" s="21">
        <v>13</v>
      </c>
      <c r="I7" s="21">
        <v>25</v>
      </c>
      <c r="K7">
        <v>16.170000000000002</v>
      </c>
      <c r="L7" s="10">
        <v>177</v>
      </c>
      <c r="M7" s="21" t="s">
        <v>54</v>
      </c>
      <c r="N7" s="21" t="s">
        <v>250</v>
      </c>
      <c r="O7" s="21">
        <v>19</v>
      </c>
      <c r="P7" s="21">
        <v>13</v>
      </c>
      <c r="Q7" s="21">
        <v>18</v>
      </c>
      <c r="S7">
        <v>15.91</v>
      </c>
      <c r="T7" s="10">
        <v>179</v>
      </c>
      <c r="U7">
        <v>60</v>
      </c>
      <c r="V7" s="21">
        <v>1269</v>
      </c>
      <c r="W7" s="29" t="s">
        <v>251</v>
      </c>
    </row>
    <row r="8" spans="1:23" x14ac:dyDescent="0.25">
      <c r="A8">
        <v>2011</v>
      </c>
      <c r="B8" s="21" t="s">
        <v>46</v>
      </c>
      <c r="C8" s="2">
        <v>40751</v>
      </c>
      <c r="D8">
        <v>70</v>
      </c>
      <c r="E8" s="23" t="s">
        <v>83</v>
      </c>
      <c r="F8" s="24" t="s">
        <v>252</v>
      </c>
      <c r="G8" s="21">
        <v>10</v>
      </c>
      <c r="H8" s="21">
        <v>6</v>
      </c>
      <c r="I8" s="21">
        <v>19</v>
      </c>
      <c r="K8">
        <v>17.760000000000002</v>
      </c>
      <c r="L8" s="10">
        <v>0</v>
      </c>
      <c r="M8" s="21" t="s">
        <v>47</v>
      </c>
      <c r="N8" s="21" t="s">
        <v>253</v>
      </c>
      <c r="O8" s="21">
        <v>27</v>
      </c>
      <c r="P8" s="21">
        <v>21</v>
      </c>
      <c r="Q8" s="21">
        <v>18</v>
      </c>
      <c r="S8">
        <v>18.36</v>
      </c>
      <c r="T8" s="10">
        <v>358</v>
      </c>
      <c r="U8">
        <v>61</v>
      </c>
      <c r="V8">
        <v>1264</v>
      </c>
      <c r="W8" s="29" t="s">
        <v>254</v>
      </c>
    </row>
    <row r="9" spans="1:23" x14ac:dyDescent="0.25">
      <c r="A9">
        <v>2011</v>
      </c>
      <c r="B9" s="21" t="s">
        <v>46</v>
      </c>
      <c r="C9" s="2">
        <v>40751</v>
      </c>
      <c r="D9">
        <v>70</v>
      </c>
      <c r="E9" s="23" t="s">
        <v>83</v>
      </c>
      <c r="F9" s="24" t="s">
        <v>255</v>
      </c>
      <c r="G9" s="21">
        <v>12</v>
      </c>
      <c r="H9" s="21">
        <v>12</v>
      </c>
      <c r="I9" s="21">
        <v>30</v>
      </c>
      <c r="K9">
        <v>16.5</v>
      </c>
      <c r="L9" s="10">
        <v>340</v>
      </c>
      <c r="M9" s="21" t="s">
        <v>54</v>
      </c>
      <c r="N9" s="21" t="s">
        <v>256</v>
      </c>
      <c r="O9" s="21">
        <v>29</v>
      </c>
      <c r="P9" s="21">
        <v>19</v>
      </c>
      <c r="Q9" s="21">
        <v>22</v>
      </c>
      <c r="S9">
        <v>16.399999999999999</v>
      </c>
      <c r="T9" s="10">
        <v>338</v>
      </c>
      <c r="U9">
        <v>9</v>
      </c>
      <c r="V9" s="21">
        <v>1275</v>
      </c>
      <c r="W9" s="29" t="s">
        <v>257</v>
      </c>
    </row>
    <row r="10" spans="1:23" x14ac:dyDescent="0.25">
      <c r="A10">
        <v>2011</v>
      </c>
      <c r="B10" s="21" t="s">
        <v>46</v>
      </c>
      <c r="C10" s="2">
        <v>40751</v>
      </c>
      <c r="D10">
        <v>70</v>
      </c>
      <c r="E10" s="23" t="s">
        <v>67</v>
      </c>
      <c r="F10" s="24" t="s">
        <v>258</v>
      </c>
      <c r="G10" s="21">
        <v>55</v>
      </c>
      <c r="H10" s="21">
        <v>35</v>
      </c>
      <c r="I10" s="21">
        <v>57</v>
      </c>
      <c r="K10">
        <v>17.48</v>
      </c>
      <c r="L10" s="10">
        <v>164</v>
      </c>
      <c r="M10" s="21" t="s">
        <v>51</v>
      </c>
      <c r="N10" s="21" t="s">
        <v>259</v>
      </c>
      <c r="O10" s="21">
        <v>35</v>
      </c>
      <c r="P10" s="21">
        <v>17</v>
      </c>
      <c r="Q10" s="21">
        <v>33</v>
      </c>
      <c r="S10">
        <v>17.53</v>
      </c>
      <c r="T10" s="10">
        <v>166</v>
      </c>
      <c r="U10">
        <v>30</v>
      </c>
      <c r="V10" s="21" t="s">
        <v>260</v>
      </c>
    </row>
    <row r="11" spans="1:23" x14ac:dyDescent="0.25">
      <c r="A11">
        <v>2011</v>
      </c>
      <c r="B11" s="21" t="s">
        <v>46</v>
      </c>
      <c r="C11" s="2">
        <v>40751</v>
      </c>
      <c r="D11">
        <v>70</v>
      </c>
      <c r="E11" s="23" t="s">
        <v>67</v>
      </c>
      <c r="F11" s="24" t="s">
        <v>261</v>
      </c>
      <c r="G11" s="21">
        <v>30</v>
      </c>
      <c r="H11" s="21">
        <v>30</v>
      </c>
      <c r="I11" s="21">
        <v>40</v>
      </c>
      <c r="K11">
        <v>16.309999999999999</v>
      </c>
      <c r="L11" s="10">
        <v>180</v>
      </c>
      <c r="M11" s="21" t="s">
        <v>54</v>
      </c>
      <c r="N11" s="21" t="s">
        <v>250</v>
      </c>
      <c r="O11" s="21">
        <v>19</v>
      </c>
      <c r="P11" s="21">
        <v>13</v>
      </c>
      <c r="Q11" s="21">
        <v>18</v>
      </c>
      <c r="S11">
        <v>15.91</v>
      </c>
      <c r="T11" s="10">
        <v>179</v>
      </c>
      <c r="U11">
        <v>47</v>
      </c>
      <c r="V11" s="21">
        <v>1269</v>
      </c>
    </row>
    <row r="12" spans="1:23" x14ac:dyDescent="0.25">
      <c r="A12">
        <v>2011</v>
      </c>
      <c r="B12" s="21" t="s">
        <v>46</v>
      </c>
      <c r="C12" s="2">
        <v>40751</v>
      </c>
      <c r="D12">
        <v>70</v>
      </c>
      <c r="E12" s="23" t="s">
        <v>67</v>
      </c>
      <c r="F12" s="24" t="s">
        <v>262</v>
      </c>
      <c r="G12" s="21">
        <v>21</v>
      </c>
      <c r="H12" s="21">
        <v>19</v>
      </c>
      <c r="I12" s="21">
        <v>28</v>
      </c>
      <c r="K12">
        <v>11.2</v>
      </c>
      <c r="L12" s="10">
        <v>184</v>
      </c>
      <c r="M12" s="21" t="s">
        <v>54</v>
      </c>
      <c r="N12" s="21" t="s">
        <v>263</v>
      </c>
      <c r="O12" s="21">
        <v>17</v>
      </c>
      <c r="P12" s="21">
        <v>19</v>
      </c>
      <c r="Q12" s="21">
        <v>20</v>
      </c>
      <c r="S12">
        <v>11.67</v>
      </c>
      <c r="T12" s="10">
        <v>184</v>
      </c>
      <c r="U12">
        <v>38</v>
      </c>
      <c r="V12" s="21">
        <v>1270</v>
      </c>
      <c r="W12" s="29" t="s">
        <v>264</v>
      </c>
    </row>
    <row r="13" spans="1:23" x14ac:dyDescent="0.25">
      <c r="A13">
        <v>2011</v>
      </c>
      <c r="B13" s="21" t="s">
        <v>46</v>
      </c>
      <c r="C13" s="2">
        <v>40751</v>
      </c>
      <c r="D13">
        <v>70</v>
      </c>
      <c r="E13" s="23" t="s">
        <v>67</v>
      </c>
      <c r="F13" s="24" t="s">
        <v>265</v>
      </c>
      <c r="G13" s="21">
        <v>20</v>
      </c>
      <c r="H13" s="21">
        <v>15</v>
      </c>
      <c r="I13" s="21">
        <v>30</v>
      </c>
      <c r="K13">
        <v>12.27</v>
      </c>
      <c r="L13" s="10">
        <v>232</v>
      </c>
      <c r="M13" s="21" t="s">
        <v>54</v>
      </c>
      <c r="N13" s="21" t="s">
        <v>266</v>
      </c>
      <c r="O13" s="21" t="s">
        <v>1</v>
      </c>
      <c r="P13" s="21" t="s">
        <v>1</v>
      </c>
      <c r="Q13" s="21" t="s">
        <v>1</v>
      </c>
      <c r="S13">
        <v>12.15</v>
      </c>
      <c r="T13" s="10">
        <v>228</v>
      </c>
      <c r="U13">
        <v>57</v>
      </c>
      <c r="V13" s="21">
        <v>1272</v>
      </c>
    </row>
    <row r="14" spans="1:23" x14ac:dyDescent="0.25">
      <c r="A14">
        <v>2011</v>
      </c>
      <c r="B14" s="21" t="s">
        <v>46</v>
      </c>
      <c r="C14" s="2">
        <v>40751</v>
      </c>
      <c r="D14">
        <v>70</v>
      </c>
      <c r="E14" s="23" t="s">
        <v>67</v>
      </c>
      <c r="F14" s="24" t="s">
        <v>267</v>
      </c>
      <c r="G14" s="21">
        <v>97</v>
      </c>
      <c r="H14" s="21">
        <v>60</v>
      </c>
      <c r="I14" s="21">
        <v>66</v>
      </c>
      <c r="K14">
        <v>9.06</v>
      </c>
      <c r="L14" s="10">
        <v>258</v>
      </c>
      <c r="M14" s="21" t="s">
        <v>47</v>
      </c>
      <c r="N14" s="21" t="s">
        <v>268</v>
      </c>
      <c r="O14" s="21">
        <v>34</v>
      </c>
      <c r="P14" s="21">
        <v>25</v>
      </c>
      <c r="Q14" s="21">
        <v>41</v>
      </c>
      <c r="S14">
        <v>8.82</v>
      </c>
      <c r="T14" s="10">
        <v>255</v>
      </c>
      <c r="U14">
        <v>24</v>
      </c>
      <c r="V14" s="21">
        <v>1273</v>
      </c>
      <c r="W14" s="29" t="s">
        <v>269</v>
      </c>
    </row>
    <row r="15" spans="1:23" x14ac:dyDescent="0.25">
      <c r="A15">
        <v>2011</v>
      </c>
      <c r="B15" s="21" t="s">
        <v>46</v>
      </c>
      <c r="C15" s="2">
        <v>40751</v>
      </c>
      <c r="D15">
        <v>70</v>
      </c>
      <c r="E15" s="23" t="s">
        <v>65</v>
      </c>
      <c r="F15" s="24" t="s">
        <v>270</v>
      </c>
      <c r="G15" s="21">
        <v>10</v>
      </c>
      <c r="H15" s="21">
        <v>9</v>
      </c>
      <c r="I15" s="21">
        <v>18</v>
      </c>
      <c r="K15">
        <v>3.18</v>
      </c>
      <c r="L15" s="10">
        <v>6</v>
      </c>
      <c r="M15" s="21" t="s">
        <v>51</v>
      </c>
      <c r="N15" s="21" t="s">
        <v>271</v>
      </c>
      <c r="O15" s="21">
        <v>20</v>
      </c>
      <c r="P15" s="21">
        <v>14</v>
      </c>
      <c r="Q15" s="21">
        <v>14</v>
      </c>
      <c r="S15">
        <v>3.25</v>
      </c>
      <c r="T15" s="10">
        <v>0</v>
      </c>
      <c r="U15">
        <v>33</v>
      </c>
      <c r="V15">
        <v>1265</v>
      </c>
      <c r="W15" s="29" t="s">
        <v>272</v>
      </c>
    </row>
    <row r="16" spans="1:23" x14ac:dyDescent="0.25">
      <c r="A16">
        <v>2011</v>
      </c>
      <c r="B16" s="21" t="s">
        <v>46</v>
      </c>
      <c r="C16" s="2">
        <v>40751</v>
      </c>
      <c r="D16">
        <v>70</v>
      </c>
      <c r="E16" s="23" t="s">
        <v>62</v>
      </c>
      <c r="F16" s="24" t="s">
        <v>273</v>
      </c>
      <c r="G16" s="21">
        <v>9</v>
      </c>
      <c r="H16" s="21">
        <v>8</v>
      </c>
      <c r="I16" s="21">
        <v>14</v>
      </c>
      <c r="K16">
        <v>16.04</v>
      </c>
      <c r="L16" s="10">
        <v>176</v>
      </c>
      <c r="M16" s="21" t="s">
        <v>54</v>
      </c>
      <c r="N16" s="21" t="s">
        <v>250</v>
      </c>
      <c r="O16" s="21">
        <v>19</v>
      </c>
      <c r="P16" s="21">
        <v>13</v>
      </c>
      <c r="Q16" s="21">
        <v>18</v>
      </c>
      <c r="S16">
        <v>15.91</v>
      </c>
      <c r="T16" s="10">
        <v>179</v>
      </c>
      <c r="U16">
        <v>75</v>
      </c>
      <c r="V16" s="21">
        <v>1269</v>
      </c>
    </row>
    <row r="17" spans="1:23" x14ac:dyDescent="0.25">
      <c r="A17">
        <v>2011</v>
      </c>
      <c r="B17" s="21" t="s">
        <v>46</v>
      </c>
      <c r="C17" s="2">
        <v>40751</v>
      </c>
      <c r="D17">
        <v>70</v>
      </c>
      <c r="E17" s="23" t="s">
        <v>62</v>
      </c>
      <c r="F17" s="24" t="s">
        <v>274</v>
      </c>
      <c r="G17" s="21">
        <v>13</v>
      </c>
      <c r="H17" s="21">
        <v>11</v>
      </c>
      <c r="I17" s="21">
        <v>28</v>
      </c>
      <c r="K17">
        <v>17.12</v>
      </c>
      <c r="L17" s="10">
        <v>191</v>
      </c>
      <c r="M17" s="21" t="s">
        <v>54</v>
      </c>
      <c r="N17" s="21" t="s">
        <v>275</v>
      </c>
      <c r="O17" s="21">
        <v>37</v>
      </c>
      <c r="P17" s="21">
        <v>22</v>
      </c>
      <c r="Q17" s="21">
        <v>25</v>
      </c>
      <c r="S17">
        <v>17.32</v>
      </c>
      <c r="T17" s="10">
        <v>189</v>
      </c>
      <c r="U17">
        <v>16</v>
      </c>
      <c r="V17" s="21">
        <v>1271</v>
      </c>
      <c r="W17" s="29" t="s">
        <v>251</v>
      </c>
    </row>
    <row r="18" spans="1:23" x14ac:dyDescent="0.25">
      <c r="A18">
        <v>2011</v>
      </c>
      <c r="B18" s="21" t="s">
        <v>46</v>
      </c>
      <c r="C18" s="2">
        <v>40751</v>
      </c>
      <c r="D18">
        <v>70</v>
      </c>
      <c r="E18" s="23" t="s">
        <v>62</v>
      </c>
      <c r="F18" s="24" t="s">
        <v>276</v>
      </c>
      <c r="G18" s="21">
        <v>13</v>
      </c>
      <c r="H18" s="21">
        <v>13</v>
      </c>
      <c r="I18" s="21">
        <v>35</v>
      </c>
      <c r="K18">
        <v>12.2</v>
      </c>
      <c r="L18" s="10">
        <v>227</v>
      </c>
      <c r="M18" s="21" t="s">
        <v>54</v>
      </c>
      <c r="N18" s="21" t="s">
        <v>266</v>
      </c>
      <c r="O18" s="21" t="s">
        <v>1</v>
      </c>
      <c r="P18" s="21" t="s">
        <v>1</v>
      </c>
      <c r="Q18" s="21" t="s">
        <v>1</v>
      </c>
      <c r="S18">
        <v>12.15</v>
      </c>
      <c r="T18" s="10">
        <v>228</v>
      </c>
      <c r="U18">
        <v>19</v>
      </c>
      <c r="V18" s="21">
        <v>1272</v>
      </c>
    </row>
    <row r="19" spans="1:23" x14ac:dyDescent="0.25">
      <c r="A19">
        <v>2011</v>
      </c>
      <c r="B19" s="21" t="s">
        <v>46</v>
      </c>
      <c r="C19" s="2">
        <v>40751</v>
      </c>
      <c r="D19">
        <v>70</v>
      </c>
      <c r="E19" s="23" t="s">
        <v>62</v>
      </c>
      <c r="F19" s="24" t="s">
        <v>277</v>
      </c>
      <c r="G19" s="21">
        <v>19</v>
      </c>
      <c r="H19" s="21">
        <v>16</v>
      </c>
      <c r="I19" s="21">
        <v>33</v>
      </c>
      <c r="K19">
        <v>10.56</v>
      </c>
      <c r="L19" s="10">
        <v>270</v>
      </c>
      <c r="M19" s="21" t="s">
        <v>54</v>
      </c>
      <c r="N19" s="21" t="s">
        <v>278</v>
      </c>
      <c r="O19" s="21">
        <v>30</v>
      </c>
      <c r="P19" s="21">
        <v>23</v>
      </c>
      <c r="Q19" s="21">
        <v>34</v>
      </c>
      <c r="S19">
        <v>10.37</v>
      </c>
      <c r="T19" s="10">
        <v>274</v>
      </c>
      <c r="U19">
        <v>34</v>
      </c>
      <c r="V19" s="21">
        <v>1274</v>
      </c>
    </row>
    <row r="20" spans="1:23" x14ac:dyDescent="0.25">
      <c r="A20">
        <v>2011</v>
      </c>
      <c r="B20" s="21" t="s">
        <v>46</v>
      </c>
      <c r="C20" s="2">
        <v>40751</v>
      </c>
      <c r="D20">
        <v>70</v>
      </c>
      <c r="E20" s="23" t="s">
        <v>62</v>
      </c>
      <c r="F20" s="24" t="s">
        <v>279</v>
      </c>
      <c r="G20" s="21">
        <v>13</v>
      </c>
      <c r="H20" s="21">
        <v>14</v>
      </c>
      <c r="I20" s="21">
        <v>28</v>
      </c>
      <c r="K20">
        <v>12.4</v>
      </c>
      <c r="L20" s="10">
        <v>229</v>
      </c>
      <c r="M20" s="21" t="s">
        <v>54</v>
      </c>
      <c r="N20" s="21" t="s">
        <v>266</v>
      </c>
      <c r="O20" s="21" t="s">
        <v>1</v>
      </c>
      <c r="P20" s="21" t="s">
        <v>1</v>
      </c>
      <c r="Q20" s="21" t="s">
        <v>1</v>
      </c>
      <c r="S20">
        <v>12.15</v>
      </c>
      <c r="T20" s="10">
        <v>228</v>
      </c>
      <c r="U20">
        <v>31</v>
      </c>
      <c r="V20" s="21">
        <v>1272</v>
      </c>
    </row>
    <row r="21" spans="1:23" x14ac:dyDescent="0.25">
      <c r="A21">
        <v>2011</v>
      </c>
      <c r="B21" s="21" t="s">
        <v>46</v>
      </c>
      <c r="C21" s="2">
        <v>40745</v>
      </c>
      <c r="D21">
        <v>73</v>
      </c>
      <c r="E21" s="23" t="s">
        <v>83</v>
      </c>
      <c r="F21" s="24" t="s">
        <v>244</v>
      </c>
      <c r="G21">
        <v>15</v>
      </c>
      <c r="H21">
        <v>11</v>
      </c>
      <c r="I21">
        <v>15</v>
      </c>
      <c r="K21">
        <v>17.170000000000002</v>
      </c>
      <c r="L21" s="10">
        <v>262</v>
      </c>
      <c r="M21" s="21" t="s">
        <v>280</v>
      </c>
      <c r="N21" s="21" t="s">
        <v>281</v>
      </c>
      <c r="O21" s="21">
        <v>9</v>
      </c>
      <c r="P21" s="21">
        <v>9</v>
      </c>
      <c r="Q21" s="21">
        <v>14</v>
      </c>
      <c r="S21">
        <v>16.72</v>
      </c>
      <c r="T21" s="10">
        <v>263</v>
      </c>
      <c r="U21">
        <v>56</v>
      </c>
      <c r="V21">
        <v>1147</v>
      </c>
    </row>
    <row r="22" spans="1:23" x14ac:dyDescent="0.25">
      <c r="A22">
        <v>2011</v>
      </c>
      <c r="B22" s="21" t="s">
        <v>46</v>
      </c>
      <c r="C22" s="2">
        <v>40745</v>
      </c>
      <c r="D22">
        <v>73</v>
      </c>
      <c r="E22" s="23" t="s">
        <v>181</v>
      </c>
      <c r="F22" s="24" t="s">
        <v>282</v>
      </c>
      <c r="G22">
        <v>28</v>
      </c>
      <c r="H22">
        <v>21</v>
      </c>
      <c r="I22">
        <v>12</v>
      </c>
      <c r="K22">
        <v>13.26</v>
      </c>
      <c r="L22" s="10">
        <v>122</v>
      </c>
      <c r="M22" s="21" t="s">
        <v>49</v>
      </c>
      <c r="N22" s="21" t="s">
        <v>245</v>
      </c>
      <c r="O22" s="21">
        <v>12</v>
      </c>
      <c r="P22" s="21">
        <v>7</v>
      </c>
      <c r="Q22" s="21">
        <v>12</v>
      </c>
      <c r="S22">
        <v>12.96</v>
      </c>
      <c r="T22" s="10">
        <v>122</v>
      </c>
      <c r="U22">
        <v>31</v>
      </c>
      <c r="V22">
        <v>1143</v>
      </c>
    </row>
    <row r="23" spans="1:23" x14ac:dyDescent="0.25">
      <c r="A23">
        <v>2011</v>
      </c>
      <c r="B23" s="21" t="s">
        <v>46</v>
      </c>
      <c r="C23" s="2">
        <v>40745</v>
      </c>
      <c r="D23">
        <v>73</v>
      </c>
      <c r="E23" s="23" t="s">
        <v>181</v>
      </c>
      <c r="F23" s="24" t="s">
        <v>283</v>
      </c>
      <c r="G23" s="21">
        <v>20</v>
      </c>
      <c r="H23" s="21">
        <v>15</v>
      </c>
      <c r="I23" s="21">
        <v>35</v>
      </c>
      <c r="K23">
        <v>4.58</v>
      </c>
      <c r="L23" s="10">
        <v>310</v>
      </c>
      <c r="M23" s="21" t="s">
        <v>52</v>
      </c>
      <c r="N23" s="21" t="s">
        <v>284</v>
      </c>
      <c r="O23" s="21">
        <v>30</v>
      </c>
      <c r="P23" s="21">
        <v>25</v>
      </c>
      <c r="Q23" s="21">
        <v>29</v>
      </c>
      <c r="S23">
        <v>4.46</v>
      </c>
      <c r="T23" s="10">
        <v>313</v>
      </c>
      <c r="U23">
        <v>22</v>
      </c>
      <c r="V23">
        <v>1149</v>
      </c>
      <c r="W23" s="29" t="s">
        <v>285</v>
      </c>
    </row>
    <row r="24" spans="1:23" x14ac:dyDescent="0.25">
      <c r="A24">
        <v>2011</v>
      </c>
      <c r="B24" s="21" t="s">
        <v>46</v>
      </c>
      <c r="C24" s="2">
        <v>40745</v>
      </c>
      <c r="D24">
        <v>73</v>
      </c>
      <c r="E24" s="23" t="s">
        <v>181</v>
      </c>
      <c r="F24" s="24" t="s">
        <v>283</v>
      </c>
      <c r="G24" s="21">
        <v>20</v>
      </c>
      <c r="H24" s="21">
        <v>15</v>
      </c>
      <c r="I24" s="21">
        <v>35</v>
      </c>
      <c r="K24">
        <v>4.58</v>
      </c>
      <c r="L24" s="10">
        <v>310</v>
      </c>
      <c r="M24" s="21" t="s">
        <v>85</v>
      </c>
      <c r="N24" s="21" t="s">
        <v>286</v>
      </c>
      <c r="O24" s="21">
        <v>10</v>
      </c>
      <c r="P24" s="21">
        <v>8</v>
      </c>
      <c r="Q24" s="21">
        <v>9</v>
      </c>
      <c r="S24">
        <v>4.9800000000000004</v>
      </c>
      <c r="T24" s="10">
        <v>310</v>
      </c>
      <c r="U24">
        <v>44</v>
      </c>
      <c r="V24">
        <v>1149</v>
      </c>
      <c r="W24" s="29" t="s">
        <v>287</v>
      </c>
    </row>
    <row r="25" spans="1:23" x14ac:dyDescent="0.25">
      <c r="A25">
        <v>2011</v>
      </c>
      <c r="B25" s="21" t="s">
        <v>46</v>
      </c>
      <c r="C25" s="2">
        <v>40745</v>
      </c>
      <c r="D25">
        <v>73</v>
      </c>
      <c r="E25" s="23" t="s">
        <v>67</v>
      </c>
      <c r="F25" s="24" t="s">
        <v>288</v>
      </c>
      <c r="G25">
        <v>165</v>
      </c>
      <c r="H25">
        <v>70</v>
      </c>
      <c r="I25">
        <v>64</v>
      </c>
      <c r="K25">
        <v>11.81</v>
      </c>
      <c r="L25" s="10">
        <v>133</v>
      </c>
      <c r="M25" s="21" t="s">
        <v>52</v>
      </c>
      <c r="N25" s="21" t="s">
        <v>289</v>
      </c>
      <c r="O25" s="21">
        <v>21</v>
      </c>
      <c r="P25" s="21">
        <v>20</v>
      </c>
      <c r="Q25" s="21">
        <v>27</v>
      </c>
      <c r="S25">
        <v>11.51</v>
      </c>
      <c r="T25" s="10">
        <v>126</v>
      </c>
      <c r="U25">
        <v>50</v>
      </c>
      <c r="V25">
        <v>1144</v>
      </c>
      <c r="W25" s="29" t="s">
        <v>290</v>
      </c>
    </row>
    <row r="26" spans="1:23" x14ac:dyDescent="0.25">
      <c r="A26">
        <v>2011</v>
      </c>
      <c r="B26" s="21" t="s">
        <v>46</v>
      </c>
      <c r="C26" s="2">
        <v>40745</v>
      </c>
      <c r="D26">
        <v>73</v>
      </c>
      <c r="E26" s="23" t="s">
        <v>67</v>
      </c>
      <c r="F26" s="24" t="s">
        <v>258</v>
      </c>
      <c r="G26">
        <v>146</v>
      </c>
      <c r="H26">
        <v>40</v>
      </c>
      <c r="I26">
        <v>77</v>
      </c>
      <c r="K26">
        <v>11.52</v>
      </c>
      <c r="L26" s="10">
        <v>169</v>
      </c>
      <c r="M26" s="21" t="s">
        <v>52</v>
      </c>
      <c r="N26" s="21" t="s">
        <v>291</v>
      </c>
      <c r="O26" s="21">
        <v>38</v>
      </c>
      <c r="P26" s="21">
        <v>31</v>
      </c>
      <c r="Q26" s="21">
        <v>17</v>
      </c>
      <c r="S26">
        <v>11.82</v>
      </c>
      <c r="T26" s="10">
        <v>167</v>
      </c>
      <c r="U26">
        <v>53</v>
      </c>
      <c r="V26">
        <v>1145</v>
      </c>
      <c r="W26" s="29" t="s">
        <v>292</v>
      </c>
    </row>
    <row r="27" spans="1:23" x14ac:dyDescent="0.25">
      <c r="A27">
        <v>2011</v>
      </c>
      <c r="B27" s="21" t="s">
        <v>46</v>
      </c>
      <c r="C27" s="2">
        <v>40745</v>
      </c>
      <c r="D27">
        <v>73</v>
      </c>
      <c r="E27" s="23" t="s">
        <v>67</v>
      </c>
      <c r="F27" s="24" t="s">
        <v>261</v>
      </c>
      <c r="G27">
        <v>25</v>
      </c>
      <c r="H27">
        <v>29</v>
      </c>
      <c r="I27">
        <v>56</v>
      </c>
      <c r="K27">
        <v>3.12</v>
      </c>
      <c r="L27" s="10">
        <v>202</v>
      </c>
      <c r="M27" s="21" t="s">
        <v>47</v>
      </c>
      <c r="N27" s="21" t="s">
        <v>293</v>
      </c>
      <c r="O27" s="21">
        <v>27</v>
      </c>
      <c r="P27" s="21">
        <v>8</v>
      </c>
      <c r="Q27" s="21">
        <v>13</v>
      </c>
      <c r="S27">
        <v>3.09</v>
      </c>
      <c r="T27" s="10">
        <v>182</v>
      </c>
      <c r="U27">
        <v>64</v>
      </c>
      <c r="V27">
        <v>1146</v>
      </c>
      <c r="W27" s="29" t="s">
        <v>294</v>
      </c>
    </row>
    <row r="28" spans="1:23" x14ac:dyDescent="0.25">
      <c r="A28">
        <v>2011</v>
      </c>
      <c r="B28" s="21" t="s">
        <v>46</v>
      </c>
      <c r="C28" s="2">
        <v>40745</v>
      </c>
      <c r="D28">
        <v>73</v>
      </c>
      <c r="E28" s="23" t="s">
        <v>67</v>
      </c>
      <c r="F28" s="24" t="s">
        <v>262</v>
      </c>
      <c r="G28" s="21">
        <v>30</v>
      </c>
      <c r="H28" s="21">
        <v>18</v>
      </c>
      <c r="I28" s="21">
        <v>28</v>
      </c>
      <c r="K28">
        <v>15.83</v>
      </c>
      <c r="L28" s="10">
        <v>347</v>
      </c>
      <c r="M28" s="21" t="s">
        <v>47</v>
      </c>
      <c r="N28" s="21" t="s">
        <v>253</v>
      </c>
      <c r="O28" s="21" t="s">
        <v>1</v>
      </c>
      <c r="P28" s="21" t="s">
        <v>1</v>
      </c>
      <c r="Q28" s="21" t="s">
        <v>1</v>
      </c>
      <c r="S28">
        <v>15.29</v>
      </c>
      <c r="T28" s="10">
        <v>354</v>
      </c>
      <c r="U28">
        <v>72</v>
      </c>
      <c r="V28">
        <v>1150</v>
      </c>
      <c r="W28" s="29" t="s">
        <v>295</v>
      </c>
    </row>
    <row r="29" spans="1:23" x14ac:dyDescent="0.25">
      <c r="A29">
        <v>2011</v>
      </c>
      <c r="B29" s="21" t="s">
        <v>46</v>
      </c>
      <c r="C29" s="2">
        <v>40745</v>
      </c>
      <c r="D29">
        <v>73</v>
      </c>
      <c r="E29" s="23" t="s">
        <v>65</v>
      </c>
      <c r="F29" s="24" t="s">
        <v>296</v>
      </c>
      <c r="G29" s="21" t="s">
        <v>1</v>
      </c>
      <c r="H29" s="21" t="s">
        <v>1</v>
      </c>
      <c r="I29" s="21" t="s">
        <v>1</v>
      </c>
      <c r="K29">
        <v>15.68</v>
      </c>
      <c r="L29" s="10">
        <v>278</v>
      </c>
      <c r="M29" s="21" t="s">
        <v>47</v>
      </c>
      <c r="N29" s="21" t="s">
        <v>297</v>
      </c>
      <c r="O29" s="21">
        <v>27</v>
      </c>
      <c r="P29" s="21">
        <v>18</v>
      </c>
      <c r="Q29" s="21">
        <v>16</v>
      </c>
      <c r="S29">
        <v>15.53</v>
      </c>
      <c r="T29" s="10">
        <v>272</v>
      </c>
      <c r="U29">
        <v>28</v>
      </c>
      <c r="V29">
        <v>1148</v>
      </c>
      <c r="W29" s="29" t="s">
        <v>298</v>
      </c>
    </row>
    <row r="30" spans="1:23" x14ac:dyDescent="0.25">
      <c r="A30">
        <v>2011</v>
      </c>
      <c r="B30" s="21" t="s">
        <v>46</v>
      </c>
      <c r="C30" s="2">
        <v>40745</v>
      </c>
      <c r="D30">
        <v>73</v>
      </c>
      <c r="E30" s="23" t="s">
        <v>62</v>
      </c>
      <c r="F30" s="24" t="s">
        <v>274</v>
      </c>
      <c r="G30" s="21" t="s">
        <v>1</v>
      </c>
      <c r="H30" s="21" t="s">
        <v>1</v>
      </c>
      <c r="I30" s="21" t="s">
        <v>1</v>
      </c>
      <c r="K30">
        <v>4.18</v>
      </c>
      <c r="L30" s="10">
        <v>318</v>
      </c>
      <c r="M30" s="21" t="s">
        <v>52</v>
      </c>
      <c r="N30" s="21" t="s">
        <v>284</v>
      </c>
      <c r="O30" s="21" t="s">
        <v>108</v>
      </c>
      <c r="P30" s="21">
        <v>25</v>
      </c>
      <c r="Q30" s="21">
        <v>29</v>
      </c>
      <c r="S30">
        <v>4.9800000000000004</v>
      </c>
      <c r="T30" s="10">
        <v>310</v>
      </c>
      <c r="U30">
        <v>96</v>
      </c>
      <c r="V30">
        <v>1149</v>
      </c>
      <c r="W30" s="29" t="s">
        <v>285</v>
      </c>
    </row>
    <row r="31" spans="1:23" x14ac:dyDescent="0.25">
      <c r="A31">
        <v>2011</v>
      </c>
      <c r="B31" s="21" t="s">
        <v>46</v>
      </c>
      <c r="C31" s="2">
        <v>40745</v>
      </c>
      <c r="D31">
        <v>73</v>
      </c>
      <c r="E31" s="23" t="s">
        <v>62</v>
      </c>
      <c r="F31" s="24" t="s">
        <v>274</v>
      </c>
      <c r="G31" s="21" t="s">
        <v>1</v>
      </c>
      <c r="H31" s="21" t="s">
        <v>1</v>
      </c>
      <c r="I31" s="21" t="s">
        <v>1</v>
      </c>
      <c r="K31">
        <v>4.18</v>
      </c>
      <c r="L31" s="10">
        <v>318</v>
      </c>
      <c r="M31" s="21" t="s">
        <v>85</v>
      </c>
      <c r="N31" s="21" t="s">
        <v>286</v>
      </c>
      <c r="O31" s="21">
        <v>10</v>
      </c>
      <c r="P31" s="21">
        <v>8</v>
      </c>
      <c r="Q31" s="21">
        <v>9</v>
      </c>
      <c r="S31">
        <v>4.9800000000000004</v>
      </c>
      <c r="T31" s="10">
        <v>310</v>
      </c>
      <c r="U31">
        <v>96</v>
      </c>
      <c r="V31">
        <v>1149</v>
      </c>
    </row>
    <row r="32" spans="1:23" x14ac:dyDescent="0.25">
      <c r="A32">
        <v>2011</v>
      </c>
      <c r="B32" s="21" t="s">
        <v>46</v>
      </c>
      <c r="C32" s="2">
        <v>40751</v>
      </c>
      <c r="D32">
        <v>77</v>
      </c>
      <c r="E32" s="23" t="s">
        <v>67</v>
      </c>
      <c r="F32" s="24" t="s">
        <v>288</v>
      </c>
      <c r="G32" s="21">
        <v>200</v>
      </c>
      <c r="H32" s="21">
        <v>130</v>
      </c>
      <c r="I32" s="21">
        <v>127</v>
      </c>
      <c r="K32">
        <v>12.08</v>
      </c>
      <c r="L32" s="10">
        <v>240</v>
      </c>
      <c r="M32" s="21" t="s">
        <v>85</v>
      </c>
      <c r="N32" s="31" t="s">
        <v>299</v>
      </c>
      <c r="O32" s="21">
        <v>23</v>
      </c>
      <c r="P32" s="21">
        <v>13</v>
      </c>
      <c r="Q32" s="21">
        <v>34</v>
      </c>
      <c r="S32">
        <v>11.66</v>
      </c>
      <c r="T32" s="10">
        <v>243</v>
      </c>
      <c r="U32">
        <v>41</v>
      </c>
      <c r="V32" s="21">
        <v>1242</v>
      </c>
      <c r="W32" s="29" t="s">
        <v>300</v>
      </c>
    </row>
    <row r="33" spans="1:23" x14ac:dyDescent="0.25">
      <c r="A33">
        <v>2011</v>
      </c>
      <c r="B33" s="21" t="s">
        <v>46</v>
      </c>
      <c r="C33" s="2">
        <v>40751</v>
      </c>
      <c r="D33">
        <v>77</v>
      </c>
      <c r="E33" s="23" t="s">
        <v>65</v>
      </c>
      <c r="F33" s="24" t="s">
        <v>270</v>
      </c>
      <c r="G33" s="21">
        <v>13</v>
      </c>
      <c r="H33" s="21">
        <v>13</v>
      </c>
      <c r="I33" s="21">
        <v>15</v>
      </c>
      <c r="K33">
        <v>19.82</v>
      </c>
      <c r="L33" s="10">
        <v>171</v>
      </c>
      <c r="M33" s="21" t="s">
        <v>54</v>
      </c>
      <c r="N33" s="21" t="s">
        <v>250</v>
      </c>
      <c r="O33" s="21">
        <v>22</v>
      </c>
      <c r="P33" s="21">
        <v>15</v>
      </c>
      <c r="Q33" s="21">
        <v>39</v>
      </c>
      <c r="S33">
        <v>19.57</v>
      </c>
      <c r="T33" s="10">
        <v>168</v>
      </c>
      <c r="U33">
        <v>48</v>
      </c>
      <c r="V33" s="21">
        <v>1241</v>
      </c>
      <c r="W33" s="29" t="s">
        <v>301</v>
      </c>
    </row>
    <row r="34" spans="1:23" x14ac:dyDescent="0.25">
      <c r="A34">
        <v>2011</v>
      </c>
      <c r="B34" s="21" t="s">
        <v>46</v>
      </c>
      <c r="C34" s="2">
        <v>40751</v>
      </c>
      <c r="D34">
        <v>78</v>
      </c>
      <c r="E34" s="23" t="s">
        <v>83</v>
      </c>
      <c r="F34" s="24" t="s">
        <v>244</v>
      </c>
      <c r="G34" s="21">
        <v>204</v>
      </c>
      <c r="H34" s="21">
        <v>130</v>
      </c>
      <c r="I34" s="21">
        <v>190</v>
      </c>
      <c r="K34">
        <v>9.99</v>
      </c>
      <c r="L34" s="10">
        <v>77</v>
      </c>
      <c r="M34" s="21" t="s">
        <v>51</v>
      </c>
      <c r="N34" s="21" t="s">
        <v>271</v>
      </c>
      <c r="O34" s="21">
        <v>92</v>
      </c>
      <c r="P34" s="21">
        <v>50</v>
      </c>
      <c r="Q34" s="21">
        <v>126</v>
      </c>
      <c r="S34">
        <v>9.99</v>
      </c>
      <c r="T34" s="10">
        <v>72</v>
      </c>
      <c r="U34">
        <v>79</v>
      </c>
      <c r="V34" s="21">
        <v>1231</v>
      </c>
      <c r="W34" s="29" t="s">
        <v>302</v>
      </c>
    </row>
    <row r="35" spans="1:23" x14ac:dyDescent="0.25">
      <c r="A35">
        <v>2011</v>
      </c>
      <c r="B35" s="21" t="s">
        <v>46</v>
      </c>
      <c r="C35" s="2">
        <v>40751</v>
      </c>
      <c r="D35">
        <v>78</v>
      </c>
      <c r="E35" s="23" t="s">
        <v>83</v>
      </c>
      <c r="F35" s="24" t="s">
        <v>252</v>
      </c>
      <c r="G35" s="21">
        <v>162</v>
      </c>
      <c r="H35" s="21">
        <v>130</v>
      </c>
      <c r="I35" s="21">
        <v>100</v>
      </c>
      <c r="K35">
        <v>13.93</v>
      </c>
      <c r="L35" s="10">
        <v>89</v>
      </c>
      <c r="M35" s="21" t="s">
        <v>51</v>
      </c>
      <c r="N35" s="21" t="s">
        <v>248</v>
      </c>
      <c r="O35" s="21">
        <v>43</v>
      </c>
      <c r="P35" s="21">
        <v>25</v>
      </c>
      <c r="Q35" s="21">
        <v>69</v>
      </c>
      <c r="S35">
        <v>13.06</v>
      </c>
      <c r="T35" s="10">
        <v>92</v>
      </c>
      <c r="U35">
        <v>90</v>
      </c>
      <c r="V35" s="21">
        <v>1233</v>
      </c>
      <c r="W35" s="29" t="s">
        <v>303</v>
      </c>
    </row>
    <row r="36" spans="1:23" x14ac:dyDescent="0.25">
      <c r="A36">
        <v>2011</v>
      </c>
      <c r="B36" s="21" t="s">
        <v>46</v>
      </c>
      <c r="C36" s="2">
        <v>40751</v>
      </c>
      <c r="D36">
        <v>78</v>
      </c>
      <c r="E36" s="23" t="s">
        <v>83</v>
      </c>
      <c r="F36" s="24" t="s">
        <v>255</v>
      </c>
      <c r="G36" s="21">
        <v>153</v>
      </c>
      <c r="H36" s="21">
        <v>120</v>
      </c>
      <c r="I36" s="21">
        <v>194</v>
      </c>
      <c r="K36">
        <v>9.1999999999999993</v>
      </c>
      <c r="L36" s="10">
        <v>246</v>
      </c>
      <c r="M36" s="21" t="s">
        <v>50</v>
      </c>
      <c r="N36" s="21" t="s">
        <v>304</v>
      </c>
      <c r="O36" s="21">
        <v>30</v>
      </c>
      <c r="P36" s="21">
        <v>25</v>
      </c>
      <c r="Q36" s="21">
        <v>40</v>
      </c>
      <c r="S36">
        <v>9.73</v>
      </c>
      <c r="T36" s="10">
        <v>254</v>
      </c>
      <c r="U36">
        <v>198</v>
      </c>
      <c r="V36" s="21">
        <v>1234</v>
      </c>
      <c r="W36" s="29" t="s">
        <v>305</v>
      </c>
    </row>
    <row r="37" spans="1:23" x14ac:dyDescent="0.25">
      <c r="A37">
        <v>2011</v>
      </c>
      <c r="B37" s="21" t="s">
        <v>46</v>
      </c>
      <c r="C37" s="2">
        <v>40751</v>
      </c>
      <c r="D37">
        <v>78</v>
      </c>
      <c r="E37" s="23" t="s">
        <v>65</v>
      </c>
      <c r="F37" s="24" t="s">
        <v>270</v>
      </c>
      <c r="G37" s="21">
        <v>20</v>
      </c>
      <c r="H37" s="21">
        <v>16</v>
      </c>
      <c r="I37" s="21">
        <v>63</v>
      </c>
      <c r="K37">
        <v>13.81</v>
      </c>
      <c r="L37" s="10">
        <v>81</v>
      </c>
      <c r="M37" s="21" t="s">
        <v>51</v>
      </c>
      <c r="N37" s="21" t="s">
        <v>306</v>
      </c>
      <c r="O37" s="21">
        <v>32</v>
      </c>
      <c r="P37" s="21">
        <v>27</v>
      </c>
      <c r="Q37" s="21">
        <v>42</v>
      </c>
      <c r="S37">
        <v>14.61</v>
      </c>
      <c r="T37" s="10">
        <v>82</v>
      </c>
      <c r="U37">
        <v>70</v>
      </c>
      <c r="V37" s="21">
        <v>1232</v>
      </c>
      <c r="W37" s="29" t="s">
        <v>307</v>
      </c>
    </row>
    <row r="38" spans="1:23" x14ac:dyDescent="0.25">
      <c r="A38">
        <v>2011</v>
      </c>
      <c r="B38" s="21" t="s">
        <v>46</v>
      </c>
      <c r="C38" s="2">
        <v>40751</v>
      </c>
      <c r="D38">
        <v>78</v>
      </c>
      <c r="E38" s="23" t="s">
        <v>65</v>
      </c>
      <c r="F38" s="24" t="s">
        <v>308</v>
      </c>
      <c r="G38" s="21" t="s">
        <v>1</v>
      </c>
      <c r="H38" t="s">
        <v>1</v>
      </c>
      <c r="I38" t="s">
        <v>1</v>
      </c>
      <c r="K38">
        <v>13.91</v>
      </c>
      <c r="L38" s="10">
        <v>86</v>
      </c>
      <c r="M38" s="21" t="s">
        <v>51</v>
      </c>
      <c r="N38" s="21" t="s">
        <v>309</v>
      </c>
      <c r="O38" s="21" t="s">
        <v>1</v>
      </c>
      <c r="P38" s="21" t="s">
        <v>1</v>
      </c>
      <c r="Q38" s="21" t="s">
        <v>1</v>
      </c>
      <c r="S38">
        <v>13.92</v>
      </c>
      <c r="T38" s="10">
        <v>86</v>
      </c>
      <c r="U38">
        <v>10</v>
      </c>
      <c r="V38" s="21" t="s">
        <v>1</v>
      </c>
      <c r="W38" s="29" t="s">
        <v>310</v>
      </c>
    </row>
    <row r="39" spans="1:23" x14ac:dyDescent="0.25">
      <c r="A39">
        <v>2011</v>
      </c>
      <c r="B39" s="21" t="s">
        <v>46</v>
      </c>
      <c r="C39" s="2">
        <v>40737</v>
      </c>
      <c r="D39">
        <v>81</v>
      </c>
      <c r="E39" s="23" t="s">
        <v>67</v>
      </c>
      <c r="F39" s="24" t="s">
        <v>288</v>
      </c>
      <c r="G39" s="21">
        <v>84</v>
      </c>
      <c r="H39" s="21">
        <v>26</v>
      </c>
      <c r="I39" s="21">
        <v>82</v>
      </c>
      <c r="K39">
        <v>10.59</v>
      </c>
      <c r="L39" s="10">
        <v>122</v>
      </c>
      <c r="M39" s="21" t="s">
        <v>51</v>
      </c>
      <c r="N39" s="21" t="s">
        <v>271</v>
      </c>
      <c r="O39" s="21">
        <v>12</v>
      </c>
      <c r="P39" s="21">
        <v>8</v>
      </c>
      <c r="Q39" s="21">
        <v>11</v>
      </c>
      <c r="S39">
        <v>11</v>
      </c>
      <c r="T39" s="10">
        <v>122</v>
      </c>
      <c r="U39">
        <v>38</v>
      </c>
      <c r="V39">
        <v>943</v>
      </c>
      <c r="W39" s="29" t="s">
        <v>311</v>
      </c>
    </row>
    <row r="40" spans="1:23" x14ac:dyDescent="0.25">
      <c r="A40">
        <v>2011</v>
      </c>
      <c r="B40" s="21" t="s">
        <v>46</v>
      </c>
      <c r="C40" s="2">
        <v>40737</v>
      </c>
      <c r="D40">
        <v>81</v>
      </c>
      <c r="E40" s="23" t="s">
        <v>67</v>
      </c>
      <c r="F40" s="24" t="s">
        <v>258</v>
      </c>
      <c r="G40" s="21">
        <v>30</v>
      </c>
      <c r="H40" s="21">
        <v>22</v>
      </c>
      <c r="I40" s="21">
        <v>48</v>
      </c>
      <c r="K40">
        <v>10.01</v>
      </c>
      <c r="L40" s="10">
        <v>254</v>
      </c>
      <c r="M40" s="21" t="s">
        <v>51</v>
      </c>
      <c r="N40" s="21" t="s">
        <v>306</v>
      </c>
      <c r="O40" s="21">
        <v>9</v>
      </c>
      <c r="P40" s="21">
        <v>9</v>
      </c>
      <c r="Q40" s="21">
        <v>9</v>
      </c>
      <c r="S40">
        <v>10.98</v>
      </c>
      <c r="T40" s="10">
        <v>251</v>
      </c>
      <c r="U40">
        <v>107</v>
      </c>
      <c r="V40">
        <v>942</v>
      </c>
      <c r="W40" s="29" t="s">
        <v>312</v>
      </c>
    </row>
    <row r="41" spans="1:23" x14ac:dyDescent="0.25">
      <c r="A41">
        <v>2011</v>
      </c>
      <c r="B41" s="21" t="s">
        <v>46</v>
      </c>
      <c r="C41" s="2">
        <v>40737</v>
      </c>
      <c r="D41">
        <v>103</v>
      </c>
      <c r="E41" s="23" t="s">
        <v>83</v>
      </c>
      <c r="F41" s="24" t="s">
        <v>244</v>
      </c>
      <c r="G41" s="21">
        <v>94</v>
      </c>
      <c r="H41" s="21">
        <v>69</v>
      </c>
      <c r="I41" s="21">
        <v>144</v>
      </c>
      <c r="K41">
        <v>7.84</v>
      </c>
      <c r="L41" s="10">
        <v>153</v>
      </c>
      <c r="M41" s="21" t="s">
        <v>63</v>
      </c>
      <c r="N41" s="21" t="s">
        <v>313</v>
      </c>
      <c r="O41" s="21">
        <v>15</v>
      </c>
      <c r="P41" s="21">
        <v>10</v>
      </c>
      <c r="Q41" s="21">
        <v>23</v>
      </c>
      <c r="S41">
        <v>8.06</v>
      </c>
      <c r="T41" s="10">
        <v>153</v>
      </c>
      <c r="U41">
        <v>22</v>
      </c>
      <c r="V41">
        <v>913</v>
      </c>
      <c r="W41" s="29" t="s">
        <v>314</v>
      </c>
    </row>
    <row r="42" spans="1:23" x14ac:dyDescent="0.25">
      <c r="A42">
        <v>2011</v>
      </c>
      <c r="B42" s="21" t="s">
        <v>46</v>
      </c>
      <c r="C42" s="2">
        <v>40737</v>
      </c>
      <c r="D42">
        <v>103</v>
      </c>
      <c r="E42" s="23" t="s">
        <v>65</v>
      </c>
      <c r="F42" s="24" t="s">
        <v>270</v>
      </c>
      <c r="G42" s="21">
        <v>36</v>
      </c>
      <c r="H42" s="21">
        <v>10</v>
      </c>
      <c r="I42" s="21">
        <v>63</v>
      </c>
      <c r="K42">
        <v>2.57</v>
      </c>
      <c r="L42" s="10">
        <v>346</v>
      </c>
      <c r="M42" s="21" t="s">
        <v>54</v>
      </c>
      <c r="N42" s="21" t="s">
        <v>250</v>
      </c>
      <c r="O42" s="21">
        <v>19</v>
      </c>
      <c r="P42" s="21">
        <v>14</v>
      </c>
      <c r="Q42" s="21">
        <v>22</v>
      </c>
      <c r="S42">
        <v>2.31</v>
      </c>
      <c r="T42" s="10">
        <v>333</v>
      </c>
      <c r="U42">
        <v>76</v>
      </c>
      <c r="V42">
        <v>916</v>
      </c>
      <c r="W42" s="29" t="s">
        <v>315</v>
      </c>
    </row>
    <row r="43" spans="1:23" x14ac:dyDescent="0.25">
      <c r="A43">
        <v>2011</v>
      </c>
      <c r="B43" s="21" t="s">
        <v>46</v>
      </c>
      <c r="C43" s="2">
        <v>40737</v>
      </c>
      <c r="D43">
        <v>104</v>
      </c>
      <c r="E43" s="23" t="s">
        <v>65</v>
      </c>
      <c r="F43" s="24" t="s">
        <v>270</v>
      </c>
      <c r="G43" s="21">
        <v>17</v>
      </c>
      <c r="H43" s="21">
        <v>16</v>
      </c>
      <c r="I43" s="21">
        <v>62</v>
      </c>
      <c r="K43">
        <v>15.25</v>
      </c>
      <c r="L43" s="10">
        <v>6</v>
      </c>
      <c r="M43" s="21" t="s">
        <v>47</v>
      </c>
      <c r="N43" s="21" t="s">
        <v>253</v>
      </c>
      <c r="O43" s="21">
        <v>37</v>
      </c>
      <c r="P43" s="21">
        <v>27</v>
      </c>
      <c r="Q43" s="21">
        <v>78</v>
      </c>
      <c r="S43">
        <v>15.88</v>
      </c>
      <c r="T43" s="10">
        <v>10</v>
      </c>
      <c r="U43">
        <v>67</v>
      </c>
      <c r="V43">
        <v>907</v>
      </c>
      <c r="W43" s="29" t="s">
        <v>316</v>
      </c>
    </row>
    <row r="44" spans="1:23" x14ac:dyDescent="0.25">
      <c r="A44">
        <v>2011</v>
      </c>
      <c r="B44" s="21" t="s">
        <v>46</v>
      </c>
      <c r="C44" s="2">
        <v>40737</v>
      </c>
      <c r="D44">
        <v>104</v>
      </c>
      <c r="E44" s="23" t="s">
        <v>62</v>
      </c>
      <c r="F44" s="24" t="s">
        <v>317</v>
      </c>
      <c r="G44" s="21">
        <v>18</v>
      </c>
      <c r="H44" s="21">
        <v>15</v>
      </c>
      <c r="I44" s="21">
        <v>39</v>
      </c>
      <c r="K44">
        <v>2.66</v>
      </c>
      <c r="L44" s="33">
        <v>324</v>
      </c>
      <c r="M44" s="21" t="s">
        <v>47</v>
      </c>
      <c r="N44" s="21" t="s">
        <v>268</v>
      </c>
      <c r="O44" s="21">
        <v>31</v>
      </c>
      <c r="P44" s="21">
        <v>24</v>
      </c>
      <c r="Q44" s="21">
        <v>23</v>
      </c>
      <c r="S44">
        <v>3.25</v>
      </c>
      <c r="T44" s="33">
        <v>316</v>
      </c>
      <c r="U44">
        <v>59</v>
      </c>
      <c r="V44">
        <v>908</v>
      </c>
      <c r="W44" s="29" t="s">
        <v>318</v>
      </c>
    </row>
    <row r="45" spans="1:23" x14ac:dyDescent="0.25">
      <c r="A45">
        <v>2011</v>
      </c>
      <c r="B45" s="21" t="s">
        <v>46</v>
      </c>
      <c r="C45" s="2">
        <v>40737</v>
      </c>
      <c r="D45">
        <v>105</v>
      </c>
      <c r="E45" s="23" t="s">
        <v>83</v>
      </c>
      <c r="F45" s="24" t="s">
        <v>244</v>
      </c>
      <c r="G45" s="21">
        <v>50</v>
      </c>
      <c r="H45" s="21">
        <v>40</v>
      </c>
      <c r="I45" s="21">
        <v>97</v>
      </c>
      <c r="K45">
        <v>1.65</v>
      </c>
      <c r="L45" s="10">
        <v>28</v>
      </c>
      <c r="M45" s="21" t="s">
        <v>319</v>
      </c>
      <c r="N45" s="21" t="s">
        <v>320</v>
      </c>
      <c r="O45" s="21">
        <v>23</v>
      </c>
      <c r="P45" s="21">
        <v>12</v>
      </c>
      <c r="Q45" s="21">
        <v>28</v>
      </c>
      <c r="S45">
        <v>1.72</v>
      </c>
      <c r="T45" s="10">
        <v>28</v>
      </c>
      <c r="U45">
        <v>5</v>
      </c>
      <c r="V45">
        <v>924</v>
      </c>
      <c r="W45" s="29" t="s">
        <v>321</v>
      </c>
    </row>
    <row r="46" spans="1:23" x14ac:dyDescent="0.25">
      <c r="A46">
        <v>2011</v>
      </c>
      <c r="B46" s="21" t="s">
        <v>46</v>
      </c>
      <c r="C46" s="2">
        <v>40737</v>
      </c>
      <c r="D46">
        <v>105</v>
      </c>
      <c r="E46" s="23" t="s">
        <v>83</v>
      </c>
      <c r="F46" s="24" t="s">
        <v>252</v>
      </c>
      <c r="G46" s="21">
        <v>92</v>
      </c>
      <c r="H46" s="21">
        <v>56</v>
      </c>
      <c r="I46" s="21">
        <v>128</v>
      </c>
      <c r="K46">
        <v>4.0199999999999996</v>
      </c>
      <c r="L46" s="10">
        <v>166</v>
      </c>
      <c r="M46" s="21" t="s">
        <v>54</v>
      </c>
      <c r="N46" s="21" t="s">
        <v>250</v>
      </c>
      <c r="O46" s="21">
        <v>41</v>
      </c>
      <c r="P46" s="21">
        <v>36</v>
      </c>
      <c r="Q46" s="21">
        <v>56</v>
      </c>
      <c r="S46">
        <v>4.18</v>
      </c>
      <c r="T46" s="10">
        <v>163</v>
      </c>
      <c r="U46">
        <v>81</v>
      </c>
      <c r="V46">
        <v>925</v>
      </c>
    </row>
    <row r="47" spans="1:23" x14ac:dyDescent="0.25">
      <c r="A47">
        <v>2011</v>
      </c>
      <c r="B47" s="21" t="s">
        <v>46</v>
      </c>
      <c r="C47" s="2">
        <v>40737</v>
      </c>
      <c r="D47">
        <v>105</v>
      </c>
      <c r="E47" s="23" t="s">
        <v>83</v>
      </c>
      <c r="F47" s="24" t="s">
        <v>255</v>
      </c>
      <c r="G47" s="21">
        <v>35</v>
      </c>
      <c r="H47" s="21">
        <v>29</v>
      </c>
      <c r="I47" s="21">
        <v>113</v>
      </c>
      <c r="K47">
        <v>9.2100000000000009</v>
      </c>
      <c r="L47" s="10">
        <v>180</v>
      </c>
      <c r="M47" s="21" t="s">
        <v>51</v>
      </c>
      <c r="N47" s="21" t="s">
        <v>306</v>
      </c>
      <c r="O47" s="21">
        <v>59</v>
      </c>
      <c r="P47" s="21">
        <v>35</v>
      </c>
      <c r="Q47" s="21">
        <v>70</v>
      </c>
      <c r="S47">
        <v>8.8800000000000008</v>
      </c>
      <c r="T47" s="10">
        <v>180</v>
      </c>
      <c r="U47">
        <v>27</v>
      </c>
      <c r="V47">
        <v>921</v>
      </c>
      <c r="W47" s="29" t="s">
        <v>322</v>
      </c>
    </row>
    <row r="48" spans="1:23" x14ac:dyDescent="0.25">
      <c r="A48">
        <v>2011</v>
      </c>
      <c r="B48" s="21" t="s">
        <v>46</v>
      </c>
      <c r="C48" s="2">
        <v>40737</v>
      </c>
      <c r="D48">
        <v>105</v>
      </c>
      <c r="E48" s="23" t="s">
        <v>65</v>
      </c>
      <c r="F48" s="24" t="s">
        <v>270</v>
      </c>
      <c r="G48" s="21">
        <v>23</v>
      </c>
      <c r="H48" s="21">
        <v>15</v>
      </c>
      <c r="I48" s="21">
        <v>48</v>
      </c>
      <c r="K48">
        <v>2.02</v>
      </c>
      <c r="L48" s="10">
        <v>28</v>
      </c>
      <c r="M48" s="21" t="s">
        <v>319</v>
      </c>
      <c r="N48" s="21" t="s">
        <v>320</v>
      </c>
      <c r="O48" s="21">
        <v>23</v>
      </c>
      <c r="P48" s="21">
        <v>12</v>
      </c>
      <c r="Q48" s="21">
        <v>28</v>
      </c>
      <c r="S48">
        <v>1.72</v>
      </c>
      <c r="T48" s="10">
        <v>28</v>
      </c>
      <c r="U48">
        <v>27</v>
      </c>
      <c r="V48">
        <v>924</v>
      </c>
    </row>
    <row r="49" spans="1:23" x14ac:dyDescent="0.25">
      <c r="A49">
        <v>2011</v>
      </c>
      <c r="B49" s="21" t="s">
        <v>46</v>
      </c>
      <c r="C49" s="2">
        <v>40737</v>
      </c>
      <c r="D49">
        <v>105</v>
      </c>
      <c r="E49" s="23" t="s">
        <v>65</v>
      </c>
      <c r="F49" s="24" t="s">
        <v>308</v>
      </c>
      <c r="G49" s="21">
        <v>32</v>
      </c>
      <c r="H49" s="21">
        <v>17</v>
      </c>
      <c r="I49" s="21">
        <v>67</v>
      </c>
      <c r="K49">
        <v>2.48</v>
      </c>
      <c r="L49" s="10">
        <v>5</v>
      </c>
      <c r="M49" s="21" t="s">
        <v>51</v>
      </c>
      <c r="N49" s="21" t="s">
        <v>271</v>
      </c>
      <c r="O49" s="21">
        <v>24</v>
      </c>
      <c r="P49" s="21">
        <v>20</v>
      </c>
      <c r="Q49" s="21">
        <v>71</v>
      </c>
      <c r="S49">
        <v>3.12</v>
      </c>
      <c r="T49" s="10">
        <v>16</v>
      </c>
      <c r="U49">
        <v>77</v>
      </c>
      <c r="V49">
        <v>923</v>
      </c>
    </row>
    <row r="50" spans="1:23" x14ac:dyDescent="0.25">
      <c r="A50">
        <v>2011</v>
      </c>
      <c r="B50" s="21" t="s">
        <v>46</v>
      </c>
      <c r="C50" s="2">
        <v>40737</v>
      </c>
      <c r="D50">
        <v>105</v>
      </c>
      <c r="E50" s="23" t="s">
        <v>65</v>
      </c>
      <c r="F50" s="24" t="s">
        <v>296</v>
      </c>
      <c r="G50" s="21">
        <v>12</v>
      </c>
      <c r="H50" s="21">
        <v>9</v>
      </c>
      <c r="I50" s="21">
        <v>21</v>
      </c>
      <c r="K50">
        <v>3.34</v>
      </c>
      <c r="L50" s="10">
        <v>163</v>
      </c>
      <c r="M50" s="21" t="s">
        <v>54</v>
      </c>
      <c r="N50" s="21" t="s">
        <v>250</v>
      </c>
      <c r="O50" s="21">
        <v>41</v>
      </c>
      <c r="P50" s="21">
        <v>36</v>
      </c>
      <c r="Q50" s="21">
        <v>56</v>
      </c>
      <c r="S50">
        <v>4.18</v>
      </c>
      <c r="T50" s="10">
        <v>163</v>
      </c>
      <c r="U50">
        <v>29</v>
      </c>
      <c r="V50">
        <v>926</v>
      </c>
    </row>
    <row r="51" spans="1:23" x14ac:dyDescent="0.25">
      <c r="A51">
        <v>2011</v>
      </c>
      <c r="B51" s="21" t="s">
        <v>46</v>
      </c>
      <c r="C51" s="2">
        <v>40737</v>
      </c>
      <c r="D51">
        <v>105</v>
      </c>
      <c r="E51" s="23" t="s">
        <v>65</v>
      </c>
      <c r="F51" s="24" t="s">
        <v>323</v>
      </c>
      <c r="G51" s="21">
        <v>20</v>
      </c>
      <c r="H51" s="21">
        <v>10</v>
      </c>
      <c r="I51" s="21">
        <v>26</v>
      </c>
      <c r="K51">
        <v>6.36</v>
      </c>
      <c r="L51" s="10">
        <v>191</v>
      </c>
      <c r="M51" s="21" t="s">
        <v>51</v>
      </c>
      <c r="N51" s="21" t="s">
        <v>309</v>
      </c>
      <c r="O51" s="21">
        <v>10</v>
      </c>
      <c r="P51" s="21">
        <v>8</v>
      </c>
      <c r="Q51" s="21">
        <v>17</v>
      </c>
      <c r="S51">
        <v>6.31</v>
      </c>
      <c r="T51" s="10">
        <v>190</v>
      </c>
      <c r="U51">
        <v>14</v>
      </c>
      <c r="V51">
        <v>927</v>
      </c>
      <c r="W51" s="29" t="s">
        <v>324</v>
      </c>
    </row>
    <row r="52" spans="1:23" x14ac:dyDescent="0.25">
      <c r="A52">
        <v>2011</v>
      </c>
      <c r="B52" s="21" t="s">
        <v>46</v>
      </c>
      <c r="C52" s="2">
        <v>40737</v>
      </c>
      <c r="D52">
        <v>105</v>
      </c>
      <c r="E52" s="23" t="s">
        <v>62</v>
      </c>
      <c r="F52" s="24" t="s">
        <v>317</v>
      </c>
      <c r="G52" s="21">
        <v>21</v>
      </c>
      <c r="H52" s="21">
        <v>11</v>
      </c>
      <c r="I52" s="21">
        <v>45</v>
      </c>
      <c r="K52">
        <v>5.07</v>
      </c>
      <c r="L52" s="10">
        <v>163</v>
      </c>
      <c r="M52" s="21" t="s">
        <v>54</v>
      </c>
      <c r="N52" s="21" t="s">
        <v>250</v>
      </c>
      <c r="O52" s="21">
        <v>41</v>
      </c>
      <c r="P52" s="21">
        <v>36</v>
      </c>
      <c r="Q52" s="21">
        <v>56</v>
      </c>
      <c r="S52">
        <v>4.18</v>
      </c>
      <c r="T52" s="10">
        <v>163</v>
      </c>
      <c r="U52">
        <v>81</v>
      </c>
      <c r="V52">
        <v>925</v>
      </c>
    </row>
    <row r="53" spans="1:23" x14ac:dyDescent="0.25">
      <c r="A53">
        <v>2011</v>
      </c>
      <c r="B53" s="21" t="s">
        <v>46</v>
      </c>
      <c r="C53" s="2">
        <v>40737</v>
      </c>
      <c r="D53">
        <v>106</v>
      </c>
      <c r="E53" s="23" t="s">
        <v>83</v>
      </c>
      <c r="F53" s="24" t="s">
        <v>244</v>
      </c>
      <c r="G53" s="21">
        <v>72</v>
      </c>
      <c r="H53" s="21">
        <v>70</v>
      </c>
      <c r="I53" s="21">
        <v>184</v>
      </c>
      <c r="K53">
        <v>11.82</v>
      </c>
      <c r="L53" s="10">
        <v>305</v>
      </c>
      <c r="M53" s="21" t="s">
        <v>47</v>
      </c>
      <c r="N53" s="21" t="s">
        <v>293</v>
      </c>
      <c r="O53" s="21">
        <v>50</v>
      </c>
      <c r="P53" s="21">
        <v>30</v>
      </c>
      <c r="Q53" s="21">
        <v>45</v>
      </c>
      <c r="S53">
        <v>11.14</v>
      </c>
      <c r="T53" s="10">
        <v>306</v>
      </c>
      <c r="U53">
        <v>70</v>
      </c>
      <c r="V53">
        <v>880</v>
      </c>
      <c r="W53" s="29" t="s">
        <v>325</v>
      </c>
    </row>
    <row r="54" spans="1:23" s="32" customFormat="1" x14ac:dyDescent="0.25">
      <c r="A54" s="32">
        <v>2011</v>
      </c>
      <c r="B54" s="31" t="s">
        <v>46</v>
      </c>
      <c r="C54" s="34">
        <v>40737</v>
      </c>
      <c r="D54" s="32">
        <v>106</v>
      </c>
      <c r="E54" s="35" t="s">
        <v>65</v>
      </c>
      <c r="F54" s="36" t="s">
        <v>270</v>
      </c>
      <c r="G54" s="31">
        <v>34</v>
      </c>
      <c r="H54" s="31">
        <v>22</v>
      </c>
      <c r="I54" s="31">
        <v>33</v>
      </c>
      <c r="K54" s="32">
        <v>15.92</v>
      </c>
      <c r="L54" s="33">
        <v>318</v>
      </c>
      <c r="M54" s="31" t="s">
        <v>47</v>
      </c>
      <c r="N54" s="31" t="s">
        <v>297</v>
      </c>
      <c r="O54" s="31">
        <v>46</v>
      </c>
      <c r="P54" s="31">
        <v>31</v>
      </c>
      <c r="Q54" s="31">
        <v>36</v>
      </c>
      <c r="S54" s="32">
        <v>15.14</v>
      </c>
      <c r="T54" s="33">
        <v>316</v>
      </c>
      <c r="U54" s="32">
        <v>74</v>
      </c>
      <c r="V54" s="32">
        <v>881</v>
      </c>
      <c r="W54" s="37" t="s">
        <v>326</v>
      </c>
    </row>
    <row r="55" spans="1:23" s="32" customFormat="1" x14ac:dyDescent="0.25">
      <c r="A55" s="32">
        <v>2011</v>
      </c>
      <c r="B55" s="31" t="s">
        <v>46</v>
      </c>
      <c r="C55" s="34">
        <v>40737</v>
      </c>
      <c r="D55" s="32">
        <v>106</v>
      </c>
      <c r="E55" s="35" t="s">
        <v>65</v>
      </c>
      <c r="F55" s="36" t="s">
        <v>308</v>
      </c>
      <c r="G55" s="31">
        <v>11</v>
      </c>
      <c r="H55" s="31">
        <v>11</v>
      </c>
      <c r="I55" s="31">
        <v>27</v>
      </c>
      <c r="K55" s="32">
        <v>7.29</v>
      </c>
      <c r="L55" s="33">
        <v>43</v>
      </c>
      <c r="M55" s="31" t="s">
        <v>47</v>
      </c>
      <c r="N55" s="31" t="s">
        <v>268</v>
      </c>
      <c r="O55" s="31">
        <v>20</v>
      </c>
      <c r="P55" s="31">
        <v>15</v>
      </c>
      <c r="Q55" s="31">
        <v>20</v>
      </c>
      <c r="S55" s="32">
        <v>7.36</v>
      </c>
      <c r="T55" s="33">
        <v>45</v>
      </c>
      <c r="U55" s="32">
        <v>28</v>
      </c>
      <c r="V55" s="32">
        <v>878</v>
      </c>
      <c r="W55" s="37" t="s">
        <v>327</v>
      </c>
    </row>
    <row r="56" spans="1:23" s="32" customFormat="1" x14ac:dyDescent="0.25">
      <c r="A56" s="32">
        <v>2011</v>
      </c>
      <c r="B56" s="31" t="s">
        <v>46</v>
      </c>
      <c r="C56" s="34">
        <v>40737</v>
      </c>
      <c r="D56" s="32">
        <v>106</v>
      </c>
      <c r="E56" s="35" t="s">
        <v>65</v>
      </c>
      <c r="F56" s="36" t="s">
        <v>296</v>
      </c>
      <c r="G56" s="31">
        <v>13</v>
      </c>
      <c r="H56" s="31">
        <v>10</v>
      </c>
      <c r="I56" s="31">
        <v>22</v>
      </c>
      <c r="K56" s="32">
        <v>2.21</v>
      </c>
      <c r="L56" s="33">
        <v>168</v>
      </c>
      <c r="M56" s="31" t="s">
        <v>47</v>
      </c>
      <c r="N56" s="31" t="s">
        <v>253</v>
      </c>
      <c r="O56" s="31" t="s">
        <v>1</v>
      </c>
      <c r="P56" s="31" t="s">
        <v>1</v>
      </c>
      <c r="Q56" s="31" t="s">
        <v>1</v>
      </c>
      <c r="S56" s="32">
        <v>1.97</v>
      </c>
      <c r="T56" s="33">
        <v>179</v>
      </c>
      <c r="U56" s="32">
        <v>35</v>
      </c>
      <c r="V56" s="32">
        <v>879</v>
      </c>
      <c r="W56" s="37"/>
    </row>
    <row r="57" spans="1:23" s="32" customFormat="1" x14ac:dyDescent="0.25">
      <c r="A57" s="32">
        <v>2011</v>
      </c>
      <c r="B57" s="31" t="s">
        <v>46</v>
      </c>
      <c r="C57" s="34">
        <v>40737</v>
      </c>
      <c r="D57" s="32">
        <v>107</v>
      </c>
      <c r="E57" s="35" t="s">
        <v>83</v>
      </c>
      <c r="F57" s="36" t="s">
        <v>244</v>
      </c>
      <c r="G57" s="31">
        <v>170</v>
      </c>
      <c r="H57" s="31">
        <v>130</v>
      </c>
      <c r="I57" s="31">
        <v>245</v>
      </c>
      <c r="K57" s="32">
        <v>10.3</v>
      </c>
      <c r="L57" s="33">
        <v>10</v>
      </c>
      <c r="M57" s="31" t="s">
        <v>47</v>
      </c>
      <c r="N57" s="31" t="s">
        <v>268</v>
      </c>
      <c r="O57" s="31">
        <v>35</v>
      </c>
      <c r="P57" s="31">
        <v>27</v>
      </c>
      <c r="Q57" s="31">
        <v>50</v>
      </c>
      <c r="S57" s="32">
        <v>10</v>
      </c>
      <c r="T57" s="33">
        <v>14</v>
      </c>
      <c r="U57" s="32">
        <v>76</v>
      </c>
      <c r="V57" s="32">
        <v>891</v>
      </c>
      <c r="W57" s="37" t="s">
        <v>328</v>
      </c>
    </row>
    <row r="58" spans="1:23" s="32" customFormat="1" x14ac:dyDescent="0.25">
      <c r="A58" s="32">
        <v>2011</v>
      </c>
      <c r="B58" s="31" t="s">
        <v>46</v>
      </c>
      <c r="C58" s="34">
        <v>40737</v>
      </c>
      <c r="D58" s="32">
        <v>108</v>
      </c>
      <c r="E58" s="35" t="s">
        <v>67</v>
      </c>
      <c r="F58" s="36" t="s">
        <v>288</v>
      </c>
      <c r="G58" s="31">
        <v>74</v>
      </c>
      <c r="H58" s="31">
        <v>55</v>
      </c>
      <c r="I58" s="31">
        <v>91</v>
      </c>
      <c r="K58" s="32">
        <v>17.11</v>
      </c>
      <c r="L58" s="33">
        <v>63</v>
      </c>
      <c r="M58" s="31" t="s">
        <v>47</v>
      </c>
      <c r="N58" s="31" t="s">
        <v>268</v>
      </c>
      <c r="O58" s="31">
        <v>22</v>
      </c>
      <c r="P58" s="31">
        <v>15</v>
      </c>
      <c r="Q58" s="31">
        <v>37</v>
      </c>
      <c r="S58" s="32">
        <v>17.55</v>
      </c>
      <c r="T58" s="33">
        <v>61</v>
      </c>
      <c r="U58" s="32">
        <v>103</v>
      </c>
      <c r="V58" s="32">
        <v>900</v>
      </c>
      <c r="W58" s="37" t="s">
        <v>329</v>
      </c>
    </row>
    <row r="59" spans="1:23" x14ac:dyDescent="0.25">
      <c r="A59">
        <v>2011</v>
      </c>
      <c r="B59" s="21" t="s">
        <v>46</v>
      </c>
      <c r="C59" s="2">
        <v>40737</v>
      </c>
      <c r="D59">
        <v>108</v>
      </c>
      <c r="E59" s="23" t="s">
        <v>65</v>
      </c>
      <c r="F59" s="24" t="s">
        <v>270</v>
      </c>
      <c r="G59" s="21">
        <v>15</v>
      </c>
      <c r="H59" s="21">
        <v>10</v>
      </c>
      <c r="I59" s="21">
        <v>37</v>
      </c>
      <c r="K59">
        <v>7.61</v>
      </c>
      <c r="L59" s="10">
        <v>360</v>
      </c>
      <c r="M59" s="21" t="s">
        <v>51</v>
      </c>
      <c r="N59" s="21" t="s">
        <v>271</v>
      </c>
      <c r="O59" s="21">
        <v>7</v>
      </c>
      <c r="P59" s="21">
        <v>8</v>
      </c>
      <c r="Q59" s="21">
        <v>29</v>
      </c>
      <c r="S59">
        <v>7.98</v>
      </c>
      <c r="T59" s="10">
        <v>356</v>
      </c>
      <c r="U59">
        <v>53</v>
      </c>
      <c r="V59">
        <v>894</v>
      </c>
      <c r="W59" s="29" t="s">
        <v>330</v>
      </c>
    </row>
    <row r="60" spans="1:23" x14ac:dyDescent="0.25">
      <c r="A60">
        <v>2011</v>
      </c>
      <c r="B60" s="21" t="s">
        <v>46</v>
      </c>
      <c r="C60" s="2">
        <v>40737</v>
      </c>
      <c r="D60">
        <v>108</v>
      </c>
      <c r="E60" s="23" t="s">
        <v>62</v>
      </c>
      <c r="F60" s="24" t="s">
        <v>273</v>
      </c>
      <c r="G60" s="21">
        <v>11</v>
      </c>
      <c r="H60" s="21">
        <v>10</v>
      </c>
      <c r="I60" s="21">
        <v>22</v>
      </c>
      <c r="K60">
        <v>9.4700000000000006</v>
      </c>
      <c r="L60" s="10">
        <v>279</v>
      </c>
      <c r="M60" s="21" t="s">
        <v>54</v>
      </c>
      <c r="N60" s="21" t="s">
        <v>263</v>
      </c>
      <c r="O60" s="21">
        <v>18</v>
      </c>
      <c r="P60" s="21">
        <v>22</v>
      </c>
      <c r="Q60" s="21">
        <v>32</v>
      </c>
      <c r="S60">
        <v>9.0500000000000007</v>
      </c>
      <c r="T60" s="10">
        <v>277</v>
      </c>
      <c r="U60">
        <v>46</v>
      </c>
      <c r="V60">
        <v>899</v>
      </c>
      <c r="W60" s="29" t="s">
        <v>331</v>
      </c>
    </row>
    <row r="61" spans="1:23" x14ac:dyDescent="0.25">
      <c r="A61">
        <v>2011</v>
      </c>
      <c r="B61" s="21" t="s">
        <v>46</v>
      </c>
      <c r="C61" s="2">
        <v>40744</v>
      </c>
      <c r="D61">
        <v>111</v>
      </c>
      <c r="E61" s="23" t="s">
        <v>182</v>
      </c>
      <c r="F61" s="24" t="s">
        <v>332</v>
      </c>
      <c r="G61" s="21">
        <v>215</v>
      </c>
      <c r="H61" s="21">
        <v>165</v>
      </c>
      <c r="I61" s="21">
        <v>121</v>
      </c>
      <c r="K61">
        <v>15</v>
      </c>
      <c r="L61" s="10">
        <v>4</v>
      </c>
      <c r="M61" s="21" t="s">
        <v>60</v>
      </c>
      <c r="N61" s="21" t="s">
        <v>333</v>
      </c>
      <c r="O61" s="21">
        <v>100</v>
      </c>
      <c r="P61" s="21">
        <v>90</v>
      </c>
      <c r="Q61" s="21">
        <v>110</v>
      </c>
      <c r="S61">
        <v>15.38</v>
      </c>
      <c r="T61" s="10">
        <v>358</v>
      </c>
      <c r="U61">
        <v>181</v>
      </c>
      <c r="V61">
        <v>1087</v>
      </c>
    </row>
    <row r="62" spans="1:23" x14ac:dyDescent="0.25">
      <c r="A62">
        <v>2011</v>
      </c>
      <c r="B62" s="21" t="s">
        <v>46</v>
      </c>
      <c r="C62" s="2">
        <v>40744</v>
      </c>
      <c r="D62">
        <v>111</v>
      </c>
      <c r="E62" s="23" t="s">
        <v>83</v>
      </c>
      <c r="F62" s="24" t="s">
        <v>252</v>
      </c>
      <c r="G62" s="21">
        <v>110</v>
      </c>
      <c r="H62" s="21">
        <v>30</v>
      </c>
      <c r="I62" s="21">
        <v>140</v>
      </c>
      <c r="K62">
        <v>10.97</v>
      </c>
      <c r="L62" s="10">
        <v>329</v>
      </c>
      <c r="M62" s="21" t="s">
        <v>54</v>
      </c>
      <c r="N62" s="21" t="s">
        <v>250</v>
      </c>
      <c r="O62" s="21">
        <v>33</v>
      </c>
      <c r="P62" s="21">
        <v>32</v>
      </c>
      <c r="Q62" s="21">
        <v>37</v>
      </c>
      <c r="S62">
        <v>11.68</v>
      </c>
      <c r="T62" s="10">
        <v>327</v>
      </c>
      <c r="U62">
        <v>89</v>
      </c>
      <c r="V62">
        <v>1100</v>
      </c>
    </row>
    <row r="63" spans="1:23" x14ac:dyDescent="0.25">
      <c r="A63">
        <v>2011</v>
      </c>
      <c r="B63" s="21" t="s">
        <v>46</v>
      </c>
      <c r="C63" s="2">
        <v>40744</v>
      </c>
      <c r="D63">
        <v>111</v>
      </c>
      <c r="E63" s="23" t="s">
        <v>181</v>
      </c>
      <c r="F63" s="24" t="s">
        <v>282</v>
      </c>
      <c r="G63" s="21">
        <v>128</v>
      </c>
      <c r="H63" s="21">
        <v>85</v>
      </c>
      <c r="I63" s="21">
        <v>125</v>
      </c>
      <c r="K63">
        <v>9.08</v>
      </c>
      <c r="L63" s="10">
        <v>248</v>
      </c>
      <c r="M63" s="21" t="s">
        <v>51</v>
      </c>
      <c r="N63" s="21" t="s">
        <v>248</v>
      </c>
      <c r="O63" s="21">
        <v>49</v>
      </c>
      <c r="P63" s="21">
        <v>35</v>
      </c>
      <c r="Q63" s="21">
        <v>48</v>
      </c>
      <c r="S63">
        <v>9.69</v>
      </c>
      <c r="T63" s="10">
        <v>246</v>
      </c>
      <c r="U63">
        <v>63</v>
      </c>
      <c r="V63">
        <v>1095</v>
      </c>
      <c r="W63" s="29" t="s">
        <v>334</v>
      </c>
    </row>
    <row r="64" spans="1:23" x14ac:dyDescent="0.25">
      <c r="A64">
        <v>2011</v>
      </c>
      <c r="B64" s="21" t="s">
        <v>46</v>
      </c>
      <c r="C64" s="2">
        <v>40744</v>
      </c>
      <c r="D64">
        <v>111</v>
      </c>
      <c r="E64" s="23" t="s">
        <v>335</v>
      </c>
      <c r="F64" s="24" t="s">
        <v>336</v>
      </c>
      <c r="G64" s="21">
        <v>34</v>
      </c>
      <c r="H64" s="21">
        <v>23</v>
      </c>
      <c r="I64" s="21">
        <v>49</v>
      </c>
      <c r="K64">
        <v>17.48</v>
      </c>
      <c r="L64" s="10">
        <v>289</v>
      </c>
      <c r="M64" s="21" t="s">
        <v>51</v>
      </c>
      <c r="N64" s="21" t="s">
        <v>337</v>
      </c>
      <c r="O64" s="21">
        <v>20</v>
      </c>
      <c r="P64" s="21">
        <v>18</v>
      </c>
      <c r="Q64" s="21">
        <v>13</v>
      </c>
      <c r="S64">
        <v>16.86</v>
      </c>
      <c r="T64" s="10">
        <v>288</v>
      </c>
      <c r="U64">
        <v>27</v>
      </c>
      <c r="V64">
        <v>1098</v>
      </c>
      <c r="W64" s="29" t="s">
        <v>338</v>
      </c>
    </row>
    <row r="65" spans="1:23" x14ac:dyDescent="0.25">
      <c r="A65">
        <v>2011</v>
      </c>
      <c r="B65" s="21" t="s">
        <v>46</v>
      </c>
      <c r="C65" s="2">
        <v>40744</v>
      </c>
      <c r="D65">
        <v>111</v>
      </c>
      <c r="E65" s="23" t="s">
        <v>335</v>
      </c>
      <c r="F65" s="24" t="s">
        <v>336</v>
      </c>
      <c r="G65" s="21">
        <v>34</v>
      </c>
      <c r="H65" s="21">
        <v>23</v>
      </c>
      <c r="I65" s="21">
        <v>49</v>
      </c>
      <c r="K65">
        <v>17.48</v>
      </c>
      <c r="L65" s="10">
        <v>289</v>
      </c>
      <c r="M65" s="21" t="s">
        <v>60</v>
      </c>
      <c r="N65" s="21" t="s">
        <v>339</v>
      </c>
      <c r="O65" s="21">
        <v>34</v>
      </c>
      <c r="P65" s="21">
        <v>32</v>
      </c>
      <c r="Q65" s="21">
        <v>44</v>
      </c>
      <c r="S65">
        <v>17.36</v>
      </c>
      <c r="T65" s="10">
        <v>285</v>
      </c>
      <c r="U65">
        <v>72</v>
      </c>
      <c r="V65">
        <v>1098</v>
      </c>
      <c r="W65" s="29" t="s">
        <v>340</v>
      </c>
    </row>
    <row r="66" spans="1:23" x14ac:dyDescent="0.25">
      <c r="A66">
        <v>2011</v>
      </c>
      <c r="B66" s="21" t="s">
        <v>46</v>
      </c>
      <c r="C66" s="2">
        <v>40744</v>
      </c>
      <c r="D66">
        <v>111</v>
      </c>
      <c r="E66" s="23" t="s">
        <v>67</v>
      </c>
      <c r="F66" s="24" t="s">
        <v>288</v>
      </c>
      <c r="G66" s="21">
        <v>130</v>
      </c>
      <c r="H66" s="21">
        <v>42</v>
      </c>
      <c r="I66" s="21">
        <v>85</v>
      </c>
      <c r="K66">
        <v>15.98</v>
      </c>
      <c r="L66" s="10">
        <v>1</v>
      </c>
      <c r="M66" s="21" t="s">
        <v>60</v>
      </c>
      <c r="N66" s="21" t="s">
        <v>333</v>
      </c>
      <c r="O66" s="21">
        <v>100</v>
      </c>
      <c r="P66" s="21">
        <v>90</v>
      </c>
      <c r="Q66" s="21">
        <v>110</v>
      </c>
      <c r="S66">
        <v>15.38</v>
      </c>
      <c r="T66" s="10">
        <v>358</v>
      </c>
      <c r="U66">
        <v>133</v>
      </c>
      <c r="V66">
        <v>1087</v>
      </c>
      <c r="W66" s="29" t="s">
        <v>341</v>
      </c>
    </row>
    <row r="67" spans="1:23" x14ac:dyDescent="0.25">
      <c r="A67">
        <v>2011</v>
      </c>
      <c r="B67" s="21" t="s">
        <v>46</v>
      </c>
      <c r="C67" s="2">
        <v>40744</v>
      </c>
      <c r="D67">
        <v>111</v>
      </c>
      <c r="E67" s="23" t="s">
        <v>67</v>
      </c>
      <c r="F67" s="24" t="s">
        <v>258</v>
      </c>
      <c r="G67" s="21">
        <v>47</v>
      </c>
      <c r="H67" s="21">
        <v>40</v>
      </c>
      <c r="I67" s="21">
        <v>70</v>
      </c>
      <c r="K67">
        <v>15</v>
      </c>
      <c r="L67" s="10">
        <v>106</v>
      </c>
      <c r="M67" s="21" t="s">
        <v>51</v>
      </c>
      <c r="N67" s="21" t="s">
        <v>306</v>
      </c>
      <c r="O67" s="21">
        <v>25</v>
      </c>
      <c r="P67" s="21">
        <v>20</v>
      </c>
      <c r="Q67" s="21">
        <v>15</v>
      </c>
      <c r="S67">
        <v>15.19</v>
      </c>
      <c r="T67" s="10">
        <v>104</v>
      </c>
      <c r="U67">
        <v>32</v>
      </c>
      <c r="V67">
        <v>1092</v>
      </c>
    </row>
    <row r="68" spans="1:23" x14ac:dyDescent="0.25">
      <c r="A68">
        <v>2011</v>
      </c>
      <c r="B68" s="21" t="s">
        <v>46</v>
      </c>
      <c r="C68" s="2">
        <v>40744</v>
      </c>
      <c r="D68">
        <v>111</v>
      </c>
      <c r="E68" s="23" t="s">
        <v>67</v>
      </c>
      <c r="F68" s="24" t="s">
        <v>261</v>
      </c>
      <c r="G68" s="21">
        <v>360</v>
      </c>
      <c r="H68" s="21">
        <v>320</v>
      </c>
      <c r="I68" s="21">
        <v>187</v>
      </c>
      <c r="K68">
        <v>9.8000000000000007</v>
      </c>
      <c r="L68" s="10">
        <v>117</v>
      </c>
      <c r="M68" s="21" t="s">
        <v>280</v>
      </c>
      <c r="N68" s="21" t="s">
        <v>281</v>
      </c>
      <c r="O68" s="21">
        <v>24</v>
      </c>
      <c r="P68" s="21">
        <v>19</v>
      </c>
      <c r="Q68" s="21">
        <v>27</v>
      </c>
      <c r="S68">
        <v>9.51</v>
      </c>
      <c r="T68" s="10">
        <v>123</v>
      </c>
      <c r="U68">
        <v>58</v>
      </c>
      <c r="V68">
        <v>1093</v>
      </c>
      <c r="W68" s="29" t="s">
        <v>342</v>
      </c>
    </row>
    <row r="69" spans="1:23" x14ac:dyDescent="0.25">
      <c r="A69">
        <v>2011</v>
      </c>
      <c r="B69" s="21" t="s">
        <v>46</v>
      </c>
      <c r="C69" s="2">
        <v>40744</v>
      </c>
      <c r="D69">
        <v>111</v>
      </c>
      <c r="E69" s="23" t="s">
        <v>67</v>
      </c>
      <c r="F69" s="24" t="s">
        <v>262</v>
      </c>
      <c r="G69" s="21">
        <v>225</v>
      </c>
      <c r="H69" s="21">
        <v>200</v>
      </c>
      <c r="I69" s="21">
        <v>165</v>
      </c>
      <c r="K69">
        <v>5.54</v>
      </c>
      <c r="L69" s="10">
        <v>190</v>
      </c>
      <c r="M69" s="21" t="s">
        <v>85</v>
      </c>
      <c r="N69" s="21" t="s">
        <v>286</v>
      </c>
      <c r="O69" s="21">
        <v>11</v>
      </c>
      <c r="P69" s="21">
        <v>10</v>
      </c>
      <c r="Q69" s="31">
        <v>24</v>
      </c>
      <c r="S69">
        <v>5.23</v>
      </c>
      <c r="T69" s="10">
        <v>192</v>
      </c>
      <c r="U69">
        <v>37</v>
      </c>
      <c r="V69">
        <v>1094</v>
      </c>
      <c r="W69" s="29" t="s">
        <v>343</v>
      </c>
    </row>
    <row r="70" spans="1:23" x14ac:dyDescent="0.25">
      <c r="A70">
        <v>2011</v>
      </c>
      <c r="B70" s="21" t="s">
        <v>46</v>
      </c>
      <c r="C70" s="2">
        <v>40744</v>
      </c>
      <c r="D70">
        <v>111</v>
      </c>
      <c r="E70" s="23" t="s">
        <v>67</v>
      </c>
      <c r="F70" s="24" t="s">
        <v>265</v>
      </c>
      <c r="G70" s="21">
        <v>82</v>
      </c>
      <c r="H70" s="21">
        <v>29</v>
      </c>
      <c r="I70" s="21">
        <v>61</v>
      </c>
      <c r="K70">
        <v>14.51</v>
      </c>
      <c r="L70" s="10">
        <v>251</v>
      </c>
      <c r="M70" s="21" t="s">
        <v>51</v>
      </c>
      <c r="N70" s="21" t="s">
        <v>309</v>
      </c>
      <c r="O70" s="21">
        <v>51</v>
      </c>
      <c r="P70" s="21">
        <v>41</v>
      </c>
      <c r="Q70" s="21">
        <v>64</v>
      </c>
      <c r="S70">
        <v>14.56</v>
      </c>
      <c r="T70" s="10">
        <v>248</v>
      </c>
      <c r="U70">
        <v>63</v>
      </c>
      <c r="V70">
        <v>1096</v>
      </c>
    </row>
    <row r="71" spans="1:23" x14ac:dyDescent="0.25">
      <c r="A71">
        <v>2011</v>
      </c>
      <c r="B71" s="21" t="s">
        <v>46</v>
      </c>
      <c r="C71" s="2">
        <v>40744</v>
      </c>
      <c r="D71">
        <v>111</v>
      </c>
      <c r="E71" s="23" t="s">
        <v>67</v>
      </c>
      <c r="F71" s="24" t="s">
        <v>267</v>
      </c>
      <c r="G71" s="21">
        <v>75</v>
      </c>
      <c r="H71" s="21">
        <v>74</v>
      </c>
      <c r="I71" s="21">
        <v>47</v>
      </c>
      <c r="K71">
        <v>10.220000000000001</v>
      </c>
      <c r="L71" s="10">
        <v>323</v>
      </c>
      <c r="M71" s="21" t="s">
        <v>60</v>
      </c>
      <c r="N71" s="21" t="s">
        <v>344</v>
      </c>
      <c r="O71" s="21">
        <v>22</v>
      </c>
      <c r="P71" s="21">
        <v>16</v>
      </c>
      <c r="Q71" s="21">
        <v>41</v>
      </c>
      <c r="S71">
        <v>10.45</v>
      </c>
      <c r="T71" s="10">
        <v>324</v>
      </c>
      <c r="U71">
        <v>24</v>
      </c>
      <c r="V71">
        <v>1099</v>
      </c>
      <c r="W71" s="29" t="s">
        <v>345</v>
      </c>
    </row>
    <row r="72" spans="1:23" x14ac:dyDescent="0.25">
      <c r="A72">
        <v>2011</v>
      </c>
      <c r="B72" s="21" t="s">
        <v>46</v>
      </c>
      <c r="C72" s="2">
        <v>40744</v>
      </c>
      <c r="D72">
        <v>111</v>
      </c>
      <c r="E72" s="23" t="s">
        <v>67</v>
      </c>
      <c r="F72" s="24" t="s">
        <v>346</v>
      </c>
      <c r="G72" s="21">
        <v>186</v>
      </c>
      <c r="H72" s="21">
        <v>119</v>
      </c>
      <c r="I72" s="21">
        <v>76</v>
      </c>
      <c r="K72">
        <v>5.32</v>
      </c>
      <c r="L72" s="10">
        <v>272</v>
      </c>
      <c r="M72" s="21" t="s">
        <v>51</v>
      </c>
      <c r="N72" s="21" t="s">
        <v>259</v>
      </c>
      <c r="O72" s="21">
        <v>36</v>
      </c>
      <c r="P72" s="21">
        <v>30</v>
      </c>
      <c r="Q72" s="21">
        <v>15</v>
      </c>
      <c r="S72">
        <v>6.04</v>
      </c>
      <c r="T72" s="10">
        <v>272</v>
      </c>
      <c r="U72">
        <v>66</v>
      </c>
      <c r="V72">
        <v>1097</v>
      </c>
    </row>
    <row r="73" spans="1:23" x14ac:dyDescent="0.25">
      <c r="A73">
        <v>2011</v>
      </c>
      <c r="B73" s="21" t="s">
        <v>46</v>
      </c>
      <c r="C73" s="2">
        <v>40744</v>
      </c>
      <c r="D73">
        <v>111</v>
      </c>
      <c r="E73" s="23" t="s">
        <v>65</v>
      </c>
      <c r="F73" s="24" t="s">
        <v>270</v>
      </c>
      <c r="G73" s="21">
        <v>8</v>
      </c>
      <c r="H73" s="21">
        <v>8</v>
      </c>
      <c r="I73" s="21">
        <v>9</v>
      </c>
      <c r="K73">
        <v>4.96</v>
      </c>
      <c r="L73" s="10">
        <v>16</v>
      </c>
      <c r="M73" s="21" t="s">
        <v>47</v>
      </c>
      <c r="N73" s="21" t="s">
        <v>268</v>
      </c>
      <c r="O73" s="21">
        <v>15</v>
      </c>
      <c r="P73" s="21">
        <v>12</v>
      </c>
      <c r="Q73" s="21">
        <v>16</v>
      </c>
      <c r="S73">
        <v>4.6399999999999997</v>
      </c>
      <c r="T73" s="10">
        <v>18</v>
      </c>
      <c r="U73">
        <v>30</v>
      </c>
      <c r="V73">
        <v>1088</v>
      </c>
    </row>
    <row r="74" spans="1:23" x14ac:dyDescent="0.25">
      <c r="A74">
        <v>2011</v>
      </c>
      <c r="B74" s="21" t="s">
        <v>46</v>
      </c>
      <c r="C74" s="2">
        <v>40744</v>
      </c>
      <c r="D74">
        <v>111</v>
      </c>
      <c r="E74" s="23" t="s">
        <v>65</v>
      </c>
      <c r="F74" s="24" t="s">
        <v>308</v>
      </c>
      <c r="G74" s="21">
        <v>24</v>
      </c>
      <c r="H74" s="21">
        <v>20</v>
      </c>
      <c r="I74" s="21">
        <v>58</v>
      </c>
      <c r="K74">
        <v>11.37</v>
      </c>
      <c r="L74" s="10">
        <v>82</v>
      </c>
      <c r="M74" s="21" t="s">
        <v>47</v>
      </c>
      <c r="N74" s="21" t="s">
        <v>253</v>
      </c>
      <c r="O74" s="21">
        <v>33</v>
      </c>
      <c r="P74" s="21">
        <v>28</v>
      </c>
      <c r="Q74" s="21">
        <v>41</v>
      </c>
      <c r="S74">
        <v>11.31</v>
      </c>
      <c r="T74" s="10">
        <v>81</v>
      </c>
      <c r="U74">
        <v>17</v>
      </c>
      <c r="V74">
        <v>1090</v>
      </c>
      <c r="W74" s="29" t="s">
        <v>347</v>
      </c>
    </row>
    <row r="75" spans="1:23" x14ac:dyDescent="0.25">
      <c r="A75">
        <v>2011</v>
      </c>
      <c r="B75" s="21" t="s">
        <v>46</v>
      </c>
      <c r="C75" s="2">
        <v>40744</v>
      </c>
      <c r="D75">
        <v>111</v>
      </c>
      <c r="E75" s="23" t="s">
        <v>62</v>
      </c>
      <c r="F75" s="24" t="s">
        <v>317</v>
      </c>
      <c r="G75" s="21">
        <v>11</v>
      </c>
      <c r="H75" s="21">
        <v>8</v>
      </c>
      <c r="I75" s="21">
        <v>18</v>
      </c>
      <c r="K75">
        <v>14.59</v>
      </c>
      <c r="L75" s="10">
        <v>33</v>
      </c>
      <c r="M75" s="21" t="s">
        <v>51</v>
      </c>
      <c r="N75" s="21" t="s">
        <v>271</v>
      </c>
      <c r="O75" s="21">
        <v>19</v>
      </c>
      <c r="P75" s="21">
        <v>12</v>
      </c>
      <c r="Q75" s="21">
        <v>11</v>
      </c>
      <c r="S75">
        <v>14.82</v>
      </c>
      <c r="T75" s="10">
        <v>33</v>
      </c>
      <c r="U75">
        <v>20</v>
      </c>
      <c r="V75">
        <v>1089</v>
      </c>
    </row>
    <row r="76" spans="1:23" x14ac:dyDescent="0.25">
      <c r="A76">
        <v>2011</v>
      </c>
      <c r="B76" s="21" t="s">
        <v>46</v>
      </c>
      <c r="C76" s="2">
        <v>40744</v>
      </c>
      <c r="D76">
        <v>111</v>
      </c>
      <c r="E76" s="23" t="s">
        <v>62</v>
      </c>
      <c r="F76" s="24" t="s">
        <v>273</v>
      </c>
      <c r="G76" s="21">
        <v>10</v>
      </c>
      <c r="H76" s="21">
        <v>10</v>
      </c>
      <c r="I76" s="21">
        <v>15</v>
      </c>
      <c r="K76">
        <v>14.31</v>
      </c>
      <c r="L76" s="10">
        <v>101</v>
      </c>
      <c r="M76" s="21" t="s">
        <v>85</v>
      </c>
      <c r="N76" s="31" t="s">
        <v>299</v>
      </c>
      <c r="O76" s="21">
        <v>24</v>
      </c>
      <c r="P76" s="21">
        <v>12</v>
      </c>
      <c r="Q76" s="21">
        <v>27</v>
      </c>
      <c r="S76">
        <v>14.18</v>
      </c>
      <c r="T76" s="10">
        <v>100</v>
      </c>
      <c r="U76">
        <v>13</v>
      </c>
      <c r="V76">
        <v>1091</v>
      </c>
      <c r="W76" s="29" t="s">
        <v>348</v>
      </c>
    </row>
    <row r="77" spans="1:23" x14ac:dyDescent="0.25">
      <c r="A77">
        <v>2011</v>
      </c>
      <c r="B77" s="21" t="s">
        <v>46</v>
      </c>
      <c r="C77" s="2">
        <v>40744</v>
      </c>
      <c r="D77">
        <v>111</v>
      </c>
      <c r="E77" s="23" t="s">
        <v>62</v>
      </c>
      <c r="F77" s="24" t="s">
        <v>349</v>
      </c>
      <c r="G77" s="21">
        <v>15</v>
      </c>
      <c r="H77" s="21">
        <v>15</v>
      </c>
      <c r="I77" s="21">
        <v>22</v>
      </c>
      <c r="K77">
        <v>17.260000000000002</v>
      </c>
      <c r="L77" s="10">
        <v>340</v>
      </c>
      <c r="M77" s="21" t="s">
        <v>49</v>
      </c>
      <c r="N77" s="21" t="s">
        <v>245</v>
      </c>
      <c r="O77" s="21">
        <v>17</v>
      </c>
      <c r="P77" s="21">
        <v>14</v>
      </c>
      <c r="Q77" s="21">
        <v>14</v>
      </c>
      <c r="S77">
        <v>17.32</v>
      </c>
      <c r="T77" s="10">
        <v>340</v>
      </c>
      <c r="U77">
        <v>23.5</v>
      </c>
      <c r="V77">
        <v>1101</v>
      </c>
      <c r="W77" s="29" t="s">
        <v>350</v>
      </c>
    </row>
    <row r="78" spans="1:23" x14ac:dyDescent="0.25">
      <c r="B78" s="21"/>
      <c r="E78" s="23"/>
      <c r="F78" s="24"/>
      <c r="G78" s="21"/>
      <c r="H78" s="21"/>
      <c r="I78" s="21"/>
      <c r="M78" s="21"/>
      <c r="N78" s="21"/>
      <c r="O78" s="21"/>
      <c r="P78" s="21"/>
      <c r="Q78" s="21"/>
      <c r="V78" s="21"/>
    </row>
    <row r="79" spans="1:23" x14ac:dyDescent="0.25">
      <c r="B79" s="21"/>
      <c r="E79" s="23"/>
      <c r="F79" s="24"/>
      <c r="G79" s="21"/>
      <c r="H79" s="21"/>
      <c r="I79" s="21"/>
      <c r="M79" s="21"/>
      <c r="N79" s="21"/>
      <c r="O79" s="21"/>
      <c r="P79" s="21"/>
      <c r="Q79" s="21"/>
      <c r="V79" s="21"/>
    </row>
    <row r="80" spans="1:23" x14ac:dyDescent="0.25">
      <c r="B80" s="21"/>
      <c r="E80" s="23"/>
      <c r="F80" s="24"/>
      <c r="G80" s="21"/>
      <c r="H80" s="21"/>
      <c r="I80" s="21"/>
      <c r="M80" s="21"/>
      <c r="N80" s="21"/>
      <c r="O80" s="21"/>
      <c r="P80" s="21"/>
      <c r="Q80" s="21"/>
      <c r="V80" s="21"/>
    </row>
    <row r="81" spans="2:2" x14ac:dyDescent="0.25">
      <c r="B81" s="21"/>
    </row>
    <row r="82" spans="2:2" x14ac:dyDescent="0.25">
      <c r="B82" s="21"/>
    </row>
    <row r="83" spans="2:2" x14ac:dyDescent="0.25">
      <c r="B83" s="21"/>
    </row>
    <row r="84" spans="2:2" x14ac:dyDescent="0.25">
      <c r="B84" s="21"/>
    </row>
    <row r="85" spans="2:2" x14ac:dyDescent="0.25">
      <c r="B85" s="21"/>
    </row>
  </sheetData>
  <sortState xmlns:xlrd2="http://schemas.microsoft.com/office/spreadsheetml/2017/richdata2" ref="A5:W77">
    <sortCondition ref="D5:D77"/>
    <sortCondition ref="F5:F77"/>
  </sortState>
  <phoneticPr fontId="1" type="noConversion"/>
  <pageMargins left="0.75" right="0.75" top="1" bottom="1" header="0.5" footer="0.5"/>
  <pageSetup orientation="portrait" horizontalDpi="4294967293" verticalDpi="4294967293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2.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dec4b6-adc0-4ae7-a610-9837ec16b1be" xsi:nil="true"/>
    <lcf76f155ced4ddcb4097134ff3c332f xmlns="f6f6290a-188c-431b-bc1b-08909b9edd3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8CD1DE87728B4A91AC01A490840121" ma:contentTypeVersion="13" ma:contentTypeDescription="Create a new document." ma:contentTypeScope="" ma:versionID="6e42e0ab4a00fbff42e456357a99b1eb">
  <xsd:schema xmlns:xsd="http://www.w3.org/2001/XMLSchema" xmlns:xs="http://www.w3.org/2001/XMLSchema" xmlns:p="http://schemas.microsoft.com/office/2006/metadata/properties" xmlns:ns2="f6f6290a-188c-431b-bc1b-08909b9edd3c" xmlns:ns3="c4dec4b6-adc0-4ae7-a610-9837ec16b1be" targetNamespace="http://schemas.microsoft.com/office/2006/metadata/properties" ma:root="true" ma:fieldsID="c3506e3d67b73694a3451566b24e0b38" ns2:_="" ns3:_="">
    <xsd:import namespace="f6f6290a-188c-431b-bc1b-08909b9edd3c"/>
    <xsd:import namespace="c4dec4b6-adc0-4ae7-a610-9837ec16b1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f6290a-188c-431b-bc1b-08909b9edd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ec4b6-adc0-4ae7-a610-9837ec16b1b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5e82eeb-41bc-476c-9695-595138dfca12}" ma:internalName="TaxCatchAll" ma:showField="CatchAllData" ma:web="c4dec4b6-adc0-4ae7-a610-9837ec16b1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418895-A9F6-4948-9719-F04CB3292A52}">
  <ds:schemaRefs>
    <ds:schemaRef ds:uri="http://schemas.microsoft.com/office/2006/metadata/properties"/>
    <ds:schemaRef ds:uri="http://schemas.microsoft.com/office/infopath/2007/PartnerControls"/>
    <ds:schemaRef ds:uri="c4dec4b6-adc0-4ae7-a610-9837ec16b1be"/>
    <ds:schemaRef ds:uri="f6f6290a-188c-431b-bc1b-08909b9edd3c"/>
  </ds:schemaRefs>
</ds:datastoreItem>
</file>

<file path=customXml/itemProps2.xml><?xml version="1.0" encoding="utf-8"?>
<ds:datastoreItem xmlns:ds="http://schemas.openxmlformats.org/officeDocument/2006/customXml" ds:itemID="{A0B238C9-D830-418E-9A3B-EC99C6D85E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B64F0D-D4D7-4AAF-90C0-A2949253BF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f6290a-188c-431b-bc1b-08909b9edd3c"/>
    <ds:schemaRef ds:uri="c4dec4b6-adc0-4ae7-a610-9837ec16b1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quads.all</vt:lpstr>
      <vt:lpstr>pics</vt:lpstr>
      <vt:lpstr>FIA</vt:lpstr>
      <vt:lpstr>tall-skinny</vt:lpstr>
      <vt:lpstr>ash saplings</vt:lpstr>
      <vt:lpstr>nat&amp;inv</vt:lpstr>
      <vt:lpstr>Sheet1</vt:lpstr>
    </vt:vector>
  </TitlesOfParts>
  <Manager/>
  <Company>MSU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Wendy Klooster</dc:creator>
  <cp:keywords/>
  <dc:description/>
  <cp:lastModifiedBy>Aaron Tayal</cp:lastModifiedBy>
  <cp:revision/>
  <dcterms:created xsi:type="dcterms:W3CDTF">2009-07-21T12:27:29Z</dcterms:created>
  <dcterms:modified xsi:type="dcterms:W3CDTF">2024-10-01T20:06:00Z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0x010100838CD1DE87728B4A91AC01A490840121</vt:lpwstr>
  </property>
</Properties>
</file>