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erry Lab/Emerald Ash Borer Projects/2011 MI EAB Microplots_Wendy/"/>
    </mc:Choice>
  </mc:AlternateContent>
  <xr:revisionPtr revIDLastSave="4" documentId="11_48F2C26124512817DE18F7354BDA2A4FD2F17869" xr6:coauthVersionLast="47" xr6:coauthVersionMax="47" xr10:uidLastSave="{C2B38AC0-BE97-4131-A2BF-AA2D12C9B65D}"/>
  <bookViews>
    <workbookView xWindow="-120" yWindow="-120" windowWidth="29040" windowHeight="15840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</sheet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3" i="8" l="1"/>
  <c r="J162" i="8"/>
  <c r="J161" i="8"/>
  <c r="J160" i="8"/>
  <c r="J159" i="8"/>
  <c r="J158" i="8"/>
  <c r="J157" i="8"/>
  <c r="G164" i="8"/>
  <c r="J164" i="8" s="1"/>
  <c r="F163" i="8"/>
  <c r="J163" i="8" s="1"/>
  <c r="AF143" i="7"/>
  <c r="AG143" i="7"/>
  <c r="AF144" i="7"/>
  <c r="AG144" i="7"/>
  <c r="AK144" i="7"/>
  <c r="AK143" i="7"/>
  <c r="AD143" i="7"/>
  <c r="AD144" i="7"/>
  <c r="AI144" i="7"/>
  <c r="AI143" i="7"/>
  <c r="AH144" i="7"/>
  <c r="AH143" i="7"/>
  <c r="X143" i="7"/>
  <c r="X144" i="7"/>
  <c r="R143" i="7"/>
  <c r="R144" i="7"/>
  <c r="L143" i="7"/>
  <c r="L144" i="7"/>
  <c r="J156" i="8"/>
  <c r="AF141" i="7"/>
  <c r="AG141" i="7"/>
  <c r="AF142" i="7"/>
  <c r="AG142" i="7"/>
  <c r="AK142" i="7"/>
  <c r="AK141" i="7"/>
  <c r="AD141" i="7"/>
  <c r="AD142" i="7"/>
  <c r="AI142" i="7"/>
  <c r="AI141" i="7"/>
  <c r="AH142" i="7"/>
  <c r="AH141" i="7"/>
  <c r="X141" i="7"/>
  <c r="X142" i="7"/>
  <c r="R141" i="7"/>
  <c r="R142" i="7"/>
  <c r="L141" i="7"/>
  <c r="L142" i="7"/>
  <c r="J151" i="8"/>
  <c r="J152" i="8"/>
  <c r="J153" i="8"/>
  <c r="J154" i="8"/>
  <c r="J155" i="8"/>
  <c r="AF138" i="7"/>
  <c r="AG138" i="7"/>
  <c r="AF139" i="7"/>
  <c r="AG139" i="7"/>
  <c r="AF140" i="7"/>
  <c r="AG140" i="7"/>
  <c r="AK140" i="7"/>
  <c r="AK139" i="7"/>
  <c r="AK138" i="7"/>
  <c r="AD138" i="7"/>
  <c r="AD139" i="7"/>
  <c r="AD140" i="7"/>
  <c r="AI140" i="7"/>
  <c r="AI139" i="7"/>
  <c r="AI138" i="7"/>
  <c r="AH140" i="7"/>
  <c r="AH139" i="7"/>
  <c r="AH138" i="7"/>
  <c r="X138" i="7"/>
  <c r="X139" i="7"/>
  <c r="X140" i="7"/>
  <c r="R138" i="7"/>
  <c r="R139" i="7"/>
  <c r="R140" i="7"/>
  <c r="L138" i="7"/>
  <c r="L139" i="7"/>
  <c r="L140" i="7"/>
  <c r="J104" i="8"/>
  <c r="J105" i="8"/>
  <c r="J106" i="8"/>
  <c r="J107" i="8"/>
  <c r="J108" i="8"/>
  <c r="J109" i="8"/>
  <c r="J110" i="8"/>
  <c r="I111" i="8"/>
  <c r="H111" i="8"/>
  <c r="AI101" i="7"/>
  <c r="AI102" i="7"/>
  <c r="AI103" i="7"/>
  <c r="AI104" i="7"/>
  <c r="AI105" i="7"/>
  <c r="AI106" i="7"/>
  <c r="AF101" i="7"/>
  <c r="AG101" i="7"/>
  <c r="AF102" i="7"/>
  <c r="AG102" i="7"/>
  <c r="AF103" i="7"/>
  <c r="AG103" i="7"/>
  <c r="AF104" i="7"/>
  <c r="AG104" i="7"/>
  <c r="AF105" i="7"/>
  <c r="AG105" i="7"/>
  <c r="AF106" i="7"/>
  <c r="AG106" i="7"/>
  <c r="AK106" i="7"/>
  <c r="AK105" i="7"/>
  <c r="AK104" i="7"/>
  <c r="AK103" i="7"/>
  <c r="AK102" i="7"/>
  <c r="AK101" i="7"/>
  <c r="AD101" i="7"/>
  <c r="AD102" i="7"/>
  <c r="AD103" i="7"/>
  <c r="AD104" i="7"/>
  <c r="AD105" i="7"/>
  <c r="AD106" i="7"/>
  <c r="AH106" i="7"/>
  <c r="AH105" i="7"/>
  <c r="AH104" i="7"/>
  <c r="AH103" i="7"/>
  <c r="AH102" i="7"/>
  <c r="AH101" i="7"/>
  <c r="X101" i="7"/>
  <c r="X102" i="7"/>
  <c r="X103" i="7"/>
  <c r="X104" i="7"/>
  <c r="X105" i="7"/>
  <c r="X106" i="7"/>
  <c r="R101" i="7"/>
  <c r="R102" i="7"/>
  <c r="R103" i="7"/>
  <c r="R104" i="7"/>
  <c r="R105" i="7"/>
  <c r="R106" i="7"/>
  <c r="L101" i="7"/>
  <c r="L102" i="7"/>
  <c r="L103" i="7"/>
  <c r="L104" i="7"/>
  <c r="L105" i="7"/>
  <c r="L106" i="7"/>
  <c r="J98" i="8"/>
  <c r="J99" i="8"/>
  <c r="J100" i="8"/>
  <c r="J101" i="8"/>
  <c r="J102" i="8"/>
  <c r="I103" i="8"/>
  <c r="G103" i="8"/>
  <c r="AI94" i="7"/>
  <c r="AI95" i="7"/>
  <c r="AI96" i="7"/>
  <c r="AI97" i="7"/>
  <c r="AI98" i="7"/>
  <c r="AI99" i="7"/>
  <c r="AI100" i="7"/>
  <c r="AH97" i="7"/>
  <c r="AH98" i="7"/>
  <c r="AH99" i="7"/>
  <c r="AH100" i="7"/>
  <c r="AF94" i="7"/>
  <c r="AG94" i="7"/>
  <c r="AF95" i="7"/>
  <c r="AG95" i="7"/>
  <c r="AF96" i="7"/>
  <c r="AG96" i="7"/>
  <c r="AF97" i="7"/>
  <c r="AG97" i="7"/>
  <c r="AF98" i="7"/>
  <c r="AG98" i="7"/>
  <c r="AF99" i="7"/>
  <c r="AG99" i="7"/>
  <c r="AJ99" i="7" s="1"/>
  <c r="AF100" i="7"/>
  <c r="AG100" i="7"/>
  <c r="AJ100" i="7" s="1"/>
  <c r="AK100" i="7"/>
  <c r="AK99" i="7"/>
  <c r="AK98" i="7"/>
  <c r="AK97" i="7"/>
  <c r="AK96" i="7"/>
  <c r="AK95" i="7"/>
  <c r="AK94" i="7"/>
  <c r="AD94" i="7"/>
  <c r="AD95" i="7"/>
  <c r="AD96" i="7"/>
  <c r="AD97" i="7"/>
  <c r="AD98" i="7"/>
  <c r="AD99" i="7"/>
  <c r="AD100" i="7"/>
  <c r="AH96" i="7"/>
  <c r="AH95" i="7"/>
  <c r="AH94" i="7"/>
  <c r="X94" i="7"/>
  <c r="X95" i="7"/>
  <c r="X96" i="7"/>
  <c r="X97" i="7"/>
  <c r="X98" i="7"/>
  <c r="X99" i="7"/>
  <c r="X100" i="7"/>
  <c r="R94" i="7"/>
  <c r="R95" i="7"/>
  <c r="R96" i="7"/>
  <c r="R97" i="7"/>
  <c r="R98" i="7"/>
  <c r="R99" i="7"/>
  <c r="R100" i="7"/>
  <c r="L94" i="7"/>
  <c r="L95" i="7"/>
  <c r="L96" i="7"/>
  <c r="L97" i="7"/>
  <c r="L98" i="7"/>
  <c r="L99" i="7"/>
  <c r="L100" i="7"/>
  <c r="J84" i="8"/>
  <c r="J85" i="8"/>
  <c r="J86" i="8"/>
  <c r="J87" i="8"/>
  <c r="J88" i="8"/>
  <c r="I97" i="8"/>
  <c r="I96" i="8"/>
  <c r="I95" i="8"/>
  <c r="I94" i="8"/>
  <c r="I92" i="8"/>
  <c r="I91" i="8"/>
  <c r="I89" i="8"/>
  <c r="H97" i="8"/>
  <c r="H96" i="8"/>
  <c r="H95" i="8"/>
  <c r="H90" i="8"/>
  <c r="H89" i="8"/>
  <c r="G96" i="8"/>
  <c r="J96" i="8" s="1"/>
  <c r="G95" i="8"/>
  <c r="G94" i="8"/>
  <c r="G89" i="8"/>
  <c r="F93" i="8"/>
  <c r="J93" i="8" s="1"/>
  <c r="F92" i="8"/>
  <c r="F91" i="8"/>
  <c r="J91" i="8" s="1"/>
  <c r="F90" i="8"/>
  <c r="F89" i="8"/>
  <c r="J89" i="8" s="1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F78" i="7"/>
  <c r="AG78" i="7"/>
  <c r="AF79" i="7"/>
  <c r="AG79" i="7"/>
  <c r="AF80" i="7"/>
  <c r="AG80" i="7"/>
  <c r="AF81" i="7"/>
  <c r="AG81" i="7"/>
  <c r="AF82" i="7"/>
  <c r="AG82" i="7"/>
  <c r="AF83" i="7"/>
  <c r="AG83" i="7"/>
  <c r="AF84" i="7"/>
  <c r="AG84" i="7"/>
  <c r="AF85" i="7"/>
  <c r="AG85" i="7"/>
  <c r="AF86" i="7"/>
  <c r="AG86" i="7"/>
  <c r="AF87" i="7"/>
  <c r="AG87" i="7"/>
  <c r="AF88" i="7"/>
  <c r="AG88" i="7"/>
  <c r="AF89" i="7"/>
  <c r="AG89" i="7"/>
  <c r="AF90" i="7"/>
  <c r="AG90" i="7"/>
  <c r="AF91" i="7"/>
  <c r="AG91" i="7"/>
  <c r="AF92" i="7"/>
  <c r="AG92" i="7"/>
  <c r="AF93" i="7"/>
  <c r="AG93" i="7"/>
  <c r="AK79" i="7"/>
  <c r="AK78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H78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J42" i="8"/>
  <c r="J43" i="8"/>
  <c r="J44" i="8"/>
  <c r="J45" i="8"/>
  <c r="J46" i="8"/>
  <c r="J47" i="8"/>
  <c r="J50" i="8"/>
  <c r="I64" i="8"/>
  <c r="J64" i="8" s="1"/>
  <c r="I58" i="8"/>
  <c r="I56" i="8"/>
  <c r="I54" i="8"/>
  <c r="I51" i="8"/>
  <c r="I49" i="8"/>
  <c r="I48" i="8"/>
  <c r="H63" i="8"/>
  <c r="J63" i="8" s="1"/>
  <c r="H62" i="8"/>
  <c r="J62" i="8" s="1"/>
  <c r="H61" i="8"/>
  <c r="J61" i="8" s="1"/>
  <c r="H60" i="8"/>
  <c r="J60" i="8" s="1"/>
  <c r="H58" i="8"/>
  <c r="H57" i="8"/>
  <c r="H56" i="8"/>
  <c r="H53" i="8"/>
  <c r="H51" i="8"/>
  <c r="H48" i="8"/>
  <c r="G59" i="8"/>
  <c r="J59" i="8" s="1"/>
  <c r="G58" i="8"/>
  <c r="G57" i="8"/>
  <c r="G56" i="8"/>
  <c r="J56" i="8" s="1"/>
  <c r="G51" i="8"/>
  <c r="G49" i="8"/>
  <c r="G48" i="8"/>
  <c r="F58" i="8"/>
  <c r="J58" i="8" s="1"/>
  <c r="F55" i="8"/>
  <c r="J55" i="8" s="1"/>
  <c r="F54" i="8"/>
  <c r="J54" i="8" s="1"/>
  <c r="F53" i="8"/>
  <c r="F52" i="8"/>
  <c r="J52" i="8" s="1"/>
  <c r="F51" i="8"/>
  <c r="F49" i="8"/>
  <c r="J49" i="8" s="1"/>
  <c r="F48" i="8"/>
  <c r="AI40" i="7"/>
  <c r="AI41" i="7"/>
  <c r="AI42" i="7"/>
  <c r="AI43" i="7"/>
  <c r="AI44" i="7"/>
  <c r="AI45" i="7"/>
  <c r="AI46" i="7"/>
  <c r="AI47" i="7"/>
  <c r="AI48" i="7"/>
  <c r="AI49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K49" i="7"/>
  <c r="AK48" i="7"/>
  <c r="AK47" i="7"/>
  <c r="AK46" i="7"/>
  <c r="AK45" i="7"/>
  <c r="AK44" i="7"/>
  <c r="AK43" i="7"/>
  <c r="AK42" i="7"/>
  <c r="AK41" i="7"/>
  <c r="AK40" i="7"/>
  <c r="AK39" i="7"/>
  <c r="AK38" i="7"/>
  <c r="AK37" i="7"/>
  <c r="AK36" i="7"/>
  <c r="AK35" i="7"/>
  <c r="AK34" i="7"/>
  <c r="AK33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I39" i="7"/>
  <c r="AI38" i="7"/>
  <c r="AI37" i="7"/>
  <c r="AI36" i="7"/>
  <c r="AI35" i="7"/>
  <c r="AI34" i="7"/>
  <c r="AI33" i="7"/>
  <c r="AH34" i="7"/>
  <c r="AH33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J21" i="8"/>
  <c r="J22" i="8"/>
  <c r="J23" i="8"/>
  <c r="J24" i="8"/>
  <c r="I41" i="8"/>
  <c r="J41" i="8" s="1"/>
  <c r="I40" i="8"/>
  <c r="J40" i="8" s="1"/>
  <c r="I39" i="8"/>
  <c r="J39" i="8" s="1"/>
  <c r="I37" i="8"/>
  <c r="I35" i="8"/>
  <c r="I33" i="8"/>
  <c r="I32" i="8"/>
  <c r="I30" i="8"/>
  <c r="I29" i="8"/>
  <c r="I27" i="8"/>
  <c r="I25" i="8"/>
  <c r="H38" i="8"/>
  <c r="J38" i="8" s="1"/>
  <c r="H37" i="8"/>
  <c r="H35" i="8"/>
  <c r="H32" i="8"/>
  <c r="H30" i="8"/>
  <c r="H26" i="8"/>
  <c r="H25" i="8"/>
  <c r="G36" i="8"/>
  <c r="J36" i="8" s="1"/>
  <c r="G35" i="8"/>
  <c r="J35" i="8" s="1"/>
  <c r="G32" i="8"/>
  <c r="G29" i="8"/>
  <c r="G26" i="8"/>
  <c r="G25" i="8"/>
  <c r="F34" i="8"/>
  <c r="J34" i="8" s="1"/>
  <c r="F33" i="8"/>
  <c r="J33" i="8" s="1"/>
  <c r="F32" i="8"/>
  <c r="J32" i="8" s="1"/>
  <c r="F31" i="8"/>
  <c r="J31" i="8" s="1"/>
  <c r="F30" i="8"/>
  <c r="F29" i="8"/>
  <c r="J29" i="8" s="1"/>
  <c r="F28" i="8"/>
  <c r="J28" i="8" s="1"/>
  <c r="F27" i="8"/>
  <c r="J27" i="8" s="1"/>
  <c r="F26" i="8"/>
  <c r="F25" i="8"/>
  <c r="AK22" i="7"/>
  <c r="AK23" i="7"/>
  <c r="AK24" i="7"/>
  <c r="AK25" i="7"/>
  <c r="AK26" i="7"/>
  <c r="AK27" i="7"/>
  <c r="AK28" i="7"/>
  <c r="AK29" i="7"/>
  <c r="AK30" i="7"/>
  <c r="AK31" i="7"/>
  <c r="AK32" i="7"/>
  <c r="AI23" i="7"/>
  <c r="AI24" i="7"/>
  <c r="AI25" i="7"/>
  <c r="AI26" i="7"/>
  <c r="AI27" i="7"/>
  <c r="AI28" i="7"/>
  <c r="AI29" i="7"/>
  <c r="AI30" i="7"/>
  <c r="AI31" i="7"/>
  <c r="AI32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K21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I22" i="7"/>
  <c r="AI21" i="7"/>
  <c r="AH32" i="7"/>
  <c r="AH31" i="7"/>
  <c r="AH30" i="7"/>
  <c r="AH29" i="7"/>
  <c r="AH28" i="7"/>
  <c r="AH27" i="7"/>
  <c r="AH26" i="7"/>
  <c r="AH25" i="7"/>
  <c r="AH24" i="7"/>
  <c r="AH23" i="7"/>
  <c r="AH22" i="7"/>
  <c r="AH21" i="7"/>
  <c r="X21" i="7"/>
  <c r="X22" i="7"/>
  <c r="X23" i="7"/>
  <c r="X24" i="7"/>
  <c r="X25" i="7"/>
  <c r="X26" i="7"/>
  <c r="X27" i="7"/>
  <c r="X28" i="7"/>
  <c r="X29" i="7"/>
  <c r="X30" i="7"/>
  <c r="X31" i="7"/>
  <c r="X32" i="7"/>
  <c r="R21" i="7"/>
  <c r="R22" i="7"/>
  <c r="R23" i="7"/>
  <c r="R24" i="7"/>
  <c r="R25" i="7"/>
  <c r="R26" i="7"/>
  <c r="R27" i="7"/>
  <c r="R28" i="7"/>
  <c r="R29" i="7"/>
  <c r="R30" i="7"/>
  <c r="R31" i="7"/>
  <c r="R32" i="7"/>
  <c r="L21" i="7"/>
  <c r="L22" i="7"/>
  <c r="L23" i="7"/>
  <c r="L24" i="7"/>
  <c r="L25" i="7"/>
  <c r="L26" i="7"/>
  <c r="L27" i="7"/>
  <c r="L28" i="7"/>
  <c r="L29" i="7"/>
  <c r="L30" i="7"/>
  <c r="L31" i="7"/>
  <c r="L32" i="7"/>
  <c r="J4" i="8"/>
  <c r="J5" i="8"/>
  <c r="J6" i="8"/>
  <c r="J7" i="8"/>
  <c r="J8" i="8"/>
  <c r="J9" i="8"/>
  <c r="I18" i="8"/>
  <c r="I12" i="8"/>
  <c r="H20" i="8"/>
  <c r="J20" i="8" s="1"/>
  <c r="H19" i="8"/>
  <c r="J19" i="8" s="1"/>
  <c r="H18" i="8"/>
  <c r="H17" i="8"/>
  <c r="H14" i="8"/>
  <c r="H11" i="8"/>
  <c r="G18" i="8"/>
  <c r="J18" i="8" s="1"/>
  <c r="G17" i="8"/>
  <c r="G16" i="8"/>
  <c r="J16" i="8" s="1"/>
  <c r="G15" i="8"/>
  <c r="J15" i="8" s="1"/>
  <c r="G14" i="8"/>
  <c r="G13" i="8"/>
  <c r="J13" i="8" s="1"/>
  <c r="G12" i="8"/>
  <c r="G11" i="8"/>
  <c r="F12" i="8"/>
  <c r="F11" i="8"/>
  <c r="F10" i="8"/>
  <c r="J10" i="8" s="1"/>
  <c r="J140" i="8"/>
  <c r="J141" i="8"/>
  <c r="J142" i="8"/>
  <c r="I150" i="8"/>
  <c r="J150" i="8" s="1"/>
  <c r="I146" i="8"/>
  <c r="I144" i="8"/>
  <c r="H148" i="8"/>
  <c r="J148" i="8" s="1"/>
  <c r="H145" i="8"/>
  <c r="H144" i="8"/>
  <c r="G145" i="8"/>
  <c r="G143" i="8"/>
  <c r="F149" i="8"/>
  <c r="J149" i="8" s="1"/>
  <c r="F147" i="8"/>
  <c r="J147" i="8" s="1"/>
  <c r="F146" i="8"/>
  <c r="F145" i="8"/>
  <c r="F144" i="8"/>
  <c r="F143" i="8"/>
  <c r="J143" i="8" s="1"/>
  <c r="AI128" i="7"/>
  <c r="AK128" i="7"/>
  <c r="AI129" i="7"/>
  <c r="AK129" i="7"/>
  <c r="AI130" i="7"/>
  <c r="AK130" i="7"/>
  <c r="AI131" i="7"/>
  <c r="AK131" i="7"/>
  <c r="AI132" i="7"/>
  <c r="AK132" i="7"/>
  <c r="AI133" i="7"/>
  <c r="AK133" i="7"/>
  <c r="AI134" i="7"/>
  <c r="AK134" i="7"/>
  <c r="AI135" i="7"/>
  <c r="AK135" i="7"/>
  <c r="AI136" i="7"/>
  <c r="AK136" i="7"/>
  <c r="AI137" i="7"/>
  <c r="AK137" i="7"/>
  <c r="AH134" i="7"/>
  <c r="AH135" i="7"/>
  <c r="AH136" i="7"/>
  <c r="AH137" i="7"/>
  <c r="AF128" i="7"/>
  <c r="AG128" i="7"/>
  <c r="AF129" i="7"/>
  <c r="AG129" i="7"/>
  <c r="AF130" i="7"/>
  <c r="AG130" i="7"/>
  <c r="AF131" i="7"/>
  <c r="AG131" i="7"/>
  <c r="AF132" i="7"/>
  <c r="AG132" i="7"/>
  <c r="AF133" i="7"/>
  <c r="AG133" i="7"/>
  <c r="AF134" i="7"/>
  <c r="AG134" i="7"/>
  <c r="AF135" i="7"/>
  <c r="AG135" i="7"/>
  <c r="AF136" i="7"/>
  <c r="AG136" i="7"/>
  <c r="AF137" i="7"/>
  <c r="AG137" i="7"/>
  <c r="AD137" i="7"/>
  <c r="AD128" i="7"/>
  <c r="AD129" i="7"/>
  <c r="AD130" i="7"/>
  <c r="AD131" i="7"/>
  <c r="AD132" i="7"/>
  <c r="AD133" i="7"/>
  <c r="AD134" i="7"/>
  <c r="AD135" i="7"/>
  <c r="AD136" i="7"/>
  <c r="AH133" i="7"/>
  <c r="AH132" i="7"/>
  <c r="AH131" i="7"/>
  <c r="AH130" i="7"/>
  <c r="AH129" i="7"/>
  <c r="AH128" i="7"/>
  <c r="X128" i="7"/>
  <c r="X129" i="7"/>
  <c r="X130" i="7"/>
  <c r="X131" i="7"/>
  <c r="X132" i="7"/>
  <c r="X133" i="7"/>
  <c r="X134" i="7"/>
  <c r="X135" i="7"/>
  <c r="X136" i="7"/>
  <c r="X137" i="7"/>
  <c r="R128" i="7"/>
  <c r="R129" i="7"/>
  <c r="R130" i="7"/>
  <c r="R131" i="7"/>
  <c r="R132" i="7"/>
  <c r="R133" i="7"/>
  <c r="R134" i="7"/>
  <c r="R135" i="7"/>
  <c r="R136" i="7"/>
  <c r="R137" i="7"/>
  <c r="L128" i="7"/>
  <c r="L129" i="7"/>
  <c r="L130" i="7"/>
  <c r="L131" i="7"/>
  <c r="L132" i="7"/>
  <c r="L133" i="7"/>
  <c r="L134" i="7"/>
  <c r="L135" i="7"/>
  <c r="L136" i="7"/>
  <c r="L137" i="7"/>
  <c r="J129" i="8"/>
  <c r="J130" i="8"/>
  <c r="I139" i="8"/>
  <c r="J139" i="8" s="1"/>
  <c r="I137" i="8"/>
  <c r="I136" i="8"/>
  <c r="I135" i="8"/>
  <c r="I134" i="8"/>
  <c r="I133" i="8"/>
  <c r="I132" i="8"/>
  <c r="I131" i="8"/>
  <c r="H138" i="8"/>
  <c r="J138" i="8" s="1"/>
  <c r="H137" i="8"/>
  <c r="H136" i="8"/>
  <c r="H135" i="8"/>
  <c r="H134" i="8"/>
  <c r="H133" i="8"/>
  <c r="H132" i="8"/>
  <c r="H131" i="8"/>
  <c r="G136" i="8"/>
  <c r="G135" i="8"/>
  <c r="G134" i="8"/>
  <c r="G133" i="8"/>
  <c r="G132" i="8"/>
  <c r="G131" i="8"/>
  <c r="F137" i="8"/>
  <c r="J137" i="8" s="1"/>
  <c r="F136" i="8"/>
  <c r="F135" i="8"/>
  <c r="F134" i="8"/>
  <c r="F133" i="8"/>
  <c r="F132" i="8"/>
  <c r="F131" i="8"/>
  <c r="AI118" i="7"/>
  <c r="AI119" i="7"/>
  <c r="AI120" i="7"/>
  <c r="AI121" i="7"/>
  <c r="AI122" i="7"/>
  <c r="AI123" i="7"/>
  <c r="AI124" i="7"/>
  <c r="AI125" i="7"/>
  <c r="AI126" i="7"/>
  <c r="AI127" i="7"/>
  <c r="AF118" i="7"/>
  <c r="AG118" i="7"/>
  <c r="AF119" i="7"/>
  <c r="AG119" i="7"/>
  <c r="AF120" i="7"/>
  <c r="AG120" i="7"/>
  <c r="AF121" i="7"/>
  <c r="AG121" i="7"/>
  <c r="AF122" i="7"/>
  <c r="AG122" i="7"/>
  <c r="AF123" i="7"/>
  <c r="AG123" i="7"/>
  <c r="AF124" i="7"/>
  <c r="AG124" i="7"/>
  <c r="AF125" i="7"/>
  <c r="AG125" i="7"/>
  <c r="AF126" i="7"/>
  <c r="AG126" i="7"/>
  <c r="AF127" i="7"/>
  <c r="AG127" i="7"/>
  <c r="AK127" i="7"/>
  <c r="AK126" i="7"/>
  <c r="AK125" i="7"/>
  <c r="AK124" i="7"/>
  <c r="AK123" i="7"/>
  <c r="AK122" i="7"/>
  <c r="AK121" i="7"/>
  <c r="AK120" i="7"/>
  <c r="AK119" i="7"/>
  <c r="AK118" i="7"/>
  <c r="AD118" i="7"/>
  <c r="AD119" i="7"/>
  <c r="AD120" i="7"/>
  <c r="AD121" i="7"/>
  <c r="AD122" i="7"/>
  <c r="AD123" i="7"/>
  <c r="AD124" i="7"/>
  <c r="AD125" i="7"/>
  <c r="AD126" i="7"/>
  <c r="AD127" i="7"/>
  <c r="AH127" i="7"/>
  <c r="AH126" i="7"/>
  <c r="AH125" i="7"/>
  <c r="AH124" i="7"/>
  <c r="AH123" i="7"/>
  <c r="AH122" i="7"/>
  <c r="AH121" i="7"/>
  <c r="AH120" i="7"/>
  <c r="AH119" i="7"/>
  <c r="AH118" i="7"/>
  <c r="X118" i="7"/>
  <c r="X119" i="7"/>
  <c r="X120" i="7"/>
  <c r="X121" i="7"/>
  <c r="X122" i="7"/>
  <c r="X123" i="7"/>
  <c r="X124" i="7"/>
  <c r="X125" i="7"/>
  <c r="X126" i="7"/>
  <c r="X127" i="7"/>
  <c r="R118" i="7"/>
  <c r="R119" i="7"/>
  <c r="R120" i="7"/>
  <c r="R121" i="7"/>
  <c r="R122" i="7"/>
  <c r="R123" i="7"/>
  <c r="R124" i="7"/>
  <c r="R125" i="7"/>
  <c r="R126" i="7"/>
  <c r="R127" i="7"/>
  <c r="L118" i="7"/>
  <c r="L119" i="7"/>
  <c r="L120" i="7"/>
  <c r="L121" i="7"/>
  <c r="L122" i="7"/>
  <c r="L123" i="7"/>
  <c r="L124" i="7"/>
  <c r="L125" i="7"/>
  <c r="L126" i="7"/>
  <c r="L127" i="7"/>
  <c r="J118" i="8"/>
  <c r="J119" i="8"/>
  <c r="J120" i="8"/>
  <c r="J121" i="8"/>
  <c r="I128" i="8"/>
  <c r="I126" i="8"/>
  <c r="I125" i="8"/>
  <c r="I124" i="8"/>
  <c r="I122" i="8"/>
  <c r="H125" i="8"/>
  <c r="H122" i="8"/>
  <c r="G128" i="8"/>
  <c r="G122" i="8"/>
  <c r="F128" i="8"/>
  <c r="F127" i="8"/>
  <c r="J127" i="8" s="1"/>
  <c r="F126" i="8"/>
  <c r="J126" i="8" s="1"/>
  <c r="F125" i="8"/>
  <c r="F124" i="8"/>
  <c r="F123" i="8"/>
  <c r="J123" i="8" s="1"/>
  <c r="F122" i="8"/>
  <c r="AF113" i="7"/>
  <c r="AG113" i="7"/>
  <c r="AF114" i="7"/>
  <c r="AG114" i="7"/>
  <c r="AF115" i="7"/>
  <c r="AG115" i="7"/>
  <c r="AF116" i="7"/>
  <c r="AG116" i="7"/>
  <c r="AF117" i="7"/>
  <c r="AG117" i="7"/>
  <c r="AK117" i="7"/>
  <c r="AK116" i="7"/>
  <c r="AK115" i="7"/>
  <c r="AK114" i="7"/>
  <c r="AK113" i="7"/>
  <c r="AK112" i="7"/>
  <c r="AD113" i="7"/>
  <c r="AD114" i="7"/>
  <c r="AD115" i="7"/>
  <c r="AD116" i="7"/>
  <c r="AD117" i="7"/>
  <c r="AI117" i="7"/>
  <c r="AI116" i="7"/>
  <c r="AI115" i="7"/>
  <c r="AI114" i="7"/>
  <c r="AI113" i="7"/>
  <c r="AD112" i="7"/>
  <c r="AI112" i="7"/>
  <c r="AH117" i="7"/>
  <c r="AH116" i="7"/>
  <c r="AH115" i="7"/>
  <c r="AH114" i="7"/>
  <c r="AH113" i="7"/>
  <c r="AH112" i="7"/>
  <c r="AG112" i="7"/>
  <c r="AF112" i="7"/>
  <c r="X112" i="7"/>
  <c r="X113" i="7"/>
  <c r="X114" i="7"/>
  <c r="X115" i="7"/>
  <c r="X116" i="7"/>
  <c r="X117" i="7"/>
  <c r="R113" i="7"/>
  <c r="R114" i="7"/>
  <c r="R115" i="7"/>
  <c r="R116" i="7"/>
  <c r="R117" i="7"/>
  <c r="R112" i="7"/>
  <c r="L113" i="7"/>
  <c r="L114" i="7"/>
  <c r="L115" i="7"/>
  <c r="L116" i="7"/>
  <c r="L117" i="7"/>
  <c r="L112" i="7"/>
  <c r="J112" i="8"/>
  <c r="J113" i="8"/>
  <c r="J114" i="8"/>
  <c r="J115" i="8"/>
  <c r="J116" i="8"/>
  <c r="G117" i="8"/>
  <c r="J117" i="8" s="1"/>
  <c r="AH108" i="7"/>
  <c r="AI108" i="7"/>
  <c r="AH109" i="7"/>
  <c r="AI109" i="7"/>
  <c r="AH110" i="7"/>
  <c r="AI110" i="7"/>
  <c r="AH111" i="7"/>
  <c r="AI111" i="7"/>
  <c r="AF107" i="7"/>
  <c r="AG107" i="7"/>
  <c r="AF108" i="7"/>
  <c r="AG108" i="7"/>
  <c r="AF109" i="7"/>
  <c r="AG109" i="7"/>
  <c r="AF110" i="7"/>
  <c r="AG110" i="7"/>
  <c r="AF111" i="7"/>
  <c r="AG111" i="7"/>
  <c r="AK111" i="7"/>
  <c r="AK110" i="7"/>
  <c r="AK109" i="7"/>
  <c r="AK108" i="7"/>
  <c r="AK107" i="7"/>
  <c r="AD107" i="7"/>
  <c r="AD108" i="7"/>
  <c r="AD109" i="7"/>
  <c r="AD110" i="7"/>
  <c r="AD111" i="7"/>
  <c r="AI107" i="7"/>
  <c r="AH107" i="7"/>
  <c r="X107" i="7"/>
  <c r="X108" i="7"/>
  <c r="X109" i="7"/>
  <c r="X110" i="7"/>
  <c r="X111" i="7"/>
  <c r="R107" i="7"/>
  <c r="R108" i="7"/>
  <c r="R109" i="7"/>
  <c r="R110" i="7"/>
  <c r="R111" i="7"/>
  <c r="L107" i="7"/>
  <c r="L108" i="7"/>
  <c r="L109" i="7"/>
  <c r="L110" i="7"/>
  <c r="L111" i="7"/>
  <c r="J65" i="8"/>
  <c r="J66" i="8"/>
  <c r="J67" i="8"/>
  <c r="J68" i="8"/>
  <c r="J69" i="8"/>
  <c r="J70" i="8"/>
  <c r="J71" i="8"/>
  <c r="H76" i="8"/>
  <c r="J76" i="8" s="1"/>
  <c r="G75" i="8"/>
  <c r="J75" i="8" s="1"/>
  <c r="G74" i="8"/>
  <c r="J74" i="8" s="1"/>
  <c r="G73" i="8"/>
  <c r="J73" i="8" s="1"/>
  <c r="G72" i="8"/>
  <c r="F72" i="8"/>
  <c r="AI50" i="7"/>
  <c r="AI51" i="7"/>
  <c r="AI52" i="7"/>
  <c r="AI53" i="7"/>
  <c r="AI54" i="7"/>
  <c r="AI55" i="7"/>
  <c r="AI56" i="7"/>
  <c r="AI57" i="7"/>
  <c r="AI58" i="7"/>
  <c r="AI59" i="7"/>
  <c r="AI60" i="7"/>
  <c r="AH56" i="7"/>
  <c r="AH57" i="7"/>
  <c r="AH58" i="7"/>
  <c r="AH59" i="7"/>
  <c r="AH60" i="7"/>
  <c r="AF50" i="7"/>
  <c r="AG50" i="7"/>
  <c r="AF51" i="7"/>
  <c r="AG51" i="7"/>
  <c r="AF52" i="7"/>
  <c r="AG52" i="7"/>
  <c r="AF53" i="7"/>
  <c r="AG53" i="7"/>
  <c r="AF54" i="7"/>
  <c r="AG54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K60" i="7"/>
  <c r="AK59" i="7"/>
  <c r="AK58" i="7"/>
  <c r="AK57" i="7"/>
  <c r="AK56" i="7"/>
  <c r="AK55" i="7"/>
  <c r="AK54" i="7"/>
  <c r="AK53" i="7"/>
  <c r="AK52" i="7"/>
  <c r="AK51" i="7"/>
  <c r="AK50" i="7"/>
  <c r="AD50" i="7"/>
  <c r="AD51" i="7"/>
  <c r="AD52" i="7"/>
  <c r="AD53" i="7"/>
  <c r="AD54" i="7"/>
  <c r="AD55" i="7"/>
  <c r="AD56" i="7"/>
  <c r="AD57" i="7"/>
  <c r="AD58" i="7"/>
  <c r="AD59" i="7"/>
  <c r="AD60" i="7"/>
  <c r="AH55" i="7"/>
  <c r="AH54" i="7"/>
  <c r="AH53" i="7"/>
  <c r="AH52" i="7"/>
  <c r="AH51" i="7"/>
  <c r="AH50" i="7"/>
  <c r="X50" i="7"/>
  <c r="X51" i="7"/>
  <c r="X52" i="7"/>
  <c r="X53" i="7"/>
  <c r="X54" i="7"/>
  <c r="X55" i="7"/>
  <c r="X56" i="7"/>
  <c r="X57" i="7"/>
  <c r="X58" i="7"/>
  <c r="X59" i="7"/>
  <c r="X60" i="7"/>
  <c r="R50" i="7"/>
  <c r="R51" i="7"/>
  <c r="R52" i="7"/>
  <c r="R53" i="7"/>
  <c r="R54" i="7"/>
  <c r="R55" i="7"/>
  <c r="R56" i="7"/>
  <c r="R57" i="7"/>
  <c r="R58" i="7"/>
  <c r="R59" i="7"/>
  <c r="R60" i="7"/>
  <c r="L60" i="7"/>
  <c r="L50" i="7"/>
  <c r="L51" i="7"/>
  <c r="L52" i="7"/>
  <c r="L53" i="7"/>
  <c r="L54" i="7"/>
  <c r="L55" i="7"/>
  <c r="L56" i="7"/>
  <c r="L57" i="7"/>
  <c r="L58" i="7"/>
  <c r="L59" i="7"/>
  <c r="J78" i="8"/>
  <c r="J79" i="8"/>
  <c r="J80" i="8"/>
  <c r="J77" i="8"/>
  <c r="I83" i="8"/>
  <c r="I81" i="8"/>
  <c r="H83" i="8"/>
  <c r="H81" i="8"/>
  <c r="G82" i="8"/>
  <c r="J82" i="8" s="1"/>
  <c r="G81" i="8"/>
  <c r="F81" i="8"/>
  <c r="J81" i="8" s="1"/>
  <c r="AK67" i="7"/>
  <c r="AK68" i="7"/>
  <c r="AK69" i="7"/>
  <c r="AK70" i="7"/>
  <c r="AK71" i="7"/>
  <c r="AK72" i="7"/>
  <c r="AK73" i="7"/>
  <c r="AK74" i="7"/>
  <c r="AK75" i="7"/>
  <c r="AK76" i="7"/>
  <c r="AK77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H67" i="7"/>
  <c r="AH68" i="7"/>
  <c r="AH69" i="7"/>
  <c r="AH70" i="7"/>
  <c r="AH71" i="7"/>
  <c r="AH72" i="7"/>
  <c r="AH73" i="7"/>
  <c r="AH74" i="7"/>
  <c r="AH75" i="7"/>
  <c r="AH76" i="7"/>
  <c r="AH77" i="7"/>
  <c r="AF61" i="7"/>
  <c r="AG61" i="7"/>
  <c r="AF62" i="7"/>
  <c r="AG62" i="7"/>
  <c r="AF63" i="7"/>
  <c r="AG63" i="7"/>
  <c r="AF64" i="7"/>
  <c r="AG64" i="7"/>
  <c r="AF65" i="7"/>
  <c r="AG65" i="7"/>
  <c r="AF66" i="7"/>
  <c r="AG66" i="7"/>
  <c r="AF67" i="7"/>
  <c r="AG67" i="7"/>
  <c r="AF68" i="7"/>
  <c r="AG68" i="7"/>
  <c r="AF69" i="7"/>
  <c r="AG69" i="7"/>
  <c r="AF70" i="7"/>
  <c r="AG70" i="7"/>
  <c r="AF71" i="7"/>
  <c r="AG71" i="7"/>
  <c r="AF72" i="7"/>
  <c r="AG72" i="7"/>
  <c r="AF73" i="7"/>
  <c r="AG73" i="7"/>
  <c r="AF74" i="7"/>
  <c r="AG74" i="7"/>
  <c r="AF75" i="7"/>
  <c r="AG75" i="7"/>
  <c r="AF76" i="7"/>
  <c r="AG76" i="7"/>
  <c r="AF77" i="7"/>
  <c r="AG77" i="7"/>
  <c r="AK66" i="7"/>
  <c r="AK65" i="7"/>
  <c r="AK64" i="7"/>
  <c r="AK63" i="7"/>
  <c r="AK62" i="7"/>
  <c r="AK61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I61" i="7"/>
  <c r="AH66" i="7"/>
  <c r="AH65" i="7"/>
  <c r="AH64" i="7"/>
  <c r="AH63" i="7"/>
  <c r="AH62" i="7"/>
  <c r="AH61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AF7" i="7"/>
  <c r="AG7" i="7"/>
  <c r="AH7" i="7"/>
  <c r="AI7" i="7"/>
  <c r="AK7" i="7"/>
  <c r="AF8" i="7"/>
  <c r="AG8" i="7"/>
  <c r="AH8" i="7"/>
  <c r="AI8" i="7"/>
  <c r="AK8" i="7"/>
  <c r="AF9" i="7"/>
  <c r="AG9" i="7"/>
  <c r="AH9" i="7"/>
  <c r="AI9" i="7"/>
  <c r="AK9" i="7"/>
  <c r="AF10" i="7"/>
  <c r="AG10" i="7"/>
  <c r="AH10" i="7"/>
  <c r="AI10" i="7"/>
  <c r="AK10" i="7"/>
  <c r="AF11" i="7"/>
  <c r="AG11" i="7"/>
  <c r="AH11" i="7"/>
  <c r="AI11" i="7"/>
  <c r="AK11" i="7"/>
  <c r="AF12" i="7"/>
  <c r="AG12" i="7"/>
  <c r="AH12" i="7"/>
  <c r="AI12" i="7"/>
  <c r="AK12" i="7"/>
  <c r="AF13" i="7"/>
  <c r="AG13" i="7"/>
  <c r="AH13" i="7"/>
  <c r="AI13" i="7"/>
  <c r="AK13" i="7"/>
  <c r="AF14" i="7"/>
  <c r="AG14" i="7"/>
  <c r="AH14" i="7"/>
  <c r="AI14" i="7"/>
  <c r="AK14" i="7"/>
  <c r="AF15" i="7"/>
  <c r="AG15" i="7"/>
  <c r="AH15" i="7"/>
  <c r="AI15" i="7"/>
  <c r="AK15" i="7"/>
  <c r="AF16" i="7"/>
  <c r="AG16" i="7"/>
  <c r="AH16" i="7"/>
  <c r="AI16" i="7"/>
  <c r="AK16" i="7"/>
  <c r="AF17" i="7"/>
  <c r="AG17" i="7"/>
  <c r="AH17" i="7"/>
  <c r="AI17" i="7"/>
  <c r="AK17" i="7"/>
  <c r="AF18" i="7"/>
  <c r="AG18" i="7"/>
  <c r="AH18" i="7"/>
  <c r="AI18" i="7"/>
  <c r="AK18" i="7"/>
  <c r="AF19" i="7"/>
  <c r="AG19" i="7"/>
  <c r="AH19" i="7"/>
  <c r="AI19" i="7"/>
  <c r="AK19" i="7"/>
  <c r="AF20" i="7"/>
  <c r="AG20" i="7"/>
  <c r="AH20" i="7"/>
  <c r="AI20" i="7"/>
  <c r="AK20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G1" i="8"/>
  <c r="AK6" i="7"/>
  <c r="AG6" i="7"/>
  <c r="AH6" i="7"/>
  <c r="AI6" i="7"/>
  <c r="AF6" i="7"/>
  <c r="AD6" i="7"/>
  <c r="X6" i="7"/>
  <c r="R6" i="7"/>
  <c r="L6" i="7"/>
  <c r="AJ134" i="7" l="1"/>
  <c r="J83" i="8"/>
  <c r="J122" i="8"/>
  <c r="J133" i="8"/>
  <c r="J144" i="8"/>
  <c r="AJ98" i="7"/>
  <c r="J11" i="8"/>
  <c r="J17" i="8"/>
  <c r="J94" i="8"/>
  <c r="AJ97" i="7"/>
  <c r="J124" i="8"/>
  <c r="J135" i="8"/>
  <c r="J146" i="8"/>
  <c r="J12" i="8"/>
  <c r="J30" i="8"/>
  <c r="J37" i="8"/>
  <c r="J25" i="8"/>
  <c r="J128" i="8"/>
  <c r="J131" i="8"/>
  <c r="AJ136" i="7"/>
  <c r="J14" i="8"/>
  <c r="J26" i="8"/>
  <c r="J51" i="8"/>
  <c r="AJ140" i="7"/>
  <c r="AJ139" i="7"/>
  <c r="AJ138" i="7"/>
  <c r="AJ144" i="7"/>
  <c r="AJ143" i="7"/>
  <c r="J145" i="8"/>
  <c r="J111" i="8"/>
  <c r="AJ142" i="7"/>
  <c r="AJ141" i="7"/>
  <c r="AJ110" i="7"/>
  <c r="AJ108" i="7"/>
  <c r="J125" i="8"/>
  <c r="J132" i="8"/>
  <c r="J134" i="8"/>
  <c r="AJ96" i="7"/>
  <c r="AJ95" i="7"/>
  <c r="AJ94" i="7"/>
  <c r="AJ106" i="7"/>
  <c r="AJ105" i="7"/>
  <c r="AJ104" i="7"/>
  <c r="AJ103" i="7"/>
  <c r="AJ102" i="7"/>
  <c r="AJ49" i="7"/>
  <c r="AJ48" i="7"/>
  <c r="AJ47" i="7"/>
  <c r="AJ46" i="7"/>
  <c r="AJ45" i="7"/>
  <c r="AJ44" i="7"/>
  <c r="AJ43" i="7"/>
  <c r="AJ42" i="7"/>
  <c r="AJ41" i="7"/>
  <c r="AJ40" i="7"/>
  <c r="J48" i="8"/>
  <c r="J90" i="8"/>
  <c r="J92" i="8"/>
  <c r="J95" i="8"/>
  <c r="J97" i="8"/>
  <c r="J103" i="8"/>
  <c r="AJ101" i="7"/>
  <c r="J136" i="8"/>
  <c r="J53" i="8"/>
  <c r="J57" i="8"/>
  <c r="AJ93" i="7"/>
  <c r="AJ92" i="7"/>
  <c r="AJ83" i="7"/>
  <c r="AJ82" i="7"/>
  <c r="AJ81" i="7"/>
  <c r="AJ80" i="7"/>
  <c r="AJ79" i="7"/>
  <c r="AJ39" i="7"/>
  <c r="AJ38" i="7"/>
  <c r="AJ37" i="7"/>
  <c r="AJ36" i="7"/>
  <c r="AJ35" i="7"/>
  <c r="AJ34" i="7"/>
  <c r="AJ33" i="7"/>
  <c r="AJ90" i="7"/>
  <c r="AJ88" i="7"/>
  <c r="AJ86" i="7"/>
  <c r="AJ84" i="7"/>
  <c r="AJ32" i="7"/>
  <c r="AJ91" i="7"/>
  <c r="AJ89" i="7"/>
  <c r="AJ87" i="7"/>
  <c r="AJ85" i="7"/>
  <c r="AJ78" i="7"/>
  <c r="J72" i="8"/>
  <c r="AJ31" i="7"/>
  <c r="AJ30" i="7"/>
  <c r="AJ29" i="7"/>
  <c r="AJ28" i="7"/>
  <c r="AJ27" i="7"/>
  <c r="AJ26" i="7"/>
  <c r="AJ25" i="7"/>
  <c r="AJ24" i="7"/>
  <c r="AJ23" i="7"/>
  <c r="AJ22" i="7"/>
  <c r="AJ21" i="7"/>
  <c r="AJ111" i="7"/>
  <c r="AJ109" i="7"/>
  <c r="AJ107" i="7"/>
  <c r="AJ117" i="7"/>
  <c r="AJ116" i="7"/>
  <c r="AJ115" i="7"/>
  <c r="AJ114" i="7"/>
  <c r="AJ113" i="7"/>
  <c r="AJ132" i="7"/>
  <c r="AJ130" i="7"/>
  <c r="AJ128" i="7"/>
  <c r="AJ127" i="7"/>
  <c r="AJ125" i="7"/>
  <c r="AJ123" i="7"/>
  <c r="AJ121" i="7"/>
  <c r="AJ119" i="7"/>
  <c r="AJ135" i="7"/>
  <c r="AJ131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62" i="7"/>
  <c r="AJ61" i="7"/>
  <c r="AJ60" i="7"/>
  <c r="AJ59" i="7"/>
  <c r="AJ58" i="7"/>
  <c r="AJ57" i="7"/>
  <c r="AJ56" i="7"/>
  <c r="AJ55" i="7"/>
  <c r="AJ54" i="7"/>
  <c r="AJ53" i="7"/>
  <c r="AJ52" i="7"/>
  <c r="AJ51" i="7"/>
  <c r="AJ50" i="7"/>
  <c r="AJ112" i="7"/>
  <c r="AJ126" i="7"/>
  <c r="AJ124" i="7"/>
  <c r="AJ122" i="7"/>
  <c r="AJ120" i="7"/>
  <c r="AJ118" i="7"/>
  <c r="AJ137" i="7"/>
  <c r="AJ133" i="7"/>
  <c r="AJ129" i="7"/>
  <c r="AJ20" i="7"/>
  <c r="AJ18" i="7"/>
  <c r="AJ16" i="7"/>
  <c r="AJ14" i="7"/>
  <c r="AJ12" i="7"/>
  <c r="AJ10" i="7"/>
  <c r="AJ8" i="7"/>
  <c r="AJ19" i="7"/>
  <c r="AJ17" i="7"/>
  <c r="AJ15" i="7"/>
  <c r="AJ13" i="7"/>
  <c r="AJ11" i="7"/>
  <c r="AJ9" i="7"/>
  <c r="AJ7" i="7"/>
  <c r="AJ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F7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was labeled RF4, but new plant in 2009, so re-labeled RF7</t>
        </r>
      </text>
    </comment>
  </commentList>
</comments>
</file>

<file path=xl/sharedStrings.xml><?xml version="1.0" encoding="utf-8"?>
<sst xmlns="http://schemas.openxmlformats.org/spreadsheetml/2006/main" count="2582" uniqueCount="354">
  <si>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</si>
  <si>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</si>
  <si>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</si>
  <si>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</si>
  <si>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</si>
  <si>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</si>
  <si>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</si>
  <si>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</si>
  <si>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</si>
  <si>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</si>
  <si>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</si>
  <si>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</si>
  <si>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</si>
  <si>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</si>
  <si>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</si>
  <si>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</si>
  <si>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</si>
  <si>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</si>
  <si>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</si>
  <si>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</si>
  <si>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</si>
  <si>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</si>
  <si>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</si>
  <si>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</si>
  <si>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</si>
  <si>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</si>
  <si>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</si>
  <si>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</si>
  <si>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</si>
  <si>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</si>
  <si>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</si>
  <si>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</si>
  <si>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</si>
  <si>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</si>
  <si>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</si>
  <si>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</si>
  <si>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</si>
  <si>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</si>
  <si>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</si>
  <si>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</si>
  <si>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</si>
  <si>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</si>
  <si>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</si>
  <si>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</si>
  <si>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</si>
  <si>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</si>
  <si>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proud lake</t>
  </si>
  <si>
    <t>Fraxinus</t>
  </si>
  <si>
    <t>Rhamnus frangula</t>
  </si>
  <si>
    <t>Rhamnus cathartica</t>
  </si>
  <si>
    <t>Carpinus caroliniana</t>
  </si>
  <si>
    <t>N: 1/2 = root sprouts</t>
  </si>
  <si>
    <t>Viburnum lentago</t>
  </si>
  <si>
    <t>Populus grandidentata</t>
  </si>
  <si>
    <t>Elaeagnus umbellata</t>
  </si>
  <si>
    <t>Cornus racemosa</t>
  </si>
  <si>
    <t>Acer rubrum</t>
  </si>
  <si>
    <t>Zanthoxylum americanum</t>
  </si>
  <si>
    <t>Quercus alba</t>
  </si>
  <si>
    <t>Ribes cynosbati</t>
  </si>
  <si>
    <t>Prunus virginiana</t>
  </si>
  <si>
    <t>Viburnum dentatum</t>
  </si>
  <si>
    <t>Smilax tamnoides</t>
  </si>
  <si>
    <t>Berberis thunbergii</t>
  </si>
  <si>
    <t>Rubus</t>
  </si>
  <si>
    <t>Populus tremuloides</t>
  </si>
  <si>
    <t>Cornus alternifolia</t>
  </si>
  <si>
    <t>alt or florida?</t>
  </si>
  <si>
    <t>Tilia americana</t>
  </si>
  <si>
    <t>Corylus americana</t>
  </si>
  <si>
    <t>Rosa multiflora</t>
  </si>
  <si>
    <t>Crataegus punctata</t>
  </si>
  <si>
    <t>Celastrus orbiculatus</t>
  </si>
  <si>
    <t>Amelanchier arborea</t>
  </si>
  <si>
    <t>Carya spp</t>
  </si>
  <si>
    <t>S mid: 3 = rt spts</t>
  </si>
  <si>
    <t>Fagus grandifolia</t>
  </si>
  <si>
    <t>Ilex verticillata</t>
  </si>
  <si>
    <t>Malus?</t>
  </si>
  <si>
    <t>pics: 6776-79</t>
  </si>
  <si>
    <t>Ulmus americana</t>
  </si>
  <si>
    <t>Prunus serotina</t>
  </si>
  <si>
    <t>Toxicodendron radicans</t>
  </si>
  <si>
    <t>Quercus rubra</t>
  </si>
  <si>
    <t>Lonicera bush</t>
  </si>
  <si>
    <t>E mid: 2 rt spts</t>
  </si>
  <si>
    <t>Lindera benzoin</t>
  </si>
  <si>
    <t>N mid: 2=rt spts</t>
  </si>
  <si>
    <t>W short: 2=rt spts</t>
  </si>
  <si>
    <t>Ostrya virginiana</t>
  </si>
  <si>
    <t>W: main stm dead, with trunk spots</t>
  </si>
  <si>
    <t>Toxicodendron vernix</t>
  </si>
  <si>
    <t>Betula alleghaniensis</t>
  </si>
  <si>
    <t>Viburnum opulus</t>
  </si>
  <si>
    <t>pics: 7400-04</t>
  </si>
  <si>
    <t>Acer saccharum</t>
  </si>
  <si>
    <t>W mid: 4 = rt spts</t>
  </si>
  <si>
    <t>PHOTOS</t>
  </si>
  <si>
    <t>code</t>
  </si>
  <si>
    <t>hemi</t>
  </si>
  <si>
    <t>plot pics</t>
  </si>
  <si>
    <t>quad</t>
  </si>
  <si>
    <t>tag</t>
  </si>
  <si>
    <t>740-1</t>
  </si>
  <si>
    <t>center</t>
  </si>
  <si>
    <t>north</t>
  </si>
  <si>
    <t>east</t>
  </si>
  <si>
    <t>south</t>
  </si>
  <si>
    <t>7089-90</t>
  </si>
  <si>
    <t>west</t>
  </si>
  <si>
    <t>7085-6</t>
  </si>
  <si>
    <t>7813-21: D-holes on llittle ash</t>
  </si>
  <si>
    <t>7822-3</t>
  </si>
  <si>
    <t>7803-4</t>
  </si>
  <si>
    <t>478-9</t>
  </si>
  <si>
    <t>6776-79: Malus? Pics in N quad</t>
  </si>
  <si>
    <t>6783-44</t>
  </si>
  <si>
    <t>forgot to take quad pics at first</t>
  </si>
  <si>
    <t>6786-7</t>
  </si>
  <si>
    <t>6788-9</t>
  </si>
  <si>
    <t>1390-1</t>
  </si>
  <si>
    <t>8045-6</t>
  </si>
  <si>
    <t>8023-4</t>
  </si>
  <si>
    <t>8027-8</t>
  </si>
  <si>
    <t>8030-1</t>
  </si>
  <si>
    <t>8036-7</t>
  </si>
  <si>
    <t>7496-503,5: people pics</t>
  </si>
  <si>
    <t>7462-8: carpinus seeds</t>
  </si>
  <si>
    <t>7469-76: nightshade?</t>
  </si>
  <si>
    <t>7482-3</t>
  </si>
  <si>
    <t>7426-8: Rina &amp; Delmy</t>
  </si>
  <si>
    <t>7430-1</t>
  </si>
  <si>
    <t>7434-41: hazlenut fruit</t>
  </si>
  <si>
    <t>7447-60: misc plants to ID</t>
  </si>
  <si>
    <t>7397-8</t>
  </si>
  <si>
    <t>7400-04: V. opulus in E quad</t>
  </si>
  <si>
    <t>7423-4</t>
  </si>
  <si>
    <t>7406-7</t>
  </si>
  <si>
    <t>7408-20: weird insect larvae on bittersweet NS?</t>
  </si>
  <si>
    <t>1349-50</t>
  </si>
  <si>
    <t>7976-7</t>
  </si>
  <si>
    <t>hemi north finder working sporadically</t>
  </si>
  <si>
    <t>7988-9</t>
  </si>
  <si>
    <t>7990-1</t>
  </si>
  <si>
    <t>7982-7: tree frog</t>
  </si>
  <si>
    <t>7994-5</t>
  </si>
  <si>
    <t>7997-8</t>
  </si>
  <si>
    <t>8000-01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</si>
  <si>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</si>
  <si>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</si>
  <si>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</si>
  <si>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</si>
  <si>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</si>
  <si>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</si>
  <si>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</si>
  <si>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</si>
  <si>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</si>
  <si>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</si>
  <si>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</si>
  <si>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</si>
  <si>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Euonymous alatus</t>
  </si>
  <si>
    <t>Ligustrum vulgare</t>
  </si>
  <si>
    <t>tall-skinny trees (&gt;bh, &lt;2.5cm dbh) and shrubs (&gt;1m tall)</t>
  </si>
  <si>
    <t>8m2 area:</t>
  </si>
  <si>
    <t>trees = # stems; shrubs = m2</t>
  </si>
  <si>
    <t>NE</t>
  </si>
  <si>
    <t>SE</t>
  </si>
  <si>
    <t>SW</t>
  </si>
  <si>
    <t>NW</t>
  </si>
  <si>
    <t>total</t>
  </si>
  <si>
    <t>rt spts: SE=1, SW=1</t>
  </si>
  <si>
    <t>rt spts: NE=3, SE=2, SW=8, NW=10</t>
  </si>
  <si>
    <t>or Cornus florida?? (lvs were alt but big/round)</t>
  </si>
  <si>
    <t>rt spts: SE=1, SW=2, NW=4</t>
  </si>
  <si>
    <t>alt or florida??</t>
  </si>
  <si>
    <t>Vitis spp</t>
  </si>
  <si>
    <t>Viburnum acerifolium</t>
  </si>
  <si>
    <t>rt spt: SW=1</t>
  </si>
  <si>
    <t>rt spt: NE=1</t>
  </si>
  <si>
    <t>rt spts: NE=2, SW=2</t>
  </si>
  <si>
    <t>rt spts: NW=2</t>
  </si>
  <si>
    <t>Vaccinium spp</t>
  </si>
  <si>
    <t>Cornus florida</t>
  </si>
  <si>
    <t>rt spts: SE=1</t>
  </si>
  <si>
    <t>Prunus americana</t>
  </si>
  <si>
    <t>spp? Lvs on spurs, rust spots</t>
  </si>
  <si>
    <t>rt spts: SW=1</t>
  </si>
  <si>
    <t>rt spts: NW=1</t>
  </si>
  <si>
    <t>basal spts: SW=1</t>
  </si>
  <si>
    <t>rt spts: SW=1, NW=2</t>
  </si>
  <si>
    <t>rt spts: NE=1, SE=5</t>
  </si>
  <si>
    <t>rt spts: SW=3</t>
  </si>
  <si>
    <t>Rosa eglanteria</t>
  </si>
  <si>
    <t>rt spts: NE=3, SW=1, NW=1</t>
  </si>
  <si>
    <t>Cornus spp</t>
  </si>
  <si>
    <t>ash saplings: &gt;1m tall, &lt;2.5cm dbh</t>
  </si>
  <si>
    <t>label</t>
  </si>
  <si>
    <t>diam @ 12"</t>
  </si>
  <si>
    <t>diam @ bh</t>
  </si>
  <si>
    <t>distance</t>
  </si>
  <si>
    <t>degree</t>
  </si>
  <si>
    <t>none</t>
  </si>
  <si>
    <t>top dead, bottom ok</t>
  </si>
  <si>
    <t>good</t>
  </si>
  <si>
    <t>new in 2011</t>
  </si>
  <si>
    <t>bottom branch dieback</t>
  </si>
  <si>
    <t>good, bushy</t>
  </si>
  <si>
    <t>leaf curl</t>
  </si>
  <si>
    <t>ok</t>
  </si>
  <si>
    <t>tag off, found tree</t>
  </si>
  <si>
    <t>didn't have data sheet - just found by looking</t>
  </si>
  <si>
    <t>couldn't find (didn't have data sheet)</t>
  </si>
  <si>
    <t>top branches dying</t>
  </si>
  <si>
    <t>rt spts, top brnchs dying</t>
  </si>
  <si>
    <t>leader almost 90 deg angle</t>
  </si>
  <si>
    <t>new in 2011; healthy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</si>
  <si>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</si>
  <si>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</si>
  <si>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</si>
  <si>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</si>
  <si>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</si>
  <si>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</si>
  <si>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</si>
  <si>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</si>
  <si>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</si>
  <si>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</si>
  <si>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</si>
  <si>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</si>
  <si>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</si>
  <si>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</si>
  <si>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BT1</t>
  </si>
  <si>
    <t>QURU-1</t>
  </si>
  <si>
    <t>BT2</t>
  </si>
  <si>
    <t>COFL2-1</t>
  </si>
  <si>
    <t>BT: 1 stem dead, other stem = same tag; Cf: dead</t>
  </si>
  <si>
    <t>BT3</t>
  </si>
  <si>
    <t>VIDE-1</t>
  </si>
  <si>
    <t>BT: growing flat</t>
  </si>
  <si>
    <t>BT4</t>
  </si>
  <si>
    <t>QURU-4</t>
  </si>
  <si>
    <t>CO2</t>
  </si>
  <si>
    <t>PRVI-1</t>
  </si>
  <si>
    <t>CO3</t>
  </si>
  <si>
    <t>QURU-3</t>
  </si>
  <si>
    <t>CO4</t>
  </si>
  <si>
    <t>CORNU-3</t>
  </si>
  <si>
    <t>~2m behind small oak; CO looks weird</t>
  </si>
  <si>
    <t>EA1</t>
  </si>
  <si>
    <t>CACA18-2</t>
  </si>
  <si>
    <t>behind Acer/Carya; EA: multi-stem; Cc: 1 stem</t>
  </si>
  <si>
    <t>EU1</t>
  </si>
  <si>
    <t>CORNU-1</t>
  </si>
  <si>
    <t>EU: main stem dead?</t>
  </si>
  <si>
    <t>EU2</t>
  </si>
  <si>
    <t>CACA18-1</t>
  </si>
  <si>
    <t>1202-3</t>
  </si>
  <si>
    <t>just behind N quad; EU just 1 side branch</t>
  </si>
  <si>
    <t>EU3</t>
  </si>
  <si>
    <t>EU4</t>
  </si>
  <si>
    <t>QURU-2</t>
  </si>
  <si>
    <t>Qr: tiny, EU: side branch</t>
  </si>
  <si>
    <t>CORNU-4</t>
  </si>
  <si>
    <t>EU5</t>
  </si>
  <si>
    <t>ZAAM-1</t>
  </si>
  <si>
    <t>EU6</t>
  </si>
  <si>
    <t>clump next to "trail"</t>
  </si>
  <si>
    <t>EU7</t>
  </si>
  <si>
    <t>CACA18-3</t>
  </si>
  <si>
    <t>behind cherry by tall cornus</t>
  </si>
  <si>
    <t>LB1</t>
  </si>
  <si>
    <t>LB: scraggly</t>
  </si>
  <si>
    <t>LB2</t>
  </si>
  <si>
    <t>LB3</t>
  </si>
  <si>
    <t>LB: dbl-stem</t>
  </si>
  <si>
    <t>LV1</t>
  </si>
  <si>
    <t>LV: dbl-stem</t>
  </si>
  <si>
    <t>MF1</t>
  </si>
  <si>
    <t>MF2</t>
  </si>
  <si>
    <t>MF: long side branch</t>
  </si>
  <si>
    <t>MF3</t>
  </si>
  <si>
    <t>Pv: multi-stem</t>
  </si>
  <si>
    <t>MF4</t>
  </si>
  <si>
    <t>~2m NE dbl-trunk A saccharum; RF nearby, not tagged</t>
  </si>
  <si>
    <t>MF5</t>
  </si>
  <si>
    <t>MF: 1 clump</t>
  </si>
  <si>
    <t>RC1</t>
  </si>
  <si>
    <t>RC: growing flat, stem broken?</t>
  </si>
  <si>
    <t>RC2</t>
  </si>
  <si>
    <t>RC3</t>
  </si>
  <si>
    <t>CACA18-4</t>
  </si>
  <si>
    <t>PRSE2-2</t>
  </si>
  <si>
    <t>Pr: no tag, 90% sure same</t>
  </si>
  <si>
    <t>PRSE2-3</t>
  </si>
  <si>
    <t>Pr: long bare stem</t>
  </si>
  <si>
    <t>ACRU-6</t>
  </si>
  <si>
    <t>CO1</t>
  </si>
  <si>
    <t>ACRU-2</t>
  </si>
  <si>
    <t>ACRU-7</t>
  </si>
  <si>
    <t>PRSE2-6</t>
  </si>
  <si>
    <t>QUAL-1</t>
  </si>
  <si>
    <t>ACRU-1</t>
  </si>
  <si>
    <t>EU: sickly, spots</t>
  </si>
  <si>
    <t>TIAM-1</t>
  </si>
  <si>
    <t>TIAM: ~ under EU</t>
  </si>
  <si>
    <t>ACRU-3</t>
  </si>
  <si>
    <t>Under leaning dead tree</t>
  </si>
  <si>
    <t>ACRU-4</t>
  </si>
  <si>
    <t>CARYA-1</t>
  </si>
  <si>
    <t>behind tall smooth maplle, by broken bare tree</t>
  </si>
  <si>
    <t>ACRU dead; just in front of big cedar</t>
  </si>
  <si>
    <t>PRSE2-1</t>
  </si>
  <si>
    <t>RF1</t>
  </si>
  <si>
    <t>by skinny elm, just E of N quad</t>
  </si>
  <si>
    <t>RF2</t>
  </si>
  <si>
    <t>RF3</t>
  </si>
  <si>
    <t>RF4</t>
  </si>
  <si>
    <t>FRAXI-1</t>
  </si>
  <si>
    <t>just before small cornus</t>
  </si>
  <si>
    <t>RF5</t>
  </si>
  <si>
    <t>RF: dead</t>
  </si>
  <si>
    <t>RF6</t>
  </si>
  <si>
    <t>RF under EU</t>
  </si>
  <si>
    <t>LIBE3-2</t>
  </si>
  <si>
    <t>BT: clump, reproductive</t>
  </si>
  <si>
    <t>FRAXI-5</t>
  </si>
  <si>
    <t>CO: multi-stem, sprawling</t>
  </si>
  <si>
    <t>EU: dbl-stem; near bent Ostrya</t>
  </si>
  <si>
    <t>FRAXI-2</t>
  </si>
  <si>
    <t>LIBE3-1</t>
  </si>
  <si>
    <t>behind small Ostrya</t>
  </si>
  <si>
    <t>FRAXI-3</t>
  </si>
  <si>
    <t>EU &amp; Frax main stems dead (?)</t>
  </si>
  <si>
    <t>PRSE2-4</t>
  </si>
  <si>
    <t>FRAXI-4</t>
  </si>
  <si>
    <t>just bf tall dbl maple; Frax: diseased? Lvs wilted, brown</t>
  </si>
  <si>
    <t>RC: dbl-stem</t>
  </si>
  <si>
    <t>by tall Acer</t>
  </si>
  <si>
    <t>by log, just b/f E quad</t>
  </si>
  <si>
    <t>FRAXI-7</t>
  </si>
  <si>
    <t>by tall wht pine</t>
  </si>
  <si>
    <t>Prunus dead</t>
  </si>
  <si>
    <t>BEAL2-2</t>
  </si>
  <si>
    <t>CO3 actually Ilex (now ILVE-1)!! Betula dead</t>
  </si>
  <si>
    <t>ILVE-1</t>
  </si>
  <si>
    <t>ILVE was CO3 (mis-ID)</t>
  </si>
  <si>
    <t>EU: dead?</t>
  </si>
  <si>
    <t>oak dead</t>
  </si>
  <si>
    <t>LIBE3-5</t>
  </si>
  <si>
    <t>LIBE3-4</t>
  </si>
  <si>
    <t>RC4</t>
  </si>
  <si>
    <t>RC4: dead</t>
  </si>
  <si>
    <t>RF: 1 stem</t>
  </si>
  <si>
    <t>RF7</t>
  </si>
  <si>
    <t>both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</si>
</sst>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ddmmmyy"/>
    <numFmt numFmtId="165" formatCode="0.0000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/>
    </xf>
    <xf numFmtId="44" fontId="1" fillId="0" borderId="0" xfId="1" applyFont="1"/>
    <xf numFmtId="0" fontId="2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6"/>
  <sheetViews>
    <sheetView tabSelected="1" workbookViewId="0">
      <pane xSplit="7" ySplit="5" topLeftCell="S63" activePane="bottomRight" state="frozen"/>
      <selection pane="topRight" activeCell="H1" sqref="H1"/>
      <selection pane="bottomLeft" activeCell="A6" sqref="A6"/>
      <selection pane="bottomRight" activeCell="U70" sqref="U70"/>
    </sheetView>
  </sheetViews>
  <sheetFormatPr defaultColWidth="9.140625" defaultRowHeight="12.75" x14ac:dyDescent="0.2"/>
  <cols>
    <col min="2" max="2" width="9.85546875" customWidth="1"/>
    <col min="3" max="3" width="9.85546875" style="12" customWidth="1"/>
    <col min="4" max="4" width="7.42578125" style="3" customWidth="1"/>
    <col min="5" max="5" width="25" customWidth="1"/>
    <col min="6" max="6" width="21.5703125" hidden="1" customWidth="1"/>
    <col min="7" max="7" width="12.5703125" hidden="1" customWidth="1"/>
    <col min="8" max="31" width="9.140625" style="1"/>
    <col min="32" max="36" width="9.140625" style="9" customWidth="1"/>
    <col min="38" max="38" width="29.28515625" style="27" bestFit="1" customWidth="1"/>
  </cols>
  <sheetData>
    <row r="1" spans="1:38" x14ac:dyDescent="0.2">
      <c r="A1" s="16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28"/>
    </row>
    <row r="2" spans="1:38" x14ac:dyDescent="0.2">
      <c r="A2" s="16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28"/>
    </row>
    <row r="3" spans="1:38" x14ac:dyDescent="0.2">
      <c r="C3" s="16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 x14ac:dyDescent="0.2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 x14ac:dyDescent="0.2">
      <c r="A5" s="20" t="s">
        <v>8</v>
      </c>
      <c r="B5" s="20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2" t="s">
        <v>39</v>
      </c>
      <c r="AG5" s="22" t="s">
        <v>40</v>
      </c>
      <c r="AH5" s="22" t="s">
        <v>41</v>
      </c>
      <c r="AI5" s="22" t="s">
        <v>42</v>
      </c>
      <c r="AJ5" s="22" t="s">
        <v>43</v>
      </c>
      <c r="AK5" s="22" t="s">
        <v>44</v>
      </c>
      <c r="AL5" s="22" t="s">
        <v>45</v>
      </c>
    </row>
    <row r="6" spans="1:38" x14ac:dyDescent="0.2">
      <c r="A6">
        <v>2011</v>
      </c>
      <c r="B6" s="20" t="s">
        <v>46</v>
      </c>
      <c r="C6" s="12">
        <v>40723</v>
      </c>
      <c r="D6" s="3">
        <v>25</v>
      </c>
      <c r="E6" s="20" t="s">
        <v>47</v>
      </c>
      <c r="H6" s="26">
        <v>0</v>
      </c>
      <c r="I6" s="1">
        <v>2</v>
      </c>
      <c r="J6" s="26">
        <v>0</v>
      </c>
      <c r="K6" s="26">
        <v>0</v>
      </c>
      <c r="L6" s="1">
        <f>SUM(H6:K6)</f>
        <v>2</v>
      </c>
      <c r="M6" s="1">
        <v>0.5</v>
      </c>
      <c r="N6" s="26">
        <v>0</v>
      </c>
      <c r="O6" s="1">
        <v>9</v>
      </c>
      <c r="P6" s="26">
        <v>0</v>
      </c>
      <c r="Q6" s="1">
        <v>0</v>
      </c>
      <c r="R6" s="1">
        <f>SUM(N6:Q6)</f>
        <v>9</v>
      </c>
      <c r="S6" s="1">
        <v>1.5</v>
      </c>
      <c r="T6" s="26">
        <v>0</v>
      </c>
      <c r="U6" s="1">
        <v>10</v>
      </c>
      <c r="V6" s="26">
        <v>4</v>
      </c>
      <c r="W6" s="26">
        <v>1</v>
      </c>
      <c r="X6" s="1">
        <f>SUM(T6:W6)</f>
        <v>15</v>
      </c>
      <c r="Y6" s="1">
        <v>8</v>
      </c>
      <c r="Z6" s="26">
        <v>0</v>
      </c>
      <c r="AA6" s="1">
        <v>3</v>
      </c>
      <c r="AB6" s="26">
        <v>4</v>
      </c>
      <c r="AC6" s="26">
        <v>1</v>
      </c>
      <c r="AD6" s="1">
        <f>SUM(Z6:AC6)</f>
        <v>8</v>
      </c>
      <c r="AE6" s="1">
        <v>15</v>
      </c>
      <c r="AF6" s="22">
        <f>SUM(H6,N6,T6,Z6)</f>
        <v>0</v>
      </c>
      <c r="AG6" s="22">
        <f t="shared" ref="AG6:AI6" si="0">SUM(I6,O6,U6,AA6)</f>
        <v>24</v>
      </c>
      <c r="AH6" s="22">
        <f t="shared" si="0"/>
        <v>8</v>
      </c>
      <c r="AI6" s="22">
        <f t="shared" si="0"/>
        <v>2</v>
      </c>
      <c r="AJ6" s="22">
        <f>SUM(AF6:AI6)</f>
        <v>34</v>
      </c>
      <c r="AK6" s="22">
        <f>M6+S6+Y6+AE6</f>
        <v>25</v>
      </c>
    </row>
    <row r="7" spans="1:38" x14ac:dyDescent="0.2">
      <c r="A7">
        <v>2011</v>
      </c>
      <c r="B7" s="20" t="s">
        <v>46</v>
      </c>
      <c r="C7" s="12">
        <v>40723</v>
      </c>
      <c r="D7" s="3">
        <v>25</v>
      </c>
      <c r="E7" s="20" t="s">
        <v>48</v>
      </c>
      <c r="H7" s="26">
        <v>0</v>
      </c>
      <c r="I7" s="26">
        <v>4</v>
      </c>
      <c r="J7" s="26">
        <v>0</v>
      </c>
      <c r="K7" s="26">
        <v>0</v>
      </c>
      <c r="L7" s="1">
        <f t="shared" ref="L7:L128" si="1">SUM(H7:K7)</f>
        <v>4</v>
      </c>
      <c r="M7" s="26">
        <v>0.5</v>
      </c>
      <c r="N7" s="26">
        <v>0</v>
      </c>
      <c r="O7" s="1">
        <v>0</v>
      </c>
      <c r="P7" s="26">
        <v>0</v>
      </c>
      <c r="Q7" s="1">
        <v>0</v>
      </c>
      <c r="R7" s="1">
        <f t="shared" ref="R7:R128" si="2">SUM(N7:Q7)</f>
        <v>0</v>
      </c>
      <c r="S7" s="26">
        <v>0</v>
      </c>
      <c r="T7" s="1">
        <v>0</v>
      </c>
      <c r="U7" s="26">
        <v>0</v>
      </c>
      <c r="V7" s="26">
        <v>0</v>
      </c>
      <c r="W7" s="26">
        <v>0</v>
      </c>
      <c r="X7" s="1">
        <f t="shared" ref="X7:X128" si="3">SUM(T7:W7)</f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1">
        <f t="shared" ref="AD7:AD128" si="4">SUM(Z7:AC7)</f>
        <v>0</v>
      </c>
      <c r="AE7" s="26">
        <v>0</v>
      </c>
      <c r="AF7" s="22">
        <f t="shared" ref="AF7:AF20" si="5">SUM(H7,N7,T7,Z7)</f>
        <v>0</v>
      </c>
      <c r="AG7" s="22">
        <f t="shared" ref="AG7:AG20" si="6">SUM(I7,O7,U7,AA7)</f>
        <v>4</v>
      </c>
      <c r="AH7" s="22">
        <f t="shared" ref="AH7:AH107" si="7">SUM(J7,P7,V7,AB7)</f>
        <v>0</v>
      </c>
      <c r="AI7" s="22">
        <f t="shared" ref="AI7:AI107" si="8">SUM(K7,Q7,W7,AC7)</f>
        <v>0</v>
      </c>
      <c r="AJ7" s="22">
        <f t="shared" ref="AJ7:AJ117" si="9">SUM(AF7:AI7)</f>
        <v>4</v>
      </c>
      <c r="AK7" s="22">
        <f t="shared" ref="AK7:AK127" si="10">M7+S7+Y7+AE7</f>
        <v>0.5</v>
      </c>
    </row>
    <row r="8" spans="1:38" x14ac:dyDescent="0.2">
      <c r="A8">
        <v>2011</v>
      </c>
      <c r="B8" s="20" t="s">
        <v>46</v>
      </c>
      <c r="C8" s="12">
        <v>40723</v>
      </c>
      <c r="D8" s="3">
        <v>25</v>
      </c>
      <c r="E8" s="20" t="s">
        <v>49</v>
      </c>
      <c r="H8" s="26">
        <v>0</v>
      </c>
      <c r="I8" s="1">
        <v>2</v>
      </c>
      <c r="J8" s="26">
        <v>0</v>
      </c>
      <c r="K8" s="26">
        <v>0</v>
      </c>
      <c r="L8" s="1">
        <f t="shared" si="1"/>
        <v>2</v>
      </c>
      <c r="M8" s="1">
        <v>0.5</v>
      </c>
      <c r="N8" s="26">
        <v>0</v>
      </c>
      <c r="O8" s="1">
        <v>0</v>
      </c>
      <c r="P8" s="26">
        <v>1</v>
      </c>
      <c r="Q8" s="1">
        <v>0</v>
      </c>
      <c r="R8" s="1">
        <f t="shared" si="2"/>
        <v>1</v>
      </c>
      <c r="S8" s="26">
        <v>3.5</v>
      </c>
      <c r="T8" s="26">
        <v>0</v>
      </c>
      <c r="U8" s="1">
        <v>0</v>
      </c>
      <c r="V8" s="26">
        <v>0</v>
      </c>
      <c r="W8" s="26">
        <v>0</v>
      </c>
      <c r="X8" s="1">
        <f t="shared" si="3"/>
        <v>0</v>
      </c>
      <c r="Y8" s="1">
        <v>0</v>
      </c>
      <c r="Z8" s="26">
        <v>0</v>
      </c>
      <c r="AA8" s="1">
        <v>0</v>
      </c>
      <c r="AB8" s="26">
        <v>0</v>
      </c>
      <c r="AC8" s="26">
        <v>0</v>
      </c>
      <c r="AD8" s="1">
        <f t="shared" si="4"/>
        <v>0</v>
      </c>
      <c r="AE8" s="1">
        <v>0</v>
      </c>
      <c r="AF8" s="22">
        <f t="shared" si="5"/>
        <v>0</v>
      </c>
      <c r="AG8" s="22">
        <f t="shared" si="6"/>
        <v>2</v>
      </c>
      <c r="AH8" s="22">
        <f t="shared" si="7"/>
        <v>1</v>
      </c>
      <c r="AI8" s="22">
        <f t="shared" si="8"/>
        <v>0</v>
      </c>
      <c r="AJ8" s="22">
        <f t="shared" si="9"/>
        <v>3</v>
      </c>
      <c r="AK8" s="22">
        <f t="shared" si="10"/>
        <v>4</v>
      </c>
    </row>
    <row r="9" spans="1:38" x14ac:dyDescent="0.2">
      <c r="A9">
        <v>2011</v>
      </c>
      <c r="B9" s="20" t="s">
        <v>46</v>
      </c>
      <c r="C9" s="12">
        <v>40723</v>
      </c>
      <c r="D9" s="3">
        <v>25</v>
      </c>
      <c r="E9" s="20" t="s">
        <v>50</v>
      </c>
      <c r="H9" s="26" t="s">
        <v>1</v>
      </c>
      <c r="I9" s="1" t="s">
        <v>1</v>
      </c>
      <c r="J9" s="26">
        <v>3</v>
      </c>
      <c r="K9" s="26">
        <v>2</v>
      </c>
      <c r="L9" s="1">
        <f t="shared" si="1"/>
        <v>5</v>
      </c>
      <c r="M9" s="1">
        <v>15</v>
      </c>
      <c r="N9" s="26" t="s">
        <v>1</v>
      </c>
      <c r="O9" s="1" t="s">
        <v>1</v>
      </c>
      <c r="P9" s="26">
        <v>9</v>
      </c>
      <c r="Q9" s="1">
        <v>4</v>
      </c>
      <c r="R9" s="1">
        <f t="shared" si="2"/>
        <v>13</v>
      </c>
      <c r="S9" s="26">
        <v>55</v>
      </c>
      <c r="T9" s="26" t="s">
        <v>1</v>
      </c>
      <c r="U9" s="1" t="s">
        <v>1</v>
      </c>
      <c r="V9" s="1">
        <v>8</v>
      </c>
      <c r="W9" s="26">
        <v>0</v>
      </c>
      <c r="X9" s="1">
        <f t="shared" si="3"/>
        <v>8</v>
      </c>
      <c r="Y9" s="1">
        <v>15</v>
      </c>
      <c r="Z9" s="26" t="s">
        <v>1</v>
      </c>
      <c r="AA9" s="1" t="s">
        <v>1</v>
      </c>
      <c r="AB9" s="26">
        <v>3</v>
      </c>
      <c r="AC9" s="26">
        <v>1</v>
      </c>
      <c r="AD9" s="1">
        <f t="shared" si="4"/>
        <v>4</v>
      </c>
      <c r="AE9" s="1">
        <v>8</v>
      </c>
      <c r="AF9" s="22">
        <f t="shared" si="5"/>
        <v>0</v>
      </c>
      <c r="AG9" s="22">
        <f t="shared" si="6"/>
        <v>0</v>
      </c>
      <c r="AH9" s="22">
        <f t="shared" si="7"/>
        <v>23</v>
      </c>
      <c r="AI9" s="22">
        <f t="shared" si="8"/>
        <v>7</v>
      </c>
      <c r="AJ9" s="22">
        <f t="shared" si="9"/>
        <v>30</v>
      </c>
      <c r="AK9" s="22">
        <f t="shared" si="10"/>
        <v>93</v>
      </c>
      <c r="AL9" s="27" t="s">
        <v>51</v>
      </c>
    </row>
    <row r="10" spans="1:38" x14ac:dyDescent="0.2">
      <c r="A10">
        <v>2011</v>
      </c>
      <c r="B10" s="20" t="s">
        <v>46</v>
      </c>
      <c r="C10" s="12">
        <v>40723</v>
      </c>
      <c r="D10" s="3">
        <v>25</v>
      </c>
      <c r="E10" s="20" t="s">
        <v>52</v>
      </c>
      <c r="H10" s="26" t="s">
        <v>1</v>
      </c>
      <c r="I10" s="26" t="s">
        <v>1</v>
      </c>
      <c r="J10" s="26">
        <v>0</v>
      </c>
      <c r="K10" s="26">
        <v>1</v>
      </c>
      <c r="L10" s="1">
        <f t="shared" si="1"/>
        <v>1</v>
      </c>
      <c r="M10" s="26">
        <v>1.5</v>
      </c>
      <c r="N10" s="26" t="s">
        <v>1</v>
      </c>
      <c r="O10" s="26" t="s">
        <v>1</v>
      </c>
      <c r="P10" s="26">
        <v>0</v>
      </c>
      <c r="Q10" s="1">
        <v>0</v>
      </c>
      <c r="R10" s="1">
        <f t="shared" si="2"/>
        <v>0</v>
      </c>
      <c r="S10" s="26">
        <v>0</v>
      </c>
      <c r="T10" s="26" t="s">
        <v>1</v>
      </c>
      <c r="U10" s="1" t="s">
        <v>1</v>
      </c>
      <c r="V10" s="26">
        <v>0</v>
      </c>
      <c r="W10" s="26">
        <v>0</v>
      </c>
      <c r="X10" s="1">
        <f t="shared" si="3"/>
        <v>0</v>
      </c>
      <c r="Y10" s="1">
        <v>0</v>
      </c>
      <c r="Z10" s="26" t="s">
        <v>1</v>
      </c>
      <c r="AA10" s="26" t="s">
        <v>1</v>
      </c>
      <c r="AB10" s="26">
        <v>1</v>
      </c>
      <c r="AC10" s="26">
        <v>1</v>
      </c>
      <c r="AD10" s="1">
        <f t="shared" si="4"/>
        <v>2</v>
      </c>
      <c r="AE10" s="26">
        <v>3.5</v>
      </c>
      <c r="AF10" s="22">
        <f t="shared" si="5"/>
        <v>0</v>
      </c>
      <c r="AG10" s="22">
        <f t="shared" si="6"/>
        <v>0</v>
      </c>
      <c r="AH10" s="22">
        <f t="shared" si="7"/>
        <v>1</v>
      </c>
      <c r="AI10" s="22">
        <f t="shared" si="8"/>
        <v>2</v>
      </c>
      <c r="AJ10" s="22">
        <f t="shared" si="9"/>
        <v>3</v>
      </c>
      <c r="AK10" s="22">
        <f t="shared" si="10"/>
        <v>5</v>
      </c>
    </row>
    <row r="11" spans="1:38" x14ac:dyDescent="0.2">
      <c r="A11">
        <v>2011</v>
      </c>
      <c r="B11" s="20" t="s">
        <v>46</v>
      </c>
      <c r="C11" s="12">
        <v>40723</v>
      </c>
      <c r="D11" s="3">
        <v>25</v>
      </c>
      <c r="E11" s="20" t="s">
        <v>53</v>
      </c>
      <c r="H11" s="26" t="s">
        <v>1</v>
      </c>
      <c r="I11" s="26" t="s">
        <v>1</v>
      </c>
      <c r="J11" s="26">
        <v>1</v>
      </c>
      <c r="K11" s="26">
        <v>0</v>
      </c>
      <c r="L11" s="1">
        <f t="shared" si="1"/>
        <v>1</v>
      </c>
      <c r="M11" s="26">
        <v>1.5</v>
      </c>
      <c r="N11" s="26" t="s">
        <v>1</v>
      </c>
      <c r="O11" s="26" t="s">
        <v>1</v>
      </c>
      <c r="P11" s="26">
        <v>0</v>
      </c>
      <c r="Q11" s="1">
        <v>0</v>
      </c>
      <c r="R11" s="1">
        <f t="shared" si="2"/>
        <v>0</v>
      </c>
      <c r="S11" s="26">
        <v>0</v>
      </c>
      <c r="T11" s="26" t="s">
        <v>1</v>
      </c>
      <c r="U11" s="1" t="s">
        <v>1</v>
      </c>
      <c r="V11" s="26">
        <v>0</v>
      </c>
      <c r="W11" s="26">
        <v>0</v>
      </c>
      <c r="X11" s="1">
        <f t="shared" si="3"/>
        <v>0</v>
      </c>
      <c r="Y11" s="1">
        <v>0</v>
      </c>
      <c r="Z11" s="26" t="s">
        <v>1</v>
      </c>
      <c r="AA11" s="26" t="s">
        <v>1</v>
      </c>
      <c r="AB11" s="26">
        <v>0</v>
      </c>
      <c r="AC11" s="26">
        <v>0</v>
      </c>
      <c r="AD11" s="1">
        <f t="shared" si="4"/>
        <v>0</v>
      </c>
      <c r="AE11" s="26">
        <v>0</v>
      </c>
      <c r="AF11" s="22">
        <f t="shared" si="5"/>
        <v>0</v>
      </c>
      <c r="AG11" s="22">
        <f t="shared" si="6"/>
        <v>0</v>
      </c>
      <c r="AH11" s="22">
        <f t="shared" si="7"/>
        <v>1</v>
      </c>
      <c r="AI11" s="22">
        <f t="shared" si="8"/>
        <v>0</v>
      </c>
      <c r="AJ11" s="22">
        <f t="shared" si="9"/>
        <v>1</v>
      </c>
      <c r="AK11" s="22">
        <f t="shared" si="10"/>
        <v>1.5</v>
      </c>
    </row>
    <row r="12" spans="1:38" x14ac:dyDescent="0.2">
      <c r="A12">
        <v>2011</v>
      </c>
      <c r="B12" s="20" t="s">
        <v>46</v>
      </c>
      <c r="C12" s="12">
        <v>40723</v>
      </c>
      <c r="D12" s="3">
        <v>25</v>
      </c>
      <c r="E12" s="20" t="s">
        <v>54</v>
      </c>
      <c r="H12" s="1">
        <v>0</v>
      </c>
      <c r="I12" s="1">
        <v>0</v>
      </c>
      <c r="J12" s="1">
        <v>0</v>
      </c>
      <c r="K12" s="26">
        <v>0</v>
      </c>
      <c r="L12" s="1">
        <f t="shared" si="1"/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f t="shared" si="2"/>
        <v>1</v>
      </c>
      <c r="S12" s="1">
        <v>1.5</v>
      </c>
      <c r="T12" s="1">
        <v>0</v>
      </c>
      <c r="U12" s="1">
        <v>0</v>
      </c>
      <c r="V12" s="1">
        <v>0</v>
      </c>
      <c r="W12" s="1">
        <v>0</v>
      </c>
      <c r="X12" s="1">
        <f t="shared" si="3"/>
        <v>0</v>
      </c>
      <c r="Y12" s="1">
        <v>0</v>
      </c>
      <c r="Z12" s="26">
        <v>0</v>
      </c>
      <c r="AA12" s="1">
        <v>0</v>
      </c>
      <c r="AB12" s="26">
        <v>0</v>
      </c>
      <c r="AC12" s="26">
        <v>0</v>
      </c>
      <c r="AD12" s="1">
        <f t="shared" si="4"/>
        <v>0</v>
      </c>
      <c r="AE12" s="26">
        <v>0</v>
      </c>
      <c r="AF12" s="22">
        <f t="shared" si="5"/>
        <v>0</v>
      </c>
      <c r="AG12" s="22">
        <f t="shared" si="6"/>
        <v>0</v>
      </c>
      <c r="AH12" s="22">
        <f t="shared" si="7"/>
        <v>1</v>
      </c>
      <c r="AI12" s="22">
        <f t="shared" si="8"/>
        <v>0</v>
      </c>
      <c r="AJ12" s="22">
        <f t="shared" si="9"/>
        <v>1</v>
      </c>
      <c r="AK12" s="22">
        <f t="shared" si="10"/>
        <v>1.5</v>
      </c>
    </row>
    <row r="13" spans="1:38" x14ac:dyDescent="0.2">
      <c r="A13">
        <v>2011</v>
      </c>
      <c r="B13" s="20" t="s">
        <v>46</v>
      </c>
      <c r="C13" s="12">
        <v>40723</v>
      </c>
      <c r="D13" s="3">
        <v>25</v>
      </c>
      <c r="E13" s="20" t="s">
        <v>55</v>
      </c>
      <c r="H13" s="1" t="s">
        <v>1</v>
      </c>
      <c r="I13" s="1" t="s">
        <v>1</v>
      </c>
      <c r="J13" s="1">
        <v>0</v>
      </c>
      <c r="K13" s="26">
        <v>0</v>
      </c>
      <c r="L13" s="1">
        <f t="shared" si="1"/>
        <v>0</v>
      </c>
      <c r="M13" s="1">
        <v>0</v>
      </c>
      <c r="N13" s="1" t="s">
        <v>1</v>
      </c>
      <c r="O13" s="1" t="s">
        <v>1</v>
      </c>
      <c r="P13" s="1">
        <v>0</v>
      </c>
      <c r="Q13" s="1">
        <v>0</v>
      </c>
      <c r="R13" s="1">
        <f t="shared" si="2"/>
        <v>0</v>
      </c>
      <c r="S13" s="1">
        <v>0</v>
      </c>
      <c r="T13" s="1" t="s">
        <v>1</v>
      </c>
      <c r="U13" s="1" t="s">
        <v>1</v>
      </c>
      <c r="V13" s="1">
        <v>4</v>
      </c>
      <c r="W13" s="1">
        <v>0</v>
      </c>
      <c r="X13" s="1">
        <f t="shared" si="3"/>
        <v>4</v>
      </c>
      <c r="Y13" s="1">
        <v>3.5</v>
      </c>
      <c r="Z13" s="26" t="s">
        <v>1</v>
      </c>
      <c r="AA13" s="1" t="s">
        <v>1</v>
      </c>
      <c r="AB13" s="26">
        <v>0</v>
      </c>
      <c r="AC13" s="26">
        <v>0</v>
      </c>
      <c r="AD13" s="1">
        <f t="shared" si="4"/>
        <v>0</v>
      </c>
      <c r="AE13" s="26">
        <v>0</v>
      </c>
      <c r="AF13" s="22">
        <f t="shared" si="5"/>
        <v>0</v>
      </c>
      <c r="AG13" s="22">
        <f t="shared" si="6"/>
        <v>0</v>
      </c>
      <c r="AH13" s="22">
        <f t="shared" si="7"/>
        <v>4</v>
      </c>
      <c r="AI13" s="22">
        <f t="shared" si="8"/>
        <v>0</v>
      </c>
      <c r="AJ13" s="22">
        <f t="shared" si="9"/>
        <v>4</v>
      </c>
      <c r="AK13" s="22">
        <f t="shared" si="10"/>
        <v>3.5</v>
      </c>
    </row>
    <row r="14" spans="1:38" x14ac:dyDescent="0.2">
      <c r="A14">
        <v>2011</v>
      </c>
      <c r="B14" s="20" t="s">
        <v>46</v>
      </c>
      <c r="C14" s="12">
        <v>40723</v>
      </c>
      <c r="D14" s="3">
        <v>25</v>
      </c>
      <c r="E14" s="20" t="s">
        <v>56</v>
      </c>
      <c r="H14" s="1" t="s">
        <v>1</v>
      </c>
      <c r="I14" s="1" t="s">
        <v>1</v>
      </c>
      <c r="J14" s="1">
        <v>0</v>
      </c>
      <c r="K14" s="26">
        <v>0</v>
      </c>
      <c r="L14" s="1">
        <f t="shared" si="1"/>
        <v>0</v>
      </c>
      <c r="M14" s="1">
        <v>0</v>
      </c>
      <c r="N14" s="1" t="s">
        <v>1</v>
      </c>
      <c r="O14" s="1" t="s">
        <v>1</v>
      </c>
      <c r="P14" s="1">
        <v>0</v>
      </c>
      <c r="Q14" s="1">
        <v>0</v>
      </c>
      <c r="R14" s="1">
        <f t="shared" si="2"/>
        <v>0</v>
      </c>
      <c r="S14" s="1">
        <v>0</v>
      </c>
      <c r="T14" s="1" t="s">
        <v>1</v>
      </c>
      <c r="U14" s="1" t="s">
        <v>1</v>
      </c>
      <c r="V14" s="1">
        <v>0</v>
      </c>
      <c r="W14" s="1">
        <v>1</v>
      </c>
      <c r="X14" s="1">
        <f t="shared" si="3"/>
        <v>1</v>
      </c>
      <c r="Y14" s="1">
        <v>3.5</v>
      </c>
      <c r="Z14" s="26" t="s">
        <v>1</v>
      </c>
      <c r="AA14" s="1" t="s">
        <v>1</v>
      </c>
      <c r="AB14" s="26">
        <v>0</v>
      </c>
      <c r="AC14" s="26">
        <v>0</v>
      </c>
      <c r="AD14" s="1">
        <f t="shared" si="4"/>
        <v>0</v>
      </c>
      <c r="AE14" s="26">
        <v>0</v>
      </c>
      <c r="AF14" s="22">
        <f t="shared" si="5"/>
        <v>0</v>
      </c>
      <c r="AG14" s="22">
        <f t="shared" si="6"/>
        <v>0</v>
      </c>
      <c r="AH14" s="22">
        <f t="shared" si="7"/>
        <v>0</v>
      </c>
      <c r="AI14" s="22">
        <f t="shared" si="8"/>
        <v>1</v>
      </c>
      <c r="AJ14" s="22">
        <f t="shared" si="9"/>
        <v>1</v>
      </c>
      <c r="AK14" s="22">
        <f t="shared" si="10"/>
        <v>3.5</v>
      </c>
    </row>
    <row r="15" spans="1:38" x14ac:dyDescent="0.2">
      <c r="A15">
        <v>2011</v>
      </c>
      <c r="B15" s="20" t="s">
        <v>46</v>
      </c>
      <c r="C15" s="12">
        <v>40723</v>
      </c>
      <c r="D15" s="3">
        <v>25</v>
      </c>
      <c r="E15" s="20" t="s">
        <v>57</v>
      </c>
      <c r="H15" s="1" t="s">
        <v>1</v>
      </c>
      <c r="I15" s="1" t="s">
        <v>1</v>
      </c>
      <c r="J15" s="1">
        <v>0</v>
      </c>
      <c r="K15" s="26">
        <v>0</v>
      </c>
      <c r="L15" s="1">
        <f t="shared" si="1"/>
        <v>0</v>
      </c>
      <c r="M15" s="1">
        <v>0</v>
      </c>
      <c r="N15" s="1" t="s">
        <v>1</v>
      </c>
      <c r="O15" s="1" t="s">
        <v>1</v>
      </c>
      <c r="P15" s="1">
        <v>0</v>
      </c>
      <c r="Q15" s="1">
        <v>0</v>
      </c>
      <c r="R15" s="1">
        <f t="shared" si="2"/>
        <v>0</v>
      </c>
      <c r="S15" s="1">
        <v>0</v>
      </c>
      <c r="T15" s="1" t="s">
        <v>1</v>
      </c>
      <c r="U15" s="1" t="s">
        <v>1</v>
      </c>
      <c r="V15" s="1">
        <v>0</v>
      </c>
      <c r="W15" s="1">
        <v>3</v>
      </c>
      <c r="X15" s="1">
        <f t="shared" si="3"/>
        <v>3</v>
      </c>
      <c r="Y15" s="1">
        <v>25</v>
      </c>
      <c r="Z15" s="26" t="s">
        <v>1</v>
      </c>
      <c r="AA15" s="1" t="s">
        <v>1</v>
      </c>
      <c r="AB15" s="26">
        <v>0</v>
      </c>
      <c r="AC15" s="26">
        <v>0</v>
      </c>
      <c r="AD15" s="1">
        <f t="shared" si="4"/>
        <v>0</v>
      </c>
      <c r="AE15" s="26">
        <v>0</v>
      </c>
      <c r="AF15" s="22">
        <f t="shared" si="5"/>
        <v>0</v>
      </c>
      <c r="AG15" s="22">
        <f t="shared" si="6"/>
        <v>0</v>
      </c>
      <c r="AH15" s="22">
        <f t="shared" si="7"/>
        <v>0</v>
      </c>
      <c r="AI15" s="22">
        <f t="shared" si="8"/>
        <v>3</v>
      </c>
      <c r="AJ15" s="22">
        <f t="shared" si="9"/>
        <v>3</v>
      </c>
      <c r="AK15" s="22">
        <f t="shared" si="10"/>
        <v>25</v>
      </c>
    </row>
    <row r="16" spans="1:38" x14ac:dyDescent="0.2">
      <c r="A16">
        <v>2011</v>
      </c>
      <c r="B16" s="20" t="s">
        <v>46</v>
      </c>
      <c r="C16" s="12">
        <v>40723</v>
      </c>
      <c r="D16" s="3">
        <v>25</v>
      </c>
      <c r="E16" s="20" t="s">
        <v>58</v>
      </c>
      <c r="H16" s="1" t="s">
        <v>1</v>
      </c>
      <c r="I16" s="1" t="s">
        <v>1</v>
      </c>
      <c r="J16" s="1">
        <v>0</v>
      </c>
      <c r="K16" s="26">
        <v>0</v>
      </c>
      <c r="L16" s="1">
        <f t="shared" si="1"/>
        <v>0</v>
      </c>
      <c r="M16" s="1">
        <v>0</v>
      </c>
      <c r="N16" s="1" t="s">
        <v>1</v>
      </c>
      <c r="O16" s="1" t="s">
        <v>1</v>
      </c>
      <c r="P16" s="1">
        <v>0</v>
      </c>
      <c r="Q16" s="1">
        <v>0</v>
      </c>
      <c r="R16" s="1">
        <f t="shared" si="2"/>
        <v>0</v>
      </c>
      <c r="S16" s="1">
        <v>0</v>
      </c>
      <c r="T16" s="1" t="s">
        <v>1</v>
      </c>
      <c r="U16" s="1" t="s">
        <v>1</v>
      </c>
      <c r="V16" s="1">
        <v>1</v>
      </c>
      <c r="W16" s="1">
        <v>0</v>
      </c>
      <c r="X16" s="1">
        <f t="shared" si="3"/>
        <v>1</v>
      </c>
      <c r="Y16" s="1">
        <v>1.5</v>
      </c>
      <c r="Z16" s="26" t="s">
        <v>1</v>
      </c>
      <c r="AA16" s="1" t="s">
        <v>1</v>
      </c>
      <c r="AB16" s="26">
        <v>0</v>
      </c>
      <c r="AC16" s="26">
        <v>0</v>
      </c>
      <c r="AD16" s="1">
        <f t="shared" si="4"/>
        <v>0</v>
      </c>
      <c r="AE16" s="26">
        <v>0</v>
      </c>
      <c r="AF16" s="22">
        <f t="shared" si="5"/>
        <v>0</v>
      </c>
      <c r="AG16" s="22">
        <f t="shared" si="6"/>
        <v>0</v>
      </c>
      <c r="AH16" s="22">
        <f t="shared" si="7"/>
        <v>1</v>
      </c>
      <c r="AI16" s="22">
        <f t="shared" si="8"/>
        <v>0</v>
      </c>
      <c r="AJ16" s="22">
        <f t="shared" si="9"/>
        <v>1</v>
      </c>
      <c r="AK16" s="22">
        <f t="shared" si="10"/>
        <v>1.5</v>
      </c>
    </row>
    <row r="17" spans="1:38" x14ac:dyDescent="0.2">
      <c r="A17">
        <v>2011</v>
      </c>
      <c r="B17" s="20" t="s">
        <v>46</v>
      </c>
      <c r="C17" s="12">
        <v>40723</v>
      </c>
      <c r="D17" s="3">
        <v>25</v>
      </c>
      <c r="E17" s="20" t="s">
        <v>59</v>
      </c>
      <c r="H17" s="1" t="s">
        <v>1</v>
      </c>
      <c r="I17" s="1" t="s">
        <v>1</v>
      </c>
      <c r="J17" s="1">
        <v>0</v>
      </c>
      <c r="K17" s="26">
        <v>0</v>
      </c>
      <c r="L17" s="1">
        <f t="shared" si="1"/>
        <v>0</v>
      </c>
      <c r="M17" s="1">
        <v>0</v>
      </c>
      <c r="N17" s="1" t="s">
        <v>1</v>
      </c>
      <c r="O17" s="1" t="s">
        <v>1</v>
      </c>
      <c r="P17" s="1">
        <v>0</v>
      </c>
      <c r="Q17" s="1">
        <v>0</v>
      </c>
      <c r="R17" s="1">
        <f t="shared" si="2"/>
        <v>0</v>
      </c>
      <c r="S17" s="1">
        <v>0</v>
      </c>
      <c r="T17" s="1" t="s">
        <v>1</v>
      </c>
      <c r="U17" s="1" t="s">
        <v>1</v>
      </c>
      <c r="V17" s="1">
        <v>1</v>
      </c>
      <c r="W17" s="1">
        <v>0</v>
      </c>
      <c r="X17" s="1">
        <f t="shared" si="3"/>
        <v>1</v>
      </c>
      <c r="Y17" s="1">
        <v>1.5</v>
      </c>
      <c r="Z17" s="26" t="s">
        <v>1</v>
      </c>
      <c r="AA17" s="1" t="s">
        <v>1</v>
      </c>
      <c r="AB17" s="26">
        <v>0</v>
      </c>
      <c r="AC17" s="26">
        <v>0</v>
      </c>
      <c r="AD17" s="1">
        <f t="shared" si="4"/>
        <v>0</v>
      </c>
      <c r="AE17" s="26">
        <v>0</v>
      </c>
      <c r="AF17" s="22">
        <f t="shared" si="5"/>
        <v>0</v>
      </c>
      <c r="AG17" s="22">
        <f t="shared" si="6"/>
        <v>0</v>
      </c>
      <c r="AH17" s="22">
        <f t="shared" si="7"/>
        <v>1</v>
      </c>
      <c r="AI17" s="22">
        <f t="shared" si="8"/>
        <v>0</v>
      </c>
      <c r="AJ17" s="22">
        <f t="shared" si="9"/>
        <v>1</v>
      </c>
      <c r="AK17" s="22">
        <f t="shared" si="10"/>
        <v>1.5</v>
      </c>
    </row>
    <row r="18" spans="1:38" x14ac:dyDescent="0.2">
      <c r="A18">
        <v>2011</v>
      </c>
      <c r="B18" s="20" t="s">
        <v>46</v>
      </c>
      <c r="C18" s="12">
        <v>40723</v>
      </c>
      <c r="D18" s="3">
        <v>25</v>
      </c>
      <c r="E18" s="20" t="s">
        <v>60</v>
      </c>
      <c r="H18" s="1" t="s">
        <v>1</v>
      </c>
      <c r="I18" s="1" t="s">
        <v>1</v>
      </c>
      <c r="J18" s="1">
        <v>0</v>
      </c>
      <c r="K18" s="26">
        <v>0</v>
      </c>
      <c r="L18" s="1">
        <f t="shared" si="1"/>
        <v>0</v>
      </c>
      <c r="M18" s="1">
        <v>0</v>
      </c>
      <c r="N18" s="1" t="s">
        <v>1</v>
      </c>
      <c r="O18" s="1" t="s">
        <v>1</v>
      </c>
      <c r="P18" s="1">
        <v>0</v>
      </c>
      <c r="Q18" s="1">
        <v>0</v>
      </c>
      <c r="R18" s="1">
        <f t="shared" si="2"/>
        <v>0</v>
      </c>
      <c r="S18" s="1">
        <v>0</v>
      </c>
      <c r="T18" s="1" t="s">
        <v>1</v>
      </c>
      <c r="U18" s="1" t="s">
        <v>1</v>
      </c>
      <c r="V18" s="1">
        <v>1</v>
      </c>
      <c r="W18" s="1">
        <v>0</v>
      </c>
      <c r="X18" s="1">
        <f t="shared" si="3"/>
        <v>1</v>
      </c>
      <c r="Y18" s="1">
        <v>1.5</v>
      </c>
      <c r="Z18" s="26" t="s">
        <v>1</v>
      </c>
      <c r="AA18" s="1" t="s">
        <v>1</v>
      </c>
      <c r="AB18" s="26">
        <v>0</v>
      </c>
      <c r="AC18" s="26">
        <v>0</v>
      </c>
      <c r="AD18" s="1">
        <f t="shared" si="4"/>
        <v>0</v>
      </c>
      <c r="AE18" s="26">
        <v>0</v>
      </c>
      <c r="AF18" s="22">
        <f t="shared" si="5"/>
        <v>0</v>
      </c>
      <c r="AG18" s="22">
        <f t="shared" si="6"/>
        <v>0</v>
      </c>
      <c r="AH18" s="22">
        <f t="shared" si="7"/>
        <v>1</v>
      </c>
      <c r="AI18" s="22">
        <f t="shared" si="8"/>
        <v>0</v>
      </c>
      <c r="AJ18" s="22">
        <f t="shared" si="9"/>
        <v>1</v>
      </c>
      <c r="AK18" s="22">
        <f t="shared" si="10"/>
        <v>1.5</v>
      </c>
    </row>
    <row r="19" spans="1:38" x14ac:dyDescent="0.2">
      <c r="A19">
        <v>2011</v>
      </c>
      <c r="B19" s="20" t="s">
        <v>46</v>
      </c>
      <c r="C19" s="12">
        <v>40723</v>
      </c>
      <c r="D19" s="3">
        <v>25</v>
      </c>
      <c r="E19" s="20" t="s">
        <v>61</v>
      </c>
      <c r="H19" s="1" t="s">
        <v>1</v>
      </c>
      <c r="I19" s="1" t="s">
        <v>1</v>
      </c>
      <c r="J19" s="1">
        <v>0</v>
      </c>
      <c r="K19" s="26">
        <v>0</v>
      </c>
      <c r="L19" s="1">
        <f t="shared" si="1"/>
        <v>0</v>
      </c>
      <c r="M19" s="1">
        <v>0</v>
      </c>
      <c r="N19" s="1" t="s">
        <v>1</v>
      </c>
      <c r="O19" s="1" t="s">
        <v>1</v>
      </c>
      <c r="P19" s="1">
        <v>0</v>
      </c>
      <c r="Q19" s="1">
        <v>0</v>
      </c>
      <c r="R19" s="1">
        <f t="shared" si="2"/>
        <v>0</v>
      </c>
      <c r="S19" s="1">
        <v>0</v>
      </c>
      <c r="T19" s="1" t="s">
        <v>1</v>
      </c>
      <c r="U19" s="1" t="s">
        <v>1</v>
      </c>
      <c r="V19" s="1">
        <v>1</v>
      </c>
      <c r="W19" s="1">
        <v>0</v>
      </c>
      <c r="X19" s="1">
        <f t="shared" si="3"/>
        <v>1</v>
      </c>
      <c r="Y19" s="1">
        <v>1.5</v>
      </c>
      <c r="Z19" s="26" t="s">
        <v>1</v>
      </c>
      <c r="AA19" s="1" t="s">
        <v>1</v>
      </c>
      <c r="AB19" s="26">
        <v>0</v>
      </c>
      <c r="AC19" s="26">
        <v>0</v>
      </c>
      <c r="AD19" s="1">
        <f t="shared" si="4"/>
        <v>0</v>
      </c>
      <c r="AE19" s="26">
        <v>0</v>
      </c>
      <c r="AF19" s="22">
        <f t="shared" si="5"/>
        <v>0</v>
      </c>
      <c r="AG19" s="22">
        <f t="shared" si="6"/>
        <v>0</v>
      </c>
      <c r="AH19" s="22">
        <f t="shared" si="7"/>
        <v>1</v>
      </c>
      <c r="AI19" s="22">
        <f t="shared" si="8"/>
        <v>0</v>
      </c>
      <c r="AJ19" s="22">
        <f t="shared" si="9"/>
        <v>1</v>
      </c>
      <c r="AK19" s="22">
        <f t="shared" si="10"/>
        <v>1.5</v>
      </c>
    </row>
    <row r="20" spans="1:38" x14ac:dyDescent="0.2">
      <c r="A20">
        <v>2011</v>
      </c>
      <c r="B20" s="20" t="s">
        <v>46</v>
      </c>
      <c r="C20" s="12">
        <v>40723</v>
      </c>
      <c r="D20" s="3">
        <v>25</v>
      </c>
      <c r="E20" s="20" t="s">
        <v>62</v>
      </c>
      <c r="H20" s="1" t="s">
        <v>1</v>
      </c>
      <c r="I20" s="1" t="s">
        <v>1</v>
      </c>
      <c r="J20" s="1">
        <v>0</v>
      </c>
      <c r="K20" s="26">
        <v>0</v>
      </c>
      <c r="L20" s="1">
        <f t="shared" si="1"/>
        <v>0</v>
      </c>
      <c r="M20" s="1">
        <v>0</v>
      </c>
      <c r="N20" s="1" t="s">
        <v>1</v>
      </c>
      <c r="O20" s="1" t="s">
        <v>1</v>
      </c>
      <c r="P20" s="1">
        <v>0</v>
      </c>
      <c r="Q20" s="1">
        <v>0</v>
      </c>
      <c r="R20" s="1">
        <f t="shared" si="2"/>
        <v>0</v>
      </c>
      <c r="S20" s="1">
        <v>0</v>
      </c>
      <c r="T20" s="1" t="s">
        <v>1</v>
      </c>
      <c r="U20" s="1" t="s">
        <v>1</v>
      </c>
      <c r="V20" s="1">
        <v>0</v>
      </c>
      <c r="W20" s="1">
        <v>0</v>
      </c>
      <c r="X20" s="1">
        <f t="shared" si="3"/>
        <v>0</v>
      </c>
      <c r="Y20" s="1">
        <v>0</v>
      </c>
      <c r="Z20" s="26" t="s">
        <v>1</v>
      </c>
      <c r="AA20" s="1" t="s">
        <v>1</v>
      </c>
      <c r="AB20" s="26">
        <v>5</v>
      </c>
      <c r="AC20" s="26">
        <v>0</v>
      </c>
      <c r="AD20" s="1">
        <f t="shared" si="4"/>
        <v>5</v>
      </c>
      <c r="AE20" s="26">
        <v>3.5</v>
      </c>
      <c r="AF20" s="22">
        <f t="shared" si="5"/>
        <v>0</v>
      </c>
      <c r="AG20" s="22">
        <f t="shared" si="6"/>
        <v>0</v>
      </c>
      <c r="AH20" s="22">
        <f t="shared" si="7"/>
        <v>5</v>
      </c>
      <c r="AI20" s="22">
        <f t="shared" si="8"/>
        <v>0</v>
      </c>
      <c r="AJ20" s="22">
        <f t="shared" si="9"/>
        <v>5</v>
      </c>
      <c r="AK20" s="22">
        <f t="shared" si="10"/>
        <v>3.5</v>
      </c>
    </row>
    <row r="21" spans="1:38" s="35" customFormat="1" x14ac:dyDescent="0.2">
      <c r="A21" s="35">
        <v>2011</v>
      </c>
      <c r="B21" s="36" t="s">
        <v>46</v>
      </c>
      <c r="C21" s="37">
        <v>40750</v>
      </c>
      <c r="D21" s="38">
        <v>26</v>
      </c>
      <c r="E21" s="36" t="s">
        <v>47</v>
      </c>
      <c r="H21" s="34">
        <v>0</v>
      </c>
      <c r="I21" s="34">
        <v>2</v>
      </c>
      <c r="J21" s="34">
        <v>2</v>
      </c>
      <c r="K21" s="34">
        <v>0</v>
      </c>
      <c r="L21" s="34">
        <f t="shared" ref="L21:L49" si="11">SUM(H21:K21)</f>
        <v>4</v>
      </c>
      <c r="M21" s="34">
        <v>3.5</v>
      </c>
      <c r="N21" s="34">
        <v>0</v>
      </c>
      <c r="O21" s="34">
        <v>15</v>
      </c>
      <c r="P21" s="34">
        <v>7</v>
      </c>
      <c r="Q21" s="34">
        <v>0</v>
      </c>
      <c r="R21" s="34">
        <f t="shared" ref="R21:R49" si="12">SUM(N21:Q21)</f>
        <v>22</v>
      </c>
      <c r="S21" s="34">
        <v>15</v>
      </c>
      <c r="T21" s="34">
        <v>0</v>
      </c>
      <c r="U21" s="34">
        <v>3</v>
      </c>
      <c r="V21" s="34">
        <v>9</v>
      </c>
      <c r="W21" s="34">
        <v>2</v>
      </c>
      <c r="X21" s="34">
        <f t="shared" ref="X21:X49" si="13">SUM(T21:W21)</f>
        <v>14</v>
      </c>
      <c r="Y21" s="34">
        <v>15</v>
      </c>
      <c r="Z21" s="34">
        <v>0</v>
      </c>
      <c r="AA21" s="34">
        <v>18</v>
      </c>
      <c r="AB21" s="34">
        <v>4</v>
      </c>
      <c r="AC21" s="34">
        <v>1</v>
      </c>
      <c r="AD21" s="34">
        <f t="shared" ref="AD21:AD49" si="14">SUM(Z21:AC21)</f>
        <v>23</v>
      </c>
      <c r="AE21" s="34">
        <v>25</v>
      </c>
      <c r="AF21" s="39">
        <f t="shared" ref="AF21:AF32" si="15">SUM(H21,N21,T21,Z21)</f>
        <v>0</v>
      </c>
      <c r="AG21" s="39">
        <f t="shared" ref="AG21:AG32" si="16">SUM(I21,O21,U21,AA21)</f>
        <v>38</v>
      </c>
      <c r="AH21" s="40">
        <f t="shared" ref="AH21:AH49" si="17">SUM(J21,P21,V21,AB21)</f>
        <v>22</v>
      </c>
      <c r="AI21" s="40">
        <f t="shared" si="8"/>
        <v>3</v>
      </c>
      <c r="AJ21" s="39">
        <f t="shared" ref="AJ21:AJ49" si="18">SUM(AF21:AI21)</f>
        <v>63</v>
      </c>
      <c r="AK21" s="39">
        <f t="shared" ref="AK21:AK49" si="19">M21+S21+Y21+AE21</f>
        <v>58.5</v>
      </c>
      <c r="AL21" s="41"/>
    </row>
    <row r="22" spans="1:38" x14ac:dyDescent="0.2">
      <c r="A22">
        <v>2011</v>
      </c>
      <c r="B22" s="20" t="s">
        <v>46</v>
      </c>
      <c r="C22" s="12">
        <v>40750</v>
      </c>
      <c r="D22" s="3">
        <v>26</v>
      </c>
      <c r="E22" s="20" t="s">
        <v>50</v>
      </c>
      <c r="H22" s="26" t="s">
        <v>1</v>
      </c>
      <c r="I22" s="26" t="s">
        <v>1</v>
      </c>
      <c r="J22" s="1">
        <v>1</v>
      </c>
      <c r="K22" s="1">
        <v>2</v>
      </c>
      <c r="L22" s="1">
        <f t="shared" si="11"/>
        <v>3</v>
      </c>
      <c r="M22" s="1">
        <v>35</v>
      </c>
      <c r="N22" s="26" t="s">
        <v>1</v>
      </c>
      <c r="O22" s="26" t="s">
        <v>1</v>
      </c>
      <c r="P22" s="1">
        <v>0</v>
      </c>
      <c r="Q22" s="1">
        <v>0</v>
      </c>
      <c r="R22" s="1">
        <f t="shared" si="12"/>
        <v>0</v>
      </c>
      <c r="T22" s="1" t="s">
        <v>1</v>
      </c>
      <c r="U22" s="1" t="s">
        <v>1</v>
      </c>
      <c r="V22" s="26">
        <v>0</v>
      </c>
      <c r="W22" s="1">
        <v>0</v>
      </c>
      <c r="X22" s="1">
        <f t="shared" si="13"/>
        <v>0</v>
      </c>
      <c r="Y22" s="1">
        <v>0</v>
      </c>
      <c r="Z22" s="26" t="s">
        <v>1</v>
      </c>
      <c r="AA22" s="26" t="s">
        <v>1</v>
      </c>
      <c r="AB22" s="1">
        <v>4</v>
      </c>
      <c r="AC22" s="1">
        <v>0</v>
      </c>
      <c r="AD22" s="1">
        <f t="shared" si="14"/>
        <v>4</v>
      </c>
      <c r="AE22" s="1">
        <v>8</v>
      </c>
      <c r="AF22" s="22">
        <f t="shared" si="15"/>
        <v>0</v>
      </c>
      <c r="AG22" s="22">
        <f t="shared" si="16"/>
        <v>0</v>
      </c>
      <c r="AH22" s="9">
        <f t="shared" si="17"/>
        <v>5</v>
      </c>
      <c r="AI22" s="9">
        <f t="shared" si="8"/>
        <v>2</v>
      </c>
      <c r="AJ22" s="22">
        <f t="shared" si="18"/>
        <v>7</v>
      </c>
      <c r="AK22" s="22">
        <f t="shared" si="19"/>
        <v>43</v>
      </c>
    </row>
    <row r="23" spans="1:38" x14ac:dyDescent="0.2">
      <c r="A23">
        <v>2011</v>
      </c>
      <c r="B23" s="20" t="s">
        <v>46</v>
      </c>
      <c r="C23" s="12">
        <v>40750</v>
      </c>
      <c r="D23" s="3">
        <v>26</v>
      </c>
      <c r="E23" s="20" t="s">
        <v>63</v>
      </c>
      <c r="H23" s="26">
        <v>0</v>
      </c>
      <c r="I23" s="26">
        <v>0</v>
      </c>
      <c r="J23" s="1">
        <v>0</v>
      </c>
      <c r="K23" s="1">
        <v>1</v>
      </c>
      <c r="L23" s="1">
        <f t="shared" si="11"/>
        <v>1</v>
      </c>
      <c r="M23" s="1">
        <v>15</v>
      </c>
      <c r="N23" s="26">
        <v>0</v>
      </c>
      <c r="O23" s="26">
        <v>0</v>
      </c>
      <c r="P23" s="1">
        <v>0</v>
      </c>
      <c r="Q23" s="1">
        <v>0</v>
      </c>
      <c r="R23" s="1">
        <f t="shared" si="12"/>
        <v>0</v>
      </c>
      <c r="S23" s="1">
        <v>0</v>
      </c>
      <c r="T23" s="1">
        <v>0</v>
      </c>
      <c r="U23" s="1">
        <v>0</v>
      </c>
      <c r="V23" s="26">
        <v>0</v>
      </c>
      <c r="W23" s="1">
        <v>0</v>
      </c>
      <c r="X23" s="1">
        <f t="shared" si="13"/>
        <v>0</v>
      </c>
      <c r="Y23" s="1">
        <v>0</v>
      </c>
      <c r="Z23" s="26">
        <v>0</v>
      </c>
      <c r="AA23" s="26">
        <v>0</v>
      </c>
      <c r="AB23" s="1">
        <v>1</v>
      </c>
      <c r="AC23" s="1">
        <v>0</v>
      </c>
      <c r="AD23" s="1">
        <f t="shared" si="14"/>
        <v>1</v>
      </c>
      <c r="AE23" s="1">
        <v>15</v>
      </c>
      <c r="AF23" s="22">
        <f t="shared" si="15"/>
        <v>0</v>
      </c>
      <c r="AG23" s="22">
        <f t="shared" si="16"/>
        <v>0</v>
      </c>
      <c r="AH23" s="9">
        <f t="shared" si="17"/>
        <v>1</v>
      </c>
      <c r="AI23" s="9">
        <f t="shared" si="8"/>
        <v>1</v>
      </c>
      <c r="AJ23" s="22">
        <f t="shared" si="18"/>
        <v>2</v>
      </c>
      <c r="AK23" s="22">
        <f t="shared" si="19"/>
        <v>30</v>
      </c>
    </row>
    <row r="24" spans="1:38" x14ac:dyDescent="0.2">
      <c r="A24">
        <v>2011</v>
      </c>
      <c r="B24" s="20" t="s">
        <v>46</v>
      </c>
      <c r="C24" s="12">
        <v>40750</v>
      </c>
      <c r="D24" s="3">
        <v>26</v>
      </c>
      <c r="E24" s="20" t="s">
        <v>64</v>
      </c>
      <c r="H24" s="1" t="s">
        <v>1</v>
      </c>
      <c r="I24" s="1" t="s">
        <v>1</v>
      </c>
      <c r="J24" s="1">
        <v>1</v>
      </c>
      <c r="K24" s="1">
        <v>1</v>
      </c>
      <c r="L24" s="1">
        <f t="shared" si="11"/>
        <v>2</v>
      </c>
      <c r="M24" s="1">
        <v>3.5</v>
      </c>
      <c r="N24" s="1" t="s">
        <v>1</v>
      </c>
      <c r="O24" s="1" t="s">
        <v>1</v>
      </c>
      <c r="P24" s="1">
        <v>0</v>
      </c>
      <c r="Q24" s="1">
        <v>0</v>
      </c>
      <c r="R24" s="1">
        <f t="shared" si="12"/>
        <v>0</v>
      </c>
      <c r="S24" s="1">
        <v>0</v>
      </c>
      <c r="T24" s="1" t="s">
        <v>1</v>
      </c>
      <c r="U24" s="1" t="s">
        <v>1</v>
      </c>
      <c r="V24" s="1">
        <v>1</v>
      </c>
      <c r="W24" s="1">
        <v>0</v>
      </c>
      <c r="X24" s="1">
        <f t="shared" si="13"/>
        <v>1</v>
      </c>
      <c r="Y24" s="1">
        <v>3.5</v>
      </c>
      <c r="Z24" s="1" t="s">
        <v>1</v>
      </c>
      <c r="AA24" s="1" t="s">
        <v>1</v>
      </c>
      <c r="AB24" s="1">
        <v>3</v>
      </c>
      <c r="AC24" s="1">
        <v>0</v>
      </c>
      <c r="AD24" s="1">
        <f t="shared" si="14"/>
        <v>3</v>
      </c>
      <c r="AE24" s="1">
        <v>3.5</v>
      </c>
      <c r="AF24" s="22">
        <f t="shared" si="15"/>
        <v>0</v>
      </c>
      <c r="AG24" s="22">
        <f t="shared" si="16"/>
        <v>0</v>
      </c>
      <c r="AH24" s="9">
        <f t="shared" si="17"/>
        <v>5</v>
      </c>
      <c r="AI24" s="9">
        <f t="shared" si="8"/>
        <v>1</v>
      </c>
      <c r="AJ24" s="22">
        <f t="shared" si="18"/>
        <v>6</v>
      </c>
      <c r="AK24" s="22">
        <f t="shared" si="19"/>
        <v>10.5</v>
      </c>
    </row>
    <row r="25" spans="1:38" x14ac:dyDescent="0.2">
      <c r="A25">
        <v>2011</v>
      </c>
      <c r="B25" s="20" t="s">
        <v>46</v>
      </c>
      <c r="C25" s="12">
        <v>40750</v>
      </c>
      <c r="D25" s="3">
        <v>26</v>
      </c>
      <c r="E25" s="20" t="s">
        <v>55</v>
      </c>
      <c r="H25" s="26" t="s">
        <v>1</v>
      </c>
      <c r="I25" s="26" t="s">
        <v>1</v>
      </c>
      <c r="J25" s="1">
        <v>2</v>
      </c>
      <c r="K25" s="1">
        <v>2</v>
      </c>
      <c r="L25" s="1">
        <f t="shared" si="11"/>
        <v>4</v>
      </c>
      <c r="M25" s="34">
        <v>45</v>
      </c>
      <c r="N25" s="26" t="s">
        <v>1</v>
      </c>
      <c r="O25" s="26" t="s">
        <v>1</v>
      </c>
      <c r="P25" s="1">
        <v>2</v>
      </c>
      <c r="Q25" s="1">
        <v>0</v>
      </c>
      <c r="R25" s="1">
        <f t="shared" si="12"/>
        <v>2</v>
      </c>
      <c r="S25" s="1">
        <v>0.5</v>
      </c>
      <c r="T25" s="1" t="s">
        <v>1</v>
      </c>
      <c r="U25" s="1" t="s">
        <v>1</v>
      </c>
      <c r="V25" s="1">
        <v>2</v>
      </c>
      <c r="W25" s="1">
        <v>0</v>
      </c>
      <c r="X25" s="1">
        <f t="shared" si="13"/>
        <v>2</v>
      </c>
      <c r="Y25" s="1">
        <v>1.5</v>
      </c>
      <c r="Z25" s="1" t="s">
        <v>1</v>
      </c>
      <c r="AA25" s="1" t="s">
        <v>1</v>
      </c>
      <c r="AB25" s="1">
        <v>1</v>
      </c>
      <c r="AC25" s="1">
        <v>0</v>
      </c>
      <c r="AD25" s="1">
        <f t="shared" si="14"/>
        <v>1</v>
      </c>
      <c r="AE25" s="1">
        <v>0.5</v>
      </c>
      <c r="AF25" s="22">
        <f t="shared" si="15"/>
        <v>0</v>
      </c>
      <c r="AG25" s="22">
        <f t="shared" si="16"/>
        <v>0</v>
      </c>
      <c r="AH25" s="9">
        <f t="shared" si="17"/>
        <v>7</v>
      </c>
      <c r="AI25" s="9">
        <f t="shared" si="8"/>
        <v>2</v>
      </c>
      <c r="AJ25" s="22">
        <f t="shared" si="18"/>
        <v>9</v>
      </c>
      <c r="AK25" s="22">
        <f t="shared" si="19"/>
        <v>47.5</v>
      </c>
    </row>
    <row r="26" spans="1:38" x14ac:dyDescent="0.2">
      <c r="A26">
        <v>2011</v>
      </c>
      <c r="B26" s="20" t="s">
        <v>46</v>
      </c>
      <c r="C26" s="12">
        <v>40750</v>
      </c>
      <c r="D26" s="3">
        <v>26</v>
      </c>
      <c r="E26" s="20" t="s">
        <v>49</v>
      </c>
      <c r="H26" s="1">
        <v>0</v>
      </c>
      <c r="I26" s="1">
        <v>0</v>
      </c>
      <c r="J26" s="1">
        <v>0</v>
      </c>
      <c r="K26" s="1">
        <v>1</v>
      </c>
      <c r="L26" s="1">
        <f t="shared" si="11"/>
        <v>1</v>
      </c>
      <c r="M26" s="1">
        <v>15</v>
      </c>
      <c r="N26" s="1">
        <v>0</v>
      </c>
      <c r="O26" s="1">
        <v>0</v>
      </c>
      <c r="P26" s="1">
        <v>1</v>
      </c>
      <c r="Q26" s="1">
        <v>1</v>
      </c>
      <c r="R26" s="1">
        <f t="shared" si="12"/>
        <v>2</v>
      </c>
      <c r="S26" s="1">
        <v>1.5</v>
      </c>
      <c r="T26" s="1">
        <v>0</v>
      </c>
      <c r="U26" s="1">
        <v>0</v>
      </c>
      <c r="V26" s="1">
        <v>0</v>
      </c>
      <c r="W26" s="1">
        <v>0</v>
      </c>
      <c r="X26" s="1">
        <f t="shared" si="13"/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f t="shared" si="14"/>
        <v>0</v>
      </c>
      <c r="AE26" s="1">
        <v>0</v>
      </c>
      <c r="AF26" s="22">
        <f t="shared" si="15"/>
        <v>0</v>
      </c>
      <c r="AG26" s="22">
        <f t="shared" si="16"/>
        <v>0</v>
      </c>
      <c r="AH26" s="9">
        <f t="shared" si="17"/>
        <v>1</v>
      </c>
      <c r="AI26" s="9">
        <f t="shared" si="8"/>
        <v>2</v>
      </c>
      <c r="AJ26" s="22">
        <f t="shared" si="18"/>
        <v>3</v>
      </c>
      <c r="AK26" s="22">
        <f t="shared" si="19"/>
        <v>16.5</v>
      </c>
    </row>
    <row r="27" spans="1:38" x14ac:dyDescent="0.2">
      <c r="A27">
        <v>2011</v>
      </c>
      <c r="B27" s="20" t="s">
        <v>46</v>
      </c>
      <c r="C27" s="12">
        <v>40750</v>
      </c>
      <c r="D27" s="3">
        <v>26</v>
      </c>
      <c r="E27" s="20" t="s">
        <v>59</v>
      </c>
      <c r="H27" s="26" t="s">
        <v>1</v>
      </c>
      <c r="I27" s="26" t="s">
        <v>1</v>
      </c>
      <c r="J27" s="1">
        <v>1</v>
      </c>
      <c r="K27" s="1">
        <v>0</v>
      </c>
      <c r="L27" s="1">
        <f t="shared" si="11"/>
        <v>1</v>
      </c>
      <c r="M27" s="1">
        <v>8</v>
      </c>
      <c r="N27" s="26" t="s">
        <v>1</v>
      </c>
      <c r="O27" s="26" t="s">
        <v>1</v>
      </c>
      <c r="P27" s="1">
        <v>0</v>
      </c>
      <c r="Q27" s="1">
        <v>0</v>
      </c>
      <c r="R27" s="1">
        <f t="shared" si="12"/>
        <v>0</v>
      </c>
      <c r="S27" s="1">
        <v>0</v>
      </c>
      <c r="T27" s="1" t="s">
        <v>1</v>
      </c>
      <c r="U27" s="1" t="s">
        <v>1</v>
      </c>
      <c r="V27" s="1">
        <v>0</v>
      </c>
      <c r="W27" s="1">
        <v>0</v>
      </c>
      <c r="X27" s="1">
        <f t="shared" si="13"/>
        <v>0</v>
      </c>
      <c r="Y27" s="1">
        <v>0</v>
      </c>
      <c r="Z27" s="26" t="s">
        <v>1</v>
      </c>
      <c r="AA27" s="26" t="s">
        <v>1</v>
      </c>
      <c r="AB27" s="1">
        <v>0</v>
      </c>
      <c r="AC27" s="1">
        <v>0</v>
      </c>
      <c r="AD27" s="1">
        <f t="shared" si="14"/>
        <v>0</v>
      </c>
      <c r="AE27" s="1">
        <v>0</v>
      </c>
      <c r="AF27" s="22">
        <f t="shared" si="15"/>
        <v>0</v>
      </c>
      <c r="AG27" s="22">
        <f t="shared" si="16"/>
        <v>0</v>
      </c>
      <c r="AH27" s="9">
        <f t="shared" si="17"/>
        <v>1</v>
      </c>
      <c r="AI27" s="9">
        <f t="shared" si="8"/>
        <v>0</v>
      </c>
      <c r="AJ27" s="22">
        <f t="shared" si="18"/>
        <v>1</v>
      </c>
      <c r="AK27" s="22">
        <f t="shared" si="19"/>
        <v>8</v>
      </c>
    </row>
    <row r="28" spans="1:38" x14ac:dyDescent="0.2">
      <c r="A28">
        <v>2011</v>
      </c>
      <c r="B28" s="20" t="s">
        <v>46</v>
      </c>
      <c r="C28" s="12">
        <v>40750</v>
      </c>
      <c r="D28" s="3">
        <v>26</v>
      </c>
      <c r="E28" s="20" t="s">
        <v>65</v>
      </c>
      <c r="H28" s="26" t="s">
        <v>1</v>
      </c>
      <c r="I28" s="26" t="s">
        <v>1</v>
      </c>
      <c r="J28" s="1">
        <v>0</v>
      </c>
      <c r="K28" s="1">
        <v>1</v>
      </c>
      <c r="L28" s="1">
        <f t="shared" si="11"/>
        <v>1</v>
      </c>
      <c r="M28" s="1">
        <v>8</v>
      </c>
      <c r="N28" s="26" t="s">
        <v>1</v>
      </c>
      <c r="O28" s="26" t="s">
        <v>1</v>
      </c>
      <c r="P28" s="1">
        <v>1</v>
      </c>
      <c r="Q28" s="1">
        <v>0</v>
      </c>
      <c r="R28" s="1">
        <f t="shared" si="12"/>
        <v>1</v>
      </c>
      <c r="S28" s="1">
        <v>1.5</v>
      </c>
      <c r="T28" s="1" t="s">
        <v>1</v>
      </c>
      <c r="U28" s="1" t="s">
        <v>1</v>
      </c>
      <c r="V28" s="1">
        <v>0</v>
      </c>
      <c r="W28" s="1">
        <v>0</v>
      </c>
      <c r="X28" s="1">
        <f t="shared" si="13"/>
        <v>0</v>
      </c>
      <c r="Y28" s="1">
        <v>0</v>
      </c>
      <c r="Z28" s="26" t="s">
        <v>1</v>
      </c>
      <c r="AA28" s="26" t="s">
        <v>1</v>
      </c>
      <c r="AB28" s="1">
        <v>0</v>
      </c>
      <c r="AC28" s="1">
        <v>0</v>
      </c>
      <c r="AD28" s="1">
        <f t="shared" si="14"/>
        <v>0</v>
      </c>
      <c r="AE28" s="1">
        <v>0</v>
      </c>
      <c r="AF28" s="22">
        <f t="shared" si="15"/>
        <v>0</v>
      </c>
      <c r="AG28" s="22">
        <f t="shared" si="16"/>
        <v>0</v>
      </c>
      <c r="AH28" s="9">
        <f t="shared" si="17"/>
        <v>1</v>
      </c>
      <c r="AI28" s="9">
        <f t="shared" si="8"/>
        <v>1</v>
      </c>
      <c r="AJ28" s="22">
        <f t="shared" si="18"/>
        <v>2</v>
      </c>
      <c r="AK28" s="22">
        <f t="shared" si="19"/>
        <v>9.5</v>
      </c>
    </row>
    <row r="29" spans="1:38" x14ac:dyDescent="0.2">
      <c r="A29">
        <v>2011</v>
      </c>
      <c r="B29" s="20" t="s">
        <v>46</v>
      </c>
      <c r="C29" s="12">
        <v>40750</v>
      </c>
      <c r="D29" s="3">
        <v>26</v>
      </c>
      <c r="E29" s="20" t="s">
        <v>66</v>
      </c>
      <c r="H29" s="26" t="s">
        <v>1</v>
      </c>
      <c r="I29" s="26" t="s">
        <v>1</v>
      </c>
      <c r="J29" s="1">
        <v>0</v>
      </c>
      <c r="K29" s="1">
        <v>0</v>
      </c>
      <c r="L29" s="1">
        <f t="shared" si="11"/>
        <v>0</v>
      </c>
      <c r="M29" s="1">
        <v>0</v>
      </c>
      <c r="N29" s="26" t="s">
        <v>1</v>
      </c>
      <c r="O29" s="26" t="s">
        <v>1</v>
      </c>
      <c r="P29" s="1">
        <v>8</v>
      </c>
      <c r="Q29" s="1">
        <v>0</v>
      </c>
      <c r="R29" s="1">
        <f t="shared" si="12"/>
        <v>8</v>
      </c>
      <c r="S29" s="1">
        <v>3.5</v>
      </c>
      <c r="T29" s="1" t="s">
        <v>1</v>
      </c>
      <c r="U29" s="1" t="s">
        <v>1</v>
      </c>
      <c r="V29" s="1">
        <v>0</v>
      </c>
      <c r="W29" s="1">
        <v>0</v>
      </c>
      <c r="X29" s="1">
        <f t="shared" si="13"/>
        <v>0</v>
      </c>
      <c r="Y29" s="1">
        <v>0</v>
      </c>
      <c r="Z29" s="26" t="s">
        <v>1</v>
      </c>
      <c r="AA29" s="26" t="s">
        <v>1</v>
      </c>
      <c r="AB29" s="1">
        <v>1</v>
      </c>
      <c r="AC29" s="1">
        <v>0</v>
      </c>
      <c r="AD29" s="1">
        <f t="shared" si="14"/>
        <v>1</v>
      </c>
      <c r="AE29" s="1">
        <v>1.5</v>
      </c>
      <c r="AF29" s="22">
        <f t="shared" si="15"/>
        <v>0</v>
      </c>
      <c r="AG29" s="22">
        <f t="shared" si="16"/>
        <v>0</v>
      </c>
      <c r="AH29" s="9">
        <f t="shared" si="17"/>
        <v>9</v>
      </c>
      <c r="AI29" s="9">
        <f t="shared" si="8"/>
        <v>0</v>
      </c>
      <c r="AJ29" s="22">
        <f t="shared" si="18"/>
        <v>9</v>
      </c>
      <c r="AK29" s="22">
        <f t="shared" si="19"/>
        <v>5</v>
      </c>
      <c r="AL29" s="27" t="s">
        <v>67</v>
      </c>
    </row>
    <row r="30" spans="1:38" x14ac:dyDescent="0.2">
      <c r="A30">
        <v>2011</v>
      </c>
      <c r="B30" s="20" t="s">
        <v>46</v>
      </c>
      <c r="C30" s="12">
        <v>40750</v>
      </c>
      <c r="D30" s="3">
        <v>26</v>
      </c>
      <c r="E30" s="20" t="s">
        <v>52</v>
      </c>
      <c r="H30" s="26" t="s">
        <v>1</v>
      </c>
      <c r="I30" s="26" t="s">
        <v>1</v>
      </c>
      <c r="J30" s="1">
        <v>0</v>
      </c>
      <c r="K30" s="1">
        <v>0</v>
      </c>
      <c r="L30" s="1">
        <f t="shared" si="11"/>
        <v>0</v>
      </c>
      <c r="M30" s="1">
        <v>0</v>
      </c>
      <c r="N30" s="26" t="s">
        <v>1</v>
      </c>
      <c r="O30" s="26" t="s">
        <v>1</v>
      </c>
      <c r="P30" s="1">
        <v>1</v>
      </c>
      <c r="Q30" s="1">
        <v>1</v>
      </c>
      <c r="R30" s="1">
        <f t="shared" si="12"/>
        <v>2</v>
      </c>
      <c r="S30" s="1">
        <v>15</v>
      </c>
      <c r="T30" s="1" t="s">
        <v>1</v>
      </c>
      <c r="U30" s="1" t="s">
        <v>1</v>
      </c>
      <c r="V30" s="1">
        <v>0</v>
      </c>
      <c r="W30" s="1">
        <v>1</v>
      </c>
      <c r="X30" s="1">
        <f t="shared" si="13"/>
        <v>1</v>
      </c>
      <c r="Y30" s="1">
        <v>1.5</v>
      </c>
      <c r="Z30" s="26" t="s">
        <v>1</v>
      </c>
      <c r="AA30" s="26" t="s">
        <v>1</v>
      </c>
      <c r="AB30" s="1">
        <v>0</v>
      </c>
      <c r="AC30" s="1">
        <v>0</v>
      </c>
      <c r="AD30" s="1">
        <f t="shared" si="14"/>
        <v>0</v>
      </c>
      <c r="AE30" s="1">
        <v>0</v>
      </c>
      <c r="AF30" s="22">
        <f t="shared" si="15"/>
        <v>0</v>
      </c>
      <c r="AG30" s="22">
        <f t="shared" si="16"/>
        <v>0</v>
      </c>
      <c r="AH30" s="9">
        <f t="shared" si="17"/>
        <v>1</v>
      </c>
      <c r="AI30" s="9">
        <f t="shared" si="8"/>
        <v>2</v>
      </c>
      <c r="AJ30" s="22">
        <f t="shared" si="18"/>
        <v>3</v>
      </c>
      <c r="AK30" s="22">
        <f t="shared" si="19"/>
        <v>16.5</v>
      </c>
    </row>
    <row r="31" spans="1:38" x14ac:dyDescent="0.2">
      <c r="A31">
        <v>2011</v>
      </c>
      <c r="B31" s="20" t="s">
        <v>46</v>
      </c>
      <c r="C31" s="12">
        <v>40750</v>
      </c>
      <c r="D31" s="3">
        <v>26</v>
      </c>
      <c r="E31" s="20" t="s">
        <v>54</v>
      </c>
      <c r="H31" s="1">
        <v>0</v>
      </c>
      <c r="I31" s="1">
        <v>0</v>
      </c>
      <c r="J31" s="1">
        <v>0</v>
      </c>
      <c r="K31" s="1">
        <v>0</v>
      </c>
      <c r="L31" s="1">
        <f t="shared" si="11"/>
        <v>0</v>
      </c>
      <c r="M31" s="1">
        <v>0</v>
      </c>
      <c r="N31" s="1">
        <v>0</v>
      </c>
      <c r="O31" s="1">
        <v>1</v>
      </c>
      <c r="P31" s="1">
        <v>0</v>
      </c>
      <c r="Q31" s="1">
        <v>3</v>
      </c>
      <c r="R31" s="1">
        <f t="shared" si="12"/>
        <v>4</v>
      </c>
      <c r="S31" s="1">
        <v>8</v>
      </c>
      <c r="T31" s="1">
        <v>0</v>
      </c>
      <c r="U31" s="1">
        <v>0</v>
      </c>
      <c r="V31" s="1">
        <v>0</v>
      </c>
      <c r="W31" s="1">
        <v>0</v>
      </c>
      <c r="X31" s="1">
        <f t="shared" si="13"/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f t="shared" si="14"/>
        <v>1</v>
      </c>
      <c r="AE31" s="1">
        <v>25</v>
      </c>
      <c r="AF31" s="22">
        <f t="shared" si="15"/>
        <v>0</v>
      </c>
      <c r="AG31" s="22">
        <f t="shared" si="16"/>
        <v>1</v>
      </c>
      <c r="AH31" s="9">
        <f t="shared" si="17"/>
        <v>0</v>
      </c>
      <c r="AI31" s="9">
        <f t="shared" si="8"/>
        <v>4</v>
      </c>
      <c r="AJ31" s="22">
        <f t="shared" si="18"/>
        <v>5</v>
      </c>
      <c r="AK31" s="22">
        <f t="shared" si="19"/>
        <v>33</v>
      </c>
    </row>
    <row r="32" spans="1:38" x14ac:dyDescent="0.2">
      <c r="A32">
        <v>2011</v>
      </c>
      <c r="B32" s="20" t="s">
        <v>46</v>
      </c>
      <c r="C32" s="12">
        <v>40750</v>
      </c>
      <c r="D32" s="3">
        <v>26</v>
      </c>
      <c r="E32" s="20" t="s">
        <v>68</v>
      </c>
      <c r="H32" s="1" t="s">
        <v>1</v>
      </c>
      <c r="I32" s="1" t="s">
        <v>1</v>
      </c>
      <c r="J32" s="1">
        <v>0</v>
      </c>
      <c r="K32" s="1">
        <v>0</v>
      </c>
      <c r="L32" s="1">
        <f t="shared" si="11"/>
        <v>0</v>
      </c>
      <c r="M32" s="1">
        <v>0</v>
      </c>
      <c r="N32" s="1" t="s">
        <v>1</v>
      </c>
      <c r="O32" s="1" t="s">
        <v>1</v>
      </c>
      <c r="P32" s="1">
        <v>0</v>
      </c>
      <c r="Q32" s="1">
        <v>0</v>
      </c>
      <c r="R32" s="1">
        <f t="shared" si="12"/>
        <v>0</v>
      </c>
      <c r="S32" s="1">
        <v>0</v>
      </c>
      <c r="T32" s="1" t="s">
        <v>1</v>
      </c>
      <c r="U32" s="1" t="s">
        <v>1</v>
      </c>
      <c r="V32" s="1">
        <v>0</v>
      </c>
      <c r="W32" s="1">
        <v>0</v>
      </c>
      <c r="X32" s="1">
        <f t="shared" si="13"/>
        <v>0</v>
      </c>
      <c r="Y32" s="1">
        <v>0</v>
      </c>
      <c r="Z32" s="1" t="s">
        <v>1</v>
      </c>
      <c r="AA32" s="1" t="s">
        <v>1</v>
      </c>
      <c r="AB32" s="1">
        <v>1</v>
      </c>
      <c r="AC32" s="1">
        <v>0</v>
      </c>
      <c r="AD32" s="1">
        <f t="shared" si="14"/>
        <v>1</v>
      </c>
      <c r="AE32" s="1">
        <v>0.5</v>
      </c>
      <c r="AF32" s="22">
        <f t="shared" si="15"/>
        <v>0</v>
      </c>
      <c r="AG32" s="22">
        <f t="shared" si="16"/>
        <v>0</v>
      </c>
      <c r="AH32" s="9">
        <f t="shared" si="17"/>
        <v>1</v>
      </c>
      <c r="AI32" s="9">
        <f t="shared" si="8"/>
        <v>0</v>
      </c>
      <c r="AJ32" s="22">
        <f t="shared" si="18"/>
        <v>1</v>
      </c>
      <c r="AK32" s="22">
        <f t="shared" si="19"/>
        <v>0.5</v>
      </c>
    </row>
    <row r="33" spans="1:38" s="35" customFormat="1" x14ac:dyDescent="0.2">
      <c r="A33" s="35">
        <v>2011</v>
      </c>
      <c r="B33" s="36" t="s">
        <v>46</v>
      </c>
      <c r="C33" s="37">
        <v>40750</v>
      </c>
      <c r="D33" s="38">
        <v>27</v>
      </c>
      <c r="E33" s="36" t="s">
        <v>47</v>
      </c>
      <c r="H33" s="34">
        <v>0</v>
      </c>
      <c r="I33" s="34">
        <v>20</v>
      </c>
      <c r="J33" s="34">
        <v>0</v>
      </c>
      <c r="K33" s="34">
        <v>0</v>
      </c>
      <c r="L33" s="34">
        <f t="shared" si="11"/>
        <v>20</v>
      </c>
      <c r="M33" s="34">
        <v>8</v>
      </c>
      <c r="N33" s="34">
        <v>0</v>
      </c>
      <c r="O33" s="34">
        <v>6</v>
      </c>
      <c r="P33" s="34">
        <v>1</v>
      </c>
      <c r="Q33" s="34">
        <v>0</v>
      </c>
      <c r="R33" s="34">
        <f t="shared" si="12"/>
        <v>7</v>
      </c>
      <c r="S33" s="34">
        <v>8</v>
      </c>
      <c r="T33" s="34">
        <v>0</v>
      </c>
      <c r="U33" s="34">
        <v>24</v>
      </c>
      <c r="V33" s="34">
        <v>6</v>
      </c>
      <c r="W33" s="34">
        <v>0</v>
      </c>
      <c r="X33" s="34">
        <f t="shared" si="13"/>
        <v>30</v>
      </c>
      <c r="Y33" s="34">
        <v>15</v>
      </c>
      <c r="Z33" s="34">
        <v>0</v>
      </c>
      <c r="AA33" s="34">
        <v>16</v>
      </c>
      <c r="AB33" s="34">
        <v>5</v>
      </c>
      <c r="AC33" s="34">
        <v>2</v>
      </c>
      <c r="AD33" s="34">
        <f t="shared" si="14"/>
        <v>23</v>
      </c>
      <c r="AE33" s="34">
        <v>15</v>
      </c>
      <c r="AF33" s="39">
        <f t="shared" ref="AF33:AF49" si="20">SUM(H33,N33,T33,Z33)</f>
        <v>0</v>
      </c>
      <c r="AG33" s="39">
        <f t="shared" ref="AG33:AG49" si="21">SUM(I33,O33,U33,AA33)</f>
        <v>66</v>
      </c>
      <c r="AH33" s="40">
        <f t="shared" si="17"/>
        <v>12</v>
      </c>
      <c r="AI33" s="40">
        <f t="shared" si="8"/>
        <v>2</v>
      </c>
      <c r="AJ33" s="39">
        <f t="shared" si="18"/>
        <v>80</v>
      </c>
      <c r="AK33" s="39">
        <f t="shared" si="19"/>
        <v>46</v>
      </c>
      <c r="AL33" s="41"/>
    </row>
    <row r="34" spans="1:38" x14ac:dyDescent="0.2">
      <c r="A34">
        <v>2011</v>
      </c>
      <c r="B34" s="20" t="s">
        <v>46</v>
      </c>
      <c r="C34" s="12">
        <v>40750</v>
      </c>
      <c r="D34" s="3">
        <v>27</v>
      </c>
      <c r="E34" s="20" t="s">
        <v>55</v>
      </c>
      <c r="H34" s="1" t="s">
        <v>1</v>
      </c>
      <c r="I34" s="1" t="s">
        <v>1</v>
      </c>
      <c r="J34" s="1">
        <v>6</v>
      </c>
      <c r="K34" s="1">
        <v>11</v>
      </c>
      <c r="L34" s="1">
        <f t="shared" si="11"/>
        <v>17</v>
      </c>
      <c r="M34" s="1">
        <v>45</v>
      </c>
      <c r="N34" s="1" t="s">
        <v>1</v>
      </c>
      <c r="O34" s="1" t="s">
        <v>1</v>
      </c>
      <c r="P34" s="1">
        <v>5</v>
      </c>
      <c r="Q34" s="1">
        <v>9</v>
      </c>
      <c r="R34" s="1">
        <f t="shared" si="12"/>
        <v>14</v>
      </c>
      <c r="S34" s="1">
        <v>65</v>
      </c>
      <c r="T34" s="1" t="s">
        <v>1</v>
      </c>
      <c r="U34" s="1" t="s">
        <v>1</v>
      </c>
      <c r="V34" s="1">
        <v>13</v>
      </c>
      <c r="W34" s="1">
        <v>6</v>
      </c>
      <c r="X34" s="1">
        <f t="shared" si="13"/>
        <v>19</v>
      </c>
      <c r="Y34" s="1">
        <v>35</v>
      </c>
      <c r="Z34" s="1" t="s">
        <v>1</v>
      </c>
      <c r="AA34" s="1" t="s">
        <v>1</v>
      </c>
      <c r="AB34" s="1">
        <v>0</v>
      </c>
      <c r="AC34" s="1">
        <v>10</v>
      </c>
      <c r="AD34" s="1">
        <f t="shared" si="14"/>
        <v>10</v>
      </c>
      <c r="AE34" s="1">
        <v>65</v>
      </c>
      <c r="AF34" s="22">
        <f t="shared" si="20"/>
        <v>0</v>
      </c>
      <c r="AG34" s="22">
        <f t="shared" si="21"/>
        <v>0</v>
      </c>
      <c r="AH34" s="9">
        <f t="shared" si="17"/>
        <v>24</v>
      </c>
      <c r="AI34" s="9">
        <f t="shared" si="8"/>
        <v>36</v>
      </c>
      <c r="AJ34" s="22">
        <f t="shared" si="18"/>
        <v>60</v>
      </c>
      <c r="AK34" s="22">
        <f t="shared" si="19"/>
        <v>210</v>
      </c>
    </row>
    <row r="35" spans="1:38" x14ac:dyDescent="0.2">
      <c r="A35">
        <v>2011</v>
      </c>
      <c r="B35" s="20" t="s">
        <v>46</v>
      </c>
      <c r="C35" s="12">
        <v>40750</v>
      </c>
      <c r="D35" s="3">
        <v>27</v>
      </c>
      <c r="E35" s="20" t="s">
        <v>64</v>
      </c>
      <c r="H35" s="1" t="s">
        <v>1</v>
      </c>
      <c r="I35" s="1" t="s">
        <v>1</v>
      </c>
      <c r="J35" s="1">
        <v>2</v>
      </c>
      <c r="K35" s="1">
        <v>0</v>
      </c>
      <c r="L35" s="1">
        <f t="shared" si="11"/>
        <v>2</v>
      </c>
      <c r="M35" s="1">
        <v>1.5</v>
      </c>
      <c r="N35" s="1" t="s">
        <v>1</v>
      </c>
      <c r="O35" s="1" t="s">
        <v>1</v>
      </c>
      <c r="P35" s="1">
        <v>0</v>
      </c>
      <c r="Q35" s="1">
        <v>0</v>
      </c>
      <c r="R35" s="1">
        <f t="shared" si="12"/>
        <v>0</v>
      </c>
      <c r="S35" s="1">
        <v>0</v>
      </c>
      <c r="T35" s="1" t="s">
        <v>1</v>
      </c>
      <c r="U35" s="1" t="s">
        <v>1</v>
      </c>
      <c r="V35" s="1">
        <v>0</v>
      </c>
      <c r="W35" s="1">
        <v>0</v>
      </c>
      <c r="X35" s="1">
        <f t="shared" si="13"/>
        <v>0</v>
      </c>
      <c r="Y35" s="1">
        <v>0</v>
      </c>
      <c r="Z35" s="1" t="s">
        <v>1</v>
      </c>
      <c r="AA35" s="1" t="s">
        <v>1</v>
      </c>
      <c r="AB35" s="1">
        <v>6</v>
      </c>
      <c r="AC35" s="1">
        <v>0</v>
      </c>
      <c r="AD35" s="1">
        <f t="shared" si="14"/>
        <v>6</v>
      </c>
      <c r="AE35" s="1">
        <v>8</v>
      </c>
      <c r="AF35" s="22">
        <f t="shared" si="20"/>
        <v>0</v>
      </c>
      <c r="AG35" s="22">
        <f t="shared" si="21"/>
        <v>0</v>
      </c>
      <c r="AH35" s="9">
        <f t="shared" si="17"/>
        <v>8</v>
      </c>
      <c r="AI35" s="9">
        <f t="shared" si="8"/>
        <v>0</v>
      </c>
      <c r="AJ35" s="22">
        <f t="shared" si="18"/>
        <v>8</v>
      </c>
      <c r="AK35" s="22">
        <f t="shared" si="19"/>
        <v>9.5</v>
      </c>
    </row>
    <row r="36" spans="1:38" x14ac:dyDescent="0.2">
      <c r="A36">
        <v>2011</v>
      </c>
      <c r="B36" s="20" t="s">
        <v>46</v>
      </c>
      <c r="C36" s="12">
        <v>40750</v>
      </c>
      <c r="D36" s="3">
        <v>27</v>
      </c>
      <c r="E36" s="20" t="s">
        <v>52</v>
      </c>
      <c r="H36" s="1" t="s">
        <v>1</v>
      </c>
      <c r="I36" s="1" t="s">
        <v>1</v>
      </c>
      <c r="J36" s="1">
        <v>2</v>
      </c>
      <c r="K36" s="1">
        <v>0</v>
      </c>
      <c r="L36" s="1">
        <f t="shared" si="11"/>
        <v>2</v>
      </c>
      <c r="M36" s="1">
        <v>0.5</v>
      </c>
      <c r="N36" s="1" t="s">
        <v>1</v>
      </c>
      <c r="O36" s="1" t="s">
        <v>1</v>
      </c>
      <c r="P36" s="1">
        <v>0</v>
      </c>
      <c r="Q36" s="1">
        <v>0</v>
      </c>
      <c r="R36" s="1">
        <f t="shared" si="12"/>
        <v>0</v>
      </c>
      <c r="S36" s="1">
        <v>0</v>
      </c>
      <c r="T36" s="1" t="s">
        <v>1</v>
      </c>
      <c r="U36" s="1" t="s">
        <v>1</v>
      </c>
      <c r="V36" s="1">
        <v>2</v>
      </c>
      <c r="W36" s="1">
        <v>0</v>
      </c>
      <c r="X36" s="1">
        <f t="shared" si="13"/>
        <v>2</v>
      </c>
      <c r="Y36" s="1">
        <v>1.5</v>
      </c>
      <c r="Z36" s="1" t="s">
        <v>1</v>
      </c>
      <c r="AA36" s="1" t="s">
        <v>1</v>
      </c>
      <c r="AB36" s="1">
        <v>0</v>
      </c>
      <c r="AC36" s="1">
        <v>0</v>
      </c>
      <c r="AD36" s="1">
        <f t="shared" si="14"/>
        <v>0</v>
      </c>
      <c r="AE36" s="1">
        <v>0</v>
      </c>
      <c r="AF36" s="22">
        <f t="shared" si="20"/>
        <v>0</v>
      </c>
      <c r="AG36" s="22">
        <f t="shared" si="21"/>
        <v>0</v>
      </c>
      <c r="AH36" s="9">
        <f t="shared" si="17"/>
        <v>4</v>
      </c>
      <c r="AI36" s="9">
        <f t="shared" si="8"/>
        <v>0</v>
      </c>
      <c r="AJ36" s="22">
        <f t="shared" si="18"/>
        <v>4</v>
      </c>
      <c r="AK36" s="22">
        <f t="shared" si="19"/>
        <v>2</v>
      </c>
    </row>
    <row r="37" spans="1:38" x14ac:dyDescent="0.2">
      <c r="A37">
        <v>2011</v>
      </c>
      <c r="B37" s="20" t="s">
        <v>46</v>
      </c>
      <c r="C37" s="12">
        <v>40750</v>
      </c>
      <c r="D37" s="3">
        <v>27</v>
      </c>
      <c r="E37" s="20" t="s">
        <v>48</v>
      </c>
      <c r="H37" s="1">
        <v>2</v>
      </c>
      <c r="I37" s="1">
        <v>0</v>
      </c>
      <c r="J37" s="1">
        <v>0</v>
      </c>
      <c r="K37" s="1">
        <v>0</v>
      </c>
      <c r="L37" s="1">
        <f t="shared" si="11"/>
        <v>2</v>
      </c>
      <c r="M37" s="1">
        <v>0.5</v>
      </c>
      <c r="N37" s="1">
        <v>0</v>
      </c>
      <c r="O37" s="1">
        <v>0</v>
      </c>
      <c r="P37" s="1">
        <v>0</v>
      </c>
      <c r="Q37" s="1">
        <v>0</v>
      </c>
      <c r="R37" s="1">
        <f t="shared" si="12"/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f t="shared" si="13"/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f t="shared" si="14"/>
        <v>0</v>
      </c>
      <c r="AE37" s="1">
        <v>0</v>
      </c>
      <c r="AF37" s="22">
        <f t="shared" si="20"/>
        <v>2</v>
      </c>
      <c r="AG37" s="22">
        <f t="shared" si="21"/>
        <v>0</v>
      </c>
      <c r="AH37" s="9">
        <f t="shared" si="17"/>
        <v>0</v>
      </c>
      <c r="AI37" s="9">
        <f t="shared" si="8"/>
        <v>0</v>
      </c>
      <c r="AJ37" s="22">
        <f t="shared" si="18"/>
        <v>2</v>
      </c>
      <c r="AK37" s="22">
        <f t="shared" si="19"/>
        <v>0.5</v>
      </c>
    </row>
    <row r="38" spans="1:38" x14ac:dyDescent="0.2">
      <c r="A38">
        <v>2011</v>
      </c>
      <c r="B38" s="20" t="s">
        <v>46</v>
      </c>
      <c r="C38" s="12">
        <v>40750</v>
      </c>
      <c r="D38" s="3">
        <v>27</v>
      </c>
      <c r="E38" s="20" t="s">
        <v>54</v>
      </c>
      <c r="H38" s="1">
        <v>0</v>
      </c>
      <c r="I38" s="1">
        <v>0</v>
      </c>
      <c r="J38" s="1">
        <v>0</v>
      </c>
      <c r="K38" s="1">
        <v>1</v>
      </c>
      <c r="L38" s="1">
        <f t="shared" si="11"/>
        <v>1</v>
      </c>
      <c r="M38" s="1">
        <v>8</v>
      </c>
      <c r="N38" s="1">
        <v>0</v>
      </c>
      <c r="O38" s="1">
        <v>0</v>
      </c>
      <c r="P38" s="1">
        <v>0</v>
      </c>
      <c r="Q38" s="1">
        <v>0</v>
      </c>
      <c r="R38" s="1">
        <f t="shared" si="12"/>
        <v>0</v>
      </c>
      <c r="S38" s="1">
        <v>0</v>
      </c>
      <c r="T38" s="1">
        <v>0</v>
      </c>
      <c r="U38" s="1">
        <v>0</v>
      </c>
      <c r="V38" s="1">
        <v>1</v>
      </c>
      <c r="W38" s="1">
        <v>3</v>
      </c>
      <c r="X38" s="1">
        <f t="shared" si="13"/>
        <v>4</v>
      </c>
      <c r="Y38" s="1">
        <v>25</v>
      </c>
      <c r="Z38" s="1">
        <v>0</v>
      </c>
      <c r="AA38" s="1">
        <v>2</v>
      </c>
      <c r="AB38" s="1">
        <v>2</v>
      </c>
      <c r="AC38" s="1">
        <v>2</v>
      </c>
      <c r="AD38" s="1">
        <f t="shared" si="14"/>
        <v>6</v>
      </c>
      <c r="AE38" s="1">
        <v>15</v>
      </c>
      <c r="AF38" s="22">
        <f t="shared" si="20"/>
        <v>0</v>
      </c>
      <c r="AG38" s="22">
        <f t="shared" si="21"/>
        <v>2</v>
      </c>
      <c r="AH38" s="9">
        <f t="shared" si="17"/>
        <v>3</v>
      </c>
      <c r="AI38" s="9">
        <f t="shared" si="8"/>
        <v>6</v>
      </c>
      <c r="AJ38" s="22">
        <f t="shared" si="18"/>
        <v>11</v>
      </c>
      <c r="AK38" s="22">
        <f t="shared" si="19"/>
        <v>48</v>
      </c>
    </row>
    <row r="39" spans="1:38" x14ac:dyDescent="0.2">
      <c r="A39">
        <v>2011</v>
      </c>
      <c r="B39" s="20" t="s">
        <v>46</v>
      </c>
      <c r="C39" s="12">
        <v>40750</v>
      </c>
      <c r="D39" s="3">
        <v>27</v>
      </c>
      <c r="E39" s="20" t="s">
        <v>69</v>
      </c>
      <c r="H39" s="1" t="s">
        <v>1</v>
      </c>
      <c r="I39" s="1" t="s">
        <v>1</v>
      </c>
      <c r="J39" s="1">
        <v>0</v>
      </c>
      <c r="K39" s="1">
        <v>0</v>
      </c>
      <c r="L39" s="1">
        <f t="shared" si="11"/>
        <v>0</v>
      </c>
      <c r="M39" s="1">
        <v>0</v>
      </c>
      <c r="N39" s="1" t="s">
        <v>1</v>
      </c>
      <c r="O39" s="1" t="s">
        <v>1</v>
      </c>
      <c r="P39" s="1">
        <v>1</v>
      </c>
      <c r="Q39" s="1">
        <v>0</v>
      </c>
      <c r="R39" s="1">
        <f t="shared" si="12"/>
        <v>1</v>
      </c>
      <c r="S39" s="1">
        <v>3.5</v>
      </c>
      <c r="T39" s="1" t="s">
        <v>1</v>
      </c>
      <c r="U39" s="1" t="s">
        <v>1</v>
      </c>
      <c r="V39" s="1">
        <v>0</v>
      </c>
      <c r="W39" s="1">
        <v>0</v>
      </c>
      <c r="X39" s="1">
        <f t="shared" si="13"/>
        <v>0</v>
      </c>
      <c r="Y39" s="1">
        <v>0</v>
      </c>
      <c r="Z39" s="1" t="s">
        <v>1</v>
      </c>
      <c r="AA39" s="1" t="s">
        <v>1</v>
      </c>
      <c r="AB39" s="1">
        <v>2</v>
      </c>
      <c r="AC39" s="1">
        <v>0</v>
      </c>
      <c r="AD39" s="1">
        <f t="shared" si="14"/>
        <v>2</v>
      </c>
      <c r="AE39" s="1">
        <v>3.5</v>
      </c>
      <c r="AF39" s="22">
        <f t="shared" si="20"/>
        <v>0</v>
      </c>
      <c r="AG39" s="22">
        <f t="shared" si="21"/>
        <v>0</v>
      </c>
      <c r="AH39" s="9">
        <f t="shared" si="17"/>
        <v>3</v>
      </c>
      <c r="AI39" s="9">
        <f t="shared" si="8"/>
        <v>0</v>
      </c>
      <c r="AJ39" s="22">
        <f t="shared" si="18"/>
        <v>3</v>
      </c>
      <c r="AK39" s="22">
        <f t="shared" si="19"/>
        <v>7</v>
      </c>
    </row>
    <row r="40" spans="1:38" x14ac:dyDescent="0.2">
      <c r="A40">
        <v>2011</v>
      </c>
      <c r="B40" s="20" t="s">
        <v>46</v>
      </c>
      <c r="C40" s="12">
        <v>40750</v>
      </c>
      <c r="D40" s="3">
        <v>27</v>
      </c>
      <c r="E40" s="20" t="s">
        <v>57</v>
      </c>
      <c r="H40" s="1" t="s">
        <v>1</v>
      </c>
      <c r="I40" s="1" t="s">
        <v>1</v>
      </c>
      <c r="J40" s="1">
        <v>0</v>
      </c>
      <c r="K40" s="1">
        <v>0</v>
      </c>
      <c r="L40" s="1">
        <f t="shared" si="11"/>
        <v>0</v>
      </c>
      <c r="M40" s="1">
        <v>0</v>
      </c>
      <c r="N40" s="1" t="s">
        <v>1</v>
      </c>
      <c r="O40" s="1" t="s">
        <v>1</v>
      </c>
      <c r="P40" s="1">
        <v>1</v>
      </c>
      <c r="Q40" s="1">
        <v>3</v>
      </c>
      <c r="R40" s="1">
        <f t="shared" si="12"/>
        <v>4</v>
      </c>
      <c r="S40" s="1">
        <v>15</v>
      </c>
      <c r="T40" s="1" t="s">
        <v>1</v>
      </c>
      <c r="U40" s="1" t="s">
        <v>1</v>
      </c>
      <c r="V40" s="1">
        <v>0</v>
      </c>
      <c r="W40" s="1">
        <v>0</v>
      </c>
      <c r="X40" s="1">
        <f t="shared" si="13"/>
        <v>0</v>
      </c>
      <c r="Y40" s="1">
        <v>0</v>
      </c>
      <c r="Z40" s="1" t="s">
        <v>1</v>
      </c>
      <c r="AA40" s="1" t="s">
        <v>1</v>
      </c>
      <c r="AB40" s="1">
        <v>0</v>
      </c>
      <c r="AC40" s="1">
        <v>0</v>
      </c>
      <c r="AD40" s="1">
        <f t="shared" si="14"/>
        <v>0</v>
      </c>
      <c r="AE40" s="1">
        <v>0</v>
      </c>
      <c r="AF40" s="22">
        <f t="shared" si="20"/>
        <v>0</v>
      </c>
      <c r="AG40" s="22">
        <f t="shared" si="21"/>
        <v>0</v>
      </c>
      <c r="AH40" s="9">
        <f t="shared" si="17"/>
        <v>1</v>
      </c>
      <c r="AI40" s="9">
        <f t="shared" si="8"/>
        <v>3</v>
      </c>
      <c r="AJ40" s="22">
        <f t="shared" si="18"/>
        <v>4</v>
      </c>
      <c r="AK40" s="22">
        <f t="shared" si="19"/>
        <v>15</v>
      </c>
    </row>
    <row r="41" spans="1:38" x14ac:dyDescent="0.2">
      <c r="A41">
        <v>2011</v>
      </c>
      <c r="B41" s="20" t="s">
        <v>46</v>
      </c>
      <c r="C41" s="12">
        <v>40750</v>
      </c>
      <c r="D41" s="3">
        <v>27</v>
      </c>
      <c r="E41" s="20" t="s">
        <v>70</v>
      </c>
      <c r="H41" s="1">
        <v>0</v>
      </c>
      <c r="I41" s="1">
        <v>0</v>
      </c>
      <c r="J41" s="1">
        <v>0</v>
      </c>
      <c r="K41" s="1">
        <v>0</v>
      </c>
      <c r="L41" s="1">
        <f t="shared" si="11"/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f t="shared" si="12"/>
        <v>1</v>
      </c>
      <c r="S41" s="1">
        <v>0.5</v>
      </c>
      <c r="T41" s="1">
        <v>0</v>
      </c>
      <c r="U41" s="1">
        <v>0</v>
      </c>
      <c r="V41" s="1">
        <v>0</v>
      </c>
      <c r="W41" s="1">
        <v>0</v>
      </c>
      <c r="X41" s="1">
        <f t="shared" si="13"/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f t="shared" si="14"/>
        <v>0</v>
      </c>
      <c r="AE41" s="1">
        <v>0</v>
      </c>
      <c r="AF41" s="22">
        <f t="shared" si="20"/>
        <v>0</v>
      </c>
      <c r="AG41" s="22">
        <f t="shared" si="21"/>
        <v>1</v>
      </c>
      <c r="AH41" s="9">
        <f t="shared" si="17"/>
        <v>0</v>
      </c>
      <c r="AI41" s="9">
        <f t="shared" si="8"/>
        <v>0</v>
      </c>
      <c r="AJ41" s="22">
        <f t="shared" si="18"/>
        <v>1</v>
      </c>
      <c r="AK41" s="22">
        <f t="shared" si="19"/>
        <v>0.5</v>
      </c>
    </row>
    <row r="42" spans="1:38" x14ac:dyDescent="0.2">
      <c r="A42">
        <v>2011</v>
      </c>
      <c r="B42" s="20" t="s">
        <v>46</v>
      </c>
      <c r="C42" s="12">
        <v>40750</v>
      </c>
      <c r="D42" s="3">
        <v>27</v>
      </c>
      <c r="E42" s="20" t="s">
        <v>50</v>
      </c>
      <c r="H42" s="1" t="s">
        <v>1</v>
      </c>
      <c r="I42" s="1" t="s">
        <v>1</v>
      </c>
      <c r="J42" s="1">
        <v>0</v>
      </c>
      <c r="K42" s="1">
        <v>0</v>
      </c>
      <c r="L42" s="1">
        <f t="shared" si="11"/>
        <v>0</v>
      </c>
      <c r="M42" s="1">
        <v>0</v>
      </c>
      <c r="N42" s="1" t="s">
        <v>1</v>
      </c>
      <c r="O42" s="1" t="s">
        <v>1</v>
      </c>
      <c r="P42" s="1">
        <v>0</v>
      </c>
      <c r="Q42" s="1">
        <v>0</v>
      </c>
      <c r="R42" s="1">
        <f t="shared" si="12"/>
        <v>0</v>
      </c>
      <c r="S42" s="1">
        <v>0</v>
      </c>
      <c r="T42" s="1" t="s">
        <v>1</v>
      </c>
      <c r="U42" s="1" t="s">
        <v>1</v>
      </c>
      <c r="V42" s="1">
        <v>1</v>
      </c>
      <c r="W42" s="1">
        <v>0</v>
      </c>
      <c r="X42" s="1">
        <f t="shared" si="13"/>
        <v>1</v>
      </c>
      <c r="Y42" s="1">
        <v>8</v>
      </c>
      <c r="Z42" s="1" t="s">
        <v>1</v>
      </c>
      <c r="AA42" s="1" t="s">
        <v>1</v>
      </c>
      <c r="AB42" s="1">
        <v>0</v>
      </c>
      <c r="AC42" s="1">
        <v>0</v>
      </c>
      <c r="AD42" s="1">
        <f t="shared" si="14"/>
        <v>0</v>
      </c>
      <c r="AE42" s="1">
        <v>0</v>
      </c>
      <c r="AF42" s="22">
        <f t="shared" si="20"/>
        <v>0</v>
      </c>
      <c r="AG42" s="22">
        <f t="shared" si="21"/>
        <v>0</v>
      </c>
      <c r="AH42" s="9">
        <f t="shared" si="17"/>
        <v>1</v>
      </c>
      <c r="AI42" s="9">
        <f t="shared" si="8"/>
        <v>0</v>
      </c>
      <c r="AJ42" s="22">
        <f t="shared" si="18"/>
        <v>1</v>
      </c>
      <c r="AK42" s="22">
        <f t="shared" si="19"/>
        <v>8</v>
      </c>
    </row>
    <row r="43" spans="1:38" x14ac:dyDescent="0.2">
      <c r="A43">
        <v>2011</v>
      </c>
      <c r="B43" s="20" t="s">
        <v>46</v>
      </c>
      <c r="C43" s="12">
        <v>40750</v>
      </c>
      <c r="D43" s="3">
        <v>27</v>
      </c>
      <c r="E43" s="20" t="s">
        <v>63</v>
      </c>
      <c r="H43" s="1">
        <v>0</v>
      </c>
      <c r="I43" s="1">
        <v>0</v>
      </c>
      <c r="J43" s="1">
        <v>0</v>
      </c>
      <c r="K43" s="1">
        <v>0</v>
      </c>
      <c r="L43" s="1">
        <f t="shared" si="11"/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f t="shared" si="12"/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f t="shared" si="13"/>
        <v>1</v>
      </c>
      <c r="Y43" s="1">
        <v>3.5</v>
      </c>
      <c r="Z43" s="1">
        <v>0</v>
      </c>
      <c r="AA43" s="1">
        <v>0</v>
      </c>
      <c r="AB43" s="1">
        <v>1</v>
      </c>
      <c r="AC43" s="1">
        <v>0</v>
      </c>
      <c r="AD43" s="1">
        <f t="shared" si="14"/>
        <v>1</v>
      </c>
      <c r="AE43" s="1">
        <v>8</v>
      </c>
      <c r="AF43" s="22">
        <f t="shared" si="20"/>
        <v>0</v>
      </c>
      <c r="AG43" s="22">
        <f t="shared" si="21"/>
        <v>0</v>
      </c>
      <c r="AH43" s="9">
        <f t="shared" si="17"/>
        <v>2</v>
      </c>
      <c r="AI43" s="9">
        <f t="shared" si="8"/>
        <v>0</v>
      </c>
      <c r="AJ43" s="22">
        <f t="shared" si="18"/>
        <v>2</v>
      </c>
      <c r="AK43" s="22">
        <f t="shared" si="19"/>
        <v>11.5</v>
      </c>
    </row>
    <row r="44" spans="1:38" x14ac:dyDescent="0.2">
      <c r="A44">
        <v>2011</v>
      </c>
      <c r="B44" s="20" t="s">
        <v>46</v>
      </c>
      <c r="C44" s="12">
        <v>40750</v>
      </c>
      <c r="D44" s="3">
        <v>27</v>
      </c>
      <c r="E44" s="20" t="s">
        <v>60</v>
      </c>
      <c r="H44" s="1" t="s">
        <v>1</v>
      </c>
      <c r="I44" s="1" t="s">
        <v>1</v>
      </c>
      <c r="J44" s="1">
        <v>0</v>
      </c>
      <c r="K44" s="1">
        <v>0</v>
      </c>
      <c r="L44" s="1">
        <f t="shared" si="11"/>
        <v>0</v>
      </c>
      <c r="M44" s="1">
        <v>0</v>
      </c>
      <c r="N44" s="1" t="s">
        <v>1</v>
      </c>
      <c r="O44" s="1" t="s">
        <v>1</v>
      </c>
      <c r="P44" s="1">
        <v>0</v>
      </c>
      <c r="Q44" s="1">
        <v>0</v>
      </c>
      <c r="R44" s="1">
        <f t="shared" si="12"/>
        <v>0</v>
      </c>
      <c r="S44" s="1">
        <v>0</v>
      </c>
      <c r="T44" s="1" t="s">
        <v>1</v>
      </c>
      <c r="U44" s="1" t="s">
        <v>1</v>
      </c>
      <c r="V44" s="1">
        <v>1</v>
      </c>
      <c r="W44" s="1">
        <v>0</v>
      </c>
      <c r="X44" s="1">
        <f t="shared" si="13"/>
        <v>1</v>
      </c>
      <c r="Y44" s="1">
        <v>0.5</v>
      </c>
      <c r="Z44" s="1" t="s">
        <v>1</v>
      </c>
      <c r="AA44" s="1" t="s">
        <v>1</v>
      </c>
      <c r="AB44" s="1">
        <v>0</v>
      </c>
      <c r="AC44" s="1">
        <v>0</v>
      </c>
      <c r="AD44" s="1">
        <f t="shared" si="14"/>
        <v>0</v>
      </c>
      <c r="AE44" s="1">
        <v>0</v>
      </c>
      <c r="AF44" s="22">
        <f t="shared" si="20"/>
        <v>0</v>
      </c>
      <c r="AG44" s="22">
        <f t="shared" si="21"/>
        <v>0</v>
      </c>
      <c r="AH44" s="9">
        <f t="shared" si="17"/>
        <v>1</v>
      </c>
      <c r="AI44" s="9">
        <f t="shared" si="8"/>
        <v>0</v>
      </c>
      <c r="AJ44" s="22">
        <f t="shared" si="18"/>
        <v>1</v>
      </c>
      <c r="AK44" s="22">
        <f t="shared" si="19"/>
        <v>0.5</v>
      </c>
    </row>
    <row r="45" spans="1:38" x14ac:dyDescent="0.2">
      <c r="A45">
        <v>2011</v>
      </c>
      <c r="B45" s="20" t="s">
        <v>46</v>
      </c>
      <c r="C45" s="12">
        <v>40750</v>
      </c>
      <c r="D45" s="3">
        <v>27</v>
      </c>
      <c r="E45" s="20" t="s">
        <v>49</v>
      </c>
      <c r="H45" s="1">
        <v>0</v>
      </c>
      <c r="I45" s="1">
        <v>0</v>
      </c>
      <c r="J45" s="1">
        <v>0</v>
      </c>
      <c r="K45" s="1">
        <v>0</v>
      </c>
      <c r="L45" s="1">
        <f t="shared" si="11"/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f t="shared" si="12"/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f t="shared" si="13"/>
        <v>0</v>
      </c>
      <c r="Y45" s="1">
        <v>0</v>
      </c>
      <c r="Z45" s="1">
        <v>0</v>
      </c>
      <c r="AA45" s="1">
        <v>0</v>
      </c>
      <c r="AB45" s="1">
        <v>1</v>
      </c>
      <c r="AC45" s="1">
        <v>0</v>
      </c>
      <c r="AD45" s="1">
        <f t="shared" si="14"/>
        <v>1</v>
      </c>
      <c r="AE45" s="1">
        <v>1.5</v>
      </c>
      <c r="AF45" s="22">
        <f t="shared" si="20"/>
        <v>0</v>
      </c>
      <c r="AG45" s="22">
        <f t="shared" si="21"/>
        <v>0</v>
      </c>
      <c r="AH45" s="9">
        <f t="shared" si="17"/>
        <v>1</v>
      </c>
      <c r="AI45" s="9">
        <f t="shared" si="8"/>
        <v>0</v>
      </c>
      <c r="AJ45" s="22">
        <f t="shared" si="18"/>
        <v>1</v>
      </c>
      <c r="AK45" s="22">
        <f t="shared" si="19"/>
        <v>1.5</v>
      </c>
    </row>
    <row r="46" spans="1:38" x14ac:dyDescent="0.2">
      <c r="A46">
        <v>2011</v>
      </c>
      <c r="B46" s="20" t="s">
        <v>46</v>
      </c>
      <c r="C46" s="12">
        <v>40750</v>
      </c>
      <c r="D46" s="3">
        <v>27</v>
      </c>
      <c r="E46" s="20" t="s">
        <v>71</v>
      </c>
      <c r="H46" s="1" t="s">
        <v>1</v>
      </c>
      <c r="I46" s="1" t="s">
        <v>1</v>
      </c>
      <c r="J46" s="1">
        <v>0</v>
      </c>
      <c r="K46" s="1">
        <v>0</v>
      </c>
      <c r="L46" s="1">
        <f t="shared" si="11"/>
        <v>0</v>
      </c>
      <c r="M46" s="1">
        <v>0</v>
      </c>
      <c r="N46" s="1" t="s">
        <v>1</v>
      </c>
      <c r="O46" s="1" t="s">
        <v>1</v>
      </c>
      <c r="P46" s="1">
        <v>0</v>
      </c>
      <c r="Q46" s="1">
        <v>0</v>
      </c>
      <c r="R46" s="1">
        <f t="shared" si="12"/>
        <v>0</v>
      </c>
      <c r="S46" s="1">
        <v>0</v>
      </c>
      <c r="T46" s="1" t="s">
        <v>1</v>
      </c>
      <c r="U46" s="1" t="s">
        <v>1</v>
      </c>
      <c r="V46" s="1">
        <v>0</v>
      </c>
      <c r="W46" s="1">
        <v>0</v>
      </c>
      <c r="X46" s="1">
        <f t="shared" si="13"/>
        <v>0</v>
      </c>
      <c r="Y46" s="1">
        <v>0</v>
      </c>
      <c r="Z46" s="1" t="s">
        <v>1</v>
      </c>
      <c r="AA46" s="1" t="s">
        <v>1</v>
      </c>
      <c r="AB46" s="1">
        <v>1</v>
      </c>
      <c r="AC46" s="1">
        <v>0</v>
      </c>
      <c r="AD46" s="1">
        <f t="shared" si="14"/>
        <v>1</v>
      </c>
      <c r="AE46" s="1">
        <v>0.5</v>
      </c>
      <c r="AF46" s="22">
        <f t="shared" si="20"/>
        <v>0</v>
      </c>
      <c r="AG46" s="22">
        <f t="shared" si="21"/>
        <v>0</v>
      </c>
      <c r="AH46" s="9">
        <f t="shared" si="17"/>
        <v>1</v>
      </c>
      <c r="AI46" s="9">
        <f t="shared" si="8"/>
        <v>0</v>
      </c>
      <c r="AJ46" s="22">
        <f t="shared" si="18"/>
        <v>1</v>
      </c>
      <c r="AK46" s="22">
        <f t="shared" si="19"/>
        <v>0.5</v>
      </c>
    </row>
    <row r="47" spans="1:38" x14ac:dyDescent="0.2">
      <c r="A47">
        <v>2011</v>
      </c>
      <c r="B47" s="20" t="s">
        <v>46</v>
      </c>
      <c r="C47" s="12">
        <v>40750</v>
      </c>
      <c r="D47" s="3">
        <v>27</v>
      </c>
      <c r="E47" s="20" t="s">
        <v>65</v>
      </c>
      <c r="H47" s="1" t="s">
        <v>1</v>
      </c>
      <c r="I47" s="1" t="s">
        <v>1</v>
      </c>
      <c r="J47" s="1">
        <v>0</v>
      </c>
      <c r="K47" s="1">
        <v>0</v>
      </c>
      <c r="L47" s="1">
        <f t="shared" si="11"/>
        <v>0</v>
      </c>
      <c r="M47" s="1">
        <v>0</v>
      </c>
      <c r="N47" s="1" t="s">
        <v>1</v>
      </c>
      <c r="O47" s="1" t="s">
        <v>1</v>
      </c>
      <c r="P47" s="1">
        <v>0</v>
      </c>
      <c r="Q47" s="1">
        <v>0</v>
      </c>
      <c r="R47" s="1">
        <f t="shared" si="12"/>
        <v>0</v>
      </c>
      <c r="S47" s="1">
        <v>0</v>
      </c>
      <c r="T47" s="1" t="s">
        <v>1</v>
      </c>
      <c r="U47" s="1" t="s">
        <v>1</v>
      </c>
      <c r="V47" s="1">
        <v>0</v>
      </c>
      <c r="W47" s="1">
        <v>0</v>
      </c>
      <c r="X47" s="1">
        <f t="shared" si="13"/>
        <v>0</v>
      </c>
      <c r="Y47" s="1">
        <v>0</v>
      </c>
      <c r="Z47" s="1" t="s">
        <v>1</v>
      </c>
      <c r="AA47" s="1" t="s">
        <v>1</v>
      </c>
      <c r="AB47" s="1">
        <v>4</v>
      </c>
      <c r="AC47" s="1">
        <v>0</v>
      </c>
      <c r="AD47" s="1">
        <f t="shared" si="14"/>
        <v>4</v>
      </c>
      <c r="AE47" s="1">
        <v>0.5</v>
      </c>
      <c r="AF47" s="22">
        <f t="shared" si="20"/>
        <v>0</v>
      </c>
      <c r="AG47" s="22">
        <f t="shared" si="21"/>
        <v>0</v>
      </c>
      <c r="AH47" s="9">
        <f t="shared" si="17"/>
        <v>4</v>
      </c>
      <c r="AI47" s="9">
        <f t="shared" si="8"/>
        <v>0</v>
      </c>
      <c r="AJ47" s="22">
        <f t="shared" si="18"/>
        <v>4</v>
      </c>
      <c r="AK47" s="22">
        <f t="shared" si="19"/>
        <v>0.5</v>
      </c>
    </row>
    <row r="48" spans="1:38" x14ac:dyDescent="0.2">
      <c r="A48">
        <v>2011</v>
      </c>
      <c r="B48" s="20" t="s">
        <v>46</v>
      </c>
      <c r="C48" s="12">
        <v>40750</v>
      </c>
      <c r="D48" s="3">
        <v>27</v>
      </c>
      <c r="E48" s="20" t="s">
        <v>72</v>
      </c>
      <c r="H48" s="1">
        <v>0</v>
      </c>
      <c r="I48" s="1">
        <v>0</v>
      </c>
      <c r="J48" s="1">
        <v>0</v>
      </c>
      <c r="K48" s="1">
        <v>0</v>
      </c>
      <c r="L48" s="1">
        <f t="shared" si="11"/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f t="shared" si="12"/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f t="shared" si="13"/>
        <v>0</v>
      </c>
      <c r="Y48" s="1">
        <v>0</v>
      </c>
      <c r="Z48" s="1">
        <v>0</v>
      </c>
      <c r="AA48" s="1">
        <v>3</v>
      </c>
      <c r="AB48" s="1">
        <v>0</v>
      </c>
      <c r="AC48" s="1">
        <v>0</v>
      </c>
      <c r="AD48" s="1">
        <f t="shared" si="14"/>
        <v>3</v>
      </c>
      <c r="AE48" s="1">
        <v>1.5</v>
      </c>
      <c r="AF48" s="22">
        <f t="shared" si="20"/>
        <v>0</v>
      </c>
      <c r="AG48" s="22">
        <f t="shared" si="21"/>
        <v>3</v>
      </c>
      <c r="AH48" s="9">
        <f t="shared" si="17"/>
        <v>0</v>
      </c>
      <c r="AI48" s="9">
        <f t="shared" si="8"/>
        <v>0</v>
      </c>
      <c r="AJ48" s="22">
        <f t="shared" si="18"/>
        <v>3</v>
      </c>
      <c r="AK48" s="22">
        <f t="shared" si="19"/>
        <v>1.5</v>
      </c>
    </row>
    <row r="49" spans="1:38" x14ac:dyDescent="0.2">
      <c r="A49">
        <v>2011</v>
      </c>
      <c r="B49" s="20" t="s">
        <v>46</v>
      </c>
      <c r="C49" s="12">
        <v>40750</v>
      </c>
      <c r="D49" s="3">
        <v>27</v>
      </c>
      <c r="E49" s="20" t="s">
        <v>59</v>
      </c>
      <c r="H49" s="1" t="s">
        <v>1</v>
      </c>
      <c r="I49" s="1" t="s">
        <v>1</v>
      </c>
      <c r="J49" s="1">
        <v>0</v>
      </c>
      <c r="K49" s="1">
        <v>0</v>
      </c>
      <c r="L49" s="1">
        <f t="shared" si="11"/>
        <v>0</v>
      </c>
      <c r="M49" s="1">
        <v>0</v>
      </c>
      <c r="N49" s="1" t="s">
        <v>1</v>
      </c>
      <c r="O49" s="1" t="s">
        <v>1</v>
      </c>
      <c r="P49" s="1">
        <v>0</v>
      </c>
      <c r="Q49" s="1">
        <v>0</v>
      </c>
      <c r="R49" s="1">
        <f t="shared" si="12"/>
        <v>0</v>
      </c>
      <c r="S49" s="1">
        <v>0</v>
      </c>
      <c r="T49" s="1" t="s">
        <v>1</v>
      </c>
      <c r="U49" s="1" t="s">
        <v>1</v>
      </c>
      <c r="V49" s="1">
        <v>0</v>
      </c>
      <c r="W49" s="1">
        <v>0</v>
      </c>
      <c r="X49" s="1">
        <f t="shared" si="13"/>
        <v>0</v>
      </c>
      <c r="Y49" s="1">
        <v>0</v>
      </c>
      <c r="Z49" s="1" t="s">
        <v>1</v>
      </c>
      <c r="AA49" s="1" t="s">
        <v>1</v>
      </c>
      <c r="AB49" s="1">
        <v>1</v>
      </c>
      <c r="AC49" s="1">
        <v>0</v>
      </c>
      <c r="AD49" s="1">
        <f t="shared" si="14"/>
        <v>1</v>
      </c>
      <c r="AE49" s="1">
        <v>0.5</v>
      </c>
      <c r="AF49" s="22">
        <f t="shared" si="20"/>
        <v>0</v>
      </c>
      <c r="AG49" s="22">
        <f t="shared" si="21"/>
        <v>0</v>
      </c>
      <c r="AH49" s="9">
        <f t="shared" si="17"/>
        <v>1</v>
      </c>
      <c r="AI49" s="9">
        <f t="shared" si="8"/>
        <v>0</v>
      </c>
      <c r="AJ49" s="22">
        <f t="shared" si="18"/>
        <v>1</v>
      </c>
      <c r="AK49" s="22">
        <f t="shared" si="19"/>
        <v>0.5</v>
      </c>
    </row>
    <row r="50" spans="1:38" s="35" customFormat="1" x14ac:dyDescent="0.2">
      <c r="A50" s="35">
        <v>2011</v>
      </c>
      <c r="B50" s="36" t="s">
        <v>46</v>
      </c>
      <c r="C50" s="37">
        <v>40738</v>
      </c>
      <c r="D50" s="38">
        <v>31</v>
      </c>
      <c r="E50" s="36" t="s">
        <v>47</v>
      </c>
      <c r="H50" s="34">
        <v>0</v>
      </c>
      <c r="I50" s="34">
        <v>14</v>
      </c>
      <c r="J50" s="34">
        <v>4</v>
      </c>
      <c r="K50" s="34">
        <v>0</v>
      </c>
      <c r="L50" s="34">
        <f t="shared" ref="L50:L60" si="22">SUM(H50:K50)</f>
        <v>18</v>
      </c>
      <c r="M50" s="34">
        <v>8</v>
      </c>
      <c r="N50" s="34">
        <v>0</v>
      </c>
      <c r="O50" s="34">
        <v>9</v>
      </c>
      <c r="P50" s="34">
        <v>1</v>
      </c>
      <c r="Q50" s="34">
        <v>0</v>
      </c>
      <c r="R50" s="34">
        <f t="shared" ref="R50:R60" si="23">SUM(N50:Q50)</f>
        <v>10</v>
      </c>
      <c r="S50" s="34">
        <v>3.5</v>
      </c>
      <c r="T50" s="34">
        <v>0</v>
      </c>
      <c r="U50" s="34">
        <v>16</v>
      </c>
      <c r="V50" s="34">
        <v>9</v>
      </c>
      <c r="W50" s="34">
        <v>0</v>
      </c>
      <c r="X50" s="34">
        <f t="shared" ref="X50:X60" si="24">SUM(T50:W50)</f>
        <v>25</v>
      </c>
      <c r="Y50" s="34">
        <v>45</v>
      </c>
      <c r="Z50" s="34">
        <v>0</v>
      </c>
      <c r="AA50" s="34">
        <v>6</v>
      </c>
      <c r="AB50" s="34">
        <v>6</v>
      </c>
      <c r="AC50" s="34">
        <v>0</v>
      </c>
      <c r="AD50" s="34">
        <f t="shared" ref="AD50:AD60" si="25">SUM(Z50:AC50)</f>
        <v>12</v>
      </c>
      <c r="AE50" s="34">
        <v>8</v>
      </c>
      <c r="AF50" s="39">
        <f t="shared" ref="AF50:AF60" si="26">SUM(H50,N50,T50,Z50)</f>
        <v>0</v>
      </c>
      <c r="AG50" s="39">
        <f t="shared" ref="AG50:AG60" si="27">SUM(I50,O50,U50,AA50)</f>
        <v>45</v>
      </c>
      <c r="AH50" s="39">
        <f t="shared" ref="AH50:AH60" si="28">SUM(J50,P50,V50,AB50)</f>
        <v>20</v>
      </c>
      <c r="AI50" s="39">
        <f t="shared" ref="AI50:AI60" si="29">SUM(K50,Q50,W50,AC50)</f>
        <v>0</v>
      </c>
      <c r="AJ50" s="39">
        <f t="shared" ref="AJ50:AJ60" si="30">SUM(AF50:AI50)</f>
        <v>65</v>
      </c>
      <c r="AK50" s="39">
        <f t="shared" ref="AK50:AK60" si="31">M50+S50+Y50+AE50</f>
        <v>64.5</v>
      </c>
      <c r="AL50" s="41"/>
    </row>
    <row r="51" spans="1:38" x14ac:dyDescent="0.2">
      <c r="A51">
        <v>2011</v>
      </c>
      <c r="B51" s="20" t="s">
        <v>46</v>
      </c>
      <c r="C51" s="12">
        <v>40738</v>
      </c>
      <c r="D51" s="3">
        <v>31</v>
      </c>
      <c r="E51" s="20" t="s">
        <v>50</v>
      </c>
      <c r="H51" s="26" t="s">
        <v>1</v>
      </c>
      <c r="I51" s="26" t="s">
        <v>1</v>
      </c>
      <c r="J51" s="1">
        <v>2</v>
      </c>
      <c r="K51" s="1">
        <v>0</v>
      </c>
      <c r="L51" s="1">
        <f t="shared" si="22"/>
        <v>2</v>
      </c>
      <c r="M51" s="1">
        <v>3.5</v>
      </c>
      <c r="N51" s="26" t="s">
        <v>1</v>
      </c>
      <c r="O51" s="26" t="s">
        <v>1</v>
      </c>
      <c r="P51" s="1">
        <v>6</v>
      </c>
      <c r="Q51" s="1">
        <v>2</v>
      </c>
      <c r="R51" s="1">
        <f t="shared" si="23"/>
        <v>8</v>
      </c>
      <c r="S51" s="1">
        <v>55</v>
      </c>
      <c r="T51" s="26" t="s">
        <v>1</v>
      </c>
      <c r="U51" s="26" t="s">
        <v>1</v>
      </c>
      <c r="V51" s="1">
        <v>0</v>
      </c>
      <c r="W51" s="1">
        <v>0</v>
      </c>
      <c r="X51" s="1">
        <f t="shared" si="24"/>
        <v>0</v>
      </c>
      <c r="Y51" s="1">
        <v>0</v>
      </c>
      <c r="Z51" s="26" t="s">
        <v>1</v>
      </c>
      <c r="AA51" s="26" t="s">
        <v>1</v>
      </c>
      <c r="AB51" s="1">
        <v>0</v>
      </c>
      <c r="AC51" s="1">
        <v>1</v>
      </c>
      <c r="AD51" s="1">
        <f t="shared" si="25"/>
        <v>1</v>
      </c>
      <c r="AE51" s="34">
        <v>45</v>
      </c>
      <c r="AF51" s="22">
        <f t="shared" si="26"/>
        <v>0</v>
      </c>
      <c r="AG51" s="22">
        <f t="shared" si="27"/>
        <v>0</v>
      </c>
      <c r="AH51" s="22">
        <f t="shared" si="28"/>
        <v>8</v>
      </c>
      <c r="AI51" s="22">
        <f t="shared" si="29"/>
        <v>3</v>
      </c>
      <c r="AJ51" s="22">
        <f t="shared" si="30"/>
        <v>11</v>
      </c>
      <c r="AK51" s="22">
        <f t="shared" si="31"/>
        <v>103.5</v>
      </c>
    </row>
    <row r="52" spans="1:38" x14ac:dyDescent="0.2">
      <c r="A52">
        <v>2011</v>
      </c>
      <c r="B52" s="20" t="s">
        <v>46</v>
      </c>
      <c r="C52" s="12">
        <v>40738</v>
      </c>
      <c r="D52" s="3">
        <v>31</v>
      </c>
      <c r="E52" s="20" t="s">
        <v>48</v>
      </c>
      <c r="H52" s="1">
        <v>0</v>
      </c>
      <c r="I52" s="1">
        <v>0</v>
      </c>
      <c r="J52" s="1">
        <v>0</v>
      </c>
      <c r="K52" s="1">
        <v>0</v>
      </c>
      <c r="L52" s="1">
        <f t="shared" si="22"/>
        <v>0</v>
      </c>
      <c r="M52" s="1">
        <v>0.5</v>
      </c>
      <c r="N52" s="1">
        <v>0</v>
      </c>
      <c r="O52" s="1">
        <v>0</v>
      </c>
      <c r="P52" s="1">
        <v>0</v>
      </c>
      <c r="Q52" s="1">
        <v>0</v>
      </c>
      <c r="R52" s="1">
        <f t="shared" si="23"/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f t="shared" si="24"/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f t="shared" si="25"/>
        <v>0</v>
      </c>
      <c r="AE52" s="1">
        <v>0</v>
      </c>
      <c r="AF52" s="22">
        <f t="shared" si="26"/>
        <v>0</v>
      </c>
      <c r="AG52" s="22">
        <f t="shared" si="27"/>
        <v>0</v>
      </c>
      <c r="AH52" s="22">
        <f t="shared" si="28"/>
        <v>0</v>
      </c>
      <c r="AI52" s="22">
        <f t="shared" si="29"/>
        <v>0</v>
      </c>
      <c r="AJ52" s="22">
        <f t="shared" si="30"/>
        <v>0</v>
      </c>
      <c r="AK52" s="22">
        <f t="shared" si="31"/>
        <v>0.5</v>
      </c>
    </row>
    <row r="53" spans="1:38" x14ac:dyDescent="0.2">
      <c r="A53">
        <v>2011</v>
      </c>
      <c r="B53" s="20" t="s">
        <v>46</v>
      </c>
      <c r="C53" s="12">
        <v>40738</v>
      </c>
      <c r="D53" s="3">
        <v>31</v>
      </c>
      <c r="E53" s="20" t="s">
        <v>73</v>
      </c>
      <c r="H53" s="26" t="s">
        <v>1</v>
      </c>
      <c r="I53" s="26" t="s">
        <v>1</v>
      </c>
      <c r="J53" s="1">
        <v>1</v>
      </c>
      <c r="K53" s="1">
        <v>0</v>
      </c>
      <c r="L53" s="1">
        <f t="shared" si="22"/>
        <v>1</v>
      </c>
      <c r="M53" s="1">
        <v>0.5</v>
      </c>
      <c r="N53" s="26" t="s">
        <v>1</v>
      </c>
      <c r="O53" s="26" t="s">
        <v>1</v>
      </c>
      <c r="P53" s="1">
        <v>0</v>
      </c>
      <c r="Q53" s="1">
        <v>0</v>
      </c>
      <c r="R53" s="1">
        <f t="shared" si="23"/>
        <v>0</v>
      </c>
      <c r="S53" s="1">
        <v>0</v>
      </c>
      <c r="T53" s="26" t="s">
        <v>1</v>
      </c>
      <c r="U53" s="26" t="s">
        <v>1</v>
      </c>
      <c r="V53" s="1">
        <v>0</v>
      </c>
      <c r="W53" s="1">
        <v>0</v>
      </c>
      <c r="X53" s="1">
        <f t="shared" si="24"/>
        <v>0</v>
      </c>
      <c r="Y53" s="1">
        <v>0</v>
      </c>
      <c r="Z53" s="26" t="s">
        <v>1</v>
      </c>
      <c r="AA53" s="26" t="s">
        <v>1</v>
      </c>
      <c r="AB53" s="1">
        <v>0</v>
      </c>
      <c r="AC53" s="1">
        <v>0</v>
      </c>
      <c r="AD53" s="1">
        <f t="shared" si="25"/>
        <v>0</v>
      </c>
      <c r="AE53" s="1">
        <v>0</v>
      </c>
      <c r="AF53" s="22">
        <f t="shared" si="26"/>
        <v>0</v>
      </c>
      <c r="AG53" s="22">
        <f t="shared" si="27"/>
        <v>0</v>
      </c>
      <c r="AH53" s="22">
        <f t="shared" si="28"/>
        <v>1</v>
      </c>
      <c r="AI53" s="22">
        <f t="shared" si="29"/>
        <v>0</v>
      </c>
      <c r="AJ53" s="22">
        <f t="shared" si="30"/>
        <v>1</v>
      </c>
      <c r="AK53" s="22">
        <f t="shared" si="31"/>
        <v>0.5</v>
      </c>
    </row>
    <row r="54" spans="1:38" x14ac:dyDescent="0.2">
      <c r="A54">
        <v>2011</v>
      </c>
      <c r="B54" s="20" t="s">
        <v>46</v>
      </c>
      <c r="C54" s="12">
        <v>40738</v>
      </c>
      <c r="D54" s="3">
        <v>31</v>
      </c>
      <c r="E54" s="20" t="s">
        <v>56</v>
      </c>
      <c r="H54" s="26" t="s">
        <v>1</v>
      </c>
      <c r="I54" s="26" t="s">
        <v>1</v>
      </c>
      <c r="J54" s="1">
        <v>0</v>
      </c>
      <c r="K54" s="1">
        <v>1</v>
      </c>
      <c r="L54" s="1">
        <f t="shared" si="22"/>
        <v>1</v>
      </c>
      <c r="M54" s="1">
        <v>1.5</v>
      </c>
      <c r="N54" s="26" t="s">
        <v>1</v>
      </c>
      <c r="O54" s="26" t="s">
        <v>1</v>
      </c>
      <c r="P54" s="1">
        <v>0</v>
      </c>
      <c r="Q54" s="1">
        <v>0</v>
      </c>
      <c r="R54" s="1">
        <f t="shared" si="23"/>
        <v>0</v>
      </c>
      <c r="S54" s="1">
        <v>0</v>
      </c>
      <c r="T54" s="26" t="s">
        <v>1</v>
      </c>
      <c r="U54" s="26" t="s">
        <v>1</v>
      </c>
      <c r="V54" s="1">
        <v>0</v>
      </c>
      <c r="W54" s="1">
        <v>0</v>
      </c>
      <c r="X54" s="1">
        <f t="shared" si="24"/>
        <v>0</v>
      </c>
      <c r="Y54" s="1">
        <v>0</v>
      </c>
      <c r="Z54" s="26" t="s">
        <v>1</v>
      </c>
      <c r="AA54" s="26" t="s">
        <v>1</v>
      </c>
      <c r="AB54" s="1">
        <v>1</v>
      </c>
      <c r="AC54" s="1">
        <v>4</v>
      </c>
      <c r="AD54" s="1">
        <f t="shared" si="25"/>
        <v>5</v>
      </c>
      <c r="AE54" s="1">
        <v>25</v>
      </c>
      <c r="AF54" s="22">
        <f t="shared" si="26"/>
        <v>0</v>
      </c>
      <c r="AG54" s="22">
        <f t="shared" si="27"/>
        <v>0</v>
      </c>
      <c r="AH54" s="22">
        <f t="shared" si="28"/>
        <v>1</v>
      </c>
      <c r="AI54" s="22">
        <f t="shared" si="29"/>
        <v>5</v>
      </c>
      <c r="AJ54" s="22">
        <f t="shared" si="30"/>
        <v>6</v>
      </c>
      <c r="AK54" s="22">
        <f t="shared" si="31"/>
        <v>26.5</v>
      </c>
    </row>
    <row r="55" spans="1:38" x14ac:dyDescent="0.2">
      <c r="A55">
        <v>2011</v>
      </c>
      <c r="B55" s="20" t="s">
        <v>46</v>
      </c>
      <c r="C55" s="12">
        <v>40738</v>
      </c>
      <c r="D55" s="3">
        <v>31</v>
      </c>
      <c r="E55" s="20" t="s">
        <v>59</v>
      </c>
      <c r="H55" s="26" t="s">
        <v>1</v>
      </c>
      <c r="I55" s="26" t="s">
        <v>1</v>
      </c>
      <c r="J55" s="1">
        <v>2</v>
      </c>
      <c r="K55" s="1">
        <v>0</v>
      </c>
      <c r="L55" s="1">
        <f t="shared" si="22"/>
        <v>2</v>
      </c>
      <c r="M55" s="1">
        <v>3.5</v>
      </c>
      <c r="N55" s="26" t="s">
        <v>1</v>
      </c>
      <c r="O55" s="26" t="s">
        <v>1</v>
      </c>
      <c r="P55" s="1">
        <v>0</v>
      </c>
      <c r="Q55" s="1">
        <v>0</v>
      </c>
      <c r="R55" s="1">
        <f t="shared" si="23"/>
        <v>0</v>
      </c>
      <c r="S55" s="1">
        <v>0</v>
      </c>
      <c r="T55" s="26" t="s">
        <v>1</v>
      </c>
      <c r="U55" s="26" t="s">
        <v>1</v>
      </c>
      <c r="V55" s="1">
        <v>0</v>
      </c>
      <c r="W55" s="1">
        <v>0</v>
      </c>
      <c r="X55" s="1">
        <f t="shared" si="24"/>
        <v>0</v>
      </c>
      <c r="Y55" s="1">
        <v>0</v>
      </c>
      <c r="Z55" s="26" t="s">
        <v>1</v>
      </c>
      <c r="AA55" s="26" t="s">
        <v>1</v>
      </c>
      <c r="AB55" s="1">
        <v>0</v>
      </c>
      <c r="AC55" s="1">
        <v>0</v>
      </c>
      <c r="AD55" s="1">
        <f t="shared" si="25"/>
        <v>0</v>
      </c>
      <c r="AE55" s="1">
        <v>0</v>
      </c>
      <c r="AF55" s="22">
        <f t="shared" si="26"/>
        <v>0</v>
      </c>
      <c r="AG55" s="22">
        <f t="shared" si="27"/>
        <v>0</v>
      </c>
      <c r="AH55" s="22">
        <f t="shared" si="28"/>
        <v>2</v>
      </c>
      <c r="AI55" s="22">
        <f t="shared" si="29"/>
        <v>0</v>
      </c>
      <c r="AJ55" s="22">
        <f t="shared" si="30"/>
        <v>2</v>
      </c>
      <c r="AK55" s="22">
        <f t="shared" si="31"/>
        <v>3.5</v>
      </c>
    </row>
    <row r="56" spans="1:38" x14ac:dyDescent="0.2">
      <c r="A56">
        <v>2011</v>
      </c>
      <c r="B56" s="20" t="s">
        <v>46</v>
      </c>
      <c r="C56" s="12">
        <v>40738</v>
      </c>
      <c r="D56" s="3">
        <v>31</v>
      </c>
      <c r="E56" s="20" t="s">
        <v>52</v>
      </c>
      <c r="H56" s="26" t="s">
        <v>1</v>
      </c>
      <c r="I56" s="26" t="s">
        <v>1</v>
      </c>
      <c r="J56" s="1">
        <v>0</v>
      </c>
      <c r="K56" s="1">
        <v>0</v>
      </c>
      <c r="L56" s="1">
        <f t="shared" si="22"/>
        <v>0</v>
      </c>
      <c r="M56" s="1">
        <v>0</v>
      </c>
      <c r="N56" s="26" t="s">
        <v>1</v>
      </c>
      <c r="O56" s="26" t="s">
        <v>1</v>
      </c>
      <c r="P56" s="1">
        <v>1</v>
      </c>
      <c r="Q56" s="1">
        <v>0</v>
      </c>
      <c r="R56" s="1">
        <f t="shared" si="23"/>
        <v>1</v>
      </c>
      <c r="S56" s="1">
        <v>0.5</v>
      </c>
      <c r="T56" s="26" t="s">
        <v>1</v>
      </c>
      <c r="U56" s="26" t="s">
        <v>1</v>
      </c>
      <c r="V56" s="1">
        <v>0</v>
      </c>
      <c r="W56" s="1">
        <v>0</v>
      </c>
      <c r="X56" s="1">
        <f t="shared" si="24"/>
        <v>0</v>
      </c>
      <c r="Y56" s="1">
        <v>0</v>
      </c>
      <c r="Z56" s="26" t="s">
        <v>1</v>
      </c>
      <c r="AA56" s="26" t="s">
        <v>1</v>
      </c>
      <c r="AB56" s="1">
        <v>0</v>
      </c>
      <c r="AC56" s="1">
        <v>0</v>
      </c>
      <c r="AD56" s="1">
        <f t="shared" si="25"/>
        <v>0</v>
      </c>
      <c r="AE56" s="1">
        <v>0</v>
      </c>
      <c r="AF56" s="22">
        <f t="shared" si="26"/>
        <v>0</v>
      </c>
      <c r="AG56" s="22">
        <f t="shared" si="27"/>
        <v>0</v>
      </c>
      <c r="AH56" s="22">
        <f t="shared" si="28"/>
        <v>1</v>
      </c>
      <c r="AI56" s="22">
        <f t="shared" si="29"/>
        <v>0</v>
      </c>
      <c r="AJ56" s="22">
        <f t="shared" si="30"/>
        <v>1</v>
      </c>
      <c r="AK56" s="22">
        <f t="shared" si="31"/>
        <v>0.5</v>
      </c>
    </row>
    <row r="57" spans="1:38" x14ac:dyDescent="0.2">
      <c r="A57">
        <v>2011</v>
      </c>
      <c r="B57" s="20" t="s">
        <v>46</v>
      </c>
      <c r="C57" s="12">
        <v>40738</v>
      </c>
      <c r="D57" s="3">
        <v>31</v>
      </c>
      <c r="E57" s="20" t="s">
        <v>55</v>
      </c>
      <c r="H57" s="26" t="s">
        <v>1</v>
      </c>
      <c r="I57" s="26" t="s">
        <v>1</v>
      </c>
      <c r="J57" s="1">
        <v>0</v>
      </c>
      <c r="K57" s="1">
        <v>0</v>
      </c>
      <c r="L57" s="1">
        <f t="shared" si="22"/>
        <v>0</v>
      </c>
      <c r="M57" s="1">
        <v>0</v>
      </c>
      <c r="N57" s="26" t="s">
        <v>1</v>
      </c>
      <c r="O57" s="26" t="s">
        <v>1</v>
      </c>
      <c r="P57" s="1">
        <v>1</v>
      </c>
      <c r="Q57" s="1">
        <v>1</v>
      </c>
      <c r="R57" s="1">
        <f t="shared" si="23"/>
        <v>2</v>
      </c>
      <c r="S57" s="34">
        <v>3.5</v>
      </c>
      <c r="T57" s="26" t="s">
        <v>1</v>
      </c>
      <c r="U57" s="26" t="s">
        <v>1</v>
      </c>
      <c r="V57" s="1">
        <v>0</v>
      </c>
      <c r="W57" s="1">
        <v>0</v>
      </c>
      <c r="X57" s="1">
        <f t="shared" si="24"/>
        <v>0</v>
      </c>
      <c r="Y57" s="1">
        <v>0</v>
      </c>
      <c r="Z57" s="26" t="s">
        <v>1</v>
      </c>
      <c r="AA57" s="26" t="s">
        <v>1</v>
      </c>
      <c r="AB57" s="1">
        <v>0</v>
      </c>
      <c r="AC57" s="1">
        <v>0</v>
      </c>
      <c r="AD57" s="1">
        <f t="shared" si="25"/>
        <v>0</v>
      </c>
      <c r="AE57" s="1">
        <v>0</v>
      </c>
      <c r="AF57" s="22">
        <f t="shared" si="26"/>
        <v>0</v>
      </c>
      <c r="AG57" s="22">
        <f t="shared" si="27"/>
        <v>0</v>
      </c>
      <c r="AH57" s="22">
        <f t="shared" si="28"/>
        <v>1</v>
      </c>
      <c r="AI57" s="22">
        <f t="shared" si="29"/>
        <v>1</v>
      </c>
      <c r="AJ57" s="22">
        <f t="shared" si="30"/>
        <v>2</v>
      </c>
      <c r="AK57" s="22">
        <f t="shared" si="31"/>
        <v>3.5</v>
      </c>
    </row>
    <row r="58" spans="1:38" x14ac:dyDescent="0.2">
      <c r="A58">
        <v>2011</v>
      </c>
      <c r="B58" s="20" t="s">
        <v>46</v>
      </c>
      <c r="C58" s="12">
        <v>40738</v>
      </c>
      <c r="D58" s="3">
        <v>31</v>
      </c>
      <c r="E58" s="20" t="s">
        <v>74</v>
      </c>
      <c r="H58" s="26" t="s">
        <v>1</v>
      </c>
      <c r="I58" s="26" t="s">
        <v>1</v>
      </c>
      <c r="J58" s="1">
        <v>0</v>
      </c>
      <c r="K58" s="1">
        <v>0</v>
      </c>
      <c r="L58" s="1">
        <f t="shared" si="22"/>
        <v>0</v>
      </c>
      <c r="M58" s="1">
        <v>0</v>
      </c>
      <c r="N58" s="26" t="s">
        <v>1</v>
      </c>
      <c r="O58" s="26" t="s">
        <v>1</v>
      </c>
      <c r="P58" s="1">
        <v>0</v>
      </c>
      <c r="Q58" s="1">
        <v>0</v>
      </c>
      <c r="R58" s="1">
        <f t="shared" si="23"/>
        <v>0</v>
      </c>
      <c r="S58" s="1">
        <v>0</v>
      </c>
      <c r="T58" s="26" t="s">
        <v>1</v>
      </c>
      <c r="U58" s="26" t="s">
        <v>1</v>
      </c>
      <c r="V58" s="1">
        <v>1</v>
      </c>
      <c r="W58" s="1">
        <v>0</v>
      </c>
      <c r="X58" s="1">
        <f t="shared" si="24"/>
        <v>1</v>
      </c>
      <c r="Y58" s="1">
        <v>1.5</v>
      </c>
      <c r="Z58" s="26" t="s">
        <v>1</v>
      </c>
      <c r="AA58" s="26" t="s">
        <v>1</v>
      </c>
      <c r="AB58" s="1">
        <v>0</v>
      </c>
      <c r="AC58" s="1">
        <v>0</v>
      </c>
      <c r="AD58" s="1">
        <f t="shared" si="25"/>
        <v>0</v>
      </c>
      <c r="AE58" s="1">
        <v>0</v>
      </c>
      <c r="AF58" s="22">
        <f t="shared" si="26"/>
        <v>0</v>
      </c>
      <c r="AG58" s="22">
        <f t="shared" si="27"/>
        <v>0</v>
      </c>
      <c r="AH58" s="22">
        <f t="shared" si="28"/>
        <v>1</v>
      </c>
      <c r="AI58" s="22">
        <f t="shared" si="29"/>
        <v>0</v>
      </c>
      <c r="AJ58" s="22">
        <f t="shared" si="30"/>
        <v>1</v>
      </c>
      <c r="AK58" s="22">
        <f t="shared" si="31"/>
        <v>1.5</v>
      </c>
    </row>
    <row r="59" spans="1:38" x14ac:dyDescent="0.2">
      <c r="A59">
        <v>2011</v>
      </c>
      <c r="B59" s="20" t="s">
        <v>46</v>
      </c>
      <c r="C59" s="12">
        <v>40738</v>
      </c>
      <c r="D59" s="3">
        <v>31</v>
      </c>
      <c r="E59" s="20" t="s">
        <v>58</v>
      </c>
      <c r="H59" s="26" t="s">
        <v>1</v>
      </c>
      <c r="I59" s="26" t="s">
        <v>1</v>
      </c>
      <c r="J59" s="1">
        <v>0</v>
      </c>
      <c r="K59" s="1">
        <v>0</v>
      </c>
      <c r="L59" s="1">
        <f t="shared" si="22"/>
        <v>0</v>
      </c>
      <c r="M59" s="1">
        <v>0</v>
      </c>
      <c r="N59" s="26" t="s">
        <v>1</v>
      </c>
      <c r="O59" s="26" t="s">
        <v>1</v>
      </c>
      <c r="P59" s="1">
        <v>0</v>
      </c>
      <c r="Q59" s="1">
        <v>0</v>
      </c>
      <c r="R59" s="1">
        <f t="shared" si="23"/>
        <v>0</v>
      </c>
      <c r="S59" s="1">
        <v>0</v>
      </c>
      <c r="T59" s="26" t="s">
        <v>1</v>
      </c>
      <c r="U59" s="26" t="s">
        <v>1</v>
      </c>
      <c r="V59" s="1">
        <v>3</v>
      </c>
      <c r="W59" s="1">
        <v>0</v>
      </c>
      <c r="X59" s="1">
        <f t="shared" si="24"/>
        <v>3</v>
      </c>
      <c r="Y59" s="34">
        <v>3.5</v>
      </c>
      <c r="Z59" s="26" t="s">
        <v>1</v>
      </c>
      <c r="AA59" s="26" t="s">
        <v>1</v>
      </c>
      <c r="AB59" s="1">
        <v>0</v>
      </c>
      <c r="AC59" s="1">
        <v>0</v>
      </c>
      <c r="AD59" s="1">
        <f t="shared" si="25"/>
        <v>0</v>
      </c>
      <c r="AE59" s="1">
        <v>0</v>
      </c>
      <c r="AF59" s="22">
        <f t="shared" si="26"/>
        <v>0</v>
      </c>
      <c r="AG59" s="22">
        <f t="shared" si="27"/>
        <v>0</v>
      </c>
      <c r="AH59" s="22">
        <f t="shared" si="28"/>
        <v>3</v>
      </c>
      <c r="AI59" s="22">
        <f t="shared" si="29"/>
        <v>0</v>
      </c>
      <c r="AJ59" s="22">
        <f t="shared" si="30"/>
        <v>3</v>
      </c>
      <c r="AK59" s="22">
        <f t="shared" si="31"/>
        <v>3.5</v>
      </c>
      <c r="AL59" s="27" t="s">
        <v>75</v>
      </c>
    </row>
    <row r="60" spans="1:38" x14ac:dyDescent="0.2">
      <c r="A60">
        <v>2011</v>
      </c>
      <c r="B60" s="20" t="s">
        <v>46</v>
      </c>
      <c r="C60" s="12">
        <v>40738</v>
      </c>
      <c r="D60" s="3">
        <v>31</v>
      </c>
      <c r="E60" s="20" t="s">
        <v>76</v>
      </c>
      <c r="H60" s="26" t="s">
        <v>1</v>
      </c>
      <c r="I60" s="26" t="s">
        <v>1</v>
      </c>
      <c r="J60" s="1">
        <v>0</v>
      </c>
      <c r="K60" s="1">
        <v>0</v>
      </c>
      <c r="L60" s="1">
        <f t="shared" si="22"/>
        <v>0</v>
      </c>
      <c r="M60" s="1">
        <v>0</v>
      </c>
      <c r="N60" s="26" t="s">
        <v>1</v>
      </c>
      <c r="O60" s="26" t="s">
        <v>1</v>
      </c>
      <c r="P60" s="1">
        <v>0</v>
      </c>
      <c r="Q60" s="1">
        <v>0</v>
      </c>
      <c r="R60" s="1">
        <f t="shared" si="23"/>
        <v>0</v>
      </c>
      <c r="S60" s="1">
        <v>0</v>
      </c>
      <c r="T60" s="26" t="s">
        <v>1</v>
      </c>
      <c r="U60" s="26" t="s">
        <v>1</v>
      </c>
      <c r="V60" s="1">
        <v>0</v>
      </c>
      <c r="W60" s="1">
        <v>0</v>
      </c>
      <c r="X60" s="1">
        <f t="shared" si="24"/>
        <v>0</v>
      </c>
      <c r="Y60" s="1">
        <v>0</v>
      </c>
      <c r="Z60" s="26" t="s">
        <v>1</v>
      </c>
      <c r="AA60" s="26" t="s">
        <v>1</v>
      </c>
      <c r="AB60" s="1">
        <v>1</v>
      </c>
      <c r="AC60" s="1">
        <v>0</v>
      </c>
      <c r="AD60" s="1">
        <f t="shared" si="25"/>
        <v>1</v>
      </c>
      <c r="AE60" s="1">
        <v>8</v>
      </c>
      <c r="AF60" s="22">
        <f t="shared" si="26"/>
        <v>0</v>
      </c>
      <c r="AG60" s="22">
        <f t="shared" si="27"/>
        <v>0</v>
      </c>
      <c r="AH60" s="22">
        <f t="shared" si="28"/>
        <v>1</v>
      </c>
      <c r="AI60" s="22">
        <f t="shared" si="29"/>
        <v>0</v>
      </c>
      <c r="AJ60" s="22">
        <f t="shared" si="30"/>
        <v>1</v>
      </c>
      <c r="AK60" s="22">
        <f t="shared" si="31"/>
        <v>8</v>
      </c>
    </row>
    <row r="61" spans="1:38" x14ac:dyDescent="0.2">
      <c r="A61">
        <v>2011</v>
      </c>
      <c r="B61" s="20" t="s">
        <v>46</v>
      </c>
      <c r="C61" s="12">
        <v>40709</v>
      </c>
      <c r="D61" s="3">
        <v>32</v>
      </c>
      <c r="E61" s="20" t="s">
        <v>47</v>
      </c>
      <c r="H61" s="1">
        <v>0</v>
      </c>
      <c r="I61" s="1">
        <v>1</v>
      </c>
      <c r="J61" s="1">
        <v>0</v>
      </c>
      <c r="K61" s="1">
        <v>0</v>
      </c>
      <c r="L61" s="1">
        <f t="shared" si="1"/>
        <v>1</v>
      </c>
      <c r="M61" s="1">
        <v>0.5</v>
      </c>
      <c r="N61" s="1">
        <v>0</v>
      </c>
      <c r="O61" s="1">
        <v>1</v>
      </c>
      <c r="P61" s="1">
        <v>1</v>
      </c>
      <c r="Q61" s="1">
        <v>0</v>
      </c>
      <c r="R61" s="1">
        <f t="shared" si="2"/>
        <v>2</v>
      </c>
      <c r="S61" s="1">
        <v>3.5</v>
      </c>
      <c r="T61" s="1">
        <v>0</v>
      </c>
      <c r="U61" s="1">
        <v>3</v>
      </c>
      <c r="V61" s="1">
        <v>1</v>
      </c>
      <c r="W61" s="1">
        <v>0</v>
      </c>
      <c r="X61" s="1">
        <f t="shared" si="3"/>
        <v>4</v>
      </c>
      <c r="Y61" s="1">
        <v>3.5</v>
      </c>
      <c r="Z61" s="1">
        <v>0</v>
      </c>
      <c r="AA61" s="1">
        <v>0</v>
      </c>
      <c r="AB61" s="1">
        <v>3</v>
      </c>
      <c r="AC61" s="1">
        <v>0</v>
      </c>
      <c r="AD61" s="1">
        <f t="shared" si="4"/>
        <v>3</v>
      </c>
      <c r="AE61" s="1">
        <v>8</v>
      </c>
      <c r="AF61" s="22">
        <f t="shared" ref="AF61:AF77" si="32">SUM(H61,N61,T61,Z61)</f>
        <v>0</v>
      </c>
      <c r="AG61" s="22">
        <f t="shared" ref="AG61:AG77" si="33">SUM(I61,O61,U61,AA61)</f>
        <v>5</v>
      </c>
      <c r="AH61" s="22">
        <f t="shared" si="7"/>
        <v>5</v>
      </c>
      <c r="AI61" s="22">
        <f t="shared" si="8"/>
        <v>0</v>
      </c>
      <c r="AJ61" s="22">
        <f t="shared" si="9"/>
        <v>10</v>
      </c>
      <c r="AK61" s="22">
        <f t="shared" si="10"/>
        <v>15.5</v>
      </c>
    </row>
    <row r="62" spans="1:38" x14ac:dyDescent="0.2">
      <c r="A62">
        <v>2011</v>
      </c>
      <c r="B62" s="20" t="s">
        <v>46</v>
      </c>
      <c r="C62" s="12">
        <v>40709</v>
      </c>
      <c r="D62" s="3">
        <v>32</v>
      </c>
      <c r="E62" s="20" t="s">
        <v>55</v>
      </c>
      <c r="H62" s="1" t="s">
        <v>1</v>
      </c>
      <c r="I62" s="1" t="s">
        <v>1</v>
      </c>
      <c r="J62" s="1">
        <v>9</v>
      </c>
      <c r="K62" s="1">
        <v>0</v>
      </c>
      <c r="L62" s="1">
        <f t="shared" si="1"/>
        <v>9</v>
      </c>
      <c r="M62" s="1">
        <v>8</v>
      </c>
      <c r="N62" s="1" t="s">
        <v>1</v>
      </c>
      <c r="O62" s="1" t="s">
        <v>1</v>
      </c>
      <c r="P62" s="1">
        <v>4</v>
      </c>
      <c r="Q62" s="1">
        <v>0</v>
      </c>
      <c r="R62" s="1">
        <f t="shared" si="2"/>
        <v>4</v>
      </c>
      <c r="S62" s="1">
        <v>3.5</v>
      </c>
      <c r="T62" s="1" t="s">
        <v>1</v>
      </c>
      <c r="U62" s="1" t="s">
        <v>1</v>
      </c>
      <c r="V62" s="1">
        <v>3</v>
      </c>
      <c r="W62" s="1">
        <v>0</v>
      </c>
      <c r="X62" s="1">
        <f t="shared" si="3"/>
        <v>3</v>
      </c>
      <c r="Y62" s="1">
        <v>1.5</v>
      </c>
      <c r="Z62" s="1" t="s">
        <v>1</v>
      </c>
      <c r="AA62" s="1" t="s">
        <v>1</v>
      </c>
      <c r="AB62" s="1">
        <v>11</v>
      </c>
      <c r="AC62" s="1">
        <v>0</v>
      </c>
      <c r="AD62" s="1">
        <f t="shared" si="4"/>
        <v>11</v>
      </c>
      <c r="AE62" s="1">
        <v>8</v>
      </c>
      <c r="AF62" s="22">
        <f t="shared" si="32"/>
        <v>0</v>
      </c>
      <c r="AG62" s="22">
        <f t="shared" si="33"/>
        <v>0</v>
      </c>
      <c r="AH62" s="22">
        <f t="shared" si="7"/>
        <v>27</v>
      </c>
      <c r="AI62" s="22">
        <f t="shared" si="8"/>
        <v>0</v>
      </c>
      <c r="AJ62" s="22">
        <f t="shared" si="9"/>
        <v>27</v>
      </c>
      <c r="AK62" s="22">
        <f t="shared" si="10"/>
        <v>21</v>
      </c>
    </row>
    <row r="63" spans="1:38" x14ac:dyDescent="0.2">
      <c r="A63">
        <v>2011</v>
      </c>
      <c r="B63" s="20" t="s">
        <v>46</v>
      </c>
      <c r="C63" s="12">
        <v>40709</v>
      </c>
      <c r="D63" s="3">
        <v>32</v>
      </c>
      <c r="E63" s="20" t="s">
        <v>66</v>
      </c>
      <c r="H63" s="1" t="s">
        <v>1</v>
      </c>
      <c r="I63" s="1" t="s">
        <v>1</v>
      </c>
      <c r="J63" s="1">
        <v>1</v>
      </c>
      <c r="K63" s="1">
        <v>0</v>
      </c>
      <c r="L63" s="1">
        <f t="shared" si="1"/>
        <v>1</v>
      </c>
      <c r="M63" s="1">
        <v>1.5</v>
      </c>
      <c r="N63" s="1" t="s">
        <v>1</v>
      </c>
      <c r="O63" s="1" t="s">
        <v>1</v>
      </c>
      <c r="P63" s="1">
        <v>0</v>
      </c>
      <c r="Q63" s="1">
        <v>0</v>
      </c>
      <c r="R63" s="1">
        <f t="shared" si="2"/>
        <v>0</v>
      </c>
      <c r="S63" s="1">
        <v>0</v>
      </c>
      <c r="T63" s="1" t="s">
        <v>1</v>
      </c>
      <c r="U63" s="1" t="s">
        <v>1</v>
      </c>
      <c r="V63" s="1">
        <v>0</v>
      </c>
      <c r="W63" s="1">
        <v>0</v>
      </c>
      <c r="X63" s="1">
        <f t="shared" si="3"/>
        <v>0</v>
      </c>
      <c r="Y63" s="1">
        <v>0</v>
      </c>
      <c r="Z63" s="1" t="s">
        <v>1</v>
      </c>
      <c r="AA63" s="1" t="s">
        <v>1</v>
      </c>
      <c r="AB63" s="1">
        <v>0</v>
      </c>
      <c r="AC63" s="1">
        <v>0</v>
      </c>
      <c r="AD63" s="1">
        <f t="shared" si="4"/>
        <v>0</v>
      </c>
      <c r="AE63" s="1">
        <v>0</v>
      </c>
      <c r="AF63" s="22">
        <f t="shared" si="32"/>
        <v>0</v>
      </c>
      <c r="AG63" s="22">
        <f t="shared" si="33"/>
        <v>0</v>
      </c>
      <c r="AH63" s="22">
        <f t="shared" si="7"/>
        <v>1</v>
      </c>
      <c r="AI63" s="22">
        <f t="shared" si="8"/>
        <v>0</v>
      </c>
      <c r="AJ63" s="22">
        <f t="shared" si="9"/>
        <v>1</v>
      </c>
      <c r="AK63" s="22">
        <f t="shared" si="10"/>
        <v>1.5</v>
      </c>
    </row>
    <row r="64" spans="1:38" x14ac:dyDescent="0.2">
      <c r="A64">
        <v>2011</v>
      </c>
      <c r="B64" s="20" t="s">
        <v>46</v>
      </c>
      <c r="C64" s="12">
        <v>40709</v>
      </c>
      <c r="D64" s="3">
        <v>32</v>
      </c>
      <c r="E64" s="20" t="s">
        <v>56</v>
      </c>
      <c r="H64" s="1" t="s">
        <v>1</v>
      </c>
      <c r="I64" s="1" t="s">
        <v>1</v>
      </c>
      <c r="J64" s="1">
        <v>6</v>
      </c>
      <c r="K64" s="1">
        <v>0</v>
      </c>
      <c r="L64" s="1">
        <f t="shared" si="1"/>
        <v>6</v>
      </c>
      <c r="M64" s="1">
        <v>3.5</v>
      </c>
      <c r="N64" s="1" t="s">
        <v>1</v>
      </c>
      <c r="O64" s="1" t="s">
        <v>1</v>
      </c>
      <c r="P64" s="1">
        <v>9</v>
      </c>
      <c r="Q64" s="1">
        <v>0</v>
      </c>
      <c r="R64" s="1">
        <f t="shared" si="2"/>
        <v>9</v>
      </c>
      <c r="S64" s="1">
        <v>8</v>
      </c>
      <c r="T64" s="1" t="s">
        <v>1</v>
      </c>
      <c r="U64" s="1" t="s">
        <v>1</v>
      </c>
      <c r="V64" s="1">
        <v>2</v>
      </c>
      <c r="W64" s="1">
        <v>2</v>
      </c>
      <c r="X64" s="1">
        <f t="shared" si="3"/>
        <v>4</v>
      </c>
      <c r="Y64" s="1">
        <v>8</v>
      </c>
      <c r="Z64" s="1" t="s">
        <v>1</v>
      </c>
      <c r="AA64" s="1" t="s">
        <v>1</v>
      </c>
      <c r="AB64" s="1">
        <v>5</v>
      </c>
      <c r="AC64" s="1">
        <v>0</v>
      </c>
      <c r="AD64" s="1">
        <f t="shared" si="4"/>
        <v>5</v>
      </c>
      <c r="AE64" s="1">
        <v>8</v>
      </c>
      <c r="AF64" s="22">
        <f t="shared" si="32"/>
        <v>0</v>
      </c>
      <c r="AG64" s="22">
        <f t="shared" si="33"/>
        <v>0</v>
      </c>
      <c r="AH64" s="22">
        <f t="shared" si="7"/>
        <v>22</v>
      </c>
      <c r="AI64" s="22">
        <f t="shared" si="8"/>
        <v>2</v>
      </c>
      <c r="AJ64" s="22">
        <f t="shared" si="9"/>
        <v>24</v>
      </c>
      <c r="AK64" s="22">
        <f t="shared" si="10"/>
        <v>27.5</v>
      </c>
    </row>
    <row r="65" spans="1:38" x14ac:dyDescent="0.2">
      <c r="A65">
        <v>2011</v>
      </c>
      <c r="B65" s="20" t="s">
        <v>46</v>
      </c>
      <c r="C65" s="12">
        <v>40709</v>
      </c>
      <c r="D65" s="3">
        <v>32</v>
      </c>
      <c r="E65" s="20" t="s">
        <v>64</v>
      </c>
      <c r="H65" s="1" t="s">
        <v>1</v>
      </c>
      <c r="I65" s="1" t="s">
        <v>1</v>
      </c>
      <c r="J65" s="1">
        <v>1</v>
      </c>
      <c r="K65" s="1">
        <v>0</v>
      </c>
      <c r="L65" s="1">
        <f t="shared" si="1"/>
        <v>1</v>
      </c>
      <c r="M65" s="1">
        <v>0.5</v>
      </c>
      <c r="N65" s="1" t="s">
        <v>1</v>
      </c>
      <c r="O65" s="1" t="s">
        <v>1</v>
      </c>
      <c r="P65" s="1">
        <v>4</v>
      </c>
      <c r="Q65" s="1">
        <v>0</v>
      </c>
      <c r="R65" s="1">
        <f t="shared" si="2"/>
        <v>4</v>
      </c>
      <c r="S65" s="1">
        <v>3.5</v>
      </c>
      <c r="T65" s="1" t="s">
        <v>1</v>
      </c>
      <c r="U65" s="1" t="s">
        <v>1</v>
      </c>
      <c r="V65" s="1">
        <v>1</v>
      </c>
      <c r="W65" s="1">
        <v>0</v>
      </c>
      <c r="X65" s="1">
        <f t="shared" si="3"/>
        <v>1</v>
      </c>
      <c r="Y65" s="1">
        <v>0.5</v>
      </c>
      <c r="Z65" s="1" t="s">
        <v>1</v>
      </c>
      <c r="AA65" s="1" t="s">
        <v>1</v>
      </c>
      <c r="AB65" s="1">
        <v>3</v>
      </c>
      <c r="AC65" s="1">
        <v>0</v>
      </c>
      <c r="AD65" s="1">
        <f t="shared" si="4"/>
        <v>3</v>
      </c>
      <c r="AE65" s="1">
        <v>1.5</v>
      </c>
      <c r="AF65" s="22">
        <f t="shared" si="32"/>
        <v>0</v>
      </c>
      <c r="AG65" s="22">
        <f t="shared" si="33"/>
        <v>0</v>
      </c>
      <c r="AH65" s="22">
        <f t="shared" si="7"/>
        <v>9</v>
      </c>
      <c r="AI65" s="22">
        <f t="shared" si="8"/>
        <v>0</v>
      </c>
      <c r="AJ65" s="22">
        <f t="shared" si="9"/>
        <v>9</v>
      </c>
      <c r="AK65" s="22">
        <f t="shared" si="10"/>
        <v>6</v>
      </c>
    </row>
    <row r="66" spans="1:38" x14ac:dyDescent="0.2">
      <c r="A66">
        <v>2011</v>
      </c>
      <c r="B66" s="20" t="s">
        <v>46</v>
      </c>
      <c r="C66" s="12">
        <v>40709</v>
      </c>
      <c r="D66" s="3">
        <v>32</v>
      </c>
      <c r="E66" s="20" t="s">
        <v>48</v>
      </c>
      <c r="H66" s="1">
        <v>0</v>
      </c>
      <c r="I66" s="1">
        <v>1</v>
      </c>
      <c r="J66" s="1">
        <v>0</v>
      </c>
      <c r="K66" s="1">
        <v>0</v>
      </c>
      <c r="L66" s="1">
        <f t="shared" si="1"/>
        <v>1</v>
      </c>
      <c r="M66" s="1">
        <v>0.5</v>
      </c>
      <c r="N66" s="1">
        <v>0</v>
      </c>
      <c r="O66" s="1">
        <v>0</v>
      </c>
      <c r="P66" s="1">
        <v>0</v>
      </c>
      <c r="Q66" s="1">
        <v>0</v>
      </c>
      <c r="R66" s="1">
        <f t="shared" si="2"/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f t="shared" si="3"/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f t="shared" si="4"/>
        <v>0</v>
      </c>
      <c r="AE66" s="1">
        <v>0</v>
      </c>
      <c r="AF66" s="22">
        <f t="shared" si="32"/>
        <v>0</v>
      </c>
      <c r="AG66" s="22">
        <f t="shared" si="33"/>
        <v>1</v>
      </c>
      <c r="AH66" s="22">
        <f t="shared" si="7"/>
        <v>0</v>
      </c>
      <c r="AI66" s="22">
        <f t="shared" si="8"/>
        <v>0</v>
      </c>
      <c r="AJ66" s="22">
        <f t="shared" si="9"/>
        <v>1</v>
      </c>
      <c r="AK66" s="22">
        <f t="shared" si="10"/>
        <v>0.5</v>
      </c>
    </row>
    <row r="67" spans="1:38" x14ac:dyDescent="0.2">
      <c r="A67">
        <v>2011</v>
      </c>
      <c r="B67" s="20" t="s">
        <v>46</v>
      </c>
      <c r="C67" s="12">
        <v>40709</v>
      </c>
      <c r="D67" s="3">
        <v>32</v>
      </c>
      <c r="E67" s="20" t="s">
        <v>54</v>
      </c>
      <c r="H67" s="1">
        <v>0</v>
      </c>
      <c r="I67" s="1">
        <v>2</v>
      </c>
      <c r="J67" s="1">
        <v>2</v>
      </c>
      <c r="K67" s="1">
        <v>4</v>
      </c>
      <c r="L67" s="1">
        <f t="shared" si="1"/>
        <v>8</v>
      </c>
      <c r="M67" s="1">
        <v>15</v>
      </c>
      <c r="N67" s="1">
        <v>0</v>
      </c>
      <c r="O67" s="1">
        <v>0</v>
      </c>
      <c r="P67" s="1">
        <v>0</v>
      </c>
      <c r="Q67" s="1">
        <v>0</v>
      </c>
      <c r="R67" s="1">
        <f t="shared" si="2"/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f t="shared" si="3"/>
        <v>1</v>
      </c>
      <c r="Y67" s="1">
        <v>3.5</v>
      </c>
      <c r="Z67" s="1">
        <v>0</v>
      </c>
      <c r="AA67" s="1">
        <v>0</v>
      </c>
      <c r="AB67" s="1">
        <v>0</v>
      </c>
      <c r="AC67" s="1">
        <v>0</v>
      </c>
      <c r="AD67" s="1">
        <f t="shared" si="4"/>
        <v>0</v>
      </c>
      <c r="AE67" s="1">
        <v>0</v>
      </c>
      <c r="AF67" s="22">
        <f t="shared" si="32"/>
        <v>0</v>
      </c>
      <c r="AG67" s="22">
        <f t="shared" si="33"/>
        <v>2</v>
      </c>
      <c r="AH67" s="22">
        <f t="shared" si="7"/>
        <v>2</v>
      </c>
      <c r="AI67" s="22">
        <f t="shared" si="8"/>
        <v>5</v>
      </c>
      <c r="AJ67" s="22">
        <f t="shared" si="9"/>
        <v>9</v>
      </c>
      <c r="AK67" s="22">
        <f t="shared" si="10"/>
        <v>18.5</v>
      </c>
    </row>
    <row r="68" spans="1:38" x14ac:dyDescent="0.2">
      <c r="A68">
        <v>2011</v>
      </c>
      <c r="B68" s="20" t="s">
        <v>46</v>
      </c>
      <c r="C68" s="12">
        <v>40709</v>
      </c>
      <c r="D68" s="3">
        <v>32</v>
      </c>
      <c r="E68" s="20" t="s">
        <v>49</v>
      </c>
      <c r="H68" s="1">
        <v>0</v>
      </c>
      <c r="I68" s="1">
        <v>1</v>
      </c>
      <c r="J68" s="1">
        <v>0</v>
      </c>
      <c r="K68" s="1">
        <v>0</v>
      </c>
      <c r="L68" s="1">
        <f t="shared" si="1"/>
        <v>1</v>
      </c>
      <c r="M68" s="1">
        <v>0.5</v>
      </c>
      <c r="N68" s="1">
        <v>0</v>
      </c>
      <c r="O68" s="1">
        <v>0</v>
      </c>
      <c r="P68" s="1">
        <v>0</v>
      </c>
      <c r="Q68" s="1">
        <v>0</v>
      </c>
      <c r="R68" s="1">
        <f t="shared" si="2"/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f t="shared" si="3"/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f t="shared" si="4"/>
        <v>0</v>
      </c>
      <c r="AE68" s="1">
        <v>0</v>
      </c>
      <c r="AF68" s="22">
        <f t="shared" si="32"/>
        <v>0</v>
      </c>
      <c r="AG68" s="22">
        <f t="shared" si="33"/>
        <v>1</v>
      </c>
      <c r="AH68" s="22">
        <f t="shared" si="7"/>
        <v>0</v>
      </c>
      <c r="AI68" s="22">
        <f t="shared" si="8"/>
        <v>0</v>
      </c>
      <c r="AJ68" s="22">
        <f t="shared" si="9"/>
        <v>1</v>
      </c>
      <c r="AK68" s="22">
        <f t="shared" si="10"/>
        <v>0.5</v>
      </c>
    </row>
    <row r="69" spans="1:38" x14ac:dyDescent="0.2">
      <c r="A69">
        <v>2011</v>
      </c>
      <c r="B69" s="20" t="s">
        <v>46</v>
      </c>
      <c r="C69" s="12">
        <v>40709</v>
      </c>
      <c r="D69" s="3">
        <v>32</v>
      </c>
      <c r="E69" s="20" t="s">
        <v>77</v>
      </c>
      <c r="H69" s="1" t="s">
        <v>1</v>
      </c>
      <c r="I69" s="1" t="s">
        <v>1</v>
      </c>
      <c r="J69" s="1">
        <v>2</v>
      </c>
      <c r="K69" s="1">
        <v>0</v>
      </c>
      <c r="L69" s="1">
        <f t="shared" si="1"/>
        <v>2</v>
      </c>
      <c r="M69" s="1">
        <v>1.5</v>
      </c>
      <c r="N69" s="1" t="s">
        <v>1</v>
      </c>
      <c r="O69" s="1" t="s">
        <v>1</v>
      </c>
      <c r="P69" s="1">
        <v>0</v>
      </c>
      <c r="Q69" s="1">
        <v>0</v>
      </c>
      <c r="R69" s="1">
        <f t="shared" si="2"/>
        <v>0</v>
      </c>
      <c r="S69" s="1">
        <v>0</v>
      </c>
      <c r="T69" s="1" t="s">
        <v>1</v>
      </c>
      <c r="U69" s="1" t="s">
        <v>1</v>
      </c>
      <c r="V69" s="1">
        <v>0</v>
      </c>
      <c r="W69" s="1">
        <v>0</v>
      </c>
      <c r="X69" s="1">
        <f t="shared" si="3"/>
        <v>0</v>
      </c>
      <c r="Y69" s="1">
        <v>0</v>
      </c>
      <c r="Z69" s="1" t="s">
        <v>1</v>
      </c>
      <c r="AA69" s="1" t="s">
        <v>1</v>
      </c>
      <c r="AB69" s="1">
        <v>0</v>
      </c>
      <c r="AC69" s="1">
        <v>0</v>
      </c>
      <c r="AD69" s="1">
        <f t="shared" si="4"/>
        <v>0</v>
      </c>
      <c r="AE69" s="1">
        <v>0</v>
      </c>
      <c r="AF69" s="22">
        <f t="shared" si="32"/>
        <v>0</v>
      </c>
      <c r="AG69" s="22">
        <f t="shared" si="33"/>
        <v>0</v>
      </c>
      <c r="AH69" s="22">
        <f t="shared" si="7"/>
        <v>2</v>
      </c>
      <c r="AI69" s="22">
        <f t="shared" si="8"/>
        <v>0</v>
      </c>
      <c r="AJ69" s="22">
        <f t="shared" si="9"/>
        <v>2</v>
      </c>
      <c r="AK69" s="22">
        <f t="shared" si="10"/>
        <v>1.5</v>
      </c>
    </row>
    <row r="70" spans="1:38" x14ac:dyDescent="0.2">
      <c r="A70">
        <v>2011</v>
      </c>
      <c r="B70" s="20" t="s">
        <v>46</v>
      </c>
      <c r="C70" s="12">
        <v>40709</v>
      </c>
      <c r="D70" s="3">
        <v>32</v>
      </c>
      <c r="E70" s="20" t="s">
        <v>78</v>
      </c>
      <c r="H70" s="1" t="s">
        <v>1</v>
      </c>
      <c r="I70" s="1" t="s">
        <v>1</v>
      </c>
      <c r="J70" s="1">
        <v>1</v>
      </c>
      <c r="K70" s="1">
        <v>0</v>
      </c>
      <c r="L70" s="1">
        <f t="shared" si="1"/>
        <v>1</v>
      </c>
      <c r="M70" s="1">
        <v>0.5</v>
      </c>
      <c r="N70" s="1" t="s">
        <v>1</v>
      </c>
      <c r="O70" s="1" t="s">
        <v>1</v>
      </c>
      <c r="P70" s="1">
        <v>0</v>
      </c>
      <c r="Q70" s="1">
        <v>0</v>
      </c>
      <c r="R70" s="1">
        <f t="shared" si="2"/>
        <v>0</v>
      </c>
      <c r="S70" s="1">
        <v>0</v>
      </c>
      <c r="T70" s="1" t="s">
        <v>1</v>
      </c>
      <c r="U70" s="1" t="s">
        <v>1</v>
      </c>
      <c r="V70" s="1">
        <v>0</v>
      </c>
      <c r="W70" s="1">
        <v>0</v>
      </c>
      <c r="X70" s="1">
        <f t="shared" si="3"/>
        <v>0</v>
      </c>
      <c r="Y70" s="1">
        <v>0</v>
      </c>
      <c r="Z70" s="1" t="s">
        <v>1</v>
      </c>
      <c r="AA70" s="1" t="s">
        <v>1</v>
      </c>
      <c r="AB70" s="1">
        <v>0</v>
      </c>
      <c r="AC70" s="1">
        <v>0</v>
      </c>
      <c r="AD70" s="1">
        <f t="shared" si="4"/>
        <v>0</v>
      </c>
      <c r="AE70" s="1">
        <v>0</v>
      </c>
      <c r="AF70" s="22">
        <f t="shared" si="32"/>
        <v>0</v>
      </c>
      <c r="AG70" s="22">
        <f t="shared" si="33"/>
        <v>0</v>
      </c>
      <c r="AH70" s="22">
        <f t="shared" si="7"/>
        <v>1</v>
      </c>
      <c r="AI70" s="22">
        <f t="shared" si="8"/>
        <v>0</v>
      </c>
      <c r="AJ70" s="22">
        <f t="shared" si="9"/>
        <v>1</v>
      </c>
      <c r="AK70" s="22">
        <f t="shared" si="10"/>
        <v>0.5</v>
      </c>
      <c r="AL70" s="27" t="s">
        <v>79</v>
      </c>
    </row>
    <row r="71" spans="1:38" x14ac:dyDescent="0.2">
      <c r="A71">
        <v>2011</v>
      </c>
      <c r="B71" s="20" t="s">
        <v>46</v>
      </c>
      <c r="C71" s="12">
        <v>40709</v>
      </c>
      <c r="D71" s="3">
        <v>32</v>
      </c>
      <c r="E71" s="20" t="s">
        <v>80</v>
      </c>
      <c r="H71" s="1" t="s">
        <v>1</v>
      </c>
      <c r="I71" s="1" t="s">
        <v>1</v>
      </c>
      <c r="J71" s="1">
        <v>0</v>
      </c>
      <c r="K71" s="1">
        <v>1</v>
      </c>
      <c r="L71" s="1">
        <f t="shared" si="1"/>
        <v>1</v>
      </c>
      <c r="M71" s="1">
        <v>8</v>
      </c>
      <c r="N71" s="1" t="s">
        <v>1</v>
      </c>
      <c r="O71" s="1" t="s">
        <v>1</v>
      </c>
      <c r="P71" s="1">
        <v>1</v>
      </c>
      <c r="Q71" s="1">
        <v>0</v>
      </c>
      <c r="R71" s="1">
        <f t="shared" si="2"/>
        <v>1</v>
      </c>
      <c r="S71" s="1">
        <v>0.5</v>
      </c>
      <c r="T71" s="1" t="s">
        <v>1</v>
      </c>
      <c r="U71" s="1" t="s">
        <v>1</v>
      </c>
      <c r="V71" s="1">
        <v>0</v>
      </c>
      <c r="W71" s="1">
        <v>0</v>
      </c>
      <c r="X71" s="1">
        <f t="shared" si="3"/>
        <v>0</v>
      </c>
      <c r="Y71" s="1">
        <v>0</v>
      </c>
      <c r="Z71" s="1" t="s">
        <v>1</v>
      </c>
      <c r="AA71" s="1" t="s">
        <v>1</v>
      </c>
      <c r="AB71" s="1">
        <v>0</v>
      </c>
      <c r="AC71" s="1">
        <v>0</v>
      </c>
      <c r="AD71" s="1">
        <f t="shared" si="4"/>
        <v>0</v>
      </c>
      <c r="AE71" s="1">
        <v>0</v>
      </c>
      <c r="AF71" s="22">
        <f t="shared" si="32"/>
        <v>0</v>
      </c>
      <c r="AG71" s="22">
        <f t="shared" si="33"/>
        <v>0</v>
      </c>
      <c r="AH71" s="22">
        <f t="shared" si="7"/>
        <v>1</v>
      </c>
      <c r="AI71" s="22">
        <f t="shared" si="8"/>
        <v>1</v>
      </c>
      <c r="AJ71" s="22">
        <f t="shared" si="9"/>
        <v>2</v>
      </c>
      <c r="AK71" s="22">
        <f t="shared" si="10"/>
        <v>8.5</v>
      </c>
    </row>
    <row r="72" spans="1:38" x14ac:dyDescent="0.2">
      <c r="A72">
        <v>2011</v>
      </c>
      <c r="B72" s="20" t="s">
        <v>46</v>
      </c>
      <c r="C72" s="12">
        <v>40709</v>
      </c>
      <c r="D72" s="3">
        <v>32</v>
      </c>
      <c r="E72" s="20" t="s">
        <v>50</v>
      </c>
      <c r="H72" s="1" t="s">
        <v>1</v>
      </c>
      <c r="I72" s="1" t="s">
        <v>1</v>
      </c>
      <c r="J72" s="1">
        <v>0</v>
      </c>
      <c r="K72" s="1">
        <v>0</v>
      </c>
      <c r="L72" s="1">
        <f t="shared" si="1"/>
        <v>0</v>
      </c>
      <c r="M72" s="1">
        <v>0</v>
      </c>
      <c r="N72" s="1" t="s">
        <v>1</v>
      </c>
      <c r="O72" s="1" t="s">
        <v>1</v>
      </c>
      <c r="P72" s="1">
        <v>3</v>
      </c>
      <c r="Q72" s="1">
        <v>0</v>
      </c>
      <c r="R72" s="1">
        <f t="shared" si="2"/>
        <v>3</v>
      </c>
      <c r="S72" s="1">
        <v>15</v>
      </c>
      <c r="T72" s="1" t="s">
        <v>1</v>
      </c>
      <c r="U72" s="1" t="s">
        <v>1</v>
      </c>
      <c r="V72" s="1">
        <v>0</v>
      </c>
      <c r="W72" s="1">
        <v>0</v>
      </c>
      <c r="X72" s="1">
        <f t="shared" si="3"/>
        <v>0</v>
      </c>
      <c r="Y72" s="1">
        <v>0</v>
      </c>
      <c r="Z72" s="1" t="s">
        <v>1</v>
      </c>
      <c r="AA72" s="1" t="s">
        <v>1</v>
      </c>
      <c r="AB72" s="1">
        <v>0</v>
      </c>
      <c r="AC72" s="1">
        <v>0</v>
      </c>
      <c r="AD72" s="1">
        <f t="shared" si="4"/>
        <v>0</v>
      </c>
      <c r="AE72" s="1">
        <v>0</v>
      </c>
      <c r="AF72" s="22">
        <f t="shared" si="32"/>
        <v>0</v>
      </c>
      <c r="AG72" s="22">
        <f t="shared" si="33"/>
        <v>0</v>
      </c>
      <c r="AH72" s="22">
        <f t="shared" si="7"/>
        <v>3</v>
      </c>
      <c r="AI72" s="22">
        <f t="shared" si="8"/>
        <v>0</v>
      </c>
      <c r="AJ72" s="22">
        <f t="shared" si="9"/>
        <v>3</v>
      </c>
      <c r="AK72" s="22">
        <f t="shared" si="10"/>
        <v>15</v>
      </c>
    </row>
    <row r="73" spans="1:38" x14ac:dyDescent="0.2">
      <c r="A73">
        <v>2011</v>
      </c>
      <c r="B73" s="20" t="s">
        <v>46</v>
      </c>
      <c r="C73" s="12">
        <v>40709</v>
      </c>
      <c r="D73" s="3">
        <v>32</v>
      </c>
      <c r="E73" s="20" t="s">
        <v>68</v>
      </c>
      <c r="H73" s="1" t="s">
        <v>1</v>
      </c>
      <c r="I73" s="1" t="s">
        <v>1</v>
      </c>
      <c r="J73" s="1">
        <v>0</v>
      </c>
      <c r="K73" s="1">
        <v>0</v>
      </c>
      <c r="L73" s="1">
        <f t="shared" si="1"/>
        <v>0</v>
      </c>
      <c r="M73" s="1">
        <v>0</v>
      </c>
      <c r="N73" s="1" t="s">
        <v>1</v>
      </c>
      <c r="O73" s="1" t="s">
        <v>1</v>
      </c>
      <c r="P73" s="1">
        <v>1</v>
      </c>
      <c r="Q73" s="1">
        <v>0</v>
      </c>
      <c r="R73" s="1">
        <f t="shared" si="2"/>
        <v>1</v>
      </c>
      <c r="S73" s="1">
        <v>3.5</v>
      </c>
      <c r="T73" s="1" t="s">
        <v>1</v>
      </c>
      <c r="U73" s="1" t="s">
        <v>1</v>
      </c>
      <c r="V73" s="1">
        <v>0</v>
      </c>
      <c r="W73" s="1">
        <v>0</v>
      </c>
      <c r="X73" s="1">
        <f t="shared" si="3"/>
        <v>0</v>
      </c>
      <c r="Y73" s="1">
        <v>0</v>
      </c>
      <c r="Z73" s="1" t="s">
        <v>1</v>
      </c>
      <c r="AA73" s="1" t="s">
        <v>1</v>
      </c>
      <c r="AB73" s="1">
        <v>0</v>
      </c>
      <c r="AC73" s="1">
        <v>0</v>
      </c>
      <c r="AD73" s="1">
        <f t="shared" si="4"/>
        <v>0</v>
      </c>
      <c r="AE73" s="1">
        <v>0</v>
      </c>
      <c r="AF73" s="22">
        <f t="shared" si="32"/>
        <v>0</v>
      </c>
      <c r="AG73" s="22">
        <f t="shared" si="33"/>
        <v>0</v>
      </c>
      <c r="AH73" s="22">
        <f t="shared" si="7"/>
        <v>1</v>
      </c>
      <c r="AI73" s="22">
        <f t="shared" si="8"/>
        <v>0</v>
      </c>
      <c r="AJ73" s="22">
        <f t="shared" si="9"/>
        <v>1</v>
      </c>
      <c r="AK73" s="22">
        <f t="shared" si="10"/>
        <v>3.5</v>
      </c>
    </row>
    <row r="74" spans="1:38" x14ac:dyDescent="0.2">
      <c r="A74">
        <v>2011</v>
      </c>
      <c r="B74" s="20" t="s">
        <v>46</v>
      </c>
      <c r="C74" s="12">
        <v>40709</v>
      </c>
      <c r="D74" s="3">
        <v>32</v>
      </c>
      <c r="E74" s="20" t="s">
        <v>81</v>
      </c>
      <c r="H74" s="1" t="s">
        <v>1</v>
      </c>
      <c r="I74" s="1" t="s">
        <v>1</v>
      </c>
      <c r="J74" s="1">
        <v>0</v>
      </c>
      <c r="K74" s="1">
        <v>0</v>
      </c>
      <c r="L74" s="1">
        <f t="shared" si="1"/>
        <v>0</v>
      </c>
      <c r="M74" s="1">
        <v>0</v>
      </c>
      <c r="N74" s="1" t="s">
        <v>1</v>
      </c>
      <c r="O74" s="1" t="s">
        <v>1</v>
      </c>
      <c r="P74" s="1">
        <v>1</v>
      </c>
      <c r="Q74" s="1">
        <v>0</v>
      </c>
      <c r="R74" s="1">
        <f t="shared" si="2"/>
        <v>1</v>
      </c>
      <c r="S74" s="1">
        <v>1.5</v>
      </c>
      <c r="T74" s="1" t="s">
        <v>1</v>
      </c>
      <c r="U74" s="1" t="s">
        <v>1</v>
      </c>
      <c r="V74" s="1">
        <v>0</v>
      </c>
      <c r="W74" s="1">
        <v>0</v>
      </c>
      <c r="X74" s="1">
        <f t="shared" si="3"/>
        <v>0</v>
      </c>
      <c r="Y74" s="1">
        <v>0</v>
      </c>
      <c r="Z74" s="1" t="s">
        <v>1</v>
      </c>
      <c r="AA74" s="1" t="s">
        <v>1</v>
      </c>
      <c r="AB74" s="1">
        <v>0</v>
      </c>
      <c r="AC74" s="1">
        <v>0</v>
      </c>
      <c r="AD74" s="1">
        <f t="shared" si="4"/>
        <v>0</v>
      </c>
      <c r="AE74" s="1">
        <v>0</v>
      </c>
      <c r="AF74" s="22">
        <f t="shared" si="32"/>
        <v>0</v>
      </c>
      <c r="AG74" s="22">
        <f t="shared" si="33"/>
        <v>0</v>
      </c>
      <c r="AH74" s="22">
        <f t="shared" si="7"/>
        <v>1</v>
      </c>
      <c r="AI74" s="22">
        <f t="shared" si="8"/>
        <v>0</v>
      </c>
      <c r="AJ74" s="22">
        <f t="shared" si="9"/>
        <v>1</v>
      </c>
      <c r="AK74" s="22">
        <f t="shared" si="10"/>
        <v>1.5</v>
      </c>
    </row>
    <row r="75" spans="1:38" x14ac:dyDescent="0.2">
      <c r="A75">
        <v>2011</v>
      </c>
      <c r="B75" s="20" t="s">
        <v>46</v>
      </c>
      <c r="C75" s="12">
        <v>40709</v>
      </c>
      <c r="D75" s="3">
        <v>32</v>
      </c>
      <c r="E75" s="20" t="s">
        <v>82</v>
      </c>
      <c r="H75" s="1" t="s">
        <v>1</v>
      </c>
      <c r="I75" s="1" t="s">
        <v>1</v>
      </c>
      <c r="J75" s="1">
        <v>0</v>
      </c>
      <c r="K75" s="1">
        <v>0</v>
      </c>
      <c r="L75" s="1">
        <f t="shared" si="1"/>
        <v>0</v>
      </c>
      <c r="M75" s="1">
        <v>0</v>
      </c>
      <c r="N75" s="1" t="s">
        <v>1</v>
      </c>
      <c r="O75" s="1" t="s">
        <v>1</v>
      </c>
      <c r="P75" s="1">
        <v>0</v>
      </c>
      <c r="Q75" s="1">
        <v>0</v>
      </c>
      <c r="R75" s="1">
        <f t="shared" si="2"/>
        <v>0</v>
      </c>
      <c r="S75" s="1">
        <v>0</v>
      </c>
      <c r="T75" s="1" t="s">
        <v>1</v>
      </c>
      <c r="U75" s="1" t="s">
        <v>1</v>
      </c>
      <c r="V75" s="1">
        <v>1</v>
      </c>
      <c r="W75" s="1">
        <v>0</v>
      </c>
      <c r="X75" s="1">
        <f t="shared" si="3"/>
        <v>1</v>
      </c>
      <c r="Y75" s="1">
        <v>0.5</v>
      </c>
      <c r="Z75" s="1" t="s">
        <v>1</v>
      </c>
      <c r="AA75" s="1" t="s">
        <v>1</v>
      </c>
      <c r="AB75" s="1">
        <v>0</v>
      </c>
      <c r="AC75" s="1">
        <v>0</v>
      </c>
      <c r="AD75" s="1">
        <f t="shared" si="4"/>
        <v>0</v>
      </c>
      <c r="AE75" s="1">
        <v>0</v>
      </c>
      <c r="AF75" s="22">
        <f t="shared" si="32"/>
        <v>0</v>
      </c>
      <c r="AG75" s="22">
        <f t="shared" si="33"/>
        <v>0</v>
      </c>
      <c r="AH75" s="22">
        <f t="shared" si="7"/>
        <v>1</v>
      </c>
      <c r="AI75" s="22">
        <f t="shared" si="8"/>
        <v>0</v>
      </c>
      <c r="AJ75" s="22">
        <f t="shared" si="9"/>
        <v>1</v>
      </c>
      <c r="AK75" s="22">
        <f t="shared" si="10"/>
        <v>0.5</v>
      </c>
    </row>
    <row r="76" spans="1:38" x14ac:dyDescent="0.2">
      <c r="A76">
        <v>2011</v>
      </c>
      <c r="B76" s="20" t="s">
        <v>46</v>
      </c>
      <c r="C76" s="12">
        <v>40709</v>
      </c>
      <c r="D76" s="3">
        <v>32</v>
      </c>
      <c r="E76" s="20" t="s">
        <v>76</v>
      </c>
      <c r="H76" s="1" t="s">
        <v>1</v>
      </c>
      <c r="I76" s="1" t="s">
        <v>1</v>
      </c>
      <c r="J76" s="1">
        <v>0</v>
      </c>
      <c r="K76" s="1">
        <v>0</v>
      </c>
      <c r="L76" s="1">
        <f t="shared" si="1"/>
        <v>0</v>
      </c>
      <c r="M76" s="1">
        <v>0</v>
      </c>
      <c r="N76" s="1" t="s">
        <v>1</v>
      </c>
      <c r="O76" s="1" t="s">
        <v>1</v>
      </c>
      <c r="P76" s="1">
        <v>0</v>
      </c>
      <c r="Q76" s="1">
        <v>0</v>
      </c>
      <c r="R76" s="1">
        <f t="shared" si="2"/>
        <v>0</v>
      </c>
      <c r="S76" s="1">
        <v>0</v>
      </c>
      <c r="T76" s="1" t="s">
        <v>1</v>
      </c>
      <c r="U76" s="1" t="s">
        <v>1</v>
      </c>
      <c r="V76" s="1">
        <v>1</v>
      </c>
      <c r="W76" s="1">
        <v>0</v>
      </c>
      <c r="X76" s="1">
        <f t="shared" si="3"/>
        <v>1</v>
      </c>
      <c r="Y76" s="1">
        <v>3.5</v>
      </c>
      <c r="Z76" s="1" t="s">
        <v>1</v>
      </c>
      <c r="AA76" s="1" t="s">
        <v>1</v>
      </c>
      <c r="AB76" s="1">
        <v>0</v>
      </c>
      <c r="AC76" s="1">
        <v>0</v>
      </c>
      <c r="AD76" s="1">
        <f t="shared" si="4"/>
        <v>0</v>
      </c>
      <c r="AE76" s="1">
        <v>0</v>
      </c>
      <c r="AF76" s="22">
        <f t="shared" si="32"/>
        <v>0</v>
      </c>
      <c r="AG76" s="22">
        <f t="shared" si="33"/>
        <v>0</v>
      </c>
      <c r="AH76" s="22">
        <f t="shared" si="7"/>
        <v>1</v>
      </c>
      <c r="AI76" s="22">
        <f t="shared" si="8"/>
        <v>0</v>
      </c>
      <c r="AJ76" s="22">
        <f t="shared" si="9"/>
        <v>1</v>
      </c>
      <c r="AK76" s="22">
        <f t="shared" si="10"/>
        <v>3.5</v>
      </c>
    </row>
    <row r="77" spans="1:38" x14ac:dyDescent="0.2">
      <c r="A77">
        <v>2011</v>
      </c>
      <c r="B77" s="20" t="s">
        <v>46</v>
      </c>
      <c r="C77" s="12">
        <v>40709</v>
      </c>
      <c r="D77" s="3">
        <v>32</v>
      </c>
      <c r="E77" s="20" t="s">
        <v>83</v>
      </c>
      <c r="H77" s="1" t="s">
        <v>1</v>
      </c>
      <c r="I77" s="1" t="s">
        <v>1</v>
      </c>
      <c r="J77" s="1">
        <v>0</v>
      </c>
      <c r="K77" s="1">
        <v>0</v>
      </c>
      <c r="L77" s="1">
        <f t="shared" si="1"/>
        <v>0</v>
      </c>
      <c r="M77" s="1">
        <v>0</v>
      </c>
      <c r="N77" s="1" t="s">
        <v>1</v>
      </c>
      <c r="O77" s="1" t="s">
        <v>1</v>
      </c>
      <c r="P77" s="1">
        <v>0</v>
      </c>
      <c r="Q77" s="1">
        <v>0</v>
      </c>
      <c r="R77" s="1">
        <f t="shared" si="2"/>
        <v>0</v>
      </c>
      <c r="S77" s="1">
        <v>0</v>
      </c>
      <c r="T77" s="1" t="s">
        <v>1</v>
      </c>
      <c r="U77" s="1" t="s">
        <v>1</v>
      </c>
      <c r="V77" s="1">
        <v>0</v>
      </c>
      <c r="W77" s="1">
        <v>0</v>
      </c>
      <c r="X77" s="1">
        <f t="shared" si="3"/>
        <v>0</v>
      </c>
      <c r="Y77" s="1">
        <v>0</v>
      </c>
      <c r="Z77" s="1" t="s">
        <v>1</v>
      </c>
      <c r="AA77" s="1" t="s">
        <v>1</v>
      </c>
      <c r="AB77" s="1">
        <v>1</v>
      </c>
      <c r="AC77" s="1">
        <v>0</v>
      </c>
      <c r="AD77" s="1">
        <f t="shared" si="4"/>
        <v>1</v>
      </c>
      <c r="AE77" s="1">
        <v>1.5</v>
      </c>
      <c r="AF77" s="22">
        <f t="shared" si="32"/>
        <v>0</v>
      </c>
      <c r="AG77" s="22">
        <f t="shared" si="33"/>
        <v>0</v>
      </c>
      <c r="AH77" s="22">
        <f t="shared" si="7"/>
        <v>1</v>
      </c>
      <c r="AI77" s="22">
        <f t="shared" si="8"/>
        <v>0</v>
      </c>
      <c r="AJ77" s="22">
        <f t="shared" si="9"/>
        <v>1</v>
      </c>
      <c r="AK77" s="22">
        <f t="shared" si="10"/>
        <v>1.5</v>
      </c>
    </row>
    <row r="78" spans="1:38" s="35" customFormat="1" x14ac:dyDescent="0.2">
      <c r="A78" s="35">
        <v>2011</v>
      </c>
      <c r="B78" s="36" t="s">
        <v>46</v>
      </c>
      <c r="C78" s="37">
        <v>40758</v>
      </c>
      <c r="D78" s="38">
        <v>33</v>
      </c>
      <c r="E78" s="36" t="s">
        <v>47</v>
      </c>
      <c r="H78" s="34">
        <v>0</v>
      </c>
      <c r="I78" s="34">
        <v>19</v>
      </c>
      <c r="J78" s="34">
        <v>5</v>
      </c>
      <c r="K78" s="34">
        <v>0</v>
      </c>
      <c r="L78" s="34">
        <f t="shared" ref="L78:L106" si="34">SUM(H78:K78)</f>
        <v>24</v>
      </c>
      <c r="M78" s="34">
        <v>25</v>
      </c>
      <c r="N78" s="34">
        <v>0</v>
      </c>
      <c r="O78" s="34">
        <v>12</v>
      </c>
      <c r="P78" s="34">
        <v>1</v>
      </c>
      <c r="Q78" s="34">
        <v>0</v>
      </c>
      <c r="R78" s="34">
        <f t="shared" ref="R78:R106" si="35">SUM(N78:Q78)</f>
        <v>13</v>
      </c>
      <c r="S78" s="34">
        <v>8</v>
      </c>
      <c r="T78" s="34">
        <v>0</v>
      </c>
      <c r="U78" s="34">
        <v>20</v>
      </c>
      <c r="V78" s="34">
        <v>8</v>
      </c>
      <c r="W78" s="34">
        <v>0</v>
      </c>
      <c r="X78" s="34">
        <f t="shared" ref="X78:X106" si="36">SUM(T78:W78)</f>
        <v>28</v>
      </c>
      <c r="Y78" s="34">
        <v>45</v>
      </c>
      <c r="Z78" s="34">
        <v>0</v>
      </c>
      <c r="AA78" s="34">
        <v>7</v>
      </c>
      <c r="AB78" s="34">
        <v>14</v>
      </c>
      <c r="AC78" s="34">
        <v>6</v>
      </c>
      <c r="AD78" s="34">
        <f t="shared" ref="AD78:AD106" si="37">SUM(Z78:AC78)</f>
        <v>27</v>
      </c>
      <c r="AE78" s="34">
        <v>85</v>
      </c>
      <c r="AF78" s="39">
        <f t="shared" ref="AF78:AF93" si="38">SUM(H78,N78,T78,Z78)</f>
        <v>0</v>
      </c>
      <c r="AG78" s="39">
        <f t="shared" ref="AG78:AG93" si="39">SUM(I78,O78,U78,AA78)</f>
        <v>58</v>
      </c>
      <c r="AH78" s="40">
        <f t="shared" ref="AH78:AH106" si="40">SUM(J78,P78,V78,AB78)</f>
        <v>28</v>
      </c>
      <c r="AI78" s="39">
        <f t="shared" ref="AI78:AI92" si="41">SUM(K78,Q78,W78,AC78)</f>
        <v>6</v>
      </c>
      <c r="AJ78" s="39">
        <f t="shared" ref="AJ78:AJ93" si="42">SUM(AF78:AI78)</f>
        <v>92</v>
      </c>
      <c r="AK78" s="39">
        <f t="shared" ref="AK78:AK106" si="43">M78+S78+Y78+AE78</f>
        <v>163</v>
      </c>
      <c r="AL78" s="41"/>
    </row>
    <row r="79" spans="1:38" x14ac:dyDescent="0.2">
      <c r="A79">
        <v>2011</v>
      </c>
      <c r="B79" s="20" t="s">
        <v>46</v>
      </c>
      <c r="C79" s="12">
        <v>40758</v>
      </c>
      <c r="D79" s="3">
        <v>33</v>
      </c>
      <c r="E79" s="20" t="s">
        <v>72</v>
      </c>
      <c r="H79" s="1">
        <v>0</v>
      </c>
      <c r="I79" s="1">
        <v>5</v>
      </c>
      <c r="J79" s="1">
        <v>3</v>
      </c>
      <c r="K79" s="1">
        <v>1</v>
      </c>
      <c r="L79" s="1">
        <f t="shared" si="34"/>
        <v>9</v>
      </c>
      <c r="M79" s="1">
        <v>25</v>
      </c>
      <c r="N79" s="1">
        <v>0</v>
      </c>
      <c r="O79" s="1">
        <v>0</v>
      </c>
      <c r="P79" s="1">
        <v>0</v>
      </c>
      <c r="Q79" s="1">
        <v>0</v>
      </c>
      <c r="R79" s="1">
        <f t="shared" si="35"/>
        <v>0</v>
      </c>
      <c r="S79" s="1">
        <v>0</v>
      </c>
      <c r="T79" s="1">
        <v>11</v>
      </c>
      <c r="U79" s="1">
        <v>0</v>
      </c>
      <c r="V79" s="1">
        <v>0</v>
      </c>
      <c r="W79" s="1">
        <v>0</v>
      </c>
      <c r="X79" s="1">
        <f t="shared" si="36"/>
        <v>11</v>
      </c>
      <c r="Y79" s="1">
        <v>0.5</v>
      </c>
      <c r="Z79" s="1">
        <v>0</v>
      </c>
      <c r="AA79" s="1">
        <v>0</v>
      </c>
      <c r="AB79" s="1">
        <v>0</v>
      </c>
      <c r="AC79" s="1">
        <v>0</v>
      </c>
      <c r="AD79" s="1">
        <f t="shared" si="37"/>
        <v>0</v>
      </c>
      <c r="AE79" s="1">
        <v>0</v>
      </c>
      <c r="AF79" s="22">
        <f t="shared" si="38"/>
        <v>11</v>
      </c>
      <c r="AG79" s="22">
        <f t="shared" si="39"/>
        <v>5</v>
      </c>
      <c r="AH79" s="9">
        <f t="shared" si="40"/>
        <v>3</v>
      </c>
      <c r="AI79" s="22">
        <f t="shared" si="41"/>
        <v>1</v>
      </c>
      <c r="AJ79" s="22">
        <f t="shared" si="42"/>
        <v>20</v>
      </c>
      <c r="AK79" s="22">
        <f t="shared" si="43"/>
        <v>25.5</v>
      </c>
    </row>
    <row r="80" spans="1:38" x14ac:dyDescent="0.2">
      <c r="A80">
        <v>2011</v>
      </c>
      <c r="B80" s="20" t="s">
        <v>46</v>
      </c>
      <c r="C80" s="12">
        <v>40758</v>
      </c>
      <c r="D80" s="3">
        <v>33</v>
      </c>
      <c r="E80" s="20" t="s">
        <v>63</v>
      </c>
      <c r="H80" s="1">
        <v>0</v>
      </c>
      <c r="I80" s="1">
        <v>0</v>
      </c>
      <c r="J80" s="1">
        <v>4</v>
      </c>
      <c r="K80" s="1">
        <v>1</v>
      </c>
      <c r="L80" s="1">
        <f t="shared" si="34"/>
        <v>5</v>
      </c>
      <c r="M80" s="1">
        <v>15</v>
      </c>
      <c r="N80" s="1">
        <v>0</v>
      </c>
      <c r="O80" s="1">
        <v>0</v>
      </c>
      <c r="P80" s="1">
        <v>0</v>
      </c>
      <c r="Q80" s="1">
        <v>0</v>
      </c>
      <c r="R80" s="1">
        <f t="shared" si="35"/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f t="shared" si="36"/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f t="shared" si="37"/>
        <v>0</v>
      </c>
      <c r="AE80" s="1">
        <v>0</v>
      </c>
      <c r="AF80" s="22">
        <f t="shared" si="38"/>
        <v>0</v>
      </c>
      <c r="AG80" s="22">
        <f t="shared" si="39"/>
        <v>0</v>
      </c>
      <c r="AH80" s="9">
        <f t="shared" si="40"/>
        <v>4</v>
      </c>
      <c r="AI80" s="22">
        <f t="shared" si="41"/>
        <v>1</v>
      </c>
      <c r="AJ80" s="22">
        <f t="shared" si="42"/>
        <v>5</v>
      </c>
      <c r="AK80" s="22">
        <f t="shared" si="43"/>
        <v>15</v>
      </c>
    </row>
    <row r="81" spans="1:38" x14ac:dyDescent="0.2">
      <c r="A81">
        <v>2011</v>
      </c>
      <c r="B81" s="20" t="s">
        <v>46</v>
      </c>
      <c r="C81" s="12">
        <v>40758</v>
      </c>
      <c r="D81" s="3">
        <v>33</v>
      </c>
      <c r="E81" s="20" t="s">
        <v>84</v>
      </c>
      <c r="H81" s="1">
        <v>0</v>
      </c>
      <c r="I81" s="1">
        <v>0</v>
      </c>
      <c r="J81" s="1">
        <v>1</v>
      </c>
      <c r="K81" s="1">
        <v>0</v>
      </c>
      <c r="L81" s="1">
        <f t="shared" si="34"/>
        <v>1</v>
      </c>
      <c r="M81" s="1">
        <v>8</v>
      </c>
      <c r="N81" s="1">
        <v>0</v>
      </c>
      <c r="O81" s="1">
        <v>0</v>
      </c>
      <c r="P81" s="1">
        <v>0</v>
      </c>
      <c r="Q81" s="1">
        <v>0</v>
      </c>
      <c r="R81" s="1">
        <f t="shared" si="35"/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f t="shared" si="36"/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f t="shared" si="37"/>
        <v>0</v>
      </c>
      <c r="AE81" s="1">
        <v>0</v>
      </c>
      <c r="AF81" s="22">
        <f t="shared" si="38"/>
        <v>0</v>
      </c>
      <c r="AG81" s="22">
        <f t="shared" si="39"/>
        <v>0</v>
      </c>
      <c r="AH81" s="9">
        <f t="shared" si="40"/>
        <v>1</v>
      </c>
      <c r="AI81" s="22">
        <f t="shared" si="41"/>
        <v>0</v>
      </c>
      <c r="AJ81" s="22">
        <f t="shared" si="42"/>
        <v>1</v>
      </c>
      <c r="AK81" s="22">
        <f t="shared" si="43"/>
        <v>8</v>
      </c>
    </row>
    <row r="82" spans="1:38" x14ac:dyDescent="0.2">
      <c r="A82">
        <v>2011</v>
      </c>
      <c r="B82" s="20" t="s">
        <v>46</v>
      </c>
      <c r="C82" s="12">
        <v>40758</v>
      </c>
      <c r="D82" s="3">
        <v>33</v>
      </c>
      <c r="E82" s="20" t="s">
        <v>55</v>
      </c>
      <c r="H82" s="1" t="s">
        <v>1</v>
      </c>
      <c r="I82" s="1" t="s">
        <v>1</v>
      </c>
      <c r="J82" s="1">
        <v>2</v>
      </c>
      <c r="K82" s="1">
        <v>3</v>
      </c>
      <c r="L82" s="1">
        <f t="shared" si="34"/>
        <v>5</v>
      </c>
      <c r="M82" s="1">
        <v>45</v>
      </c>
      <c r="N82" s="1" t="s">
        <v>1</v>
      </c>
      <c r="O82" s="1" t="s">
        <v>1</v>
      </c>
      <c r="P82" s="1">
        <v>3</v>
      </c>
      <c r="Q82" s="1">
        <v>0</v>
      </c>
      <c r="R82" s="1">
        <f t="shared" si="35"/>
        <v>3</v>
      </c>
      <c r="S82" s="1">
        <v>1.5</v>
      </c>
      <c r="T82" s="1" t="s">
        <v>1</v>
      </c>
      <c r="U82" s="1" t="s">
        <v>1</v>
      </c>
      <c r="V82" s="1">
        <v>3</v>
      </c>
      <c r="W82" s="1">
        <v>2</v>
      </c>
      <c r="X82" s="1">
        <f t="shared" si="36"/>
        <v>5</v>
      </c>
      <c r="Y82" s="1">
        <v>15</v>
      </c>
      <c r="Z82" s="1" t="s">
        <v>1</v>
      </c>
      <c r="AA82" s="1" t="s">
        <v>1</v>
      </c>
      <c r="AB82" s="1">
        <v>0</v>
      </c>
      <c r="AC82" s="1">
        <v>0</v>
      </c>
      <c r="AD82" s="1">
        <f t="shared" si="37"/>
        <v>0</v>
      </c>
      <c r="AE82" s="1">
        <v>0</v>
      </c>
      <c r="AF82" s="22">
        <f t="shared" si="38"/>
        <v>0</v>
      </c>
      <c r="AG82" s="22">
        <f t="shared" si="39"/>
        <v>0</v>
      </c>
      <c r="AH82" s="9">
        <f t="shared" si="40"/>
        <v>8</v>
      </c>
      <c r="AI82" s="22">
        <f t="shared" si="41"/>
        <v>5</v>
      </c>
      <c r="AJ82" s="22">
        <f t="shared" si="42"/>
        <v>13</v>
      </c>
      <c r="AK82" s="22">
        <f t="shared" si="43"/>
        <v>61.5</v>
      </c>
    </row>
    <row r="83" spans="1:38" x14ac:dyDescent="0.2">
      <c r="A83">
        <v>2011</v>
      </c>
      <c r="B83" s="20" t="s">
        <v>46</v>
      </c>
      <c r="C83" s="12">
        <v>40758</v>
      </c>
      <c r="D83" s="3">
        <v>33</v>
      </c>
      <c r="E83" s="20" t="s">
        <v>59</v>
      </c>
      <c r="H83" s="1" t="s">
        <v>1</v>
      </c>
      <c r="I83" s="1" t="s">
        <v>1</v>
      </c>
      <c r="J83" s="1">
        <v>1</v>
      </c>
      <c r="K83" s="1">
        <v>0</v>
      </c>
      <c r="L83" s="1">
        <f t="shared" si="34"/>
        <v>1</v>
      </c>
      <c r="M83" s="1">
        <v>0.5</v>
      </c>
      <c r="N83" s="1" t="s">
        <v>1</v>
      </c>
      <c r="O83" s="1" t="s">
        <v>1</v>
      </c>
      <c r="Q83" s="1">
        <v>0</v>
      </c>
      <c r="R83" s="1">
        <f t="shared" si="35"/>
        <v>0</v>
      </c>
      <c r="S83" s="1">
        <v>0</v>
      </c>
      <c r="T83" s="1" t="s">
        <v>1</v>
      </c>
      <c r="U83" s="1" t="s">
        <v>1</v>
      </c>
      <c r="V83" s="1">
        <v>0</v>
      </c>
      <c r="W83" s="1">
        <v>0</v>
      </c>
      <c r="X83" s="1">
        <f t="shared" si="36"/>
        <v>0</v>
      </c>
      <c r="Y83" s="1">
        <v>0</v>
      </c>
      <c r="Z83" s="1" t="s">
        <v>1</v>
      </c>
      <c r="AA83" s="1" t="s">
        <v>1</v>
      </c>
      <c r="AB83" s="1">
        <v>0</v>
      </c>
      <c r="AC83" s="1">
        <v>0</v>
      </c>
      <c r="AD83" s="1">
        <f t="shared" si="37"/>
        <v>0</v>
      </c>
      <c r="AE83" s="1">
        <v>0</v>
      </c>
      <c r="AF83" s="22">
        <f t="shared" si="38"/>
        <v>0</v>
      </c>
      <c r="AG83" s="22">
        <f t="shared" si="39"/>
        <v>0</v>
      </c>
      <c r="AH83" s="9">
        <f t="shared" si="40"/>
        <v>1</v>
      </c>
      <c r="AI83" s="22">
        <f t="shared" si="41"/>
        <v>0</v>
      </c>
      <c r="AJ83" s="22">
        <f t="shared" si="42"/>
        <v>1</v>
      </c>
      <c r="AK83" s="22">
        <f t="shared" si="43"/>
        <v>0.5</v>
      </c>
    </row>
    <row r="84" spans="1:38" x14ac:dyDescent="0.2">
      <c r="A84">
        <v>2011</v>
      </c>
      <c r="B84" s="20" t="s">
        <v>46</v>
      </c>
      <c r="C84" s="12">
        <v>40758</v>
      </c>
      <c r="D84" s="3">
        <v>33</v>
      </c>
      <c r="E84" s="20" t="s">
        <v>61</v>
      </c>
      <c r="H84" s="1" t="s">
        <v>1</v>
      </c>
      <c r="I84" s="1" t="s">
        <v>1</v>
      </c>
      <c r="J84" s="1">
        <v>3</v>
      </c>
      <c r="K84" s="1">
        <v>0</v>
      </c>
      <c r="L84" s="1">
        <f t="shared" si="34"/>
        <v>3</v>
      </c>
      <c r="M84" s="1">
        <v>8</v>
      </c>
      <c r="N84" s="1" t="s">
        <v>1</v>
      </c>
      <c r="O84" s="1" t="s">
        <v>1</v>
      </c>
      <c r="P84" s="1">
        <v>0</v>
      </c>
      <c r="Q84" s="1">
        <v>0</v>
      </c>
      <c r="R84" s="1">
        <f t="shared" si="35"/>
        <v>0</v>
      </c>
      <c r="S84" s="1">
        <v>0</v>
      </c>
      <c r="T84" s="1" t="s">
        <v>1</v>
      </c>
      <c r="U84" s="1" t="s">
        <v>1</v>
      </c>
      <c r="V84" s="1">
        <v>0</v>
      </c>
      <c r="W84" s="1">
        <v>0</v>
      </c>
      <c r="X84" s="1">
        <f t="shared" si="36"/>
        <v>0</v>
      </c>
      <c r="Y84" s="1">
        <v>0</v>
      </c>
      <c r="Z84" s="1" t="s">
        <v>1</v>
      </c>
      <c r="AA84" s="1" t="s">
        <v>1</v>
      </c>
      <c r="AB84" s="1">
        <v>0</v>
      </c>
      <c r="AC84" s="1">
        <v>0</v>
      </c>
      <c r="AD84" s="1">
        <f t="shared" si="37"/>
        <v>0</v>
      </c>
      <c r="AE84" s="1">
        <v>0</v>
      </c>
      <c r="AF84" s="22">
        <f t="shared" si="38"/>
        <v>0</v>
      </c>
      <c r="AG84" s="22">
        <f t="shared" si="39"/>
        <v>0</v>
      </c>
      <c r="AH84" s="9">
        <f t="shared" si="40"/>
        <v>3</v>
      </c>
      <c r="AI84" s="22">
        <f t="shared" si="41"/>
        <v>0</v>
      </c>
      <c r="AJ84" s="22">
        <f t="shared" si="42"/>
        <v>3</v>
      </c>
      <c r="AK84" s="22">
        <f t="shared" si="43"/>
        <v>8</v>
      </c>
    </row>
    <row r="85" spans="1:38" x14ac:dyDescent="0.2">
      <c r="A85">
        <v>2011</v>
      </c>
      <c r="B85" s="20" t="s">
        <v>46</v>
      </c>
      <c r="C85" s="12">
        <v>40758</v>
      </c>
      <c r="D85" s="3">
        <v>33</v>
      </c>
      <c r="E85" s="20" t="s">
        <v>60</v>
      </c>
      <c r="H85" s="1" t="s">
        <v>1</v>
      </c>
      <c r="I85" s="1" t="s">
        <v>1</v>
      </c>
      <c r="J85" s="1">
        <v>4</v>
      </c>
      <c r="K85" s="1">
        <v>0</v>
      </c>
      <c r="L85" s="1">
        <f t="shared" si="34"/>
        <v>4</v>
      </c>
      <c r="M85" s="1">
        <v>3.5</v>
      </c>
      <c r="N85" s="1" t="s">
        <v>1</v>
      </c>
      <c r="O85" s="1" t="s">
        <v>1</v>
      </c>
      <c r="P85" s="1">
        <v>1</v>
      </c>
      <c r="Q85" s="1">
        <v>0</v>
      </c>
      <c r="R85" s="1">
        <f t="shared" si="35"/>
        <v>1</v>
      </c>
      <c r="S85" s="1">
        <v>0.5</v>
      </c>
      <c r="T85" s="1" t="s">
        <v>1</v>
      </c>
      <c r="U85" s="1" t="s">
        <v>1</v>
      </c>
      <c r="V85" s="1">
        <v>0</v>
      </c>
      <c r="W85" s="1">
        <v>0</v>
      </c>
      <c r="X85" s="1">
        <f t="shared" si="36"/>
        <v>0</v>
      </c>
      <c r="Y85" s="1">
        <v>0</v>
      </c>
      <c r="Z85" s="1" t="s">
        <v>1</v>
      </c>
      <c r="AA85" s="1" t="s">
        <v>1</v>
      </c>
      <c r="AB85" s="1">
        <v>0</v>
      </c>
      <c r="AC85" s="1">
        <v>0</v>
      </c>
      <c r="AD85" s="1">
        <f t="shared" si="37"/>
        <v>0</v>
      </c>
      <c r="AE85" s="1">
        <v>0</v>
      </c>
      <c r="AF85" s="22">
        <f t="shared" si="38"/>
        <v>0</v>
      </c>
      <c r="AG85" s="22">
        <f t="shared" si="39"/>
        <v>0</v>
      </c>
      <c r="AH85" s="9">
        <f t="shared" si="40"/>
        <v>5</v>
      </c>
      <c r="AI85" s="22">
        <f t="shared" si="41"/>
        <v>0</v>
      </c>
      <c r="AJ85" s="22">
        <f t="shared" si="42"/>
        <v>5</v>
      </c>
      <c r="AK85" s="22">
        <f t="shared" si="43"/>
        <v>4</v>
      </c>
    </row>
    <row r="86" spans="1:38" x14ac:dyDescent="0.2">
      <c r="A86">
        <v>2011</v>
      </c>
      <c r="B86" s="20" t="s">
        <v>46</v>
      </c>
      <c r="C86" s="12">
        <v>40758</v>
      </c>
      <c r="D86" s="3">
        <v>33</v>
      </c>
      <c r="E86" s="20" t="s">
        <v>49</v>
      </c>
      <c r="H86" s="1">
        <v>0</v>
      </c>
      <c r="I86" s="1">
        <v>0</v>
      </c>
      <c r="J86" s="1">
        <v>2</v>
      </c>
      <c r="K86" s="1">
        <v>0</v>
      </c>
      <c r="L86" s="1">
        <f t="shared" si="34"/>
        <v>2</v>
      </c>
      <c r="M86" s="1">
        <v>3.5</v>
      </c>
      <c r="N86" s="1">
        <v>0</v>
      </c>
      <c r="O86" s="1">
        <v>0</v>
      </c>
      <c r="P86" s="1">
        <v>0</v>
      </c>
      <c r="Q86" s="1">
        <v>0</v>
      </c>
      <c r="R86" s="1">
        <f t="shared" si="35"/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f t="shared" si="36"/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f t="shared" si="37"/>
        <v>0</v>
      </c>
      <c r="AE86" s="1">
        <v>0</v>
      </c>
      <c r="AF86" s="22">
        <f t="shared" si="38"/>
        <v>0</v>
      </c>
      <c r="AG86" s="22">
        <f t="shared" si="39"/>
        <v>0</v>
      </c>
      <c r="AH86" s="9">
        <f t="shared" si="40"/>
        <v>2</v>
      </c>
      <c r="AI86" s="22">
        <f t="shared" si="41"/>
        <v>0</v>
      </c>
      <c r="AJ86" s="22">
        <f t="shared" si="42"/>
        <v>2</v>
      </c>
      <c r="AK86" s="22">
        <f t="shared" si="43"/>
        <v>3.5</v>
      </c>
    </row>
    <row r="87" spans="1:38" x14ac:dyDescent="0.2">
      <c r="A87">
        <v>2011</v>
      </c>
      <c r="B87" s="20" t="s">
        <v>46</v>
      </c>
      <c r="C87" s="12">
        <v>40758</v>
      </c>
      <c r="D87" s="3">
        <v>33</v>
      </c>
      <c r="E87" s="20" t="s">
        <v>82</v>
      </c>
      <c r="H87" s="1" t="s">
        <v>1</v>
      </c>
      <c r="I87" s="1" t="s">
        <v>1</v>
      </c>
      <c r="J87" s="1">
        <v>1</v>
      </c>
      <c r="K87" s="1">
        <v>0</v>
      </c>
      <c r="L87" s="1">
        <f t="shared" si="34"/>
        <v>1</v>
      </c>
      <c r="M87" s="1">
        <v>1.5</v>
      </c>
      <c r="N87" s="1" t="s">
        <v>1</v>
      </c>
      <c r="O87" s="1" t="s">
        <v>1</v>
      </c>
      <c r="P87" s="1">
        <v>0</v>
      </c>
      <c r="Q87" s="1">
        <v>0</v>
      </c>
      <c r="R87" s="1">
        <f t="shared" si="35"/>
        <v>0</v>
      </c>
      <c r="S87" s="1">
        <v>0</v>
      </c>
      <c r="T87" s="1" t="s">
        <v>1</v>
      </c>
      <c r="U87" s="1" t="s">
        <v>1</v>
      </c>
      <c r="V87" s="1">
        <v>0</v>
      </c>
      <c r="W87" s="1">
        <v>0</v>
      </c>
      <c r="X87" s="1">
        <f t="shared" si="36"/>
        <v>0</v>
      </c>
      <c r="Y87" s="1">
        <v>0</v>
      </c>
      <c r="Z87" s="1" t="s">
        <v>1</v>
      </c>
      <c r="AA87" s="1" t="s">
        <v>1</v>
      </c>
      <c r="AB87" s="1">
        <v>0</v>
      </c>
      <c r="AC87" s="1">
        <v>0</v>
      </c>
      <c r="AD87" s="1">
        <f t="shared" si="37"/>
        <v>0</v>
      </c>
      <c r="AE87" s="1">
        <v>0</v>
      </c>
      <c r="AF87" s="22">
        <f t="shared" si="38"/>
        <v>0</v>
      </c>
      <c r="AG87" s="22">
        <f t="shared" si="39"/>
        <v>0</v>
      </c>
      <c r="AH87" s="9">
        <f t="shared" si="40"/>
        <v>1</v>
      </c>
      <c r="AI87" s="22">
        <f t="shared" si="41"/>
        <v>0</v>
      </c>
      <c r="AJ87" s="22">
        <f t="shared" si="42"/>
        <v>1</v>
      </c>
      <c r="AK87" s="22">
        <f t="shared" si="43"/>
        <v>1.5</v>
      </c>
    </row>
    <row r="88" spans="1:38" x14ac:dyDescent="0.2">
      <c r="A88">
        <v>2011</v>
      </c>
      <c r="B88" s="20" t="s">
        <v>46</v>
      </c>
      <c r="C88" s="12">
        <v>40758</v>
      </c>
      <c r="D88" s="3">
        <v>33</v>
      </c>
      <c r="E88" s="20" t="s">
        <v>57</v>
      </c>
      <c r="H88" s="1" t="s">
        <v>1</v>
      </c>
      <c r="I88" s="1" t="s">
        <v>1</v>
      </c>
      <c r="J88" s="1">
        <v>0</v>
      </c>
      <c r="K88" s="1">
        <v>0</v>
      </c>
      <c r="L88" s="1">
        <f t="shared" si="34"/>
        <v>0</v>
      </c>
      <c r="M88" s="1">
        <v>0</v>
      </c>
      <c r="N88" s="1" t="s">
        <v>1</v>
      </c>
      <c r="O88" s="1" t="s">
        <v>1</v>
      </c>
      <c r="P88" s="1">
        <v>2</v>
      </c>
      <c r="Q88" s="1">
        <v>0</v>
      </c>
      <c r="R88" s="1">
        <f t="shared" si="35"/>
        <v>2</v>
      </c>
      <c r="S88" s="1">
        <v>3.5</v>
      </c>
      <c r="T88" s="1" t="s">
        <v>1</v>
      </c>
      <c r="U88" s="1" t="s">
        <v>1</v>
      </c>
      <c r="V88" s="1">
        <v>0</v>
      </c>
      <c r="W88" s="1">
        <v>0</v>
      </c>
      <c r="X88" s="1">
        <f t="shared" si="36"/>
        <v>0</v>
      </c>
      <c r="Y88" s="1">
        <v>0</v>
      </c>
      <c r="Z88" s="1" t="s">
        <v>1</v>
      </c>
      <c r="AA88" s="1" t="s">
        <v>1</v>
      </c>
      <c r="AB88" s="1">
        <v>1</v>
      </c>
      <c r="AC88" s="1">
        <v>0</v>
      </c>
      <c r="AD88" s="1">
        <f t="shared" si="37"/>
        <v>1</v>
      </c>
      <c r="AE88" s="1">
        <v>1.5</v>
      </c>
      <c r="AF88" s="22">
        <f t="shared" si="38"/>
        <v>0</v>
      </c>
      <c r="AG88" s="22">
        <f t="shared" si="39"/>
        <v>0</v>
      </c>
      <c r="AH88" s="9">
        <f t="shared" si="40"/>
        <v>3</v>
      </c>
      <c r="AI88" s="22">
        <f t="shared" si="41"/>
        <v>0</v>
      </c>
      <c r="AJ88" s="22">
        <f t="shared" si="42"/>
        <v>3</v>
      </c>
      <c r="AK88" s="22">
        <f t="shared" si="43"/>
        <v>5</v>
      </c>
    </row>
    <row r="89" spans="1:38" x14ac:dyDescent="0.2">
      <c r="A89">
        <v>2011</v>
      </c>
      <c r="B89" s="20" t="s">
        <v>46</v>
      </c>
      <c r="C89" s="12">
        <v>40758</v>
      </c>
      <c r="D89" s="3">
        <v>33</v>
      </c>
      <c r="E89" s="20" t="s">
        <v>50</v>
      </c>
      <c r="H89" s="1" t="s">
        <v>1</v>
      </c>
      <c r="I89" s="1" t="s">
        <v>1</v>
      </c>
      <c r="J89" s="1">
        <v>0</v>
      </c>
      <c r="K89" s="1">
        <v>0</v>
      </c>
      <c r="L89" s="1">
        <f t="shared" si="34"/>
        <v>0</v>
      </c>
      <c r="M89" s="1">
        <v>0</v>
      </c>
      <c r="N89" s="1" t="s">
        <v>1</v>
      </c>
      <c r="O89" s="1" t="s">
        <v>1</v>
      </c>
      <c r="P89" s="1">
        <v>4</v>
      </c>
      <c r="Q89" s="1">
        <v>0</v>
      </c>
      <c r="R89" s="1">
        <f t="shared" si="35"/>
        <v>4</v>
      </c>
      <c r="S89" s="1">
        <v>3.5</v>
      </c>
      <c r="T89" s="1" t="s">
        <v>1</v>
      </c>
      <c r="U89" s="1" t="s">
        <v>1</v>
      </c>
      <c r="V89" s="1">
        <v>0</v>
      </c>
      <c r="W89" s="1">
        <v>0</v>
      </c>
      <c r="X89" s="1">
        <f t="shared" si="36"/>
        <v>0</v>
      </c>
      <c r="Y89" s="1">
        <v>0</v>
      </c>
      <c r="Z89" s="1" t="s">
        <v>1</v>
      </c>
      <c r="AA89" s="1" t="s">
        <v>1</v>
      </c>
      <c r="AB89" s="1">
        <v>0</v>
      </c>
      <c r="AC89" s="1">
        <v>0</v>
      </c>
      <c r="AD89" s="1">
        <f t="shared" si="37"/>
        <v>0</v>
      </c>
      <c r="AE89" s="1">
        <v>0</v>
      </c>
      <c r="AF89" s="22">
        <f t="shared" si="38"/>
        <v>0</v>
      </c>
      <c r="AG89" s="22">
        <f t="shared" si="39"/>
        <v>0</v>
      </c>
      <c r="AH89" s="9">
        <f t="shared" si="40"/>
        <v>4</v>
      </c>
      <c r="AI89" s="22">
        <f t="shared" si="41"/>
        <v>0</v>
      </c>
      <c r="AJ89" s="22">
        <f t="shared" si="42"/>
        <v>4</v>
      </c>
      <c r="AK89" s="22">
        <f t="shared" si="43"/>
        <v>3.5</v>
      </c>
      <c r="AL89" s="27" t="s">
        <v>85</v>
      </c>
    </row>
    <row r="90" spans="1:38" x14ac:dyDescent="0.2">
      <c r="A90">
        <v>2011</v>
      </c>
      <c r="B90" s="20" t="s">
        <v>46</v>
      </c>
      <c r="C90" s="12">
        <v>40758</v>
      </c>
      <c r="D90" s="3">
        <v>33</v>
      </c>
      <c r="E90" s="20" t="s">
        <v>70</v>
      </c>
      <c r="H90" s="1">
        <v>0</v>
      </c>
      <c r="I90" s="1">
        <v>0</v>
      </c>
      <c r="J90" s="1">
        <v>0</v>
      </c>
      <c r="K90" s="1">
        <v>0</v>
      </c>
      <c r="L90" s="1">
        <f t="shared" si="34"/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f t="shared" si="35"/>
        <v>1</v>
      </c>
      <c r="S90" s="1">
        <v>0.5</v>
      </c>
      <c r="T90" s="1">
        <v>0</v>
      </c>
      <c r="U90" s="1">
        <v>0</v>
      </c>
      <c r="V90" s="1">
        <v>1</v>
      </c>
      <c r="W90" s="1">
        <v>0</v>
      </c>
      <c r="X90" s="1">
        <f t="shared" si="36"/>
        <v>1</v>
      </c>
      <c r="Y90" s="1">
        <v>0.5</v>
      </c>
      <c r="Z90" s="1">
        <v>0</v>
      </c>
      <c r="AA90" s="1">
        <v>0</v>
      </c>
      <c r="AB90" s="1">
        <v>0</v>
      </c>
      <c r="AC90" s="1">
        <v>0</v>
      </c>
      <c r="AD90" s="1">
        <f t="shared" si="37"/>
        <v>0</v>
      </c>
      <c r="AE90" s="1">
        <v>0</v>
      </c>
      <c r="AF90" s="22">
        <f t="shared" si="38"/>
        <v>0</v>
      </c>
      <c r="AG90" s="22">
        <f t="shared" si="39"/>
        <v>1</v>
      </c>
      <c r="AH90" s="9">
        <f t="shared" si="40"/>
        <v>1</v>
      </c>
      <c r="AI90" s="22">
        <f t="shared" si="41"/>
        <v>0</v>
      </c>
      <c r="AJ90" s="22">
        <f t="shared" si="42"/>
        <v>2</v>
      </c>
      <c r="AK90" s="22">
        <f t="shared" si="43"/>
        <v>1</v>
      </c>
    </row>
    <row r="91" spans="1:38" x14ac:dyDescent="0.2">
      <c r="A91">
        <v>2011</v>
      </c>
      <c r="B91" s="20" t="s">
        <v>46</v>
      </c>
      <c r="C91" s="12">
        <v>40758</v>
      </c>
      <c r="D91" s="3">
        <v>33</v>
      </c>
      <c r="E91" s="20" t="s">
        <v>48</v>
      </c>
      <c r="H91" s="1">
        <v>0</v>
      </c>
      <c r="I91" s="1">
        <v>0</v>
      </c>
      <c r="J91" s="1">
        <v>0</v>
      </c>
      <c r="K91" s="1">
        <v>0</v>
      </c>
      <c r="L91" s="1">
        <f t="shared" si="34"/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f t="shared" si="35"/>
        <v>0</v>
      </c>
      <c r="S91" s="1">
        <v>0</v>
      </c>
      <c r="T91" s="1">
        <v>0</v>
      </c>
      <c r="U91" s="1">
        <v>1</v>
      </c>
      <c r="V91" s="1">
        <v>0</v>
      </c>
      <c r="W91" s="1">
        <v>0</v>
      </c>
      <c r="X91" s="1">
        <f t="shared" si="36"/>
        <v>1</v>
      </c>
      <c r="Y91" s="1">
        <v>0.5</v>
      </c>
      <c r="Z91" s="1">
        <v>0</v>
      </c>
      <c r="AA91" s="1">
        <v>0</v>
      </c>
      <c r="AB91" s="1">
        <v>0</v>
      </c>
      <c r="AC91" s="1">
        <v>0</v>
      </c>
      <c r="AD91" s="1">
        <f t="shared" si="37"/>
        <v>0</v>
      </c>
      <c r="AE91" s="1">
        <v>0</v>
      </c>
      <c r="AF91" s="22">
        <f t="shared" si="38"/>
        <v>0</v>
      </c>
      <c r="AG91" s="22">
        <f t="shared" si="39"/>
        <v>1</v>
      </c>
      <c r="AH91" s="9">
        <f t="shared" si="40"/>
        <v>0</v>
      </c>
      <c r="AI91" s="22">
        <f t="shared" si="41"/>
        <v>0</v>
      </c>
      <c r="AJ91" s="22">
        <f t="shared" si="42"/>
        <v>1</v>
      </c>
      <c r="AK91" s="22">
        <f t="shared" si="43"/>
        <v>0.5</v>
      </c>
    </row>
    <row r="92" spans="1:38" x14ac:dyDescent="0.2">
      <c r="A92">
        <v>2011</v>
      </c>
      <c r="B92" s="20" t="s">
        <v>46</v>
      </c>
      <c r="C92" s="12">
        <v>40758</v>
      </c>
      <c r="D92" s="3">
        <v>33</v>
      </c>
      <c r="E92" s="20" t="s">
        <v>69</v>
      </c>
      <c r="H92" s="1" t="s">
        <v>1</v>
      </c>
      <c r="I92" s="1" t="s">
        <v>1</v>
      </c>
      <c r="J92" s="1">
        <v>0</v>
      </c>
      <c r="K92" s="1">
        <v>0</v>
      </c>
      <c r="L92" s="1">
        <f t="shared" si="34"/>
        <v>0</v>
      </c>
      <c r="M92" s="1">
        <v>0</v>
      </c>
      <c r="N92" s="1" t="s">
        <v>1</v>
      </c>
      <c r="O92" s="1" t="s">
        <v>1</v>
      </c>
      <c r="P92" s="1">
        <v>0</v>
      </c>
      <c r="Q92" s="1">
        <v>0</v>
      </c>
      <c r="R92" s="1">
        <f t="shared" si="35"/>
        <v>0</v>
      </c>
      <c r="S92" s="1">
        <v>0</v>
      </c>
      <c r="T92" s="1" t="s">
        <v>1</v>
      </c>
      <c r="U92" s="1" t="s">
        <v>1</v>
      </c>
      <c r="V92" s="1">
        <v>1</v>
      </c>
      <c r="W92" s="1">
        <v>0</v>
      </c>
      <c r="X92" s="1">
        <f t="shared" si="36"/>
        <v>1</v>
      </c>
      <c r="Y92" s="1">
        <v>1.5</v>
      </c>
      <c r="Z92" s="1" t="s">
        <v>1</v>
      </c>
      <c r="AA92" s="1" t="s">
        <v>1</v>
      </c>
      <c r="AB92" s="1">
        <v>0</v>
      </c>
      <c r="AC92" s="1">
        <v>0</v>
      </c>
      <c r="AD92" s="1">
        <f t="shared" si="37"/>
        <v>0</v>
      </c>
      <c r="AE92" s="1">
        <v>0</v>
      </c>
      <c r="AF92" s="22">
        <f t="shared" si="38"/>
        <v>0</v>
      </c>
      <c r="AG92" s="22">
        <f t="shared" si="39"/>
        <v>0</v>
      </c>
      <c r="AH92" s="9">
        <f t="shared" si="40"/>
        <v>1</v>
      </c>
      <c r="AI92" s="22">
        <f t="shared" si="41"/>
        <v>0</v>
      </c>
      <c r="AJ92" s="22">
        <f t="shared" si="42"/>
        <v>1</v>
      </c>
      <c r="AK92" s="22">
        <f t="shared" si="43"/>
        <v>1.5</v>
      </c>
    </row>
    <row r="93" spans="1:38" x14ac:dyDescent="0.2">
      <c r="A93">
        <v>2011</v>
      </c>
      <c r="B93" s="20" t="s">
        <v>46</v>
      </c>
      <c r="C93" s="12">
        <v>40758</v>
      </c>
      <c r="D93" s="3">
        <v>33</v>
      </c>
      <c r="E93" s="20" t="s">
        <v>86</v>
      </c>
      <c r="H93" s="1" t="s">
        <v>1</v>
      </c>
      <c r="I93" s="1" t="s">
        <v>1</v>
      </c>
      <c r="J93" s="1">
        <v>0</v>
      </c>
      <c r="K93" s="1">
        <v>0</v>
      </c>
      <c r="L93" s="1">
        <f t="shared" si="34"/>
        <v>0</v>
      </c>
      <c r="M93" s="1">
        <v>0</v>
      </c>
      <c r="N93" s="1" t="s">
        <v>1</v>
      </c>
      <c r="O93" s="1" t="s">
        <v>1</v>
      </c>
      <c r="P93" s="1">
        <v>0</v>
      </c>
      <c r="Q93" s="1">
        <v>0</v>
      </c>
      <c r="R93" s="1">
        <f t="shared" si="35"/>
        <v>0</v>
      </c>
      <c r="S93" s="1">
        <v>0</v>
      </c>
      <c r="T93" s="1" t="s">
        <v>1</v>
      </c>
      <c r="U93" s="1" t="s">
        <v>1</v>
      </c>
      <c r="V93" s="1">
        <v>0</v>
      </c>
      <c r="W93" s="1">
        <v>0</v>
      </c>
      <c r="X93" s="1">
        <f t="shared" si="36"/>
        <v>0</v>
      </c>
      <c r="Y93" s="1">
        <v>0</v>
      </c>
      <c r="Z93" s="1" t="s">
        <v>1</v>
      </c>
      <c r="AA93" s="1" t="s">
        <v>1</v>
      </c>
      <c r="AB93" s="1">
        <v>1</v>
      </c>
      <c r="AC93" s="1">
        <v>0</v>
      </c>
      <c r="AD93" s="1">
        <f t="shared" si="37"/>
        <v>1</v>
      </c>
      <c r="AE93" s="1">
        <v>1.5</v>
      </c>
      <c r="AF93" s="22">
        <f t="shared" si="38"/>
        <v>0</v>
      </c>
      <c r="AG93" s="22">
        <f t="shared" si="39"/>
        <v>0</v>
      </c>
      <c r="AH93" s="9">
        <f t="shared" si="40"/>
        <v>1</v>
      </c>
      <c r="AI93" s="22">
        <f>SUM(K93,Q93,W93,AC93)</f>
        <v>0</v>
      </c>
      <c r="AJ93" s="22">
        <f t="shared" si="42"/>
        <v>1</v>
      </c>
      <c r="AK93" s="22">
        <f t="shared" si="43"/>
        <v>1.5</v>
      </c>
    </row>
    <row r="94" spans="1:38" x14ac:dyDescent="0.2">
      <c r="A94">
        <v>2011</v>
      </c>
      <c r="B94" s="20" t="s">
        <v>46</v>
      </c>
      <c r="C94" s="12">
        <v>40758</v>
      </c>
      <c r="D94" s="3">
        <v>34</v>
      </c>
      <c r="E94" s="20" t="s">
        <v>47</v>
      </c>
      <c r="H94" s="1">
        <v>0</v>
      </c>
      <c r="I94" s="1">
        <v>5</v>
      </c>
      <c r="J94" s="1">
        <v>1</v>
      </c>
      <c r="K94" s="1">
        <v>0</v>
      </c>
      <c r="L94" s="1">
        <f t="shared" si="34"/>
        <v>6</v>
      </c>
      <c r="M94" s="1">
        <v>8</v>
      </c>
      <c r="N94" s="1">
        <v>0</v>
      </c>
      <c r="O94" s="1">
        <v>3</v>
      </c>
      <c r="P94" s="1">
        <v>0</v>
      </c>
      <c r="Q94" s="1">
        <v>0</v>
      </c>
      <c r="R94" s="1">
        <f t="shared" si="35"/>
        <v>3</v>
      </c>
      <c r="S94" s="1">
        <v>0.5</v>
      </c>
      <c r="T94" s="1">
        <v>0</v>
      </c>
      <c r="U94" s="1">
        <v>14</v>
      </c>
      <c r="V94" s="1">
        <v>0</v>
      </c>
      <c r="W94" s="1">
        <v>0</v>
      </c>
      <c r="X94" s="1">
        <f t="shared" si="36"/>
        <v>14</v>
      </c>
      <c r="Y94" s="1">
        <v>3.5</v>
      </c>
      <c r="Z94" s="1">
        <v>0</v>
      </c>
      <c r="AA94" s="1">
        <v>6</v>
      </c>
      <c r="AB94" s="1">
        <v>0</v>
      </c>
      <c r="AC94" s="1">
        <v>0</v>
      </c>
      <c r="AD94" s="1">
        <f t="shared" si="37"/>
        <v>6</v>
      </c>
      <c r="AE94" s="1">
        <v>1.5</v>
      </c>
      <c r="AF94" s="22">
        <f t="shared" ref="AF94:AF100" si="44">SUM(H94,N94,T94,Z94)</f>
        <v>0</v>
      </c>
      <c r="AG94" s="22">
        <f t="shared" ref="AG94:AG100" si="45">SUM(I94,O94,U94,AA94)</f>
        <v>28</v>
      </c>
      <c r="AH94" s="9">
        <f t="shared" si="40"/>
        <v>1</v>
      </c>
      <c r="AI94" s="22">
        <f t="shared" ref="AI94:AI100" si="46">SUM(K94,Q94,W94,AC94)</f>
        <v>0</v>
      </c>
      <c r="AJ94" s="22">
        <f t="shared" ref="AJ94:AJ100" si="47">SUM(AF94:AI94)</f>
        <v>29</v>
      </c>
      <c r="AK94" s="22">
        <f t="shared" si="43"/>
        <v>13.5</v>
      </c>
    </row>
    <row r="95" spans="1:38" x14ac:dyDescent="0.2">
      <c r="A95">
        <v>2011</v>
      </c>
      <c r="B95" s="20" t="s">
        <v>46</v>
      </c>
      <c r="C95" s="12">
        <v>40758</v>
      </c>
      <c r="D95" s="3">
        <v>34</v>
      </c>
      <c r="E95" s="20" t="s">
        <v>50</v>
      </c>
      <c r="H95" s="1" t="s">
        <v>1</v>
      </c>
      <c r="I95" s="1" t="s">
        <v>1</v>
      </c>
      <c r="J95" s="1">
        <v>2</v>
      </c>
      <c r="K95" s="1">
        <v>1</v>
      </c>
      <c r="L95" s="1">
        <f t="shared" si="34"/>
        <v>3</v>
      </c>
      <c r="M95" s="1">
        <v>1.5</v>
      </c>
      <c r="N95" s="1" t="s">
        <v>1</v>
      </c>
      <c r="O95" s="1" t="s">
        <v>1</v>
      </c>
      <c r="P95" s="1">
        <v>0</v>
      </c>
      <c r="Q95" s="1">
        <v>0</v>
      </c>
      <c r="R95" s="1">
        <f t="shared" si="35"/>
        <v>0</v>
      </c>
      <c r="S95" s="1">
        <v>0</v>
      </c>
      <c r="T95" s="1" t="s">
        <v>1</v>
      </c>
      <c r="U95" s="1" t="s">
        <v>1</v>
      </c>
      <c r="V95" s="1">
        <v>0</v>
      </c>
      <c r="W95" s="1">
        <v>0</v>
      </c>
      <c r="X95" s="1">
        <f t="shared" si="36"/>
        <v>0</v>
      </c>
      <c r="Y95" s="1">
        <v>0</v>
      </c>
      <c r="Z95" s="1" t="s">
        <v>1</v>
      </c>
      <c r="AA95" s="1" t="s">
        <v>1</v>
      </c>
      <c r="AB95" s="1">
        <v>0</v>
      </c>
      <c r="AC95" s="1">
        <v>0</v>
      </c>
      <c r="AD95" s="1">
        <f t="shared" si="37"/>
        <v>0</v>
      </c>
      <c r="AE95" s="1">
        <v>0</v>
      </c>
      <c r="AF95" s="22">
        <f t="shared" si="44"/>
        <v>0</v>
      </c>
      <c r="AG95" s="22">
        <f t="shared" si="45"/>
        <v>0</v>
      </c>
      <c r="AH95" s="9">
        <f t="shared" si="40"/>
        <v>2</v>
      </c>
      <c r="AI95" s="22">
        <f t="shared" si="46"/>
        <v>1</v>
      </c>
      <c r="AJ95" s="22">
        <f t="shared" si="47"/>
        <v>3</v>
      </c>
      <c r="AK95" s="22">
        <f t="shared" si="43"/>
        <v>1.5</v>
      </c>
      <c r="AL95" s="27" t="s">
        <v>87</v>
      </c>
    </row>
    <row r="96" spans="1:38" x14ac:dyDescent="0.2">
      <c r="A96">
        <v>2011</v>
      </c>
      <c r="B96" s="20" t="s">
        <v>46</v>
      </c>
      <c r="C96" s="12">
        <v>40758</v>
      </c>
      <c r="D96" s="3">
        <v>34</v>
      </c>
      <c r="E96" s="20" t="s">
        <v>48</v>
      </c>
      <c r="H96" s="1">
        <v>0</v>
      </c>
      <c r="I96" s="1">
        <v>0</v>
      </c>
      <c r="J96" s="1">
        <v>0</v>
      </c>
      <c r="K96" s="1">
        <v>0</v>
      </c>
      <c r="L96" s="1">
        <f t="shared" si="34"/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f t="shared" si="35"/>
        <v>0</v>
      </c>
      <c r="S96" s="1">
        <v>0</v>
      </c>
      <c r="T96" s="1">
        <v>0</v>
      </c>
      <c r="U96" s="1">
        <v>1</v>
      </c>
      <c r="V96" s="1">
        <v>0</v>
      </c>
      <c r="W96" s="1">
        <v>0</v>
      </c>
      <c r="X96" s="1">
        <f t="shared" si="36"/>
        <v>1</v>
      </c>
      <c r="Y96" s="1">
        <v>0.5</v>
      </c>
      <c r="Z96" s="1">
        <v>0</v>
      </c>
      <c r="AA96" s="1">
        <v>1</v>
      </c>
      <c r="AB96" s="1">
        <v>0</v>
      </c>
      <c r="AC96" s="1">
        <v>0</v>
      </c>
      <c r="AD96" s="1">
        <f t="shared" si="37"/>
        <v>1</v>
      </c>
      <c r="AE96" s="1">
        <v>0.5</v>
      </c>
      <c r="AF96" s="22">
        <f t="shared" si="44"/>
        <v>0</v>
      </c>
      <c r="AG96" s="22">
        <f t="shared" si="45"/>
        <v>2</v>
      </c>
      <c r="AH96" s="9">
        <f t="shared" si="40"/>
        <v>0</v>
      </c>
      <c r="AI96" s="22">
        <f t="shared" si="46"/>
        <v>0</v>
      </c>
      <c r="AJ96" s="22">
        <f t="shared" si="47"/>
        <v>2</v>
      </c>
      <c r="AK96" s="22">
        <f t="shared" si="43"/>
        <v>1</v>
      </c>
    </row>
    <row r="97" spans="1:38" x14ac:dyDescent="0.2">
      <c r="A97">
        <v>2011</v>
      </c>
      <c r="B97" s="20" t="s">
        <v>46</v>
      </c>
      <c r="C97" s="12">
        <v>40758</v>
      </c>
      <c r="D97" s="3">
        <v>34</v>
      </c>
      <c r="E97" s="20" t="s">
        <v>80</v>
      </c>
      <c r="H97" s="1" t="s">
        <v>1</v>
      </c>
      <c r="I97" s="1" t="s">
        <v>1</v>
      </c>
      <c r="J97" s="1">
        <v>0</v>
      </c>
      <c r="K97" s="1">
        <v>0</v>
      </c>
      <c r="L97" s="1">
        <f t="shared" si="34"/>
        <v>0</v>
      </c>
      <c r="M97" s="1">
        <v>0</v>
      </c>
      <c r="N97" s="1" t="s">
        <v>1</v>
      </c>
      <c r="O97" s="1" t="s">
        <v>1</v>
      </c>
      <c r="P97" s="1">
        <v>0</v>
      </c>
      <c r="Q97" s="1">
        <v>0</v>
      </c>
      <c r="R97" s="1">
        <f t="shared" si="35"/>
        <v>0</v>
      </c>
      <c r="S97" s="1">
        <v>0</v>
      </c>
      <c r="T97" s="1" t="s">
        <v>1</v>
      </c>
      <c r="U97" s="1" t="s">
        <v>1</v>
      </c>
      <c r="V97" s="1">
        <v>0</v>
      </c>
      <c r="W97" s="1">
        <v>1</v>
      </c>
      <c r="X97" s="1">
        <f t="shared" si="36"/>
        <v>1</v>
      </c>
      <c r="Y97" s="1">
        <v>8</v>
      </c>
      <c r="Z97" s="1" t="s">
        <v>1</v>
      </c>
      <c r="AA97" s="1" t="s">
        <v>1</v>
      </c>
      <c r="AB97" s="1">
        <v>0</v>
      </c>
      <c r="AC97" s="1">
        <v>0</v>
      </c>
      <c r="AD97" s="1">
        <f t="shared" si="37"/>
        <v>0</v>
      </c>
      <c r="AE97" s="1">
        <v>0</v>
      </c>
      <c r="AF97" s="22">
        <f t="shared" si="44"/>
        <v>0</v>
      </c>
      <c r="AG97" s="22">
        <f t="shared" si="45"/>
        <v>0</v>
      </c>
      <c r="AH97" s="9">
        <f t="shared" si="40"/>
        <v>0</v>
      </c>
      <c r="AI97" s="22">
        <f t="shared" si="46"/>
        <v>1</v>
      </c>
      <c r="AJ97" s="22">
        <f t="shared" si="47"/>
        <v>1</v>
      </c>
      <c r="AK97" s="22">
        <f t="shared" si="43"/>
        <v>8</v>
      </c>
    </row>
    <row r="98" spans="1:38" x14ac:dyDescent="0.2">
      <c r="A98">
        <v>2011</v>
      </c>
      <c r="B98" s="20" t="s">
        <v>46</v>
      </c>
      <c r="C98" s="12">
        <v>40758</v>
      </c>
      <c r="D98" s="3">
        <v>34</v>
      </c>
      <c r="E98" s="20" t="s">
        <v>86</v>
      </c>
      <c r="H98" s="1" t="s">
        <v>1</v>
      </c>
      <c r="I98" s="1" t="s">
        <v>1</v>
      </c>
      <c r="J98" s="1">
        <v>0</v>
      </c>
      <c r="K98" s="1">
        <v>0</v>
      </c>
      <c r="L98" s="1">
        <f t="shared" si="34"/>
        <v>0</v>
      </c>
      <c r="M98" s="1">
        <v>0</v>
      </c>
      <c r="N98" s="1" t="s">
        <v>1</v>
      </c>
      <c r="O98" s="1" t="s">
        <v>1</v>
      </c>
      <c r="P98" s="1">
        <v>0</v>
      </c>
      <c r="Q98" s="1">
        <v>0</v>
      </c>
      <c r="R98" s="1">
        <f t="shared" si="35"/>
        <v>0</v>
      </c>
      <c r="S98" s="1">
        <v>0</v>
      </c>
      <c r="T98" s="1" t="s">
        <v>1</v>
      </c>
      <c r="U98" s="1" t="s">
        <v>1</v>
      </c>
      <c r="V98" s="1">
        <v>1</v>
      </c>
      <c r="W98" s="1">
        <v>0</v>
      </c>
      <c r="X98" s="1">
        <f t="shared" si="36"/>
        <v>1</v>
      </c>
      <c r="Y98" s="1">
        <v>8</v>
      </c>
      <c r="Z98" s="1" t="s">
        <v>1</v>
      </c>
      <c r="AA98" s="1" t="s">
        <v>1</v>
      </c>
      <c r="AB98" s="1">
        <v>2</v>
      </c>
      <c r="AC98" s="1">
        <v>0</v>
      </c>
      <c r="AD98" s="1">
        <f t="shared" si="37"/>
        <v>2</v>
      </c>
      <c r="AE98" s="1">
        <v>15</v>
      </c>
      <c r="AF98" s="22">
        <f t="shared" si="44"/>
        <v>0</v>
      </c>
      <c r="AG98" s="22">
        <f t="shared" si="45"/>
        <v>0</v>
      </c>
      <c r="AH98" s="9">
        <f t="shared" si="40"/>
        <v>3</v>
      </c>
      <c r="AI98" s="22">
        <f t="shared" si="46"/>
        <v>0</v>
      </c>
      <c r="AJ98" s="22">
        <f t="shared" si="47"/>
        <v>3</v>
      </c>
      <c r="AK98" s="22">
        <f t="shared" si="43"/>
        <v>23</v>
      </c>
    </row>
    <row r="99" spans="1:38" x14ac:dyDescent="0.2">
      <c r="A99">
        <v>2011</v>
      </c>
      <c r="B99" s="20" t="s">
        <v>46</v>
      </c>
      <c r="C99" s="12">
        <v>40758</v>
      </c>
      <c r="D99" s="3">
        <v>34</v>
      </c>
      <c r="E99" s="20" t="s">
        <v>64</v>
      </c>
      <c r="H99" s="1" t="s">
        <v>1</v>
      </c>
      <c r="I99" s="1" t="s">
        <v>1</v>
      </c>
      <c r="J99" s="1">
        <v>0</v>
      </c>
      <c r="K99" s="1">
        <v>0</v>
      </c>
      <c r="L99" s="1">
        <f t="shared" si="34"/>
        <v>0</v>
      </c>
      <c r="M99" s="1">
        <v>0</v>
      </c>
      <c r="N99" s="1" t="s">
        <v>1</v>
      </c>
      <c r="O99" s="1" t="s">
        <v>1</v>
      </c>
      <c r="P99" s="1">
        <v>0</v>
      </c>
      <c r="Q99" s="1">
        <v>0</v>
      </c>
      <c r="R99" s="1">
        <f t="shared" si="35"/>
        <v>0</v>
      </c>
      <c r="S99" s="1">
        <v>0</v>
      </c>
      <c r="T99" s="1" t="s">
        <v>1</v>
      </c>
      <c r="U99" s="1" t="s">
        <v>1</v>
      </c>
      <c r="V99" s="1">
        <v>2</v>
      </c>
      <c r="W99" s="1">
        <v>0</v>
      </c>
      <c r="X99" s="1">
        <f t="shared" si="36"/>
        <v>2</v>
      </c>
      <c r="Y99" s="1">
        <v>1.5</v>
      </c>
      <c r="Z99" s="1" t="s">
        <v>1</v>
      </c>
      <c r="AA99" s="1" t="s">
        <v>1</v>
      </c>
      <c r="AB99" s="1">
        <v>0</v>
      </c>
      <c r="AC99" s="1">
        <v>0</v>
      </c>
      <c r="AD99" s="1">
        <f t="shared" si="37"/>
        <v>0</v>
      </c>
      <c r="AE99" s="1">
        <v>0</v>
      </c>
      <c r="AF99" s="22">
        <f t="shared" si="44"/>
        <v>0</v>
      </c>
      <c r="AG99" s="22">
        <f t="shared" si="45"/>
        <v>0</v>
      </c>
      <c r="AH99" s="9">
        <f t="shared" si="40"/>
        <v>2</v>
      </c>
      <c r="AI99" s="22">
        <f t="shared" si="46"/>
        <v>0</v>
      </c>
      <c r="AJ99" s="22">
        <f t="shared" si="47"/>
        <v>2</v>
      </c>
      <c r="AK99" s="22">
        <f t="shared" si="43"/>
        <v>1.5</v>
      </c>
    </row>
    <row r="100" spans="1:38" x14ac:dyDescent="0.2">
      <c r="A100">
        <v>2011</v>
      </c>
      <c r="B100" s="20" t="s">
        <v>46</v>
      </c>
      <c r="C100" s="12">
        <v>40758</v>
      </c>
      <c r="D100" s="3">
        <v>34</v>
      </c>
      <c r="E100" s="20" t="s">
        <v>81</v>
      </c>
      <c r="H100" s="1" t="s">
        <v>1</v>
      </c>
      <c r="I100" s="1" t="s">
        <v>1</v>
      </c>
      <c r="J100" s="1">
        <v>0</v>
      </c>
      <c r="K100" s="1">
        <v>0</v>
      </c>
      <c r="L100" s="1">
        <f t="shared" si="34"/>
        <v>0</v>
      </c>
      <c r="M100" s="1">
        <v>0</v>
      </c>
      <c r="N100" s="1" t="s">
        <v>1</v>
      </c>
      <c r="O100" s="1" t="s">
        <v>1</v>
      </c>
      <c r="P100" s="1">
        <v>0</v>
      </c>
      <c r="Q100" s="1">
        <v>0</v>
      </c>
      <c r="R100" s="1">
        <f t="shared" si="35"/>
        <v>0</v>
      </c>
      <c r="S100" s="1">
        <v>0</v>
      </c>
      <c r="T100" s="1" t="s">
        <v>1</v>
      </c>
      <c r="U100" s="1" t="s">
        <v>1</v>
      </c>
      <c r="V100" s="1">
        <v>0</v>
      </c>
      <c r="W100" s="1">
        <v>0</v>
      </c>
      <c r="X100" s="1">
        <f t="shared" si="36"/>
        <v>0</v>
      </c>
      <c r="Y100" s="1">
        <v>0</v>
      </c>
      <c r="Z100" s="1" t="s">
        <v>1</v>
      </c>
      <c r="AA100" s="1" t="s">
        <v>1</v>
      </c>
      <c r="AB100" s="1">
        <v>1</v>
      </c>
      <c r="AC100" s="1">
        <v>0</v>
      </c>
      <c r="AD100" s="1">
        <f t="shared" si="37"/>
        <v>1</v>
      </c>
      <c r="AE100" s="1">
        <v>1.5</v>
      </c>
      <c r="AF100" s="22">
        <f t="shared" si="44"/>
        <v>0</v>
      </c>
      <c r="AG100" s="22">
        <f t="shared" si="45"/>
        <v>0</v>
      </c>
      <c r="AH100" s="9">
        <f t="shared" si="40"/>
        <v>1</v>
      </c>
      <c r="AI100" s="22">
        <f t="shared" si="46"/>
        <v>0</v>
      </c>
      <c r="AJ100" s="22">
        <f t="shared" si="47"/>
        <v>1</v>
      </c>
      <c r="AK100" s="22">
        <f t="shared" si="43"/>
        <v>1.5</v>
      </c>
    </row>
    <row r="101" spans="1:38" x14ac:dyDescent="0.2">
      <c r="A101">
        <v>2011</v>
      </c>
      <c r="B101" s="20" t="s">
        <v>46</v>
      </c>
      <c r="C101" s="12">
        <v>40758</v>
      </c>
      <c r="D101" s="3">
        <v>35</v>
      </c>
      <c r="E101" s="20" t="s">
        <v>47</v>
      </c>
      <c r="H101" s="1">
        <v>0</v>
      </c>
      <c r="I101" s="1">
        <v>1</v>
      </c>
      <c r="J101" s="1">
        <v>0</v>
      </c>
      <c r="K101" s="1">
        <v>0</v>
      </c>
      <c r="L101" s="1">
        <f t="shared" si="34"/>
        <v>1</v>
      </c>
      <c r="M101" s="1">
        <v>0.5</v>
      </c>
      <c r="N101" s="1">
        <v>0</v>
      </c>
      <c r="O101" s="1">
        <v>2</v>
      </c>
      <c r="P101" s="1">
        <v>0</v>
      </c>
      <c r="Q101" s="1">
        <v>0</v>
      </c>
      <c r="R101" s="1">
        <f t="shared" si="35"/>
        <v>2</v>
      </c>
      <c r="S101" s="1">
        <v>1.5</v>
      </c>
      <c r="T101" s="1">
        <v>0</v>
      </c>
      <c r="U101" s="1">
        <v>3</v>
      </c>
      <c r="V101" s="1">
        <v>0</v>
      </c>
      <c r="W101" s="1">
        <v>0</v>
      </c>
      <c r="X101" s="1">
        <f t="shared" si="36"/>
        <v>3</v>
      </c>
      <c r="Y101" s="1">
        <v>0.5</v>
      </c>
      <c r="Z101" s="1">
        <v>0</v>
      </c>
      <c r="AA101" s="1">
        <v>3</v>
      </c>
      <c r="AB101" s="1">
        <v>0</v>
      </c>
      <c r="AC101" s="1">
        <v>0</v>
      </c>
      <c r="AD101" s="1">
        <f t="shared" si="37"/>
        <v>3</v>
      </c>
      <c r="AE101" s="1">
        <v>1.5</v>
      </c>
      <c r="AF101" s="22">
        <f t="shared" ref="AF101:AF106" si="48">SUM(H101,N101,T101,Z101)</f>
        <v>0</v>
      </c>
      <c r="AG101" s="22">
        <f t="shared" ref="AG101:AG106" si="49">SUM(I101,O101,U101,AA101)</f>
        <v>9</v>
      </c>
      <c r="AH101" s="9">
        <f t="shared" si="40"/>
        <v>0</v>
      </c>
      <c r="AI101" s="22">
        <f t="shared" ref="AI101:AI106" si="50">SUM(K101,Q101,W101,AC101)</f>
        <v>0</v>
      </c>
      <c r="AJ101" s="22">
        <f t="shared" ref="AJ101:AJ106" si="51">SUM(AF101:AI101)</f>
        <v>9</v>
      </c>
      <c r="AK101" s="22">
        <f t="shared" si="43"/>
        <v>4</v>
      </c>
      <c r="AL101" s="27" t="s">
        <v>88</v>
      </c>
    </row>
    <row r="102" spans="1:38" x14ac:dyDescent="0.2">
      <c r="A102">
        <v>2011</v>
      </c>
      <c r="B102" s="20" t="s">
        <v>46</v>
      </c>
      <c r="C102" s="12">
        <v>40758</v>
      </c>
      <c r="D102" s="3">
        <v>35</v>
      </c>
      <c r="E102" s="20" t="s">
        <v>89</v>
      </c>
      <c r="H102" s="26" t="s">
        <v>1</v>
      </c>
      <c r="I102" s="26" t="s">
        <v>1</v>
      </c>
      <c r="J102" s="1">
        <v>0</v>
      </c>
      <c r="K102" s="1">
        <v>0</v>
      </c>
      <c r="L102" s="1">
        <f t="shared" si="34"/>
        <v>0</v>
      </c>
      <c r="M102" s="1">
        <v>0</v>
      </c>
      <c r="N102" s="26" t="s">
        <v>1</v>
      </c>
      <c r="O102" s="26" t="s">
        <v>1</v>
      </c>
      <c r="P102" s="1">
        <v>0</v>
      </c>
      <c r="Q102" s="1">
        <v>1</v>
      </c>
      <c r="R102" s="1">
        <f t="shared" si="35"/>
        <v>1</v>
      </c>
      <c r="S102" s="1">
        <v>8</v>
      </c>
      <c r="T102" s="26" t="s">
        <v>1</v>
      </c>
      <c r="U102" s="26" t="s">
        <v>1</v>
      </c>
      <c r="V102" s="1">
        <v>0</v>
      </c>
      <c r="W102" s="1">
        <v>0</v>
      </c>
      <c r="X102" s="1">
        <f t="shared" si="36"/>
        <v>0</v>
      </c>
      <c r="Y102" s="1">
        <v>0</v>
      </c>
      <c r="Z102" s="26" t="s">
        <v>1</v>
      </c>
      <c r="AA102" s="26" t="s">
        <v>1</v>
      </c>
      <c r="AB102" s="1">
        <v>0</v>
      </c>
      <c r="AC102" s="1">
        <v>0</v>
      </c>
      <c r="AD102" s="1">
        <f t="shared" si="37"/>
        <v>0</v>
      </c>
      <c r="AE102" s="1">
        <v>0</v>
      </c>
      <c r="AF102" s="22">
        <f t="shared" si="48"/>
        <v>0</v>
      </c>
      <c r="AG102" s="22">
        <f t="shared" si="49"/>
        <v>0</v>
      </c>
      <c r="AH102" s="9">
        <f t="shared" si="40"/>
        <v>0</v>
      </c>
      <c r="AI102" s="22">
        <f t="shared" si="50"/>
        <v>1</v>
      </c>
      <c r="AJ102" s="22">
        <f t="shared" si="51"/>
        <v>1</v>
      </c>
      <c r="AK102" s="22">
        <f t="shared" si="43"/>
        <v>8</v>
      </c>
    </row>
    <row r="103" spans="1:38" x14ac:dyDescent="0.2">
      <c r="A103">
        <v>2011</v>
      </c>
      <c r="B103" s="20" t="s">
        <v>46</v>
      </c>
      <c r="C103" s="12">
        <v>40758</v>
      </c>
      <c r="D103" s="3">
        <v>35</v>
      </c>
      <c r="E103" s="20" t="s">
        <v>50</v>
      </c>
      <c r="H103" s="26" t="s">
        <v>1</v>
      </c>
      <c r="I103" s="26" t="s">
        <v>1</v>
      </c>
      <c r="J103" s="1">
        <v>0</v>
      </c>
      <c r="K103" s="1">
        <v>0</v>
      </c>
      <c r="L103" s="1">
        <f t="shared" si="34"/>
        <v>0</v>
      </c>
      <c r="M103" s="1">
        <v>0</v>
      </c>
      <c r="N103" s="26" t="s">
        <v>1</v>
      </c>
      <c r="O103" s="26" t="s">
        <v>1</v>
      </c>
      <c r="P103" s="1">
        <v>0</v>
      </c>
      <c r="Q103" s="1">
        <v>0</v>
      </c>
      <c r="R103" s="1">
        <f t="shared" si="35"/>
        <v>0</v>
      </c>
      <c r="S103" s="1">
        <v>0</v>
      </c>
      <c r="T103" s="26" t="s">
        <v>1</v>
      </c>
      <c r="U103" s="26" t="s">
        <v>1</v>
      </c>
      <c r="V103" s="1">
        <v>4</v>
      </c>
      <c r="W103" s="1">
        <v>1</v>
      </c>
      <c r="X103" s="1">
        <f t="shared" si="36"/>
        <v>5</v>
      </c>
      <c r="Y103" s="1">
        <v>35</v>
      </c>
      <c r="Z103" s="26" t="s">
        <v>1</v>
      </c>
      <c r="AA103" s="26" t="s">
        <v>1</v>
      </c>
      <c r="AB103" s="1">
        <v>0</v>
      </c>
      <c r="AC103" s="1">
        <v>0</v>
      </c>
      <c r="AD103" s="1">
        <f t="shared" si="37"/>
        <v>0</v>
      </c>
      <c r="AE103" s="1">
        <v>0</v>
      </c>
      <c r="AF103" s="22">
        <f t="shared" si="48"/>
        <v>0</v>
      </c>
      <c r="AG103" s="22">
        <f t="shared" si="49"/>
        <v>0</v>
      </c>
      <c r="AH103" s="9">
        <f t="shared" si="40"/>
        <v>4</v>
      </c>
      <c r="AI103" s="22">
        <f t="shared" si="50"/>
        <v>1</v>
      </c>
      <c r="AJ103" s="22">
        <f t="shared" si="51"/>
        <v>5</v>
      </c>
      <c r="AK103" s="22">
        <f t="shared" si="43"/>
        <v>35</v>
      </c>
    </row>
    <row r="104" spans="1:38" x14ac:dyDescent="0.2">
      <c r="A104">
        <v>2011</v>
      </c>
      <c r="B104" s="20" t="s">
        <v>46</v>
      </c>
      <c r="C104" s="12">
        <v>40758</v>
      </c>
      <c r="D104" s="3">
        <v>35</v>
      </c>
      <c r="E104" s="20" t="s">
        <v>74</v>
      </c>
      <c r="H104" s="26" t="s">
        <v>1</v>
      </c>
      <c r="I104" s="26" t="s">
        <v>1</v>
      </c>
      <c r="J104" s="1">
        <v>0</v>
      </c>
      <c r="K104" s="1">
        <v>0</v>
      </c>
      <c r="L104" s="1">
        <f t="shared" si="34"/>
        <v>0</v>
      </c>
      <c r="M104" s="1">
        <v>0</v>
      </c>
      <c r="N104" s="26" t="s">
        <v>1</v>
      </c>
      <c r="O104" s="26" t="s">
        <v>1</v>
      </c>
      <c r="P104" s="1">
        <v>0</v>
      </c>
      <c r="Q104" s="1">
        <v>0</v>
      </c>
      <c r="R104" s="1">
        <f t="shared" si="35"/>
        <v>0</v>
      </c>
      <c r="S104" s="1">
        <v>0</v>
      </c>
      <c r="T104" s="26" t="s">
        <v>1</v>
      </c>
      <c r="U104" s="26" t="s">
        <v>1</v>
      </c>
      <c r="V104" s="1">
        <v>1</v>
      </c>
      <c r="W104" s="1">
        <v>0</v>
      </c>
      <c r="X104" s="1">
        <f t="shared" si="36"/>
        <v>1</v>
      </c>
      <c r="Y104" s="1">
        <v>1.5</v>
      </c>
      <c r="Z104" s="26" t="s">
        <v>1</v>
      </c>
      <c r="AA104" s="26" t="s">
        <v>1</v>
      </c>
      <c r="AB104" s="1">
        <v>0</v>
      </c>
      <c r="AC104" s="1">
        <v>0</v>
      </c>
      <c r="AD104" s="1">
        <f t="shared" si="37"/>
        <v>0</v>
      </c>
      <c r="AE104" s="1">
        <v>0</v>
      </c>
      <c r="AF104" s="22">
        <f t="shared" si="48"/>
        <v>0</v>
      </c>
      <c r="AG104" s="22">
        <f t="shared" si="49"/>
        <v>0</v>
      </c>
      <c r="AH104" s="9">
        <f t="shared" si="40"/>
        <v>1</v>
      </c>
      <c r="AI104" s="22">
        <f t="shared" si="50"/>
        <v>0</v>
      </c>
      <c r="AJ104" s="22">
        <f t="shared" si="51"/>
        <v>1</v>
      </c>
      <c r="AK104" s="22">
        <f t="shared" si="43"/>
        <v>1.5</v>
      </c>
    </row>
    <row r="105" spans="1:38" x14ac:dyDescent="0.2">
      <c r="A105">
        <v>2011</v>
      </c>
      <c r="B105" s="20" t="s">
        <v>46</v>
      </c>
      <c r="C105" s="12">
        <v>40758</v>
      </c>
      <c r="D105" s="3">
        <v>35</v>
      </c>
      <c r="E105" s="20" t="s">
        <v>86</v>
      </c>
      <c r="H105" s="26" t="s">
        <v>1</v>
      </c>
      <c r="I105" s="26" t="s">
        <v>1</v>
      </c>
      <c r="J105" s="1">
        <v>0</v>
      </c>
      <c r="K105" s="1">
        <v>0</v>
      </c>
      <c r="L105" s="1">
        <f t="shared" si="34"/>
        <v>0</v>
      </c>
      <c r="M105" s="1">
        <v>0</v>
      </c>
      <c r="N105" s="26" t="s">
        <v>1</v>
      </c>
      <c r="O105" s="26" t="s">
        <v>1</v>
      </c>
      <c r="P105" s="1">
        <v>0</v>
      </c>
      <c r="Q105" s="1">
        <v>0</v>
      </c>
      <c r="R105" s="1">
        <f t="shared" si="35"/>
        <v>0</v>
      </c>
      <c r="S105" s="1">
        <v>0</v>
      </c>
      <c r="T105" s="26" t="s">
        <v>1</v>
      </c>
      <c r="U105" s="26" t="s">
        <v>1</v>
      </c>
      <c r="V105" s="1">
        <v>1</v>
      </c>
      <c r="W105" s="1">
        <v>2</v>
      </c>
      <c r="X105" s="1">
        <f t="shared" si="36"/>
        <v>3</v>
      </c>
      <c r="Y105" s="1">
        <v>25</v>
      </c>
      <c r="Z105" s="26" t="s">
        <v>1</v>
      </c>
      <c r="AA105" s="26" t="s">
        <v>1</v>
      </c>
      <c r="AB105" s="1">
        <v>3</v>
      </c>
      <c r="AC105" s="1">
        <v>3</v>
      </c>
      <c r="AD105" s="1">
        <f t="shared" si="37"/>
        <v>6</v>
      </c>
      <c r="AE105" s="1">
        <v>25</v>
      </c>
      <c r="AF105" s="22">
        <f t="shared" si="48"/>
        <v>0</v>
      </c>
      <c r="AG105" s="22">
        <f t="shared" si="49"/>
        <v>0</v>
      </c>
      <c r="AH105" s="9">
        <f t="shared" si="40"/>
        <v>4</v>
      </c>
      <c r="AI105" s="22">
        <f t="shared" si="50"/>
        <v>5</v>
      </c>
      <c r="AJ105" s="22">
        <f t="shared" si="51"/>
        <v>9</v>
      </c>
      <c r="AK105" s="22">
        <f t="shared" si="43"/>
        <v>50</v>
      </c>
    </row>
    <row r="106" spans="1:38" x14ac:dyDescent="0.2">
      <c r="A106">
        <v>2011</v>
      </c>
      <c r="B106" s="20" t="s">
        <v>46</v>
      </c>
      <c r="C106" s="12">
        <v>40758</v>
      </c>
      <c r="D106" s="3">
        <v>35</v>
      </c>
      <c r="E106" s="20" t="s">
        <v>80</v>
      </c>
      <c r="H106" s="26" t="s">
        <v>1</v>
      </c>
      <c r="I106" s="26" t="s">
        <v>1</v>
      </c>
      <c r="J106" s="1">
        <v>0</v>
      </c>
      <c r="K106" s="1">
        <v>0</v>
      </c>
      <c r="L106" s="1">
        <f t="shared" si="34"/>
        <v>0</v>
      </c>
      <c r="M106" s="1">
        <v>0</v>
      </c>
      <c r="N106" s="26" t="s">
        <v>1</v>
      </c>
      <c r="O106" s="26" t="s">
        <v>1</v>
      </c>
      <c r="P106" s="1">
        <v>0</v>
      </c>
      <c r="Q106" s="1">
        <v>0</v>
      </c>
      <c r="R106" s="1">
        <f t="shared" si="35"/>
        <v>0</v>
      </c>
      <c r="S106" s="1">
        <v>0</v>
      </c>
      <c r="T106" s="26" t="s">
        <v>1</v>
      </c>
      <c r="U106" s="26" t="s">
        <v>1</v>
      </c>
      <c r="V106" s="1">
        <v>0</v>
      </c>
      <c r="W106" s="1">
        <v>0</v>
      </c>
      <c r="X106" s="1">
        <f t="shared" si="36"/>
        <v>0</v>
      </c>
      <c r="Y106" s="1">
        <v>0</v>
      </c>
      <c r="Z106" s="26" t="s">
        <v>1</v>
      </c>
      <c r="AA106" s="26" t="s">
        <v>1</v>
      </c>
      <c r="AB106" s="1">
        <v>0</v>
      </c>
      <c r="AC106" s="1">
        <v>1</v>
      </c>
      <c r="AD106" s="1">
        <f t="shared" si="37"/>
        <v>1</v>
      </c>
      <c r="AE106" s="1">
        <v>8</v>
      </c>
      <c r="AF106" s="22">
        <f t="shared" si="48"/>
        <v>0</v>
      </c>
      <c r="AG106" s="22">
        <f t="shared" si="49"/>
        <v>0</v>
      </c>
      <c r="AH106" s="9">
        <f t="shared" si="40"/>
        <v>0</v>
      </c>
      <c r="AI106" s="22">
        <f t="shared" si="50"/>
        <v>1</v>
      </c>
      <c r="AJ106" s="22">
        <f t="shared" si="51"/>
        <v>1</v>
      </c>
      <c r="AK106" s="22">
        <f t="shared" si="43"/>
        <v>8</v>
      </c>
    </row>
    <row r="107" spans="1:38" x14ac:dyDescent="0.2">
      <c r="A107">
        <v>2011</v>
      </c>
      <c r="B107" s="20" t="s">
        <v>46</v>
      </c>
      <c r="C107" s="12">
        <v>40738</v>
      </c>
      <c r="D107" s="3">
        <v>36</v>
      </c>
      <c r="E107" s="20" t="s">
        <v>47</v>
      </c>
      <c r="H107" s="1">
        <v>0</v>
      </c>
      <c r="I107" s="1">
        <v>2</v>
      </c>
      <c r="J107" s="1">
        <v>0</v>
      </c>
      <c r="K107" s="1">
        <v>0</v>
      </c>
      <c r="L107" s="1">
        <f t="shared" si="1"/>
        <v>2</v>
      </c>
      <c r="M107" s="1">
        <v>0.5</v>
      </c>
      <c r="N107" s="1">
        <v>0</v>
      </c>
      <c r="O107" s="1">
        <v>4</v>
      </c>
      <c r="P107" s="1">
        <v>2</v>
      </c>
      <c r="Q107" s="1">
        <v>0</v>
      </c>
      <c r="R107" s="1">
        <f t="shared" si="2"/>
        <v>6</v>
      </c>
      <c r="S107" s="1">
        <v>3.5</v>
      </c>
      <c r="T107" s="1">
        <v>0</v>
      </c>
      <c r="U107" s="1">
        <v>2</v>
      </c>
      <c r="V107" s="1">
        <v>0</v>
      </c>
      <c r="W107" s="1">
        <v>0</v>
      </c>
      <c r="X107" s="1">
        <f t="shared" si="3"/>
        <v>2</v>
      </c>
      <c r="Y107" s="1">
        <v>0.5</v>
      </c>
      <c r="Z107" s="1">
        <v>0</v>
      </c>
      <c r="AA107" s="1">
        <v>2</v>
      </c>
      <c r="AB107" s="1">
        <v>0</v>
      </c>
      <c r="AC107" s="1">
        <v>0</v>
      </c>
      <c r="AD107" s="1">
        <f t="shared" si="4"/>
        <v>2</v>
      </c>
      <c r="AE107" s="1">
        <v>1.5</v>
      </c>
      <c r="AF107" s="22">
        <f t="shared" ref="AF107:AF112" si="52">SUM(H107,N107,T107,Z107)</f>
        <v>0</v>
      </c>
      <c r="AG107" s="22">
        <f t="shared" ref="AG107:AG112" si="53">SUM(I107,O107,U107,AA107)</f>
        <v>10</v>
      </c>
      <c r="AH107" s="22">
        <f t="shared" si="7"/>
        <v>2</v>
      </c>
      <c r="AI107" s="22">
        <f t="shared" si="8"/>
        <v>0</v>
      </c>
      <c r="AJ107" s="22">
        <f t="shared" si="9"/>
        <v>12</v>
      </c>
      <c r="AK107" s="22">
        <f t="shared" si="10"/>
        <v>6</v>
      </c>
      <c r="AL107" s="27" t="s">
        <v>88</v>
      </c>
    </row>
    <row r="108" spans="1:38" x14ac:dyDescent="0.2">
      <c r="A108">
        <v>2011</v>
      </c>
      <c r="B108" s="20" t="s">
        <v>46</v>
      </c>
      <c r="C108" s="12">
        <v>40738</v>
      </c>
      <c r="D108" s="3">
        <v>36</v>
      </c>
      <c r="E108" s="20" t="s">
        <v>50</v>
      </c>
      <c r="H108" s="26" t="s">
        <v>1</v>
      </c>
      <c r="I108" s="26" t="s">
        <v>1</v>
      </c>
      <c r="J108" s="1">
        <v>0</v>
      </c>
      <c r="K108" s="1">
        <v>0</v>
      </c>
      <c r="L108" s="1">
        <f t="shared" si="1"/>
        <v>0</v>
      </c>
      <c r="M108" s="1">
        <v>0</v>
      </c>
      <c r="N108" s="26" t="s">
        <v>1</v>
      </c>
      <c r="O108" s="26" t="s">
        <v>1</v>
      </c>
      <c r="P108" s="1">
        <v>0</v>
      </c>
      <c r="Q108" s="1">
        <v>0</v>
      </c>
      <c r="R108" s="1">
        <f t="shared" si="2"/>
        <v>0</v>
      </c>
      <c r="S108" s="1">
        <v>0</v>
      </c>
      <c r="T108" s="26" t="s">
        <v>1</v>
      </c>
      <c r="U108" s="26" t="s">
        <v>1</v>
      </c>
      <c r="V108" s="1">
        <v>1</v>
      </c>
      <c r="W108" s="1">
        <v>0</v>
      </c>
      <c r="X108" s="1">
        <f t="shared" si="3"/>
        <v>1</v>
      </c>
      <c r="Y108" s="1">
        <v>3.5</v>
      </c>
      <c r="Z108" s="26" t="s">
        <v>1</v>
      </c>
      <c r="AA108" s="26" t="s">
        <v>1</v>
      </c>
      <c r="AB108" s="1">
        <v>0</v>
      </c>
      <c r="AC108" s="1">
        <v>0</v>
      </c>
      <c r="AD108" s="1">
        <f t="shared" si="4"/>
        <v>0</v>
      </c>
      <c r="AE108" s="1">
        <v>0</v>
      </c>
      <c r="AF108" s="22">
        <f t="shared" si="52"/>
        <v>0</v>
      </c>
      <c r="AG108" s="22">
        <f t="shared" si="53"/>
        <v>0</v>
      </c>
      <c r="AH108" s="22">
        <f t="shared" ref="AH108:AH144" si="54">SUM(J108,P108,V108,AB108)</f>
        <v>1</v>
      </c>
      <c r="AI108" s="22">
        <f t="shared" ref="AI108:AI117" si="55">SUM(K108,Q108,W108,AC108)</f>
        <v>0</v>
      </c>
      <c r="AJ108" s="22">
        <f t="shared" si="9"/>
        <v>1</v>
      </c>
      <c r="AK108" s="22">
        <f t="shared" si="10"/>
        <v>3.5</v>
      </c>
    </row>
    <row r="109" spans="1:38" x14ac:dyDescent="0.2">
      <c r="A109">
        <v>2011</v>
      </c>
      <c r="B109" s="20" t="s">
        <v>46</v>
      </c>
      <c r="C109" s="12">
        <v>40738</v>
      </c>
      <c r="D109" s="3">
        <v>36</v>
      </c>
      <c r="E109" s="20" t="s">
        <v>60</v>
      </c>
      <c r="H109" s="26" t="s">
        <v>1</v>
      </c>
      <c r="I109" s="26" t="s">
        <v>1</v>
      </c>
      <c r="J109" s="1">
        <v>0</v>
      </c>
      <c r="K109" s="1">
        <v>0</v>
      </c>
      <c r="L109" s="1">
        <f t="shared" si="1"/>
        <v>0</v>
      </c>
      <c r="M109" s="1">
        <v>0</v>
      </c>
      <c r="N109" s="26" t="s">
        <v>1</v>
      </c>
      <c r="O109" s="26" t="s">
        <v>1</v>
      </c>
      <c r="P109" s="1">
        <v>0</v>
      </c>
      <c r="Q109" s="1">
        <v>0</v>
      </c>
      <c r="R109" s="1">
        <f t="shared" si="2"/>
        <v>0</v>
      </c>
      <c r="S109" s="1">
        <v>0</v>
      </c>
      <c r="T109" s="26" t="s">
        <v>1</v>
      </c>
      <c r="U109" s="26" t="s">
        <v>1</v>
      </c>
      <c r="V109" s="1">
        <v>1</v>
      </c>
      <c r="W109" s="1">
        <v>0</v>
      </c>
      <c r="X109" s="1">
        <f t="shared" si="3"/>
        <v>1</v>
      </c>
      <c r="Y109" s="1">
        <v>1.5</v>
      </c>
      <c r="Z109" s="26" t="s">
        <v>1</v>
      </c>
      <c r="AA109" s="26" t="s">
        <v>1</v>
      </c>
      <c r="AB109" s="1">
        <v>0</v>
      </c>
      <c r="AC109" s="1">
        <v>0</v>
      </c>
      <c r="AD109" s="1">
        <f t="shared" si="4"/>
        <v>0</v>
      </c>
      <c r="AE109" s="1">
        <v>0</v>
      </c>
      <c r="AF109" s="22">
        <f t="shared" si="52"/>
        <v>0</v>
      </c>
      <c r="AG109" s="22">
        <f t="shared" si="53"/>
        <v>0</v>
      </c>
      <c r="AH109" s="22">
        <f t="shared" si="54"/>
        <v>1</v>
      </c>
      <c r="AI109" s="22">
        <f t="shared" si="55"/>
        <v>0</v>
      </c>
      <c r="AJ109" s="22">
        <f t="shared" si="9"/>
        <v>1</v>
      </c>
      <c r="AK109" s="22">
        <f t="shared" si="10"/>
        <v>1.5</v>
      </c>
    </row>
    <row r="110" spans="1:38" x14ac:dyDescent="0.2">
      <c r="A110">
        <v>2011</v>
      </c>
      <c r="B110" s="20" t="s">
        <v>46</v>
      </c>
      <c r="C110" s="12">
        <v>40738</v>
      </c>
      <c r="D110" s="3">
        <v>36</v>
      </c>
      <c r="E110" s="20" t="s">
        <v>83</v>
      </c>
      <c r="H110" s="26" t="s">
        <v>1</v>
      </c>
      <c r="I110" s="26" t="s">
        <v>1</v>
      </c>
      <c r="J110" s="1">
        <v>0</v>
      </c>
      <c r="K110" s="1">
        <v>0</v>
      </c>
      <c r="L110" s="1">
        <f t="shared" si="1"/>
        <v>0</v>
      </c>
      <c r="M110" s="1">
        <v>0</v>
      </c>
      <c r="N110" s="26" t="s">
        <v>1</v>
      </c>
      <c r="O110" s="26" t="s">
        <v>1</v>
      </c>
      <c r="P110" s="1">
        <v>0</v>
      </c>
      <c r="Q110" s="1">
        <v>0</v>
      </c>
      <c r="R110" s="1">
        <f t="shared" si="2"/>
        <v>0</v>
      </c>
      <c r="S110" s="1">
        <v>0</v>
      </c>
      <c r="T110" s="26" t="s">
        <v>1</v>
      </c>
      <c r="U110" s="26" t="s">
        <v>1</v>
      </c>
      <c r="V110" s="1">
        <v>0</v>
      </c>
      <c r="W110" s="1">
        <v>0</v>
      </c>
      <c r="X110" s="1">
        <f t="shared" si="3"/>
        <v>0</v>
      </c>
      <c r="Y110" s="1">
        <v>0</v>
      </c>
      <c r="Z110" s="26" t="s">
        <v>1</v>
      </c>
      <c r="AA110" s="26" t="s">
        <v>1</v>
      </c>
      <c r="AB110" s="1">
        <v>0</v>
      </c>
      <c r="AC110" s="1">
        <v>0</v>
      </c>
      <c r="AD110" s="1">
        <f t="shared" si="4"/>
        <v>0</v>
      </c>
      <c r="AE110" s="1">
        <v>0</v>
      </c>
      <c r="AF110" s="22">
        <f t="shared" si="52"/>
        <v>0</v>
      </c>
      <c r="AG110" s="22">
        <f t="shared" si="53"/>
        <v>0</v>
      </c>
      <c r="AH110" s="22">
        <f t="shared" si="54"/>
        <v>0</v>
      </c>
      <c r="AI110" s="22">
        <f t="shared" si="55"/>
        <v>0</v>
      </c>
      <c r="AJ110" s="22">
        <f t="shared" si="9"/>
        <v>0</v>
      </c>
      <c r="AK110" s="22">
        <f t="shared" si="10"/>
        <v>0</v>
      </c>
    </row>
    <row r="111" spans="1:38" x14ac:dyDescent="0.2">
      <c r="A111">
        <v>2011</v>
      </c>
      <c r="B111" s="20" t="s">
        <v>46</v>
      </c>
      <c r="C111" s="12">
        <v>40738</v>
      </c>
      <c r="D111" s="3">
        <v>36</v>
      </c>
      <c r="E111" s="20" t="s">
        <v>49</v>
      </c>
      <c r="H111" s="1">
        <v>0</v>
      </c>
      <c r="I111" s="1">
        <v>0</v>
      </c>
      <c r="J111" s="1">
        <v>0</v>
      </c>
      <c r="K111" s="1">
        <v>0</v>
      </c>
      <c r="L111" s="1">
        <f t="shared" si="1"/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f t="shared" si="2"/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f t="shared" si="3"/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0</v>
      </c>
      <c r="AD111" s="1">
        <f t="shared" si="4"/>
        <v>1</v>
      </c>
      <c r="AE111" s="1">
        <v>0.5</v>
      </c>
      <c r="AF111" s="22">
        <f t="shared" si="52"/>
        <v>0</v>
      </c>
      <c r="AG111" s="22">
        <f t="shared" si="53"/>
        <v>1</v>
      </c>
      <c r="AH111" s="22">
        <f t="shared" si="54"/>
        <v>0</v>
      </c>
      <c r="AI111" s="22">
        <f t="shared" si="55"/>
        <v>0</v>
      </c>
      <c r="AJ111" s="22">
        <f t="shared" si="9"/>
        <v>1</v>
      </c>
      <c r="AK111" s="22">
        <f t="shared" si="10"/>
        <v>0.5</v>
      </c>
    </row>
    <row r="112" spans="1:38" x14ac:dyDescent="0.2">
      <c r="A112">
        <v>2011</v>
      </c>
      <c r="B112" s="20" t="s">
        <v>46</v>
      </c>
      <c r="C112" s="12">
        <v>40738</v>
      </c>
      <c r="D112" s="3">
        <v>37</v>
      </c>
      <c r="E112" s="20" t="s">
        <v>47</v>
      </c>
      <c r="H112" s="1">
        <v>0</v>
      </c>
      <c r="I112" s="1">
        <v>0</v>
      </c>
      <c r="J112" s="1">
        <v>1</v>
      </c>
      <c r="K112" s="1">
        <v>0</v>
      </c>
      <c r="L112" s="1">
        <f t="shared" si="1"/>
        <v>1</v>
      </c>
      <c r="M112" s="1">
        <v>0.5</v>
      </c>
      <c r="N112" s="1">
        <v>0</v>
      </c>
      <c r="O112" s="1">
        <v>1</v>
      </c>
      <c r="P112" s="1">
        <v>1</v>
      </c>
      <c r="Q112" s="1">
        <v>1</v>
      </c>
      <c r="R112" s="1">
        <f t="shared" si="2"/>
        <v>3</v>
      </c>
      <c r="S112" s="1">
        <v>15</v>
      </c>
      <c r="T112" s="1">
        <v>0</v>
      </c>
      <c r="U112" s="1">
        <v>0</v>
      </c>
      <c r="V112" s="1">
        <v>0</v>
      </c>
      <c r="W112" s="1">
        <v>0</v>
      </c>
      <c r="X112" s="1">
        <f t="shared" si="3"/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1</v>
      </c>
      <c r="AD112" s="1">
        <f t="shared" si="4"/>
        <v>1</v>
      </c>
      <c r="AE112" s="1">
        <v>15</v>
      </c>
      <c r="AF112" s="22">
        <f t="shared" si="52"/>
        <v>0</v>
      </c>
      <c r="AG112" s="22">
        <f t="shared" si="53"/>
        <v>1</v>
      </c>
      <c r="AH112" s="22">
        <f t="shared" si="54"/>
        <v>2</v>
      </c>
      <c r="AI112" s="22">
        <f t="shared" si="55"/>
        <v>2</v>
      </c>
      <c r="AJ112" s="22">
        <f t="shared" si="9"/>
        <v>5</v>
      </c>
      <c r="AK112" s="22">
        <f t="shared" si="10"/>
        <v>30.5</v>
      </c>
      <c r="AL112" s="27" t="s">
        <v>90</v>
      </c>
    </row>
    <row r="113" spans="1:37" x14ac:dyDescent="0.2">
      <c r="A113">
        <v>2011</v>
      </c>
      <c r="B113" s="20" t="s">
        <v>46</v>
      </c>
      <c r="C113" s="12">
        <v>40738</v>
      </c>
      <c r="D113" s="3">
        <v>37</v>
      </c>
      <c r="E113" s="20" t="s">
        <v>86</v>
      </c>
      <c r="H113" s="26" t="s">
        <v>1</v>
      </c>
      <c r="I113" s="26" t="s">
        <v>1</v>
      </c>
      <c r="J113" s="1">
        <v>2</v>
      </c>
      <c r="K113" s="1">
        <v>2</v>
      </c>
      <c r="L113" s="1">
        <f t="shared" si="1"/>
        <v>4</v>
      </c>
      <c r="M113" s="1">
        <v>35</v>
      </c>
      <c r="N113" s="26" t="s">
        <v>1</v>
      </c>
      <c r="O113" s="26" t="s">
        <v>1</v>
      </c>
      <c r="P113" s="1">
        <v>7</v>
      </c>
      <c r="Q113" s="1">
        <v>9</v>
      </c>
      <c r="R113" s="1">
        <f t="shared" si="2"/>
        <v>16</v>
      </c>
      <c r="S113" s="1">
        <v>55</v>
      </c>
      <c r="T113" s="26" t="s">
        <v>1</v>
      </c>
      <c r="U113" s="26" t="s">
        <v>1</v>
      </c>
      <c r="V113" s="1">
        <v>0</v>
      </c>
      <c r="W113" s="1">
        <v>0</v>
      </c>
      <c r="X113" s="1">
        <f t="shared" si="3"/>
        <v>0</v>
      </c>
      <c r="Y113" s="1">
        <v>0</v>
      </c>
      <c r="Z113" s="26" t="s">
        <v>1</v>
      </c>
      <c r="AA113" s="26" t="s">
        <v>1</v>
      </c>
      <c r="AB113" s="1">
        <v>2</v>
      </c>
      <c r="AC113" s="1">
        <v>0</v>
      </c>
      <c r="AD113" s="1">
        <f t="shared" si="4"/>
        <v>2</v>
      </c>
      <c r="AE113" s="1">
        <v>3.5</v>
      </c>
      <c r="AF113" s="22">
        <f t="shared" ref="AF113:AF117" si="56">SUM(H113,N113,T113,Z113)</f>
        <v>0</v>
      </c>
      <c r="AG113" s="22">
        <f t="shared" ref="AG113:AG117" si="57">SUM(I113,O113,U113,AA113)</f>
        <v>0</v>
      </c>
      <c r="AH113" s="22">
        <f t="shared" si="54"/>
        <v>11</v>
      </c>
      <c r="AI113" s="22">
        <f t="shared" si="55"/>
        <v>11</v>
      </c>
      <c r="AJ113" s="22">
        <f t="shared" si="9"/>
        <v>22</v>
      </c>
      <c r="AK113" s="22">
        <f t="shared" si="10"/>
        <v>93.5</v>
      </c>
    </row>
    <row r="114" spans="1:37" x14ac:dyDescent="0.2">
      <c r="A114">
        <v>2011</v>
      </c>
      <c r="B114" s="20" t="s">
        <v>46</v>
      </c>
      <c r="C114" s="12">
        <v>40738</v>
      </c>
      <c r="D114" s="3">
        <v>37</v>
      </c>
      <c r="E114" s="20" t="s">
        <v>77</v>
      </c>
      <c r="H114" s="26" t="s">
        <v>1</v>
      </c>
      <c r="I114" s="26" t="s">
        <v>1</v>
      </c>
      <c r="J114" s="1">
        <v>0</v>
      </c>
      <c r="K114" s="1">
        <v>1</v>
      </c>
      <c r="L114" s="1">
        <f t="shared" si="1"/>
        <v>1</v>
      </c>
      <c r="M114" s="1">
        <v>1.5</v>
      </c>
      <c r="N114" s="26" t="s">
        <v>1</v>
      </c>
      <c r="O114" s="26" t="s">
        <v>1</v>
      </c>
      <c r="P114" s="1">
        <v>0</v>
      </c>
      <c r="Q114" s="1">
        <v>0</v>
      </c>
      <c r="R114" s="1">
        <f t="shared" si="2"/>
        <v>0</v>
      </c>
      <c r="S114" s="1">
        <v>0</v>
      </c>
      <c r="T114" s="26" t="s">
        <v>1</v>
      </c>
      <c r="U114" s="26" t="s">
        <v>1</v>
      </c>
      <c r="V114" s="1">
        <v>0</v>
      </c>
      <c r="W114" s="1">
        <v>0</v>
      </c>
      <c r="X114" s="1">
        <f t="shared" si="3"/>
        <v>0</v>
      </c>
      <c r="Y114" s="1">
        <v>0</v>
      </c>
      <c r="Z114" s="26" t="s">
        <v>1</v>
      </c>
      <c r="AA114" s="26" t="s">
        <v>1</v>
      </c>
      <c r="AB114" s="1">
        <v>0</v>
      </c>
      <c r="AC114" s="1">
        <v>0</v>
      </c>
      <c r="AD114" s="1">
        <f t="shared" si="4"/>
        <v>0</v>
      </c>
      <c r="AE114" s="1">
        <v>0</v>
      </c>
      <c r="AF114" s="22">
        <f t="shared" si="56"/>
        <v>0</v>
      </c>
      <c r="AG114" s="22">
        <f t="shared" si="57"/>
        <v>0</v>
      </c>
      <c r="AH114" s="9">
        <f t="shared" si="54"/>
        <v>0</v>
      </c>
      <c r="AI114" s="22">
        <f t="shared" si="55"/>
        <v>1</v>
      </c>
      <c r="AJ114" s="22">
        <f t="shared" si="9"/>
        <v>1</v>
      </c>
      <c r="AK114" s="22">
        <f t="shared" si="10"/>
        <v>1.5</v>
      </c>
    </row>
    <row r="115" spans="1:37" x14ac:dyDescent="0.2">
      <c r="A115">
        <v>2011</v>
      </c>
      <c r="B115" s="20" t="s">
        <v>46</v>
      </c>
      <c r="C115" s="12">
        <v>40738</v>
      </c>
      <c r="D115" s="3">
        <v>37</v>
      </c>
      <c r="E115" s="20" t="s">
        <v>69</v>
      </c>
      <c r="H115" s="26" t="s">
        <v>1</v>
      </c>
      <c r="I115" s="26" t="s">
        <v>1</v>
      </c>
      <c r="J115" s="1">
        <v>0</v>
      </c>
      <c r="K115" s="1">
        <v>0</v>
      </c>
      <c r="L115" s="1">
        <f t="shared" si="1"/>
        <v>0</v>
      </c>
      <c r="M115" s="1">
        <v>0</v>
      </c>
      <c r="N115" s="26" t="s">
        <v>1</v>
      </c>
      <c r="O115" s="26" t="s">
        <v>1</v>
      </c>
      <c r="P115" s="1">
        <v>0</v>
      </c>
      <c r="Q115" s="1">
        <v>4</v>
      </c>
      <c r="R115" s="1">
        <f t="shared" si="2"/>
        <v>4</v>
      </c>
      <c r="S115" s="1">
        <v>15</v>
      </c>
      <c r="T115" s="26" t="s">
        <v>1</v>
      </c>
      <c r="U115" s="26" t="s">
        <v>1</v>
      </c>
      <c r="V115" s="1">
        <v>0</v>
      </c>
      <c r="W115" s="1">
        <v>0</v>
      </c>
      <c r="X115" s="1">
        <f t="shared" si="3"/>
        <v>0</v>
      </c>
      <c r="Y115" s="1">
        <v>0</v>
      </c>
      <c r="Z115" s="26" t="s">
        <v>1</v>
      </c>
      <c r="AA115" s="26" t="s">
        <v>1</v>
      </c>
      <c r="AB115" s="1">
        <v>0</v>
      </c>
      <c r="AC115" s="1">
        <v>0</v>
      </c>
      <c r="AD115" s="1">
        <f t="shared" si="4"/>
        <v>0</v>
      </c>
      <c r="AE115" s="1">
        <v>0</v>
      </c>
      <c r="AF115" s="22">
        <f t="shared" si="56"/>
        <v>0</v>
      </c>
      <c r="AG115" s="22">
        <f t="shared" si="57"/>
        <v>0</v>
      </c>
      <c r="AH115" s="9">
        <f t="shared" si="54"/>
        <v>0</v>
      </c>
      <c r="AI115" s="22">
        <f t="shared" si="55"/>
        <v>4</v>
      </c>
      <c r="AJ115" s="22">
        <f t="shared" si="9"/>
        <v>4</v>
      </c>
      <c r="AK115" s="22">
        <f t="shared" si="10"/>
        <v>15</v>
      </c>
    </row>
    <row r="116" spans="1:37" x14ac:dyDescent="0.2">
      <c r="A116">
        <v>2011</v>
      </c>
      <c r="B116" s="20" t="s">
        <v>46</v>
      </c>
      <c r="C116" s="12">
        <v>40738</v>
      </c>
      <c r="D116" s="3">
        <v>37</v>
      </c>
      <c r="E116" s="20" t="s">
        <v>48</v>
      </c>
      <c r="H116" s="1">
        <v>0</v>
      </c>
      <c r="I116" s="1">
        <v>0</v>
      </c>
      <c r="J116" s="1">
        <v>0</v>
      </c>
      <c r="K116" s="1">
        <v>0</v>
      </c>
      <c r="L116" s="1">
        <f t="shared" si="1"/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f t="shared" si="2"/>
        <v>1</v>
      </c>
      <c r="S116" s="1">
        <v>0.5</v>
      </c>
      <c r="T116" s="1">
        <v>0</v>
      </c>
      <c r="U116" s="1">
        <v>0</v>
      </c>
      <c r="V116" s="1">
        <v>0</v>
      </c>
      <c r="W116" s="1">
        <v>0</v>
      </c>
      <c r="X116" s="1">
        <f t="shared" si="3"/>
        <v>0</v>
      </c>
      <c r="Y116" s="1">
        <v>0</v>
      </c>
      <c r="Z116" s="26">
        <v>0</v>
      </c>
      <c r="AA116" s="1">
        <v>1</v>
      </c>
      <c r="AB116" s="1">
        <v>2</v>
      </c>
      <c r="AC116" s="1">
        <v>0</v>
      </c>
      <c r="AD116" s="1">
        <f t="shared" si="4"/>
        <v>3</v>
      </c>
      <c r="AE116" s="1">
        <v>3.5</v>
      </c>
      <c r="AF116" s="22">
        <f t="shared" si="56"/>
        <v>0</v>
      </c>
      <c r="AG116" s="22">
        <f t="shared" si="57"/>
        <v>2</v>
      </c>
      <c r="AH116" s="9">
        <f t="shared" si="54"/>
        <v>2</v>
      </c>
      <c r="AI116" s="22">
        <f t="shared" si="55"/>
        <v>0</v>
      </c>
      <c r="AJ116" s="22">
        <f t="shared" si="9"/>
        <v>4</v>
      </c>
      <c r="AK116" s="22">
        <f t="shared" si="10"/>
        <v>4</v>
      </c>
    </row>
    <row r="117" spans="1:37" x14ac:dyDescent="0.2">
      <c r="A117">
        <v>2011</v>
      </c>
      <c r="B117" s="20" t="s">
        <v>46</v>
      </c>
      <c r="C117" s="12">
        <v>40738</v>
      </c>
      <c r="D117" s="3">
        <v>37</v>
      </c>
      <c r="E117" s="20" t="s">
        <v>50</v>
      </c>
      <c r="H117" s="26" t="s">
        <v>1</v>
      </c>
      <c r="I117" s="26" t="s">
        <v>1</v>
      </c>
      <c r="J117" s="1">
        <v>0</v>
      </c>
      <c r="K117" s="1">
        <v>0</v>
      </c>
      <c r="L117" s="1">
        <f t="shared" si="1"/>
        <v>0</v>
      </c>
      <c r="M117" s="1">
        <v>0</v>
      </c>
      <c r="N117" s="26" t="s">
        <v>1</v>
      </c>
      <c r="O117" s="26" t="s">
        <v>1</v>
      </c>
      <c r="P117" s="1">
        <v>0</v>
      </c>
      <c r="Q117" s="1">
        <v>0</v>
      </c>
      <c r="R117" s="1">
        <f t="shared" si="2"/>
        <v>0</v>
      </c>
      <c r="S117" s="1">
        <v>0</v>
      </c>
      <c r="T117" s="26" t="s">
        <v>1</v>
      </c>
      <c r="U117" s="26" t="s">
        <v>1</v>
      </c>
      <c r="V117" s="1">
        <v>0</v>
      </c>
      <c r="W117" s="1">
        <v>0</v>
      </c>
      <c r="X117" s="1">
        <f t="shared" si="3"/>
        <v>0</v>
      </c>
      <c r="Y117" s="1">
        <v>0</v>
      </c>
      <c r="Z117" s="26" t="s">
        <v>1</v>
      </c>
      <c r="AA117" s="26" t="s">
        <v>1</v>
      </c>
      <c r="AB117" s="1">
        <v>2</v>
      </c>
      <c r="AC117" s="1">
        <v>0</v>
      </c>
      <c r="AD117" s="1">
        <f t="shared" si="4"/>
        <v>2</v>
      </c>
      <c r="AE117" s="1">
        <v>3.5</v>
      </c>
      <c r="AF117" s="22">
        <f t="shared" si="56"/>
        <v>0</v>
      </c>
      <c r="AG117" s="22">
        <f t="shared" si="57"/>
        <v>0</v>
      </c>
      <c r="AH117" s="9">
        <f t="shared" si="54"/>
        <v>2</v>
      </c>
      <c r="AI117" s="22">
        <f t="shared" si="55"/>
        <v>0</v>
      </c>
      <c r="AJ117" s="22">
        <f t="shared" si="9"/>
        <v>2</v>
      </c>
      <c r="AK117" s="22">
        <f t="shared" si="10"/>
        <v>3.5</v>
      </c>
    </row>
    <row r="118" spans="1:37" x14ac:dyDescent="0.2">
      <c r="A118">
        <v>2011</v>
      </c>
      <c r="B118" s="20" t="s">
        <v>46</v>
      </c>
      <c r="C118" s="12">
        <v>40738</v>
      </c>
      <c r="D118" s="3">
        <v>38</v>
      </c>
      <c r="E118" s="20" t="s">
        <v>47</v>
      </c>
      <c r="H118" s="1">
        <v>0</v>
      </c>
      <c r="I118" s="1">
        <v>3</v>
      </c>
      <c r="J118" s="1">
        <v>3</v>
      </c>
      <c r="K118" s="1">
        <v>0</v>
      </c>
      <c r="L118" s="1">
        <f t="shared" si="1"/>
        <v>6</v>
      </c>
      <c r="M118" s="1">
        <v>15</v>
      </c>
      <c r="N118" s="1">
        <v>0</v>
      </c>
      <c r="O118" s="1">
        <v>1</v>
      </c>
      <c r="P118" s="1">
        <v>0</v>
      </c>
      <c r="Q118" s="1">
        <v>1</v>
      </c>
      <c r="R118" s="1">
        <f t="shared" si="2"/>
        <v>2</v>
      </c>
      <c r="S118" s="1">
        <v>25</v>
      </c>
      <c r="T118" s="1">
        <v>0</v>
      </c>
      <c r="U118" s="1">
        <v>1</v>
      </c>
      <c r="V118" s="1">
        <v>0</v>
      </c>
      <c r="W118" s="1">
        <v>1</v>
      </c>
      <c r="X118" s="1">
        <f t="shared" si="3"/>
        <v>2</v>
      </c>
      <c r="Y118" s="1">
        <v>25</v>
      </c>
      <c r="Z118" s="1">
        <v>0</v>
      </c>
      <c r="AA118" s="1">
        <v>0</v>
      </c>
      <c r="AB118" s="1">
        <v>0</v>
      </c>
      <c r="AC118" s="1">
        <v>0</v>
      </c>
      <c r="AD118" s="1">
        <f t="shared" si="4"/>
        <v>0</v>
      </c>
      <c r="AE118" s="1">
        <v>0</v>
      </c>
      <c r="AF118" s="22">
        <f t="shared" ref="AF118:AF127" si="58">SUM(H118,N118,T118,Z118)</f>
        <v>0</v>
      </c>
      <c r="AG118" s="22">
        <f t="shared" ref="AG118:AG127" si="59">SUM(I118,O118,U118,AA118)</f>
        <v>5</v>
      </c>
      <c r="AH118" s="9">
        <f t="shared" si="54"/>
        <v>3</v>
      </c>
      <c r="AI118" s="22">
        <f t="shared" ref="AI118:AI127" si="60">SUM(K118,Q118,W118,AC118)</f>
        <v>2</v>
      </c>
      <c r="AJ118" s="22">
        <f t="shared" ref="AJ118:AJ127" si="61">SUM(AF118:AI118)</f>
        <v>10</v>
      </c>
      <c r="AK118" s="22">
        <f t="shared" si="10"/>
        <v>65</v>
      </c>
    </row>
    <row r="119" spans="1:37" x14ac:dyDescent="0.2">
      <c r="A119">
        <v>2011</v>
      </c>
      <c r="B119" s="20" t="s">
        <v>46</v>
      </c>
      <c r="C119" s="12">
        <v>40738</v>
      </c>
      <c r="D119" s="3">
        <v>38</v>
      </c>
      <c r="E119" s="20" t="s">
        <v>91</v>
      </c>
      <c r="H119" s="26" t="s">
        <v>1</v>
      </c>
      <c r="I119" s="26" t="s">
        <v>1</v>
      </c>
      <c r="J119" s="1">
        <v>0</v>
      </c>
      <c r="K119" s="1">
        <v>5</v>
      </c>
      <c r="L119" s="1">
        <f t="shared" si="1"/>
        <v>5</v>
      </c>
      <c r="M119" s="1">
        <v>35</v>
      </c>
      <c r="N119" s="26" t="s">
        <v>1</v>
      </c>
      <c r="O119" s="26" t="s">
        <v>1</v>
      </c>
      <c r="P119" s="1">
        <v>0</v>
      </c>
      <c r="Q119" s="1">
        <v>0</v>
      </c>
      <c r="R119" s="1">
        <f t="shared" si="2"/>
        <v>0</v>
      </c>
      <c r="S119" s="1">
        <v>0</v>
      </c>
      <c r="T119" s="26" t="s">
        <v>1</v>
      </c>
      <c r="U119" s="26" t="s">
        <v>1</v>
      </c>
      <c r="V119" s="1">
        <v>0</v>
      </c>
      <c r="W119" s="26">
        <v>0</v>
      </c>
      <c r="X119" s="1">
        <f t="shared" si="3"/>
        <v>0</v>
      </c>
      <c r="Y119" s="1">
        <v>0</v>
      </c>
      <c r="Z119" s="26" t="s">
        <v>1</v>
      </c>
      <c r="AA119" s="26" t="s">
        <v>1</v>
      </c>
      <c r="AB119" s="1">
        <v>0</v>
      </c>
      <c r="AC119" s="1">
        <v>0</v>
      </c>
      <c r="AD119" s="1">
        <f t="shared" si="4"/>
        <v>0</v>
      </c>
      <c r="AE119" s="1">
        <v>0</v>
      </c>
      <c r="AF119" s="22">
        <f t="shared" si="58"/>
        <v>0</v>
      </c>
      <c r="AG119" s="22">
        <f t="shared" si="59"/>
        <v>0</v>
      </c>
      <c r="AH119" s="9">
        <f t="shared" si="54"/>
        <v>0</v>
      </c>
      <c r="AI119" s="22">
        <f t="shared" si="60"/>
        <v>5</v>
      </c>
      <c r="AJ119" s="22">
        <f t="shared" si="61"/>
        <v>5</v>
      </c>
      <c r="AK119" s="22">
        <f t="shared" si="10"/>
        <v>35</v>
      </c>
    </row>
    <row r="120" spans="1:37" x14ac:dyDescent="0.2">
      <c r="A120">
        <v>2011</v>
      </c>
      <c r="B120" s="20" t="s">
        <v>46</v>
      </c>
      <c r="C120" s="12">
        <v>40738</v>
      </c>
      <c r="D120" s="3">
        <v>38</v>
      </c>
      <c r="E120" s="20" t="s">
        <v>55</v>
      </c>
      <c r="H120" s="26" t="s">
        <v>1</v>
      </c>
      <c r="I120" s="26" t="s">
        <v>1</v>
      </c>
      <c r="J120" s="1">
        <v>2</v>
      </c>
      <c r="K120" s="1">
        <v>3</v>
      </c>
      <c r="L120" s="1">
        <f t="shared" si="1"/>
        <v>5</v>
      </c>
      <c r="M120" s="1">
        <v>8</v>
      </c>
      <c r="N120" s="26" t="s">
        <v>1</v>
      </c>
      <c r="O120" s="26" t="s">
        <v>1</v>
      </c>
      <c r="P120" s="1">
        <v>0</v>
      </c>
      <c r="Q120" s="1">
        <v>0</v>
      </c>
      <c r="R120" s="1">
        <f t="shared" si="2"/>
        <v>0</v>
      </c>
      <c r="S120" s="1">
        <v>0</v>
      </c>
      <c r="T120" s="26" t="s">
        <v>1</v>
      </c>
      <c r="U120" s="26" t="s">
        <v>1</v>
      </c>
      <c r="V120" s="1">
        <v>1</v>
      </c>
      <c r="W120" s="1">
        <v>0</v>
      </c>
      <c r="X120" s="1">
        <f t="shared" si="3"/>
        <v>1</v>
      </c>
      <c r="Y120" s="1">
        <v>1.5</v>
      </c>
      <c r="Z120" s="26" t="s">
        <v>1</v>
      </c>
      <c r="AA120" s="26" t="s">
        <v>1</v>
      </c>
      <c r="AB120" s="1">
        <v>0</v>
      </c>
      <c r="AC120" s="1">
        <v>0</v>
      </c>
      <c r="AD120" s="1">
        <f t="shared" si="4"/>
        <v>0</v>
      </c>
      <c r="AE120" s="1">
        <v>0</v>
      </c>
      <c r="AF120" s="22">
        <f t="shared" si="58"/>
        <v>0</v>
      </c>
      <c r="AG120" s="22">
        <f t="shared" si="59"/>
        <v>0</v>
      </c>
      <c r="AH120" s="9">
        <f t="shared" si="54"/>
        <v>3</v>
      </c>
      <c r="AI120" s="22">
        <f t="shared" si="60"/>
        <v>3</v>
      </c>
      <c r="AJ120" s="22">
        <f t="shared" si="61"/>
        <v>6</v>
      </c>
      <c r="AK120" s="22">
        <f t="shared" si="10"/>
        <v>9.5</v>
      </c>
    </row>
    <row r="121" spans="1:37" x14ac:dyDescent="0.2">
      <c r="A121">
        <v>2011</v>
      </c>
      <c r="B121" s="20" t="s">
        <v>46</v>
      </c>
      <c r="C121" s="12">
        <v>40738</v>
      </c>
      <c r="D121" s="3">
        <v>38</v>
      </c>
      <c r="E121" s="20" t="s">
        <v>48</v>
      </c>
      <c r="H121" s="1">
        <v>0</v>
      </c>
      <c r="I121" s="1">
        <v>5</v>
      </c>
      <c r="J121" s="1">
        <v>1</v>
      </c>
      <c r="K121" s="1">
        <v>1</v>
      </c>
      <c r="L121" s="1">
        <f t="shared" si="1"/>
        <v>7</v>
      </c>
      <c r="M121" s="1">
        <v>3.5</v>
      </c>
      <c r="N121" s="1">
        <v>2</v>
      </c>
      <c r="O121" s="1">
        <v>7</v>
      </c>
      <c r="P121" s="1">
        <v>0</v>
      </c>
      <c r="Q121" s="1">
        <v>0</v>
      </c>
      <c r="R121" s="1">
        <f t="shared" si="2"/>
        <v>9</v>
      </c>
      <c r="S121" s="1">
        <v>1.5</v>
      </c>
      <c r="T121" s="1">
        <v>1</v>
      </c>
      <c r="U121" s="1">
        <v>6</v>
      </c>
      <c r="V121" s="1">
        <v>0</v>
      </c>
      <c r="W121" s="1">
        <v>0</v>
      </c>
      <c r="X121" s="1">
        <f t="shared" si="3"/>
        <v>7</v>
      </c>
      <c r="Y121" s="1">
        <v>1.5</v>
      </c>
      <c r="Z121" s="1">
        <v>1</v>
      </c>
      <c r="AA121" s="1">
        <v>3</v>
      </c>
      <c r="AB121" s="1">
        <v>0</v>
      </c>
      <c r="AC121" s="1">
        <v>0</v>
      </c>
      <c r="AD121" s="1">
        <f t="shared" si="4"/>
        <v>4</v>
      </c>
      <c r="AE121" s="1">
        <v>0.5</v>
      </c>
      <c r="AF121" s="22">
        <f t="shared" si="58"/>
        <v>4</v>
      </c>
      <c r="AG121" s="22">
        <f t="shared" si="59"/>
        <v>21</v>
      </c>
      <c r="AH121" s="9">
        <f t="shared" si="54"/>
        <v>1</v>
      </c>
      <c r="AI121" s="22">
        <f t="shared" si="60"/>
        <v>1</v>
      </c>
      <c r="AJ121" s="22">
        <f t="shared" si="61"/>
        <v>27</v>
      </c>
      <c r="AK121" s="22">
        <f t="shared" si="10"/>
        <v>7</v>
      </c>
    </row>
    <row r="122" spans="1:37" x14ac:dyDescent="0.2">
      <c r="A122">
        <v>2011</v>
      </c>
      <c r="B122" s="20" t="s">
        <v>46</v>
      </c>
      <c r="C122" s="12">
        <v>40738</v>
      </c>
      <c r="D122" s="3">
        <v>38</v>
      </c>
      <c r="E122" s="20" t="s">
        <v>86</v>
      </c>
      <c r="H122" s="26" t="s">
        <v>1</v>
      </c>
      <c r="I122" s="26" t="s">
        <v>1</v>
      </c>
      <c r="J122" s="1">
        <v>3</v>
      </c>
      <c r="K122" s="1">
        <v>2</v>
      </c>
      <c r="L122" s="1">
        <f t="shared" si="1"/>
        <v>5</v>
      </c>
      <c r="M122" s="1">
        <v>25</v>
      </c>
      <c r="N122" s="26" t="s">
        <v>1</v>
      </c>
      <c r="O122" s="26" t="s">
        <v>1</v>
      </c>
      <c r="P122" s="1">
        <v>1</v>
      </c>
      <c r="Q122" s="1">
        <v>0</v>
      </c>
      <c r="R122" s="1">
        <f t="shared" si="2"/>
        <v>1</v>
      </c>
      <c r="S122" s="1">
        <v>1.5</v>
      </c>
      <c r="T122" s="26" t="s">
        <v>1</v>
      </c>
      <c r="U122" s="26" t="s">
        <v>1</v>
      </c>
      <c r="V122" s="1">
        <v>4</v>
      </c>
      <c r="W122" s="1">
        <v>5</v>
      </c>
      <c r="X122" s="1">
        <f t="shared" si="3"/>
        <v>9</v>
      </c>
      <c r="Y122" s="1">
        <v>45</v>
      </c>
      <c r="Z122" s="26" t="s">
        <v>1</v>
      </c>
      <c r="AA122" s="26" t="s">
        <v>1</v>
      </c>
      <c r="AB122" s="1">
        <v>5</v>
      </c>
      <c r="AC122" s="1">
        <v>0</v>
      </c>
      <c r="AD122" s="1">
        <f t="shared" si="4"/>
        <v>5</v>
      </c>
      <c r="AE122" s="1">
        <v>15</v>
      </c>
      <c r="AF122" s="22">
        <f t="shared" si="58"/>
        <v>0</v>
      </c>
      <c r="AG122" s="22">
        <f t="shared" si="59"/>
        <v>0</v>
      </c>
      <c r="AH122" s="9">
        <f t="shared" si="54"/>
        <v>13</v>
      </c>
      <c r="AI122" s="22">
        <f t="shared" si="60"/>
        <v>7</v>
      </c>
      <c r="AJ122" s="22">
        <f t="shared" si="61"/>
        <v>20</v>
      </c>
      <c r="AK122" s="22">
        <f t="shared" si="10"/>
        <v>86.5</v>
      </c>
    </row>
    <row r="123" spans="1:37" x14ac:dyDescent="0.2">
      <c r="A123">
        <v>2011</v>
      </c>
      <c r="B123" s="20" t="s">
        <v>46</v>
      </c>
      <c r="C123" s="12">
        <v>40738</v>
      </c>
      <c r="D123" s="3">
        <v>38</v>
      </c>
      <c r="E123" s="20" t="s">
        <v>64</v>
      </c>
      <c r="H123" s="26" t="s">
        <v>1</v>
      </c>
      <c r="I123" s="26" t="s">
        <v>1</v>
      </c>
      <c r="J123" s="1">
        <v>2</v>
      </c>
      <c r="K123" s="1">
        <v>0</v>
      </c>
      <c r="L123" s="1">
        <f t="shared" si="1"/>
        <v>2</v>
      </c>
      <c r="M123" s="1">
        <v>1.5</v>
      </c>
      <c r="N123" s="26" t="s">
        <v>1</v>
      </c>
      <c r="O123" s="26" t="s">
        <v>1</v>
      </c>
      <c r="P123" s="1">
        <v>0</v>
      </c>
      <c r="Q123" s="1">
        <v>0</v>
      </c>
      <c r="R123" s="1">
        <f t="shared" si="2"/>
        <v>0</v>
      </c>
      <c r="S123" s="1">
        <v>0</v>
      </c>
      <c r="T123" s="26" t="s">
        <v>1</v>
      </c>
      <c r="U123" s="26" t="s">
        <v>1</v>
      </c>
      <c r="V123" s="1">
        <v>0</v>
      </c>
      <c r="W123" s="1">
        <v>0</v>
      </c>
      <c r="X123" s="1">
        <f t="shared" si="3"/>
        <v>0</v>
      </c>
      <c r="Y123" s="1">
        <v>0</v>
      </c>
      <c r="Z123" s="26" t="s">
        <v>1</v>
      </c>
      <c r="AA123" s="26" t="s">
        <v>1</v>
      </c>
      <c r="AB123" s="1">
        <v>1</v>
      </c>
      <c r="AC123" s="1">
        <v>0</v>
      </c>
      <c r="AD123" s="1">
        <f t="shared" si="4"/>
        <v>1</v>
      </c>
      <c r="AE123" s="1">
        <v>0.5</v>
      </c>
      <c r="AF123" s="22">
        <f t="shared" si="58"/>
        <v>0</v>
      </c>
      <c r="AG123" s="22">
        <f t="shared" si="59"/>
        <v>0</v>
      </c>
      <c r="AH123" s="9">
        <f t="shared" si="54"/>
        <v>3</v>
      </c>
      <c r="AI123" s="22">
        <f t="shared" si="60"/>
        <v>0</v>
      </c>
      <c r="AJ123" s="22">
        <f t="shared" si="61"/>
        <v>3</v>
      </c>
      <c r="AK123" s="22">
        <f t="shared" si="10"/>
        <v>2</v>
      </c>
    </row>
    <row r="124" spans="1:37" x14ac:dyDescent="0.2">
      <c r="A124">
        <v>2011</v>
      </c>
      <c r="B124" s="20" t="s">
        <v>46</v>
      </c>
      <c r="C124" s="12">
        <v>40738</v>
      </c>
      <c r="D124" s="3">
        <v>38</v>
      </c>
      <c r="E124" s="20" t="s">
        <v>80</v>
      </c>
      <c r="H124" s="26" t="s">
        <v>1</v>
      </c>
      <c r="I124" s="26" t="s">
        <v>1</v>
      </c>
      <c r="J124" s="1">
        <v>2</v>
      </c>
      <c r="K124" s="1">
        <v>0</v>
      </c>
      <c r="L124" s="1">
        <f t="shared" si="1"/>
        <v>2</v>
      </c>
      <c r="M124" s="1">
        <v>1.5</v>
      </c>
      <c r="N124" s="26" t="s">
        <v>1</v>
      </c>
      <c r="O124" s="26" t="s">
        <v>1</v>
      </c>
      <c r="P124" s="1">
        <v>0</v>
      </c>
      <c r="Q124" s="1">
        <v>0</v>
      </c>
      <c r="R124" s="1">
        <f t="shared" si="2"/>
        <v>0</v>
      </c>
      <c r="S124" s="1">
        <v>0</v>
      </c>
      <c r="T124" s="26" t="s">
        <v>1</v>
      </c>
      <c r="U124" s="26" t="s">
        <v>1</v>
      </c>
      <c r="V124" s="1">
        <v>0</v>
      </c>
      <c r="W124" s="1">
        <v>0</v>
      </c>
      <c r="X124" s="1">
        <f t="shared" si="3"/>
        <v>0</v>
      </c>
      <c r="Y124" s="1">
        <v>0</v>
      </c>
      <c r="Z124" s="26" t="s">
        <v>1</v>
      </c>
      <c r="AA124" s="26" t="s">
        <v>1</v>
      </c>
      <c r="AB124" s="1">
        <v>0</v>
      </c>
      <c r="AC124" s="1">
        <v>0</v>
      </c>
      <c r="AD124" s="1">
        <f t="shared" si="4"/>
        <v>0</v>
      </c>
      <c r="AE124" s="1">
        <v>0</v>
      </c>
      <c r="AF124" s="22">
        <f t="shared" si="58"/>
        <v>0</v>
      </c>
      <c r="AG124" s="22">
        <f t="shared" si="59"/>
        <v>0</v>
      </c>
      <c r="AH124" s="9">
        <f t="shared" si="54"/>
        <v>2</v>
      </c>
      <c r="AI124" s="22">
        <f t="shared" si="60"/>
        <v>0</v>
      </c>
      <c r="AJ124" s="22">
        <f t="shared" si="61"/>
        <v>2</v>
      </c>
      <c r="AK124" s="22">
        <f t="shared" si="10"/>
        <v>1.5</v>
      </c>
    </row>
    <row r="125" spans="1:37" x14ac:dyDescent="0.2">
      <c r="A125">
        <v>2011</v>
      </c>
      <c r="B125" s="20" t="s">
        <v>46</v>
      </c>
      <c r="C125" s="12">
        <v>40738</v>
      </c>
      <c r="D125" s="3">
        <v>38</v>
      </c>
      <c r="E125" s="20" t="s">
        <v>49</v>
      </c>
      <c r="H125" s="26">
        <v>0</v>
      </c>
      <c r="I125" s="26">
        <v>0</v>
      </c>
      <c r="J125" s="1">
        <v>0</v>
      </c>
      <c r="K125" s="1">
        <v>0</v>
      </c>
      <c r="L125" s="1">
        <f t="shared" si="1"/>
        <v>0</v>
      </c>
      <c r="M125" s="1">
        <v>0</v>
      </c>
      <c r="N125" s="26">
        <v>0</v>
      </c>
      <c r="O125" s="26">
        <v>1</v>
      </c>
      <c r="P125" s="1">
        <v>0</v>
      </c>
      <c r="Q125" s="1">
        <v>0</v>
      </c>
      <c r="R125" s="1">
        <f t="shared" si="2"/>
        <v>1</v>
      </c>
      <c r="S125" s="1">
        <v>0.5</v>
      </c>
      <c r="T125" s="26">
        <v>0</v>
      </c>
      <c r="U125" s="26">
        <v>0</v>
      </c>
      <c r="V125" s="1">
        <v>0</v>
      </c>
      <c r="W125" s="1">
        <v>0</v>
      </c>
      <c r="X125" s="1">
        <f t="shared" si="3"/>
        <v>0</v>
      </c>
      <c r="Y125" s="1">
        <v>0</v>
      </c>
      <c r="Z125" s="26">
        <v>0</v>
      </c>
      <c r="AA125" s="26">
        <v>0</v>
      </c>
      <c r="AB125" s="1">
        <v>0</v>
      </c>
      <c r="AC125" s="1">
        <v>0</v>
      </c>
      <c r="AD125" s="1">
        <f t="shared" si="4"/>
        <v>0</v>
      </c>
      <c r="AE125" s="1">
        <v>0</v>
      </c>
      <c r="AF125" s="22">
        <f t="shared" si="58"/>
        <v>0</v>
      </c>
      <c r="AG125" s="22">
        <f t="shared" si="59"/>
        <v>1</v>
      </c>
      <c r="AH125" s="9">
        <f t="shared" si="54"/>
        <v>0</v>
      </c>
      <c r="AI125" s="22">
        <f t="shared" si="60"/>
        <v>0</v>
      </c>
      <c r="AJ125" s="22">
        <f t="shared" si="61"/>
        <v>1</v>
      </c>
      <c r="AK125" s="22">
        <f t="shared" si="10"/>
        <v>0.5</v>
      </c>
    </row>
    <row r="126" spans="1:37" x14ac:dyDescent="0.2">
      <c r="A126">
        <v>2011</v>
      </c>
      <c r="B126" s="20" t="s">
        <v>46</v>
      </c>
      <c r="C126" s="12">
        <v>40738</v>
      </c>
      <c r="D126" s="3">
        <v>38</v>
      </c>
      <c r="E126" s="20" t="s">
        <v>60</v>
      </c>
      <c r="H126" s="26" t="s">
        <v>1</v>
      </c>
      <c r="I126" s="26" t="s">
        <v>1</v>
      </c>
      <c r="J126" s="1">
        <v>0</v>
      </c>
      <c r="K126" s="1">
        <v>0</v>
      </c>
      <c r="L126" s="1">
        <f t="shared" si="1"/>
        <v>0</v>
      </c>
      <c r="M126" s="1">
        <v>0</v>
      </c>
      <c r="N126" s="26" t="s">
        <v>1</v>
      </c>
      <c r="O126" s="26" t="s">
        <v>1</v>
      </c>
      <c r="P126" s="1">
        <v>1</v>
      </c>
      <c r="Q126" s="1">
        <v>0</v>
      </c>
      <c r="R126" s="1">
        <f t="shared" si="2"/>
        <v>1</v>
      </c>
      <c r="S126" s="1">
        <v>1</v>
      </c>
      <c r="T126" s="26" t="s">
        <v>1</v>
      </c>
      <c r="U126" s="26" t="s">
        <v>1</v>
      </c>
      <c r="V126" s="1">
        <v>0</v>
      </c>
      <c r="W126" s="1">
        <v>0</v>
      </c>
      <c r="X126" s="1">
        <f t="shared" si="3"/>
        <v>0</v>
      </c>
      <c r="Y126" s="1">
        <v>0</v>
      </c>
      <c r="Z126" s="26" t="s">
        <v>1</v>
      </c>
      <c r="AA126" s="26" t="s">
        <v>1</v>
      </c>
      <c r="AB126" s="1">
        <v>0</v>
      </c>
      <c r="AC126" s="1">
        <v>0</v>
      </c>
      <c r="AD126" s="1">
        <f t="shared" si="4"/>
        <v>0</v>
      </c>
      <c r="AE126" s="1">
        <v>0</v>
      </c>
      <c r="AF126" s="22">
        <f t="shared" si="58"/>
        <v>0</v>
      </c>
      <c r="AG126" s="22">
        <f t="shared" si="59"/>
        <v>0</v>
      </c>
      <c r="AH126" s="9">
        <f t="shared" si="54"/>
        <v>1</v>
      </c>
      <c r="AI126" s="22">
        <f t="shared" si="60"/>
        <v>0</v>
      </c>
      <c r="AJ126" s="22">
        <f t="shared" si="61"/>
        <v>1</v>
      </c>
      <c r="AK126" s="22">
        <f t="shared" si="10"/>
        <v>1</v>
      </c>
    </row>
    <row r="127" spans="1:37" x14ac:dyDescent="0.2">
      <c r="A127">
        <v>2011</v>
      </c>
      <c r="B127" s="20" t="s">
        <v>46</v>
      </c>
      <c r="C127" s="12">
        <v>40738</v>
      </c>
      <c r="D127" s="3">
        <v>38</v>
      </c>
      <c r="E127" s="20" t="s">
        <v>69</v>
      </c>
      <c r="H127" s="26" t="s">
        <v>1</v>
      </c>
      <c r="I127" s="26" t="s">
        <v>1</v>
      </c>
      <c r="J127" s="1">
        <v>0</v>
      </c>
      <c r="K127" s="1">
        <v>0</v>
      </c>
      <c r="L127" s="1">
        <f t="shared" si="1"/>
        <v>0</v>
      </c>
      <c r="M127" s="1">
        <v>0</v>
      </c>
      <c r="N127" s="26" t="s">
        <v>1</v>
      </c>
      <c r="O127" s="26" t="s">
        <v>1</v>
      </c>
      <c r="P127" s="1">
        <v>0</v>
      </c>
      <c r="Q127" s="1">
        <v>0</v>
      </c>
      <c r="R127" s="1">
        <f t="shared" si="2"/>
        <v>0</v>
      </c>
      <c r="S127" s="1">
        <v>0</v>
      </c>
      <c r="T127" s="26" t="s">
        <v>1</v>
      </c>
      <c r="U127" s="26" t="s">
        <v>1</v>
      </c>
      <c r="V127" s="1">
        <v>0</v>
      </c>
      <c r="W127" s="1">
        <v>1</v>
      </c>
      <c r="X127" s="1">
        <f t="shared" si="3"/>
        <v>1</v>
      </c>
      <c r="Y127" s="1">
        <v>2</v>
      </c>
      <c r="Z127" s="26" t="s">
        <v>1</v>
      </c>
      <c r="AA127" s="26" t="s">
        <v>1</v>
      </c>
      <c r="AB127" s="1">
        <v>0</v>
      </c>
      <c r="AC127" s="1">
        <v>0</v>
      </c>
      <c r="AD127" s="1">
        <f t="shared" si="4"/>
        <v>0</v>
      </c>
      <c r="AE127" s="1">
        <v>0</v>
      </c>
      <c r="AF127" s="22">
        <f t="shared" si="58"/>
        <v>0</v>
      </c>
      <c r="AG127" s="22">
        <f t="shared" si="59"/>
        <v>0</v>
      </c>
      <c r="AH127" s="9">
        <f t="shared" si="54"/>
        <v>0</v>
      </c>
      <c r="AI127" s="22">
        <f t="shared" si="60"/>
        <v>1</v>
      </c>
      <c r="AJ127" s="22">
        <f t="shared" si="61"/>
        <v>1</v>
      </c>
      <c r="AK127" s="22">
        <f t="shared" si="10"/>
        <v>2</v>
      </c>
    </row>
    <row r="128" spans="1:37" x14ac:dyDescent="0.2">
      <c r="A128">
        <v>2011</v>
      </c>
      <c r="B128" s="20" t="s">
        <v>46</v>
      </c>
      <c r="C128" s="12">
        <v>40738</v>
      </c>
      <c r="D128" s="3">
        <v>39</v>
      </c>
      <c r="E128" s="20" t="s">
        <v>47</v>
      </c>
      <c r="H128" s="1">
        <v>0</v>
      </c>
      <c r="I128" s="1">
        <v>0</v>
      </c>
      <c r="J128" s="1">
        <v>0</v>
      </c>
      <c r="K128" s="1">
        <v>0</v>
      </c>
      <c r="L128" s="1">
        <f t="shared" si="1"/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R128" s="1">
        <f t="shared" si="2"/>
        <v>1</v>
      </c>
      <c r="S128" s="1">
        <v>3.5</v>
      </c>
      <c r="T128" s="1">
        <v>0</v>
      </c>
      <c r="U128" s="1">
        <v>0</v>
      </c>
      <c r="V128" s="1">
        <v>0</v>
      </c>
      <c r="W128" s="1">
        <v>2</v>
      </c>
      <c r="X128" s="1">
        <f t="shared" si="3"/>
        <v>2</v>
      </c>
      <c r="Y128" s="1">
        <v>25</v>
      </c>
      <c r="Z128" s="1">
        <v>0</v>
      </c>
      <c r="AA128" s="1">
        <v>0</v>
      </c>
      <c r="AB128" s="1">
        <v>0</v>
      </c>
      <c r="AC128" s="1">
        <v>0</v>
      </c>
      <c r="AD128" s="1">
        <f t="shared" si="4"/>
        <v>0</v>
      </c>
      <c r="AE128" s="1">
        <v>0</v>
      </c>
      <c r="AF128" s="22">
        <f t="shared" ref="AF128:AF137" si="62">SUM(H128,N128,T128,Z128)</f>
        <v>0</v>
      </c>
      <c r="AG128" s="22">
        <f t="shared" ref="AG128:AG137" si="63">SUM(I128,O128,U128,AA128)</f>
        <v>0</v>
      </c>
      <c r="AH128" s="9">
        <f t="shared" si="54"/>
        <v>0</v>
      </c>
      <c r="AI128" s="22">
        <f t="shared" ref="AI128:AI144" si="64">SUM(K128,Q128,W128,AC128)</f>
        <v>3</v>
      </c>
      <c r="AJ128" s="22">
        <f t="shared" ref="AJ128:AJ144" si="65">SUM(AF128:AI128)</f>
        <v>3</v>
      </c>
      <c r="AK128" s="22">
        <f t="shared" ref="AK128:AK144" si="66">M128+S128+Y128+AE128</f>
        <v>28.5</v>
      </c>
    </row>
    <row r="129" spans="1:38" x14ac:dyDescent="0.2">
      <c r="A129">
        <v>2011</v>
      </c>
      <c r="B129" s="20" t="s">
        <v>46</v>
      </c>
      <c r="C129" s="12">
        <v>40738</v>
      </c>
      <c r="D129" s="3">
        <v>39</v>
      </c>
      <c r="E129" s="20" t="s">
        <v>48</v>
      </c>
      <c r="H129" s="1">
        <v>0</v>
      </c>
      <c r="I129" s="1">
        <v>8</v>
      </c>
      <c r="J129" s="1">
        <v>9</v>
      </c>
      <c r="K129" s="1">
        <v>0</v>
      </c>
      <c r="L129" s="1">
        <f t="shared" ref="L129:L144" si="67">SUM(H129:K129)</f>
        <v>17</v>
      </c>
      <c r="M129" s="1">
        <v>8</v>
      </c>
      <c r="N129" s="1">
        <v>0</v>
      </c>
      <c r="O129" s="1">
        <v>0</v>
      </c>
      <c r="P129" s="1">
        <v>0</v>
      </c>
      <c r="Q129" s="1">
        <v>0</v>
      </c>
      <c r="R129" s="1">
        <f t="shared" ref="R129:R144" si="68">SUM(N129:Q129)</f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f t="shared" ref="X129:X144" si="69">SUM(T129:W129)</f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f t="shared" ref="AD129:AD144" si="70">SUM(Z129:AC129)</f>
        <v>0</v>
      </c>
      <c r="AE129" s="1">
        <v>0</v>
      </c>
      <c r="AF129" s="22">
        <f t="shared" si="62"/>
        <v>0</v>
      </c>
      <c r="AG129" s="22">
        <f t="shared" si="63"/>
        <v>8</v>
      </c>
      <c r="AH129" s="9">
        <f t="shared" si="54"/>
        <v>9</v>
      </c>
      <c r="AI129" s="22">
        <f t="shared" si="64"/>
        <v>0</v>
      </c>
      <c r="AJ129" s="22">
        <f t="shared" si="65"/>
        <v>17</v>
      </c>
      <c r="AK129" s="22">
        <f t="shared" si="66"/>
        <v>8</v>
      </c>
    </row>
    <row r="130" spans="1:38" x14ac:dyDescent="0.2">
      <c r="A130">
        <v>2011</v>
      </c>
      <c r="B130" s="20" t="s">
        <v>46</v>
      </c>
      <c r="C130" s="12">
        <v>40738</v>
      </c>
      <c r="D130" s="3">
        <v>39</v>
      </c>
      <c r="E130" s="20" t="s">
        <v>49</v>
      </c>
      <c r="H130" s="1">
        <v>0</v>
      </c>
      <c r="I130" s="1">
        <v>2</v>
      </c>
      <c r="J130" s="1">
        <v>0</v>
      </c>
      <c r="K130" s="1">
        <v>0</v>
      </c>
      <c r="L130" s="1">
        <f t="shared" si="67"/>
        <v>2</v>
      </c>
      <c r="M130" s="1">
        <v>0.5</v>
      </c>
      <c r="N130" s="1">
        <v>0</v>
      </c>
      <c r="O130" s="1">
        <v>0</v>
      </c>
      <c r="P130" s="1">
        <v>0</v>
      </c>
      <c r="Q130" s="1">
        <v>0</v>
      </c>
      <c r="R130" s="1">
        <f t="shared" si="68"/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f t="shared" si="69"/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f t="shared" si="70"/>
        <v>0</v>
      </c>
      <c r="AE130" s="1">
        <v>0</v>
      </c>
      <c r="AF130" s="22">
        <f t="shared" si="62"/>
        <v>0</v>
      </c>
      <c r="AG130" s="22">
        <f t="shared" si="63"/>
        <v>2</v>
      </c>
      <c r="AH130" s="9">
        <f t="shared" si="54"/>
        <v>0</v>
      </c>
      <c r="AI130" s="22">
        <f t="shared" si="64"/>
        <v>0</v>
      </c>
      <c r="AJ130" s="22">
        <f t="shared" si="65"/>
        <v>2</v>
      </c>
      <c r="AK130" s="22">
        <f t="shared" si="66"/>
        <v>0.5</v>
      </c>
    </row>
    <row r="131" spans="1:38" x14ac:dyDescent="0.2">
      <c r="A131">
        <v>2011</v>
      </c>
      <c r="B131" s="20" t="s">
        <v>46</v>
      </c>
      <c r="C131" s="12">
        <v>40738</v>
      </c>
      <c r="D131" s="3">
        <v>39</v>
      </c>
      <c r="E131" s="20" t="s">
        <v>82</v>
      </c>
      <c r="H131" s="26" t="s">
        <v>1</v>
      </c>
      <c r="I131" s="26" t="s">
        <v>1</v>
      </c>
      <c r="J131" s="1">
        <v>1</v>
      </c>
      <c r="K131" s="1">
        <v>0</v>
      </c>
      <c r="L131" s="1">
        <f t="shared" si="67"/>
        <v>1</v>
      </c>
      <c r="M131" s="1">
        <v>0.5</v>
      </c>
      <c r="N131" s="26" t="s">
        <v>1</v>
      </c>
      <c r="O131" s="26" t="s">
        <v>1</v>
      </c>
      <c r="P131" s="1">
        <v>0</v>
      </c>
      <c r="Q131" s="1">
        <v>0</v>
      </c>
      <c r="R131" s="1">
        <f t="shared" si="68"/>
        <v>0</v>
      </c>
      <c r="S131" s="1">
        <v>0</v>
      </c>
      <c r="T131" s="26" t="s">
        <v>1</v>
      </c>
      <c r="U131" s="26" t="s">
        <v>1</v>
      </c>
      <c r="V131" s="1">
        <v>0</v>
      </c>
      <c r="W131" s="1">
        <v>0</v>
      </c>
      <c r="X131" s="1">
        <f t="shared" si="69"/>
        <v>0</v>
      </c>
      <c r="Y131" s="1">
        <v>0</v>
      </c>
      <c r="Z131" s="26" t="s">
        <v>1</v>
      </c>
      <c r="AA131" s="26" t="s">
        <v>1</v>
      </c>
      <c r="AB131" s="1">
        <v>0</v>
      </c>
      <c r="AC131" s="1">
        <v>0</v>
      </c>
      <c r="AD131" s="1">
        <f t="shared" si="70"/>
        <v>0</v>
      </c>
      <c r="AE131" s="1">
        <v>0</v>
      </c>
      <c r="AF131" s="22">
        <f t="shared" si="62"/>
        <v>0</v>
      </c>
      <c r="AG131" s="22">
        <f t="shared" si="63"/>
        <v>0</v>
      </c>
      <c r="AH131" s="9">
        <f t="shared" si="54"/>
        <v>1</v>
      </c>
      <c r="AI131" s="22">
        <f t="shared" si="64"/>
        <v>0</v>
      </c>
      <c r="AJ131" s="22">
        <f t="shared" si="65"/>
        <v>1</v>
      </c>
      <c r="AK131" s="22">
        <f t="shared" si="66"/>
        <v>0.5</v>
      </c>
    </row>
    <row r="132" spans="1:38" x14ac:dyDescent="0.2">
      <c r="A132">
        <v>2011</v>
      </c>
      <c r="B132" s="20" t="s">
        <v>46</v>
      </c>
      <c r="C132" s="12">
        <v>40738</v>
      </c>
      <c r="D132" s="3">
        <v>39</v>
      </c>
      <c r="E132" s="20" t="s">
        <v>86</v>
      </c>
      <c r="H132" s="26" t="s">
        <v>1</v>
      </c>
      <c r="I132" s="26" t="s">
        <v>1</v>
      </c>
      <c r="J132" s="1">
        <v>0</v>
      </c>
      <c r="K132" s="1">
        <v>0</v>
      </c>
      <c r="L132" s="1">
        <f t="shared" si="67"/>
        <v>0</v>
      </c>
      <c r="M132" s="1">
        <v>0</v>
      </c>
      <c r="N132" s="26" t="s">
        <v>1</v>
      </c>
      <c r="O132" s="26" t="s">
        <v>1</v>
      </c>
      <c r="P132" s="1">
        <v>1</v>
      </c>
      <c r="Q132" s="1">
        <v>0</v>
      </c>
      <c r="R132" s="1">
        <f t="shared" si="68"/>
        <v>1</v>
      </c>
      <c r="S132" s="1">
        <v>0.5</v>
      </c>
      <c r="T132" s="26" t="s">
        <v>1</v>
      </c>
      <c r="U132" s="26" t="s">
        <v>1</v>
      </c>
      <c r="V132" s="1">
        <v>0</v>
      </c>
      <c r="W132" s="1">
        <v>0</v>
      </c>
      <c r="X132" s="1">
        <f t="shared" si="69"/>
        <v>0</v>
      </c>
      <c r="Y132" s="1">
        <v>0</v>
      </c>
      <c r="Z132" s="26" t="s">
        <v>1</v>
      </c>
      <c r="AA132" s="26" t="s">
        <v>1</v>
      </c>
      <c r="AB132" s="1">
        <v>1</v>
      </c>
      <c r="AC132" s="1">
        <v>4</v>
      </c>
      <c r="AD132" s="1">
        <f t="shared" si="70"/>
        <v>5</v>
      </c>
      <c r="AE132" s="1">
        <v>15</v>
      </c>
      <c r="AF132" s="22">
        <f t="shared" si="62"/>
        <v>0</v>
      </c>
      <c r="AG132" s="22">
        <f t="shared" si="63"/>
        <v>0</v>
      </c>
      <c r="AH132" s="9">
        <f t="shared" si="54"/>
        <v>2</v>
      </c>
      <c r="AI132" s="22">
        <f t="shared" si="64"/>
        <v>4</v>
      </c>
      <c r="AJ132" s="22">
        <f t="shared" si="65"/>
        <v>6</v>
      </c>
      <c r="AK132" s="22">
        <f t="shared" si="66"/>
        <v>15.5</v>
      </c>
    </row>
    <row r="133" spans="1:38" x14ac:dyDescent="0.2">
      <c r="A133">
        <v>2011</v>
      </c>
      <c r="B133" s="20" t="s">
        <v>46</v>
      </c>
      <c r="C133" s="12">
        <v>40738</v>
      </c>
      <c r="D133" s="3">
        <v>39</v>
      </c>
      <c r="E133" s="20" t="s">
        <v>92</v>
      </c>
      <c r="H133" s="26" t="s">
        <v>1</v>
      </c>
      <c r="I133" s="26" t="s">
        <v>1</v>
      </c>
      <c r="J133" s="1">
        <v>0</v>
      </c>
      <c r="K133" s="1">
        <v>0</v>
      </c>
      <c r="L133" s="1">
        <f t="shared" si="67"/>
        <v>0</v>
      </c>
      <c r="M133" s="1">
        <v>0</v>
      </c>
      <c r="N133" s="26" t="s">
        <v>1</v>
      </c>
      <c r="O133" s="26" t="s">
        <v>1</v>
      </c>
      <c r="P133" s="1">
        <v>1</v>
      </c>
      <c r="Q133" s="1">
        <v>0</v>
      </c>
      <c r="R133" s="1">
        <f t="shared" si="68"/>
        <v>1</v>
      </c>
      <c r="S133" s="1">
        <v>0.5</v>
      </c>
      <c r="T133" s="26" t="s">
        <v>1</v>
      </c>
      <c r="U133" s="26" t="s">
        <v>1</v>
      </c>
      <c r="V133" s="1">
        <v>0</v>
      </c>
      <c r="W133" s="1">
        <v>0</v>
      </c>
      <c r="X133" s="1">
        <f t="shared" si="69"/>
        <v>0</v>
      </c>
      <c r="Y133" s="1">
        <v>0</v>
      </c>
      <c r="Z133" s="26" t="s">
        <v>1</v>
      </c>
      <c r="AA133" s="26" t="s">
        <v>1</v>
      </c>
      <c r="AB133" s="1">
        <v>0</v>
      </c>
      <c r="AC133" s="1">
        <v>0</v>
      </c>
      <c r="AD133" s="1">
        <f t="shared" si="70"/>
        <v>0</v>
      </c>
      <c r="AE133" s="1">
        <v>0</v>
      </c>
      <c r="AF133" s="22">
        <f t="shared" si="62"/>
        <v>0</v>
      </c>
      <c r="AG133" s="22">
        <f t="shared" si="63"/>
        <v>0</v>
      </c>
      <c r="AH133" s="9">
        <f t="shared" si="54"/>
        <v>1</v>
      </c>
      <c r="AI133" s="22">
        <f t="shared" si="64"/>
        <v>0</v>
      </c>
      <c r="AJ133" s="22">
        <f t="shared" si="65"/>
        <v>1</v>
      </c>
      <c r="AK133" s="22">
        <f t="shared" si="66"/>
        <v>0.5</v>
      </c>
    </row>
    <row r="134" spans="1:38" x14ac:dyDescent="0.2">
      <c r="A134">
        <v>2011</v>
      </c>
      <c r="B134" s="20" t="s">
        <v>46</v>
      </c>
      <c r="C134" s="12">
        <v>40738</v>
      </c>
      <c r="D134" s="3">
        <v>39</v>
      </c>
      <c r="E134" s="20" t="s">
        <v>93</v>
      </c>
      <c r="H134" s="26" t="s">
        <v>1</v>
      </c>
      <c r="I134" s="26" t="s">
        <v>1</v>
      </c>
      <c r="J134" s="1">
        <v>0</v>
      </c>
      <c r="K134" s="1">
        <v>0</v>
      </c>
      <c r="L134" s="1">
        <f t="shared" si="67"/>
        <v>0</v>
      </c>
      <c r="M134" s="1">
        <v>0</v>
      </c>
      <c r="N134" s="26" t="s">
        <v>1</v>
      </c>
      <c r="O134" s="26" t="s">
        <v>1</v>
      </c>
      <c r="P134" s="1">
        <v>2</v>
      </c>
      <c r="Q134" s="1">
        <v>0</v>
      </c>
      <c r="R134" s="1">
        <f t="shared" si="68"/>
        <v>2</v>
      </c>
      <c r="S134" s="1">
        <v>1.5</v>
      </c>
      <c r="T134" s="26" t="s">
        <v>1</v>
      </c>
      <c r="U134" s="26" t="s">
        <v>1</v>
      </c>
      <c r="V134" s="1">
        <v>0</v>
      </c>
      <c r="W134" s="1">
        <v>0</v>
      </c>
      <c r="X134" s="1">
        <f t="shared" si="69"/>
        <v>0</v>
      </c>
      <c r="Y134" s="1">
        <v>0</v>
      </c>
      <c r="Z134" s="26" t="s">
        <v>1</v>
      </c>
      <c r="AA134" s="26" t="s">
        <v>1</v>
      </c>
      <c r="AB134" s="1">
        <v>0</v>
      </c>
      <c r="AC134" s="1">
        <v>0</v>
      </c>
      <c r="AD134" s="1">
        <f t="shared" si="70"/>
        <v>0</v>
      </c>
      <c r="AE134" s="1">
        <v>0</v>
      </c>
      <c r="AF134" s="22">
        <f t="shared" si="62"/>
        <v>0</v>
      </c>
      <c r="AG134" s="22">
        <f t="shared" si="63"/>
        <v>0</v>
      </c>
      <c r="AH134" s="9">
        <f t="shared" si="54"/>
        <v>2</v>
      </c>
      <c r="AI134" s="22">
        <f t="shared" si="64"/>
        <v>0</v>
      </c>
      <c r="AJ134" s="22">
        <f t="shared" si="65"/>
        <v>2</v>
      </c>
      <c r="AK134" s="22">
        <f t="shared" si="66"/>
        <v>1.5</v>
      </c>
      <c r="AL134" s="27" t="s">
        <v>94</v>
      </c>
    </row>
    <row r="135" spans="1:38" x14ac:dyDescent="0.2">
      <c r="A135">
        <v>2011</v>
      </c>
      <c r="B135" s="20" t="s">
        <v>46</v>
      </c>
      <c r="C135" s="12">
        <v>40738</v>
      </c>
      <c r="D135" s="3">
        <v>39</v>
      </c>
      <c r="E135" s="20" t="s">
        <v>55</v>
      </c>
      <c r="H135" s="26" t="s">
        <v>1</v>
      </c>
      <c r="I135" s="26" t="s">
        <v>1</v>
      </c>
      <c r="J135" s="1">
        <v>0</v>
      </c>
      <c r="K135" s="1">
        <v>0</v>
      </c>
      <c r="L135" s="1">
        <f t="shared" si="67"/>
        <v>0</v>
      </c>
      <c r="M135" s="1">
        <v>0</v>
      </c>
      <c r="N135" s="26" t="s">
        <v>1</v>
      </c>
      <c r="O135" s="26" t="s">
        <v>1</v>
      </c>
      <c r="P135" s="1">
        <v>0</v>
      </c>
      <c r="Q135" s="1">
        <v>0</v>
      </c>
      <c r="R135" s="1">
        <f t="shared" si="68"/>
        <v>0</v>
      </c>
      <c r="S135" s="1">
        <v>0</v>
      </c>
      <c r="T135" s="26" t="s">
        <v>1</v>
      </c>
      <c r="U135" s="26" t="s">
        <v>1</v>
      </c>
      <c r="V135" s="1">
        <v>1</v>
      </c>
      <c r="W135" s="1">
        <v>0</v>
      </c>
      <c r="X135" s="1">
        <f t="shared" si="69"/>
        <v>1</v>
      </c>
      <c r="Y135" s="1">
        <v>0.5</v>
      </c>
      <c r="Z135" s="26" t="s">
        <v>1</v>
      </c>
      <c r="AA135" s="26" t="s">
        <v>1</v>
      </c>
      <c r="AB135" s="1">
        <v>0</v>
      </c>
      <c r="AC135" s="1">
        <v>0</v>
      </c>
      <c r="AD135" s="1">
        <f t="shared" si="70"/>
        <v>0</v>
      </c>
      <c r="AE135" s="1">
        <v>0</v>
      </c>
      <c r="AF135" s="22">
        <f t="shared" si="62"/>
        <v>0</v>
      </c>
      <c r="AG135" s="22">
        <f t="shared" si="63"/>
        <v>0</v>
      </c>
      <c r="AH135" s="9">
        <f t="shared" si="54"/>
        <v>1</v>
      </c>
      <c r="AI135" s="22">
        <f t="shared" si="64"/>
        <v>0</v>
      </c>
      <c r="AJ135" s="22">
        <f t="shared" si="65"/>
        <v>1</v>
      </c>
      <c r="AK135" s="22">
        <f t="shared" si="66"/>
        <v>0.5</v>
      </c>
    </row>
    <row r="136" spans="1:38" x14ac:dyDescent="0.2">
      <c r="A136">
        <v>2011</v>
      </c>
      <c r="B136" s="20" t="s">
        <v>46</v>
      </c>
      <c r="C136" s="12">
        <v>40738</v>
      </c>
      <c r="D136" s="3">
        <v>39</v>
      </c>
      <c r="E136" s="20" t="s">
        <v>80</v>
      </c>
      <c r="H136" s="26" t="s">
        <v>1</v>
      </c>
      <c r="I136" s="26" t="s">
        <v>1</v>
      </c>
      <c r="J136" s="1">
        <v>0</v>
      </c>
      <c r="K136" s="1">
        <v>0</v>
      </c>
      <c r="L136" s="1">
        <f t="shared" si="67"/>
        <v>0</v>
      </c>
      <c r="M136" s="1">
        <v>0</v>
      </c>
      <c r="N136" s="26" t="s">
        <v>1</v>
      </c>
      <c r="O136" s="26" t="s">
        <v>1</v>
      </c>
      <c r="P136" s="1">
        <v>0</v>
      </c>
      <c r="Q136" s="1">
        <v>0</v>
      </c>
      <c r="R136" s="1">
        <f t="shared" si="68"/>
        <v>0</v>
      </c>
      <c r="S136" s="1">
        <v>0</v>
      </c>
      <c r="T136" s="26" t="s">
        <v>1</v>
      </c>
      <c r="U136" s="26" t="s">
        <v>1</v>
      </c>
      <c r="V136" s="1">
        <v>2</v>
      </c>
      <c r="W136" s="1">
        <v>0</v>
      </c>
      <c r="X136" s="1">
        <f t="shared" si="69"/>
        <v>2</v>
      </c>
      <c r="Y136" s="1">
        <v>0.5</v>
      </c>
      <c r="Z136" s="26" t="s">
        <v>1</v>
      </c>
      <c r="AA136" s="26" t="s">
        <v>1</v>
      </c>
      <c r="AB136" s="1">
        <v>0</v>
      </c>
      <c r="AC136" s="1">
        <v>0</v>
      </c>
      <c r="AD136" s="1">
        <f t="shared" si="70"/>
        <v>0</v>
      </c>
      <c r="AE136" s="1">
        <v>0</v>
      </c>
      <c r="AF136" s="22">
        <f t="shared" si="62"/>
        <v>0</v>
      </c>
      <c r="AG136" s="22">
        <f t="shared" si="63"/>
        <v>0</v>
      </c>
      <c r="AH136" s="9">
        <f t="shared" si="54"/>
        <v>2</v>
      </c>
      <c r="AI136" s="22">
        <f t="shared" si="64"/>
        <v>0</v>
      </c>
      <c r="AJ136" s="22">
        <f t="shared" si="65"/>
        <v>2</v>
      </c>
      <c r="AK136" s="22">
        <f t="shared" si="66"/>
        <v>0.5</v>
      </c>
    </row>
    <row r="137" spans="1:38" x14ac:dyDescent="0.2">
      <c r="A137">
        <v>2011</v>
      </c>
      <c r="B137" s="20" t="s">
        <v>46</v>
      </c>
      <c r="C137" s="12">
        <v>40738</v>
      </c>
      <c r="D137" s="3">
        <v>39</v>
      </c>
      <c r="E137" s="20" t="s">
        <v>69</v>
      </c>
      <c r="H137" s="26" t="s">
        <v>1</v>
      </c>
      <c r="I137" s="26" t="s">
        <v>1</v>
      </c>
      <c r="J137" s="1">
        <v>0</v>
      </c>
      <c r="K137" s="1">
        <v>0</v>
      </c>
      <c r="L137" s="1">
        <f t="shared" si="67"/>
        <v>0</v>
      </c>
      <c r="M137" s="1">
        <v>0</v>
      </c>
      <c r="N137" s="26" t="s">
        <v>1</v>
      </c>
      <c r="O137" s="26" t="s">
        <v>1</v>
      </c>
      <c r="P137" s="1">
        <v>0</v>
      </c>
      <c r="Q137" s="1">
        <v>0</v>
      </c>
      <c r="R137" s="1">
        <f t="shared" si="68"/>
        <v>0</v>
      </c>
      <c r="S137" s="1">
        <v>0</v>
      </c>
      <c r="T137" s="26" t="s">
        <v>1</v>
      </c>
      <c r="U137" s="26" t="s">
        <v>1</v>
      </c>
      <c r="V137" s="1">
        <v>0</v>
      </c>
      <c r="W137" s="1">
        <v>1</v>
      </c>
      <c r="X137" s="1">
        <f t="shared" si="69"/>
        <v>1</v>
      </c>
      <c r="Y137" s="1">
        <v>3.5</v>
      </c>
      <c r="Z137" s="26" t="s">
        <v>1</v>
      </c>
      <c r="AA137" s="26" t="s">
        <v>1</v>
      </c>
      <c r="AB137" s="1">
        <v>0</v>
      </c>
      <c r="AC137" s="1">
        <v>0</v>
      </c>
      <c r="AD137" s="1">
        <f t="shared" si="70"/>
        <v>0</v>
      </c>
      <c r="AE137" s="1">
        <v>0</v>
      </c>
      <c r="AF137" s="22">
        <f t="shared" si="62"/>
        <v>0</v>
      </c>
      <c r="AG137" s="22">
        <f t="shared" si="63"/>
        <v>0</v>
      </c>
      <c r="AH137" s="9">
        <f t="shared" si="54"/>
        <v>0</v>
      </c>
      <c r="AI137" s="22">
        <f t="shared" si="64"/>
        <v>1</v>
      </c>
      <c r="AJ137" s="22">
        <f t="shared" si="65"/>
        <v>1</v>
      </c>
      <c r="AK137" s="22">
        <f t="shared" si="66"/>
        <v>3.5</v>
      </c>
    </row>
    <row r="138" spans="1:38" x14ac:dyDescent="0.2">
      <c r="A138">
        <v>2011</v>
      </c>
      <c r="B138" s="20" t="s">
        <v>46</v>
      </c>
      <c r="C138" s="12">
        <v>40758</v>
      </c>
      <c r="D138" s="3">
        <v>124</v>
      </c>
      <c r="E138" s="20" t="s">
        <v>47</v>
      </c>
      <c r="H138" s="1">
        <v>0</v>
      </c>
      <c r="I138" s="1">
        <v>2</v>
      </c>
      <c r="J138" s="1">
        <v>1</v>
      </c>
      <c r="K138" s="1">
        <v>0</v>
      </c>
      <c r="L138" s="1">
        <f t="shared" si="67"/>
        <v>3</v>
      </c>
      <c r="M138" s="1">
        <v>1.5</v>
      </c>
      <c r="N138" s="1">
        <v>0</v>
      </c>
      <c r="O138" s="1">
        <v>2</v>
      </c>
      <c r="P138" s="1">
        <v>0</v>
      </c>
      <c r="Q138" s="1">
        <v>0</v>
      </c>
      <c r="R138" s="1">
        <f t="shared" si="68"/>
        <v>2</v>
      </c>
      <c r="S138" s="1">
        <v>0.5</v>
      </c>
      <c r="T138" s="1">
        <v>0</v>
      </c>
      <c r="U138" s="1">
        <v>3</v>
      </c>
      <c r="V138" s="1">
        <v>0</v>
      </c>
      <c r="W138" s="1">
        <v>0</v>
      </c>
      <c r="X138" s="1">
        <f t="shared" si="69"/>
        <v>3</v>
      </c>
      <c r="Y138" s="1">
        <v>0.5</v>
      </c>
      <c r="Z138" s="1">
        <v>0</v>
      </c>
      <c r="AA138" s="1">
        <v>5</v>
      </c>
      <c r="AB138" s="1">
        <v>1</v>
      </c>
      <c r="AC138" s="1">
        <v>0</v>
      </c>
      <c r="AD138" s="1">
        <f t="shared" si="70"/>
        <v>6</v>
      </c>
      <c r="AE138" s="1">
        <v>1.5</v>
      </c>
      <c r="AF138" s="22">
        <f t="shared" ref="AF138:AF140" si="71">SUM(H138,N138,T138,Z138)</f>
        <v>0</v>
      </c>
      <c r="AG138" s="22">
        <f t="shared" ref="AG138:AG140" si="72">SUM(I138,O138,U138,AA138)</f>
        <v>12</v>
      </c>
      <c r="AH138" s="9">
        <f t="shared" si="54"/>
        <v>2</v>
      </c>
      <c r="AI138" s="9">
        <f t="shared" si="64"/>
        <v>0</v>
      </c>
      <c r="AJ138" s="22">
        <f t="shared" si="65"/>
        <v>14</v>
      </c>
      <c r="AK138" s="22">
        <f t="shared" si="66"/>
        <v>4</v>
      </c>
    </row>
    <row r="139" spans="1:38" x14ac:dyDescent="0.2">
      <c r="A139">
        <v>2011</v>
      </c>
      <c r="B139" s="20" t="s">
        <v>46</v>
      </c>
      <c r="C139" s="12">
        <v>40758</v>
      </c>
      <c r="D139" s="3">
        <v>124</v>
      </c>
      <c r="E139" s="20" t="s">
        <v>95</v>
      </c>
      <c r="H139" s="26" t="s">
        <v>1</v>
      </c>
      <c r="I139" s="26" t="s">
        <v>1</v>
      </c>
      <c r="J139" s="1">
        <v>0</v>
      </c>
      <c r="K139" s="1">
        <v>4</v>
      </c>
      <c r="L139" s="1">
        <f t="shared" si="67"/>
        <v>4</v>
      </c>
      <c r="M139" s="1">
        <v>85</v>
      </c>
      <c r="N139" s="26" t="s">
        <v>1</v>
      </c>
      <c r="O139" s="26" t="s">
        <v>1</v>
      </c>
      <c r="P139" s="1">
        <v>0</v>
      </c>
      <c r="Q139" s="1">
        <v>0</v>
      </c>
      <c r="R139" s="1">
        <f t="shared" si="68"/>
        <v>0</v>
      </c>
      <c r="S139" s="1">
        <v>0</v>
      </c>
      <c r="T139" s="26" t="s">
        <v>1</v>
      </c>
      <c r="U139" s="26" t="s">
        <v>1</v>
      </c>
      <c r="V139" s="1">
        <v>0</v>
      </c>
      <c r="W139" s="1">
        <v>0</v>
      </c>
      <c r="X139" s="1">
        <f t="shared" si="69"/>
        <v>0</v>
      </c>
      <c r="Y139" s="1">
        <v>0</v>
      </c>
      <c r="Z139" s="26" t="s">
        <v>1</v>
      </c>
      <c r="AA139" s="26" t="s">
        <v>1</v>
      </c>
      <c r="AB139" s="1">
        <v>0</v>
      </c>
      <c r="AC139" s="1">
        <v>0</v>
      </c>
      <c r="AD139" s="1">
        <f t="shared" si="70"/>
        <v>0</v>
      </c>
      <c r="AE139" s="1">
        <v>0</v>
      </c>
      <c r="AF139" s="22">
        <f t="shared" si="71"/>
        <v>0</v>
      </c>
      <c r="AG139" s="22">
        <f t="shared" si="72"/>
        <v>0</v>
      </c>
      <c r="AH139" s="9">
        <f t="shared" si="54"/>
        <v>0</v>
      </c>
      <c r="AI139" s="9">
        <f t="shared" si="64"/>
        <v>4</v>
      </c>
      <c r="AJ139" s="22">
        <f t="shared" si="65"/>
        <v>4</v>
      </c>
      <c r="AK139" s="22">
        <f t="shared" si="66"/>
        <v>85</v>
      </c>
    </row>
    <row r="140" spans="1:38" x14ac:dyDescent="0.2">
      <c r="A140">
        <v>2011</v>
      </c>
      <c r="B140" s="20" t="s">
        <v>46</v>
      </c>
      <c r="C140" s="12">
        <v>40758</v>
      </c>
      <c r="D140" s="3">
        <v>124</v>
      </c>
      <c r="E140" s="20" t="s">
        <v>76</v>
      </c>
      <c r="H140" s="26" t="s">
        <v>1</v>
      </c>
      <c r="I140" s="26" t="s">
        <v>1</v>
      </c>
      <c r="J140" s="1">
        <v>0</v>
      </c>
      <c r="K140" s="1">
        <v>0</v>
      </c>
      <c r="L140" s="1">
        <f t="shared" si="67"/>
        <v>0</v>
      </c>
      <c r="M140" s="1">
        <v>0</v>
      </c>
      <c r="N140" s="26" t="s">
        <v>1</v>
      </c>
      <c r="O140" s="26" t="s">
        <v>1</v>
      </c>
      <c r="P140" s="1">
        <v>0</v>
      </c>
      <c r="Q140" s="1">
        <v>0</v>
      </c>
      <c r="R140" s="1">
        <f t="shared" si="68"/>
        <v>0</v>
      </c>
      <c r="S140" s="1">
        <v>0</v>
      </c>
      <c r="T140" s="26" t="s">
        <v>1</v>
      </c>
      <c r="U140" s="26" t="s">
        <v>1</v>
      </c>
      <c r="V140" s="1">
        <v>0</v>
      </c>
      <c r="W140" s="1">
        <v>0</v>
      </c>
      <c r="X140" s="1">
        <f t="shared" si="69"/>
        <v>0</v>
      </c>
      <c r="Y140" s="1">
        <v>0</v>
      </c>
      <c r="Z140" s="26" t="s">
        <v>1</v>
      </c>
      <c r="AA140" s="26" t="s">
        <v>1</v>
      </c>
      <c r="AB140" s="1">
        <v>2</v>
      </c>
      <c r="AC140" s="1">
        <v>0</v>
      </c>
      <c r="AD140" s="1">
        <f t="shared" si="70"/>
        <v>2</v>
      </c>
      <c r="AE140" s="1">
        <v>8</v>
      </c>
      <c r="AF140" s="22">
        <f t="shared" si="71"/>
        <v>0</v>
      </c>
      <c r="AG140" s="22">
        <f t="shared" si="72"/>
        <v>0</v>
      </c>
      <c r="AH140" s="9">
        <f t="shared" si="54"/>
        <v>2</v>
      </c>
      <c r="AI140" s="9">
        <f t="shared" si="64"/>
        <v>0</v>
      </c>
      <c r="AJ140" s="22">
        <f t="shared" si="65"/>
        <v>2</v>
      </c>
      <c r="AK140" s="22">
        <f t="shared" si="66"/>
        <v>8</v>
      </c>
    </row>
    <row r="141" spans="1:38" x14ac:dyDescent="0.2">
      <c r="A141">
        <v>2011</v>
      </c>
      <c r="B141" s="20" t="s">
        <v>46</v>
      </c>
      <c r="C141" s="12">
        <v>40758</v>
      </c>
      <c r="D141" s="3">
        <v>125</v>
      </c>
      <c r="E141" s="20" t="s">
        <v>47</v>
      </c>
      <c r="H141" s="1">
        <v>0</v>
      </c>
      <c r="I141" s="1">
        <v>0</v>
      </c>
      <c r="J141" s="1">
        <v>0</v>
      </c>
      <c r="K141" s="1">
        <v>0</v>
      </c>
      <c r="L141" s="1">
        <f t="shared" si="67"/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f t="shared" si="68"/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f t="shared" si="69"/>
        <v>0</v>
      </c>
      <c r="Y141" s="1">
        <v>0</v>
      </c>
      <c r="Z141" s="1">
        <v>0</v>
      </c>
      <c r="AA141" s="1">
        <v>1</v>
      </c>
      <c r="AB141" s="1">
        <v>0</v>
      </c>
      <c r="AC141" s="1">
        <v>0</v>
      </c>
      <c r="AD141" s="1">
        <f t="shared" si="70"/>
        <v>1</v>
      </c>
      <c r="AE141" s="1">
        <v>0.5</v>
      </c>
      <c r="AF141" s="22">
        <f t="shared" ref="AF141:AF142" si="73">SUM(H141,N141,T141,Z141)</f>
        <v>0</v>
      </c>
      <c r="AG141" s="22">
        <f t="shared" ref="AG141:AG142" si="74">SUM(I141,O141,U141,AA141)</f>
        <v>1</v>
      </c>
      <c r="AH141" s="9">
        <f t="shared" si="54"/>
        <v>0</v>
      </c>
      <c r="AI141" s="9">
        <f t="shared" si="64"/>
        <v>0</v>
      </c>
      <c r="AJ141" s="22">
        <f t="shared" si="65"/>
        <v>1</v>
      </c>
      <c r="AK141" s="22">
        <f t="shared" si="66"/>
        <v>0.5</v>
      </c>
    </row>
    <row r="142" spans="1:38" x14ac:dyDescent="0.2">
      <c r="A142">
        <v>2011</v>
      </c>
      <c r="B142" s="20" t="s">
        <v>46</v>
      </c>
      <c r="C142" s="12">
        <v>40758</v>
      </c>
      <c r="D142" s="3">
        <v>125</v>
      </c>
      <c r="E142" s="20" t="s">
        <v>95</v>
      </c>
      <c r="H142" s="26" t="s">
        <v>1</v>
      </c>
      <c r="I142" s="26" t="s">
        <v>1</v>
      </c>
      <c r="J142" s="1">
        <v>0</v>
      </c>
      <c r="K142" s="1">
        <v>2</v>
      </c>
      <c r="L142" s="1">
        <f t="shared" si="67"/>
        <v>2</v>
      </c>
      <c r="M142" s="1">
        <v>35</v>
      </c>
      <c r="N142" s="26" t="s">
        <v>1</v>
      </c>
      <c r="O142" s="26" t="s">
        <v>1</v>
      </c>
      <c r="P142" s="1">
        <v>0</v>
      </c>
      <c r="Q142" s="1">
        <v>0</v>
      </c>
      <c r="R142" s="1">
        <f t="shared" si="68"/>
        <v>0</v>
      </c>
      <c r="S142" s="1">
        <v>0</v>
      </c>
      <c r="T142" s="26" t="s">
        <v>1</v>
      </c>
      <c r="U142" s="26" t="s">
        <v>1</v>
      </c>
      <c r="V142" s="1">
        <v>0</v>
      </c>
      <c r="W142" s="1">
        <v>1</v>
      </c>
      <c r="X142" s="1">
        <f t="shared" si="69"/>
        <v>1</v>
      </c>
      <c r="Y142" s="1">
        <v>15</v>
      </c>
      <c r="Z142" s="26" t="s">
        <v>1</v>
      </c>
      <c r="AA142" s="26" t="s">
        <v>1</v>
      </c>
      <c r="AB142" s="1">
        <v>0</v>
      </c>
      <c r="AC142" s="1">
        <v>0</v>
      </c>
      <c r="AD142" s="1">
        <f t="shared" si="70"/>
        <v>0</v>
      </c>
      <c r="AE142" s="1">
        <v>0</v>
      </c>
      <c r="AF142" s="22">
        <f t="shared" si="73"/>
        <v>0</v>
      </c>
      <c r="AG142" s="22">
        <f t="shared" si="74"/>
        <v>0</v>
      </c>
      <c r="AH142" s="9">
        <f t="shared" si="54"/>
        <v>0</v>
      </c>
      <c r="AI142" s="9">
        <f t="shared" si="64"/>
        <v>3</v>
      </c>
      <c r="AJ142" s="22">
        <f t="shared" si="65"/>
        <v>3</v>
      </c>
      <c r="AK142" s="22">
        <f t="shared" si="66"/>
        <v>50</v>
      </c>
    </row>
    <row r="143" spans="1:38" x14ac:dyDescent="0.2">
      <c r="A143">
        <v>2011</v>
      </c>
      <c r="B143" s="20" t="s">
        <v>46</v>
      </c>
      <c r="C143" s="12">
        <v>40758</v>
      </c>
      <c r="D143" s="3">
        <v>126</v>
      </c>
      <c r="E143" s="20" t="s">
        <v>47</v>
      </c>
      <c r="H143" s="1">
        <v>0</v>
      </c>
      <c r="I143" s="1">
        <v>4</v>
      </c>
      <c r="J143" s="26">
        <v>0</v>
      </c>
      <c r="K143" s="1">
        <v>1</v>
      </c>
      <c r="L143" s="1">
        <f t="shared" si="67"/>
        <v>5</v>
      </c>
      <c r="M143" s="1">
        <v>15</v>
      </c>
      <c r="N143" s="1">
        <v>0</v>
      </c>
      <c r="O143" s="1">
        <v>0</v>
      </c>
      <c r="P143" s="1">
        <v>0</v>
      </c>
      <c r="Q143" s="1">
        <v>0</v>
      </c>
      <c r="R143" s="1">
        <f t="shared" si="68"/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f t="shared" si="69"/>
        <v>0</v>
      </c>
      <c r="Y143" s="1">
        <v>0</v>
      </c>
      <c r="Z143" s="1">
        <v>0</v>
      </c>
      <c r="AA143" s="1">
        <v>0</v>
      </c>
      <c r="AB143" s="1">
        <v>4</v>
      </c>
      <c r="AC143" s="1">
        <v>0</v>
      </c>
      <c r="AD143" s="1">
        <f t="shared" si="70"/>
        <v>4</v>
      </c>
      <c r="AE143" s="1">
        <v>3.5</v>
      </c>
      <c r="AF143" s="22">
        <f t="shared" ref="AF143:AF144" si="75">SUM(H143,N143,T143,Z143)</f>
        <v>0</v>
      </c>
      <c r="AG143" s="22">
        <f t="shared" ref="AG143:AG144" si="76">SUM(I143,O143,U143,AA143)</f>
        <v>4</v>
      </c>
      <c r="AH143" s="9">
        <f t="shared" si="54"/>
        <v>4</v>
      </c>
      <c r="AI143" s="9">
        <f t="shared" si="64"/>
        <v>1</v>
      </c>
      <c r="AJ143" s="22">
        <f t="shared" si="65"/>
        <v>9</v>
      </c>
      <c r="AK143" s="22">
        <f t="shared" si="66"/>
        <v>18.5</v>
      </c>
      <c r="AL143" s="27" t="s">
        <v>96</v>
      </c>
    </row>
    <row r="144" spans="1:38" x14ac:dyDescent="0.2">
      <c r="A144">
        <v>2011</v>
      </c>
      <c r="B144" s="20" t="s">
        <v>46</v>
      </c>
      <c r="C144" s="12">
        <v>40758</v>
      </c>
      <c r="D144" s="3">
        <v>126</v>
      </c>
      <c r="E144" s="20" t="s">
        <v>95</v>
      </c>
      <c r="H144" s="26" t="s">
        <v>1</v>
      </c>
      <c r="I144" s="26" t="s">
        <v>1</v>
      </c>
      <c r="J144" s="1">
        <v>0</v>
      </c>
      <c r="K144" s="1">
        <v>2</v>
      </c>
      <c r="L144" s="1">
        <f t="shared" si="67"/>
        <v>2</v>
      </c>
      <c r="M144" s="1">
        <v>3.5</v>
      </c>
      <c r="N144" s="26" t="s">
        <v>1</v>
      </c>
      <c r="O144" s="26" t="s">
        <v>1</v>
      </c>
      <c r="P144" s="1">
        <v>0</v>
      </c>
      <c r="Q144" s="1">
        <v>1</v>
      </c>
      <c r="R144" s="1">
        <f t="shared" si="68"/>
        <v>1</v>
      </c>
      <c r="S144" s="1">
        <v>8</v>
      </c>
      <c r="T144" s="26" t="s">
        <v>1</v>
      </c>
      <c r="U144" s="26" t="s">
        <v>1</v>
      </c>
      <c r="V144" s="1">
        <v>0</v>
      </c>
      <c r="W144" s="1">
        <v>0</v>
      </c>
      <c r="X144" s="1">
        <f t="shared" si="69"/>
        <v>0</v>
      </c>
      <c r="Y144" s="1">
        <v>0</v>
      </c>
      <c r="Z144" s="26" t="s">
        <v>1</v>
      </c>
      <c r="AA144" s="26" t="s">
        <v>1</v>
      </c>
      <c r="AB144" s="1">
        <v>0</v>
      </c>
      <c r="AC144" s="1">
        <v>1</v>
      </c>
      <c r="AD144" s="1">
        <f t="shared" si="70"/>
        <v>1</v>
      </c>
      <c r="AE144" s="1">
        <v>25</v>
      </c>
      <c r="AF144" s="22">
        <f t="shared" si="75"/>
        <v>0</v>
      </c>
      <c r="AG144" s="22">
        <f t="shared" si="76"/>
        <v>0</v>
      </c>
      <c r="AH144" s="9">
        <f t="shared" si="54"/>
        <v>0</v>
      </c>
      <c r="AI144" s="9">
        <f t="shared" si="64"/>
        <v>4</v>
      </c>
      <c r="AJ144" s="22">
        <f t="shared" si="65"/>
        <v>4</v>
      </c>
      <c r="AK144" s="22">
        <f t="shared" si="66"/>
        <v>36.5</v>
      </c>
    </row>
    <row r="145" spans="2:2" x14ac:dyDescent="0.2">
      <c r="B145" s="20"/>
    </row>
    <row r="146" spans="2:2" x14ac:dyDescent="0.2">
      <c r="B146" s="20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>
      <pane ySplit="3" topLeftCell="A4" activePane="bottomLeft" state="frozen"/>
      <selection pane="bottomLeft" activeCell="G93" sqref="G93"/>
    </sheetView>
  </sheetViews>
  <sheetFormatPr defaultRowHeight="12.75" x14ac:dyDescent="0.2"/>
  <cols>
    <col min="2" max="2" width="10.28515625" customWidth="1"/>
    <col min="3" max="3" width="9.140625" style="2" customWidth="1"/>
    <col min="9" max="9" width="8.85546875" style="28"/>
  </cols>
  <sheetData>
    <row r="1" spans="1:10" x14ac:dyDescent="0.2">
      <c r="A1" s="25" t="s">
        <v>97</v>
      </c>
    </row>
    <row r="3" spans="1:10" x14ac:dyDescent="0.2">
      <c r="A3" s="20" t="s">
        <v>8</v>
      </c>
      <c r="B3" s="20" t="s">
        <v>9</v>
      </c>
      <c r="C3" s="2" t="s">
        <v>10</v>
      </c>
      <c r="D3" t="s">
        <v>11</v>
      </c>
      <c r="E3" t="s">
        <v>98</v>
      </c>
      <c r="F3" t="s">
        <v>99</v>
      </c>
      <c r="G3" s="20" t="s">
        <v>100</v>
      </c>
      <c r="H3" t="s">
        <v>101</v>
      </c>
      <c r="I3" s="20" t="s">
        <v>45</v>
      </c>
    </row>
    <row r="4" spans="1:10" x14ac:dyDescent="0.2">
      <c r="A4">
        <v>2011</v>
      </c>
      <c r="B4" s="20" t="s">
        <v>46</v>
      </c>
      <c r="C4" s="2">
        <v>40723</v>
      </c>
      <c r="D4">
        <v>25</v>
      </c>
      <c r="E4" t="s">
        <v>102</v>
      </c>
      <c r="F4" t="s">
        <v>103</v>
      </c>
      <c r="G4">
        <v>7081</v>
      </c>
      <c r="H4" s="20" t="s">
        <v>1</v>
      </c>
      <c r="J4" s="19"/>
    </row>
    <row r="5" spans="1:10" x14ac:dyDescent="0.2">
      <c r="A5">
        <v>2011</v>
      </c>
      <c r="B5" s="20" t="s">
        <v>46</v>
      </c>
      <c r="C5" s="2">
        <v>40723</v>
      </c>
      <c r="D5">
        <v>25</v>
      </c>
      <c r="E5" t="s">
        <v>104</v>
      </c>
      <c r="F5">
        <v>742</v>
      </c>
      <c r="G5" s="20" t="s">
        <v>1</v>
      </c>
      <c r="H5" s="20" t="s">
        <v>1</v>
      </c>
    </row>
    <row r="6" spans="1:10" x14ac:dyDescent="0.2">
      <c r="A6">
        <v>2011</v>
      </c>
      <c r="B6" s="20" t="s">
        <v>46</v>
      </c>
      <c r="C6" s="2">
        <v>40723</v>
      </c>
      <c r="D6">
        <v>25</v>
      </c>
      <c r="E6" t="s">
        <v>105</v>
      </c>
      <c r="F6">
        <v>743</v>
      </c>
      <c r="G6">
        <v>7087</v>
      </c>
      <c r="H6">
        <v>7082</v>
      </c>
    </row>
    <row r="7" spans="1:10" x14ac:dyDescent="0.2">
      <c r="A7">
        <v>2011</v>
      </c>
      <c r="B7" s="20" t="s">
        <v>46</v>
      </c>
      <c r="C7" s="2">
        <v>40723</v>
      </c>
      <c r="D7">
        <v>25</v>
      </c>
      <c r="E7" t="s">
        <v>106</v>
      </c>
      <c r="F7">
        <v>744</v>
      </c>
      <c r="G7">
        <v>7088</v>
      </c>
      <c r="H7">
        <v>7083</v>
      </c>
    </row>
    <row r="8" spans="1:10" x14ac:dyDescent="0.2">
      <c r="A8">
        <v>2011</v>
      </c>
      <c r="B8" s="20" t="s">
        <v>46</v>
      </c>
      <c r="C8" s="2">
        <v>40723</v>
      </c>
      <c r="D8">
        <v>25</v>
      </c>
      <c r="E8" t="s">
        <v>107</v>
      </c>
      <c r="F8">
        <v>745</v>
      </c>
      <c r="G8" t="s">
        <v>108</v>
      </c>
      <c r="H8">
        <v>7084</v>
      </c>
    </row>
    <row r="9" spans="1:10" x14ac:dyDescent="0.2">
      <c r="A9">
        <v>2011</v>
      </c>
      <c r="B9" s="20" t="s">
        <v>46</v>
      </c>
      <c r="C9" s="2">
        <v>40723</v>
      </c>
      <c r="D9">
        <v>25</v>
      </c>
      <c r="E9" t="s">
        <v>109</v>
      </c>
      <c r="F9">
        <v>746</v>
      </c>
      <c r="G9">
        <v>7091</v>
      </c>
      <c r="H9" t="s">
        <v>110</v>
      </c>
    </row>
    <row r="10" spans="1:10" x14ac:dyDescent="0.2">
      <c r="A10">
        <v>2011</v>
      </c>
      <c r="B10" s="20" t="s">
        <v>46</v>
      </c>
      <c r="C10" s="2">
        <v>40750</v>
      </c>
      <c r="D10">
        <v>26</v>
      </c>
      <c r="E10" t="s">
        <v>102</v>
      </c>
      <c r="F10">
        <v>1217</v>
      </c>
      <c r="G10" s="20">
        <v>7809</v>
      </c>
      <c r="H10" t="s">
        <v>1</v>
      </c>
      <c r="J10" s="19"/>
    </row>
    <row r="11" spans="1:10" x14ac:dyDescent="0.2">
      <c r="A11">
        <v>2011</v>
      </c>
      <c r="B11" s="20" t="s">
        <v>46</v>
      </c>
      <c r="C11" s="2">
        <v>40750</v>
      </c>
      <c r="D11">
        <v>26</v>
      </c>
      <c r="E11" t="s">
        <v>104</v>
      </c>
      <c r="F11">
        <v>1218</v>
      </c>
      <c r="G11" t="s">
        <v>1</v>
      </c>
      <c r="H11" t="s">
        <v>1</v>
      </c>
      <c r="I11" s="28" t="s">
        <v>111</v>
      </c>
    </row>
    <row r="12" spans="1:10" x14ac:dyDescent="0.2">
      <c r="A12">
        <v>2011</v>
      </c>
      <c r="B12" s="20" t="s">
        <v>46</v>
      </c>
      <c r="C12" s="2">
        <v>40750</v>
      </c>
      <c r="D12">
        <v>26</v>
      </c>
      <c r="E12" t="s">
        <v>105</v>
      </c>
      <c r="F12">
        <v>1219</v>
      </c>
      <c r="G12" t="s">
        <v>112</v>
      </c>
      <c r="H12">
        <v>7810</v>
      </c>
    </row>
    <row r="13" spans="1:10" x14ac:dyDescent="0.2">
      <c r="A13">
        <v>2011</v>
      </c>
      <c r="B13" s="20" t="s">
        <v>46</v>
      </c>
      <c r="C13" s="2">
        <v>40750</v>
      </c>
      <c r="D13">
        <v>26</v>
      </c>
      <c r="E13" t="s">
        <v>106</v>
      </c>
      <c r="F13">
        <v>1220</v>
      </c>
      <c r="G13">
        <v>7824</v>
      </c>
      <c r="H13">
        <v>7811</v>
      </c>
    </row>
    <row r="14" spans="1:10" x14ac:dyDescent="0.2">
      <c r="A14">
        <v>2011</v>
      </c>
      <c r="B14" s="20" t="s">
        <v>46</v>
      </c>
      <c r="C14" s="2">
        <v>40750</v>
      </c>
      <c r="D14">
        <v>26</v>
      </c>
      <c r="E14" t="s">
        <v>107</v>
      </c>
      <c r="F14">
        <v>1221</v>
      </c>
      <c r="G14">
        <v>7285</v>
      </c>
      <c r="H14">
        <v>7812</v>
      </c>
    </row>
    <row r="15" spans="1:10" x14ac:dyDescent="0.2">
      <c r="A15">
        <v>2011</v>
      </c>
      <c r="B15" s="20" t="s">
        <v>46</v>
      </c>
      <c r="C15" s="2">
        <v>40750</v>
      </c>
      <c r="D15">
        <v>26</v>
      </c>
      <c r="E15" t="s">
        <v>109</v>
      </c>
      <c r="F15">
        <v>1222</v>
      </c>
      <c r="G15">
        <v>7826</v>
      </c>
      <c r="H15">
        <v>7813</v>
      </c>
    </row>
    <row r="16" spans="1:10" x14ac:dyDescent="0.2">
      <c r="A16">
        <v>2011</v>
      </c>
      <c r="B16" s="20" t="s">
        <v>46</v>
      </c>
      <c r="C16" s="2">
        <v>40750</v>
      </c>
      <c r="D16">
        <v>27</v>
      </c>
      <c r="E16" t="s">
        <v>102</v>
      </c>
      <c r="F16">
        <v>1195</v>
      </c>
      <c r="G16">
        <v>7796</v>
      </c>
      <c r="H16" t="s">
        <v>1</v>
      </c>
      <c r="J16" s="19"/>
    </row>
    <row r="17" spans="1:10" x14ac:dyDescent="0.2">
      <c r="A17">
        <v>2011</v>
      </c>
      <c r="B17" s="20" t="s">
        <v>46</v>
      </c>
      <c r="C17" s="2">
        <v>40750</v>
      </c>
      <c r="D17">
        <v>27</v>
      </c>
      <c r="E17" t="s">
        <v>104</v>
      </c>
      <c r="F17">
        <v>1196</v>
      </c>
      <c r="G17" t="s">
        <v>1</v>
      </c>
      <c r="H17" t="s">
        <v>1</v>
      </c>
    </row>
    <row r="18" spans="1:10" x14ac:dyDescent="0.2">
      <c r="A18">
        <v>2011</v>
      </c>
      <c r="B18" s="20" t="s">
        <v>46</v>
      </c>
      <c r="C18" s="2">
        <v>40750</v>
      </c>
      <c r="D18">
        <v>27</v>
      </c>
      <c r="E18" t="s">
        <v>105</v>
      </c>
      <c r="F18">
        <v>1197</v>
      </c>
      <c r="G18">
        <v>7801</v>
      </c>
      <c r="H18">
        <v>7797</v>
      </c>
    </row>
    <row r="19" spans="1:10" x14ac:dyDescent="0.2">
      <c r="A19">
        <v>2011</v>
      </c>
      <c r="B19" s="20" t="s">
        <v>46</v>
      </c>
      <c r="C19" s="2">
        <v>40750</v>
      </c>
      <c r="D19">
        <v>27</v>
      </c>
      <c r="E19" t="s">
        <v>106</v>
      </c>
      <c r="F19">
        <v>1198</v>
      </c>
      <c r="G19">
        <v>7802</v>
      </c>
      <c r="H19">
        <v>7798</v>
      </c>
    </row>
    <row r="20" spans="1:10" x14ac:dyDescent="0.2">
      <c r="A20">
        <v>2011</v>
      </c>
      <c r="B20" s="20" t="s">
        <v>46</v>
      </c>
      <c r="C20" s="2">
        <v>40750</v>
      </c>
      <c r="D20">
        <v>27</v>
      </c>
      <c r="E20" t="s">
        <v>107</v>
      </c>
      <c r="F20">
        <v>1199</v>
      </c>
      <c r="G20" t="s">
        <v>113</v>
      </c>
      <c r="H20">
        <v>7799</v>
      </c>
    </row>
    <row r="21" spans="1:10" x14ac:dyDescent="0.2">
      <c r="A21">
        <v>2011</v>
      </c>
      <c r="B21" s="20" t="s">
        <v>46</v>
      </c>
      <c r="C21" s="2">
        <v>40750</v>
      </c>
      <c r="D21">
        <v>27</v>
      </c>
      <c r="E21" t="s">
        <v>109</v>
      </c>
      <c r="F21">
        <v>1200</v>
      </c>
      <c r="G21">
        <v>7805</v>
      </c>
      <c r="H21">
        <v>7800</v>
      </c>
    </row>
    <row r="22" spans="1:10" x14ac:dyDescent="0.2">
      <c r="A22">
        <v>2011</v>
      </c>
      <c r="B22" s="20" t="s">
        <v>46</v>
      </c>
      <c r="C22" s="2">
        <v>40738</v>
      </c>
      <c r="D22">
        <v>31</v>
      </c>
      <c r="E22" t="s">
        <v>102</v>
      </c>
      <c r="F22">
        <v>974</v>
      </c>
      <c r="G22" s="20">
        <v>7486</v>
      </c>
      <c r="H22" s="20" t="s">
        <v>1</v>
      </c>
      <c r="J22" s="19"/>
    </row>
    <row r="23" spans="1:10" x14ac:dyDescent="0.2">
      <c r="A23">
        <v>2011</v>
      </c>
      <c r="B23" s="20" t="s">
        <v>46</v>
      </c>
      <c r="C23" s="2">
        <v>40738</v>
      </c>
      <c r="D23">
        <v>31</v>
      </c>
      <c r="E23" t="s">
        <v>104</v>
      </c>
      <c r="F23">
        <v>975</v>
      </c>
      <c r="G23" s="20" t="s">
        <v>1</v>
      </c>
      <c r="H23" s="20" t="s">
        <v>1</v>
      </c>
    </row>
    <row r="24" spans="1:10" x14ac:dyDescent="0.2">
      <c r="A24">
        <v>2011</v>
      </c>
      <c r="B24" s="20" t="s">
        <v>46</v>
      </c>
      <c r="C24" s="2">
        <v>40738</v>
      </c>
      <c r="D24">
        <v>31</v>
      </c>
      <c r="E24" t="s">
        <v>105</v>
      </c>
      <c r="F24">
        <v>976</v>
      </c>
      <c r="G24" s="20">
        <v>791</v>
      </c>
      <c r="H24" s="20">
        <v>7487</v>
      </c>
    </row>
    <row r="25" spans="1:10" x14ac:dyDescent="0.2">
      <c r="A25">
        <v>2011</v>
      </c>
      <c r="B25" s="20" t="s">
        <v>46</v>
      </c>
      <c r="C25" s="2">
        <v>40738</v>
      </c>
      <c r="D25">
        <v>31</v>
      </c>
      <c r="E25" t="s">
        <v>106</v>
      </c>
      <c r="F25">
        <v>977</v>
      </c>
      <c r="G25" s="20">
        <v>7492</v>
      </c>
      <c r="H25" s="20">
        <v>7488</v>
      </c>
    </row>
    <row r="26" spans="1:10" x14ac:dyDescent="0.2">
      <c r="A26">
        <v>2011</v>
      </c>
      <c r="B26" s="20" t="s">
        <v>46</v>
      </c>
      <c r="C26" s="2">
        <v>40738</v>
      </c>
      <c r="D26">
        <v>31</v>
      </c>
      <c r="E26" t="s">
        <v>107</v>
      </c>
      <c r="F26">
        <v>978</v>
      </c>
      <c r="G26" s="20">
        <v>7493</v>
      </c>
      <c r="H26" s="20">
        <v>7489</v>
      </c>
    </row>
    <row r="27" spans="1:10" x14ac:dyDescent="0.2">
      <c r="A27">
        <v>2011</v>
      </c>
      <c r="B27" s="20" t="s">
        <v>46</v>
      </c>
      <c r="C27" s="2">
        <v>40738</v>
      </c>
      <c r="D27">
        <v>31</v>
      </c>
      <c r="E27" t="s">
        <v>109</v>
      </c>
      <c r="F27">
        <v>979</v>
      </c>
      <c r="G27" s="20">
        <v>7494</v>
      </c>
      <c r="H27" s="20">
        <v>7490</v>
      </c>
    </row>
    <row r="28" spans="1:10" x14ac:dyDescent="0.2">
      <c r="A28">
        <v>2011</v>
      </c>
      <c r="B28" s="20" t="s">
        <v>46</v>
      </c>
      <c r="C28" s="2">
        <v>40709</v>
      </c>
      <c r="D28">
        <v>32</v>
      </c>
      <c r="E28" t="s">
        <v>102</v>
      </c>
      <c r="F28" t="s">
        <v>114</v>
      </c>
      <c r="G28">
        <v>6775</v>
      </c>
      <c r="H28" t="s">
        <v>1</v>
      </c>
      <c r="I28" s="28" t="s">
        <v>115</v>
      </c>
      <c r="J28" s="19"/>
    </row>
    <row r="29" spans="1:10" x14ac:dyDescent="0.2">
      <c r="A29">
        <v>2011</v>
      </c>
      <c r="B29" s="20" t="s">
        <v>46</v>
      </c>
      <c r="C29" s="2">
        <v>40709</v>
      </c>
      <c r="D29">
        <v>32</v>
      </c>
      <c r="E29" t="s">
        <v>104</v>
      </c>
      <c r="F29">
        <v>480</v>
      </c>
      <c r="G29" s="20" t="s">
        <v>1</v>
      </c>
      <c r="H29" s="20" t="s">
        <v>1</v>
      </c>
    </row>
    <row r="30" spans="1:10" x14ac:dyDescent="0.2">
      <c r="A30">
        <v>2011</v>
      </c>
      <c r="B30" s="20" t="s">
        <v>46</v>
      </c>
      <c r="C30" s="2">
        <v>40709</v>
      </c>
      <c r="D30">
        <v>32</v>
      </c>
      <c r="E30" t="s">
        <v>105</v>
      </c>
      <c r="F30">
        <v>481</v>
      </c>
      <c r="G30" s="20">
        <v>6785</v>
      </c>
      <c r="H30" s="20" t="s">
        <v>116</v>
      </c>
      <c r="I30" s="28" t="s">
        <v>117</v>
      </c>
    </row>
    <row r="31" spans="1:10" x14ac:dyDescent="0.2">
      <c r="A31">
        <v>2011</v>
      </c>
      <c r="B31" s="20" t="s">
        <v>46</v>
      </c>
      <c r="C31" s="2">
        <v>40709</v>
      </c>
      <c r="D31">
        <v>32</v>
      </c>
      <c r="E31" t="s">
        <v>106</v>
      </c>
      <c r="F31">
        <v>482</v>
      </c>
      <c r="G31" s="20" t="s">
        <v>118</v>
      </c>
      <c r="H31" s="20">
        <v>6780</v>
      </c>
    </row>
    <row r="32" spans="1:10" x14ac:dyDescent="0.2">
      <c r="A32">
        <v>2011</v>
      </c>
      <c r="B32" s="20" t="s">
        <v>46</v>
      </c>
      <c r="C32" s="2">
        <v>40709</v>
      </c>
      <c r="D32">
        <v>32</v>
      </c>
      <c r="E32" t="s">
        <v>107</v>
      </c>
      <c r="F32">
        <v>483</v>
      </c>
      <c r="G32" s="20" t="s">
        <v>119</v>
      </c>
      <c r="H32" s="20">
        <v>6781</v>
      </c>
    </row>
    <row r="33" spans="1:10" x14ac:dyDescent="0.2">
      <c r="A33">
        <v>2011</v>
      </c>
      <c r="B33" s="20" t="s">
        <v>46</v>
      </c>
      <c r="C33" s="2">
        <v>40709</v>
      </c>
      <c r="D33">
        <v>32</v>
      </c>
      <c r="E33" t="s">
        <v>109</v>
      </c>
      <c r="F33">
        <v>484</v>
      </c>
      <c r="G33" s="20">
        <v>6790</v>
      </c>
      <c r="H33" s="20">
        <v>6782</v>
      </c>
    </row>
    <row r="34" spans="1:10" x14ac:dyDescent="0.2">
      <c r="A34">
        <v>2011</v>
      </c>
      <c r="B34" s="20" t="s">
        <v>46</v>
      </c>
      <c r="C34" s="2">
        <v>40758</v>
      </c>
      <c r="D34">
        <v>33</v>
      </c>
      <c r="E34" t="s">
        <v>102</v>
      </c>
      <c r="F34" t="s">
        <v>120</v>
      </c>
      <c r="G34" s="20">
        <v>8039</v>
      </c>
      <c r="H34" t="s">
        <v>1</v>
      </c>
      <c r="J34" s="19"/>
    </row>
    <row r="35" spans="1:10" x14ac:dyDescent="0.2">
      <c r="A35">
        <v>2011</v>
      </c>
      <c r="B35" s="20" t="s">
        <v>46</v>
      </c>
      <c r="C35" s="2">
        <v>40758</v>
      </c>
      <c r="D35">
        <v>33</v>
      </c>
      <c r="E35" t="s">
        <v>104</v>
      </c>
      <c r="F35">
        <v>1392</v>
      </c>
      <c r="G35" s="20" t="s">
        <v>1</v>
      </c>
      <c r="H35" t="s">
        <v>1</v>
      </c>
    </row>
    <row r="36" spans="1:10" x14ac:dyDescent="0.2">
      <c r="A36">
        <v>2011</v>
      </c>
      <c r="B36" s="20" t="s">
        <v>46</v>
      </c>
      <c r="C36" s="2">
        <v>40758</v>
      </c>
      <c r="D36">
        <v>33</v>
      </c>
      <c r="E36" t="s">
        <v>105</v>
      </c>
      <c r="F36">
        <v>1393</v>
      </c>
      <c r="G36" s="20">
        <v>80444</v>
      </c>
      <c r="H36">
        <v>8040</v>
      </c>
    </row>
    <row r="37" spans="1:10" x14ac:dyDescent="0.2">
      <c r="A37">
        <v>2011</v>
      </c>
      <c r="B37" s="20" t="s">
        <v>46</v>
      </c>
      <c r="C37" s="2">
        <v>40758</v>
      </c>
      <c r="D37">
        <v>33</v>
      </c>
      <c r="E37" t="s">
        <v>106</v>
      </c>
      <c r="F37">
        <v>1394</v>
      </c>
      <c r="G37" s="20" t="s">
        <v>121</v>
      </c>
      <c r="H37">
        <v>8041</v>
      </c>
    </row>
    <row r="38" spans="1:10" x14ac:dyDescent="0.2">
      <c r="A38">
        <v>2011</v>
      </c>
      <c r="B38" s="20" t="s">
        <v>46</v>
      </c>
      <c r="C38" s="2">
        <v>40758</v>
      </c>
      <c r="D38">
        <v>33</v>
      </c>
      <c r="E38" t="s">
        <v>107</v>
      </c>
      <c r="F38">
        <v>1395</v>
      </c>
      <c r="G38" s="20">
        <v>8047</v>
      </c>
      <c r="H38">
        <v>8042</v>
      </c>
    </row>
    <row r="39" spans="1:10" x14ac:dyDescent="0.2">
      <c r="A39">
        <v>2011</v>
      </c>
      <c r="B39" s="20" t="s">
        <v>46</v>
      </c>
      <c r="C39" s="2">
        <v>40758</v>
      </c>
      <c r="D39">
        <v>33</v>
      </c>
      <c r="E39" t="s">
        <v>109</v>
      </c>
      <c r="F39">
        <v>1396</v>
      </c>
      <c r="G39" s="20">
        <v>8048</v>
      </c>
      <c r="H39">
        <v>8043</v>
      </c>
    </row>
    <row r="40" spans="1:10" x14ac:dyDescent="0.2">
      <c r="A40">
        <v>2011</v>
      </c>
      <c r="B40" s="20" t="s">
        <v>46</v>
      </c>
      <c r="C40" s="2">
        <v>40758</v>
      </c>
      <c r="D40">
        <v>34</v>
      </c>
      <c r="E40" t="s">
        <v>102</v>
      </c>
      <c r="F40">
        <v>1368</v>
      </c>
      <c r="G40" s="20">
        <v>8017</v>
      </c>
      <c r="H40" s="20" t="s">
        <v>1</v>
      </c>
      <c r="J40" s="19"/>
    </row>
    <row r="41" spans="1:10" x14ac:dyDescent="0.2">
      <c r="A41">
        <v>2011</v>
      </c>
      <c r="B41" s="20" t="s">
        <v>46</v>
      </c>
      <c r="C41" s="2">
        <v>40758</v>
      </c>
      <c r="D41">
        <v>34</v>
      </c>
      <c r="E41" t="s">
        <v>104</v>
      </c>
      <c r="F41">
        <v>1369</v>
      </c>
      <c r="G41" s="20" t="s">
        <v>1</v>
      </c>
      <c r="H41" s="20" t="s">
        <v>1</v>
      </c>
    </row>
    <row r="42" spans="1:10" x14ac:dyDescent="0.2">
      <c r="A42">
        <v>2011</v>
      </c>
      <c r="B42" s="20" t="s">
        <v>46</v>
      </c>
      <c r="C42" s="2">
        <v>40758</v>
      </c>
      <c r="D42">
        <v>34</v>
      </c>
      <c r="E42" t="s">
        <v>105</v>
      </c>
      <c r="F42">
        <v>1370</v>
      </c>
      <c r="G42" s="20">
        <v>8022</v>
      </c>
      <c r="H42" s="20">
        <v>8018</v>
      </c>
    </row>
    <row r="43" spans="1:10" x14ac:dyDescent="0.2">
      <c r="A43">
        <v>2011</v>
      </c>
      <c r="B43" s="20" t="s">
        <v>46</v>
      </c>
      <c r="C43" s="2">
        <v>40758</v>
      </c>
      <c r="D43">
        <v>34</v>
      </c>
      <c r="E43" t="s">
        <v>106</v>
      </c>
      <c r="F43">
        <v>1371</v>
      </c>
      <c r="G43" s="20" t="s">
        <v>122</v>
      </c>
      <c r="H43" s="20">
        <v>8019</v>
      </c>
    </row>
    <row r="44" spans="1:10" x14ac:dyDescent="0.2">
      <c r="A44">
        <v>2011</v>
      </c>
      <c r="B44" s="20" t="s">
        <v>46</v>
      </c>
      <c r="C44" s="2">
        <v>40758</v>
      </c>
      <c r="D44">
        <v>34</v>
      </c>
      <c r="E44" t="s">
        <v>107</v>
      </c>
      <c r="F44">
        <v>1372</v>
      </c>
      <c r="G44" s="20">
        <v>8025</v>
      </c>
      <c r="H44" s="20">
        <v>8020</v>
      </c>
    </row>
    <row r="45" spans="1:10" x14ac:dyDescent="0.2">
      <c r="A45">
        <v>2011</v>
      </c>
      <c r="B45" s="20" t="s">
        <v>46</v>
      </c>
      <c r="C45" s="2">
        <v>40758</v>
      </c>
      <c r="D45">
        <v>34</v>
      </c>
      <c r="E45" t="s">
        <v>109</v>
      </c>
      <c r="F45">
        <v>1373</v>
      </c>
      <c r="G45" s="20">
        <v>8026</v>
      </c>
      <c r="H45" s="20">
        <v>8021</v>
      </c>
    </row>
    <row r="46" spans="1:10" x14ac:dyDescent="0.2">
      <c r="A46">
        <v>2011</v>
      </c>
      <c r="B46" s="20" t="s">
        <v>46</v>
      </c>
      <c r="C46" s="2">
        <v>40758</v>
      </c>
      <c r="D46">
        <v>35</v>
      </c>
      <c r="E46" t="s">
        <v>102</v>
      </c>
      <c r="F46">
        <v>1384</v>
      </c>
      <c r="G46" s="20" t="s">
        <v>123</v>
      </c>
      <c r="H46" s="20" t="s">
        <v>1</v>
      </c>
      <c r="J46" s="19"/>
    </row>
    <row r="47" spans="1:10" x14ac:dyDescent="0.2">
      <c r="A47">
        <v>2011</v>
      </c>
      <c r="B47" s="20" t="s">
        <v>46</v>
      </c>
      <c r="C47" s="2">
        <v>40758</v>
      </c>
      <c r="D47">
        <v>35</v>
      </c>
      <c r="E47" t="s">
        <v>104</v>
      </c>
      <c r="F47">
        <v>1385</v>
      </c>
      <c r="G47" s="20" t="s">
        <v>1</v>
      </c>
      <c r="H47" s="20" t="s">
        <v>1</v>
      </c>
    </row>
    <row r="48" spans="1:10" x14ac:dyDescent="0.2">
      <c r="A48">
        <v>2011</v>
      </c>
      <c r="B48" s="20" t="s">
        <v>46</v>
      </c>
      <c r="C48" s="2">
        <v>40758</v>
      </c>
      <c r="D48">
        <v>35</v>
      </c>
      <c r="E48" t="s">
        <v>105</v>
      </c>
      <c r="F48">
        <v>1386</v>
      </c>
      <c r="G48">
        <v>8034</v>
      </c>
      <c r="H48" s="20">
        <v>8029</v>
      </c>
    </row>
    <row r="49" spans="1:10" x14ac:dyDescent="0.2">
      <c r="A49">
        <v>2011</v>
      </c>
      <c r="B49" s="20" t="s">
        <v>46</v>
      </c>
      <c r="C49" s="2">
        <v>40758</v>
      </c>
      <c r="D49">
        <v>35</v>
      </c>
      <c r="E49" t="s">
        <v>106</v>
      </c>
      <c r="F49">
        <v>1387</v>
      </c>
      <c r="G49">
        <v>8035</v>
      </c>
      <c r="H49" s="20" t="s">
        <v>124</v>
      </c>
    </row>
    <row r="50" spans="1:10" x14ac:dyDescent="0.2">
      <c r="A50">
        <v>2011</v>
      </c>
      <c r="B50" s="20" t="s">
        <v>46</v>
      </c>
      <c r="C50" s="2">
        <v>40758</v>
      </c>
      <c r="D50">
        <v>35</v>
      </c>
      <c r="E50" t="s">
        <v>107</v>
      </c>
      <c r="F50">
        <v>1388</v>
      </c>
      <c r="G50" s="20" t="s">
        <v>125</v>
      </c>
      <c r="H50" s="20">
        <v>8032</v>
      </c>
    </row>
    <row r="51" spans="1:10" x14ac:dyDescent="0.2">
      <c r="A51">
        <v>2011</v>
      </c>
      <c r="B51" s="20" t="s">
        <v>46</v>
      </c>
      <c r="C51" s="2">
        <v>40758</v>
      </c>
      <c r="D51">
        <v>35</v>
      </c>
      <c r="E51" t="s">
        <v>109</v>
      </c>
      <c r="F51">
        <v>1389</v>
      </c>
      <c r="G51" s="20">
        <v>8038</v>
      </c>
      <c r="H51" s="20">
        <v>8033</v>
      </c>
    </row>
    <row r="52" spans="1:10" x14ac:dyDescent="0.2">
      <c r="A52">
        <v>2011</v>
      </c>
      <c r="B52" s="20" t="s">
        <v>46</v>
      </c>
      <c r="C52" s="2">
        <v>40738</v>
      </c>
      <c r="D52">
        <v>36</v>
      </c>
      <c r="E52" t="s">
        <v>102</v>
      </c>
      <c r="F52">
        <v>980</v>
      </c>
      <c r="G52" s="20">
        <v>7495</v>
      </c>
      <c r="H52" s="20" t="s">
        <v>1</v>
      </c>
      <c r="J52" s="19"/>
    </row>
    <row r="53" spans="1:10" x14ac:dyDescent="0.2">
      <c r="A53">
        <v>2011</v>
      </c>
      <c r="B53" s="20" t="s">
        <v>46</v>
      </c>
      <c r="C53" s="2">
        <v>40738</v>
      </c>
      <c r="D53">
        <v>36</v>
      </c>
      <c r="E53" t="s">
        <v>104</v>
      </c>
      <c r="F53">
        <v>981</v>
      </c>
      <c r="G53" s="20" t="s">
        <v>1</v>
      </c>
      <c r="H53" s="20" t="s">
        <v>1</v>
      </c>
      <c r="I53" s="28" t="s">
        <v>126</v>
      </c>
    </row>
    <row r="54" spans="1:10" x14ac:dyDescent="0.2">
      <c r="A54">
        <v>2011</v>
      </c>
      <c r="B54" s="20" t="s">
        <v>46</v>
      </c>
      <c r="C54" s="2">
        <v>40738</v>
      </c>
      <c r="D54">
        <v>36</v>
      </c>
      <c r="E54" t="s">
        <v>105</v>
      </c>
      <c r="F54">
        <v>982</v>
      </c>
      <c r="G54">
        <v>7509</v>
      </c>
      <c r="H54" s="20">
        <v>7504</v>
      </c>
    </row>
    <row r="55" spans="1:10" x14ac:dyDescent="0.2">
      <c r="A55">
        <v>2011</v>
      </c>
      <c r="B55" s="20" t="s">
        <v>46</v>
      </c>
      <c r="C55" s="2">
        <v>40738</v>
      </c>
      <c r="D55">
        <v>36</v>
      </c>
      <c r="E55" t="s">
        <v>106</v>
      </c>
      <c r="F55">
        <v>983</v>
      </c>
      <c r="G55">
        <v>7510</v>
      </c>
      <c r="H55" s="20">
        <v>7506</v>
      </c>
    </row>
    <row r="56" spans="1:10" x14ac:dyDescent="0.2">
      <c r="A56">
        <v>2011</v>
      </c>
      <c r="B56" s="20" t="s">
        <v>46</v>
      </c>
      <c r="C56" s="2">
        <v>40738</v>
      </c>
      <c r="D56">
        <v>36</v>
      </c>
      <c r="E56" t="s">
        <v>107</v>
      </c>
      <c r="F56">
        <v>984</v>
      </c>
      <c r="G56">
        <v>7511</v>
      </c>
      <c r="H56" s="20">
        <v>7507</v>
      </c>
    </row>
    <row r="57" spans="1:10" x14ac:dyDescent="0.2">
      <c r="A57">
        <v>2011</v>
      </c>
      <c r="B57" s="20" t="s">
        <v>46</v>
      </c>
      <c r="C57" s="2">
        <v>40738</v>
      </c>
      <c r="D57">
        <v>36</v>
      </c>
      <c r="E57" t="s">
        <v>109</v>
      </c>
      <c r="F57">
        <v>985</v>
      </c>
      <c r="G57">
        <v>7512</v>
      </c>
      <c r="H57" s="20">
        <v>7508</v>
      </c>
    </row>
    <row r="58" spans="1:10" x14ac:dyDescent="0.2">
      <c r="A58">
        <v>2011</v>
      </c>
      <c r="B58" s="20" t="s">
        <v>46</v>
      </c>
      <c r="C58" s="2">
        <v>40738</v>
      </c>
      <c r="D58">
        <v>37</v>
      </c>
      <c r="E58" t="s">
        <v>102</v>
      </c>
      <c r="F58">
        <v>968</v>
      </c>
      <c r="G58">
        <v>7461</v>
      </c>
      <c r="H58" s="20" t="s">
        <v>1</v>
      </c>
      <c r="J58" s="19"/>
    </row>
    <row r="59" spans="1:10" x14ac:dyDescent="0.2">
      <c r="A59">
        <v>2011</v>
      </c>
      <c r="B59" s="20" t="s">
        <v>46</v>
      </c>
      <c r="C59" s="2">
        <v>40738</v>
      </c>
      <c r="D59">
        <v>37</v>
      </c>
      <c r="E59" t="s">
        <v>104</v>
      </c>
      <c r="F59">
        <v>969</v>
      </c>
      <c r="G59" s="20" t="s">
        <v>1</v>
      </c>
      <c r="H59" s="20" t="s">
        <v>1</v>
      </c>
      <c r="I59" s="28" t="s">
        <v>127</v>
      </c>
    </row>
    <row r="60" spans="1:10" x14ac:dyDescent="0.2">
      <c r="A60">
        <v>2011</v>
      </c>
      <c r="B60" s="20" t="s">
        <v>46</v>
      </c>
      <c r="C60" s="2">
        <v>40738</v>
      </c>
      <c r="D60">
        <v>37</v>
      </c>
      <c r="E60" t="s">
        <v>105</v>
      </c>
      <c r="F60">
        <v>970</v>
      </c>
      <c r="G60" s="20">
        <v>7481</v>
      </c>
      <c r="H60" s="20">
        <v>7477</v>
      </c>
      <c r="I60" s="28" t="s">
        <v>128</v>
      </c>
    </row>
    <row r="61" spans="1:10" x14ac:dyDescent="0.2">
      <c r="A61">
        <v>2011</v>
      </c>
      <c r="B61" s="20" t="s">
        <v>46</v>
      </c>
      <c r="C61" s="2">
        <v>40738</v>
      </c>
      <c r="D61">
        <v>37</v>
      </c>
      <c r="E61" t="s">
        <v>106</v>
      </c>
      <c r="F61">
        <v>971</v>
      </c>
      <c r="G61" s="20" t="s">
        <v>129</v>
      </c>
      <c r="H61" s="20">
        <v>7478</v>
      </c>
    </row>
    <row r="62" spans="1:10" x14ac:dyDescent="0.2">
      <c r="A62">
        <v>2011</v>
      </c>
      <c r="B62" s="20" t="s">
        <v>46</v>
      </c>
      <c r="C62" s="2">
        <v>40738</v>
      </c>
      <c r="D62">
        <v>37</v>
      </c>
      <c r="E62" t="s">
        <v>107</v>
      </c>
      <c r="F62">
        <v>972</v>
      </c>
      <c r="G62" s="20">
        <v>7484</v>
      </c>
      <c r="H62" s="20">
        <v>7479</v>
      </c>
    </row>
    <row r="63" spans="1:10" x14ac:dyDescent="0.2">
      <c r="A63">
        <v>2011</v>
      </c>
      <c r="B63" s="20" t="s">
        <v>46</v>
      </c>
      <c r="C63" s="2">
        <v>40738</v>
      </c>
      <c r="D63">
        <v>37</v>
      </c>
      <c r="E63" t="s">
        <v>109</v>
      </c>
      <c r="F63">
        <v>973</v>
      </c>
      <c r="G63" s="20">
        <v>7485</v>
      </c>
      <c r="H63" s="20">
        <v>7480</v>
      </c>
    </row>
    <row r="64" spans="1:10" x14ac:dyDescent="0.2">
      <c r="A64">
        <v>2011</v>
      </c>
      <c r="B64" s="20" t="s">
        <v>46</v>
      </c>
      <c r="C64" s="2">
        <v>40738</v>
      </c>
      <c r="D64">
        <v>38</v>
      </c>
      <c r="E64" t="s">
        <v>102</v>
      </c>
      <c r="F64" s="20" t="s">
        <v>1</v>
      </c>
      <c r="G64" s="20">
        <v>7429</v>
      </c>
      <c r="H64" s="20" t="s">
        <v>1</v>
      </c>
      <c r="J64" s="19"/>
    </row>
    <row r="65" spans="1:10" x14ac:dyDescent="0.2">
      <c r="A65">
        <v>2011</v>
      </c>
      <c r="B65" s="20" t="s">
        <v>46</v>
      </c>
      <c r="C65" s="2">
        <v>40738</v>
      </c>
      <c r="D65">
        <v>38</v>
      </c>
      <c r="E65" t="s">
        <v>104</v>
      </c>
      <c r="F65">
        <v>963</v>
      </c>
      <c r="G65" s="20" t="s">
        <v>1</v>
      </c>
      <c r="H65" s="20" t="s">
        <v>1</v>
      </c>
      <c r="I65" s="28" t="s">
        <v>130</v>
      </c>
    </row>
    <row r="66" spans="1:10" x14ac:dyDescent="0.2">
      <c r="A66">
        <v>2011</v>
      </c>
      <c r="B66" s="20" t="s">
        <v>46</v>
      </c>
      <c r="C66" s="2">
        <v>40738</v>
      </c>
      <c r="D66">
        <v>38</v>
      </c>
      <c r="E66" t="s">
        <v>105</v>
      </c>
      <c r="F66">
        <v>964</v>
      </c>
      <c r="G66" s="20">
        <v>7443</v>
      </c>
      <c r="H66" s="20" t="s">
        <v>131</v>
      </c>
      <c r="I66" s="28" t="s">
        <v>132</v>
      </c>
    </row>
    <row r="67" spans="1:10" x14ac:dyDescent="0.2">
      <c r="A67">
        <v>2011</v>
      </c>
      <c r="B67" s="20" t="s">
        <v>46</v>
      </c>
      <c r="C67" s="2">
        <v>40738</v>
      </c>
      <c r="D67">
        <v>38</v>
      </c>
      <c r="E67" t="s">
        <v>106</v>
      </c>
      <c r="F67">
        <v>965</v>
      </c>
      <c r="G67" s="20">
        <v>7444</v>
      </c>
      <c r="H67">
        <v>7432</v>
      </c>
      <c r="I67" s="28" t="s">
        <v>133</v>
      </c>
    </row>
    <row r="68" spans="1:10" x14ac:dyDescent="0.2">
      <c r="A68">
        <v>2011</v>
      </c>
      <c r="B68" s="20" t="s">
        <v>46</v>
      </c>
      <c r="C68" s="2">
        <v>40738</v>
      </c>
      <c r="D68">
        <v>38</v>
      </c>
      <c r="E68" t="s">
        <v>107</v>
      </c>
      <c r="F68">
        <v>966</v>
      </c>
      <c r="G68" s="20">
        <v>7445</v>
      </c>
      <c r="H68">
        <v>7433</v>
      </c>
    </row>
    <row r="69" spans="1:10" x14ac:dyDescent="0.2">
      <c r="A69">
        <v>2011</v>
      </c>
      <c r="B69" s="20" t="s">
        <v>46</v>
      </c>
      <c r="C69" s="2">
        <v>40738</v>
      </c>
      <c r="D69">
        <v>38</v>
      </c>
      <c r="E69" t="s">
        <v>109</v>
      </c>
      <c r="F69">
        <v>967</v>
      </c>
      <c r="G69" s="20">
        <v>7446</v>
      </c>
      <c r="H69">
        <v>7442</v>
      </c>
    </row>
    <row r="70" spans="1:10" x14ac:dyDescent="0.2">
      <c r="A70">
        <v>2011</v>
      </c>
      <c r="B70" s="20" t="s">
        <v>46</v>
      </c>
      <c r="C70" s="2">
        <v>40738</v>
      </c>
      <c r="D70">
        <v>39</v>
      </c>
      <c r="E70" t="s">
        <v>102</v>
      </c>
      <c r="F70">
        <v>951</v>
      </c>
      <c r="G70" s="20">
        <v>7396</v>
      </c>
      <c r="H70" s="20" t="s">
        <v>1</v>
      </c>
      <c r="J70" s="19"/>
    </row>
    <row r="71" spans="1:10" x14ac:dyDescent="0.2">
      <c r="A71">
        <v>2011</v>
      </c>
      <c r="B71" s="20" t="s">
        <v>46</v>
      </c>
      <c r="C71" s="2">
        <v>40738</v>
      </c>
      <c r="D71">
        <v>39</v>
      </c>
      <c r="E71" t="s">
        <v>104</v>
      </c>
      <c r="F71">
        <v>952</v>
      </c>
      <c r="G71" s="20" t="s">
        <v>1</v>
      </c>
      <c r="H71" s="20" t="s">
        <v>1</v>
      </c>
    </row>
    <row r="72" spans="1:10" x14ac:dyDescent="0.2">
      <c r="A72">
        <v>2011</v>
      </c>
      <c r="B72" s="20" t="s">
        <v>46</v>
      </c>
      <c r="C72" s="2">
        <v>40738</v>
      </c>
      <c r="D72">
        <v>39</v>
      </c>
      <c r="E72" t="s">
        <v>105</v>
      </c>
      <c r="F72">
        <v>953</v>
      </c>
      <c r="G72" s="20">
        <v>7421</v>
      </c>
      <c r="H72" s="20" t="s">
        <v>134</v>
      </c>
    </row>
    <row r="73" spans="1:10" x14ac:dyDescent="0.2">
      <c r="A73">
        <v>2011</v>
      </c>
      <c r="B73" s="20" t="s">
        <v>46</v>
      </c>
      <c r="C73" s="2">
        <v>40738</v>
      </c>
      <c r="D73">
        <v>39</v>
      </c>
      <c r="E73" t="s">
        <v>106</v>
      </c>
      <c r="F73">
        <v>954</v>
      </c>
      <c r="G73" s="20">
        <v>7422</v>
      </c>
      <c r="H73">
        <v>7399</v>
      </c>
      <c r="I73" s="28" t="s">
        <v>135</v>
      </c>
    </row>
    <row r="74" spans="1:10" x14ac:dyDescent="0.2">
      <c r="A74">
        <v>2011</v>
      </c>
      <c r="B74" s="20" t="s">
        <v>46</v>
      </c>
      <c r="C74" s="2">
        <v>40738</v>
      </c>
      <c r="D74">
        <v>39</v>
      </c>
      <c r="E74" t="s">
        <v>107</v>
      </c>
      <c r="F74">
        <v>955</v>
      </c>
      <c r="G74" s="20" t="s">
        <v>136</v>
      </c>
      <c r="H74">
        <v>7405</v>
      </c>
    </row>
    <row r="75" spans="1:10" x14ac:dyDescent="0.2">
      <c r="A75">
        <v>2011</v>
      </c>
      <c r="B75" s="20" t="s">
        <v>46</v>
      </c>
      <c r="C75" s="2">
        <v>40738</v>
      </c>
      <c r="D75">
        <v>39</v>
      </c>
      <c r="E75" t="s">
        <v>109</v>
      </c>
      <c r="F75">
        <v>956</v>
      </c>
      <c r="G75" s="20">
        <v>7425</v>
      </c>
      <c r="H75" t="s">
        <v>137</v>
      </c>
      <c r="I75" s="28" t="s">
        <v>138</v>
      </c>
    </row>
    <row r="76" spans="1:10" x14ac:dyDescent="0.2">
      <c r="A76">
        <v>2011</v>
      </c>
      <c r="B76" s="20" t="s">
        <v>46</v>
      </c>
      <c r="C76" s="2">
        <v>40758</v>
      </c>
      <c r="D76">
        <v>124</v>
      </c>
      <c r="E76" t="s">
        <v>102</v>
      </c>
      <c r="F76" s="20" t="s">
        <v>139</v>
      </c>
      <c r="G76" s="20" t="s">
        <v>140</v>
      </c>
      <c r="H76" t="s">
        <v>1</v>
      </c>
      <c r="J76" s="19"/>
    </row>
    <row r="77" spans="1:10" x14ac:dyDescent="0.2">
      <c r="A77">
        <v>2011</v>
      </c>
      <c r="B77" s="20" t="s">
        <v>46</v>
      </c>
      <c r="C77" s="2">
        <v>40758</v>
      </c>
      <c r="D77">
        <v>124</v>
      </c>
      <c r="E77" t="s">
        <v>104</v>
      </c>
      <c r="F77">
        <v>1351</v>
      </c>
      <c r="G77" s="20" t="s">
        <v>1</v>
      </c>
      <c r="H77" t="s">
        <v>1</v>
      </c>
      <c r="I77" s="28" t="s">
        <v>141</v>
      </c>
    </row>
    <row r="78" spans="1:10" x14ac:dyDescent="0.2">
      <c r="A78">
        <v>2011</v>
      </c>
      <c r="B78" s="20" t="s">
        <v>46</v>
      </c>
      <c r="C78" s="2">
        <v>40758</v>
      </c>
      <c r="D78">
        <v>124</v>
      </c>
      <c r="E78" t="s">
        <v>105</v>
      </c>
      <c r="F78">
        <v>1352</v>
      </c>
      <c r="G78" s="20" t="s">
        <v>142</v>
      </c>
      <c r="H78" s="20">
        <v>7978</v>
      </c>
    </row>
    <row r="79" spans="1:10" x14ac:dyDescent="0.2">
      <c r="A79">
        <v>2011</v>
      </c>
      <c r="B79" s="20" t="s">
        <v>46</v>
      </c>
      <c r="C79" s="2">
        <v>40758</v>
      </c>
      <c r="D79">
        <v>124</v>
      </c>
      <c r="E79" t="s">
        <v>106</v>
      </c>
      <c r="F79">
        <v>1353</v>
      </c>
      <c r="G79" s="20" t="s">
        <v>143</v>
      </c>
      <c r="H79" s="20">
        <v>7979</v>
      </c>
    </row>
    <row r="80" spans="1:10" x14ac:dyDescent="0.2">
      <c r="A80">
        <v>2011</v>
      </c>
      <c r="B80" s="20" t="s">
        <v>46</v>
      </c>
      <c r="C80" s="2">
        <v>40758</v>
      </c>
      <c r="D80">
        <v>124</v>
      </c>
      <c r="E80" t="s">
        <v>107</v>
      </c>
      <c r="F80">
        <v>1354</v>
      </c>
      <c r="G80" s="20">
        <v>7992</v>
      </c>
      <c r="H80" s="20">
        <v>7980</v>
      </c>
    </row>
    <row r="81" spans="1:10" x14ac:dyDescent="0.2">
      <c r="A81">
        <v>2011</v>
      </c>
      <c r="B81" s="20" t="s">
        <v>46</v>
      </c>
      <c r="C81" s="2">
        <v>40758</v>
      </c>
      <c r="D81">
        <v>124</v>
      </c>
      <c r="E81" t="s">
        <v>109</v>
      </c>
      <c r="F81">
        <v>1355</v>
      </c>
      <c r="G81" s="20">
        <v>7993</v>
      </c>
      <c r="H81" s="20">
        <v>7981</v>
      </c>
      <c r="I81" s="28" t="s">
        <v>144</v>
      </c>
    </row>
    <row r="82" spans="1:10" x14ac:dyDescent="0.2">
      <c r="A82">
        <v>2011</v>
      </c>
      <c r="B82" s="20" t="s">
        <v>46</v>
      </c>
      <c r="C82" s="2">
        <v>40758</v>
      </c>
      <c r="D82">
        <v>125</v>
      </c>
      <c r="E82" t="s">
        <v>102</v>
      </c>
      <c r="F82">
        <v>1356</v>
      </c>
      <c r="G82" s="20" t="s">
        <v>145</v>
      </c>
      <c r="H82" s="20" t="s">
        <v>1</v>
      </c>
      <c r="J82" s="19"/>
    </row>
    <row r="83" spans="1:10" x14ac:dyDescent="0.2">
      <c r="A83">
        <v>2011</v>
      </c>
      <c r="B83" s="20" t="s">
        <v>46</v>
      </c>
      <c r="C83" s="2">
        <v>40758</v>
      </c>
      <c r="D83">
        <v>125</v>
      </c>
      <c r="E83" t="s">
        <v>104</v>
      </c>
      <c r="F83">
        <v>1357</v>
      </c>
      <c r="G83" s="20" t="s">
        <v>1</v>
      </c>
      <c r="H83" s="20" t="s">
        <v>1</v>
      </c>
    </row>
    <row r="84" spans="1:10" x14ac:dyDescent="0.2">
      <c r="A84">
        <v>2011</v>
      </c>
      <c r="B84" s="20" t="s">
        <v>46</v>
      </c>
      <c r="C84" s="2">
        <v>40758</v>
      </c>
      <c r="D84">
        <v>125</v>
      </c>
      <c r="E84" t="s">
        <v>105</v>
      </c>
      <c r="F84">
        <v>1358</v>
      </c>
      <c r="G84" s="20">
        <v>8002</v>
      </c>
      <c r="H84" s="20">
        <v>7996</v>
      </c>
    </row>
    <row r="85" spans="1:10" x14ac:dyDescent="0.2">
      <c r="A85">
        <v>2011</v>
      </c>
      <c r="B85" s="20" t="s">
        <v>46</v>
      </c>
      <c r="C85" s="2">
        <v>40758</v>
      </c>
      <c r="D85">
        <v>125</v>
      </c>
      <c r="E85" t="s">
        <v>106</v>
      </c>
      <c r="F85">
        <v>1359</v>
      </c>
      <c r="G85" s="20">
        <v>8003</v>
      </c>
      <c r="H85" s="20" t="s">
        <v>146</v>
      </c>
    </row>
    <row r="86" spans="1:10" x14ac:dyDescent="0.2">
      <c r="A86">
        <v>2011</v>
      </c>
      <c r="B86" s="20" t="s">
        <v>46</v>
      </c>
      <c r="C86" s="2">
        <v>40758</v>
      </c>
      <c r="D86">
        <v>125</v>
      </c>
      <c r="E86" t="s">
        <v>107</v>
      </c>
      <c r="F86">
        <v>1360</v>
      </c>
      <c r="G86" s="20">
        <v>8004</v>
      </c>
      <c r="H86" s="20">
        <v>7999</v>
      </c>
    </row>
    <row r="87" spans="1:10" x14ac:dyDescent="0.2">
      <c r="A87">
        <v>2011</v>
      </c>
      <c r="B87" s="20" t="s">
        <v>46</v>
      </c>
      <c r="C87" s="2">
        <v>40758</v>
      </c>
      <c r="D87">
        <v>125</v>
      </c>
      <c r="E87" t="s">
        <v>109</v>
      </c>
      <c r="F87">
        <v>1361</v>
      </c>
      <c r="G87" s="20">
        <v>8005</v>
      </c>
      <c r="H87" s="20" t="s">
        <v>147</v>
      </c>
    </row>
    <row r="88" spans="1:10" x14ac:dyDescent="0.2">
      <c r="A88">
        <v>2011</v>
      </c>
      <c r="B88" s="20" t="s">
        <v>46</v>
      </c>
      <c r="C88" s="2">
        <v>40758</v>
      </c>
      <c r="D88">
        <v>126</v>
      </c>
      <c r="E88" t="s">
        <v>102</v>
      </c>
      <c r="F88">
        <v>1362</v>
      </c>
      <c r="G88" s="20">
        <v>8006</v>
      </c>
      <c r="H88" s="20" t="s">
        <v>1</v>
      </c>
      <c r="J88" s="19"/>
    </row>
    <row r="89" spans="1:10" x14ac:dyDescent="0.2">
      <c r="A89">
        <v>2011</v>
      </c>
      <c r="B89" s="20" t="s">
        <v>46</v>
      </c>
      <c r="C89" s="2">
        <v>40758</v>
      </c>
      <c r="D89">
        <v>126</v>
      </c>
      <c r="E89" t="s">
        <v>104</v>
      </c>
      <c r="F89">
        <v>1363</v>
      </c>
      <c r="G89" s="20" t="s">
        <v>1</v>
      </c>
      <c r="H89" s="20" t="s">
        <v>1</v>
      </c>
    </row>
    <row r="90" spans="1:10" x14ac:dyDescent="0.2">
      <c r="A90">
        <v>2011</v>
      </c>
      <c r="B90" s="20" t="s">
        <v>46</v>
      </c>
      <c r="C90" s="2">
        <v>40758</v>
      </c>
      <c r="D90">
        <v>126</v>
      </c>
      <c r="E90" t="s">
        <v>105</v>
      </c>
      <c r="F90">
        <v>1364</v>
      </c>
      <c r="G90" s="20">
        <v>8011</v>
      </c>
      <c r="H90" s="20">
        <v>8007</v>
      </c>
    </row>
    <row r="91" spans="1:10" x14ac:dyDescent="0.2">
      <c r="A91">
        <v>2011</v>
      </c>
      <c r="B91" s="20" t="s">
        <v>46</v>
      </c>
      <c r="C91" s="2">
        <v>40758</v>
      </c>
      <c r="D91">
        <v>126</v>
      </c>
      <c r="E91" t="s">
        <v>106</v>
      </c>
      <c r="F91">
        <v>1365</v>
      </c>
      <c r="G91" s="20">
        <v>8012</v>
      </c>
      <c r="H91" s="20">
        <v>8008</v>
      </c>
    </row>
    <row r="92" spans="1:10" x14ac:dyDescent="0.2">
      <c r="A92">
        <v>2011</v>
      </c>
      <c r="B92" s="20" t="s">
        <v>46</v>
      </c>
      <c r="C92" s="2">
        <v>40758</v>
      </c>
      <c r="D92">
        <v>126</v>
      </c>
      <c r="E92" t="s">
        <v>107</v>
      </c>
      <c r="F92">
        <v>1366</v>
      </c>
      <c r="G92" s="20">
        <v>8013</v>
      </c>
      <c r="H92" s="20">
        <v>8009</v>
      </c>
    </row>
    <row r="93" spans="1:10" x14ac:dyDescent="0.2">
      <c r="A93">
        <v>2011</v>
      </c>
      <c r="B93" s="20" t="s">
        <v>46</v>
      </c>
      <c r="C93" s="2">
        <v>40758</v>
      </c>
      <c r="D93">
        <v>126</v>
      </c>
      <c r="E93" t="s">
        <v>109</v>
      </c>
      <c r="F93">
        <v>1367</v>
      </c>
      <c r="G93" s="20">
        <v>8014</v>
      </c>
      <c r="H93" s="20">
        <v>8010</v>
      </c>
    </row>
    <row r="94" spans="1:10" x14ac:dyDescent="0.2">
      <c r="B94" s="20"/>
      <c r="G94" s="20"/>
      <c r="H94" s="20"/>
      <c r="J94" s="19"/>
    </row>
    <row r="95" spans="1:10" x14ac:dyDescent="0.2">
      <c r="B95" s="20"/>
      <c r="G95" s="20"/>
      <c r="H95" s="20"/>
    </row>
    <row r="96" spans="1:10" x14ac:dyDescent="0.2">
      <c r="B96" s="20"/>
      <c r="H96" s="20"/>
    </row>
    <row r="97" spans="2:10" x14ac:dyDescent="0.2">
      <c r="B97" s="20"/>
      <c r="H97" s="20"/>
    </row>
    <row r="98" spans="2:10" x14ac:dyDescent="0.2">
      <c r="B98" s="20"/>
      <c r="H98" s="20"/>
    </row>
    <row r="99" spans="2:10" x14ac:dyDescent="0.2">
      <c r="B99" s="20"/>
      <c r="H99" s="20"/>
    </row>
    <row r="100" spans="2:10" x14ac:dyDescent="0.2">
      <c r="B100" s="20"/>
      <c r="F100" s="20"/>
      <c r="G100" s="20"/>
      <c r="H100" s="20"/>
      <c r="J100" s="19"/>
    </row>
    <row r="101" spans="2:10" x14ac:dyDescent="0.2">
      <c r="B101" s="20"/>
      <c r="G101" s="20"/>
      <c r="H101" s="20"/>
    </row>
    <row r="102" spans="2:10" x14ac:dyDescent="0.2">
      <c r="B102" s="20"/>
      <c r="G102" s="20"/>
      <c r="H102" s="20"/>
    </row>
    <row r="103" spans="2:10" x14ac:dyDescent="0.2">
      <c r="B103" s="20"/>
      <c r="G103" s="20"/>
    </row>
    <row r="104" spans="2:10" x14ac:dyDescent="0.2">
      <c r="B104" s="20"/>
      <c r="G104" s="20"/>
    </row>
    <row r="105" spans="2:10" x14ac:dyDescent="0.2">
      <c r="B105" s="20"/>
      <c r="G105" s="20"/>
    </row>
    <row r="106" spans="2:10" x14ac:dyDescent="0.2">
      <c r="B106" s="20"/>
      <c r="G106" s="20"/>
      <c r="H106" s="20"/>
      <c r="J106" s="19"/>
    </row>
    <row r="107" spans="2:10" x14ac:dyDescent="0.2">
      <c r="B107" s="20"/>
      <c r="G107" s="20"/>
      <c r="H107" s="20"/>
    </row>
    <row r="108" spans="2:10" x14ac:dyDescent="0.2">
      <c r="B108" s="20"/>
      <c r="G108" s="20"/>
      <c r="H108" s="20"/>
    </row>
    <row r="109" spans="2:10" x14ac:dyDescent="0.2">
      <c r="B109" s="20"/>
      <c r="G109" s="20"/>
      <c r="H109" s="20"/>
    </row>
    <row r="110" spans="2:10" x14ac:dyDescent="0.2">
      <c r="B110" s="20"/>
      <c r="H110" s="20"/>
    </row>
    <row r="111" spans="2:10" x14ac:dyDescent="0.2">
      <c r="B111" s="20"/>
      <c r="H111" s="20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"/>
  <sheetViews>
    <sheetView workbookViewId="0">
      <pane ySplit="4" topLeftCell="A5" activePane="bottomLeft" state="frozen"/>
      <selection pane="bottomLeft" activeCell="F35" sqref="F35"/>
    </sheetView>
  </sheetViews>
  <sheetFormatPr defaultRowHeight="12.75" x14ac:dyDescent="0.2"/>
  <cols>
    <col min="2" max="2" width="9.7109375" customWidth="1"/>
    <col min="3" max="3" width="9.140625" style="2" customWidth="1"/>
    <col min="5" max="5" width="18.5703125" bestFit="1" customWidth="1"/>
  </cols>
  <sheetData>
    <row r="1" spans="1:13" x14ac:dyDescent="0.2">
      <c r="A1" s="2" t="s">
        <v>148</v>
      </c>
      <c r="D1" s="1"/>
      <c r="E1" s="1"/>
      <c r="F1" s="1"/>
      <c r="G1" s="1"/>
      <c r="H1" s="1"/>
      <c r="I1" s="1"/>
      <c r="J1" s="1"/>
      <c r="K1" s="1"/>
      <c r="L1" s="1"/>
    </row>
    <row r="2" spans="1:13" x14ac:dyDescent="0.2">
      <c r="A2" s="2" t="s">
        <v>149</v>
      </c>
      <c r="D2" s="1"/>
      <c r="E2" s="1"/>
      <c r="F2" s="1"/>
      <c r="G2" s="1"/>
      <c r="H2" s="1"/>
      <c r="I2" s="1"/>
      <c r="J2" s="1"/>
      <c r="K2" s="1"/>
      <c r="L2" s="1"/>
    </row>
    <row r="3" spans="1:13" x14ac:dyDescent="0.2">
      <c r="D3" s="1"/>
      <c r="E3" s="1"/>
      <c r="F3" s="1"/>
      <c r="G3" s="1"/>
      <c r="H3" s="1"/>
      <c r="I3" s="1"/>
      <c r="J3" s="1"/>
      <c r="K3" s="1"/>
      <c r="L3" s="1"/>
    </row>
    <row r="4" spans="1:13" ht="13.5" thickBot="1" x14ac:dyDescent="0.25">
      <c r="A4" s="24" t="s">
        <v>8</v>
      </c>
      <c r="B4" s="24" t="s">
        <v>9</v>
      </c>
      <c r="C4" s="11" t="s">
        <v>10</v>
      </c>
      <c r="D4" s="7" t="s">
        <v>11</v>
      </c>
      <c r="E4" s="7" t="s">
        <v>12</v>
      </c>
      <c r="F4" s="7" t="s">
        <v>150</v>
      </c>
      <c r="G4" s="21" t="s">
        <v>151</v>
      </c>
      <c r="H4" s="7" t="s">
        <v>152</v>
      </c>
      <c r="I4" s="21" t="s">
        <v>153</v>
      </c>
      <c r="J4" s="7" t="s">
        <v>154</v>
      </c>
      <c r="K4" s="21" t="s">
        <v>155</v>
      </c>
      <c r="L4" s="7" t="s">
        <v>156</v>
      </c>
      <c r="M4" s="7" t="s">
        <v>157</v>
      </c>
    </row>
    <row r="5" spans="1:13" ht="13.5" thickTop="1" x14ac:dyDescent="0.2">
      <c r="A5">
        <v>2011</v>
      </c>
      <c r="B5" t="s">
        <v>46</v>
      </c>
      <c r="C5" s="2">
        <v>40750</v>
      </c>
      <c r="D5">
        <v>25</v>
      </c>
      <c r="E5" s="20" t="s">
        <v>158</v>
      </c>
      <c r="F5" s="20">
        <v>81</v>
      </c>
      <c r="G5" s="20">
        <v>90</v>
      </c>
      <c r="H5" s="20">
        <v>81</v>
      </c>
      <c r="I5" s="20">
        <v>90</v>
      </c>
      <c r="J5" s="20">
        <v>81</v>
      </c>
      <c r="K5" s="20">
        <v>90</v>
      </c>
      <c r="L5" s="20">
        <v>61</v>
      </c>
      <c r="M5" s="20">
        <v>70</v>
      </c>
    </row>
    <row r="6" spans="1:13" x14ac:dyDescent="0.2">
      <c r="A6">
        <v>2011</v>
      </c>
      <c r="B6" t="s">
        <v>46</v>
      </c>
      <c r="C6" s="2">
        <v>40750</v>
      </c>
      <c r="D6">
        <v>25</v>
      </c>
      <c r="E6" s="20" t="s">
        <v>159</v>
      </c>
      <c r="F6" s="20">
        <v>81</v>
      </c>
      <c r="G6" s="20">
        <v>90</v>
      </c>
      <c r="H6" s="20">
        <v>81</v>
      </c>
      <c r="I6" s="20">
        <v>90</v>
      </c>
      <c r="J6" s="20">
        <v>81</v>
      </c>
      <c r="K6" s="20">
        <v>90</v>
      </c>
      <c r="L6" s="20">
        <v>61</v>
      </c>
      <c r="M6" s="20">
        <v>70</v>
      </c>
    </row>
    <row r="7" spans="1:13" x14ac:dyDescent="0.2">
      <c r="A7">
        <v>2011</v>
      </c>
      <c r="B7" t="s">
        <v>46</v>
      </c>
      <c r="C7" s="2">
        <v>40750</v>
      </c>
      <c r="D7">
        <v>25</v>
      </c>
      <c r="E7" s="20" t="s">
        <v>84</v>
      </c>
      <c r="F7" t="s">
        <v>2</v>
      </c>
      <c r="G7" s="20">
        <v>0.5</v>
      </c>
      <c r="H7" t="s">
        <v>2</v>
      </c>
      <c r="I7" s="20">
        <v>0.5</v>
      </c>
      <c r="J7" s="20" t="s">
        <v>2</v>
      </c>
      <c r="K7" s="20">
        <v>0.5</v>
      </c>
      <c r="L7" s="20">
        <v>0</v>
      </c>
      <c r="M7" s="20">
        <v>0</v>
      </c>
    </row>
    <row r="8" spans="1:13" x14ac:dyDescent="0.2">
      <c r="A8">
        <v>2011</v>
      </c>
      <c r="B8" t="s">
        <v>46</v>
      </c>
      <c r="C8" s="2">
        <v>40750</v>
      </c>
      <c r="D8">
        <v>25</v>
      </c>
      <c r="E8" s="20" t="s">
        <v>54</v>
      </c>
      <c r="F8" s="20">
        <v>1</v>
      </c>
      <c r="G8" s="20">
        <v>3</v>
      </c>
      <c r="H8" s="20">
        <v>1</v>
      </c>
      <c r="I8" s="20">
        <v>3</v>
      </c>
      <c r="J8" s="20">
        <v>0</v>
      </c>
      <c r="K8" s="20">
        <v>0</v>
      </c>
      <c r="L8" s="20">
        <v>0</v>
      </c>
      <c r="M8" s="20">
        <v>0</v>
      </c>
    </row>
    <row r="9" spans="1:13" x14ac:dyDescent="0.2">
      <c r="A9">
        <v>2011</v>
      </c>
      <c r="B9" t="s">
        <v>46</v>
      </c>
      <c r="C9" s="2">
        <v>40750</v>
      </c>
      <c r="D9">
        <v>25</v>
      </c>
      <c r="E9" s="20" t="s">
        <v>72</v>
      </c>
      <c r="F9" t="s">
        <v>2</v>
      </c>
      <c r="G9" s="20">
        <v>0.5</v>
      </c>
      <c r="H9" t="s">
        <v>2</v>
      </c>
      <c r="I9" s="20">
        <v>0.5</v>
      </c>
      <c r="J9" s="20">
        <v>0</v>
      </c>
      <c r="K9" s="20">
        <v>0</v>
      </c>
      <c r="L9" s="20">
        <v>0</v>
      </c>
      <c r="M9" s="20">
        <v>0</v>
      </c>
    </row>
    <row r="10" spans="1:13" x14ac:dyDescent="0.2">
      <c r="A10">
        <v>2011</v>
      </c>
      <c r="B10" t="s">
        <v>46</v>
      </c>
      <c r="C10" s="2">
        <v>40750</v>
      </c>
      <c r="D10">
        <v>25</v>
      </c>
      <c r="E10" s="20" t="s">
        <v>63</v>
      </c>
      <c r="F10" s="20">
        <v>1</v>
      </c>
      <c r="G10" s="20">
        <v>3</v>
      </c>
      <c r="H10" s="20">
        <v>1</v>
      </c>
      <c r="I10" s="20">
        <v>3</v>
      </c>
      <c r="J10" s="20">
        <v>0</v>
      </c>
      <c r="K10" s="20">
        <v>0</v>
      </c>
      <c r="L10" s="20">
        <v>0</v>
      </c>
      <c r="M10" s="20">
        <v>0</v>
      </c>
    </row>
    <row r="11" spans="1:13" x14ac:dyDescent="0.2">
      <c r="A11">
        <v>2011</v>
      </c>
      <c r="B11" t="s">
        <v>46</v>
      </c>
      <c r="C11" s="2">
        <v>40750</v>
      </c>
      <c r="D11">
        <v>25</v>
      </c>
      <c r="E11" s="20" t="s">
        <v>49</v>
      </c>
      <c r="F11" t="s">
        <v>2</v>
      </c>
      <c r="G11" s="20">
        <v>0.5</v>
      </c>
      <c r="H11" s="20">
        <v>1</v>
      </c>
      <c r="I11" s="20">
        <v>3</v>
      </c>
      <c r="J11">
        <v>0</v>
      </c>
      <c r="K11">
        <v>0</v>
      </c>
      <c r="L11" s="20">
        <v>0</v>
      </c>
      <c r="M11" s="20">
        <v>0</v>
      </c>
    </row>
    <row r="12" spans="1:13" x14ac:dyDescent="0.2">
      <c r="A12">
        <v>2011</v>
      </c>
      <c r="B12" t="s">
        <v>46</v>
      </c>
      <c r="C12" s="2">
        <v>40750</v>
      </c>
      <c r="D12">
        <v>26</v>
      </c>
      <c r="E12" s="20" t="s">
        <v>158</v>
      </c>
      <c r="F12" s="20">
        <v>81</v>
      </c>
      <c r="G12" s="20">
        <v>90</v>
      </c>
      <c r="H12" s="20">
        <v>81</v>
      </c>
      <c r="I12" s="20">
        <v>90</v>
      </c>
      <c r="J12" s="20">
        <v>81</v>
      </c>
      <c r="K12" s="20">
        <v>90</v>
      </c>
      <c r="L12" s="20">
        <v>81</v>
      </c>
      <c r="M12" s="20">
        <v>90</v>
      </c>
    </row>
    <row r="13" spans="1:13" x14ac:dyDescent="0.2">
      <c r="A13">
        <v>2011</v>
      </c>
      <c r="B13" t="s">
        <v>46</v>
      </c>
      <c r="C13" s="2">
        <v>40750</v>
      </c>
      <c r="D13">
        <v>26</v>
      </c>
      <c r="E13" s="20" t="s">
        <v>159</v>
      </c>
      <c r="F13" s="20">
        <v>61</v>
      </c>
      <c r="G13" s="20">
        <v>70</v>
      </c>
      <c r="H13" s="20">
        <v>41</v>
      </c>
      <c r="I13" s="20">
        <v>50</v>
      </c>
      <c r="J13" s="20">
        <v>61</v>
      </c>
      <c r="K13" s="20">
        <v>70</v>
      </c>
      <c r="L13" s="20">
        <v>81</v>
      </c>
      <c r="M13" s="20">
        <v>90</v>
      </c>
    </row>
    <row r="14" spans="1:13" x14ac:dyDescent="0.2">
      <c r="A14">
        <v>2011</v>
      </c>
      <c r="B14" t="s">
        <v>46</v>
      </c>
      <c r="C14" s="2">
        <v>40750</v>
      </c>
      <c r="D14">
        <v>26</v>
      </c>
      <c r="E14" s="20" t="s">
        <v>54</v>
      </c>
      <c r="F14" s="20">
        <v>21</v>
      </c>
      <c r="G14" s="20">
        <v>30</v>
      </c>
      <c r="H14" s="20">
        <v>41</v>
      </c>
      <c r="I14" s="20">
        <v>50</v>
      </c>
      <c r="J14" s="20">
        <v>11</v>
      </c>
      <c r="K14" s="20">
        <v>15</v>
      </c>
      <c r="L14" s="20">
        <v>0</v>
      </c>
      <c r="M14" s="20">
        <v>0</v>
      </c>
    </row>
    <row r="15" spans="1:13" x14ac:dyDescent="0.2">
      <c r="A15">
        <v>2011</v>
      </c>
      <c r="B15" t="s">
        <v>46</v>
      </c>
      <c r="C15" s="2">
        <v>40750</v>
      </c>
      <c r="D15">
        <v>26</v>
      </c>
      <c r="E15" s="20" t="s">
        <v>49</v>
      </c>
      <c r="F15" s="20">
        <v>1</v>
      </c>
      <c r="G15" s="20">
        <v>3</v>
      </c>
      <c r="H15" s="20">
        <v>1</v>
      </c>
      <c r="I15" s="20">
        <v>3</v>
      </c>
      <c r="J15" t="s">
        <v>2</v>
      </c>
      <c r="K15" s="20">
        <v>0.5</v>
      </c>
      <c r="L15" s="20">
        <v>0</v>
      </c>
      <c r="M15" s="20">
        <v>0</v>
      </c>
    </row>
    <row r="16" spans="1:13" x14ac:dyDescent="0.2">
      <c r="A16">
        <v>2011</v>
      </c>
      <c r="B16" t="s">
        <v>46</v>
      </c>
      <c r="C16" s="2">
        <v>40750</v>
      </c>
      <c r="D16">
        <v>26</v>
      </c>
      <c r="E16" s="20" t="s">
        <v>63</v>
      </c>
      <c r="F16" s="20">
        <v>6</v>
      </c>
      <c r="G16" s="20">
        <v>8</v>
      </c>
      <c r="H16" s="20">
        <v>1</v>
      </c>
      <c r="I16" s="20">
        <v>3</v>
      </c>
      <c r="J16" s="20">
        <v>0</v>
      </c>
      <c r="K16" s="20">
        <v>0</v>
      </c>
      <c r="L16" s="20">
        <v>0</v>
      </c>
      <c r="M16" s="20">
        <v>0</v>
      </c>
    </row>
    <row r="17" spans="1:13" x14ac:dyDescent="0.2">
      <c r="A17">
        <v>2011</v>
      </c>
      <c r="B17" t="s">
        <v>46</v>
      </c>
      <c r="C17" s="2">
        <v>40750</v>
      </c>
      <c r="D17">
        <v>26</v>
      </c>
      <c r="E17" s="20" t="s">
        <v>160</v>
      </c>
      <c r="F17" t="s">
        <v>2</v>
      </c>
      <c r="G17" s="20">
        <v>0.5</v>
      </c>
      <c r="H17" t="s">
        <v>2</v>
      </c>
      <c r="I17" s="20">
        <v>0.5</v>
      </c>
      <c r="J17" s="20">
        <v>0</v>
      </c>
      <c r="K17" s="20">
        <v>0</v>
      </c>
      <c r="L17" s="20">
        <v>0</v>
      </c>
      <c r="M17" s="20">
        <v>0</v>
      </c>
    </row>
    <row r="18" spans="1:13" x14ac:dyDescent="0.2">
      <c r="A18">
        <v>2011</v>
      </c>
      <c r="B18" t="s">
        <v>46</v>
      </c>
      <c r="C18" s="2">
        <v>40750</v>
      </c>
      <c r="D18">
        <v>26</v>
      </c>
      <c r="E18" s="20" t="s">
        <v>72</v>
      </c>
      <c r="F18" t="s">
        <v>2</v>
      </c>
      <c r="G18" s="20">
        <v>0.5</v>
      </c>
      <c r="H18" t="s">
        <v>2</v>
      </c>
      <c r="I18">
        <v>0.5</v>
      </c>
      <c r="J18" t="s">
        <v>2</v>
      </c>
      <c r="K18" s="20">
        <v>0.5</v>
      </c>
      <c r="L18" t="s">
        <v>2</v>
      </c>
      <c r="M18" s="20">
        <v>0.5</v>
      </c>
    </row>
    <row r="19" spans="1:13" x14ac:dyDescent="0.2">
      <c r="A19">
        <v>2011</v>
      </c>
      <c r="B19" t="s">
        <v>46</v>
      </c>
      <c r="C19" s="2">
        <v>40750</v>
      </c>
      <c r="D19">
        <v>27</v>
      </c>
      <c r="E19" s="20" t="s">
        <v>158</v>
      </c>
      <c r="F19" s="20">
        <v>81</v>
      </c>
      <c r="G19" s="20">
        <v>90</v>
      </c>
      <c r="H19" s="20">
        <v>81</v>
      </c>
      <c r="I19" s="20">
        <v>90</v>
      </c>
      <c r="J19" s="20">
        <v>81</v>
      </c>
      <c r="K19" s="20">
        <v>90</v>
      </c>
      <c r="L19" s="20">
        <v>81</v>
      </c>
      <c r="M19" s="20">
        <v>90</v>
      </c>
    </row>
    <row r="20" spans="1:13" x14ac:dyDescent="0.2">
      <c r="A20">
        <v>2011</v>
      </c>
      <c r="B20" t="s">
        <v>46</v>
      </c>
      <c r="C20" s="2">
        <v>40750</v>
      </c>
      <c r="D20">
        <v>27</v>
      </c>
      <c r="E20" s="20" t="s">
        <v>159</v>
      </c>
      <c r="F20" s="20">
        <v>61</v>
      </c>
      <c r="G20" s="20">
        <v>70</v>
      </c>
      <c r="H20" s="20">
        <v>61</v>
      </c>
      <c r="I20" s="20">
        <v>70</v>
      </c>
      <c r="J20" s="20">
        <v>81</v>
      </c>
      <c r="K20" s="20">
        <v>90</v>
      </c>
      <c r="L20" s="20">
        <v>81</v>
      </c>
      <c r="M20" s="20">
        <v>90</v>
      </c>
    </row>
    <row r="21" spans="1:13" x14ac:dyDescent="0.2">
      <c r="A21">
        <v>2011</v>
      </c>
      <c r="B21" t="s">
        <v>46</v>
      </c>
      <c r="C21" s="2">
        <v>40750</v>
      </c>
      <c r="D21">
        <v>27</v>
      </c>
      <c r="E21" s="20" t="s">
        <v>54</v>
      </c>
      <c r="F21" s="20">
        <v>6</v>
      </c>
      <c r="G21" s="20">
        <v>8</v>
      </c>
      <c r="H21" s="20">
        <v>11</v>
      </c>
      <c r="I21" s="20">
        <v>15</v>
      </c>
      <c r="J21" s="20">
        <v>1</v>
      </c>
      <c r="K21" s="20">
        <v>3</v>
      </c>
      <c r="L21" s="20">
        <v>0</v>
      </c>
      <c r="M21" s="20">
        <v>0</v>
      </c>
    </row>
    <row r="22" spans="1:13" x14ac:dyDescent="0.2">
      <c r="A22">
        <v>2011</v>
      </c>
      <c r="B22" t="s">
        <v>46</v>
      </c>
      <c r="C22" s="2">
        <v>40750</v>
      </c>
      <c r="D22">
        <v>27</v>
      </c>
      <c r="E22" s="20" t="s">
        <v>70</v>
      </c>
      <c r="F22" s="20">
        <v>6</v>
      </c>
      <c r="G22" s="20">
        <v>8</v>
      </c>
      <c r="H22" s="20">
        <v>1</v>
      </c>
      <c r="I22" s="20">
        <v>3</v>
      </c>
      <c r="J22" s="20">
        <v>0</v>
      </c>
      <c r="K22" s="20">
        <v>0</v>
      </c>
      <c r="L22" s="20">
        <v>0</v>
      </c>
      <c r="M22" s="20">
        <v>0</v>
      </c>
    </row>
    <row r="23" spans="1:13" x14ac:dyDescent="0.2">
      <c r="A23">
        <v>2011</v>
      </c>
      <c r="B23" t="s">
        <v>46</v>
      </c>
      <c r="C23" s="2">
        <v>40750</v>
      </c>
      <c r="D23">
        <v>27</v>
      </c>
      <c r="E23" s="20" t="s">
        <v>49</v>
      </c>
      <c r="F23" s="20">
        <v>1</v>
      </c>
      <c r="G23" s="20">
        <v>3</v>
      </c>
      <c r="H23" s="20">
        <v>1</v>
      </c>
      <c r="I23" s="20">
        <v>3</v>
      </c>
      <c r="J23" s="20" t="s">
        <v>2</v>
      </c>
      <c r="K23" s="20">
        <v>0.5</v>
      </c>
      <c r="L23" s="20">
        <v>0</v>
      </c>
      <c r="M23" s="20">
        <v>0</v>
      </c>
    </row>
    <row r="24" spans="1:13" x14ac:dyDescent="0.2">
      <c r="A24">
        <v>2011</v>
      </c>
      <c r="B24" t="s">
        <v>46</v>
      </c>
      <c r="C24" s="2">
        <v>40750</v>
      </c>
      <c r="D24">
        <v>27</v>
      </c>
      <c r="E24" s="20" t="s">
        <v>72</v>
      </c>
      <c r="F24" s="20" t="s">
        <v>2</v>
      </c>
      <c r="G24" s="20">
        <v>0.5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 spans="1:13" x14ac:dyDescent="0.2">
      <c r="A25">
        <v>2011</v>
      </c>
      <c r="B25" t="s">
        <v>46</v>
      </c>
      <c r="C25" s="2">
        <v>40750</v>
      </c>
      <c r="D25">
        <v>27</v>
      </c>
      <c r="E25" s="20" t="s">
        <v>63</v>
      </c>
      <c r="F25" s="20">
        <v>1</v>
      </c>
      <c r="G25" s="20">
        <v>3</v>
      </c>
      <c r="H25" s="20" t="s">
        <v>2</v>
      </c>
      <c r="I25" s="20">
        <v>0.5</v>
      </c>
      <c r="J25" s="20">
        <v>0</v>
      </c>
      <c r="K25" s="20">
        <v>0</v>
      </c>
      <c r="L25" s="20">
        <v>0</v>
      </c>
      <c r="M25" s="20">
        <v>0</v>
      </c>
    </row>
    <row r="26" spans="1:13" x14ac:dyDescent="0.2">
      <c r="A26">
        <v>2011</v>
      </c>
      <c r="B26" t="s">
        <v>46</v>
      </c>
      <c r="C26" s="2">
        <v>40750</v>
      </c>
      <c r="D26">
        <v>27</v>
      </c>
      <c r="E26" s="20" t="s">
        <v>84</v>
      </c>
      <c r="F26" s="20">
        <v>1</v>
      </c>
      <c r="G26" s="20">
        <v>3</v>
      </c>
      <c r="H26" s="20">
        <v>1</v>
      </c>
      <c r="I26" s="20">
        <v>3</v>
      </c>
      <c r="J26" s="20" t="s">
        <v>2</v>
      </c>
      <c r="K26" s="20">
        <v>0.5</v>
      </c>
      <c r="L26" s="20">
        <v>0</v>
      </c>
      <c r="M26" s="20">
        <v>0</v>
      </c>
    </row>
    <row r="27" spans="1:13" x14ac:dyDescent="0.2">
      <c r="A27">
        <v>2011</v>
      </c>
      <c r="B27" t="s">
        <v>46</v>
      </c>
      <c r="C27" s="2">
        <v>40750</v>
      </c>
      <c r="D27">
        <v>27</v>
      </c>
      <c r="E27" s="20" t="s">
        <v>161</v>
      </c>
      <c r="F27" s="20" t="s">
        <v>2</v>
      </c>
      <c r="G27" s="20">
        <v>0.5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 x14ac:dyDescent="0.2">
      <c r="A28">
        <v>2011</v>
      </c>
      <c r="B28" t="s">
        <v>46</v>
      </c>
      <c r="C28" s="2">
        <v>40738</v>
      </c>
      <c r="D28">
        <v>31</v>
      </c>
      <c r="E28" s="20" t="s">
        <v>158</v>
      </c>
      <c r="F28" s="20">
        <v>61</v>
      </c>
      <c r="G28" s="20">
        <v>70</v>
      </c>
      <c r="H28" s="20">
        <v>61</v>
      </c>
      <c r="I28" s="20">
        <v>70</v>
      </c>
      <c r="J28" s="20">
        <v>61</v>
      </c>
      <c r="K28" s="20">
        <v>70</v>
      </c>
      <c r="L28" s="20">
        <v>81</v>
      </c>
      <c r="M28" s="20">
        <v>90</v>
      </c>
    </row>
    <row r="29" spans="1:13" x14ac:dyDescent="0.2">
      <c r="A29">
        <v>2011</v>
      </c>
      <c r="B29" t="s">
        <v>46</v>
      </c>
      <c r="C29" s="2">
        <v>40738</v>
      </c>
      <c r="D29">
        <v>31</v>
      </c>
      <c r="E29" s="20" t="s">
        <v>159</v>
      </c>
      <c r="F29" s="20">
        <v>61</v>
      </c>
      <c r="G29" s="20">
        <v>70</v>
      </c>
      <c r="H29" s="20">
        <v>61</v>
      </c>
      <c r="I29" s="20">
        <v>70</v>
      </c>
      <c r="J29" s="20">
        <v>61</v>
      </c>
      <c r="K29" s="20">
        <v>70</v>
      </c>
      <c r="L29" s="20">
        <v>81</v>
      </c>
      <c r="M29" s="20">
        <v>90</v>
      </c>
    </row>
    <row r="30" spans="1:13" x14ac:dyDescent="0.2">
      <c r="A30">
        <v>2011</v>
      </c>
      <c r="B30" t="s">
        <v>46</v>
      </c>
      <c r="C30" s="2">
        <v>40738</v>
      </c>
      <c r="D30">
        <v>31</v>
      </c>
      <c r="E30" s="20" t="s">
        <v>63</v>
      </c>
      <c r="F30" s="20" t="s">
        <v>2</v>
      </c>
      <c r="G30" s="20">
        <v>0.5</v>
      </c>
      <c r="H30" s="20" t="s">
        <v>2</v>
      </c>
      <c r="I30" s="20">
        <v>0.5</v>
      </c>
      <c r="J30" s="20">
        <v>0</v>
      </c>
      <c r="K30" s="20">
        <v>0</v>
      </c>
      <c r="L30" s="20">
        <v>0</v>
      </c>
      <c r="M30" s="20">
        <v>0</v>
      </c>
    </row>
    <row r="31" spans="1:13" x14ac:dyDescent="0.2">
      <c r="A31">
        <v>2011</v>
      </c>
      <c r="B31" t="s">
        <v>46</v>
      </c>
      <c r="C31" s="2">
        <v>40738</v>
      </c>
      <c r="D31">
        <v>31</v>
      </c>
      <c r="E31" s="20" t="s">
        <v>54</v>
      </c>
      <c r="F31" s="20" t="s">
        <v>2</v>
      </c>
      <c r="G31" s="20">
        <v>0.5</v>
      </c>
      <c r="H31" s="20">
        <v>1</v>
      </c>
      <c r="I31" s="20">
        <v>3</v>
      </c>
      <c r="J31" s="20">
        <v>1</v>
      </c>
      <c r="K31" s="20">
        <v>3</v>
      </c>
      <c r="L31" s="20">
        <v>0</v>
      </c>
      <c r="M31" s="20">
        <v>0</v>
      </c>
    </row>
    <row r="32" spans="1:13" x14ac:dyDescent="0.2">
      <c r="A32">
        <v>2011</v>
      </c>
      <c r="B32" t="s">
        <v>46</v>
      </c>
      <c r="C32" s="2">
        <v>40738</v>
      </c>
      <c r="D32">
        <v>31</v>
      </c>
      <c r="E32" s="20" t="s">
        <v>48</v>
      </c>
      <c r="F32" s="20" t="s">
        <v>2</v>
      </c>
      <c r="G32" s="20">
        <v>0.5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 spans="1:13" x14ac:dyDescent="0.2">
      <c r="A33">
        <v>2011</v>
      </c>
      <c r="B33" t="s">
        <v>46</v>
      </c>
      <c r="C33" s="2">
        <v>40709</v>
      </c>
      <c r="D33">
        <v>32</v>
      </c>
      <c r="E33" t="s">
        <v>158</v>
      </c>
      <c r="F33">
        <v>61</v>
      </c>
      <c r="G33">
        <v>70</v>
      </c>
      <c r="H33">
        <v>61</v>
      </c>
      <c r="I33">
        <v>70</v>
      </c>
      <c r="J33">
        <v>61</v>
      </c>
      <c r="K33">
        <v>70</v>
      </c>
      <c r="L33">
        <v>81</v>
      </c>
      <c r="M33">
        <v>90</v>
      </c>
    </row>
    <row r="34" spans="1:13" x14ac:dyDescent="0.2">
      <c r="A34">
        <v>2011</v>
      </c>
      <c r="B34" t="s">
        <v>46</v>
      </c>
      <c r="C34" s="2">
        <v>40709</v>
      </c>
      <c r="D34">
        <v>32</v>
      </c>
      <c r="E34" t="s">
        <v>159</v>
      </c>
      <c r="F34" s="35">
        <v>41</v>
      </c>
      <c r="G34" s="35">
        <v>50</v>
      </c>
      <c r="H34" s="35">
        <v>21</v>
      </c>
      <c r="I34" s="35">
        <v>30</v>
      </c>
      <c r="J34">
        <v>61</v>
      </c>
      <c r="K34">
        <v>70</v>
      </c>
      <c r="L34">
        <v>81</v>
      </c>
      <c r="M34">
        <v>90</v>
      </c>
    </row>
    <row r="35" spans="1:13" x14ac:dyDescent="0.2">
      <c r="A35">
        <v>2011</v>
      </c>
      <c r="B35" t="s">
        <v>46</v>
      </c>
      <c r="C35" s="2">
        <v>40709</v>
      </c>
      <c r="D35">
        <v>32</v>
      </c>
      <c r="E35" t="s">
        <v>54</v>
      </c>
      <c r="F35">
        <v>21</v>
      </c>
      <c r="G35">
        <v>30</v>
      </c>
      <c r="H35">
        <v>41</v>
      </c>
      <c r="I35">
        <v>50</v>
      </c>
      <c r="J35">
        <v>11</v>
      </c>
      <c r="K35">
        <v>15</v>
      </c>
      <c r="L35">
        <v>0</v>
      </c>
      <c r="M35">
        <v>0</v>
      </c>
    </row>
    <row r="36" spans="1:13" x14ac:dyDescent="0.2">
      <c r="A36">
        <v>2011</v>
      </c>
      <c r="B36" t="s">
        <v>46</v>
      </c>
      <c r="C36" s="2">
        <v>40709</v>
      </c>
      <c r="D36">
        <v>32</v>
      </c>
      <c r="E36" t="s">
        <v>63</v>
      </c>
      <c r="F36" t="s">
        <v>2</v>
      </c>
      <c r="G36">
        <v>0.5</v>
      </c>
      <c r="H36" t="s">
        <v>2</v>
      </c>
      <c r="I36">
        <v>0.5</v>
      </c>
      <c r="J36">
        <v>0</v>
      </c>
      <c r="K36">
        <v>0</v>
      </c>
      <c r="L36">
        <v>0</v>
      </c>
      <c r="M36">
        <v>0</v>
      </c>
    </row>
    <row r="37" spans="1:13" x14ac:dyDescent="0.2">
      <c r="A37">
        <v>2011</v>
      </c>
      <c r="B37" t="s">
        <v>46</v>
      </c>
      <c r="C37" s="2">
        <v>40709</v>
      </c>
      <c r="D37">
        <v>32</v>
      </c>
      <c r="E37" t="s">
        <v>49</v>
      </c>
      <c r="F37" t="s">
        <v>2</v>
      </c>
      <c r="G37">
        <v>0.5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>
        <v>2011</v>
      </c>
      <c r="B38" t="s">
        <v>46</v>
      </c>
      <c r="C38" s="2">
        <v>40709</v>
      </c>
      <c r="D38">
        <v>32</v>
      </c>
      <c r="E38" t="s">
        <v>72</v>
      </c>
      <c r="F38" t="s">
        <v>2</v>
      </c>
      <c r="G38">
        <v>0.5</v>
      </c>
      <c r="H38" t="s">
        <v>2</v>
      </c>
      <c r="I38">
        <v>0.5</v>
      </c>
      <c r="J38">
        <v>0</v>
      </c>
      <c r="K38">
        <v>0</v>
      </c>
      <c r="L38">
        <v>0</v>
      </c>
      <c r="M38">
        <v>0</v>
      </c>
    </row>
    <row r="39" spans="1:13" x14ac:dyDescent="0.2">
      <c r="A39">
        <v>2011</v>
      </c>
      <c r="B39" t="s">
        <v>46</v>
      </c>
      <c r="C39" s="2">
        <v>40709</v>
      </c>
      <c r="D39">
        <v>32</v>
      </c>
      <c r="E39" t="s">
        <v>48</v>
      </c>
      <c r="F39" t="s">
        <v>2</v>
      </c>
      <c r="G39">
        <v>0.5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>
        <v>2011</v>
      </c>
      <c r="B40" t="s">
        <v>46</v>
      </c>
      <c r="C40" s="2">
        <v>40758</v>
      </c>
      <c r="D40">
        <v>33</v>
      </c>
      <c r="E40" s="20" t="s">
        <v>158</v>
      </c>
      <c r="F40" s="20">
        <v>81</v>
      </c>
      <c r="G40" s="20">
        <v>90</v>
      </c>
      <c r="H40" s="20">
        <v>81</v>
      </c>
      <c r="I40" s="20">
        <v>90</v>
      </c>
      <c r="J40" s="20">
        <v>61</v>
      </c>
      <c r="K40" s="20">
        <v>70</v>
      </c>
      <c r="L40" s="20">
        <v>61</v>
      </c>
      <c r="M40" s="20">
        <v>70</v>
      </c>
    </row>
    <row r="41" spans="1:13" x14ac:dyDescent="0.2">
      <c r="A41">
        <v>2011</v>
      </c>
      <c r="B41" t="s">
        <v>46</v>
      </c>
      <c r="C41" s="2">
        <v>40758</v>
      </c>
      <c r="D41">
        <v>33</v>
      </c>
      <c r="E41" s="20" t="s">
        <v>159</v>
      </c>
      <c r="F41" s="20">
        <v>81</v>
      </c>
      <c r="G41" s="20">
        <v>90</v>
      </c>
      <c r="H41" s="20">
        <v>41</v>
      </c>
      <c r="I41" s="20">
        <v>50</v>
      </c>
      <c r="J41" s="20">
        <v>61</v>
      </c>
      <c r="K41" s="20">
        <v>70</v>
      </c>
      <c r="L41" s="20">
        <v>61</v>
      </c>
      <c r="M41" s="20">
        <v>70</v>
      </c>
    </row>
    <row r="42" spans="1:13" x14ac:dyDescent="0.2">
      <c r="A42">
        <v>2011</v>
      </c>
      <c r="B42" t="s">
        <v>46</v>
      </c>
      <c r="C42" s="2">
        <v>40758</v>
      </c>
      <c r="D42">
        <v>33</v>
      </c>
      <c r="E42" s="20" t="s">
        <v>54</v>
      </c>
      <c r="F42" s="20">
        <v>11</v>
      </c>
      <c r="G42" s="20">
        <v>15</v>
      </c>
      <c r="H42" s="20">
        <v>31</v>
      </c>
      <c r="I42" s="20">
        <v>40</v>
      </c>
      <c r="J42" s="20">
        <v>11</v>
      </c>
      <c r="K42" s="20">
        <v>15</v>
      </c>
      <c r="L42" s="20">
        <v>0</v>
      </c>
      <c r="M42" s="20">
        <v>0</v>
      </c>
    </row>
    <row r="43" spans="1:13" x14ac:dyDescent="0.2">
      <c r="A43">
        <v>2011</v>
      </c>
      <c r="B43" t="s">
        <v>46</v>
      </c>
      <c r="C43" s="2">
        <v>40758</v>
      </c>
      <c r="D43">
        <v>33</v>
      </c>
      <c r="E43" s="20" t="s">
        <v>72</v>
      </c>
      <c r="F43" s="20">
        <v>1</v>
      </c>
      <c r="G43" s="20">
        <v>3</v>
      </c>
      <c r="H43" s="20">
        <v>1</v>
      </c>
      <c r="I43" s="20">
        <v>3</v>
      </c>
      <c r="J43" s="20" t="s">
        <v>2</v>
      </c>
      <c r="K43" s="20">
        <v>0.5</v>
      </c>
      <c r="L43" s="20" t="s">
        <v>2</v>
      </c>
      <c r="M43" s="20">
        <v>0.5</v>
      </c>
    </row>
    <row r="44" spans="1:13" x14ac:dyDescent="0.2">
      <c r="A44">
        <v>2011</v>
      </c>
      <c r="B44" t="s">
        <v>46</v>
      </c>
      <c r="C44" s="2">
        <v>40758</v>
      </c>
      <c r="D44">
        <v>33</v>
      </c>
      <c r="E44" s="20" t="s">
        <v>70</v>
      </c>
      <c r="F44" s="20">
        <v>1</v>
      </c>
      <c r="G44" s="20">
        <v>3</v>
      </c>
      <c r="H44" s="20">
        <v>1</v>
      </c>
      <c r="I44" s="20">
        <v>3</v>
      </c>
      <c r="J44" s="20">
        <v>0</v>
      </c>
      <c r="K44" s="20">
        <v>0</v>
      </c>
      <c r="L44" s="20">
        <v>0</v>
      </c>
      <c r="M44" s="20">
        <v>0</v>
      </c>
    </row>
    <row r="45" spans="1:13" x14ac:dyDescent="0.2">
      <c r="A45">
        <v>2011</v>
      </c>
      <c r="B45" t="s">
        <v>46</v>
      </c>
      <c r="C45" s="2">
        <v>40758</v>
      </c>
      <c r="D45">
        <v>33</v>
      </c>
      <c r="E45" s="20" t="s">
        <v>49</v>
      </c>
      <c r="F45" s="20" t="s">
        <v>2</v>
      </c>
      <c r="G45" s="20">
        <v>0.5</v>
      </c>
      <c r="H45" s="20" t="s">
        <v>2</v>
      </c>
      <c r="I45" s="20">
        <v>0.5</v>
      </c>
      <c r="J45" s="20">
        <v>0</v>
      </c>
      <c r="K45" s="20">
        <v>0</v>
      </c>
      <c r="L45" s="20">
        <v>0</v>
      </c>
      <c r="M45" s="20">
        <v>0</v>
      </c>
    </row>
    <row r="46" spans="1:13" x14ac:dyDescent="0.2">
      <c r="A46">
        <v>2011</v>
      </c>
      <c r="B46" t="s">
        <v>46</v>
      </c>
      <c r="C46" s="2">
        <v>40758</v>
      </c>
      <c r="D46">
        <v>33</v>
      </c>
      <c r="E46" s="20" t="s">
        <v>48</v>
      </c>
      <c r="F46" s="20" t="s">
        <v>2</v>
      </c>
      <c r="G46" s="20">
        <v>0.5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</row>
    <row r="47" spans="1:13" x14ac:dyDescent="0.2">
      <c r="A47">
        <v>2011</v>
      </c>
      <c r="B47" t="s">
        <v>46</v>
      </c>
      <c r="C47" s="2">
        <v>40758</v>
      </c>
      <c r="D47">
        <v>33</v>
      </c>
      <c r="E47" s="20" t="s">
        <v>84</v>
      </c>
      <c r="F47" s="20" t="s">
        <v>2</v>
      </c>
      <c r="G47" s="20">
        <v>0.5</v>
      </c>
      <c r="H47" s="20" t="s">
        <v>2</v>
      </c>
      <c r="I47" s="20">
        <v>0.5</v>
      </c>
      <c r="J47" s="20">
        <v>0</v>
      </c>
      <c r="K47" s="20">
        <v>0</v>
      </c>
      <c r="L47" s="20">
        <v>0</v>
      </c>
      <c r="M47" s="20">
        <v>0</v>
      </c>
    </row>
    <row r="48" spans="1:13" x14ac:dyDescent="0.2">
      <c r="A48">
        <v>2011</v>
      </c>
      <c r="B48" t="s">
        <v>46</v>
      </c>
      <c r="C48" s="2">
        <v>40758</v>
      </c>
      <c r="D48">
        <v>34</v>
      </c>
      <c r="E48" s="20" t="s">
        <v>158</v>
      </c>
      <c r="F48" s="20">
        <v>21</v>
      </c>
      <c r="G48" s="20">
        <v>30</v>
      </c>
      <c r="H48" s="20">
        <v>21</v>
      </c>
      <c r="I48" s="20">
        <v>30</v>
      </c>
      <c r="J48" s="20">
        <v>41</v>
      </c>
      <c r="K48" s="20">
        <v>50</v>
      </c>
      <c r="L48" s="20">
        <v>81</v>
      </c>
      <c r="M48" s="20">
        <v>90</v>
      </c>
    </row>
    <row r="49" spans="1:13" x14ac:dyDescent="0.2">
      <c r="A49">
        <v>2011</v>
      </c>
      <c r="B49" t="s">
        <v>46</v>
      </c>
      <c r="C49" s="2">
        <v>40758</v>
      </c>
      <c r="D49">
        <v>34</v>
      </c>
      <c r="E49" s="20" t="s">
        <v>159</v>
      </c>
      <c r="F49" s="20">
        <v>21</v>
      </c>
      <c r="G49" s="20">
        <v>30</v>
      </c>
      <c r="H49" s="20">
        <v>21</v>
      </c>
      <c r="I49" s="20">
        <v>30</v>
      </c>
      <c r="J49" s="20">
        <v>41</v>
      </c>
      <c r="K49" s="20">
        <v>50</v>
      </c>
      <c r="L49" s="20">
        <v>81</v>
      </c>
      <c r="M49" s="20">
        <v>90</v>
      </c>
    </row>
    <row r="50" spans="1:13" x14ac:dyDescent="0.2">
      <c r="A50">
        <v>2011</v>
      </c>
      <c r="B50" t="s">
        <v>46</v>
      </c>
      <c r="C50" s="2">
        <v>40758</v>
      </c>
      <c r="D50">
        <v>34</v>
      </c>
      <c r="E50" s="20" t="s">
        <v>48</v>
      </c>
      <c r="F50" s="20" t="s">
        <v>2</v>
      </c>
      <c r="G50" s="20">
        <v>0.5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</row>
    <row r="51" spans="1:13" x14ac:dyDescent="0.2">
      <c r="A51">
        <v>2011</v>
      </c>
      <c r="B51" t="s">
        <v>46</v>
      </c>
      <c r="C51" s="2">
        <v>40758</v>
      </c>
      <c r="D51">
        <v>34</v>
      </c>
      <c r="E51" s="20" t="s">
        <v>54</v>
      </c>
      <c r="F51" s="20" t="s">
        <v>2</v>
      </c>
      <c r="G51" s="20">
        <v>0.5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</row>
    <row r="52" spans="1:13" x14ac:dyDescent="0.2">
      <c r="A52">
        <v>2011</v>
      </c>
      <c r="B52" t="s">
        <v>46</v>
      </c>
      <c r="C52" s="2">
        <v>40758</v>
      </c>
      <c r="D52">
        <v>35</v>
      </c>
      <c r="E52" s="20" t="s">
        <v>158</v>
      </c>
      <c r="F52" s="20">
        <v>61</v>
      </c>
      <c r="G52" s="20">
        <v>70</v>
      </c>
      <c r="H52" s="20">
        <v>41</v>
      </c>
      <c r="I52" s="20">
        <v>50</v>
      </c>
      <c r="J52" s="20">
        <v>61</v>
      </c>
      <c r="K52" s="20">
        <v>70</v>
      </c>
      <c r="L52" s="20">
        <v>81</v>
      </c>
      <c r="M52" s="20">
        <v>90</v>
      </c>
    </row>
    <row r="53" spans="1:13" x14ac:dyDescent="0.2">
      <c r="A53">
        <v>2011</v>
      </c>
      <c r="B53" t="s">
        <v>46</v>
      </c>
      <c r="C53" s="2">
        <v>40758</v>
      </c>
      <c r="D53">
        <v>35</v>
      </c>
      <c r="E53" s="20" t="s">
        <v>159</v>
      </c>
      <c r="F53" s="20">
        <v>61</v>
      </c>
      <c r="G53" s="20">
        <v>70</v>
      </c>
      <c r="H53" s="20">
        <v>41</v>
      </c>
      <c r="I53" s="20">
        <v>50</v>
      </c>
      <c r="J53" s="20">
        <v>61</v>
      </c>
      <c r="K53" s="20">
        <v>70</v>
      </c>
      <c r="L53" s="20">
        <v>81</v>
      </c>
      <c r="M53" s="20">
        <v>90</v>
      </c>
    </row>
    <row r="54" spans="1:13" x14ac:dyDescent="0.2">
      <c r="A54">
        <v>2011</v>
      </c>
      <c r="B54" t="s">
        <v>46</v>
      </c>
      <c r="C54" s="2">
        <v>40738</v>
      </c>
      <c r="D54">
        <v>36</v>
      </c>
      <c r="E54" s="20" t="s">
        <v>158</v>
      </c>
      <c r="F54" s="20">
        <v>21</v>
      </c>
      <c r="G54" s="20">
        <v>30</v>
      </c>
      <c r="H54" s="20">
        <v>21</v>
      </c>
      <c r="I54" s="20">
        <v>30</v>
      </c>
      <c r="J54" s="20">
        <v>61</v>
      </c>
      <c r="K54" s="20">
        <v>70</v>
      </c>
      <c r="L54" s="20">
        <v>81</v>
      </c>
      <c r="M54" s="20">
        <v>90</v>
      </c>
    </row>
    <row r="55" spans="1:13" x14ac:dyDescent="0.2">
      <c r="A55">
        <v>2011</v>
      </c>
      <c r="B55" t="s">
        <v>46</v>
      </c>
      <c r="C55" s="2">
        <v>40738</v>
      </c>
      <c r="D55">
        <v>36</v>
      </c>
      <c r="E55" s="20" t="s">
        <v>159</v>
      </c>
      <c r="F55" s="20">
        <v>21</v>
      </c>
      <c r="G55" s="20">
        <v>30</v>
      </c>
      <c r="H55" s="20">
        <v>21</v>
      </c>
      <c r="I55" s="20">
        <v>30</v>
      </c>
      <c r="J55" s="20">
        <v>61</v>
      </c>
      <c r="K55" s="20">
        <v>70</v>
      </c>
      <c r="L55" s="20">
        <v>81</v>
      </c>
      <c r="M55" s="20">
        <v>90</v>
      </c>
    </row>
    <row r="56" spans="1:13" x14ac:dyDescent="0.2">
      <c r="A56">
        <v>2011</v>
      </c>
      <c r="B56" t="s">
        <v>46</v>
      </c>
      <c r="C56" s="2">
        <v>40738</v>
      </c>
      <c r="D56">
        <v>37</v>
      </c>
      <c r="E56" s="20" t="s">
        <v>158</v>
      </c>
      <c r="F56" s="20">
        <v>81</v>
      </c>
      <c r="G56" s="20">
        <v>90</v>
      </c>
      <c r="H56" s="20">
        <v>61</v>
      </c>
      <c r="I56" s="20">
        <v>70</v>
      </c>
      <c r="J56" s="20">
        <v>61</v>
      </c>
      <c r="K56" s="20">
        <v>70</v>
      </c>
      <c r="L56" s="20">
        <v>61</v>
      </c>
      <c r="M56" s="20">
        <v>70</v>
      </c>
    </row>
    <row r="57" spans="1:13" x14ac:dyDescent="0.2">
      <c r="A57">
        <v>2011</v>
      </c>
      <c r="B57" t="s">
        <v>46</v>
      </c>
      <c r="C57" s="2">
        <v>40738</v>
      </c>
      <c r="D57">
        <v>37</v>
      </c>
      <c r="E57" s="20" t="s">
        <v>159</v>
      </c>
      <c r="F57" s="20">
        <v>81</v>
      </c>
      <c r="G57" s="20">
        <v>90</v>
      </c>
      <c r="H57" s="20">
        <v>61</v>
      </c>
      <c r="I57" s="20">
        <v>70</v>
      </c>
      <c r="J57" s="20">
        <v>61</v>
      </c>
      <c r="K57" s="20">
        <v>70</v>
      </c>
      <c r="L57" s="20">
        <v>61</v>
      </c>
      <c r="M57" s="20">
        <v>70</v>
      </c>
    </row>
    <row r="58" spans="1:13" x14ac:dyDescent="0.2">
      <c r="A58">
        <v>2011</v>
      </c>
      <c r="B58" t="s">
        <v>46</v>
      </c>
      <c r="C58" s="2">
        <v>40738</v>
      </c>
      <c r="D58">
        <v>37</v>
      </c>
      <c r="E58" s="20" t="s">
        <v>48</v>
      </c>
      <c r="F58" s="20">
        <v>1</v>
      </c>
      <c r="G58" s="20">
        <v>3</v>
      </c>
      <c r="H58" s="20">
        <v>1</v>
      </c>
      <c r="I58" s="20">
        <v>3</v>
      </c>
      <c r="J58" s="20" t="s">
        <v>2</v>
      </c>
      <c r="K58" s="20">
        <v>0.5</v>
      </c>
      <c r="L58" s="20">
        <v>0</v>
      </c>
      <c r="M58" s="20">
        <v>0</v>
      </c>
    </row>
    <row r="59" spans="1:13" x14ac:dyDescent="0.2">
      <c r="A59">
        <v>2011</v>
      </c>
      <c r="B59" t="s">
        <v>46</v>
      </c>
      <c r="C59" s="2">
        <v>40738</v>
      </c>
      <c r="D59">
        <v>38</v>
      </c>
      <c r="E59" s="20" t="s">
        <v>158</v>
      </c>
      <c r="F59" s="20">
        <v>81</v>
      </c>
      <c r="G59" s="20">
        <v>90</v>
      </c>
      <c r="H59" s="20">
        <v>81</v>
      </c>
      <c r="I59" s="20">
        <v>90</v>
      </c>
      <c r="J59" s="20">
        <v>61</v>
      </c>
      <c r="K59" s="20">
        <v>70</v>
      </c>
      <c r="L59" s="20">
        <v>41</v>
      </c>
      <c r="M59" s="20">
        <v>50</v>
      </c>
    </row>
    <row r="60" spans="1:13" x14ac:dyDescent="0.2">
      <c r="A60">
        <v>2011</v>
      </c>
      <c r="B60" t="s">
        <v>46</v>
      </c>
      <c r="C60" s="2">
        <v>40738</v>
      </c>
      <c r="D60">
        <v>38</v>
      </c>
      <c r="E60" s="20" t="s">
        <v>159</v>
      </c>
      <c r="F60" s="20">
        <v>81</v>
      </c>
      <c r="G60" s="20">
        <v>90</v>
      </c>
      <c r="H60" s="20">
        <v>81</v>
      </c>
      <c r="I60" s="20">
        <v>90</v>
      </c>
      <c r="J60" s="20">
        <v>61</v>
      </c>
      <c r="K60" s="20">
        <v>70</v>
      </c>
      <c r="L60" s="20">
        <v>41</v>
      </c>
      <c r="M60" s="20">
        <v>50</v>
      </c>
    </row>
    <row r="61" spans="1:13" x14ac:dyDescent="0.2">
      <c r="A61">
        <v>2011</v>
      </c>
      <c r="B61" t="s">
        <v>46</v>
      </c>
      <c r="C61" s="2">
        <v>40738</v>
      </c>
      <c r="D61">
        <v>38</v>
      </c>
      <c r="E61" s="20" t="s">
        <v>48</v>
      </c>
      <c r="F61" s="20">
        <v>1</v>
      </c>
      <c r="G61" s="20">
        <v>3</v>
      </c>
      <c r="H61" s="20">
        <v>6</v>
      </c>
      <c r="I61" s="20">
        <v>8</v>
      </c>
      <c r="J61" s="20" t="s">
        <v>2</v>
      </c>
      <c r="K61" s="20">
        <v>0.5</v>
      </c>
      <c r="L61" s="20">
        <v>0</v>
      </c>
      <c r="M61" s="20">
        <v>0</v>
      </c>
    </row>
    <row r="62" spans="1:13" x14ac:dyDescent="0.2">
      <c r="A62">
        <v>2011</v>
      </c>
      <c r="B62" t="s">
        <v>46</v>
      </c>
      <c r="C62" s="2">
        <v>40738</v>
      </c>
      <c r="D62">
        <v>38</v>
      </c>
      <c r="E62" s="20" t="s">
        <v>49</v>
      </c>
      <c r="F62" s="20" t="s">
        <v>2</v>
      </c>
      <c r="G62" s="20">
        <v>0.5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</row>
    <row r="63" spans="1:13" x14ac:dyDescent="0.2">
      <c r="A63">
        <v>2011</v>
      </c>
      <c r="B63" t="s">
        <v>46</v>
      </c>
      <c r="C63" s="2">
        <v>40738</v>
      </c>
      <c r="D63">
        <v>39</v>
      </c>
      <c r="E63" s="20" t="s">
        <v>158</v>
      </c>
      <c r="F63" s="20">
        <v>81</v>
      </c>
      <c r="G63" s="20">
        <v>90</v>
      </c>
      <c r="H63" s="20">
        <v>81</v>
      </c>
      <c r="I63" s="20">
        <v>90</v>
      </c>
      <c r="J63" s="20">
        <v>61</v>
      </c>
      <c r="K63" s="20">
        <v>70</v>
      </c>
      <c r="L63" s="20">
        <v>41</v>
      </c>
      <c r="M63" s="20">
        <v>50</v>
      </c>
    </row>
    <row r="64" spans="1:13" x14ac:dyDescent="0.2">
      <c r="A64">
        <v>2011</v>
      </c>
      <c r="B64" t="s">
        <v>46</v>
      </c>
      <c r="C64" s="2">
        <v>40738</v>
      </c>
      <c r="D64">
        <v>39</v>
      </c>
      <c r="E64" s="20" t="s">
        <v>159</v>
      </c>
      <c r="F64" s="20">
        <v>81</v>
      </c>
      <c r="G64" s="20">
        <v>90</v>
      </c>
      <c r="H64" s="20">
        <v>81</v>
      </c>
      <c r="I64" s="20">
        <v>90</v>
      </c>
      <c r="J64" s="20">
        <v>61</v>
      </c>
      <c r="K64" s="20">
        <v>70</v>
      </c>
      <c r="L64" s="20">
        <v>41</v>
      </c>
      <c r="M64" s="20">
        <v>50</v>
      </c>
    </row>
    <row r="65" spans="1:13" x14ac:dyDescent="0.2">
      <c r="A65">
        <v>2011</v>
      </c>
      <c r="B65" t="s">
        <v>46</v>
      </c>
      <c r="C65" s="2">
        <v>40738</v>
      </c>
      <c r="D65">
        <v>39</v>
      </c>
      <c r="E65" s="20" t="s">
        <v>48</v>
      </c>
      <c r="F65" s="20">
        <v>1</v>
      </c>
      <c r="G65" s="20">
        <v>3</v>
      </c>
      <c r="H65" s="20">
        <v>1</v>
      </c>
      <c r="I65" s="20">
        <v>3</v>
      </c>
      <c r="J65" s="20">
        <v>0</v>
      </c>
      <c r="K65" s="20">
        <v>0</v>
      </c>
      <c r="L65" s="20">
        <v>0</v>
      </c>
      <c r="M65" s="20">
        <v>0</v>
      </c>
    </row>
    <row r="66" spans="1:13" x14ac:dyDescent="0.2">
      <c r="A66">
        <v>2011</v>
      </c>
      <c r="B66" t="s">
        <v>46</v>
      </c>
      <c r="C66" s="2">
        <v>40758</v>
      </c>
      <c r="D66">
        <v>124</v>
      </c>
      <c r="E66" s="20" t="s">
        <v>158</v>
      </c>
      <c r="F66" s="20">
        <v>11</v>
      </c>
      <c r="G66" s="20">
        <v>15</v>
      </c>
      <c r="H66" s="20">
        <v>81</v>
      </c>
      <c r="I66" s="20">
        <v>90</v>
      </c>
      <c r="J66" s="20">
        <v>81</v>
      </c>
      <c r="K66" s="20">
        <v>90</v>
      </c>
      <c r="L66" s="20">
        <v>81</v>
      </c>
      <c r="M66" s="20">
        <v>90</v>
      </c>
    </row>
    <row r="67" spans="1:13" x14ac:dyDescent="0.2">
      <c r="A67">
        <v>2011</v>
      </c>
      <c r="B67" t="s">
        <v>46</v>
      </c>
      <c r="C67" s="2">
        <v>40758</v>
      </c>
      <c r="D67">
        <v>124</v>
      </c>
      <c r="E67" s="20" t="s">
        <v>159</v>
      </c>
      <c r="F67" s="20">
        <v>11</v>
      </c>
      <c r="G67" s="20">
        <v>15</v>
      </c>
      <c r="H67" s="20">
        <v>81</v>
      </c>
      <c r="I67" s="20">
        <v>90</v>
      </c>
      <c r="J67" s="20">
        <v>81</v>
      </c>
      <c r="K67" s="20">
        <v>90</v>
      </c>
      <c r="L67" s="20">
        <v>81</v>
      </c>
      <c r="M67" s="20">
        <v>90</v>
      </c>
    </row>
    <row r="68" spans="1:13" x14ac:dyDescent="0.2">
      <c r="A68">
        <v>2011</v>
      </c>
      <c r="B68" t="s">
        <v>46</v>
      </c>
      <c r="C68" s="2">
        <v>40758</v>
      </c>
      <c r="D68">
        <v>125</v>
      </c>
      <c r="E68" s="20" t="s">
        <v>158</v>
      </c>
      <c r="F68" s="20" t="s">
        <v>2</v>
      </c>
      <c r="G68" s="20">
        <v>0.5</v>
      </c>
      <c r="H68" s="20" t="s">
        <v>2</v>
      </c>
      <c r="I68" s="20">
        <v>0.5</v>
      </c>
      <c r="J68" s="20">
        <v>61</v>
      </c>
      <c r="K68" s="20">
        <v>70</v>
      </c>
      <c r="L68" s="20">
        <v>81</v>
      </c>
      <c r="M68" s="20">
        <v>90</v>
      </c>
    </row>
    <row r="69" spans="1:13" x14ac:dyDescent="0.2">
      <c r="A69">
        <v>2011</v>
      </c>
      <c r="B69" t="s">
        <v>46</v>
      </c>
      <c r="C69" s="2">
        <v>40758</v>
      </c>
      <c r="D69">
        <v>125</v>
      </c>
      <c r="E69" s="20" t="s">
        <v>159</v>
      </c>
      <c r="F69" s="20" t="s">
        <v>2</v>
      </c>
      <c r="G69" s="20">
        <v>0.5</v>
      </c>
      <c r="H69" s="20" t="s">
        <v>2</v>
      </c>
      <c r="I69" s="20">
        <v>0.5</v>
      </c>
      <c r="J69" s="20">
        <v>61</v>
      </c>
      <c r="K69" s="20">
        <v>70</v>
      </c>
      <c r="L69" s="20">
        <v>81</v>
      </c>
      <c r="M69" s="20">
        <v>90</v>
      </c>
    </row>
    <row r="70" spans="1:13" x14ac:dyDescent="0.2">
      <c r="A70">
        <v>2011</v>
      </c>
      <c r="B70" t="s">
        <v>46</v>
      </c>
      <c r="C70" s="2">
        <v>40758</v>
      </c>
      <c r="D70">
        <v>126</v>
      </c>
      <c r="E70" s="20" t="s">
        <v>158</v>
      </c>
      <c r="F70" s="20">
        <v>11</v>
      </c>
      <c r="G70" s="20">
        <v>15</v>
      </c>
      <c r="H70" s="20">
        <v>61</v>
      </c>
      <c r="I70" s="20">
        <v>70</v>
      </c>
      <c r="J70" s="20">
        <v>81</v>
      </c>
      <c r="K70" s="20">
        <v>90</v>
      </c>
      <c r="L70" s="20">
        <v>81</v>
      </c>
      <c r="M70" s="20">
        <v>90</v>
      </c>
    </row>
    <row r="71" spans="1:13" x14ac:dyDescent="0.2">
      <c r="A71">
        <v>2011</v>
      </c>
      <c r="B71" t="s">
        <v>46</v>
      </c>
      <c r="C71" s="2">
        <v>40758</v>
      </c>
      <c r="D71">
        <v>126</v>
      </c>
      <c r="E71" s="20" t="s">
        <v>159</v>
      </c>
      <c r="F71" s="20">
        <v>11</v>
      </c>
      <c r="G71" s="20">
        <v>15</v>
      </c>
      <c r="H71" s="20">
        <v>61</v>
      </c>
      <c r="I71" s="20">
        <v>70</v>
      </c>
      <c r="J71" s="20">
        <v>81</v>
      </c>
      <c r="K71" s="20">
        <v>90</v>
      </c>
      <c r="L71" s="20">
        <v>81</v>
      </c>
      <c r="M71" s="20">
        <v>90</v>
      </c>
    </row>
    <row r="72" spans="1:13" x14ac:dyDescent="0.2">
      <c r="E72" s="20"/>
      <c r="F72" s="20"/>
      <c r="G72" s="20"/>
      <c r="H72" s="20"/>
      <c r="I72" s="20"/>
      <c r="J72" s="20"/>
      <c r="K72" s="20"/>
      <c r="L72" s="20"/>
      <c r="M72" s="20"/>
    </row>
    <row r="73" spans="1:13" x14ac:dyDescent="0.2">
      <c r="E73" s="20"/>
      <c r="F73" s="20"/>
      <c r="G73" s="20"/>
      <c r="H73" s="20"/>
      <c r="I73" s="20"/>
      <c r="J73" s="20"/>
      <c r="K73" s="20"/>
      <c r="L73" s="20"/>
      <c r="M73" s="20"/>
    </row>
    <row r="74" spans="1:13" x14ac:dyDescent="0.2">
      <c r="E74" s="20"/>
      <c r="F74" s="20"/>
      <c r="G74" s="20"/>
      <c r="H74" s="20"/>
      <c r="I74" s="20"/>
      <c r="J74" s="20"/>
      <c r="K74" s="20"/>
      <c r="L74" s="20"/>
      <c r="M74" s="20"/>
    </row>
    <row r="75" spans="1:13" x14ac:dyDescent="0.2">
      <c r="E75" s="20"/>
      <c r="F75" s="20"/>
      <c r="G75" s="20"/>
      <c r="H75" s="20"/>
      <c r="I75" s="20"/>
      <c r="J75" s="20"/>
      <c r="K75" s="20"/>
      <c r="L75" s="20"/>
      <c r="M75" s="20"/>
    </row>
    <row r="76" spans="1:13" x14ac:dyDescent="0.2">
      <c r="E76" s="20"/>
      <c r="F76" s="20"/>
      <c r="G76" s="20"/>
      <c r="H76" s="20"/>
      <c r="I76" s="20"/>
      <c r="J76" s="20"/>
      <c r="K76" s="20"/>
      <c r="L76" s="20"/>
      <c r="M76" s="20"/>
    </row>
    <row r="77" spans="1:13" x14ac:dyDescent="0.2">
      <c r="E77" s="20"/>
      <c r="F77" s="20"/>
      <c r="G77" s="20"/>
      <c r="H77" s="20"/>
      <c r="I77" s="20"/>
      <c r="J77" s="20"/>
      <c r="K77" s="20"/>
      <c r="L77" s="20"/>
      <c r="M77" s="20"/>
    </row>
    <row r="78" spans="1:13" x14ac:dyDescent="0.2">
      <c r="E78" s="20"/>
      <c r="F78" s="20"/>
      <c r="G78" s="20"/>
      <c r="H78" s="20"/>
      <c r="I78" s="20"/>
      <c r="J78" s="20"/>
      <c r="K78" s="20"/>
      <c r="L78" s="20"/>
      <c r="M78" s="20"/>
    </row>
    <row r="79" spans="1:13" x14ac:dyDescent="0.2">
      <c r="E79" s="20"/>
      <c r="F79" s="20"/>
      <c r="G79" s="20"/>
      <c r="H79" s="20"/>
      <c r="I79" s="20"/>
      <c r="J79" s="20"/>
      <c r="K79" s="20"/>
      <c r="L79" s="20"/>
      <c r="M79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4"/>
  <sheetViews>
    <sheetView workbookViewId="0">
      <pane ySplit="3" topLeftCell="A4" activePane="bottomLeft" state="frozen"/>
      <selection pane="bottomLeft" activeCell="G11" sqref="G11"/>
    </sheetView>
  </sheetViews>
  <sheetFormatPr defaultRowHeight="12.75" x14ac:dyDescent="0.2"/>
  <cols>
    <col min="1" max="1" width="8.7109375" customWidth="1"/>
    <col min="2" max="2" width="9.5703125" customWidth="1"/>
    <col min="3" max="3" width="9.140625" style="2" customWidth="1"/>
    <col min="5" max="5" width="21.28515625" customWidth="1"/>
    <col min="11" max="11" width="8.85546875" style="28"/>
  </cols>
  <sheetData>
    <row r="1" spans="1:11" x14ac:dyDescent="0.2">
      <c r="A1" s="2" t="s">
        <v>162</v>
      </c>
      <c r="F1" t="s">
        <v>163</v>
      </c>
      <c r="G1">
        <f>3.14159*(8*8)</f>
        <v>201.06175999999999</v>
      </c>
    </row>
    <row r="2" spans="1:11" x14ac:dyDescent="0.2">
      <c r="A2" t="s">
        <v>164</v>
      </c>
    </row>
    <row r="3" spans="1:11" ht="13.5" thickBot="1" x14ac:dyDescent="0.25">
      <c r="A3" s="24" t="s">
        <v>8</v>
      </c>
      <c r="B3" s="24" t="s">
        <v>9</v>
      </c>
      <c r="C3" s="5" t="s">
        <v>10</v>
      </c>
      <c r="D3" s="6" t="s">
        <v>11</v>
      </c>
      <c r="E3" s="6" t="s">
        <v>12</v>
      </c>
      <c r="F3" s="6" t="s">
        <v>165</v>
      </c>
      <c r="G3" s="6" t="s">
        <v>166</v>
      </c>
      <c r="H3" s="6" t="s">
        <v>167</v>
      </c>
      <c r="I3" s="6" t="s">
        <v>168</v>
      </c>
      <c r="J3" s="6" t="s">
        <v>169</v>
      </c>
      <c r="K3" s="20" t="s">
        <v>45</v>
      </c>
    </row>
    <row r="4" spans="1:11" ht="13.5" thickTop="1" x14ac:dyDescent="0.2">
      <c r="A4">
        <v>2011</v>
      </c>
      <c r="B4" s="20" t="s">
        <v>46</v>
      </c>
      <c r="C4" s="2">
        <v>40750</v>
      </c>
      <c r="D4">
        <v>25</v>
      </c>
      <c r="E4" s="20" t="s">
        <v>47</v>
      </c>
      <c r="F4" s="20">
        <v>2</v>
      </c>
      <c r="G4" s="20">
        <v>6</v>
      </c>
      <c r="H4" s="20">
        <v>11</v>
      </c>
      <c r="I4" s="20">
        <v>5</v>
      </c>
      <c r="J4">
        <f t="shared" ref="J4:J39" si="0">SUM(F4:I4)</f>
        <v>24</v>
      </c>
      <c r="K4" s="28" t="s">
        <v>170</v>
      </c>
    </row>
    <row r="5" spans="1:11" x14ac:dyDescent="0.2">
      <c r="A5">
        <v>2011</v>
      </c>
      <c r="B5" s="20" t="s">
        <v>46</v>
      </c>
      <c r="C5" s="2">
        <v>40750</v>
      </c>
      <c r="D5">
        <v>25</v>
      </c>
      <c r="E5" s="20" t="s">
        <v>50</v>
      </c>
      <c r="F5" s="20">
        <v>23</v>
      </c>
      <c r="G5" s="20">
        <v>11</v>
      </c>
      <c r="H5" s="20">
        <v>12</v>
      </c>
      <c r="I5" s="20">
        <v>33</v>
      </c>
      <c r="J5">
        <f t="shared" si="0"/>
        <v>79</v>
      </c>
      <c r="K5" s="28" t="s">
        <v>171</v>
      </c>
    </row>
    <row r="6" spans="1:11" x14ac:dyDescent="0.2">
      <c r="A6">
        <v>2011</v>
      </c>
      <c r="B6" s="20" t="s">
        <v>46</v>
      </c>
      <c r="C6" s="2">
        <v>40750</v>
      </c>
      <c r="D6">
        <v>25</v>
      </c>
      <c r="E6" s="20" t="s">
        <v>60</v>
      </c>
      <c r="F6" s="20">
        <v>1</v>
      </c>
      <c r="G6" s="20">
        <v>1</v>
      </c>
      <c r="H6" s="20">
        <v>0</v>
      </c>
      <c r="I6" s="20">
        <v>0</v>
      </c>
      <c r="J6">
        <f t="shared" si="0"/>
        <v>2</v>
      </c>
    </row>
    <row r="7" spans="1:11" x14ac:dyDescent="0.2">
      <c r="A7">
        <v>2011</v>
      </c>
      <c r="B7" s="20" t="s">
        <v>46</v>
      </c>
      <c r="C7" s="2">
        <v>40750</v>
      </c>
      <c r="D7">
        <v>25</v>
      </c>
      <c r="E7" s="20" t="s">
        <v>83</v>
      </c>
      <c r="F7" s="20">
        <v>0</v>
      </c>
      <c r="G7" s="20">
        <v>1</v>
      </c>
      <c r="H7" s="20">
        <v>0</v>
      </c>
      <c r="I7" s="20">
        <v>0</v>
      </c>
      <c r="J7">
        <f t="shared" si="0"/>
        <v>1</v>
      </c>
    </row>
    <row r="8" spans="1:11" x14ac:dyDescent="0.2">
      <c r="A8">
        <v>2011</v>
      </c>
      <c r="B8" s="20" t="s">
        <v>46</v>
      </c>
      <c r="C8" s="2">
        <v>40750</v>
      </c>
      <c r="D8">
        <v>25</v>
      </c>
      <c r="E8" s="20" t="s">
        <v>56</v>
      </c>
      <c r="F8" s="20">
        <v>0</v>
      </c>
      <c r="G8" s="20">
        <v>1</v>
      </c>
      <c r="H8" s="20">
        <v>0</v>
      </c>
      <c r="I8" s="20">
        <v>0</v>
      </c>
      <c r="J8">
        <f t="shared" si="0"/>
        <v>1</v>
      </c>
    </row>
    <row r="9" spans="1:11" x14ac:dyDescent="0.2">
      <c r="A9">
        <v>2011</v>
      </c>
      <c r="B9" s="20" t="s">
        <v>46</v>
      </c>
      <c r="C9" s="2">
        <v>40750</v>
      </c>
      <c r="D9">
        <v>25</v>
      </c>
      <c r="E9" s="20" t="s">
        <v>65</v>
      </c>
      <c r="F9" s="20">
        <v>0</v>
      </c>
      <c r="G9" s="20">
        <v>0</v>
      </c>
      <c r="H9" s="20">
        <v>0</v>
      </c>
      <c r="I9" s="20">
        <v>1</v>
      </c>
      <c r="J9">
        <f t="shared" si="0"/>
        <v>1</v>
      </c>
    </row>
    <row r="10" spans="1:11" x14ac:dyDescent="0.2">
      <c r="A10">
        <v>2011</v>
      </c>
      <c r="B10" s="20" t="s">
        <v>46</v>
      </c>
      <c r="C10" s="2">
        <v>40750</v>
      </c>
      <c r="D10">
        <v>25</v>
      </c>
      <c r="E10" s="20" t="s">
        <v>84</v>
      </c>
      <c r="F10">
        <f>(1.3*1)</f>
        <v>1.3</v>
      </c>
      <c r="G10" s="20">
        <v>0</v>
      </c>
      <c r="H10" s="20">
        <v>0</v>
      </c>
      <c r="I10" s="20">
        <v>0</v>
      </c>
      <c r="J10">
        <f t="shared" si="0"/>
        <v>1.3</v>
      </c>
    </row>
    <row r="11" spans="1:11" x14ac:dyDescent="0.2">
      <c r="A11">
        <v>2011</v>
      </c>
      <c r="B11" s="20" t="s">
        <v>46</v>
      </c>
      <c r="C11" s="2">
        <v>40750</v>
      </c>
      <c r="D11">
        <v>25</v>
      </c>
      <c r="E11" s="20" t="s">
        <v>86</v>
      </c>
      <c r="F11">
        <f>(2.2*1.5)</f>
        <v>3.3000000000000003</v>
      </c>
      <c r="G11">
        <f>(1.7*1.9)</f>
        <v>3.23</v>
      </c>
      <c r="H11">
        <f>(1.3*1.4)+(1.5*1.4)</f>
        <v>3.9199999999999995</v>
      </c>
      <c r="I11" s="20">
        <v>0</v>
      </c>
      <c r="J11">
        <f t="shared" si="0"/>
        <v>10.45</v>
      </c>
    </row>
    <row r="12" spans="1:11" x14ac:dyDescent="0.2">
      <c r="A12">
        <v>2011</v>
      </c>
      <c r="B12" s="20" t="s">
        <v>46</v>
      </c>
      <c r="C12" s="2">
        <v>40750</v>
      </c>
      <c r="D12">
        <v>25</v>
      </c>
      <c r="E12" s="20" t="s">
        <v>54</v>
      </c>
      <c r="F12">
        <f>(1.7*0.9)+(0.4*0.3)</f>
        <v>1.65</v>
      </c>
      <c r="G12">
        <f>(2*1.6)</f>
        <v>3.2</v>
      </c>
      <c r="H12">
        <v>0</v>
      </c>
      <c r="I12">
        <f>(0.3*0.3)</f>
        <v>0.09</v>
      </c>
      <c r="J12">
        <f t="shared" si="0"/>
        <v>4.9399999999999995</v>
      </c>
    </row>
    <row r="13" spans="1:11" x14ac:dyDescent="0.2">
      <c r="A13">
        <v>2011</v>
      </c>
      <c r="B13" s="20" t="s">
        <v>46</v>
      </c>
      <c r="C13" s="2">
        <v>40750</v>
      </c>
      <c r="D13">
        <v>25</v>
      </c>
      <c r="E13" s="20" t="s">
        <v>66</v>
      </c>
      <c r="F13" s="20">
        <v>0</v>
      </c>
      <c r="G13">
        <f>(201*0.025)</f>
        <v>5.0250000000000004</v>
      </c>
      <c r="H13">
        <v>0</v>
      </c>
      <c r="I13">
        <v>0</v>
      </c>
      <c r="J13">
        <f t="shared" si="0"/>
        <v>5.0250000000000004</v>
      </c>
      <c r="K13" s="28" t="s">
        <v>172</v>
      </c>
    </row>
    <row r="14" spans="1:11" x14ac:dyDescent="0.2">
      <c r="A14">
        <v>2011</v>
      </c>
      <c r="B14" s="20" t="s">
        <v>46</v>
      </c>
      <c r="C14" s="2">
        <v>40750</v>
      </c>
      <c r="D14">
        <v>25</v>
      </c>
      <c r="E14" s="20" t="s">
        <v>57</v>
      </c>
      <c r="F14" s="20">
        <v>0</v>
      </c>
      <c r="G14">
        <f>(1*0.9)+(1.3*0.8)+(2.1*1.9)</f>
        <v>5.93</v>
      </c>
      <c r="H14">
        <f>(1*1)</f>
        <v>1</v>
      </c>
      <c r="I14">
        <v>0</v>
      </c>
      <c r="J14">
        <f t="shared" si="0"/>
        <v>6.93</v>
      </c>
    </row>
    <row r="15" spans="1:11" x14ac:dyDescent="0.2">
      <c r="A15">
        <v>2011</v>
      </c>
      <c r="B15" s="20" t="s">
        <v>46</v>
      </c>
      <c r="C15" s="2">
        <v>40750</v>
      </c>
      <c r="D15">
        <v>25</v>
      </c>
      <c r="E15" s="20" t="s">
        <v>72</v>
      </c>
      <c r="F15" s="20">
        <v>0</v>
      </c>
      <c r="G15">
        <f>(0.7*0.4)</f>
        <v>0.27999999999999997</v>
      </c>
      <c r="H15">
        <v>0</v>
      </c>
      <c r="I15">
        <v>0</v>
      </c>
      <c r="J15">
        <f t="shared" si="0"/>
        <v>0.27999999999999997</v>
      </c>
    </row>
    <row r="16" spans="1:11" x14ac:dyDescent="0.2">
      <c r="A16">
        <v>2011</v>
      </c>
      <c r="B16" s="20" t="s">
        <v>46</v>
      </c>
      <c r="C16" s="2">
        <v>40750</v>
      </c>
      <c r="D16">
        <v>25</v>
      </c>
      <c r="E16" s="20" t="s">
        <v>61</v>
      </c>
      <c r="F16" s="20">
        <v>0</v>
      </c>
      <c r="G16">
        <f>(1.3*1)</f>
        <v>1.3</v>
      </c>
      <c r="H16">
        <v>0</v>
      </c>
      <c r="I16">
        <v>0</v>
      </c>
      <c r="J16">
        <f t="shared" si="0"/>
        <v>1.3</v>
      </c>
    </row>
    <row r="17" spans="1:11" x14ac:dyDescent="0.2">
      <c r="A17">
        <v>2011</v>
      </c>
      <c r="B17" s="20" t="s">
        <v>46</v>
      </c>
      <c r="C17" s="2">
        <v>40750</v>
      </c>
      <c r="D17">
        <v>25</v>
      </c>
      <c r="E17" s="20" t="s">
        <v>93</v>
      </c>
      <c r="F17" s="20">
        <v>0</v>
      </c>
      <c r="G17">
        <f>(1.6*1)</f>
        <v>1.6</v>
      </c>
      <c r="H17">
        <f>(1*0.9)+(1*0.7)+(1.8*1.1)+(1.3*1.2)</f>
        <v>5.1400000000000006</v>
      </c>
      <c r="I17">
        <v>0</v>
      </c>
      <c r="J17">
        <f t="shared" si="0"/>
        <v>6.74</v>
      </c>
    </row>
    <row r="18" spans="1:11" x14ac:dyDescent="0.2">
      <c r="A18">
        <v>2011</v>
      </c>
      <c r="B18" s="20" t="s">
        <v>46</v>
      </c>
      <c r="C18" s="2">
        <v>40750</v>
      </c>
      <c r="D18">
        <v>25</v>
      </c>
      <c r="E18" s="20" t="s">
        <v>52</v>
      </c>
      <c r="F18" s="20">
        <v>0</v>
      </c>
      <c r="G18">
        <f>(1.8*1.4)</f>
        <v>2.52</v>
      </c>
      <c r="H18">
        <f>(1.3*1.1)+(1*0.5)</f>
        <v>1.9300000000000002</v>
      </c>
      <c r="I18">
        <f>(0.6*0.5)+(0.9*0.7)+(1.2*0.3)+(0.7*0.9)+(0.6*0.5)+(201*0.015)</f>
        <v>5.2349999999999994</v>
      </c>
      <c r="J18">
        <f t="shared" si="0"/>
        <v>9.6849999999999987</v>
      </c>
    </row>
    <row r="19" spans="1:11" x14ac:dyDescent="0.2">
      <c r="A19">
        <v>2011</v>
      </c>
      <c r="B19" s="20" t="s">
        <v>46</v>
      </c>
      <c r="C19" s="2">
        <v>40750</v>
      </c>
      <c r="D19">
        <v>25</v>
      </c>
      <c r="E19" s="20" t="s">
        <v>63</v>
      </c>
      <c r="F19" s="20">
        <v>0</v>
      </c>
      <c r="G19" s="20">
        <v>0</v>
      </c>
      <c r="H19">
        <f>(1.2*1.3)+(2.2*1.9)+(0.9*0.7)</f>
        <v>6.37</v>
      </c>
      <c r="I19">
        <v>0</v>
      </c>
      <c r="J19">
        <f t="shared" si="0"/>
        <v>6.37</v>
      </c>
    </row>
    <row r="20" spans="1:11" x14ac:dyDescent="0.2">
      <c r="A20">
        <v>2011</v>
      </c>
      <c r="B20" s="20" t="s">
        <v>46</v>
      </c>
      <c r="C20" s="2">
        <v>40750</v>
      </c>
      <c r="D20">
        <v>25</v>
      </c>
      <c r="E20" s="20" t="s">
        <v>49</v>
      </c>
      <c r="F20" s="20">
        <v>0</v>
      </c>
      <c r="G20" s="20">
        <v>0</v>
      </c>
      <c r="H20">
        <f>(0.3*0.2)+(1.5*1.2)</f>
        <v>1.8599999999999999</v>
      </c>
      <c r="I20">
        <v>0</v>
      </c>
      <c r="J20">
        <f t="shared" si="0"/>
        <v>1.8599999999999999</v>
      </c>
    </row>
    <row r="21" spans="1:11" x14ac:dyDescent="0.2">
      <c r="A21">
        <v>2011</v>
      </c>
      <c r="B21" s="20" t="s">
        <v>46</v>
      </c>
      <c r="C21" s="2">
        <v>40750</v>
      </c>
      <c r="D21">
        <v>26</v>
      </c>
      <c r="E21" s="20" t="s">
        <v>47</v>
      </c>
      <c r="F21" s="20">
        <v>8</v>
      </c>
      <c r="G21" s="20">
        <v>5</v>
      </c>
      <c r="H21" s="20">
        <v>6</v>
      </c>
      <c r="I21" s="20">
        <v>5</v>
      </c>
      <c r="J21">
        <f t="shared" si="0"/>
        <v>24</v>
      </c>
      <c r="K21" s="28" t="s">
        <v>173</v>
      </c>
    </row>
    <row r="22" spans="1:11" x14ac:dyDescent="0.2">
      <c r="A22">
        <v>2011</v>
      </c>
      <c r="B22" s="20" t="s">
        <v>46</v>
      </c>
      <c r="C22" s="2">
        <v>40750</v>
      </c>
      <c r="D22">
        <v>26</v>
      </c>
      <c r="E22" s="20" t="s">
        <v>50</v>
      </c>
      <c r="F22" s="20">
        <v>1</v>
      </c>
      <c r="G22" s="20">
        <v>1</v>
      </c>
      <c r="H22" s="20">
        <v>1</v>
      </c>
      <c r="I22" s="20">
        <v>2</v>
      </c>
      <c r="J22">
        <f t="shared" si="0"/>
        <v>5</v>
      </c>
    </row>
    <row r="23" spans="1:11" x14ac:dyDescent="0.2">
      <c r="A23">
        <v>2011</v>
      </c>
      <c r="B23" s="20" t="s">
        <v>46</v>
      </c>
      <c r="C23" s="2">
        <v>40750</v>
      </c>
      <c r="D23">
        <v>26</v>
      </c>
      <c r="E23" s="20" t="s">
        <v>65</v>
      </c>
      <c r="F23" s="20">
        <v>1</v>
      </c>
      <c r="G23" s="20">
        <v>0</v>
      </c>
      <c r="H23" s="20">
        <v>0</v>
      </c>
      <c r="I23" s="20">
        <v>0</v>
      </c>
      <c r="J23">
        <f t="shared" si="0"/>
        <v>1</v>
      </c>
    </row>
    <row r="24" spans="1:11" x14ac:dyDescent="0.2">
      <c r="A24">
        <v>2011</v>
      </c>
      <c r="B24" s="20" t="s">
        <v>46</v>
      </c>
      <c r="C24" s="2">
        <v>40750</v>
      </c>
      <c r="D24">
        <v>26</v>
      </c>
      <c r="E24" s="20" t="s">
        <v>60</v>
      </c>
      <c r="F24" s="20">
        <v>0</v>
      </c>
      <c r="G24" s="20">
        <v>0</v>
      </c>
      <c r="H24" s="20">
        <v>1</v>
      </c>
      <c r="I24" s="20">
        <v>0</v>
      </c>
      <c r="J24">
        <f t="shared" si="0"/>
        <v>1</v>
      </c>
    </row>
    <row r="25" spans="1:11" x14ac:dyDescent="0.2">
      <c r="A25">
        <v>2011</v>
      </c>
      <c r="B25" s="20" t="s">
        <v>46</v>
      </c>
      <c r="C25" s="2">
        <v>40750</v>
      </c>
      <c r="D25">
        <v>26</v>
      </c>
      <c r="E25" s="20" t="s">
        <v>54</v>
      </c>
      <c r="F25">
        <f>(201*0.15)</f>
        <v>30.15</v>
      </c>
      <c r="G25">
        <f>(201*0.05)</f>
        <v>10.050000000000001</v>
      </c>
      <c r="H25">
        <f>(201*0.03)</f>
        <v>6.0299999999999994</v>
      </c>
      <c r="I25">
        <f>(201*0.2)</f>
        <v>40.200000000000003</v>
      </c>
      <c r="J25">
        <f t="shared" si="0"/>
        <v>86.43</v>
      </c>
    </row>
    <row r="26" spans="1:11" x14ac:dyDescent="0.2">
      <c r="A26">
        <v>2011</v>
      </c>
      <c r="B26" s="20" t="s">
        <v>46</v>
      </c>
      <c r="C26" s="2">
        <v>40750</v>
      </c>
      <c r="D26">
        <v>26</v>
      </c>
      <c r="E26" s="20" t="s">
        <v>69</v>
      </c>
      <c r="F26">
        <f>(1.5*1)</f>
        <v>1.5</v>
      </c>
      <c r="G26">
        <f>(201*0.02)</f>
        <v>4.0200000000000005</v>
      </c>
      <c r="H26">
        <f>(201*0.02)</f>
        <v>4.0200000000000005</v>
      </c>
      <c r="I26">
        <v>0</v>
      </c>
      <c r="J26">
        <f t="shared" si="0"/>
        <v>9.5400000000000009</v>
      </c>
    </row>
    <row r="27" spans="1:11" x14ac:dyDescent="0.2">
      <c r="A27">
        <v>2011</v>
      </c>
      <c r="B27" s="20" t="s">
        <v>46</v>
      </c>
      <c r="C27" s="2">
        <v>40750</v>
      </c>
      <c r="D27">
        <v>26</v>
      </c>
      <c r="E27" s="20" t="s">
        <v>49</v>
      </c>
      <c r="F27">
        <f>(1.8*1.2)+(1.4*0.7)+(0.3*0.5)+(0.3*0.4)+(0.4*0.5)+(0.7*0.4)</f>
        <v>3.89</v>
      </c>
      <c r="G27">
        <v>0</v>
      </c>
      <c r="H27">
        <v>0</v>
      </c>
      <c r="I27">
        <f>(0.9*0.8)</f>
        <v>0.72000000000000008</v>
      </c>
      <c r="J27">
        <f t="shared" si="0"/>
        <v>4.6100000000000003</v>
      </c>
    </row>
    <row r="28" spans="1:11" x14ac:dyDescent="0.2">
      <c r="A28">
        <v>2011</v>
      </c>
      <c r="B28" s="20" t="s">
        <v>46</v>
      </c>
      <c r="C28" s="2">
        <v>40750</v>
      </c>
      <c r="D28">
        <v>26</v>
      </c>
      <c r="E28" s="20" t="s">
        <v>61</v>
      </c>
      <c r="F28">
        <f>(1.2*0.9)</f>
        <v>1.08</v>
      </c>
      <c r="G28">
        <v>0</v>
      </c>
      <c r="H28">
        <v>0</v>
      </c>
      <c r="I28">
        <v>0</v>
      </c>
      <c r="J28">
        <f t="shared" si="0"/>
        <v>1.08</v>
      </c>
    </row>
    <row r="29" spans="1:11" x14ac:dyDescent="0.2">
      <c r="A29">
        <v>2011</v>
      </c>
      <c r="B29" s="20" t="s">
        <v>46</v>
      </c>
      <c r="C29" s="2">
        <v>40750</v>
      </c>
      <c r="D29">
        <v>26</v>
      </c>
      <c r="E29" s="20" t="s">
        <v>63</v>
      </c>
      <c r="F29">
        <f>(1.4*1)</f>
        <v>1.4</v>
      </c>
      <c r="G29">
        <f>(2.2*1.9)</f>
        <v>4.18</v>
      </c>
      <c r="H29">
        <v>0</v>
      </c>
      <c r="I29">
        <f>(1*0.6)+(1.6*0.9)+(1.2*1.1)+(2*1.4)+(2*1.8)+(1.1*0.9)</f>
        <v>10.75</v>
      </c>
      <c r="J29">
        <f t="shared" si="0"/>
        <v>16.329999999999998</v>
      </c>
    </row>
    <row r="30" spans="1:11" x14ac:dyDescent="0.2">
      <c r="A30">
        <v>2011</v>
      </c>
      <c r="B30" s="20" t="s">
        <v>46</v>
      </c>
      <c r="C30" s="2">
        <v>40750</v>
      </c>
      <c r="D30">
        <v>26</v>
      </c>
      <c r="E30" s="20" t="s">
        <v>66</v>
      </c>
      <c r="F30">
        <f>(201*0.04)</f>
        <v>8.0400000000000009</v>
      </c>
      <c r="G30">
        <v>0</v>
      </c>
      <c r="H30">
        <f>(1.5*1.4)</f>
        <v>2.0999999999999996</v>
      </c>
      <c r="I30">
        <f>(1.9*1.6)</f>
        <v>3.04</v>
      </c>
      <c r="J30">
        <f t="shared" si="0"/>
        <v>13.18</v>
      </c>
      <c r="K30" s="28" t="s">
        <v>174</v>
      </c>
    </row>
    <row r="31" spans="1:11" x14ac:dyDescent="0.2">
      <c r="A31">
        <v>2011</v>
      </c>
      <c r="B31" s="20" t="s">
        <v>46</v>
      </c>
      <c r="C31" s="2">
        <v>40750</v>
      </c>
      <c r="D31">
        <v>26</v>
      </c>
      <c r="E31" s="20" t="s">
        <v>72</v>
      </c>
      <c r="F31">
        <f>(1*1)</f>
        <v>1</v>
      </c>
      <c r="G31">
        <v>0</v>
      </c>
      <c r="H31">
        <v>0</v>
      </c>
      <c r="I31">
        <v>0</v>
      </c>
      <c r="J31">
        <f t="shared" si="0"/>
        <v>1</v>
      </c>
    </row>
    <row r="32" spans="1:11" x14ac:dyDescent="0.2">
      <c r="A32">
        <v>2011</v>
      </c>
      <c r="B32" s="20" t="s">
        <v>46</v>
      </c>
      <c r="C32" s="2">
        <v>40750</v>
      </c>
      <c r="D32">
        <v>26</v>
      </c>
      <c r="E32" s="20" t="s">
        <v>55</v>
      </c>
      <c r="F32">
        <f>(201*0.03)</f>
        <v>6.0299999999999994</v>
      </c>
      <c r="G32">
        <f>(201*0.02)</f>
        <v>4.0200000000000005</v>
      </c>
      <c r="H32">
        <f>(0.5*0.3)+(0.2*0.3)</f>
        <v>0.21</v>
      </c>
      <c r="I32">
        <f>(0.5*0.6)+(201*0.01)</f>
        <v>2.31</v>
      </c>
      <c r="J32">
        <f t="shared" si="0"/>
        <v>12.570000000000002</v>
      </c>
    </row>
    <row r="33" spans="1:11" x14ac:dyDescent="0.2">
      <c r="A33">
        <v>2011</v>
      </c>
      <c r="B33" s="20" t="s">
        <v>46</v>
      </c>
      <c r="C33" s="2">
        <v>40750</v>
      </c>
      <c r="D33">
        <v>26</v>
      </c>
      <c r="E33" s="20" t="s">
        <v>52</v>
      </c>
      <c r="F33">
        <f>(201*0.02)</f>
        <v>4.0200000000000005</v>
      </c>
      <c r="G33">
        <v>0</v>
      </c>
      <c r="H33">
        <v>0</v>
      </c>
      <c r="I33">
        <f>(0.2*0.2)</f>
        <v>4.0000000000000008E-2</v>
      </c>
      <c r="J33">
        <f t="shared" si="0"/>
        <v>4.0600000000000005</v>
      </c>
    </row>
    <row r="34" spans="1:11" x14ac:dyDescent="0.2">
      <c r="A34">
        <v>2011</v>
      </c>
      <c r="B34" s="20" t="s">
        <v>46</v>
      </c>
      <c r="C34" s="2">
        <v>40750</v>
      </c>
      <c r="D34">
        <v>26</v>
      </c>
      <c r="E34" s="20" t="s">
        <v>175</v>
      </c>
      <c r="F34">
        <f>(201*0.01)</f>
        <v>2.0100000000000002</v>
      </c>
      <c r="G34">
        <v>0</v>
      </c>
      <c r="H34">
        <v>0</v>
      </c>
      <c r="I34">
        <v>0</v>
      </c>
      <c r="J34">
        <f t="shared" si="0"/>
        <v>2.0100000000000002</v>
      </c>
    </row>
    <row r="35" spans="1:11" x14ac:dyDescent="0.2">
      <c r="A35">
        <v>2011</v>
      </c>
      <c r="B35" s="20" t="s">
        <v>46</v>
      </c>
      <c r="C35" s="2">
        <v>40750</v>
      </c>
      <c r="D35">
        <v>26</v>
      </c>
      <c r="E35" s="20" t="s">
        <v>57</v>
      </c>
      <c r="F35" s="20">
        <v>0</v>
      </c>
      <c r="G35">
        <f>(1*1)+(0.5*0.4)+(1*0.8)+(1.2*0.9)+(1*0.6)</f>
        <v>3.68</v>
      </c>
      <c r="H35">
        <f>(1.5*1.2)+(1.4*1)+(1*1)</f>
        <v>4.1999999999999993</v>
      </c>
      <c r="I35">
        <f>(1*0.9)</f>
        <v>0.9</v>
      </c>
      <c r="J35">
        <f t="shared" si="0"/>
        <v>8.7799999999999994</v>
      </c>
    </row>
    <row r="36" spans="1:11" x14ac:dyDescent="0.2">
      <c r="A36">
        <v>2011</v>
      </c>
      <c r="B36" s="20" t="s">
        <v>46</v>
      </c>
      <c r="C36" s="2">
        <v>40750</v>
      </c>
      <c r="D36">
        <v>26</v>
      </c>
      <c r="E36" s="20" t="s">
        <v>77</v>
      </c>
      <c r="F36" s="20">
        <v>0</v>
      </c>
      <c r="G36">
        <f>(0.6*0.4)</f>
        <v>0.24</v>
      </c>
      <c r="H36">
        <v>0</v>
      </c>
      <c r="I36">
        <v>0</v>
      </c>
      <c r="J36">
        <f t="shared" si="0"/>
        <v>0.24</v>
      </c>
    </row>
    <row r="37" spans="1:11" x14ac:dyDescent="0.2">
      <c r="A37">
        <v>2011</v>
      </c>
      <c r="B37" s="20" t="s">
        <v>46</v>
      </c>
      <c r="C37" s="2">
        <v>40750</v>
      </c>
      <c r="D37">
        <v>26</v>
      </c>
      <c r="E37" s="20" t="s">
        <v>64</v>
      </c>
      <c r="F37" s="20">
        <v>0</v>
      </c>
      <c r="G37" s="20">
        <v>0</v>
      </c>
      <c r="H37">
        <f>(1*0.6)</f>
        <v>0.6</v>
      </c>
      <c r="I37">
        <f>(1*0.5)</f>
        <v>0.5</v>
      </c>
      <c r="J37">
        <f t="shared" si="0"/>
        <v>1.1000000000000001</v>
      </c>
    </row>
    <row r="38" spans="1:11" x14ac:dyDescent="0.2">
      <c r="A38">
        <v>2011</v>
      </c>
      <c r="B38" s="20" t="s">
        <v>46</v>
      </c>
      <c r="C38" s="2">
        <v>40750</v>
      </c>
      <c r="D38">
        <v>26</v>
      </c>
      <c r="E38" s="20" t="s">
        <v>160</v>
      </c>
      <c r="F38" s="20">
        <v>0</v>
      </c>
      <c r="G38" s="20">
        <v>0</v>
      </c>
      <c r="H38">
        <f>(0.4*0.3)</f>
        <v>0.12</v>
      </c>
      <c r="I38">
        <v>0</v>
      </c>
      <c r="J38">
        <f t="shared" si="0"/>
        <v>0.12</v>
      </c>
    </row>
    <row r="39" spans="1:11" x14ac:dyDescent="0.2">
      <c r="A39">
        <v>2011</v>
      </c>
      <c r="B39" s="20" t="s">
        <v>46</v>
      </c>
      <c r="C39" s="2">
        <v>40750</v>
      </c>
      <c r="D39">
        <v>26</v>
      </c>
      <c r="E39" s="20" t="s">
        <v>59</v>
      </c>
      <c r="F39" s="20">
        <v>0</v>
      </c>
      <c r="G39" s="20">
        <v>0</v>
      </c>
      <c r="H39" s="20">
        <v>0</v>
      </c>
      <c r="I39">
        <f>(0.9*0.7)</f>
        <v>0.63</v>
      </c>
      <c r="J39">
        <f t="shared" si="0"/>
        <v>0.63</v>
      </c>
    </row>
    <row r="40" spans="1:11" x14ac:dyDescent="0.2">
      <c r="A40">
        <v>2011</v>
      </c>
      <c r="B40" s="20" t="s">
        <v>46</v>
      </c>
      <c r="C40" s="2">
        <v>40750</v>
      </c>
      <c r="D40">
        <v>26</v>
      </c>
      <c r="E40" s="20" t="s">
        <v>176</v>
      </c>
      <c r="F40" s="20">
        <v>0</v>
      </c>
      <c r="G40" s="20">
        <v>0</v>
      </c>
      <c r="H40" s="20">
        <v>0</v>
      </c>
      <c r="I40">
        <f>(1.2*1)</f>
        <v>1.2</v>
      </c>
      <c r="J40">
        <f t="shared" ref="J40:J64" si="1">SUM(F40:I40)</f>
        <v>1.2</v>
      </c>
    </row>
    <row r="41" spans="1:11" x14ac:dyDescent="0.2">
      <c r="A41">
        <v>2011</v>
      </c>
      <c r="B41" s="20" t="s">
        <v>46</v>
      </c>
      <c r="C41" s="2">
        <v>40750</v>
      </c>
      <c r="D41">
        <v>26</v>
      </c>
      <c r="E41" s="20" t="s">
        <v>86</v>
      </c>
      <c r="F41" s="20">
        <v>0</v>
      </c>
      <c r="G41" s="20">
        <v>0</v>
      </c>
      <c r="H41" s="20">
        <v>0</v>
      </c>
      <c r="I41">
        <f>(1.3*1.2)</f>
        <v>1.56</v>
      </c>
      <c r="J41">
        <f t="shared" si="1"/>
        <v>1.56</v>
      </c>
    </row>
    <row r="42" spans="1:11" x14ac:dyDescent="0.2">
      <c r="A42">
        <v>2011</v>
      </c>
      <c r="B42" s="20" t="s">
        <v>46</v>
      </c>
      <c r="C42" s="2">
        <v>40750</v>
      </c>
      <c r="D42">
        <v>27</v>
      </c>
      <c r="E42" s="20" t="s">
        <v>80</v>
      </c>
      <c r="F42" s="20">
        <v>0</v>
      </c>
      <c r="G42" s="20">
        <v>1</v>
      </c>
      <c r="H42" s="20">
        <v>0</v>
      </c>
      <c r="I42" s="20">
        <v>0</v>
      </c>
      <c r="J42">
        <f t="shared" si="1"/>
        <v>1</v>
      </c>
    </row>
    <row r="43" spans="1:11" x14ac:dyDescent="0.2">
      <c r="A43">
        <v>2011</v>
      </c>
      <c r="B43" s="20" t="s">
        <v>46</v>
      </c>
      <c r="C43" s="2">
        <v>40750</v>
      </c>
      <c r="D43">
        <v>27</v>
      </c>
      <c r="E43" s="20" t="s">
        <v>81</v>
      </c>
      <c r="F43" s="20">
        <v>1</v>
      </c>
      <c r="G43" s="20">
        <v>0</v>
      </c>
      <c r="H43" s="20">
        <v>0</v>
      </c>
      <c r="I43" s="20">
        <v>0</v>
      </c>
      <c r="J43">
        <f t="shared" si="1"/>
        <v>1</v>
      </c>
    </row>
    <row r="44" spans="1:11" x14ac:dyDescent="0.2">
      <c r="A44">
        <v>2011</v>
      </c>
      <c r="B44" s="20" t="s">
        <v>46</v>
      </c>
      <c r="C44" s="2">
        <v>40750</v>
      </c>
      <c r="D44">
        <v>27</v>
      </c>
      <c r="E44" s="20" t="s">
        <v>47</v>
      </c>
      <c r="F44" s="20">
        <v>1</v>
      </c>
      <c r="G44" s="20">
        <v>0</v>
      </c>
      <c r="H44" s="20">
        <v>2</v>
      </c>
      <c r="I44" s="20">
        <v>2</v>
      </c>
      <c r="J44">
        <f t="shared" si="1"/>
        <v>5</v>
      </c>
      <c r="K44" s="28" t="s">
        <v>177</v>
      </c>
    </row>
    <row r="45" spans="1:11" x14ac:dyDescent="0.2">
      <c r="A45">
        <v>2011</v>
      </c>
      <c r="B45" s="20" t="s">
        <v>46</v>
      </c>
      <c r="C45" s="2">
        <v>40750</v>
      </c>
      <c r="D45">
        <v>27</v>
      </c>
      <c r="E45" s="20" t="s">
        <v>60</v>
      </c>
      <c r="F45" s="20">
        <v>1</v>
      </c>
      <c r="G45" s="20">
        <v>0</v>
      </c>
      <c r="H45" s="20">
        <v>0</v>
      </c>
      <c r="I45" s="20">
        <v>0</v>
      </c>
      <c r="J45">
        <f t="shared" si="1"/>
        <v>1</v>
      </c>
      <c r="K45" s="28" t="s">
        <v>178</v>
      </c>
    </row>
    <row r="46" spans="1:11" x14ac:dyDescent="0.2">
      <c r="A46">
        <v>2011</v>
      </c>
      <c r="B46" s="20" t="s">
        <v>46</v>
      </c>
      <c r="C46" s="2">
        <v>40750</v>
      </c>
      <c r="D46">
        <v>27</v>
      </c>
      <c r="E46" s="20" t="s">
        <v>71</v>
      </c>
      <c r="F46" s="20">
        <v>0</v>
      </c>
      <c r="G46" s="20">
        <v>0</v>
      </c>
      <c r="H46" s="20">
        <v>0</v>
      </c>
      <c r="I46" s="20">
        <v>1</v>
      </c>
      <c r="J46">
        <f t="shared" si="1"/>
        <v>1</v>
      </c>
    </row>
    <row r="47" spans="1:11" x14ac:dyDescent="0.2">
      <c r="A47">
        <v>2011</v>
      </c>
      <c r="B47" s="20" t="s">
        <v>46</v>
      </c>
      <c r="C47" s="2">
        <v>40750</v>
      </c>
      <c r="D47">
        <v>27</v>
      </c>
      <c r="E47" s="20" t="s">
        <v>50</v>
      </c>
      <c r="F47" s="20">
        <v>1</v>
      </c>
      <c r="G47" s="20">
        <v>0</v>
      </c>
      <c r="H47" s="20">
        <v>0</v>
      </c>
      <c r="I47" s="20">
        <v>0</v>
      </c>
      <c r="J47">
        <f t="shared" si="1"/>
        <v>1</v>
      </c>
    </row>
    <row r="48" spans="1:11" x14ac:dyDescent="0.2">
      <c r="A48">
        <v>2011</v>
      </c>
      <c r="B48" s="20" t="s">
        <v>46</v>
      </c>
      <c r="C48" s="2">
        <v>40750</v>
      </c>
      <c r="D48">
        <v>27</v>
      </c>
      <c r="E48" s="20" t="s">
        <v>54</v>
      </c>
      <c r="F48">
        <f>(201*0.02)</f>
        <v>4.0200000000000005</v>
      </c>
      <c r="G48">
        <f>(201*0.03)</f>
        <v>6.0299999999999994</v>
      </c>
      <c r="H48">
        <f>(201*0.04)</f>
        <v>8.0400000000000009</v>
      </c>
      <c r="I48">
        <f>(201*0.06)</f>
        <v>12.059999999999999</v>
      </c>
      <c r="J48">
        <f t="shared" si="1"/>
        <v>30.150000000000002</v>
      </c>
    </row>
    <row r="49" spans="1:10" x14ac:dyDescent="0.2">
      <c r="A49">
        <v>2011</v>
      </c>
      <c r="B49" s="20" t="s">
        <v>46</v>
      </c>
      <c r="C49" s="2">
        <v>40750</v>
      </c>
      <c r="D49">
        <v>27</v>
      </c>
      <c r="E49" s="20" t="s">
        <v>57</v>
      </c>
      <c r="F49">
        <f>(0.9*0.6)+(1*0.7)</f>
        <v>1.24</v>
      </c>
      <c r="G49">
        <f>(201*0.03)</f>
        <v>6.0299999999999994</v>
      </c>
      <c r="H49">
        <v>0</v>
      </c>
      <c r="I49">
        <f>(0.9*0.6)</f>
        <v>0.54</v>
      </c>
      <c r="J49">
        <f t="shared" si="1"/>
        <v>7.81</v>
      </c>
    </row>
    <row r="50" spans="1:10" x14ac:dyDescent="0.2">
      <c r="A50">
        <v>2011</v>
      </c>
      <c r="B50" s="20" t="s">
        <v>46</v>
      </c>
      <c r="C50" s="2">
        <v>40750</v>
      </c>
      <c r="D50">
        <v>27</v>
      </c>
      <c r="E50" s="20" t="s">
        <v>86</v>
      </c>
      <c r="F50" s="20">
        <v>0</v>
      </c>
      <c r="G50" s="20">
        <v>0</v>
      </c>
      <c r="H50" s="20">
        <v>0</v>
      </c>
      <c r="I50" s="20">
        <v>0</v>
      </c>
      <c r="J50">
        <f t="shared" si="1"/>
        <v>0</v>
      </c>
    </row>
    <row r="51" spans="1:10" x14ac:dyDescent="0.2">
      <c r="A51">
        <v>2011</v>
      </c>
      <c r="B51" s="20" t="s">
        <v>46</v>
      </c>
      <c r="C51" s="2">
        <v>40750</v>
      </c>
      <c r="D51">
        <v>27</v>
      </c>
      <c r="E51" s="20" t="s">
        <v>55</v>
      </c>
      <c r="F51">
        <f>(201*0.15)</f>
        <v>30.15</v>
      </c>
      <c r="G51">
        <f>(201*0.06)</f>
        <v>12.059999999999999</v>
      </c>
      <c r="H51">
        <f>(201*0.18)</f>
        <v>36.18</v>
      </c>
      <c r="I51">
        <f>(201*0.14)</f>
        <v>28.140000000000004</v>
      </c>
      <c r="J51">
        <f t="shared" si="1"/>
        <v>106.52999999999999</v>
      </c>
    </row>
    <row r="52" spans="1:10" x14ac:dyDescent="0.2">
      <c r="A52">
        <v>2011</v>
      </c>
      <c r="B52" s="20" t="s">
        <v>46</v>
      </c>
      <c r="C52" s="2">
        <v>40750</v>
      </c>
      <c r="D52">
        <v>27</v>
      </c>
      <c r="E52" s="20" t="s">
        <v>69</v>
      </c>
      <c r="F52">
        <f>(1.5*0.8)</f>
        <v>1.2000000000000002</v>
      </c>
      <c r="G52">
        <v>0</v>
      </c>
      <c r="H52">
        <v>0</v>
      </c>
      <c r="I52">
        <v>0</v>
      </c>
      <c r="J52">
        <f t="shared" si="1"/>
        <v>1.2000000000000002</v>
      </c>
    </row>
    <row r="53" spans="1:10" x14ac:dyDescent="0.2">
      <c r="A53">
        <v>2011</v>
      </c>
      <c r="B53" s="20" t="s">
        <v>46</v>
      </c>
      <c r="C53" s="2">
        <v>40750</v>
      </c>
      <c r="D53">
        <v>27</v>
      </c>
      <c r="E53" s="20" t="s">
        <v>66</v>
      </c>
      <c r="F53">
        <f>(1.2*1)</f>
        <v>1.2</v>
      </c>
      <c r="G53">
        <v>0</v>
      </c>
      <c r="H53">
        <f>(0.7*0.5)</f>
        <v>0.35</v>
      </c>
      <c r="I53">
        <v>0</v>
      </c>
      <c r="J53">
        <f t="shared" si="1"/>
        <v>1.5499999999999998</v>
      </c>
    </row>
    <row r="54" spans="1:10" x14ac:dyDescent="0.2">
      <c r="A54">
        <v>2011</v>
      </c>
      <c r="B54" s="20" t="s">
        <v>46</v>
      </c>
      <c r="C54" s="2">
        <v>40750</v>
      </c>
      <c r="D54">
        <v>27</v>
      </c>
      <c r="E54" s="20" t="s">
        <v>52</v>
      </c>
      <c r="F54">
        <f>(2.4*1.3)</f>
        <v>3.12</v>
      </c>
      <c r="G54">
        <v>0</v>
      </c>
      <c r="H54">
        <v>0</v>
      </c>
      <c r="I54">
        <f>(201*0.12)</f>
        <v>24.119999999999997</v>
      </c>
      <c r="J54">
        <f t="shared" si="1"/>
        <v>27.24</v>
      </c>
    </row>
    <row r="55" spans="1:10" x14ac:dyDescent="0.2">
      <c r="A55">
        <v>2011</v>
      </c>
      <c r="B55" s="20" t="s">
        <v>46</v>
      </c>
      <c r="C55" s="2">
        <v>40750</v>
      </c>
      <c r="D55">
        <v>27</v>
      </c>
      <c r="E55" s="20" t="s">
        <v>59</v>
      </c>
      <c r="F55">
        <f>(1*0.9)</f>
        <v>0.9</v>
      </c>
      <c r="G55">
        <v>0</v>
      </c>
      <c r="H55">
        <v>0</v>
      </c>
      <c r="I55">
        <v>0</v>
      </c>
      <c r="J55">
        <f t="shared" si="1"/>
        <v>0.9</v>
      </c>
    </row>
    <row r="56" spans="1:10" x14ac:dyDescent="0.2">
      <c r="A56">
        <v>2011</v>
      </c>
      <c r="B56" s="20" t="s">
        <v>46</v>
      </c>
      <c r="C56" s="2">
        <v>40750</v>
      </c>
      <c r="D56">
        <v>27</v>
      </c>
      <c r="E56" s="20" t="s">
        <v>70</v>
      </c>
      <c r="F56" s="20">
        <v>0</v>
      </c>
      <c r="G56">
        <f>(2.3*1)</f>
        <v>2.2999999999999998</v>
      </c>
      <c r="H56">
        <f>(1*0.3)</f>
        <v>0.3</v>
      </c>
      <c r="I56">
        <f>(0.5*0.4)</f>
        <v>0.2</v>
      </c>
      <c r="J56">
        <f t="shared" si="1"/>
        <v>2.8</v>
      </c>
    </row>
    <row r="57" spans="1:10" x14ac:dyDescent="0.2">
      <c r="A57">
        <v>2011</v>
      </c>
      <c r="B57" s="20" t="s">
        <v>46</v>
      </c>
      <c r="C57" s="2">
        <v>40750</v>
      </c>
      <c r="D57">
        <v>27</v>
      </c>
      <c r="E57" s="20" t="s">
        <v>49</v>
      </c>
      <c r="F57" s="20">
        <v>0</v>
      </c>
      <c r="G57">
        <f>(1.5*1.4)</f>
        <v>2.0999999999999996</v>
      </c>
      <c r="H57">
        <f>(0.6*0.4)</f>
        <v>0.24</v>
      </c>
      <c r="I57">
        <v>0</v>
      </c>
      <c r="J57">
        <f t="shared" si="1"/>
        <v>2.34</v>
      </c>
    </row>
    <row r="58" spans="1:10" x14ac:dyDescent="0.2">
      <c r="A58">
        <v>2011</v>
      </c>
      <c r="B58" s="20" t="s">
        <v>46</v>
      </c>
      <c r="C58" s="2">
        <v>40750</v>
      </c>
      <c r="D58">
        <v>27</v>
      </c>
      <c r="E58" s="20" t="s">
        <v>175</v>
      </c>
      <c r="F58">
        <f>(1*1)</f>
        <v>1</v>
      </c>
      <c r="G58">
        <f>(1*1)</f>
        <v>1</v>
      </c>
      <c r="H58">
        <f>(201*0.01)</f>
        <v>2.0100000000000002</v>
      </c>
      <c r="I58">
        <f>(201*0.02)+(1*1)</f>
        <v>5.0200000000000005</v>
      </c>
      <c r="J58">
        <f t="shared" si="1"/>
        <v>9.0300000000000011</v>
      </c>
    </row>
    <row r="59" spans="1:10" x14ac:dyDescent="0.2">
      <c r="A59">
        <v>2011</v>
      </c>
      <c r="B59" s="20" t="s">
        <v>46</v>
      </c>
      <c r="C59" s="2">
        <v>40750</v>
      </c>
      <c r="D59">
        <v>27</v>
      </c>
      <c r="E59" s="20" t="s">
        <v>64</v>
      </c>
      <c r="F59" s="20">
        <v>0</v>
      </c>
      <c r="G59">
        <f>(0.9*0.6)</f>
        <v>0.54</v>
      </c>
      <c r="H59">
        <v>0</v>
      </c>
      <c r="I59">
        <v>0</v>
      </c>
      <c r="J59">
        <f t="shared" si="1"/>
        <v>0.54</v>
      </c>
    </row>
    <row r="60" spans="1:10" x14ac:dyDescent="0.2">
      <c r="A60">
        <v>2011</v>
      </c>
      <c r="B60" s="20" t="s">
        <v>46</v>
      </c>
      <c r="C60" s="2">
        <v>40750</v>
      </c>
      <c r="D60">
        <v>27</v>
      </c>
      <c r="E60" s="20" t="s">
        <v>84</v>
      </c>
      <c r="F60" s="20">
        <v>0</v>
      </c>
      <c r="G60" s="20">
        <v>0</v>
      </c>
      <c r="H60">
        <f>(201*0.02)</f>
        <v>4.0200000000000005</v>
      </c>
      <c r="I60">
        <v>0</v>
      </c>
      <c r="J60">
        <f t="shared" si="1"/>
        <v>4.0200000000000005</v>
      </c>
    </row>
    <row r="61" spans="1:10" x14ac:dyDescent="0.2">
      <c r="A61">
        <v>2011</v>
      </c>
      <c r="B61" s="20" t="s">
        <v>46</v>
      </c>
      <c r="C61" s="2">
        <v>40750</v>
      </c>
      <c r="D61">
        <v>27</v>
      </c>
      <c r="E61" s="20" t="s">
        <v>77</v>
      </c>
      <c r="F61" s="20">
        <v>0</v>
      </c>
      <c r="G61" s="20">
        <v>0</v>
      </c>
      <c r="H61">
        <f>(201*0.02)</f>
        <v>4.0200000000000005</v>
      </c>
      <c r="I61">
        <v>0</v>
      </c>
      <c r="J61">
        <f t="shared" si="1"/>
        <v>4.0200000000000005</v>
      </c>
    </row>
    <row r="62" spans="1:10" x14ac:dyDescent="0.2">
      <c r="A62">
        <v>2011</v>
      </c>
      <c r="B62" s="20" t="s">
        <v>46</v>
      </c>
      <c r="C62" s="2">
        <v>40750</v>
      </c>
      <c r="D62">
        <v>27</v>
      </c>
      <c r="E62" s="20" t="s">
        <v>63</v>
      </c>
      <c r="F62" s="20">
        <v>0</v>
      </c>
      <c r="G62" s="20">
        <v>0</v>
      </c>
      <c r="H62">
        <f>(1.2*0.6)</f>
        <v>0.72</v>
      </c>
      <c r="I62">
        <v>0</v>
      </c>
      <c r="J62">
        <f t="shared" si="1"/>
        <v>0.72</v>
      </c>
    </row>
    <row r="63" spans="1:10" x14ac:dyDescent="0.2">
      <c r="A63">
        <v>2011</v>
      </c>
      <c r="B63" s="20" t="s">
        <v>46</v>
      </c>
      <c r="C63" s="2">
        <v>40750</v>
      </c>
      <c r="D63">
        <v>27</v>
      </c>
      <c r="E63" s="20" t="s">
        <v>176</v>
      </c>
      <c r="F63" s="20">
        <v>0</v>
      </c>
      <c r="G63" s="20">
        <v>0</v>
      </c>
      <c r="H63">
        <f>(0.7*0.4)</f>
        <v>0.27999999999999997</v>
      </c>
      <c r="I63">
        <v>0</v>
      </c>
      <c r="J63">
        <f t="shared" si="1"/>
        <v>0.27999999999999997</v>
      </c>
    </row>
    <row r="64" spans="1:10" x14ac:dyDescent="0.2">
      <c r="A64">
        <v>2011</v>
      </c>
      <c r="B64" s="20" t="s">
        <v>46</v>
      </c>
      <c r="C64" s="2">
        <v>40750</v>
      </c>
      <c r="D64">
        <v>27</v>
      </c>
      <c r="E64" s="20" t="s">
        <v>61</v>
      </c>
      <c r="F64" s="20">
        <v>0</v>
      </c>
      <c r="G64" s="20">
        <v>0</v>
      </c>
      <c r="H64" s="20">
        <v>0</v>
      </c>
      <c r="I64">
        <f>(1.7*1.5)</f>
        <v>2.5499999999999998</v>
      </c>
      <c r="J64">
        <f t="shared" si="1"/>
        <v>2.5499999999999998</v>
      </c>
    </row>
    <row r="65" spans="1:11" x14ac:dyDescent="0.2">
      <c r="A65">
        <v>2011</v>
      </c>
      <c r="B65" s="20" t="s">
        <v>46</v>
      </c>
      <c r="C65" s="2">
        <v>40738</v>
      </c>
      <c r="D65">
        <v>31</v>
      </c>
      <c r="E65" s="20" t="s">
        <v>50</v>
      </c>
      <c r="F65" s="20">
        <v>14</v>
      </c>
      <c r="G65" s="20">
        <v>12</v>
      </c>
      <c r="H65" s="20">
        <v>6</v>
      </c>
      <c r="I65" s="20">
        <v>5</v>
      </c>
      <c r="J65">
        <f t="shared" ref="J65:J77" si="2">SUM(F65:I65)</f>
        <v>37</v>
      </c>
      <c r="K65" s="28" t="s">
        <v>179</v>
      </c>
    </row>
    <row r="66" spans="1:11" x14ac:dyDescent="0.2">
      <c r="A66">
        <v>2011</v>
      </c>
      <c r="B66" s="20" t="s">
        <v>46</v>
      </c>
      <c r="C66" s="2">
        <v>40738</v>
      </c>
      <c r="D66">
        <v>31</v>
      </c>
      <c r="E66" s="20" t="s">
        <v>89</v>
      </c>
      <c r="F66" s="20">
        <v>3</v>
      </c>
      <c r="G66" s="20">
        <v>1</v>
      </c>
      <c r="H66" s="20">
        <v>0</v>
      </c>
      <c r="I66" s="20">
        <v>2</v>
      </c>
      <c r="J66">
        <f t="shared" si="2"/>
        <v>6</v>
      </c>
    </row>
    <row r="67" spans="1:11" x14ac:dyDescent="0.2">
      <c r="A67">
        <v>2011</v>
      </c>
      <c r="B67" s="20" t="s">
        <v>46</v>
      </c>
      <c r="C67" s="2">
        <v>40738</v>
      </c>
      <c r="D67">
        <v>31</v>
      </c>
      <c r="E67" s="20" t="s">
        <v>80</v>
      </c>
      <c r="F67" s="20">
        <v>1</v>
      </c>
      <c r="G67" s="20">
        <v>0</v>
      </c>
      <c r="H67" s="20">
        <v>2</v>
      </c>
      <c r="I67" s="20">
        <v>0</v>
      </c>
      <c r="J67">
        <f t="shared" si="2"/>
        <v>3</v>
      </c>
    </row>
    <row r="68" spans="1:11" x14ac:dyDescent="0.2">
      <c r="A68">
        <v>2011</v>
      </c>
      <c r="B68" s="20" t="s">
        <v>46</v>
      </c>
      <c r="C68" s="2">
        <v>40738</v>
      </c>
      <c r="D68">
        <v>31</v>
      </c>
      <c r="E68" s="20" t="s">
        <v>47</v>
      </c>
      <c r="F68" s="20">
        <v>0</v>
      </c>
      <c r="G68" s="20">
        <v>1</v>
      </c>
      <c r="H68" s="20">
        <v>1</v>
      </c>
      <c r="I68" s="20">
        <v>3</v>
      </c>
      <c r="J68">
        <f t="shared" si="2"/>
        <v>5</v>
      </c>
      <c r="K68" s="28" t="s">
        <v>180</v>
      </c>
    </row>
    <row r="69" spans="1:11" x14ac:dyDescent="0.2">
      <c r="A69">
        <v>2011</v>
      </c>
      <c r="B69" s="20" t="s">
        <v>46</v>
      </c>
      <c r="C69" s="2">
        <v>40738</v>
      </c>
      <c r="D69">
        <v>31</v>
      </c>
      <c r="E69" s="20" t="s">
        <v>56</v>
      </c>
      <c r="F69" s="20">
        <v>2</v>
      </c>
      <c r="G69" s="20">
        <v>1</v>
      </c>
      <c r="H69" s="20">
        <v>19</v>
      </c>
      <c r="I69" s="20">
        <v>29</v>
      </c>
      <c r="J69">
        <f t="shared" si="2"/>
        <v>51</v>
      </c>
    </row>
    <row r="70" spans="1:11" x14ac:dyDescent="0.2">
      <c r="A70">
        <v>2011</v>
      </c>
      <c r="B70" s="20" t="s">
        <v>46</v>
      </c>
      <c r="C70" s="2">
        <v>40738</v>
      </c>
      <c r="D70">
        <v>31</v>
      </c>
      <c r="E70" s="20" t="s">
        <v>76</v>
      </c>
      <c r="F70" s="20">
        <v>2</v>
      </c>
      <c r="G70" s="20">
        <v>1</v>
      </c>
      <c r="H70" s="20">
        <v>3</v>
      </c>
      <c r="I70" s="20">
        <v>5</v>
      </c>
      <c r="J70">
        <f t="shared" si="2"/>
        <v>11</v>
      </c>
    </row>
    <row r="71" spans="1:11" x14ac:dyDescent="0.2">
      <c r="A71">
        <v>2011</v>
      </c>
      <c r="B71" s="20" t="s">
        <v>46</v>
      </c>
      <c r="C71" s="2">
        <v>40738</v>
      </c>
      <c r="D71">
        <v>31</v>
      </c>
      <c r="E71" s="20" t="s">
        <v>74</v>
      </c>
      <c r="F71" s="20">
        <v>0</v>
      </c>
      <c r="G71" s="20">
        <v>0</v>
      </c>
      <c r="H71" s="20">
        <v>1</v>
      </c>
      <c r="I71" s="20">
        <v>0</v>
      </c>
      <c r="J71">
        <f t="shared" si="2"/>
        <v>1</v>
      </c>
    </row>
    <row r="72" spans="1:11" x14ac:dyDescent="0.2">
      <c r="A72">
        <v>2011</v>
      </c>
      <c r="B72" s="20" t="s">
        <v>46</v>
      </c>
      <c r="C72" s="2">
        <v>40738</v>
      </c>
      <c r="D72">
        <v>31</v>
      </c>
      <c r="E72" s="20" t="s">
        <v>54</v>
      </c>
      <c r="F72" s="20">
        <f>(201*0.02)</f>
        <v>4.0200000000000005</v>
      </c>
      <c r="G72" s="20">
        <f>(201*0.01)</f>
        <v>2.0100000000000002</v>
      </c>
      <c r="H72" s="20">
        <v>0</v>
      </c>
      <c r="I72" s="20">
        <v>0</v>
      </c>
      <c r="J72">
        <f t="shared" si="2"/>
        <v>6.0300000000000011</v>
      </c>
    </row>
    <row r="73" spans="1:11" x14ac:dyDescent="0.2">
      <c r="A73">
        <v>2011</v>
      </c>
      <c r="B73" s="20" t="s">
        <v>46</v>
      </c>
      <c r="C73" s="2">
        <v>40738</v>
      </c>
      <c r="D73">
        <v>31</v>
      </c>
      <c r="E73" s="20" t="s">
        <v>55</v>
      </c>
      <c r="F73" s="20">
        <v>0</v>
      </c>
      <c r="G73" s="20">
        <f>(0.8*0.9)</f>
        <v>0.72000000000000008</v>
      </c>
      <c r="H73" s="20">
        <v>0</v>
      </c>
      <c r="I73" s="20">
        <v>0</v>
      </c>
      <c r="J73">
        <f t="shared" si="2"/>
        <v>0.72000000000000008</v>
      </c>
    </row>
    <row r="74" spans="1:11" x14ac:dyDescent="0.2">
      <c r="A74">
        <v>2011</v>
      </c>
      <c r="B74" s="20" t="s">
        <v>46</v>
      </c>
      <c r="C74" s="2">
        <v>40738</v>
      </c>
      <c r="D74">
        <v>31</v>
      </c>
      <c r="E74" s="20" t="s">
        <v>63</v>
      </c>
      <c r="F74" s="20">
        <v>0</v>
      </c>
      <c r="G74" s="20">
        <f>(1.4*1.1)</f>
        <v>1.54</v>
      </c>
      <c r="H74" s="20">
        <v>0</v>
      </c>
      <c r="I74" s="20">
        <v>0</v>
      </c>
      <c r="J74">
        <f t="shared" si="2"/>
        <v>1.54</v>
      </c>
    </row>
    <row r="75" spans="1:11" x14ac:dyDescent="0.2">
      <c r="A75">
        <v>2011</v>
      </c>
      <c r="B75" s="20" t="s">
        <v>46</v>
      </c>
      <c r="C75" s="2">
        <v>40738</v>
      </c>
      <c r="D75">
        <v>31</v>
      </c>
      <c r="E75" s="20" t="s">
        <v>86</v>
      </c>
      <c r="F75" s="20">
        <v>0</v>
      </c>
      <c r="G75" s="20">
        <f>(1.7*1)</f>
        <v>1.7</v>
      </c>
      <c r="H75" s="20">
        <v>0</v>
      </c>
      <c r="I75" s="20">
        <v>0</v>
      </c>
      <c r="J75">
        <f t="shared" si="2"/>
        <v>1.7</v>
      </c>
    </row>
    <row r="76" spans="1:11" x14ac:dyDescent="0.2">
      <c r="A76">
        <v>2011</v>
      </c>
      <c r="B76" s="20" t="s">
        <v>46</v>
      </c>
      <c r="C76" s="2">
        <v>40738</v>
      </c>
      <c r="D76">
        <v>31</v>
      </c>
      <c r="E76" s="20" t="s">
        <v>77</v>
      </c>
      <c r="F76" s="20">
        <v>0</v>
      </c>
      <c r="G76" s="20">
        <v>0</v>
      </c>
      <c r="H76" s="20">
        <f>(0.9*0.8)</f>
        <v>0.72000000000000008</v>
      </c>
      <c r="I76" s="20">
        <v>0</v>
      </c>
      <c r="J76">
        <f t="shared" si="2"/>
        <v>0.72000000000000008</v>
      </c>
    </row>
    <row r="77" spans="1:11" x14ac:dyDescent="0.2">
      <c r="A77">
        <v>2011</v>
      </c>
      <c r="B77" s="20" t="s">
        <v>46</v>
      </c>
      <c r="C77" s="2">
        <v>40709</v>
      </c>
      <c r="D77">
        <v>32</v>
      </c>
      <c r="E77" s="20" t="s">
        <v>95</v>
      </c>
      <c r="F77" s="20">
        <v>2</v>
      </c>
      <c r="G77" s="20">
        <v>5</v>
      </c>
      <c r="H77" s="20">
        <v>0</v>
      </c>
      <c r="I77" s="20">
        <v>1</v>
      </c>
      <c r="J77">
        <f t="shared" si="2"/>
        <v>8</v>
      </c>
    </row>
    <row r="78" spans="1:11" x14ac:dyDescent="0.2">
      <c r="A78">
        <v>2011</v>
      </c>
      <c r="B78" s="20" t="s">
        <v>46</v>
      </c>
      <c r="C78" s="2">
        <v>40709</v>
      </c>
      <c r="D78">
        <v>32</v>
      </c>
      <c r="E78" s="20" t="s">
        <v>76</v>
      </c>
      <c r="F78" s="20">
        <v>1</v>
      </c>
      <c r="G78" s="20">
        <v>2</v>
      </c>
      <c r="H78" s="20">
        <v>2</v>
      </c>
      <c r="I78" s="20">
        <v>1</v>
      </c>
      <c r="J78">
        <f t="shared" ref="J78:J151" si="3">SUM(F78:I78)</f>
        <v>6</v>
      </c>
    </row>
    <row r="79" spans="1:11" x14ac:dyDescent="0.2">
      <c r="A79">
        <v>2011</v>
      </c>
      <c r="B79" s="20" t="s">
        <v>46</v>
      </c>
      <c r="C79" s="2">
        <v>40709</v>
      </c>
      <c r="D79">
        <v>32</v>
      </c>
      <c r="E79" s="20" t="s">
        <v>83</v>
      </c>
      <c r="F79" s="20">
        <v>0</v>
      </c>
      <c r="G79" s="20">
        <v>1</v>
      </c>
      <c r="H79" s="20">
        <v>2</v>
      </c>
      <c r="I79" s="20">
        <v>0</v>
      </c>
      <c r="J79">
        <f t="shared" si="3"/>
        <v>3</v>
      </c>
    </row>
    <row r="80" spans="1:11" x14ac:dyDescent="0.2">
      <c r="A80">
        <v>2011</v>
      </c>
      <c r="B80" s="20" t="s">
        <v>46</v>
      </c>
      <c r="C80" s="2">
        <v>40709</v>
      </c>
      <c r="D80">
        <v>32</v>
      </c>
      <c r="E80" s="20" t="s">
        <v>60</v>
      </c>
      <c r="F80" s="20">
        <v>0</v>
      </c>
      <c r="G80" s="20">
        <v>0</v>
      </c>
      <c r="H80" s="20">
        <v>0</v>
      </c>
      <c r="I80" s="20">
        <v>4</v>
      </c>
      <c r="J80">
        <f t="shared" si="3"/>
        <v>4</v>
      </c>
    </row>
    <row r="81" spans="1:11" x14ac:dyDescent="0.2">
      <c r="A81">
        <v>2011</v>
      </c>
      <c r="B81" s="20" t="s">
        <v>46</v>
      </c>
      <c r="C81" s="2">
        <v>40709</v>
      </c>
      <c r="D81">
        <v>32</v>
      </c>
      <c r="E81" s="20" t="s">
        <v>54</v>
      </c>
      <c r="F81" s="20">
        <f>(201*0.15)</f>
        <v>30.15</v>
      </c>
      <c r="G81" s="20">
        <f>(201*0.1)</f>
        <v>20.100000000000001</v>
      </c>
      <c r="H81" s="20">
        <f>(1.1*0.7)+(0.6*0.4)</f>
        <v>1.01</v>
      </c>
      <c r="I81" s="20">
        <f>(1.6*0.6)+(2.2*0.8)</f>
        <v>2.72</v>
      </c>
      <c r="J81">
        <f t="shared" si="3"/>
        <v>53.98</v>
      </c>
    </row>
    <row r="82" spans="1:11" x14ac:dyDescent="0.2">
      <c r="A82">
        <v>2011</v>
      </c>
      <c r="B82" s="20" t="s">
        <v>46</v>
      </c>
      <c r="C82" s="2">
        <v>40709</v>
      </c>
      <c r="D82">
        <v>32</v>
      </c>
      <c r="E82" s="20" t="s">
        <v>181</v>
      </c>
      <c r="F82" s="20">
        <v>0</v>
      </c>
      <c r="G82" s="20">
        <f>(1.4*0.9)</f>
        <v>1.26</v>
      </c>
      <c r="H82" s="20">
        <v>0</v>
      </c>
      <c r="I82" s="20">
        <v>0</v>
      </c>
      <c r="J82">
        <f t="shared" si="3"/>
        <v>1.26</v>
      </c>
    </row>
    <row r="83" spans="1:11" x14ac:dyDescent="0.2">
      <c r="A83">
        <v>2011</v>
      </c>
      <c r="B83" s="20" t="s">
        <v>46</v>
      </c>
      <c r="C83" s="2">
        <v>40709</v>
      </c>
      <c r="D83">
        <v>32</v>
      </c>
      <c r="E83" s="20" t="s">
        <v>182</v>
      </c>
      <c r="F83" s="20">
        <v>0</v>
      </c>
      <c r="G83" s="20">
        <v>0</v>
      </c>
      <c r="H83" s="20">
        <f>(201*0.08)</f>
        <v>16.080000000000002</v>
      </c>
      <c r="I83" s="20">
        <f>(0.9*0.7)+(0.5*0.3)</f>
        <v>0.78</v>
      </c>
      <c r="J83">
        <f t="shared" si="3"/>
        <v>16.860000000000003</v>
      </c>
    </row>
    <row r="84" spans="1:11" x14ac:dyDescent="0.2">
      <c r="A84">
        <v>2011</v>
      </c>
      <c r="B84" s="20" t="s">
        <v>46</v>
      </c>
      <c r="C84" s="2">
        <v>40758</v>
      </c>
      <c r="D84">
        <v>33</v>
      </c>
      <c r="E84" s="20" t="s">
        <v>47</v>
      </c>
      <c r="F84" s="20">
        <v>11</v>
      </c>
      <c r="G84" s="20">
        <v>21</v>
      </c>
      <c r="H84" s="20">
        <v>25</v>
      </c>
      <c r="I84" s="20">
        <v>27</v>
      </c>
      <c r="J84">
        <f t="shared" ref="J84:J102" si="4">SUM(F84:I84)</f>
        <v>84</v>
      </c>
      <c r="K84" s="28" t="s">
        <v>183</v>
      </c>
    </row>
    <row r="85" spans="1:11" x14ac:dyDescent="0.2">
      <c r="A85">
        <v>2011</v>
      </c>
      <c r="B85" s="20" t="s">
        <v>46</v>
      </c>
      <c r="C85" s="2">
        <v>40758</v>
      </c>
      <c r="D85">
        <v>33</v>
      </c>
      <c r="E85" s="20" t="s">
        <v>60</v>
      </c>
      <c r="F85" s="20">
        <v>1</v>
      </c>
      <c r="G85" s="20">
        <v>0</v>
      </c>
      <c r="H85" s="20">
        <v>0</v>
      </c>
      <c r="I85" s="20">
        <v>0</v>
      </c>
      <c r="J85">
        <f t="shared" si="4"/>
        <v>1</v>
      </c>
    </row>
    <row r="86" spans="1:11" x14ac:dyDescent="0.2">
      <c r="A86">
        <v>2011</v>
      </c>
      <c r="B86" s="20" t="s">
        <v>46</v>
      </c>
      <c r="C86" s="2">
        <v>40758</v>
      </c>
      <c r="D86">
        <v>33</v>
      </c>
      <c r="E86" s="20" t="s">
        <v>50</v>
      </c>
      <c r="F86" s="20">
        <v>3</v>
      </c>
      <c r="G86" s="20">
        <v>0</v>
      </c>
      <c r="H86" s="20">
        <v>0</v>
      </c>
      <c r="I86" s="20">
        <v>0</v>
      </c>
      <c r="J86">
        <f t="shared" si="4"/>
        <v>3</v>
      </c>
    </row>
    <row r="87" spans="1:11" x14ac:dyDescent="0.2">
      <c r="A87">
        <v>2011</v>
      </c>
      <c r="B87" s="20" t="s">
        <v>46</v>
      </c>
      <c r="C87" s="2">
        <v>40758</v>
      </c>
      <c r="D87">
        <v>33</v>
      </c>
      <c r="E87" s="20" t="s">
        <v>184</v>
      </c>
      <c r="F87" s="20">
        <v>0</v>
      </c>
      <c r="G87" s="20">
        <v>2</v>
      </c>
      <c r="H87" s="20">
        <v>0</v>
      </c>
      <c r="I87" s="20">
        <v>0</v>
      </c>
      <c r="J87">
        <f t="shared" si="4"/>
        <v>2</v>
      </c>
      <c r="K87" s="28" t="s">
        <v>185</v>
      </c>
    </row>
    <row r="88" spans="1:11" x14ac:dyDescent="0.2">
      <c r="A88">
        <v>2011</v>
      </c>
      <c r="B88" s="20" t="s">
        <v>46</v>
      </c>
      <c r="C88" s="2">
        <v>40758</v>
      </c>
      <c r="D88">
        <v>33</v>
      </c>
      <c r="E88" s="20" t="s">
        <v>81</v>
      </c>
      <c r="F88" s="20">
        <v>0</v>
      </c>
      <c r="G88" s="20">
        <v>0</v>
      </c>
      <c r="H88" s="20">
        <v>0</v>
      </c>
      <c r="I88" s="20">
        <v>1</v>
      </c>
      <c r="J88">
        <f t="shared" si="4"/>
        <v>1</v>
      </c>
    </row>
    <row r="89" spans="1:11" x14ac:dyDescent="0.2">
      <c r="A89">
        <v>2011</v>
      </c>
      <c r="B89" s="20" t="s">
        <v>46</v>
      </c>
      <c r="C89" s="2">
        <v>40758</v>
      </c>
      <c r="D89">
        <v>33</v>
      </c>
      <c r="E89" s="20" t="s">
        <v>54</v>
      </c>
      <c r="F89">
        <f>(201*0.18)</f>
        <v>36.18</v>
      </c>
      <c r="G89">
        <f>(201*0.05)</f>
        <v>10.050000000000001</v>
      </c>
      <c r="H89">
        <f>(201*0.03)</f>
        <v>6.0299999999999994</v>
      </c>
      <c r="I89">
        <f>(201*0.02)</f>
        <v>4.0200000000000005</v>
      </c>
      <c r="J89">
        <f t="shared" si="4"/>
        <v>56.280000000000008</v>
      </c>
    </row>
    <row r="90" spans="1:11" x14ac:dyDescent="0.2">
      <c r="A90">
        <v>2011</v>
      </c>
      <c r="B90" s="20" t="s">
        <v>46</v>
      </c>
      <c r="C90" s="2">
        <v>40758</v>
      </c>
      <c r="D90">
        <v>33</v>
      </c>
      <c r="E90" s="20" t="s">
        <v>70</v>
      </c>
      <c r="F90">
        <f>(2*1)</f>
        <v>2</v>
      </c>
      <c r="G90">
        <v>0</v>
      </c>
      <c r="H90">
        <f>(1*0.5)</f>
        <v>0.5</v>
      </c>
      <c r="I90">
        <v>0</v>
      </c>
      <c r="J90">
        <f t="shared" si="4"/>
        <v>2.5</v>
      </c>
    </row>
    <row r="91" spans="1:11" x14ac:dyDescent="0.2">
      <c r="A91">
        <v>2011</v>
      </c>
      <c r="B91" s="20" t="s">
        <v>46</v>
      </c>
      <c r="C91" s="2">
        <v>40758</v>
      </c>
      <c r="D91">
        <v>33</v>
      </c>
      <c r="E91" s="20" t="s">
        <v>55</v>
      </c>
      <c r="F91">
        <f>(201*0.02)</f>
        <v>4.0200000000000005</v>
      </c>
      <c r="G91">
        <v>0</v>
      </c>
      <c r="H91">
        <v>0</v>
      </c>
      <c r="I91">
        <f>(0.6*0.4)+(1*1.4)</f>
        <v>1.64</v>
      </c>
      <c r="J91">
        <f t="shared" si="4"/>
        <v>5.66</v>
      </c>
    </row>
    <row r="92" spans="1:11" x14ac:dyDescent="0.2">
      <c r="A92">
        <v>2011</v>
      </c>
      <c r="B92" s="20" t="s">
        <v>46</v>
      </c>
      <c r="C92" s="2">
        <v>40758</v>
      </c>
      <c r="D92">
        <v>33</v>
      </c>
      <c r="E92" s="20" t="s">
        <v>49</v>
      </c>
      <c r="F92">
        <f>(0.4*0.4)</f>
        <v>0.16000000000000003</v>
      </c>
      <c r="G92">
        <v>0</v>
      </c>
      <c r="H92">
        <v>0</v>
      </c>
      <c r="I92">
        <f>(0.4*0.4)</f>
        <v>0.16000000000000003</v>
      </c>
      <c r="J92">
        <f t="shared" si="4"/>
        <v>0.32000000000000006</v>
      </c>
    </row>
    <row r="93" spans="1:11" x14ac:dyDescent="0.2">
      <c r="A93">
        <v>2011</v>
      </c>
      <c r="B93" s="20" t="s">
        <v>46</v>
      </c>
      <c r="C93" s="2">
        <v>40758</v>
      </c>
      <c r="D93">
        <v>33</v>
      </c>
      <c r="E93" s="20" t="s">
        <v>84</v>
      </c>
      <c r="F93">
        <f>(0.4*0.3)</f>
        <v>0.12</v>
      </c>
      <c r="G93">
        <v>0</v>
      </c>
      <c r="H93">
        <v>0</v>
      </c>
      <c r="I93">
        <v>0</v>
      </c>
      <c r="J93">
        <f t="shared" si="4"/>
        <v>0.12</v>
      </c>
    </row>
    <row r="94" spans="1:11" x14ac:dyDescent="0.2">
      <c r="A94">
        <v>2011</v>
      </c>
      <c r="B94" s="20" t="s">
        <v>46</v>
      </c>
      <c r="C94" s="2">
        <v>40758</v>
      </c>
      <c r="D94">
        <v>33</v>
      </c>
      <c r="E94" s="20" t="s">
        <v>64</v>
      </c>
      <c r="F94" s="20">
        <v>0</v>
      </c>
      <c r="G94">
        <f>(0.4*0.7)+(0.9*0.3)</f>
        <v>0.55000000000000004</v>
      </c>
      <c r="H94">
        <v>0</v>
      </c>
      <c r="I94">
        <f>(0.7*0.3)+(1*0.7)</f>
        <v>0.90999999999999992</v>
      </c>
      <c r="J94">
        <f t="shared" si="4"/>
        <v>1.46</v>
      </c>
    </row>
    <row r="95" spans="1:11" x14ac:dyDescent="0.2">
      <c r="A95">
        <v>2011</v>
      </c>
      <c r="B95" s="20" t="s">
        <v>46</v>
      </c>
      <c r="C95" s="2">
        <v>40758</v>
      </c>
      <c r="D95">
        <v>33</v>
      </c>
      <c r="E95" s="20" t="s">
        <v>86</v>
      </c>
      <c r="F95" s="20">
        <v>0</v>
      </c>
      <c r="G95">
        <f>(201*0.05)</f>
        <v>10.050000000000001</v>
      </c>
      <c r="H95">
        <f>(201*0.08)</f>
        <v>16.080000000000002</v>
      </c>
      <c r="I95">
        <f>(1.1*0.6)</f>
        <v>0.66</v>
      </c>
      <c r="J95">
        <f t="shared" si="4"/>
        <v>26.790000000000003</v>
      </c>
    </row>
    <row r="96" spans="1:11" x14ac:dyDescent="0.2">
      <c r="A96">
        <v>2011</v>
      </c>
      <c r="B96" s="20" t="s">
        <v>46</v>
      </c>
      <c r="C96" s="2">
        <v>40758</v>
      </c>
      <c r="D96">
        <v>33</v>
      </c>
      <c r="E96" s="20" t="s">
        <v>72</v>
      </c>
      <c r="F96" s="20">
        <v>0</v>
      </c>
      <c r="G96">
        <f>(201*0.01)</f>
        <v>2.0100000000000002</v>
      </c>
      <c r="H96">
        <f>(201*0.01)</f>
        <v>2.0100000000000002</v>
      </c>
      <c r="I96">
        <f>(0.5*0.6)+(0.8*0.8)</f>
        <v>0.94000000000000017</v>
      </c>
      <c r="J96">
        <f t="shared" si="4"/>
        <v>4.9600000000000009</v>
      </c>
    </row>
    <row r="97" spans="1:11" x14ac:dyDescent="0.2">
      <c r="A97">
        <v>2011</v>
      </c>
      <c r="B97" s="20" t="s">
        <v>46</v>
      </c>
      <c r="C97" s="2">
        <v>40758</v>
      </c>
      <c r="D97">
        <v>33</v>
      </c>
      <c r="E97" s="20" t="s">
        <v>57</v>
      </c>
      <c r="F97" s="20">
        <v>0</v>
      </c>
      <c r="G97" s="20">
        <v>0</v>
      </c>
      <c r="H97">
        <f>(201*0.01)</f>
        <v>2.0100000000000002</v>
      </c>
      <c r="I97">
        <f>(0.6*0.7)</f>
        <v>0.42</v>
      </c>
      <c r="J97">
        <f t="shared" si="4"/>
        <v>2.4300000000000002</v>
      </c>
    </row>
    <row r="98" spans="1:11" x14ac:dyDescent="0.2">
      <c r="A98">
        <v>2011</v>
      </c>
      <c r="B98" s="20" t="s">
        <v>46</v>
      </c>
      <c r="C98" s="2">
        <v>40758</v>
      </c>
      <c r="D98">
        <v>34</v>
      </c>
      <c r="E98" s="20" t="s">
        <v>47</v>
      </c>
      <c r="F98" s="20">
        <v>1</v>
      </c>
      <c r="G98" s="20">
        <v>1</v>
      </c>
      <c r="H98" s="20">
        <v>0</v>
      </c>
      <c r="I98" s="20">
        <v>0</v>
      </c>
      <c r="J98">
        <f t="shared" si="4"/>
        <v>2</v>
      </c>
    </row>
    <row r="99" spans="1:11" x14ac:dyDescent="0.2">
      <c r="A99">
        <v>2011</v>
      </c>
      <c r="B99" s="20" t="s">
        <v>46</v>
      </c>
      <c r="C99" s="2">
        <v>40758</v>
      </c>
      <c r="D99">
        <v>34</v>
      </c>
      <c r="E99" s="20" t="s">
        <v>80</v>
      </c>
      <c r="F99" s="20">
        <v>1</v>
      </c>
      <c r="G99" s="20">
        <v>3</v>
      </c>
      <c r="H99" s="20">
        <v>0</v>
      </c>
      <c r="I99" s="20">
        <v>0</v>
      </c>
      <c r="J99">
        <f t="shared" si="4"/>
        <v>4</v>
      </c>
    </row>
    <row r="100" spans="1:11" x14ac:dyDescent="0.2">
      <c r="A100">
        <v>2011</v>
      </c>
      <c r="B100" s="20" t="s">
        <v>46</v>
      </c>
      <c r="C100" s="2">
        <v>40758</v>
      </c>
      <c r="D100">
        <v>34</v>
      </c>
      <c r="E100" s="20" t="s">
        <v>76</v>
      </c>
      <c r="F100" s="20">
        <v>1</v>
      </c>
      <c r="G100" s="20">
        <v>1</v>
      </c>
      <c r="H100" s="20">
        <v>0</v>
      </c>
      <c r="I100" s="20">
        <v>0</v>
      </c>
      <c r="J100">
        <f t="shared" si="4"/>
        <v>2</v>
      </c>
    </row>
    <row r="101" spans="1:11" x14ac:dyDescent="0.2">
      <c r="A101">
        <v>2011</v>
      </c>
      <c r="B101" s="20" t="s">
        <v>46</v>
      </c>
      <c r="C101" s="2">
        <v>40758</v>
      </c>
      <c r="D101">
        <v>34</v>
      </c>
      <c r="E101" s="20" t="s">
        <v>50</v>
      </c>
      <c r="F101" s="20">
        <v>1</v>
      </c>
      <c r="G101" s="20">
        <v>0</v>
      </c>
      <c r="H101" s="20">
        <v>0</v>
      </c>
      <c r="I101" s="20">
        <v>1</v>
      </c>
      <c r="J101">
        <f t="shared" si="4"/>
        <v>2</v>
      </c>
    </row>
    <row r="102" spans="1:11" x14ac:dyDescent="0.2">
      <c r="A102">
        <v>2011</v>
      </c>
      <c r="B102" s="20" t="s">
        <v>46</v>
      </c>
      <c r="C102" s="2">
        <v>40758</v>
      </c>
      <c r="D102">
        <v>34</v>
      </c>
      <c r="E102" s="20" t="s">
        <v>56</v>
      </c>
      <c r="F102" s="20">
        <v>2</v>
      </c>
      <c r="G102" s="20">
        <v>0</v>
      </c>
      <c r="H102" s="20">
        <v>0</v>
      </c>
      <c r="I102" s="20">
        <v>0</v>
      </c>
      <c r="J102">
        <f t="shared" si="4"/>
        <v>2</v>
      </c>
    </row>
    <row r="103" spans="1:11" x14ac:dyDescent="0.2">
      <c r="A103">
        <v>2011</v>
      </c>
      <c r="B103" s="20" t="s">
        <v>46</v>
      </c>
      <c r="C103" s="2">
        <v>40758</v>
      </c>
      <c r="D103">
        <v>34</v>
      </c>
      <c r="E103" s="20" t="s">
        <v>86</v>
      </c>
      <c r="F103" s="20">
        <v>0</v>
      </c>
      <c r="G103">
        <f>(1.6*1.4)</f>
        <v>2.2399999999999998</v>
      </c>
      <c r="H103" s="20">
        <v>0</v>
      </c>
      <c r="I103">
        <f>(0.6*0.5)+(2*1.8)+(1.8*1.6)</f>
        <v>6.78</v>
      </c>
      <c r="J103">
        <f t="shared" ref="J103:J111" si="5">SUM(F103:I103)</f>
        <v>9.02</v>
      </c>
    </row>
    <row r="104" spans="1:11" x14ac:dyDescent="0.2">
      <c r="A104">
        <v>2011</v>
      </c>
      <c r="B104" s="20" t="s">
        <v>46</v>
      </c>
      <c r="C104" s="2">
        <v>40758</v>
      </c>
      <c r="D104">
        <v>35</v>
      </c>
      <c r="E104" s="20" t="s">
        <v>76</v>
      </c>
      <c r="F104" s="20">
        <v>4</v>
      </c>
      <c r="G104" s="20">
        <v>5</v>
      </c>
      <c r="H104" s="20">
        <v>0</v>
      </c>
      <c r="I104" s="20">
        <v>1</v>
      </c>
      <c r="J104">
        <f t="shared" si="5"/>
        <v>10</v>
      </c>
    </row>
    <row r="105" spans="1:11" x14ac:dyDescent="0.2">
      <c r="A105">
        <v>2011</v>
      </c>
      <c r="B105" s="20" t="s">
        <v>46</v>
      </c>
      <c r="C105" s="2">
        <v>40758</v>
      </c>
      <c r="D105">
        <v>35</v>
      </c>
      <c r="E105" s="20" t="s">
        <v>56</v>
      </c>
      <c r="F105" s="20">
        <v>1</v>
      </c>
      <c r="G105" s="20">
        <v>1</v>
      </c>
      <c r="H105" s="20">
        <v>0</v>
      </c>
      <c r="I105" s="20">
        <v>0</v>
      </c>
      <c r="J105">
        <f t="shared" si="5"/>
        <v>2</v>
      </c>
    </row>
    <row r="106" spans="1:11" x14ac:dyDescent="0.2">
      <c r="A106">
        <v>2011</v>
      </c>
      <c r="B106" s="20" t="s">
        <v>46</v>
      </c>
      <c r="C106" s="2">
        <v>40758</v>
      </c>
      <c r="D106">
        <v>35</v>
      </c>
      <c r="E106" s="20" t="s">
        <v>89</v>
      </c>
      <c r="F106" s="20">
        <v>1</v>
      </c>
      <c r="G106" s="20">
        <v>0</v>
      </c>
      <c r="H106" s="20">
        <v>0</v>
      </c>
      <c r="I106" s="20">
        <v>0</v>
      </c>
      <c r="J106">
        <f t="shared" si="5"/>
        <v>1</v>
      </c>
    </row>
    <row r="107" spans="1:11" x14ac:dyDescent="0.2">
      <c r="A107">
        <v>2011</v>
      </c>
      <c r="B107" s="20" t="s">
        <v>46</v>
      </c>
      <c r="C107" s="2">
        <v>40758</v>
      </c>
      <c r="D107">
        <v>35</v>
      </c>
      <c r="E107" s="20" t="s">
        <v>47</v>
      </c>
      <c r="F107" s="20">
        <v>0</v>
      </c>
      <c r="G107" s="20">
        <v>1</v>
      </c>
      <c r="H107" s="20">
        <v>1</v>
      </c>
      <c r="I107" s="20">
        <v>0</v>
      </c>
      <c r="J107">
        <f t="shared" si="5"/>
        <v>2</v>
      </c>
    </row>
    <row r="108" spans="1:11" x14ac:dyDescent="0.2">
      <c r="A108">
        <v>2011</v>
      </c>
      <c r="B108" s="20" t="s">
        <v>46</v>
      </c>
      <c r="C108" s="2">
        <v>40758</v>
      </c>
      <c r="D108">
        <v>35</v>
      </c>
      <c r="E108" s="20" t="s">
        <v>50</v>
      </c>
      <c r="F108" s="20">
        <v>0</v>
      </c>
      <c r="G108" s="20">
        <v>1</v>
      </c>
      <c r="H108" s="20">
        <v>0</v>
      </c>
      <c r="I108" s="20">
        <v>0</v>
      </c>
      <c r="J108">
        <f t="shared" si="5"/>
        <v>1</v>
      </c>
    </row>
    <row r="109" spans="1:11" x14ac:dyDescent="0.2">
      <c r="A109">
        <v>2011</v>
      </c>
      <c r="B109" s="20" t="s">
        <v>46</v>
      </c>
      <c r="C109" s="2">
        <v>40758</v>
      </c>
      <c r="D109">
        <v>35</v>
      </c>
      <c r="E109" s="20" t="s">
        <v>80</v>
      </c>
      <c r="F109" s="20">
        <v>0</v>
      </c>
      <c r="G109" s="20">
        <v>0</v>
      </c>
      <c r="H109" s="20">
        <v>1</v>
      </c>
      <c r="I109" s="20">
        <v>0</v>
      </c>
      <c r="J109">
        <f t="shared" si="5"/>
        <v>1</v>
      </c>
      <c r="K109" s="28" t="s">
        <v>186</v>
      </c>
    </row>
    <row r="110" spans="1:11" x14ac:dyDescent="0.2">
      <c r="A110">
        <v>2011</v>
      </c>
      <c r="B110" s="20" t="s">
        <v>46</v>
      </c>
      <c r="C110" s="2">
        <v>40758</v>
      </c>
      <c r="D110">
        <v>35</v>
      </c>
      <c r="E110" s="20" t="s">
        <v>92</v>
      </c>
      <c r="F110" s="20">
        <v>0</v>
      </c>
      <c r="G110" s="20">
        <v>0</v>
      </c>
      <c r="H110" s="20">
        <v>0</v>
      </c>
      <c r="I110" s="20">
        <v>1</v>
      </c>
      <c r="J110">
        <f t="shared" si="5"/>
        <v>1</v>
      </c>
      <c r="K110" s="28" t="s">
        <v>187</v>
      </c>
    </row>
    <row r="111" spans="1:11" x14ac:dyDescent="0.2">
      <c r="A111">
        <v>2011</v>
      </c>
      <c r="B111" s="20" t="s">
        <v>46</v>
      </c>
      <c r="C111" s="2">
        <v>40758</v>
      </c>
      <c r="D111">
        <v>35</v>
      </c>
      <c r="E111" s="20" t="s">
        <v>86</v>
      </c>
      <c r="F111" s="20">
        <v>0</v>
      </c>
      <c r="G111" s="20">
        <v>0</v>
      </c>
      <c r="H111">
        <f>(201*0.05)</f>
        <v>10.050000000000001</v>
      </c>
      <c r="I111">
        <f>(201*0.03)</f>
        <v>6.0299999999999994</v>
      </c>
      <c r="J111">
        <f t="shared" si="5"/>
        <v>16.079999999999998</v>
      </c>
    </row>
    <row r="112" spans="1:11" x14ac:dyDescent="0.2">
      <c r="A112">
        <v>2011</v>
      </c>
      <c r="B112" s="20" t="s">
        <v>46</v>
      </c>
      <c r="C112" s="2">
        <v>40738</v>
      </c>
      <c r="D112">
        <v>36</v>
      </c>
      <c r="E112" s="20" t="s">
        <v>56</v>
      </c>
      <c r="F112" s="20">
        <v>4</v>
      </c>
      <c r="G112" s="20">
        <v>5</v>
      </c>
      <c r="H112" s="20">
        <v>2</v>
      </c>
      <c r="I112" s="20">
        <v>4</v>
      </c>
      <c r="J112">
        <f t="shared" si="3"/>
        <v>15</v>
      </c>
    </row>
    <row r="113" spans="1:11" x14ac:dyDescent="0.2">
      <c r="A113">
        <v>2011</v>
      </c>
      <c r="B113" s="20" t="s">
        <v>46</v>
      </c>
      <c r="C113" s="2">
        <v>40738</v>
      </c>
      <c r="D113">
        <v>36</v>
      </c>
      <c r="E113" s="20" t="s">
        <v>89</v>
      </c>
      <c r="F113" s="20">
        <v>1</v>
      </c>
      <c r="G113" s="20">
        <v>0</v>
      </c>
      <c r="H113" s="20">
        <v>0</v>
      </c>
      <c r="I113" s="20">
        <v>0</v>
      </c>
      <c r="J113">
        <f t="shared" si="3"/>
        <v>1</v>
      </c>
    </row>
    <row r="114" spans="1:11" x14ac:dyDescent="0.2">
      <c r="A114">
        <v>2011</v>
      </c>
      <c r="B114" s="20" t="s">
        <v>46</v>
      </c>
      <c r="C114" s="2">
        <v>40738</v>
      </c>
      <c r="D114">
        <v>36</v>
      </c>
      <c r="E114" s="20" t="s">
        <v>76</v>
      </c>
      <c r="F114" s="20">
        <v>1</v>
      </c>
      <c r="G114" s="20">
        <v>1</v>
      </c>
      <c r="H114" s="20">
        <v>0</v>
      </c>
      <c r="I114" s="20">
        <v>2</v>
      </c>
      <c r="J114">
        <f t="shared" si="3"/>
        <v>4</v>
      </c>
    </row>
    <row r="115" spans="1:11" x14ac:dyDescent="0.2">
      <c r="A115">
        <v>2011</v>
      </c>
      <c r="B115" s="20" t="s">
        <v>46</v>
      </c>
      <c r="C115" s="2">
        <v>40738</v>
      </c>
      <c r="D115">
        <v>36</v>
      </c>
      <c r="E115" s="20" t="s">
        <v>81</v>
      </c>
      <c r="F115" s="20">
        <v>1</v>
      </c>
      <c r="G115" s="20">
        <v>1</v>
      </c>
      <c r="H115" s="20">
        <v>5</v>
      </c>
      <c r="I115" s="20">
        <v>0</v>
      </c>
      <c r="J115">
        <f t="shared" si="3"/>
        <v>7</v>
      </c>
      <c r="K115" s="28" t="s">
        <v>188</v>
      </c>
    </row>
    <row r="116" spans="1:11" x14ac:dyDescent="0.2">
      <c r="A116">
        <v>2011</v>
      </c>
      <c r="B116" s="20" t="s">
        <v>46</v>
      </c>
      <c r="C116" s="2">
        <v>40738</v>
      </c>
      <c r="D116">
        <v>36</v>
      </c>
      <c r="E116" s="20" t="s">
        <v>50</v>
      </c>
      <c r="F116" s="20">
        <v>0</v>
      </c>
      <c r="G116" s="20">
        <v>3</v>
      </c>
      <c r="H116" s="20">
        <v>0</v>
      </c>
      <c r="I116" s="20">
        <v>0</v>
      </c>
      <c r="J116">
        <f t="shared" si="3"/>
        <v>3</v>
      </c>
    </row>
    <row r="117" spans="1:11" x14ac:dyDescent="0.2">
      <c r="A117">
        <v>2011</v>
      </c>
      <c r="B117" s="20" t="s">
        <v>46</v>
      </c>
      <c r="C117" s="2">
        <v>40738</v>
      </c>
      <c r="D117">
        <v>36</v>
      </c>
      <c r="E117" s="20" t="s">
        <v>182</v>
      </c>
      <c r="F117" s="20">
        <v>0</v>
      </c>
      <c r="G117" s="20">
        <f>(0.6*0.8)</f>
        <v>0.48</v>
      </c>
      <c r="H117" s="20">
        <v>0</v>
      </c>
      <c r="I117" s="20">
        <v>0</v>
      </c>
      <c r="J117">
        <f t="shared" si="3"/>
        <v>0.48</v>
      </c>
    </row>
    <row r="118" spans="1:11" x14ac:dyDescent="0.2">
      <c r="A118">
        <v>2011</v>
      </c>
      <c r="B118" s="20" t="s">
        <v>46</v>
      </c>
      <c r="C118" s="2">
        <v>40738</v>
      </c>
      <c r="D118">
        <v>37</v>
      </c>
      <c r="E118" s="20" t="s">
        <v>47</v>
      </c>
      <c r="F118" s="20">
        <v>4</v>
      </c>
      <c r="G118" s="20">
        <v>6</v>
      </c>
      <c r="H118" s="20">
        <v>8</v>
      </c>
      <c r="I118" s="20">
        <v>7</v>
      </c>
      <c r="J118">
        <f t="shared" si="3"/>
        <v>25</v>
      </c>
      <c r="K118" s="28" t="s">
        <v>189</v>
      </c>
    </row>
    <row r="119" spans="1:11" x14ac:dyDescent="0.2">
      <c r="A119">
        <v>2011</v>
      </c>
      <c r="B119" s="20" t="s">
        <v>46</v>
      </c>
      <c r="C119" s="2">
        <v>40738</v>
      </c>
      <c r="D119">
        <v>37</v>
      </c>
      <c r="E119" s="20" t="s">
        <v>50</v>
      </c>
      <c r="F119" s="20">
        <v>5</v>
      </c>
      <c r="G119" s="20">
        <v>5</v>
      </c>
      <c r="H119" s="20">
        <v>0</v>
      </c>
      <c r="I119" s="20">
        <v>0</v>
      </c>
      <c r="J119">
        <f t="shared" si="3"/>
        <v>10</v>
      </c>
      <c r="K119" s="28" t="s">
        <v>190</v>
      </c>
    </row>
    <row r="120" spans="1:11" x14ac:dyDescent="0.2">
      <c r="A120">
        <v>2011</v>
      </c>
      <c r="B120" s="20" t="s">
        <v>46</v>
      </c>
      <c r="C120" s="2">
        <v>40738</v>
      </c>
      <c r="D120">
        <v>37</v>
      </c>
      <c r="E120" s="20" t="s">
        <v>80</v>
      </c>
      <c r="F120" s="20">
        <v>1</v>
      </c>
      <c r="G120" s="20">
        <v>1</v>
      </c>
      <c r="H120" s="20">
        <v>1</v>
      </c>
      <c r="I120" s="20">
        <v>0</v>
      </c>
      <c r="J120">
        <f t="shared" si="3"/>
        <v>3</v>
      </c>
    </row>
    <row r="121" spans="1:11" x14ac:dyDescent="0.2">
      <c r="A121">
        <v>2011</v>
      </c>
      <c r="B121" s="20" t="s">
        <v>46</v>
      </c>
      <c r="C121" s="2">
        <v>40738</v>
      </c>
      <c r="D121">
        <v>37</v>
      </c>
      <c r="E121" s="20" t="s">
        <v>60</v>
      </c>
      <c r="F121" s="20">
        <v>1</v>
      </c>
      <c r="G121" s="20">
        <v>0</v>
      </c>
      <c r="H121" s="20">
        <v>0</v>
      </c>
      <c r="I121" s="20">
        <v>0</v>
      </c>
      <c r="J121">
        <f t="shared" si="3"/>
        <v>1</v>
      </c>
    </row>
    <row r="122" spans="1:11" x14ac:dyDescent="0.2">
      <c r="A122">
        <v>2011</v>
      </c>
      <c r="B122" s="20" t="s">
        <v>46</v>
      </c>
      <c r="C122" s="2">
        <v>40738</v>
      </c>
      <c r="D122">
        <v>37</v>
      </c>
      <c r="E122" s="20" t="s">
        <v>86</v>
      </c>
      <c r="F122" s="20">
        <f>(201*0.2)</f>
        <v>40.200000000000003</v>
      </c>
      <c r="G122" s="20">
        <f>(201*0.2)</f>
        <v>40.200000000000003</v>
      </c>
      <c r="H122">
        <f>(201*0.03)</f>
        <v>6.0299999999999994</v>
      </c>
      <c r="I122">
        <f>(201*0.06)</f>
        <v>12.059999999999999</v>
      </c>
      <c r="J122">
        <f t="shared" si="3"/>
        <v>98.490000000000009</v>
      </c>
    </row>
    <row r="123" spans="1:11" x14ac:dyDescent="0.2">
      <c r="A123">
        <v>2011</v>
      </c>
      <c r="B123" s="20" t="s">
        <v>46</v>
      </c>
      <c r="C123" s="2">
        <v>40738</v>
      </c>
      <c r="D123">
        <v>37</v>
      </c>
      <c r="E123" s="20" t="s">
        <v>55</v>
      </c>
      <c r="F123" s="20">
        <f>(201*0.01)</f>
        <v>2.0100000000000002</v>
      </c>
      <c r="G123" s="20">
        <v>0</v>
      </c>
      <c r="H123" s="20">
        <v>0</v>
      </c>
      <c r="I123" s="20">
        <v>0</v>
      </c>
      <c r="J123">
        <f t="shared" si="3"/>
        <v>2.0100000000000002</v>
      </c>
    </row>
    <row r="124" spans="1:11" x14ac:dyDescent="0.2">
      <c r="A124">
        <v>2011</v>
      </c>
      <c r="B124" s="20" t="s">
        <v>46</v>
      </c>
      <c r="C124" s="2">
        <v>40738</v>
      </c>
      <c r="D124">
        <v>37</v>
      </c>
      <c r="E124" s="20" t="s">
        <v>69</v>
      </c>
      <c r="F124" s="20">
        <f>(201*0.01)</f>
        <v>2.0100000000000002</v>
      </c>
      <c r="G124" s="20">
        <v>0</v>
      </c>
      <c r="H124" s="20">
        <v>0</v>
      </c>
      <c r="I124" s="20">
        <f>(201*0.02)</f>
        <v>4.0200000000000005</v>
      </c>
      <c r="J124">
        <f t="shared" si="3"/>
        <v>6.0300000000000011</v>
      </c>
    </row>
    <row r="125" spans="1:11" x14ac:dyDescent="0.2">
      <c r="A125">
        <v>2011</v>
      </c>
      <c r="B125" s="20" t="s">
        <v>46</v>
      </c>
      <c r="C125" s="2">
        <v>40738</v>
      </c>
      <c r="D125">
        <v>37</v>
      </c>
      <c r="E125" s="20" t="s">
        <v>77</v>
      </c>
      <c r="F125" s="20">
        <f>(0.5*0.6)</f>
        <v>0.3</v>
      </c>
      <c r="G125" s="20">
        <v>0</v>
      </c>
      <c r="H125" s="20">
        <f>(0.9*0.7)+(1*0.6)</f>
        <v>1.23</v>
      </c>
      <c r="I125" s="20">
        <f>(201*0.08)</f>
        <v>16.080000000000002</v>
      </c>
      <c r="J125">
        <f t="shared" si="3"/>
        <v>17.610000000000003</v>
      </c>
    </row>
    <row r="126" spans="1:11" x14ac:dyDescent="0.2">
      <c r="A126">
        <v>2011</v>
      </c>
      <c r="B126" s="20" t="s">
        <v>46</v>
      </c>
      <c r="C126" s="2">
        <v>40738</v>
      </c>
      <c r="D126">
        <v>37</v>
      </c>
      <c r="E126" s="20" t="s">
        <v>91</v>
      </c>
      <c r="F126" s="20">
        <f>(201*0.02)</f>
        <v>4.0200000000000005</v>
      </c>
      <c r="G126" s="20">
        <v>0</v>
      </c>
      <c r="H126" s="20">
        <v>0</v>
      </c>
      <c r="I126" s="20">
        <f>(0.6*0.5)</f>
        <v>0.3</v>
      </c>
      <c r="J126">
        <f t="shared" si="3"/>
        <v>4.32</v>
      </c>
    </row>
    <row r="127" spans="1:11" x14ac:dyDescent="0.2">
      <c r="A127">
        <v>2011</v>
      </c>
      <c r="B127" s="20" t="s">
        <v>46</v>
      </c>
      <c r="C127" s="2">
        <v>40738</v>
      </c>
      <c r="D127">
        <v>37</v>
      </c>
      <c r="E127" s="20" t="s">
        <v>64</v>
      </c>
      <c r="F127">
        <f>(1*0.4)</f>
        <v>0.4</v>
      </c>
      <c r="G127" s="20">
        <v>0</v>
      </c>
      <c r="H127" s="20">
        <v>0</v>
      </c>
      <c r="I127" s="20">
        <v>0</v>
      </c>
      <c r="J127">
        <f t="shared" si="3"/>
        <v>0.4</v>
      </c>
    </row>
    <row r="128" spans="1:11" x14ac:dyDescent="0.2">
      <c r="A128">
        <v>2011</v>
      </c>
      <c r="B128" s="20" t="s">
        <v>46</v>
      </c>
      <c r="C128" s="2">
        <v>40738</v>
      </c>
      <c r="D128">
        <v>37</v>
      </c>
      <c r="E128" s="20" t="s">
        <v>48</v>
      </c>
      <c r="F128" s="20">
        <f>(0.8*0.7)</f>
        <v>0.55999999999999994</v>
      </c>
      <c r="G128" s="20">
        <f>(0.9*0.8)+(0.4*0.3)</f>
        <v>0.84000000000000008</v>
      </c>
      <c r="H128" s="20">
        <v>0</v>
      </c>
      <c r="I128" s="20">
        <f>(0.9*0.7)+(0.8*0.5)+(0.5*0.4)+(0.9*0.5)</f>
        <v>1.68</v>
      </c>
      <c r="J128">
        <f t="shared" si="3"/>
        <v>3.08</v>
      </c>
    </row>
    <row r="129" spans="1:11" x14ac:dyDescent="0.2">
      <c r="A129">
        <v>2011</v>
      </c>
      <c r="B129" s="20" t="s">
        <v>46</v>
      </c>
      <c r="C129" s="2">
        <v>40738</v>
      </c>
      <c r="D129">
        <v>38</v>
      </c>
      <c r="E129" s="20" t="s">
        <v>47</v>
      </c>
      <c r="F129" s="20">
        <v>4</v>
      </c>
      <c r="G129" s="20">
        <v>2</v>
      </c>
      <c r="H129" s="20">
        <v>13</v>
      </c>
      <c r="I129" s="20">
        <v>4</v>
      </c>
      <c r="J129">
        <f t="shared" si="3"/>
        <v>23</v>
      </c>
      <c r="K129" s="28" t="s">
        <v>191</v>
      </c>
    </row>
    <row r="130" spans="1:11" x14ac:dyDescent="0.2">
      <c r="A130">
        <v>2011</v>
      </c>
      <c r="B130" s="20" t="s">
        <v>46</v>
      </c>
      <c r="C130" s="2">
        <v>40738</v>
      </c>
      <c r="D130">
        <v>38</v>
      </c>
      <c r="E130" s="20" t="s">
        <v>60</v>
      </c>
      <c r="F130" s="20">
        <v>1</v>
      </c>
      <c r="G130" s="20">
        <v>0</v>
      </c>
      <c r="H130" s="20">
        <v>0</v>
      </c>
      <c r="I130" s="20">
        <v>0</v>
      </c>
      <c r="J130">
        <f t="shared" si="3"/>
        <v>1</v>
      </c>
    </row>
    <row r="131" spans="1:11" x14ac:dyDescent="0.2">
      <c r="A131">
        <v>2011</v>
      </c>
      <c r="B131" s="20" t="s">
        <v>46</v>
      </c>
      <c r="C131" s="2">
        <v>40738</v>
      </c>
      <c r="D131">
        <v>38</v>
      </c>
      <c r="E131" s="20" t="s">
        <v>86</v>
      </c>
      <c r="F131" s="20">
        <f>(201*0.12)</f>
        <v>24.119999999999997</v>
      </c>
      <c r="G131" s="20">
        <f>(201*0.1)</f>
        <v>20.100000000000001</v>
      </c>
      <c r="H131" s="20">
        <f>(201*0.03)</f>
        <v>6.0299999999999994</v>
      </c>
      <c r="I131" s="20">
        <f>(201*0.18)</f>
        <v>36.18</v>
      </c>
      <c r="J131">
        <f t="shared" si="3"/>
        <v>86.43</v>
      </c>
    </row>
    <row r="132" spans="1:11" x14ac:dyDescent="0.2">
      <c r="A132">
        <v>2011</v>
      </c>
      <c r="B132" s="20" t="s">
        <v>46</v>
      </c>
      <c r="C132" s="2">
        <v>40738</v>
      </c>
      <c r="D132">
        <v>38</v>
      </c>
      <c r="E132" s="20" t="s">
        <v>55</v>
      </c>
      <c r="F132" s="20">
        <f>(0.9*0.9)+(0.7*0.6)+(201*0.01)</f>
        <v>3.24</v>
      </c>
      <c r="G132" s="20">
        <f>(201*0.03)</f>
        <v>6.0299999999999994</v>
      </c>
      <c r="H132" s="20">
        <f>(201*0.01)</f>
        <v>2.0100000000000002</v>
      </c>
      <c r="I132" s="20">
        <f>(201*0.01)</f>
        <v>2.0100000000000002</v>
      </c>
      <c r="J132">
        <f t="shared" si="3"/>
        <v>13.29</v>
      </c>
    </row>
    <row r="133" spans="1:11" x14ac:dyDescent="0.2">
      <c r="A133">
        <v>2011</v>
      </c>
      <c r="B133" s="20" t="s">
        <v>46</v>
      </c>
      <c r="C133" s="2">
        <v>40738</v>
      </c>
      <c r="D133">
        <v>38</v>
      </c>
      <c r="E133" s="20" t="s">
        <v>91</v>
      </c>
      <c r="F133" s="20">
        <f>(201*0.02)</f>
        <v>4.0200000000000005</v>
      </c>
      <c r="G133" s="20">
        <f>(201*0.05)</f>
        <v>10.050000000000001</v>
      </c>
      <c r="H133" s="20">
        <f>(201*0.01)</f>
        <v>2.0100000000000002</v>
      </c>
      <c r="I133" s="20">
        <f>(201*0.04)</f>
        <v>8.0400000000000009</v>
      </c>
      <c r="J133">
        <f t="shared" si="3"/>
        <v>24.120000000000005</v>
      </c>
    </row>
    <row r="134" spans="1:11" x14ac:dyDescent="0.2">
      <c r="A134">
        <v>2011</v>
      </c>
      <c r="B134" s="20" t="s">
        <v>46</v>
      </c>
      <c r="C134" s="2">
        <v>40738</v>
      </c>
      <c r="D134">
        <v>38</v>
      </c>
      <c r="E134" s="20" t="s">
        <v>48</v>
      </c>
      <c r="F134" s="20">
        <f>(0.9*0.6)+(0.3*0.2)</f>
        <v>0.60000000000000009</v>
      </c>
      <c r="G134" s="20">
        <f>(0.7*0.6)+(1*0.8)+(0.6*0.5)</f>
        <v>1.52</v>
      </c>
      <c r="H134" s="20">
        <f>(0.4*0.3)+(0.3*0.5)+(0.9*0.7)+(0.9*0.7)+(0.3*0.3)</f>
        <v>1.62</v>
      </c>
      <c r="I134" s="20">
        <f>(0.6*0.6)+(1*0.9)+(0.6*0.4)+(0.8*0.7)+(0.4*0.3)+(0.3*0.5)</f>
        <v>2.33</v>
      </c>
      <c r="J134">
        <f t="shared" si="3"/>
        <v>6.07</v>
      </c>
    </row>
    <row r="135" spans="1:11" x14ac:dyDescent="0.2">
      <c r="A135">
        <v>2011</v>
      </c>
      <c r="B135" s="20" t="s">
        <v>46</v>
      </c>
      <c r="C135" s="2">
        <v>40738</v>
      </c>
      <c r="D135">
        <v>38</v>
      </c>
      <c r="E135" s="20" t="s">
        <v>93</v>
      </c>
      <c r="F135" s="20">
        <f>(1.4*1)</f>
        <v>1.4</v>
      </c>
      <c r="G135" s="20">
        <f>(201*0.01)</f>
        <v>2.0100000000000002</v>
      </c>
      <c r="H135" s="20">
        <f>(201*0.03)</f>
        <v>6.0299999999999994</v>
      </c>
      <c r="I135" s="20">
        <f>(1*0.8)</f>
        <v>0.8</v>
      </c>
      <c r="J135">
        <f t="shared" si="3"/>
        <v>10.24</v>
      </c>
    </row>
    <row r="136" spans="1:11" x14ac:dyDescent="0.2">
      <c r="A136">
        <v>2011</v>
      </c>
      <c r="B136" s="20" t="s">
        <v>46</v>
      </c>
      <c r="C136" s="2">
        <v>40738</v>
      </c>
      <c r="D136">
        <v>38</v>
      </c>
      <c r="E136" s="20" t="s">
        <v>77</v>
      </c>
      <c r="F136" s="20">
        <f>(1*1)</f>
        <v>1</v>
      </c>
      <c r="G136" s="20">
        <f>(201*0.01)</f>
        <v>2.0100000000000002</v>
      </c>
      <c r="H136" s="20">
        <f>(1*0.6)</f>
        <v>0.6</v>
      </c>
      <c r="I136" s="20">
        <f>(0.6*0.4)+(0.7*0.8)</f>
        <v>0.79999999999999993</v>
      </c>
      <c r="J136">
        <f t="shared" si="3"/>
        <v>4.41</v>
      </c>
    </row>
    <row r="137" spans="1:11" x14ac:dyDescent="0.2">
      <c r="A137">
        <v>2011</v>
      </c>
      <c r="B137" s="20" t="s">
        <v>46</v>
      </c>
      <c r="C137" s="2">
        <v>40738</v>
      </c>
      <c r="D137">
        <v>38</v>
      </c>
      <c r="E137" s="20" t="s">
        <v>69</v>
      </c>
      <c r="F137" s="20">
        <f>(0.8*0.5)+(1.9*1.5)</f>
        <v>3.2499999999999996</v>
      </c>
      <c r="G137" s="20">
        <v>0</v>
      </c>
      <c r="H137" s="20">
        <f>(201*0.02)</f>
        <v>4.0200000000000005</v>
      </c>
      <c r="I137" s="20">
        <f>(201*0.12)</f>
        <v>24.119999999999997</v>
      </c>
      <c r="J137">
        <f t="shared" si="3"/>
        <v>31.389999999999997</v>
      </c>
    </row>
    <row r="138" spans="1:11" x14ac:dyDescent="0.2">
      <c r="A138">
        <v>2011</v>
      </c>
      <c r="B138" s="20" t="s">
        <v>46</v>
      </c>
      <c r="C138" s="2">
        <v>40738</v>
      </c>
      <c r="D138">
        <v>38</v>
      </c>
      <c r="E138" s="20" t="s">
        <v>192</v>
      </c>
      <c r="F138" s="20">
        <v>0</v>
      </c>
      <c r="G138" s="20">
        <v>0</v>
      </c>
      <c r="H138" s="20">
        <f>(201*0.01)</f>
        <v>2.0100000000000002</v>
      </c>
      <c r="I138" s="20">
        <v>0</v>
      </c>
      <c r="J138">
        <f t="shared" si="3"/>
        <v>2.0100000000000002</v>
      </c>
    </row>
    <row r="139" spans="1:11" x14ac:dyDescent="0.2">
      <c r="A139">
        <v>2011</v>
      </c>
      <c r="B139" s="20" t="s">
        <v>46</v>
      </c>
      <c r="C139" s="2">
        <v>40738</v>
      </c>
      <c r="D139">
        <v>38</v>
      </c>
      <c r="E139" s="20" t="s">
        <v>61</v>
      </c>
      <c r="F139" s="20">
        <v>0</v>
      </c>
      <c r="G139" s="20">
        <v>0</v>
      </c>
      <c r="H139" s="20">
        <v>0</v>
      </c>
      <c r="I139">
        <f>(0.8*0.6)</f>
        <v>0.48</v>
      </c>
      <c r="J139">
        <f t="shared" si="3"/>
        <v>0.48</v>
      </c>
    </row>
    <row r="140" spans="1:11" x14ac:dyDescent="0.2">
      <c r="A140">
        <v>2011</v>
      </c>
      <c r="B140" s="20" t="s">
        <v>46</v>
      </c>
      <c r="C140" s="2">
        <v>40738</v>
      </c>
      <c r="D140">
        <v>39</v>
      </c>
      <c r="E140" s="20" t="s">
        <v>47</v>
      </c>
      <c r="F140" s="20">
        <v>5</v>
      </c>
      <c r="G140" s="20">
        <v>3</v>
      </c>
      <c r="H140" s="20">
        <v>2</v>
      </c>
      <c r="I140" s="20">
        <v>9</v>
      </c>
      <c r="J140">
        <f t="shared" si="3"/>
        <v>19</v>
      </c>
      <c r="K140" s="28" t="s">
        <v>193</v>
      </c>
    </row>
    <row r="141" spans="1:11" x14ac:dyDescent="0.2">
      <c r="A141">
        <v>2011</v>
      </c>
      <c r="B141" s="20" t="s">
        <v>46</v>
      </c>
      <c r="C141" s="2">
        <v>40738</v>
      </c>
      <c r="D141">
        <v>39</v>
      </c>
      <c r="E141" s="20" t="s">
        <v>60</v>
      </c>
      <c r="F141" s="20">
        <v>0</v>
      </c>
      <c r="G141" s="20">
        <v>1</v>
      </c>
      <c r="H141" s="20">
        <v>0</v>
      </c>
      <c r="I141" s="20">
        <v>0</v>
      </c>
      <c r="J141">
        <f t="shared" si="3"/>
        <v>1</v>
      </c>
    </row>
    <row r="142" spans="1:11" x14ac:dyDescent="0.2">
      <c r="A142">
        <v>2011</v>
      </c>
      <c r="B142" s="20" t="s">
        <v>46</v>
      </c>
      <c r="C142" s="2">
        <v>40738</v>
      </c>
      <c r="D142">
        <v>39</v>
      </c>
      <c r="E142" s="20" t="s">
        <v>80</v>
      </c>
      <c r="F142" s="20">
        <v>0</v>
      </c>
      <c r="G142" s="20">
        <v>0</v>
      </c>
      <c r="H142" s="20">
        <v>1</v>
      </c>
      <c r="I142" s="20">
        <v>3</v>
      </c>
      <c r="J142">
        <f t="shared" si="3"/>
        <v>4</v>
      </c>
      <c r="K142" s="28" t="s">
        <v>180</v>
      </c>
    </row>
    <row r="143" spans="1:11" x14ac:dyDescent="0.2">
      <c r="A143">
        <v>2011</v>
      </c>
      <c r="B143" s="20" t="s">
        <v>46</v>
      </c>
      <c r="C143" s="2">
        <v>40738</v>
      </c>
      <c r="D143">
        <v>39</v>
      </c>
      <c r="E143" s="20" t="s">
        <v>69</v>
      </c>
      <c r="F143">
        <f>(201*0.02)</f>
        <v>4.0200000000000005</v>
      </c>
      <c r="G143">
        <f>(201*0.02)</f>
        <v>4.0200000000000005</v>
      </c>
      <c r="H143" s="20">
        <v>0</v>
      </c>
      <c r="I143" s="20">
        <v>0</v>
      </c>
      <c r="J143">
        <f t="shared" si="3"/>
        <v>8.0400000000000009</v>
      </c>
    </row>
    <row r="144" spans="1:11" x14ac:dyDescent="0.2">
      <c r="A144">
        <v>2011</v>
      </c>
      <c r="B144" s="20" t="s">
        <v>46</v>
      </c>
      <c r="C144" s="2">
        <v>40738</v>
      </c>
      <c r="D144">
        <v>39</v>
      </c>
      <c r="E144" s="20" t="s">
        <v>77</v>
      </c>
      <c r="F144">
        <f>(201*0.07)</f>
        <v>14.070000000000002</v>
      </c>
      <c r="G144">
        <v>0</v>
      </c>
      <c r="H144">
        <f>(0.4*0.4)</f>
        <v>0.16000000000000003</v>
      </c>
      <c r="I144">
        <f>(201*0.06)</f>
        <v>12.059999999999999</v>
      </c>
      <c r="J144">
        <f t="shared" si="3"/>
        <v>26.29</v>
      </c>
    </row>
    <row r="145" spans="1:10" x14ac:dyDescent="0.2">
      <c r="A145">
        <v>2011</v>
      </c>
      <c r="B145" s="20" t="s">
        <v>46</v>
      </c>
      <c r="C145" s="2">
        <v>40738</v>
      </c>
      <c r="D145">
        <v>39</v>
      </c>
      <c r="E145" s="20" t="s">
        <v>86</v>
      </c>
      <c r="F145">
        <f>(201*0.02)</f>
        <v>4.0200000000000005</v>
      </c>
      <c r="G145">
        <f>(201*0.025)</f>
        <v>5.0250000000000004</v>
      </c>
      <c r="H145">
        <f>(201*0.015)</f>
        <v>3.0149999999999997</v>
      </c>
      <c r="I145">
        <v>0</v>
      </c>
      <c r="J145">
        <f t="shared" si="3"/>
        <v>12.060000000000002</v>
      </c>
    </row>
    <row r="146" spans="1:10" x14ac:dyDescent="0.2">
      <c r="A146">
        <v>2011</v>
      </c>
      <c r="B146" s="20" t="s">
        <v>46</v>
      </c>
      <c r="C146" s="2">
        <v>40738</v>
      </c>
      <c r="D146">
        <v>39</v>
      </c>
      <c r="E146" s="20" t="s">
        <v>48</v>
      </c>
      <c r="F146">
        <f>(0.8*0.6)</f>
        <v>0.48</v>
      </c>
      <c r="G146">
        <v>0</v>
      </c>
      <c r="H146">
        <v>0</v>
      </c>
      <c r="I146">
        <f>(0.5*0.3)+(0.4*0.5)+(0.5*0.3)</f>
        <v>0.5</v>
      </c>
      <c r="J146">
        <f t="shared" si="3"/>
        <v>0.98</v>
      </c>
    </row>
    <row r="147" spans="1:10" x14ac:dyDescent="0.2">
      <c r="A147">
        <v>2011</v>
      </c>
      <c r="B147" s="20" t="s">
        <v>46</v>
      </c>
      <c r="C147" s="2">
        <v>40738</v>
      </c>
      <c r="D147">
        <v>39</v>
      </c>
      <c r="E147" s="20" t="s">
        <v>93</v>
      </c>
      <c r="F147">
        <f>(1.6*1)</f>
        <v>1.6</v>
      </c>
      <c r="G147">
        <v>0</v>
      </c>
      <c r="H147">
        <v>0</v>
      </c>
      <c r="I147">
        <v>0</v>
      </c>
      <c r="J147">
        <f t="shared" si="3"/>
        <v>1.6</v>
      </c>
    </row>
    <row r="148" spans="1:10" x14ac:dyDescent="0.2">
      <c r="A148">
        <v>2011</v>
      </c>
      <c r="B148" s="20" t="s">
        <v>46</v>
      </c>
      <c r="C148" s="2">
        <v>40738</v>
      </c>
      <c r="D148">
        <v>39</v>
      </c>
      <c r="E148" s="20" t="s">
        <v>64</v>
      </c>
      <c r="F148" s="20">
        <v>0</v>
      </c>
      <c r="G148" s="20">
        <v>0</v>
      </c>
      <c r="H148">
        <f>(201*0.01)</f>
        <v>2.0100000000000002</v>
      </c>
      <c r="I148">
        <v>0</v>
      </c>
      <c r="J148">
        <f t="shared" si="3"/>
        <v>2.0100000000000002</v>
      </c>
    </row>
    <row r="149" spans="1:10" x14ac:dyDescent="0.2">
      <c r="A149">
        <v>2011</v>
      </c>
      <c r="B149" s="20" t="s">
        <v>46</v>
      </c>
      <c r="C149" s="2">
        <v>40738</v>
      </c>
      <c r="D149">
        <v>39</v>
      </c>
      <c r="E149" s="20" t="s">
        <v>59</v>
      </c>
      <c r="F149">
        <f>(0.5*0.4)</f>
        <v>0.2</v>
      </c>
      <c r="G149" s="20">
        <v>0</v>
      </c>
      <c r="H149" s="20">
        <v>0</v>
      </c>
      <c r="I149" s="20">
        <v>0</v>
      </c>
      <c r="J149">
        <f t="shared" si="3"/>
        <v>0.2</v>
      </c>
    </row>
    <row r="150" spans="1:10" x14ac:dyDescent="0.2">
      <c r="A150">
        <v>2011</v>
      </c>
      <c r="B150" s="20" t="s">
        <v>46</v>
      </c>
      <c r="C150" s="2">
        <v>40738</v>
      </c>
      <c r="D150">
        <v>39</v>
      </c>
      <c r="E150" s="20" t="s">
        <v>91</v>
      </c>
      <c r="F150" s="20">
        <v>0</v>
      </c>
      <c r="G150" s="20">
        <v>0</v>
      </c>
      <c r="H150" s="20">
        <v>0</v>
      </c>
      <c r="I150">
        <f>(0.5*0.5)</f>
        <v>0.25</v>
      </c>
      <c r="J150">
        <f t="shared" si="3"/>
        <v>0.25</v>
      </c>
    </row>
    <row r="151" spans="1:10" x14ac:dyDescent="0.2">
      <c r="A151">
        <v>2011</v>
      </c>
      <c r="B151" s="20" t="s">
        <v>46</v>
      </c>
      <c r="C151" s="2">
        <v>40758</v>
      </c>
      <c r="D151">
        <v>124</v>
      </c>
      <c r="E151" s="20" t="s">
        <v>76</v>
      </c>
      <c r="F151" s="20">
        <v>4</v>
      </c>
      <c r="G151" s="20">
        <v>3</v>
      </c>
      <c r="H151" s="20">
        <v>4</v>
      </c>
      <c r="I151" s="20">
        <v>3</v>
      </c>
      <c r="J151">
        <f t="shared" si="3"/>
        <v>14</v>
      </c>
    </row>
    <row r="152" spans="1:10" x14ac:dyDescent="0.2">
      <c r="A152">
        <v>2011</v>
      </c>
      <c r="B152" s="20" t="s">
        <v>46</v>
      </c>
      <c r="C152" s="2">
        <v>40758</v>
      </c>
      <c r="D152">
        <v>124</v>
      </c>
      <c r="E152" s="20" t="s">
        <v>47</v>
      </c>
      <c r="F152" s="20">
        <v>4</v>
      </c>
      <c r="G152" s="20">
        <v>2</v>
      </c>
      <c r="H152" s="20">
        <v>5</v>
      </c>
      <c r="I152" s="20">
        <v>4</v>
      </c>
      <c r="J152">
        <f t="shared" ref="J152:J164" si="6">SUM(F152:I152)</f>
        <v>15</v>
      </c>
    </row>
    <row r="153" spans="1:10" x14ac:dyDescent="0.2">
      <c r="A153">
        <v>2011</v>
      </c>
      <c r="B153" s="20" t="s">
        <v>46</v>
      </c>
      <c r="C153" s="2">
        <v>40758</v>
      </c>
      <c r="D153">
        <v>124</v>
      </c>
      <c r="E153" s="20" t="s">
        <v>95</v>
      </c>
      <c r="F153" s="20">
        <v>25</v>
      </c>
      <c r="G153" s="20">
        <v>14</v>
      </c>
      <c r="H153" s="20">
        <v>21</v>
      </c>
      <c r="I153" s="20">
        <v>17</v>
      </c>
      <c r="J153">
        <f t="shared" si="6"/>
        <v>77</v>
      </c>
    </row>
    <row r="154" spans="1:10" x14ac:dyDescent="0.2">
      <c r="A154">
        <v>2011</v>
      </c>
      <c r="B154" s="20" t="s">
        <v>46</v>
      </c>
      <c r="C154" s="2">
        <v>40758</v>
      </c>
      <c r="D154">
        <v>124</v>
      </c>
      <c r="E154" s="20" t="s">
        <v>83</v>
      </c>
      <c r="F154" s="20">
        <v>1</v>
      </c>
      <c r="G154" s="20">
        <v>0</v>
      </c>
      <c r="H154" s="20">
        <v>1</v>
      </c>
      <c r="I154" s="20">
        <v>2</v>
      </c>
      <c r="J154">
        <f t="shared" si="6"/>
        <v>4</v>
      </c>
    </row>
    <row r="155" spans="1:10" x14ac:dyDescent="0.2">
      <c r="A155">
        <v>2011</v>
      </c>
      <c r="B155" s="20" t="s">
        <v>46</v>
      </c>
      <c r="C155" s="2">
        <v>40758</v>
      </c>
      <c r="D155">
        <v>124</v>
      </c>
      <c r="E155" s="20" t="s">
        <v>56</v>
      </c>
      <c r="F155" s="20">
        <v>0</v>
      </c>
      <c r="G155" s="20">
        <v>0</v>
      </c>
      <c r="H155" s="20">
        <v>1</v>
      </c>
      <c r="I155" s="20">
        <v>1</v>
      </c>
      <c r="J155">
        <f t="shared" si="6"/>
        <v>2</v>
      </c>
    </row>
    <row r="156" spans="1:10" x14ac:dyDescent="0.2">
      <c r="A156">
        <v>2011</v>
      </c>
      <c r="B156" s="20" t="s">
        <v>46</v>
      </c>
      <c r="C156" s="2">
        <v>40758</v>
      </c>
      <c r="D156">
        <v>125</v>
      </c>
      <c r="E156" s="20" t="s">
        <v>95</v>
      </c>
      <c r="F156" s="20">
        <v>5</v>
      </c>
      <c r="G156" s="20">
        <v>2</v>
      </c>
      <c r="H156" s="20">
        <v>1</v>
      </c>
      <c r="I156" s="20">
        <v>2</v>
      </c>
      <c r="J156">
        <f t="shared" si="6"/>
        <v>10</v>
      </c>
    </row>
    <row r="157" spans="1:10" x14ac:dyDescent="0.2">
      <c r="A157">
        <v>2011</v>
      </c>
      <c r="B157" s="20" t="s">
        <v>46</v>
      </c>
      <c r="C157" s="2">
        <v>40758</v>
      </c>
      <c r="D157">
        <v>126</v>
      </c>
      <c r="E157" s="20" t="s">
        <v>95</v>
      </c>
      <c r="F157" s="20">
        <v>20</v>
      </c>
      <c r="G157" s="20">
        <v>6</v>
      </c>
      <c r="H157" s="20">
        <v>22</v>
      </c>
      <c r="I157" s="20">
        <v>4</v>
      </c>
      <c r="J157">
        <f t="shared" si="6"/>
        <v>52</v>
      </c>
    </row>
    <row r="158" spans="1:10" x14ac:dyDescent="0.2">
      <c r="A158">
        <v>2011</v>
      </c>
      <c r="B158" s="20" t="s">
        <v>46</v>
      </c>
      <c r="C158" s="2">
        <v>40758</v>
      </c>
      <c r="D158">
        <v>126</v>
      </c>
      <c r="E158" s="20" t="s">
        <v>83</v>
      </c>
      <c r="F158" s="20">
        <v>1</v>
      </c>
      <c r="G158" s="20">
        <v>0</v>
      </c>
      <c r="H158" s="20">
        <v>0</v>
      </c>
      <c r="I158" s="20">
        <v>0</v>
      </c>
      <c r="J158">
        <f t="shared" si="6"/>
        <v>1</v>
      </c>
    </row>
    <row r="159" spans="1:10" x14ac:dyDescent="0.2">
      <c r="A159">
        <v>2011</v>
      </c>
      <c r="B159" s="20" t="s">
        <v>46</v>
      </c>
      <c r="C159" s="2">
        <v>40758</v>
      </c>
      <c r="D159">
        <v>126</v>
      </c>
      <c r="E159" s="20" t="s">
        <v>47</v>
      </c>
      <c r="F159" s="20">
        <v>2</v>
      </c>
      <c r="G159" s="20">
        <v>0</v>
      </c>
      <c r="H159" s="20">
        <v>1</v>
      </c>
      <c r="I159" s="20">
        <v>4</v>
      </c>
      <c r="J159">
        <f t="shared" si="6"/>
        <v>7</v>
      </c>
    </row>
    <row r="160" spans="1:10" x14ac:dyDescent="0.2">
      <c r="A160">
        <v>2011</v>
      </c>
      <c r="B160" s="20" t="s">
        <v>46</v>
      </c>
      <c r="C160" s="2">
        <v>40758</v>
      </c>
      <c r="D160">
        <v>126</v>
      </c>
      <c r="E160" s="20" t="s">
        <v>76</v>
      </c>
      <c r="F160" s="20">
        <v>3</v>
      </c>
      <c r="G160" s="20">
        <v>5</v>
      </c>
      <c r="H160" s="20">
        <v>4</v>
      </c>
      <c r="I160" s="20">
        <v>0</v>
      </c>
      <c r="J160">
        <f t="shared" si="6"/>
        <v>12</v>
      </c>
    </row>
    <row r="161" spans="1:10" x14ac:dyDescent="0.2">
      <c r="A161">
        <v>2011</v>
      </c>
      <c r="B161" s="20" t="s">
        <v>46</v>
      </c>
      <c r="C161" s="2">
        <v>40758</v>
      </c>
      <c r="D161">
        <v>126</v>
      </c>
      <c r="E161" s="20" t="s">
        <v>56</v>
      </c>
      <c r="F161" s="20">
        <v>1</v>
      </c>
      <c r="G161" s="20">
        <v>0</v>
      </c>
      <c r="H161" s="20">
        <v>0</v>
      </c>
      <c r="I161" s="20">
        <v>0</v>
      </c>
      <c r="J161">
        <f t="shared" si="6"/>
        <v>1</v>
      </c>
    </row>
    <row r="162" spans="1:10" x14ac:dyDescent="0.2">
      <c r="A162">
        <v>2011</v>
      </c>
      <c r="B162" s="20" t="s">
        <v>46</v>
      </c>
      <c r="C162" s="2">
        <v>40758</v>
      </c>
      <c r="D162">
        <v>126</v>
      </c>
      <c r="E162" s="20" t="s">
        <v>89</v>
      </c>
      <c r="F162" s="20">
        <v>1</v>
      </c>
      <c r="G162" s="20">
        <v>0</v>
      </c>
      <c r="H162" s="20">
        <v>0</v>
      </c>
      <c r="I162" s="20">
        <v>0</v>
      </c>
      <c r="J162">
        <f t="shared" si="6"/>
        <v>1</v>
      </c>
    </row>
    <row r="163" spans="1:10" x14ac:dyDescent="0.2">
      <c r="A163">
        <v>2011</v>
      </c>
      <c r="B163" s="20" t="s">
        <v>46</v>
      </c>
      <c r="C163" s="2">
        <v>40758</v>
      </c>
      <c r="D163">
        <v>126</v>
      </c>
      <c r="E163" s="20" t="s">
        <v>86</v>
      </c>
      <c r="F163">
        <f>(1.9*1.7)</f>
        <v>3.23</v>
      </c>
      <c r="G163" s="20">
        <v>0</v>
      </c>
      <c r="H163" s="20">
        <v>0</v>
      </c>
      <c r="I163">
        <f>(2.4*2)</f>
        <v>4.8</v>
      </c>
      <c r="J163">
        <f t="shared" si="6"/>
        <v>8.0299999999999994</v>
      </c>
    </row>
    <row r="164" spans="1:10" x14ac:dyDescent="0.2">
      <c r="A164">
        <v>2011</v>
      </c>
      <c r="B164" s="20" t="s">
        <v>46</v>
      </c>
      <c r="C164" s="2">
        <v>40758</v>
      </c>
      <c r="D164">
        <v>126</v>
      </c>
      <c r="E164" s="20" t="s">
        <v>194</v>
      </c>
      <c r="F164" s="20">
        <v>0</v>
      </c>
      <c r="G164">
        <f>(1*1)</f>
        <v>1</v>
      </c>
      <c r="H164" s="20">
        <v>0</v>
      </c>
      <c r="I164" s="20">
        <v>0</v>
      </c>
      <c r="J164">
        <f t="shared" si="6"/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workbookViewId="0">
      <pane ySplit="3" topLeftCell="A4" activePane="bottomLeft" state="frozen"/>
      <selection pane="bottomLeft" activeCell="F8" sqref="F8"/>
    </sheetView>
  </sheetViews>
  <sheetFormatPr defaultRowHeight="12.75" x14ac:dyDescent="0.2"/>
  <cols>
    <col min="2" max="2" width="9.85546875" customWidth="1"/>
    <col min="3" max="3" width="9.140625" style="2" customWidth="1"/>
    <col min="6" max="6" width="10.85546875" customWidth="1"/>
    <col min="7" max="7" width="10.7109375" bestFit="1" customWidth="1"/>
    <col min="9" max="9" width="8" customWidth="1"/>
    <col min="10" max="10" width="8.85546875" style="28"/>
  </cols>
  <sheetData>
    <row r="1" spans="1:10" x14ac:dyDescent="0.2">
      <c r="A1" s="2" t="s">
        <v>195</v>
      </c>
    </row>
    <row r="3" spans="1:10" ht="13.5" thickBot="1" x14ac:dyDescent="0.25">
      <c r="A3" s="24" t="s">
        <v>8</v>
      </c>
      <c r="B3" s="24" t="s">
        <v>9</v>
      </c>
      <c r="C3" s="5" t="s">
        <v>10</v>
      </c>
      <c r="D3" s="6" t="s">
        <v>11</v>
      </c>
      <c r="E3" s="6" t="s">
        <v>196</v>
      </c>
      <c r="F3" s="6" t="s">
        <v>197</v>
      </c>
      <c r="G3" s="6" t="s">
        <v>198</v>
      </c>
      <c r="H3" s="6" t="s">
        <v>199</v>
      </c>
      <c r="I3" s="6" t="s">
        <v>200</v>
      </c>
      <c r="J3" s="24" t="s">
        <v>45</v>
      </c>
    </row>
    <row r="4" spans="1:10" ht="13.5" thickTop="1" x14ac:dyDescent="0.2">
      <c r="A4" s="20">
        <v>2011</v>
      </c>
      <c r="B4" s="20" t="s">
        <v>46</v>
      </c>
      <c r="C4" s="2">
        <v>40750</v>
      </c>
      <c r="D4">
        <v>25</v>
      </c>
      <c r="E4" t="s">
        <v>201</v>
      </c>
      <c r="F4" t="s">
        <v>1</v>
      </c>
      <c r="G4" t="s">
        <v>1</v>
      </c>
      <c r="H4" t="s">
        <v>1</v>
      </c>
      <c r="I4" t="s">
        <v>1</v>
      </c>
      <c r="J4" s="20"/>
    </row>
    <row r="5" spans="1:10" x14ac:dyDescent="0.2">
      <c r="A5">
        <v>2011</v>
      </c>
      <c r="B5" s="20" t="s">
        <v>46</v>
      </c>
      <c r="C5" s="2">
        <v>40750</v>
      </c>
      <c r="D5">
        <v>26</v>
      </c>
      <c r="E5" t="s">
        <v>201</v>
      </c>
      <c r="F5" t="s">
        <v>1</v>
      </c>
      <c r="G5" t="s">
        <v>1</v>
      </c>
      <c r="H5" t="s">
        <v>1</v>
      </c>
      <c r="I5" t="s">
        <v>1</v>
      </c>
    </row>
    <row r="6" spans="1:10" x14ac:dyDescent="0.2">
      <c r="A6">
        <v>2011</v>
      </c>
      <c r="B6" s="20" t="s">
        <v>46</v>
      </c>
      <c r="C6" s="2">
        <v>40750</v>
      </c>
      <c r="D6">
        <v>27</v>
      </c>
      <c r="E6">
        <v>1</v>
      </c>
      <c r="F6">
        <v>12.27</v>
      </c>
      <c r="G6">
        <v>6.2</v>
      </c>
      <c r="H6">
        <v>4.2</v>
      </c>
      <c r="I6">
        <v>27</v>
      </c>
      <c r="J6" s="28" t="s">
        <v>202</v>
      </c>
    </row>
    <row r="7" spans="1:10" x14ac:dyDescent="0.2">
      <c r="A7">
        <v>2011</v>
      </c>
      <c r="B7" s="20" t="s">
        <v>46</v>
      </c>
      <c r="C7" s="2">
        <v>40750</v>
      </c>
      <c r="D7">
        <v>27</v>
      </c>
      <c r="E7">
        <v>2</v>
      </c>
      <c r="F7" s="35">
        <v>14.3</v>
      </c>
      <c r="G7" t="s">
        <v>1</v>
      </c>
      <c r="H7">
        <v>10.26</v>
      </c>
      <c r="I7">
        <v>31</v>
      </c>
      <c r="J7" s="28" t="s">
        <v>203</v>
      </c>
    </row>
    <row r="8" spans="1:10" x14ac:dyDescent="0.2">
      <c r="A8">
        <v>2011</v>
      </c>
      <c r="B8" s="20" t="s">
        <v>46</v>
      </c>
      <c r="C8" s="2">
        <v>40750</v>
      </c>
      <c r="D8">
        <v>27</v>
      </c>
      <c r="E8">
        <v>3</v>
      </c>
      <c r="F8">
        <v>9.9700000000000006</v>
      </c>
      <c r="G8">
        <v>4.8099999999999996</v>
      </c>
      <c r="H8">
        <v>13.6</v>
      </c>
      <c r="I8">
        <v>110</v>
      </c>
    </row>
    <row r="9" spans="1:10" x14ac:dyDescent="0.2">
      <c r="A9">
        <v>2011</v>
      </c>
      <c r="B9" s="20" t="s">
        <v>46</v>
      </c>
      <c r="C9" s="2">
        <v>40750</v>
      </c>
      <c r="D9">
        <v>27</v>
      </c>
      <c r="E9">
        <v>4</v>
      </c>
      <c r="F9">
        <v>10.66</v>
      </c>
      <c r="G9">
        <v>7.81</v>
      </c>
      <c r="H9">
        <v>11.4</v>
      </c>
      <c r="I9">
        <v>129</v>
      </c>
      <c r="J9" s="28" t="s">
        <v>203</v>
      </c>
    </row>
    <row r="10" spans="1:10" x14ac:dyDescent="0.2">
      <c r="A10">
        <v>2011</v>
      </c>
      <c r="B10" s="20" t="s">
        <v>46</v>
      </c>
      <c r="C10" s="2">
        <v>40750</v>
      </c>
      <c r="D10">
        <v>27</v>
      </c>
      <c r="E10">
        <v>5</v>
      </c>
      <c r="F10">
        <v>10.96</v>
      </c>
      <c r="G10">
        <v>8.6199999999999992</v>
      </c>
      <c r="H10">
        <v>8.6999999999999993</v>
      </c>
      <c r="I10">
        <v>210</v>
      </c>
    </row>
    <row r="11" spans="1:10" x14ac:dyDescent="0.2">
      <c r="A11">
        <v>2011</v>
      </c>
      <c r="B11" s="20" t="s">
        <v>46</v>
      </c>
      <c r="C11" s="2">
        <v>40750</v>
      </c>
      <c r="D11">
        <v>27</v>
      </c>
      <c r="E11">
        <v>6</v>
      </c>
      <c r="F11">
        <v>7.24</v>
      </c>
      <c r="G11" t="s">
        <v>1</v>
      </c>
      <c r="H11">
        <v>4.8899999999999997</v>
      </c>
      <c r="I11">
        <v>216</v>
      </c>
    </row>
    <row r="12" spans="1:10" x14ac:dyDescent="0.2">
      <c r="A12">
        <v>2011</v>
      </c>
      <c r="B12" s="20" t="s">
        <v>46</v>
      </c>
      <c r="C12" s="2">
        <v>40750</v>
      </c>
      <c r="D12">
        <v>27</v>
      </c>
      <c r="E12">
        <v>7</v>
      </c>
      <c r="F12">
        <v>21.97</v>
      </c>
      <c r="G12">
        <v>11.1</v>
      </c>
      <c r="H12">
        <v>5.66</v>
      </c>
      <c r="I12">
        <v>32</v>
      </c>
      <c r="J12" s="28" t="s">
        <v>203</v>
      </c>
    </row>
    <row r="13" spans="1:10" x14ac:dyDescent="0.2">
      <c r="A13">
        <v>2011</v>
      </c>
      <c r="B13" s="20" t="s">
        <v>46</v>
      </c>
      <c r="C13" s="2">
        <v>40750</v>
      </c>
      <c r="D13">
        <v>27</v>
      </c>
      <c r="E13">
        <v>8</v>
      </c>
      <c r="F13">
        <v>13.65</v>
      </c>
      <c r="G13">
        <v>7.5</v>
      </c>
      <c r="H13">
        <v>8.65</v>
      </c>
      <c r="I13">
        <v>310</v>
      </c>
      <c r="J13" s="28" t="s">
        <v>203</v>
      </c>
    </row>
    <row r="14" spans="1:10" x14ac:dyDescent="0.2">
      <c r="A14">
        <v>2011</v>
      </c>
      <c r="B14" s="20" t="s">
        <v>46</v>
      </c>
      <c r="C14" s="2">
        <v>40750</v>
      </c>
      <c r="D14">
        <v>27</v>
      </c>
      <c r="E14">
        <v>9</v>
      </c>
      <c r="F14">
        <v>12.78</v>
      </c>
      <c r="G14">
        <v>9.7799999999999994</v>
      </c>
      <c r="H14">
        <v>3.77</v>
      </c>
      <c r="I14">
        <v>214</v>
      </c>
      <c r="J14" s="28" t="s">
        <v>204</v>
      </c>
    </row>
    <row r="15" spans="1:10" x14ac:dyDescent="0.2">
      <c r="A15">
        <v>2011</v>
      </c>
      <c r="B15" s="20" t="s">
        <v>46</v>
      </c>
      <c r="C15" s="2">
        <v>40738</v>
      </c>
      <c r="D15">
        <v>31</v>
      </c>
      <c r="E15" s="20" t="s">
        <v>201</v>
      </c>
      <c r="F15" s="20" t="s">
        <v>1</v>
      </c>
      <c r="G15" s="20" t="s">
        <v>1</v>
      </c>
      <c r="H15" s="20" t="s">
        <v>1</v>
      </c>
      <c r="I15" s="20" t="s">
        <v>1</v>
      </c>
    </row>
    <row r="16" spans="1:10" x14ac:dyDescent="0.2">
      <c r="A16">
        <v>2011</v>
      </c>
      <c r="B16" s="20" t="s">
        <v>46</v>
      </c>
      <c r="C16" s="2">
        <v>40709</v>
      </c>
      <c r="D16">
        <v>32</v>
      </c>
      <c r="E16">
        <v>1</v>
      </c>
      <c r="F16">
        <v>10.8</v>
      </c>
      <c r="G16">
        <v>6.72</v>
      </c>
      <c r="H16">
        <v>16.37</v>
      </c>
      <c r="I16">
        <v>70</v>
      </c>
      <c r="J16" s="28" t="s">
        <v>203</v>
      </c>
    </row>
    <row r="17" spans="1:10" x14ac:dyDescent="0.2">
      <c r="A17">
        <v>2011</v>
      </c>
      <c r="B17" s="20" t="s">
        <v>46</v>
      </c>
      <c r="C17" s="2">
        <v>40709</v>
      </c>
      <c r="D17">
        <v>32</v>
      </c>
      <c r="E17">
        <v>2</v>
      </c>
      <c r="F17">
        <v>9.6999999999999993</v>
      </c>
      <c r="G17" t="s">
        <v>1</v>
      </c>
      <c r="H17">
        <v>17.329999999999998</v>
      </c>
      <c r="I17">
        <v>268</v>
      </c>
      <c r="J17" s="28" t="s">
        <v>205</v>
      </c>
    </row>
    <row r="18" spans="1:10" x14ac:dyDescent="0.2">
      <c r="A18">
        <v>2011</v>
      </c>
      <c r="B18" s="20" t="s">
        <v>46</v>
      </c>
      <c r="C18" s="2">
        <v>40709</v>
      </c>
      <c r="D18">
        <v>32</v>
      </c>
      <c r="E18">
        <v>3</v>
      </c>
      <c r="F18">
        <v>7.91</v>
      </c>
      <c r="G18" t="s">
        <v>1</v>
      </c>
      <c r="H18">
        <v>16.670000000000002</v>
      </c>
      <c r="I18">
        <v>338</v>
      </c>
      <c r="J18" s="28" t="s">
        <v>206</v>
      </c>
    </row>
    <row r="19" spans="1:10" x14ac:dyDescent="0.2">
      <c r="A19">
        <v>2011</v>
      </c>
      <c r="B19" s="20" t="s">
        <v>46</v>
      </c>
      <c r="C19" s="2">
        <v>40709</v>
      </c>
      <c r="D19">
        <v>32</v>
      </c>
      <c r="E19">
        <v>4</v>
      </c>
      <c r="F19" s="20">
        <v>7.01</v>
      </c>
      <c r="G19" s="20" t="s">
        <v>1</v>
      </c>
      <c r="H19" s="20">
        <v>17.8</v>
      </c>
      <c r="I19" s="20">
        <v>300</v>
      </c>
      <c r="J19" s="28" t="s">
        <v>207</v>
      </c>
    </row>
    <row r="20" spans="1:10" x14ac:dyDescent="0.2">
      <c r="A20">
        <v>2011</v>
      </c>
      <c r="B20" s="20" t="s">
        <v>46</v>
      </c>
      <c r="C20" s="2">
        <v>40709</v>
      </c>
      <c r="D20">
        <v>32</v>
      </c>
      <c r="E20">
        <v>5</v>
      </c>
      <c r="F20" s="20">
        <v>8.42</v>
      </c>
      <c r="G20" s="20" t="s">
        <v>1</v>
      </c>
      <c r="H20" s="20">
        <v>18.03</v>
      </c>
      <c r="I20" s="20">
        <v>292</v>
      </c>
      <c r="J20" s="28" t="s">
        <v>203</v>
      </c>
    </row>
    <row r="21" spans="1:10" x14ac:dyDescent="0.2">
      <c r="A21">
        <v>2011</v>
      </c>
      <c r="B21" s="20" t="s">
        <v>46</v>
      </c>
      <c r="C21" s="2">
        <v>40758</v>
      </c>
      <c r="D21">
        <v>33</v>
      </c>
      <c r="E21" t="s">
        <v>201</v>
      </c>
      <c r="F21" t="s">
        <v>1</v>
      </c>
      <c r="G21" t="s">
        <v>1</v>
      </c>
      <c r="H21" t="s">
        <v>1</v>
      </c>
      <c r="I21" t="s">
        <v>1</v>
      </c>
    </row>
    <row r="22" spans="1:10" x14ac:dyDescent="0.2">
      <c r="A22">
        <v>2011</v>
      </c>
      <c r="B22" s="20" t="s">
        <v>46</v>
      </c>
      <c r="C22" s="2">
        <v>40758</v>
      </c>
      <c r="D22">
        <v>34</v>
      </c>
      <c r="E22">
        <v>1</v>
      </c>
      <c r="F22">
        <v>9.4600000000000009</v>
      </c>
      <c r="G22" s="20" t="s">
        <v>1</v>
      </c>
      <c r="H22" s="20">
        <v>13.5</v>
      </c>
      <c r="I22" s="20">
        <v>166</v>
      </c>
      <c r="J22" s="28" t="s">
        <v>208</v>
      </c>
    </row>
    <row r="23" spans="1:10" x14ac:dyDescent="0.2">
      <c r="A23">
        <v>2011</v>
      </c>
      <c r="B23" s="20" t="s">
        <v>46</v>
      </c>
      <c r="C23" s="2">
        <v>40758</v>
      </c>
      <c r="D23">
        <v>34</v>
      </c>
      <c r="E23">
        <v>2</v>
      </c>
      <c r="F23">
        <v>16.920000000000002</v>
      </c>
      <c r="G23" s="20">
        <v>8.42</v>
      </c>
      <c r="H23" s="20">
        <v>13.01</v>
      </c>
      <c r="I23" s="20">
        <v>218</v>
      </c>
      <c r="J23" s="28" t="s">
        <v>209</v>
      </c>
    </row>
    <row r="24" spans="1:10" x14ac:dyDescent="0.2">
      <c r="A24">
        <v>2011</v>
      </c>
      <c r="B24" s="20" t="s">
        <v>46</v>
      </c>
      <c r="C24" s="2">
        <v>40758</v>
      </c>
      <c r="D24">
        <v>34</v>
      </c>
      <c r="E24">
        <v>3</v>
      </c>
      <c r="F24">
        <v>20.91</v>
      </c>
      <c r="G24" s="20">
        <v>19.13</v>
      </c>
      <c r="H24" s="20">
        <v>10.199999999999999</v>
      </c>
      <c r="I24" s="20">
        <v>222</v>
      </c>
      <c r="J24" s="28" t="s">
        <v>203</v>
      </c>
    </row>
    <row r="25" spans="1:10" x14ac:dyDescent="0.2">
      <c r="A25">
        <v>2011</v>
      </c>
      <c r="B25" s="20" t="s">
        <v>46</v>
      </c>
      <c r="C25" s="2">
        <v>40758</v>
      </c>
      <c r="D25">
        <v>34</v>
      </c>
      <c r="E25">
        <v>4</v>
      </c>
      <c r="F25">
        <v>11.12</v>
      </c>
      <c r="G25" s="20">
        <v>5.81</v>
      </c>
      <c r="H25" s="20">
        <v>17.8</v>
      </c>
      <c r="I25" s="20">
        <v>312</v>
      </c>
      <c r="J25" s="28" t="s">
        <v>203</v>
      </c>
    </row>
    <row r="26" spans="1:10" x14ac:dyDescent="0.2">
      <c r="A26">
        <v>2011</v>
      </c>
      <c r="B26" s="20" t="s">
        <v>46</v>
      </c>
      <c r="C26" s="2">
        <v>40758</v>
      </c>
      <c r="D26">
        <v>35</v>
      </c>
      <c r="E26" s="20" t="s">
        <v>201</v>
      </c>
      <c r="F26" s="20" t="s">
        <v>1</v>
      </c>
      <c r="G26" s="20" t="s">
        <v>1</v>
      </c>
      <c r="H26" s="20" t="s">
        <v>1</v>
      </c>
      <c r="I26" s="20" t="s">
        <v>1</v>
      </c>
    </row>
    <row r="27" spans="1:10" x14ac:dyDescent="0.2">
      <c r="A27">
        <v>2011</v>
      </c>
      <c r="B27" s="20" t="s">
        <v>46</v>
      </c>
      <c r="C27" s="2">
        <v>40738</v>
      </c>
      <c r="D27">
        <v>36</v>
      </c>
      <c r="E27" s="20" t="s">
        <v>201</v>
      </c>
      <c r="F27" s="20" t="s">
        <v>1</v>
      </c>
      <c r="G27" s="20" t="s">
        <v>1</v>
      </c>
      <c r="H27" s="20" t="s">
        <v>1</v>
      </c>
      <c r="I27" s="20" t="s">
        <v>1</v>
      </c>
    </row>
    <row r="28" spans="1:10" x14ac:dyDescent="0.2">
      <c r="A28">
        <v>2011</v>
      </c>
      <c r="B28" s="20" t="s">
        <v>46</v>
      </c>
      <c r="C28" s="2">
        <v>40738</v>
      </c>
      <c r="D28">
        <v>37</v>
      </c>
      <c r="E28" s="20" t="s">
        <v>201</v>
      </c>
      <c r="F28" s="20" t="s">
        <v>1</v>
      </c>
      <c r="G28" s="20" t="s">
        <v>1</v>
      </c>
      <c r="H28" s="20" t="s">
        <v>1</v>
      </c>
      <c r="I28" s="20" t="s">
        <v>1</v>
      </c>
    </row>
    <row r="29" spans="1:10" x14ac:dyDescent="0.2">
      <c r="A29">
        <v>2011</v>
      </c>
      <c r="B29" s="20" t="s">
        <v>46</v>
      </c>
      <c r="C29" s="2">
        <v>40738</v>
      </c>
      <c r="D29">
        <v>38</v>
      </c>
      <c r="E29" s="20" t="s">
        <v>201</v>
      </c>
      <c r="F29" s="20" t="s">
        <v>1</v>
      </c>
      <c r="G29" s="20" t="s">
        <v>1</v>
      </c>
      <c r="H29" s="20" t="s">
        <v>1</v>
      </c>
      <c r="I29" s="20" t="s">
        <v>1</v>
      </c>
    </row>
    <row r="30" spans="1:10" x14ac:dyDescent="0.2">
      <c r="A30">
        <v>2011</v>
      </c>
      <c r="B30" s="20" t="s">
        <v>46</v>
      </c>
      <c r="C30" s="2">
        <v>40738</v>
      </c>
      <c r="D30">
        <v>39</v>
      </c>
      <c r="E30">
        <v>1</v>
      </c>
      <c r="F30" s="20">
        <v>25</v>
      </c>
      <c r="G30" s="20">
        <v>15.94</v>
      </c>
      <c r="H30">
        <v>12.51</v>
      </c>
      <c r="I30">
        <v>21</v>
      </c>
      <c r="J30" s="28" t="s">
        <v>210</v>
      </c>
    </row>
    <row r="31" spans="1:10" x14ac:dyDescent="0.2">
      <c r="A31">
        <v>2011</v>
      </c>
      <c r="B31" s="20" t="s">
        <v>46</v>
      </c>
      <c r="C31" s="2">
        <v>40738</v>
      </c>
      <c r="D31">
        <v>39</v>
      </c>
      <c r="E31">
        <v>2</v>
      </c>
      <c r="F31" s="20">
        <v>21.12</v>
      </c>
      <c r="G31" s="20">
        <v>14.12</v>
      </c>
      <c r="H31">
        <v>10.63</v>
      </c>
      <c r="I31">
        <v>45</v>
      </c>
    </row>
    <row r="32" spans="1:10" x14ac:dyDescent="0.2">
      <c r="A32">
        <v>2011</v>
      </c>
      <c r="B32" s="20" t="s">
        <v>46</v>
      </c>
      <c r="C32" s="2">
        <v>40738</v>
      </c>
      <c r="D32">
        <v>39</v>
      </c>
      <c r="E32">
        <v>3</v>
      </c>
      <c r="F32" s="20" t="s">
        <v>1</v>
      </c>
      <c r="G32" s="20" t="s">
        <v>1</v>
      </c>
      <c r="H32">
        <v>3.85</v>
      </c>
      <c r="I32">
        <v>85</v>
      </c>
      <c r="J32" s="28" t="s">
        <v>211</v>
      </c>
    </row>
    <row r="33" spans="1:10" x14ac:dyDescent="0.2">
      <c r="A33">
        <v>2011</v>
      </c>
      <c r="B33" s="20" t="s">
        <v>46</v>
      </c>
      <c r="C33" s="2">
        <v>40738</v>
      </c>
      <c r="D33">
        <v>39</v>
      </c>
      <c r="E33">
        <v>4</v>
      </c>
      <c r="F33">
        <v>17.95</v>
      </c>
      <c r="G33" s="20">
        <v>11.8</v>
      </c>
      <c r="H33">
        <v>7.68</v>
      </c>
      <c r="I33">
        <v>142</v>
      </c>
    </row>
    <row r="34" spans="1:10" x14ac:dyDescent="0.2">
      <c r="A34">
        <v>2011</v>
      </c>
      <c r="B34" s="20" t="s">
        <v>46</v>
      </c>
      <c r="C34" s="2">
        <v>40738</v>
      </c>
      <c r="D34">
        <v>39</v>
      </c>
      <c r="E34">
        <v>5</v>
      </c>
      <c r="F34">
        <v>27.89</v>
      </c>
      <c r="G34" s="20">
        <v>22.42</v>
      </c>
      <c r="H34">
        <v>10.86</v>
      </c>
      <c r="I34">
        <v>145</v>
      </c>
    </row>
    <row r="35" spans="1:10" x14ac:dyDescent="0.2">
      <c r="A35">
        <v>2011</v>
      </c>
      <c r="B35" s="20" t="s">
        <v>46</v>
      </c>
      <c r="C35" s="2">
        <v>40738</v>
      </c>
      <c r="D35">
        <v>39</v>
      </c>
      <c r="E35">
        <v>6</v>
      </c>
      <c r="F35">
        <v>32.15</v>
      </c>
      <c r="G35" s="20">
        <v>24.2</v>
      </c>
      <c r="H35">
        <v>5.16</v>
      </c>
      <c r="I35">
        <v>238</v>
      </c>
    </row>
    <row r="36" spans="1:10" x14ac:dyDescent="0.2">
      <c r="A36">
        <v>2011</v>
      </c>
      <c r="B36" s="20" t="s">
        <v>46</v>
      </c>
      <c r="C36" s="2">
        <v>40738</v>
      </c>
      <c r="D36">
        <v>39</v>
      </c>
      <c r="E36">
        <v>7</v>
      </c>
      <c r="F36">
        <v>19.93</v>
      </c>
      <c r="G36" s="20">
        <v>12.75</v>
      </c>
      <c r="H36">
        <v>9.6300000000000008</v>
      </c>
      <c r="I36">
        <v>329</v>
      </c>
    </row>
    <row r="37" spans="1:10" x14ac:dyDescent="0.2">
      <c r="A37">
        <v>2011</v>
      </c>
      <c r="B37" s="20" t="s">
        <v>46</v>
      </c>
      <c r="C37" s="2">
        <v>40738</v>
      </c>
      <c r="D37">
        <v>39</v>
      </c>
      <c r="E37">
        <v>8</v>
      </c>
      <c r="F37">
        <v>30.89</v>
      </c>
      <c r="G37" s="20">
        <v>24.88</v>
      </c>
      <c r="H37">
        <v>15.64</v>
      </c>
      <c r="I37">
        <v>328</v>
      </c>
    </row>
    <row r="38" spans="1:10" x14ac:dyDescent="0.2">
      <c r="A38">
        <v>2011</v>
      </c>
      <c r="B38" s="20" t="s">
        <v>46</v>
      </c>
      <c r="C38" s="2">
        <v>40738</v>
      </c>
      <c r="D38">
        <v>39</v>
      </c>
      <c r="E38">
        <v>9</v>
      </c>
      <c r="F38">
        <v>30.51</v>
      </c>
      <c r="G38" s="20">
        <v>22.08</v>
      </c>
      <c r="H38" s="20">
        <v>9.36</v>
      </c>
      <c r="I38" s="20">
        <v>80</v>
      </c>
      <c r="J38" s="28" t="s">
        <v>204</v>
      </c>
    </row>
    <row r="39" spans="1:10" x14ac:dyDescent="0.2">
      <c r="A39">
        <v>2011</v>
      </c>
      <c r="B39" s="20" t="s">
        <v>46</v>
      </c>
      <c r="C39" s="2">
        <v>40758</v>
      </c>
      <c r="D39">
        <v>124</v>
      </c>
      <c r="E39">
        <v>1</v>
      </c>
      <c r="F39">
        <v>23.69</v>
      </c>
      <c r="G39" s="20">
        <v>21.9</v>
      </c>
      <c r="H39" s="20">
        <v>3</v>
      </c>
      <c r="I39" s="20">
        <v>28</v>
      </c>
      <c r="J39" s="28" t="s">
        <v>212</v>
      </c>
    </row>
    <row r="40" spans="1:10" x14ac:dyDescent="0.2">
      <c r="A40">
        <v>2011</v>
      </c>
      <c r="B40" s="20" t="s">
        <v>46</v>
      </c>
      <c r="C40" s="2">
        <v>40758</v>
      </c>
      <c r="D40">
        <v>124</v>
      </c>
      <c r="E40" s="20">
        <v>2</v>
      </c>
      <c r="F40" s="20">
        <v>26.52</v>
      </c>
      <c r="G40" s="20">
        <v>20.37</v>
      </c>
      <c r="H40" s="20">
        <v>2.41</v>
      </c>
      <c r="I40" s="20">
        <v>24</v>
      </c>
      <c r="J40" s="28" t="s">
        <v>203</v>
      </c>
    </row>
    <row r="41" spans="1:10" x14ac:dyDescent="0.2">
      <c r="A41">
        <v>2011</v>
      </c>
      <c r="B41" s="20" t="s">
        <v>46</v>
      </c>
      <c r="C41" s="2">
        <v>40758</v>
      </c>
      <c r="D41">
        <v>124</v>
      </c>
      <c r="E41" s="20">
        <v>3</v>
      </c>
      <c r="F41" s="20">
        <v>26.36</v>
      </c>
      <c r="G41" s="20">
        <v>25.83</v>
      </c>
      <c r="H41" s="20">
        <v>8.3000000000000007</v>
      </c>
      <c r="I41" s="20">
        <v>219</v>
      </c>
      <c r="J41" s="28" t="s">
        <v>213</v>
      </c>
    </row>
    <row r="42" spans="1:10" x14ac:dyDescent="0.2">
      <c r="A42">
        <v>2011</v>
      </c>
      <c r="B42" s="20" t="s">
        <v>46</v>
      </c>
      <c r="C42" s="2">
        <v>40758</v>
      </c>
      <c r="D42">
        <v>124</v>
      </c>
      <c r="E42" s="20">
        <v>4</v>
      </c>
      <c r="F42" s="20">
        <v>18.440000000000001</v>
      </c>
      <c r="G42" s="20">
        <v>14.89</v>
      </c>
      <c r="H42" s="20">
        <v>4.7300000000000004</v>
      </c>
      <c r="I42" s="20">
        <v>290</v>
      </c>
      <c r="J42" s="28" t="s">
        <v>214</v>
      </c>
    </row>
    <row r="43" spans="1:10" x14ac:dyDescent="0.2">
      <c r="A43">
        <v>2011</v>
      </c>
      <c r="B43" s="20" t="s">
        <v>46</v>
      </c>
      <c r="C43" s="2">
        <v>40758</v>
      </c>
      <c r="D43">
        <v>124</v>
      </c>
      <c r="E43" s="20">
        <v>5</v>
      </c>
      <c r="F43" s="20">
        <v>30.87</v>
      </c>
      <c r="G43" s="20">
        <v>24.92</v>
      </c>
      <c r="H43" s="20">
        <v>6.55</v>
      </c>
      <c r="I43" s="20">
        <v>260</v>
      </c>
      <c r="J43" s="28" t="s">
        <v>215</v>
      </c>
    </row>
    <row r="44" spans="1:10" x14ac:dyDescent="0.2">
      <c r="A44">
        <v>2011</v>
      </c>
      <c r="B44" s="20" t="s">
        <v>46</v>
      </c>
      <c r="C44" s="2">
        <v>40758</v>
      </c>
      <c r="D44">
        <v>124</v>
      </c>
      <c r="E44" s="20">
        <v>6</v>
      </c>
      <c r="F44" s="20">
        <v>35.57</v>
      </c>
      <c r="G44" s="20">
        <v>29.38</v>
      </c>
      <c r="H44" s="20">
        <v>7.14</v>
      </c>
      <c r="I44" s="20">
        <v>219</v>
      </c>
      <c r="J44" s="28" t="s">
        <v>204</v>
      </c>
    </row>
    <row r="45" spans="1:10" x14ac:dyDescent="0.2">
      <c r="A45">
        <v>2011</v>
      </c>
      <c r="B45" s="20" t="s">
        <v>46</v>
      </c>
      <c r="C45" s="2">
        <v>40758</v>
      </c>
      <c r="D45">
        <v>125</v>
      </c>
      <c r="E45" s="20" t="s">
        <v>201</v>
      </c>
      <c r="F45" s="20" t="s">
        <v>1</v>
      </c>
      <c r="G45" s="20" t="s">
        <v>1</v>
      </c>
      <c r="H45" s="20" t="s">
        <v>1</v>
      </c>
      <c r="I45" s="20" t="s">
        <v>1</v>
      </c>
    </row>
    <row r="46" spans="1:10" x14ac:dyDescent="0.2">
      <c r="A46">
        <v>2011</v>
      </c>
      <c r="B46" s="20" t="s">
        <v>46</v>
      </c>
      <c r="C46" s="2">
        <v>40758</v>
      </c>
      <c r="D46">
        <v>126</v>
      </c>
      <c r="E46" s="20" t="s">
        <v>201</v>
      </c>
      <c r="F46" s="20" t="s">
        <v>1</v>
      </c>
      <c r="G46" s="20" t="s">
        <v>1</v>
      </c>
      <c r="H46" s="20" t="s">
        <v>1</v>
      </c>
      <c r="I46" s="20" t="s">
        <v>1</v>
      </c>
    </row>
    <row r="47" spans="1:10" x14ac:dyDescent="0.2">
      <c r="B47" s="20"/>
      <c r="F47" s="20"/>
      <c r="G47" s="20"/>
      <c r="H47" s="20"/>
      <c r="I47" s="20"/>
    </row>
    <row r="48" spans="1:10" x14ac:dyDescent="0.2">
      <c r="B48" s="20"/>
      <c r="E48" s="20"/>
      <c r="F48" s="20"/>
      <c r="G48" s="20"/>
      <c r="H48" s="20"/>
      <c r="I48" s="20"/>
    </row>
    <row r="49" spans="2:9" x14ac:dyDescent="0.2">
      <c r="B49" s="20"/>
      <c r="G49" s="20"/>
      <c r="H49" s="20"/>
      <c r="I49" s="20"/>
    </row>
    <row r="50" spans="2:9" x14ac:dyDescent="0.2">
      <c r="B50" s="20"/>
      <c r="G50" s="20"/>
      <c r="H50" s="20"/>
      <c r="I50" s="20"/>
    </row>
    <row r="51" spans="2:9" x14ac:dyDescent="0.2">
      <c r="B51" s="20"/>
    </row>
    <row r="52" spans="2:9" x14ac:dyDescent="0.2">
      <c r="B52" s="20"/>
    </row>
    <row r="53" spans="2:9" x14ac:dyDescent="0.2">
      <c r="B53" s="20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6"/>
  <sheetViews>
    <sheetView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E77" sqref="E77"/>
    </sheetView>
  </sheetViews>
  <sheetFormatPr defaultRowHeight="12.75" x14ac:dyDescent="0.2"/>
  <cols>
    <col min="2" max="2" width="10.28515625" customWidth="1"/>
    <col min="3" max="3" width="9.140625" style="2" hidden="1" customWidth="1"/>
    <col min="4" max="4" width="6.140625" customWidth="1"/>
    <col min="5" max="5" width="18.42578125" customWidth="1"/>
    <col min="6" max="6" width="9.140625" style="4" customWidth="1"/>
    <col min="9" max="10" width="9.140625" customWidth="1"/>
    <col min="12" max="12" width="9.140625" style="10" customWidth="1"/>
    <col min="13" max="13" width="21.5703125" customWidth="1"/>
    <col min="14" max="14" width="11.85546875" customWidth="1"/>
    <col min="20" max="20" width="9.140625" style="10" customWidth="1"/>
    <col min="23" max="23" width="39.7109375" style="28" bestFit="1" customWidth="1"/>
  </cols>
  <sheetData>
    <row r="1" spans="1:23" x14ac:dyDescent="0.2">
      <c r="A1" s="2" t="s">
        <v>216</v>
      </c>
      <c r="E1" s="9"/>
      <c r="M1" s="9"/>
      <c r="N1" s="9"/>
      <c r="W1" s="27"/>
    </row>
    <row r="2" spans="1:23" x14ac:dyDescent="0.2">
      <c r="A2" s="2" t="s">
        <v>217</v>
      </c>
      <c r="E2" s="9"/>
      <c r="M2" s="9"/>
      <c r="N2" s="9"/>
      <c r="W2" s="27"/>
    </row>
    <row r="3" spans="1:23" s="3" customFormat="1" x14ac:dyDescent="0.2">
      <c r="C3" s="12"/>
      <c r="E3" s="9" t="s">
        <v>218</v>
      </c>
      <c r="F3" s="4"/>
      <c r="G3" s="3" t="s">
        <v>219</v>
      </c>
      <c r="H3" s="3" t="s">
        <v>219</v>
      </c>
      <c r="I3" s="3" t="s">
        <v>219</v>
      </c>
      <c r="K3" s="13" t="s">
        <v>220</v>
      </c>
      <c r="L3" s="4"/>
      <c r="M3" s="3" t="s">
        <v>159</v>
      </c>
      <c r="O3" s="3" t="s">
        <v>219</v>
      </c>
      <c r="P3" s="3" t="s">
        <v>219</v>
      </c>
      <c r="Q3" s="3" t="s">
        <v>219</v>
      </c>
      <c r="S3" s="33" t="s">
        <v>220</v>
      </c>
      <c r="T3" s="17"/>
      <c r="U3" s="3" t="s">
        <v>219</v>
      </c>
      <c r="W3" s="27"/>
    </row>
    <row r="4" spans="1:23" s="7" customFormat="1" ht="13.5" thickBot="1" x14ac:dyDescent="0.25">
      <c r="A4" s="21" t="s">
        <v>8</v>
      </c>
      <c r="B4" s="21" t="s">
        <v>9</v>
      </c>
      <c r="C4" s="11" t="s">
        <v>10</v>
      </c>
      <c r="D4" s="7" t="s">
        <v>11</v>
      </c>
      <c r="E4" s="7" t="s">
        <v>12</v>
      </c>
      <c r="F4" s="8" t="s">
        <v>221</v>
      </c>
      <c r="G4" s="7" t="s">
        <v>222</v>
      </c>
      <c r="H4" s="7" t="s">
        <v>223</v>
      </c>
      <c r="I4" s="7" t="s">
        <v>224</v>
      </c>
      <c r="J4" s="7" t="s">
        <v>225</v>
      </c>
      <c r="K4" s="15" t="s">
        <v>199</v>
      </c>
      <c r="L4" s="8" t="s">
        <v>200</v>
      </c>
      <c r="M4" s="7" t="s">
        <v>12</v>
      </c>
      <c r="N4" s="7" t="s">
        <v>226</v>
      </c>
      <c r="O4" s="7" t="s">
        <v>222</v>
      </c>
      <c r="P4" s="7" t="s">
        <v>223</v>
      </c>
      <c r="Q4" s="7" t="s">
        <v>224</v>
      </c>
      <c r="R4" s="7" t="s">
        <v>227</v>
      </c>
      <c r="S4" s="14" t="s">
        <v>199</v>
      </c>
      <c r="T4" s="18" t="s">
        <v>200</v>
      </c>
      <c r="U4" s="7" t="s">
        <v>228</v>
      </c>
      <c r="V4" s="7" t="s">
        <v>229</v>
      </c>
      <c r="W4" s="30" t="s">
        <v>45</v>
      </c>
    </row>
    <row r="5" spans="1:23" ht="13.5" thickTop="1" x14ac:dyDescent="0.2">
      <c r="A5">
        <v>2011</v>
      </c>
      <c r="B5" s="20" t="s">
        <v>46</v>
      </c>
      <c r="C5" s="2">
        <v>40750</v>
      </c>
      <c r="D5">
        <v>27</v>
      </c>
      <c r="E5" s="22" t="s">
        <v>63</v>
      </c>
      <c r="F5" s="23" t="s">
        <v>230</v>
      </c>
      <c r="G5">
        <v>31</v>
      </c>
      <c r="H5">
        <v>21</v>
      </c>
      <c r="I5">
        <v>37</v>
      </c>
      <c r="K5">
        <v>6.44</v>
      </c>
      <c r="L5" s="10">
        <v>30</v>
      </c>
      <c r="M5" s="20" t="s">
        <v>83</v>
      </c>
      <c r="N5" s="20" t="s">
        <v>231</v>
      </c>
      <c r="O5" s="20">
        <v>19</v>
      </c>
      <c r="P5" s="20">
        <v>12</v>
      </c>
      <c r="Q5" s="20">
        <v>14</v>
      </c>
      <c r="S5">
        <v>6.16</v>
      </c>
      <c r="T5" s="10">
        <v>33</v>
      </c>
      <c r="U5">
        <v>32</v>
      </c>
      <c r="V5">
        <v>1205</v>
      </c>
    </row>
    <row r="6" spans="1:23" x14ac:dyDescent="0.2">
      <c r="A6">
        <v>2011</v>
      </c>
      <c r="B6" s="20" t="s">
        <v>46</v>
      </c>
      <c r="C6" s="2">
        <v>40750</v>
      </c>
      <c r="D6">
        <v>27</v>
      </c>
      <c r="E6" s="22" t="s">
        <v>63</v>
      </c>
      <c r="F6" s="23" t="s">
        <v>232</v>
      </c>
      <c r="G6">
        <v>94</v>
      </c>
      <c r="H6">
        <v>62</v>
      </c>
      <c r="I6">
        <v>31</v>
      </c>
      <c r="K6">
        <v>17.600000000000001</v>
      </c>
      <c r="L6" s="10">
        <v>159</v>
      </c>
      <c r="M6" s="20" t="s">
        <v>182</v>
      </c>
      <c r="N6" s="20" t="s">
        <v>233</v>
      </c>
      <c r="O6" s="20" t="s">
        <v>1</v>
      </c>
      <c r="P6" s="20" t="s">
        <v>1</v>
      </c>
      <c r="Q6" s="20" t="s">
        <v>1</v>
      </c>
      <c r="S6">
        <v>17.07</v>
      </c>
      <c r="T6" s="10">
        <v>156</v>
      </c>
      <c r="U6">
        <v>60</v>
      </c>
      <c r="V6" s="20">
        <v>1208</v>
      </c>
      <c r="W6" s="28" t="s">
        <v>234</v>
      </c>
    </row>
    <row r="7" spans="1:23" x14ac:dyDescent="0.2">
      <c r="A7">
        <v>2011</v>
      </c>
      <c r="B7" s="20" t="s">
        <v>46</v>
      </c>
      <c r="C7" s="2">
        <v>40750</v>
      </c>
      <c r="D7">
        <v>27</v>
      </c>
      <c r="E7" s="22" t="s">
        <v>63</v>
      </c>
      <c r="F7" s="23" t="s">
        <v>235</v>
      </c>
      <c r="G7">
        <v>63</v>
      </c>
      <c r="H7">
        <v>43</v>
      </c>
      <c r="I7">
        <v>28</v>
      </c>
      <c r="K7">
        <v>9.42</v>
      </c>
      <c r="L7" s="10">
        <v>176</v>
      </c>
      <c r="M7" s="20" t="s">
        <v>61</v>
      </c>
      <c r="N7" s="20" t="s">
        <v>236</v>
      </c>
      <c r="O7" s="20">
        <v>110</v>
      </c>
      <c r="P7" s="20">
        <v>97</v>
      </c>
      <c r="Q7" s="20">
        <v>118</v>
      </c>
      <c r="S7">
        <v>10.41</v>
      </c>
      <c r="T7" s="10">
        <v>176</v>
      </c>
      <c r="U7">
        <v>94</v>
      </c>
      <c r="V7" s="20">
        <v>1211</v>
      </c>
      <c r="W7" s="28" t="s">
        <v>237</v>
      </c>
    </row>
    <row r="8" spans="1:23" x14ac:dyDescent="0.2">
      <c r="A8">
        <v>2011</v>
      </c>
      <c r="B8" s="20" t="s">
        <v>46</v>
      </c>
      <c r="C8" s="2">
        <v>40750</v>
      </c>
      <c r="D8">
        <v>27</v>
      </c>
      <c r="E8" s="22" t="s">
        <v>63</v>
      </c>
      <c r="F8" s="23" t="s">
        <v>238</v>
      </c>
      <c r="G8" t="s">
        <v>1</v>
      </c>
      <c r="H8" t="s">
        <v>1</v>
      </c>
      <c r="I8" t="s">
        <v>1</v>
      </c>
      <c r="K8">
        <v>5.53</v>
      </c>
      <c r="L8" s="10">
        <v>181</v>
      </c>
      <c r="M8" s="20" t="s">
        <v>83</v>
      </c>
      <c r="N8" s="20" t="s">
        <v>239</v>
      </c>
      <c r="O8" s="20">
        <v>12</v>
      </c>
      <c r="P8" s="20">
        <v>10</v>
      </c>
      <c r="Q8" s="20">
        <v>11</v>
      </c>
      <c r="S8">
        <v>5.23</v>
      </c>
      <c r="T8" s="10">
        <v>182</v>
      </c>
      <c r="U8">
        <v>25</v>
      </c>
      <c r="V8" s="20">
        <v>1212</v>
      </c>
    </row>
    <row r="9" spans="1:23" x14ac:dyDescent="0.2">
      <c r="A9">
        <v>2011</v>
      </c>
      <c r="B9" s="20" t="s">
        <v>46</v>
      </c>
      <c r="C9" s="2">
        <v>40750</v>
      </c>
      <c r="D9">
        <v>27</v>
      </c>
      <c r="E9" s="22" t="s">
        <v>72</v>
      </c>
      <c r="F9" s="23" t="s">
        <v>240</v>
      </c>
      <c r="G9">
        <v>18</v>
      </c>
      <c r="H9">
        <v>16</v>
      </c>
      <c r="I9">
        <v>24</v>
      </c>
      <c r="K9">
        <v>6.27</v>
      </c>
      <c r="L9" s="10">
        <v>37</v>
      </c>
      <c r="M9" s="20" t="s">
        <v>60</v>
      </c>
      <c r="N9" s="20" t="s">
        <v>241</v>
      </c>
      <c r="O9" s="20">
        <v>21</v>
      </c>
      <c r="P9" s="20">
        <v>21</v>
      </c>
      <c r="Q9" s="20">
        <v>16</v>
      </c>
      <c r="S9">
        <v>6.67</v>
      </c>
      <c r="T9" s="10">
        <v>36</v>
      </c>
      <c r="U9">
        <v>42</v>
      </c>
      <c r="V9" s="20">
        <v>1206</v>
      </c>
      <c r="W9" s="29"/>
    </row>
    <row r="10" spans="1:23" x14ac:dyDescent="0.2">
      <c r="A10">
        <v>2011</v>
      </c>
      <c r="B10" s="20" t="s">
        <v>46</v>
      </c>
      <c r="C10" s="2">
        <v>40750</v>
      </c>
      <c r="D10">
        <v>27</v>
      </c>
      <c r="E10" s="22" t="s">
        <v>72</v>
      </c>
      <c r="F10" s="23" t="s">
        <v>242</v>
      </c>
      <c r="G10">
        <v>12</v>
      </c>
      <c r="H10">
        <v>10</v>
      </c>
      <c r="I10">
        <v>12</v>
      </c>
      <c r="K10">
        <v>16.09</v>
      </c>
      <c r="L10" s="10">
        <v>156</v>
      </c>
      <c r="M10" s="20" t="s">
        <v>83</v>
      </c>
      <c r="N10" s="20" t="s">
        <v>243</v>
      </c>
      <c r="O10" s="20">
        <v>16</v>
      </c>
      <c r="P10" s="20">
        <v>12</v>
      </c>
      <c r="Q10" s="20">
        <v>9</v>
      </c>
      <c r="S10">
        <v>16.41</v>
      </c>
      <c r="T10" s="10">
        <v>156</v>
      </c>
      <c r="U10">
        <v>31</v>
      </c>
      <c r="V10" s="20">
        <v>1209</v>
      </c>
    </row>
    <row r="11" spans="1:23" x14ac:dyDescent="0.2">
      <c r="A11">
        <v>2011</v>
      </c>
      <c r="B11" s="20" t="s">
        <v>46</v>
      </c>
      <c r="C11" s="2">
        <v>40750</v>
      </c>
      <c r="D11">
        <v>27</v>
      </c>
      <c r="E11" s="22" t="s">
        <v>72</v>
      </c>
      <c r="F11" s="23" t="s">
        <v>244</v>
      </c>
      <c r="G11">
        <v>20</v>
      </c>
      <c r="H11">
        <v>13</v>
      </c>
      <c r="I11">
        <v>18</v>
      </c>
      <c r="K11">
        <v>12.24</v>
      </c>
      <c r="L11" s="10">
        <v>206</v>
      </c>
      <c r="M11" s="20" t="s">
        <v>194</v>
      </c>
      <c r="N11" s="20" t="s">
        <v>245</v>
      </c>
      <c r="O11" s="20">
        <v>14</v>
      </c>
      <c r="P11" s="20">
        <v>9</v>
      </c>
      <c r="Q11" s="20">
        <v>21</v>
      </c>
      <c r="S11">
        <v>12.62</v>
      </c>
      <c r="T11" s="10">
        <v>208</v>
      </c>
      <c r="U11">
        <v>52</v>
      </c>
      <c r="V11" s="20">
        <v>1214</v>
      </c>
      <c r="W11" s="28" t="s">
        <v>246</v>
      </c>
    </row>
    <row r="12" spans="1:23" x14ac:dyDescent="0.2">
      <c r="A12">
        <v>2011</v>
      </c>
      <c r="B12" s="20" t="s">
        <v>46</v>
      </c>
      <c r="C12" s="2">
        <v>40750</v>
      </c>
      <c r="D12">
        <v>27</v>
      </c>
      <c r="E12" s="22" t="s">
        <v>160</v>
      </c>
      <c r="F12" s="23" t="s">
        <v>247</v>
      </c>
      <c r="G12">
        <v>44</v>
      </c>
      <c r="H12">
        <v>25</v>
      </c>
      <c r="I12">
        <v>62</v>
      </c>
      <c r="K12">
        <v>18.38</v>
      </c>
      <c r="L12" s="10">
        <v>189</v>
      </c>
      <c r="M12" s="20" t="s">
        <v>50</v>
      </c>
      <c r="N12" s="20" t="s">
        <v>248</v>
      </c>
      <c r="O12" s="20">
        <v>40</v>
      </c>
      <c r="P12" s="20">
        <v>37</v>
      </c>
      <c r="Q12" s="20">
        <v>49</v>
      </c>
      <c r="S12">
        <v>18.399999999999999</v>
      </c>
      <c r="T12" s="10">
        <v>191</v>
      </c>
      <c r="U12">
        <v>59</v>
      </c>
      <c r="V12" s="20">
        <v>1213</v>
      </c>
      <c r="W12" s="28" t="s">
        <v>249</v>
      </c>
    </row>
    <row r="13" spans="1:23" x14ac:dyDescent="0.2">
      <c r="A13">
        <v>2011</v>
      </c>
      <c r="B13" s="20" t="s">
        <v>46</v>
      </c>
      <c r="C13" s="2">
        <v>40750</v>
      </c>
      <c r="D13">
        <v>27</v>
      </c>
      <c r="E13" s="9" t="s">
        <v>54</v>
      </c>
      <c r="F13" s="4" t="s">
        <v>250</v>
      </c>
      <c r="G13" t="s">
        <v>1</v>
      </c>
      <c r="H13" t="s">
        <v>1</v>
      </c>
      <c r="I13" t="s">
        <v>1</v>
      </c>
      <c r="K13">
        <v>2.72</v>
      </c>
      <c r="L13" s="10">
        <v>5</v>
      </c>
      <c r="M13" s="20" t="s">
        <v>194</v>
      </c>
      <c r="N13" s="20" t="s">
        <v>251</v>
      </c>
      <c r="O13" s="20">
        <v>29</v>
      </c>
      <c r="P13" s="20">
        <v>22</v>
      </c>
      <c r="Q13" s="20">
        <v>63</v>
      </c>
      <c r="S13">
        <v>2.69</v>
      </c>
      <c r="T13" s="10">
        <v>0</v>
      </c>
      <c r="U13">
        <v>12</v>
      </c>
      <c r="V13">
        <v>1201</v>
      </c>
      <c r="W13" s="28" t="s">
        <v>252</v>
      </c>
    </row>
    <row r="14" spans="1:23" x14ac:dyDescent="0.2">
      <c r="A14">
        <v>2011</v>
      </c>
      <c r="B14" s="20" t="s">
        <v>46</v>
      </c>
      <c r="C14" s="2">
        <v>40750</v>
      </c>
      <c r="D14">
        <v>27</v>
      </c>
      <c r="E14" s="9" t="s">
        <v>54</v>
      </c>
      <c r="F14" s="4" t="s">
        <v>253</v>
      </c>
      <c r="G14">
        <v>23</v>
      </c>
      <c r="H14">
        <v>19</v>
      </c>
      <c r="I14">
        <v>22</v>
      </c>
      <c r="K14">
        <v>10.15</v>
      </c>
      <c r="L14" s="10">
        <v>7</v>
      </c>
      <c r="M14" s="20" t="s">
        <v>50</v>
      </c>
      <c r="N14" s="20" t="s">
        <v>254</v>
      </c>
      <c r="O14" s="20">
        <v>27</v>
      </c>
      <c r="P14" s="20">
        <v>26</v>
      </c>
      <c r="Q14" s="20">
        <v>67</v>
      </c>
      <c r="S14">
        <v>10.32</v>
      </c>
      <c r="T14" s="10">
        <v>9</v>
      </c>
      <c r="U14">
        <v>40</v>
      </c>
      <c r="V14" t="s">
        <v>255</v>
      </c>
      <c r="W14" s="28" t="s">
        <v>256</v>
      </c>
    </row>
    <row r="15" spans="1:23" x14ac:dyDescent="0.2">
      <c r="A15">
        <v>2011</v>
      </c>
      <c r="B15" s="20" t="s">
        <v>46</v>
      </c>
      <c r="C15" s="2">
        <v>40750</v>
      </c>
      <c r="D15">
        <v>27</v>
      </c>
      <c r="E15" s="22" t="s">
        <v>54</v>
      </c>
      <c r="F15" s="23" t="s">
        <v>257</v>
      </c>
      <c r="G15">
        <v>17</v>
      </c>
      <c r="H15">
        <v>11</v>
      </c>
      <c r="I15">
        <v>25</v>
      </c>
      <c r="K15">
        <v>6.46</v>
      </c>
      <c r="L15" s="10">
        <v>31</v>
      </c>
      <c r="M15" s="20" t="s">
        <v>83</v>
      </c>
      <c r="N15" s="20" t="s">
        <v>231</v>
      </c>
      <c r="O15" s="20">
        <v>19</v>
      </c>
      <c r="P15" s="20">
        <v>12</v>
      </c>
      <c r="Q15" s="20">
        <v>14</v>
      </c>
      <c r="S15">
        <v>6.16</v>
      </c>
      <c r="T15" s="10">
        <v>33</v>
      </c>
      <c r="U15">
        <v>34</v>
      </c>
      <c r="V15" s="20">
        <v>1205</v>
      </c>
    </row>
    <row r="16" spans="1:23" x14ac:dyDescent="0.2">
      <c r="A16">
        <v>2011</v>
      </c>
      <c r="B16" s="20" t="s">
        <v>46</v>
      </c>
      <c r="C16" s="2">
        <v>40750</v>
      </c>
      <c r="D16">
        <v>27</v>
      </c>
      <c r="E16" s="22" t="s">
        <v>54</v>
      </c>
      <c r="F16" s="23" t="s">
        <v>258</v>
      </c>
      <c r="G16">
        <v>52</v>
      </c>
      <c r="H16">
        <v>47</v>
      </c>
      <c r="I16">
        <v>52</v>
      </c>
      <c r="K16">
        <v>8.86</v>
      </c>
      <c r="L16" s="10">
        <v>140</v>
      </c>
      <c r="M16" s="20" t="s">
        <v>83</v>
      </c>
      <c r="N16" s="20" t="s">
        <v>259</v>
      </c>
      <c r="O16" s="20">
        <v>9</v>
      </c>
      <c r="P16" s="20">
        <v>2</v>
      </c>
      <c r="Q16" s="20">
        <v>5</v>
      </c>
      <c r="S16">
        <v>9.36</v>
      </c>
      <c r="T16" s="10">
        <v>136</v>
      </c>
      <c r="U16">
        <v>54</v>
      </c>
      <c r="V16" s="20">
        <v>1207</v>
      </c>
      <c r="W16" s="28" t="s">
        <v>260</v>
      </c>
    </row>
    <row r="17" spans="1:23" x14ac:dyDescent="0.2">
      <c r="A17">
        <v>2011</v>
      </c>
      <c r="B17" s="20" t="s">
        <v>46</v>
      </c>
      <c r="C17" s="2">
        <v>40750</v>
      </c>
      <c r="D17">
        <v>27</v>
      </c>
      <c r="E17" s="22" t="s">
        <v>54</v>
      </c>
      <c r="F17" s="23" t="s">
        <v>258</v>
      </c>
      <c r="G17">
        <v>52</v>
      </c>
      <c r="H17">
        <v>47</v>
      </c>
      <c r="I17">
        <v>52</v>
      </c>
      <c r="K17">
        <v>8.86</v>
      </c>
      <c r="L17" s="10">
        <v>140</v>
      </c>
      <c r="M17" s="20" t="s">
        <v>194</v>
      </c>
      <c r="N17" s="20" t="s">
        <v>261</v>
      </c>
      <c r="O17" s="20">
        <v>33</v>
      </c>
      <c r="P17" s="20">
        <v>37</v>
      </c>
      <c r="Q17" s="20">
        <v>64</v>
      </c>
      <c r="S17">
        <v>9.36</v>
      </c>
      <c r="T17" s="10">
        <v>136</v>
      </c>
      <c r="U17">
        <v>43</v>
      </c>
      <c r="V17" s="20">
        <v>1207</v>
      </c>
      <c r="W17" s="28" t="s">
        <v>260</v>
      </c>
    </row>
    <row r="18" spans="1:23" x14ac:dyDescent="0.2">
      <c r="A18">
        <v>2011</v>
      </c>
      <c r="B18" s="20" t="s">
        <v>46</v>
      </c>
      <c r="C18" s="2">
        <v>40750</v>
      </c>
      <c r="D18">
        <v>27</v>
      </c>
      <c r="E18" s="22" t="s">
        <v>54</v>
      </c>
      <c r="F18" s="23" t="s">
        <v>262</v>
      </c>
      <c r="G18">
        <v>90</v>
      </c>
      <c r="H18">
        <v>43</v>
      </c>
      <c r="I18">
        <v>91</v>
      </c>
      <c r="K18">
        <v>16.079999999999998</v>
      </c>
      <c r="L18" s="10">
        <v>167</v>
      </c>
      <c r="M18" s="20" t="s">
        <v>57</v>
      </c>
      <c r="N18" s="20" t="s">
        <v>263</v>
      </c>
      <c r="O18" s="20">
        <v>86</v>
      </c>
      <c r="P18" s="20">
        <v>58</v>
      </c>
      <c r="Q18" s="20">
        <v>85</v>
      </c>
      <c r="S18">
        <v>16.48</v>
      </c>
      <c r="T18" s="10">
        <v>167</v>
      </c>
      <c r="U18">
        <v>43</v>
      </c>
      <c r="V18" s="20">
        <v>1210</v>
      </c>
    </row>
    <row r="19" spans="1:23" x14ac:dyDescent="0.2">
      <c r="A19">
        <v>2011</v>
      </c>
      <c r="B19" s="20" t="s">
        <v>46</v>
      </c>
      <c r="C19" s="2">
        <v>40750</v>
      </c>
      <c r="D19">
        <v>27</v>
      </c>
      <c r="E19" s="22" t="s">
        <v>54</v>
      </c>
      <c r="F19" s="23" t="s">
        <v>264</v>
      </c>
      <c r="G19">
        <v>57</v>
      </c>
      <c r="H19">
        <v>50</v>
      </c>
      <c r="I19">
        <v>63</v>
      </c>
      <c r="K19">
        <v>9.26</v>
      </c>
      <c r="L19" s="10">
        <v>173</v>
      </c>
      <c r="M19" s="20" t="s">
        <v>61</v>
      </c>
      <c r="N19" s="20" t="s">
        <v>236</v>
      </c>
      <c r="O19" s="20">
        <v>110</v>
      </c>
      <c r="P19" s="20">
        <v>97</v>
      </c>
      <c r="Q19" s="20">
        <v>118</v>
      </c>
      <c r="S19">
        <v>10.41</v>
      </c>
      <c r="T19" s="10">
        <v>176</v>
      </c>
      <c r="U19">
        <v>114</v>
      </c>
      <c r="V19" s="20">
        <v>1211</v>
      </c>
      <c r="W19" s="28" t="s">
        <v>265</v>
      </c>
    </row>
    <row r="20" spans="1:23" x14ac:dyDescent="0.2">
      <c r="A20">
        <v>2011</v>
      </c>
      <c r="B20" s="20" t="s">
        <v>46</v>
      </c>
      <c r="C20" s="2">
        <v>40750</v>
      </c>
      <c r="D20">
        <v>27</v>
      </c>
      <c r="E20" s="22" t="s">
        <v>54</v>
      </c>
      <c r="F20" s="23" t="s">
        <v>266</v>
      </c>
      <c r="G20" s="20">
        <v>108</v>
      </c>
      <c r="H20" s="20">
        <v>44</v>
      </c>
      <c r="I20" s="20">
        <v>104</v>
      </c>
      <c r="K20">
        <v>13.09</v>
      </c>
      <c r="L20" s="10">
        <v>216</v>
      </c>
      <c r="M20" s="20" t="s">
        <v>50</v>
      </c>
      <c r="N20" s="20" t="s">
        <v>267</v>
      </c>
      <c r="O20" s="20">
        <v>30</v>
      </c>
      <c r="P20" s="20">
        <v>22</v>
      </c>
      <c r="Q20" s="20">
        <v>37</v>
      </c>
      <c r="S20">
        <v>12.62</v>
      </c>
      <c r="T20" s="10">
        <v>214</v>
      </c>
      <c r="U20">
        <v>92</v>
      </c>
      <c r="V20" s="20">
        <v>1215</v>
      </c>
      <c r="W20" s="28" t="s">
        <v>268</v>
      </c>
    </row>
    <row r="21" spans="1:23" x14ac:dyDescent="0.2">
      <c r="A21">
        <v>2011</v>
      </c>
      <c r="B21" s="20" t="s">
        <v>46</v>
      </c>
      <c r="C21" s="2">
        <v>40750</v>
      </c>
      <c r="D21">
        <v>27</v>
      </c>
      <c r="E21" s="22" t="s">
        <v>84</v>
      </c>
      <c r="F21" s="23" t="s">
        <v>269</v>
      </c>
      <c r="G21">
        <v>54</v>
      </c>
      <c r="H21">
        <v>34</v>
      </c>
      <c r="I21">
        <v>110</v>
      </c>
      <c r="K21">
        <v>9.4</v>
      </c>
      <c r="L21" s="10">
        <v>137</v>
      </c>
      <c r="M21" s="20" t="s">
        <v>194</v>
      </c>
      <c r="N21" s="20" t="s">
        <v>261</v>
      </c>
      <c r="O21" s="20">
        <v>33</v>
      </c>
      <c r="P21" s="20">
        <v>37</v>
      </c>
      <c r="Q21" s="20">
        <v>64</v>
      </c>
      <c r="S21">
        <v>9.41</v>
      </c>
      <c r="T21" s="10">
        <v>140</v>
      </c>
      <c r="U21">
        <v>36</v>
      </c>
      <c r="V21" s="20">
        <v>1207</v>
      </c>
      <c r="W21" s="28" t="s">
        <v>270</v>
      </c>
    </row>
    <row r="22" spans="1:23" x14ac:dyDescent="0.2">
      <c r="A22">
        <v>2011</v>
      </c>
      <c r="B22" s="20" t="s">
        <v>46</v>
      </c>
      <c r="C22" s="2">
        <v>40750</v>
      </c>
      <c r="D22">
        <v>27</v>
      </c>
      <c r="E22" s="22" t="s">
        <v>84</v>
      </c>
      <c r="F22" s="23" t="s">
        <v>269</v>
      </c>
      <c r="G22">
        <v>54</v>
      </c>
      <c r="H22">
        <v>34</v>
      </c>
      <c r="I22">
        <v>110</v>
      </c>
      <c r="K22">
        <v>9.4</v>
      </c>
      <c r="L22" s="10">
        <v>137</v>
      </c>
      <c r="M22" s="20" t="s">
        <v>83</v>
      </c>
      <c r="N22" s="20" t="s">
        <v>259</v>
      </c>
      <c r="O22" s="20">
        <v>9</v>
      </c>
      <c r="P22" s="20">
        <v>2</v>
      </c>
      <c r="Q22" s="20">
        <v>5</v>
      </c>
      <c r="S22">
        <v>9.41</v>
      </c>
      <c r="T22" s="10">
        <v>140</v>
      </c>
      <c r="U22">
        <v>55</v>
      </c>
      <c r="V22" s="20">
        <v>1207</v>
      </c>
      <c r="W22" s="28" t="s">
        <v>270</v>
      </c>
    </row>
    <row r="23" spans="1:23" x14ac:dyDescent="0.2">
      <c r="A23">
        <v>2011</v>
      </c>
      <c r="B23" s="20" t="s">
        <v>46</v>
      </c>
      <c r="C23" s="2">
        <v>40750</v>
      </c>
      <c r="D23">
        <v>27</v>
      </c>
      <c r="E23" s="22" t="s">
        <v>84</v>
      </c>
      <c r="F23" s="23" t="s">
        <v>271</v>
      </c>
      <c r="G23">
        <v>60</v>
      </c>
      <c r="H23">
        <v>42</v>
      </c>
      <c r="I23">
        <v>92</v>
      </c>
      <c r="K23">
        <v>16.84</v>
      </c>
      <c r="L23" s="10">
        <v>163</v>
      </c>
      <c r="M23" s="20" t="s">
        <v>57</v>
      </c>
      <c r="N23" s="20" t="s">
        <v>263</v>
      </c>
      <c r="O23" s="20">
        <v>86</v>
      </c>
      <c r="P23" s="20">
        <v>58</v>
      </c>
      <c r="Q23" s="20">
        <v>85</v>
      </c>
      <c r="S23">
        <v>16.48</v>
      </c>
      <c r="T23" s="10">
        <v>167</v>
      </c>
      <c r="U23">
        <v>44</v>
      </c>
      <c r="V23" s="20">
        <v>1210</v>
      </c>
    </row>
    <row r="24" spans="1:23" x14ac:dyDescent="0.2">
      <c r="A24">
        <v>2011</v>
      </c>
      <c r="B24" s="20" t="s">
        <v>46</v>
      </c>
      <c r="C24" s="2">
        <v>40750</v>
      </c>
      <c r="D24">
        <v>27</v>
      </c>
      <c r="E24" s="22" t="s">
        <v>84</v>
      </c>
      <c r="F24" s="23" t="s">
        <v>272</v>
      </c>
      <c r="G24">
        <v>170</v>
      </c>
      <c r="H24">
        <v>107</v>
      </c>
      <c r="I24">
        <v>142</v>
      </c>
      <c r="K24">
        <v>9.7799999999999994</v>
      </c>
      <c r="L24" s="10">
        <v>173</v>
      </c>
      <c r="M24" s="20" t="s">
        <v>61</v>
      </c>
      <c r="N24" s="20" t="s">
        <v>236</v>
      </c>
      <c r="O24" s="20">
        <v>110</v>
      </c>
      <c r="P24" s="20">
        <v>97</v>
      </c>
      <c r="Q24" s="20">
        <v>118</v>
      </c>
      <c r="S24">
        <v>10.41</v>
      </c>
      <c r="T24" s="10">
        <v>176</v>
      </c>
      <c r="U24">
        <v>67</v>
      </c>
      <c r="V24" s="20">
        <v>1211</v>
      </c>
      <c r="W24" s="28" t="s">
        <v>273</v>
      </c>
    </row>
    <row r="25" spans="1:23" x14ac:dyDescent="0.2">
      <c r="A25">
        <v>2011</v>
      </c>
      <c r="B25" s="20" t="s">
        <v>46</v>
      </c>
      <c r="C25" s="2">
        <v>40750</v>
      </c>
      <c r="D25">
        <v>27</v>
      </c>
      <c r="E25" s="9" t="s">
        <v>161</v>
      </c>
      <c r="F25" s="4" t="s">
        <v>274</v>
      </c>
      <c r="G25">
        <v>38</v>
      </c>
      <c r="H25">
        <v>30</v>
      </c>
      <c r="I25">
        <v>76</v>
      </c>
      <c r="K25">
        <v>9.89</v>
      </c>
      <c r="L25" s="10">
        <v>9</v>
      </c>
      <c r="M25" s="20" t="s">
        <v>50</v>
      </c>
      <c r="N25" s="20" t="s">
        <v>254</v>
      </c>
      <c r="O25" s="20">
        <v>27</v>
      </c>
      <c r="P25" s="20">
        <v>26</v>
      </c>
      <c r="Q25" s="20">
        <v>67</v>
      </c>
      <c r="S25">
        <v>10.32</v>
      </c>
      <c r="T25" s="10">
        <v>9</v>
      </c>
      <c r="U25">
        <v>51</v>
      </c>
      <c r="V25" t="s">
        <v>255</v>
      </c>
      <c r="W25" s="28" t="s">
        <v>275</v>
      </c>
    </row>
    <row r="26" spans="1:23" x14ac:dyDescent="0.2">
      <c r="A26">
        <v>2011</v>
      </c>
      <c r="B26" s="20" t="s">
        <v>46</v>
      </c>
      <c r="C26" s="2">
        <v>40750</v>
      </c>
      <c r="D26">
        <v>27</v>
      </c>
      <c r="E26" s="22" t="s">
        <v>70</v>
      </c>
      <c r="F26" s="23" t="s">
        <v>276</v>
      </c>
      <c r="G26">
        <v>33</v>
      </c>
      <c r="H26">
        <v>33</v>
      </c>
      <c r="I26">
        <v>55</v>
      </c>
      <c r="K26">
        <v>1.89</v>
      </c>
      <c r="L26" s="10">
        <v>26</v>
      </c>
      <c r="M26" s="20" t="s">
        <v>194</v>
      </c>
      <c r="N26" s="20" t="s">
        <v>251</v>
      </c>
      <c r="O26" s="20" t="s">
        <v>1</v>
      </c>
      <c r="P26" s="20" t="s">
        <v>1</v>
      </c>
      <c r="Q26" s="20" t="s">
        <v>1</v>
      </c>
      <c r="S26">
        <v>1.83</v>
      </c>
      <c r="T26" s="10">
        <v>19</v>
      </c>
      <c r="U26">
        <v>37</v>
      </c>
      <c r="V26">
        <v>1204</v>
      </c>
    </row>
    <row r="27" spans="1:23" x14ac:dyDescent="0.2">
      <c r="A27">
        <v>2011</v>
      </c>
      <c r="B27" s="20" t="s">
        <v>46</v>
      </c>
      <c r="C27" s="2">
        <v>40750</v>
      </c>
      <c r="D27">
        <v>27</v>
      </c>
      <c r="E27" s="9" t="s">
        <v>70</v>
      </c>
      <c r="F27" s="4" t="s">
        <v>277</v>
      </c>
      <c r="G27">
        <v>51</v>
      </c>
      <c r="H27">
        <v>40</v>
      </c>
      <c r="I27">
        <v>105</v>
      </c>
      <c r="K27">
        <v>2.61</v>
      </c>
      <c r="L27" s="10">
        <v>0</v>
      </c>
      <c r="M27" s="20" t="s">
        <v>194</v>
      </c>
      <c r="N27" s="20" t="s">
        <v>251</v>
      </c>
      <c r="O27" s="20">
        <v>29</v>
      </c>
      <c r="P27" s="20">
        <v>22</v>
      </c>
      <c r="Q27" s="20">
        <v>63</v>
      </c>
      <c r="S27">
        <v>2.69</v>
      </c>
      <c r="T27" s="10">
        <v>0</v>
      </c>
      <c r="U27">
        <v>17</v>
      </c>
      <c r="V27">
        <v>1201</v>
      </c>
      <c r="W27" s="28" t="s">
        <v>278</v>
      </c>
    </row>
    <row r="28" spans="1:23" x14ac:dyDescent="0.2">
      <c r="A28">
        <v>2011</v>
      </c>
      <c r="B28" s="20" t="s">
        <v>46</v>
      </c>
      <c r="C28" s="2">
        <v>40750</v>
      </c>
      <c r="D28">
        <v>27</v>
      </c>
      <c r="E28" s="22" t="s">
        <v>70</v>
      </c>
      <c r="F28" s="23" t="s">
        <v>279</v>
      </c>
      <c r="G28">
        <v>45</v>
      </c>
      <c r="H28">
        <v>32</v>
      </c>
      <c r="I28">
        <v>62</v>
      </c>
      <c r="K28">
        <v>6.7</v>
      </c>
      <c r="L28" s="10">
        <v>33</v>
      </c>
      <c r="M28" s="20" t="s">
        <v>60</v>
      </c>
      <c r="N28" s="20" t="s">
        <v>241</v>
      </c>
      <c r="O28" s="20">
        <v>21</v>
      </c>
      <c r="P28" s="20">
        <v>21</v>
      </c>
      <c r="Q28" s="20">
        <v>16</v>
      </c>
      <c r="S28">
        <v>6.67</v>
      </c>
      <c r="T28" s="10">
        <v>36</v>
      </c>
      <c r="U28">
        <v>41</v>
      </c>
      <c r="V28" s="20">
        <v>1206</v>
      </c>
      <c r="W28" s="31" t="s">
        <v>280</v>
      </c>
    </row>
    <row r="29" spans="1:23" x14ac:dyDescent="0.2">
      <c r="A29">
        <v>2011</v>
      </c>
      <c r="B29" s="20" t="s">
        <v>46</v>
      </c>
      <c r="C29" s="2">
        <v>40750</v>
      </c>
      <c r="D29">
        <v>27</v>
      </c>
      <c r="E29" s="22" t="s">
        <v>70</v>
      </c>
      <c r="F29" s="23" t="s">
        <v>281</v>
      </c>
      <c r="G29">
        <v>80</v>
      </c>
      <c r="H29">
        <v>75</v>
      </c>
      <c r="I29">
        <v>80</v>
      </c>
      <c r="K29">
        <v>17.77</v>
      </c>
      <c r="L29" s="10">
        <v>156</v>
      </c>
      <c r="M29" s="20" t="s">
        <v>182</v>
      </c>
      <c r="N29" s="20" t="s">
        <v>233</v>
      </c>
      <c r="O29" s="20" t="s">
        <v>1</v>
      </c>
      <c r="P29" s="20" t="s">
        <v>1</v>
      </c>
      <c r="Q29" s="20" t="s">
        <v>1</v>
      </c>
      <c r="S29">
        <v>17.07</v>
      </c>
      <c r="T29" s="10">
        <v>156</v>
      </c>
      <c r="U29">
        <v>57</v>
      </c>
      <c r="V29" s="20">
        <v>1208</v>
      </c>
      <c r="W29" s="28" t="s">
        <v>282</v>
      </c>
    </row>
    <row r="30" spans="1:23" x14ac:dyDescent="0.2">
      <c r="A30">
        <v>2011</v>
      </c>
      <c r="B30" s="20" t="s">
        <v>46</v>
      </c>
      <c r="C30" s="2">
        <v>40750</v>
      </c>
      <c r="D30">
        <v>27</v>
      </c>
      <c r="E30" s="22" t="s">
        <v>70</v>
      </c>
      <c r="F30" s="23" t="s">
        <v>283</v>
      </c>
      <c r="G30" s="20">
        <v>74</v>
      </c>
      <c r="H30" s="20">
        <v>32</v>
      </c>
      <c r="I30" s="20">
        <v>32</v>
      </c>
      <c r="K30">
        <v>12.2</v>
      </c>
      <c r="L30" s="10">
        <v>217</v>
      </c>
      <c r="M30" s="20" t="s">
        <v>50</v>
      </c>
      <c r="N30" s="20" t="s">
        <v>267</v>
      </c>
      <c r="O30" s="20">
        <v>30</v>
      </c>
      <c r="P30" s="20">
        <v>22</v>
      </c>
      <c r="Q30" s="20">
        <v>37</v>
      </c>
      <c r="S30">
        <v>12.62</v>
      </c>
      <c r="T30" s="10">
        <v>214</v>
      </c>
      <c r="U30">
        <v>41</v>
      </c>
      <c r="V30" s="20">
        <v>1215</v>
      </c>
      <c r="W30" s="28" t="s">
        <v>284</v>
      </c>
    </row>
    <row r="31" spans="1:23" x14ac:dyDescent="0.2">
      <c r="A31">
        <v>2011</v>
      </c>
      <c r="B31" s="20" t="s">
        <v>46</v>
      </c>
      <c r="C31" s="2">
        <v>40750</v>
      </c>
      <c r="D31">
        <v>27</v>
      </c>
      <c r="E31" s="9" t="s">
        <v>49</v>
      </c>
      <c r="F31" s="4" t="s">
        <v>285</v>
      </c>
      <c r="G31">
        <v>35</v>
      </c>
      <c r="H31">
        <v>20</v>
      </c>
      <c r="I31">
        <v>15</v>
      </c>
      <c r="K31">
        <v>10.02</v>
      </c>
      <c r="L31" s="10">
        <v>11</v>
      </c>
      <c r="M31" s="20" t="s">
        <v>50</v>
      </c>
      <c r="N31" s="20" t="s">
        <v>254</v>
      </c>
      <c r="O31" s="20">
        <v>27</v>
      </c>
      <c r="P31" s="20">
        <v>26</v>
      </c>
      <c r="Q31" s="20">
        <v>67</v>
      </c>
      <c r="S31">
        <v>10.32</v>
      </c>
      <c r="T31" s="10">
        <v>9</v>
      </c>
      <c r="U31">
        <v>44</v>
      </c>
      <c r="V31" t="s">
        <v>255</v>
      </c>
      <c r="W31" s="28" t="s">
        <v>286</v>
      </c>
    </row>
    <row r="32" spans="1:23" x14ac:dyDescent="0.2">
      <c r="A32">
        <v>2011</v>
      </c>
      <c r="B32" s="20" t="s">
        <v>46</v>
      </c>
      <c r="C32" s="2">
        <v>40750</v>
      </c>
      <c r="D32">
        <v>27</v>
      </c>
      <c r="E32" s="22" t="s">
        <v>49</v>
      </c>
      <c r="F32" s="23" t="s">
        <v>287</v>
      </c>
      <c r="G32" s="20">
        <v>57</v>
      </c>
      <c r="H32" s="20">
        <v>32</v>
      </c>
      <c r="I32" s="36">
        <v>84</v>
      </c>
      <c r="K32">
        <v>12.47</v>
      </c>
      <c r="L32" s="10">
        <v>216</v>
      </c>
      <c r="M32" s="20" t="s">
        <v>50</v>
      </c>
      <c r="N32" s="20" t="s">
        <v>267</v>
      </c>
      <c r="O32" s="20">
        <v>30</v>
      </c>
      <c r="P32" s="20">
        <v>22</v>
      </c>
      <c r="Q32" s="20">
        <v>37</v>
      </c>
      <c r="S32">
        <v>12.62</v>
      </c>
      <c r="T32" s="10">
        <v>214</v>
      </c>
      <c r="U32">
        <v>31</v>
      </c>
      <c r="V32" s="20">
        <v>1215</v>
      </c>
    </row>
    <row r="33" spans="1:23" x14ac:dyDescent="0.2">
      <c r="A33">
        <v>2011</v>
      </c>
      <c r="B33" s="20" t="s">
        <v>46</v>
      </c>
      <c r="C33" s="2">
        <v>40750</v>
      </c>
      <c r="D33">
        <v>27</v>
      </c>
      <c r="E33" s="22" t="s">
        <v>49</v>
      </c>
      <c r="F33" s="23" t="s">
        <v>288</v>
      </c>
      <c r="G33" s="20">
        <v>39</v>
      </c>
      <c r="H33" s="20">
        <v>28</v>
      </c>
      <c r="I33" s="20">
        <v>117</v>
      </c>
      <c r="K33">
        <v>9.7200000000000006</v>
      </c>
      <c r="L33" s="10">
        <v>239</v>
      </c>
      <c r="M33" s="20" t="s">
        <v>50</v>
      </c>
      <c r="N33" s="20" t="s">
        <v>289</v>
      </c>
      <c r="O33" s="20">
        <v>51</v>
      </c>
      <c r="P33" s="20">
        <v>44</v>
      </c>
      <c r="Q33" s="20">
        <v>38</v>
      </c>
      <c r="S33">
        <v>9.4</v>
      </c>
      <c r="T33" s="10">
        <v>240</v>
      </c>
      <c r="U33">
        <v>52</v>
      </c>
      <c r="V33" s="20">
        <v>1216</v>
      </c>
    </row>
    <row r="34" spans="1:23" x14ac:dyDescent="0.2">
      <c r="A34">
        <v>2011</v>
      </c>
      <c r="B34" s="20" t="s">
        <v>46</v>
      </c>
      <c r="C34" s="2">
        <v>40709</v>
      </c>
      <c r="D34">
        <v>32</v>
      </c>
      <c r="E34" s="9" t="s">
        <v>63</v>
      </c>
      <c r="F34" s="23" t="s">
        <v>230</v>
      </c>
      <c r="G34">
        <v>137</v>
      </c>
      <c r="H34">
        <v>70</v>
      </c>
      <c r="I34">
        <v>66</v>
      </c>
      <c r="K34">
        <v>5.62</v>
      </c>
      <c r="L34" s="10">
        <v>62</v>
      </c>
      <c r="M34" s="20" t="s">
        <v>81</v>
      </c>
      <c r="N34" s="20" t="s">
        <v>290</v>
      </c>
      <c r="O34" s="20">
        <v>12</v>
      </c>
      <c r="P34" s="20">
        <v>10</v>
      </c>
      <c r="Q34" s="20">
        <v>18</v>
      </c>
      <c r="S34">
        <v>5.92</v>
      </c>
      <c r="T34" s="10">
        <v>58</v>
      </c>
      <c r="U34">
        <v>53</v>
      </c>
      <c r="V34">
        <v>488</v>
      </c>
      <c r="W34" s="28" t="s">
        <v>291</v>
      </c>
    </row>
    <row r="35" spans="1:23" x14ac:dyDescent="0.2">
      <c r="A35">
        <v>2011</v>
      </c>
      <c r="B35" s="20" t="s">
        <v>46</v>
      </c>
      <c r="C35" s="2">
        <v>40709</v>
      </c>
      <c r="D35">
        <v>32</v>
      </c>
      <c r="E35" s="9" t="s">
        <v>63</v>
      </c>
      <c r="F35" s="4" t="s">
        <v>232</v>
      </c>
      <c r="G35">
        <v>97</v>
      </c>
      <c r="H35">
        <v>62</v>
      </c>
      <c r="I35">
        <v>67</v>
      </c>
      <c r="K35">
        <v>13.75</v>
      </c>
      <c r="L35" s="10">
        <v>108</v>
      </c>
      <c r="M35" s="20" t="s">
        <v>81</v>
      </c>
      <c r="N35" s="20" t="s">
        <v>292</v>
      </c>
      <c r="O35" s="20">
        <v>18</v>
      </c>
      <c r="P35" s="20">
        <v>18</v>
      </c>
      <c r="Q35" s="20">
        <v>26</v>
      </c>
      <c r="S35">
        <v>13.43</v>
      </c>
      <c r="T35" s="10">
        <v>109</v>
      </c>
      <c r="U35">
        <v>19</v>
      </c>
      <c r="V35">
        <v>491</v>
      </c>
      <c r="W35" s="28" t="s">
        <v>293</v>
      </c>
    </row>
    <row r="36" spans="1:23" x14ac:dyDescent="0.2">
      <c r="A36">
        <v>2011</v>
      </c>
      <c r="B36" s="20" t="s">
        <v>46</v>
      </c>
      <c r="C36" s="2">
        <v>40709</v>
      </c>
      <c r="D36">
        <v>32</v>
      </c>
      <c r="E36" s="9" t="s">
        <v>63</v>
      </c>
      <c r="F36" s="4" t="s">
        <v>235</v>
      </c>
      <c r="G36">
        <v>35</v>
      </c>
      <c r="H36">
        <v>12</v>
      </c>
      <c r="I36">
        <v>36</v>
      </c>
      <c r="K36">
        <v>9.42</v>
      </c>
      <c r="L36" s="10">
        <v>242</v>
      </c>
      <c r="M36" s="20" t="s">
        <v>56</v>
      </c>
      <c r="N36" s="20" t="s">
        <v>294</v>
      </c>
      <c r="O36" s="20">
        <v>24</v>
      </c>
      <c r="P36" s="20">
        <v>17</v>
      </c>
      <c r="Q36" s="20">
        <v>28</v>
      </c>
      <c r="S36">
        <v>9.42</v>
      </c>
      <c r="T36" s="10">
        <v>242</v>
      </c>
      <c r="U36">
        <v>16</v>
      </c>
      <c r="V36">
        <v>494</v>
      </c>
    </row>
    <row r="37" spans="1:23" x14ac:dyDescent="0.2">
      <c r="A37">
        <v>2011</v>
      </c>
      <c r="B37" s="20" t="s">
        <v>46</v>
      </c>
      <c r="C37" s="2">
        <v>40709</v>
      </c>
      <c r="D37">
        <v>32</v>
      </c>
      <c r="E37" s="9" t="s">
        <v>72</v>
      </c>
      <c r="F37" s="4" t="s">
        <v>295</v>
      </c>
      <c r="G37">
        <v>30</v>
      </c>
      <c r="H37">
        <v>20</v>
      </c>
      <c r="I37">
        <v>32</v>
      </c>
      <c r="K37">
        <v>8.77</v>
      </c>
      <c r="L37" s="10">
        <v>63</v>
      </c>
      <c r="M37" s="20" t="s">
        <v>56</v>
      </c>
      <c r="N37" s="20" t="s">
        <v>296</v>
      </c>
      <c r="O37" s="20">
        <v>10</v>
      </c>
      <c r="P37" s="20">
        <v>7</v>
      </c>
      <c r="Q37" s="20">
        <v>11</v>
      </c>
      <c r="S37">
        <v>8.98</v>
      </c>
      <c r="T37" s="10">
        <v>64</v>
      </c>
      <c r="U37">
        <v>31</v>
      </c>
      <c r="V37">
        <v>489</v>
      </c>
    </row>
    <row r="38" spans="1:23" x14ac:dyDescent="0.2">
      <c r="A38">
        <v>2011</v>
      </c>
      <c r="B38" s="20" t="s">
        <v>46</v>
      </c>
      <c r="C38" s="2">
        <v>40709</v>
      </c>
      <c r="D38">
        <v>32</v>
      </c>
      <c r="E38" s="9" t="s">
        <v>72</v>
      </c>
      <c r="F38" s="4" t="s">
        <v>240</v>
      </c>
      <c r="G38">
        <v>33</v>
      </c>
      <c r="H38">
        <v>17</v>
      </c>
      <c r="I38">
        <v>26</v>
      </c>
      <c r="K38">
        <v>15.97</v>
      </c>
      <c r="L38" s="10">
        <v>276</v>
      </c>
      <c r="M38" s="20" t="s">
        <v>56</v>
      </c>
      <c r="N38" s="20" t="s">
        <v>297</v>
      </c>
      <c r="O38" s="20">
        <v>13</v>
      </c>
      <c r="P38" s="20">
        <v>10</v>
      </c>
      <c r="Q38" s="20">
        <v>10</v>
      </c>
      <c r="S38">
        <v>16.02</v>
      </c>
      <c r="T38" s="10">
        <v>284</v>
      </c>
      <c r="U38">
        <v>49</v>
      </c>
      <c r="V38">
        <v>498</v>
      </c>
    </row>
    <row r="39" spans="1:23" x14ac:dyDescent="0.2">
      <c r="A39">
        <v>2011</v>
      </c>
      <c r="B39" s="20" t="s">
        <v>46</v>
      </c>
      <c r="C39" s="2">
        <v>40709</v>
      </c>
      <c r="D39">
        <v>32</v>
      </c>
      <c r="E39" s="9" t="s">
        <v>72</v>
      </c>
      <c r="F39" s="4" t="s">
        <v>242</v>
      </c>
      <c r="G39">
        <v>92</v>
      </c>
      <c r="H39">
        <v>86</v>
      </c>
      <c r="I39">
        <v>52</v>
      </c>
      <c r="K39">
        <v>15.19</v>
      </c>
      <c r="L39" s="10">
        <v>309</v>
      </c>
      <c r="M39" s="20" t="s">
        <v>81</v>
      </c>
      <c r="N39" s="20" t="s">
        <v>298</v>
      </c>
      <c r="O39" s="20">
        <v>14</v>
      </c>
      <c r="P39" s="20">
        <v>12</v>
      </c>
      <c r="Q39" s="20">
        <v>24</v>
      </c>
      <c r="S39">
        <v>14.8</v>
      </c>
      <c r="T39" s="10">
        <v>313</v>
      </c>
      <c r="U39">
        <v>30</v>
      </c>
      <c r="V39">
        <v>497</v>
      </c>
    </row>
    <row r="40" spans="1:23" x14ac:dyDescent="0.2">
      <c r="A40">
        <v>2011</v>
      </c>
      <c r="B40" s="20" t="s">
        <v>46</v>
      </c>
      <c r="C40" s="2">
        <v>40709</v>
      </c>
      <c r="D40">
        <v>32</v>
      </c>
      <c r="E40" s="9" t="s">
        <v>54</v>
      </c>
      <c r="F40" s="23" t="s">
        <v>250</v>
      </c>
      <c r="G40">
        <v>24</v>
      </c>
      <c r="H40">
        <v>20</v>
      </c>
      <c r="I40">
        <v>29</v>
      </c>
      <c r="K40">
        <v>7.76</v>
      </c>
      <c r="L40" s="10">
        <v>22</v>
      </c>
      <c r="M40" s="20" t="s">
        <v>58</v>
      </c>
      <c r="N40" s="20" t="s">
        <v>299</v>
      </c>
      <c r="O40" s="20">
        <v>33</v>
      </c>
      <c r="P40" s="20">
        <v>23</v>
      </c>
      <c r="Q40" s="20">
        <v>25</v>
      </c>
      <c r="S40">
        <v>7.74</v>
      </c>
      <c r="T40" s="10">
        <v>18</v>
      </c>
      <c r="U40">
        <v>32</v>
      </c>
      <c r="V40">
        <v>485</v>
      </c>
    </row>
    <row r="41" spans="1:23" x14ac:dyDescent="0.2">
      <c r="A41">
        <v>2011</v>
      </c>
      <c r="B41" s="20" t="s">
        <v>46</v>
      </c>
      <c r="C41" s="2">
        <v>40709</v>
      </c>
      <c r="D41">
        <v>32</v>
      </c>
      <c r="E41" s="9" t="s">
        <v>54</v>
      </c>
      <c r="F41" s="23" t="s">
        <v>253</v>
      </c>
      <c r="G41">
        <v>5</v>
      </c>
      <c r="H41">
        <v>4</v>
      </c>
      <c r="I41">
        <v>8</v>
      </c>
      <c r="K41">
        <v>8.8800000000000008</v>
      </c>
      <c r="L41" s="10">
        <v>40</v>
      </c>
      <c r="M41" s="20" t="s">
        <v>56</v>
      </c>
      <c r="N41" s="20" t="s">
        <v>300</v>
      </c>
      <c r="O41" s="20" t="s">
        <v>1</v>
      </c>
      <c r="P41" s="20" t="s">
        <v>1</v>
      </c>
      <c r="Q41" s="20" t="s">
        <v>1</v>
      </c>
      <c r="S41">
        <v>8.89</v>
      </c>
      <c r="T41" s="10">
        <v>40</v>
      </c>
      <c r="U41">
        <v>7</v>
      </c>
      <c r="V41">
        <v>486</v>
      </c>
      <c r="W41" s="28" t="s">
        <v>301</v>
      </c>
    </row>
    <row r="42" spans="1:23" x14ac:dyDescent="0.2">
      <c r="A42">
        <v>2011</v>
      </c>
      <c r="B42" s="20" t="s">
        <v>46</v>
      </c>
      <c r="C42" s="2">
        <v>40709</v>
      </c>
      <c r="D42">
        <v>32</v>
      </c>
      <c r="E42" s="9" t="s">
        <v>54</v>
      </c>
      <c r="F42" s="4" t="s">
        <v>257</v>
      </c>
      <c r="G42">
        <v>135</v>
      </c>
      <c r="H42">
        <v>116</v>
      </c>
      <c r="I42">
        <v>124</v>
      </c>
      <c r="K42">
        <v>13.07</v>
      </c>
      <c r="L42" s="10">
        <v>76</v>
      </c>
      <c r="M42" s="20" t="s">
        <v>68</v>
      </c>
      <c r="N42" s="20" t="s">
        <v>302</v>
      </c>
      <c r="O42" s="20">
        <v>42</v>
      </c>
      <c r="P42" s="20">
        <v>30</v>
      </c>
      <c r="Q42" s="20">
        <v>36</v>
      </c>
      <c r="S42">
        <v>12.85</v>
      </c>
      <c r="T42" s="10">
        <v>75</v>
      </c>
      <c r="U42">
        <v>33</v>
      </c>
      <c r="V42">
        <v>490</v>
      </c>
      <c r="W42" s="28" t="s">
        <v>303</v>
      </c>
    </row>
    <row r="43" spans="1:23" x14ac:dyDescent="0.2">
      <c r="A43">
        <v>2011</v>
      </c>
      <c r="B43" s="20" t="s">
        <v>46</v>
      </c>
      <c r="C43" s="2">
        <v>40709</v>
      </c>
      <c r="D43">
        <v>32</v>
      </c>
      <c r="E43" s="9" t="s">
        <v>54</v>
      </c>
      <c r="F43" s="4" t="s">
        <v>258</v>
      </c>
      <c r="G43">
        <v>56</v>
      </c>
      <c r="H43">
        <v>54</v>
      </c>
      <c r="I43">
        <v>100</v>
      </c>
      <c r="K43">
        <v>17.600000000000001</v>
      </c>
      <c r="L43" s="10">
        <v>129</v>
      </c>
      <c r="M43" s="20" t="s">
        <v>56</v>
      </c>
      <c r="N43" s="20" t="s">
        <v>304</v>
      </c>
      <c r="O43" s="20">
        <v>24</v>
      </c>
      <c r="P43" s="20">
        <v>20</v>
      </c>
      <c r="Q43" s="20">
        <v>33</v>
      </c>
      <c r="S43">
        <v>17.649999999999999</v>
      </c>
      <c r="T43" s="10">
        <v>131</v>
      </c>
      <c r="U43">
        <v>28</v>
      </c>
      <c r="V43">
        <v>492</v>
      </c>
      <c r="W43" s="28" t="s">
        <v>305</v>
      </c>
    </row>
    <row r="44" spans="1:23" x14ac:dyDescent="0.2">
      <c r="A44">
        <v>2011</v>
      </c>
      <c r="B44" s="20" t="s">
        <v>46</v>
      </c>
      <c r="C44" s="2">
        <v>40709</v>
      </c>
      <c r="D44">
        <v>32</v>
      </c>
      <c r="E44" s="9" t="s">
        <v>54</v>
      </c>
      <c r="F44" s="4" t="s">
        <v>262</v>
      </c>
      <c r="G44">
        <v>29</v>
      </c>
      <c r="H44">
        <v>16</v>
      </c>
      <c r="I44">
        <v>40</v>
      </c>
      <c r="K44">
        <v>11.23</v>
      </c>
      <c r="L44" s="10">
        <v>210</v>
      </c>
      <c r="M44" s="20" t="s">
        <v>56</v>
      </c>
      <c r="N44" s="20" t="s">
        <v>306</v>
      </c>
      <c r="O44" s="20">
        <v>7</v>
      </c>
      <c r="P44" s="20">
        <v>3</v>
      </c>
      <c r="Q44" s="20">
        <v>6</v>
      </c>
      <c r="S44">
        <v>16.309999999999999</v>
      </c>
      <c r="T44" s="10">
        <v>211</v>
      </c>
      <c r="U44">
        <v>14</v>
      </c>
      <c r="V44">
        <v>493</v>
      </c>
    </row>
    <row r="45" spans="1:23" x14ac:dyDescent="0.2">
      <c r="A45">
        <v>2011</v>
      </c>
      <c r="B45" s="20" t="s">
        <v>46</v>
      </c>
      <c r="C45" s="2">
        <v>40709</v>
      </c>
      <c r="D45">
        <v>32</v>
      </c>
      <c r="E45" s="9" t="s">
        <v>54</v>
      </c>
      <c r="F45" s="4" t="s">
        <v>264</v>
      </c>
      <c r="G45">
        <v>29</v>
      </c>
      <c r="H45">
        <v>27</v>
      </c>
      <c r="I45">
        <v>56</v>
      </c>
      <c r="K45">
        <v>12.61</v>
      </c>
      <c r="L45" s="10">
        <v>284</v>
      </c>
      <c r="M45" s="20" t="s">
        <v>74</v>
      </c>
      <c r="N45" s="20" t="s">
        <v>307</v>
      </c>
      <c r="O45" s="20">
        <v>26</v>
      </c>
      <c r="P45" s="20">
        <v>21</v>
      </c>
      <c r="Q45" s="20">
        <v>17</v>
      </c>
      <c r="S45">
        <v>12.98</v>
      </c>
      <c r="T45" s="10">
        <v>286</v>
      </c>
      <c r="U45">
        <v>43</v>
      </c>
      <c r="V45">
        <v>496</v>
      </c>
    </row>
    <row r="46" spans="1:23" x14ac:dyDescent="0.2">
      <c r="A46">
        <v>2011</v>
      </c>
      <c r="B46" s="20" t="s">
        <v>46</v>
      </c>
      <c r="C46" s="2">
        <v>40709</v>
      </c>
      <c r="D46">
        <v>32</v>
      </c>
      <c r="E46" s="9" t="s">
        <v>54</v>
      </c>
      <c r="F46" s="4" t="s">
        <v>266</v>
      </c>
      <c r="G46">
        <v>66</v>
      </c>
      <c r="H46">
        <v>53</v>
      </c>
      <c r="I46">
        <v>50</v>
      </c>
      <c r="K46">
        <v>14.68</v>
      </c>
      <c r="L46" s="10">
        <v>307</v>
      </c>
      <c r="M46" s="20" t="s">
        <v>81</v>
      </c>
      <c r="N46" s="20" t="s">
        <v>298</v>
      </c>
      <c r="O46" s="20">
        <v>14</v>
      </c>
      <c r="P46" s="20">
        <v>12</v>
      </c>
      <c r="Q46" s="20">
        <v>24</v>
      </c>
      <c r="S46">
        <v>14.8</v>
      </c>
      <c r="T46" s="10">
        <v>313</v>
      </c>
      <c r="U46">
        <v>67</v>
      </c>
      <c r="V46">
        <v>497</v>
      </c>
      <c r="W46" s="28" t="s">
        <v>308</v>
      </c>
    </row>
    <row r="47" spans="1:23" x14ac:dyDescent="0.2">
      <c r="A47">
        <v>2011</v>
      </c>
      <c r="B47" s="20" t="s">
        <v>46</v>
      </c>
      <c r="C47" s="2">
        <v>40709</v>
      </c>
      <c r="D47">
        <v>32</v>
      </c>
      <c r="E47" s="9" t="s">
        <v>49</v>
      </c>
      <c r="F47" s="23" t="s">
        <v>285</v>
      </c>
      <c r="G47">
        <v>18</v>
      </c>
      <c r="H47">
        <v>15</v>
      </c>
      <c r="I47">
        <v>19</v>
      </c>
      <c r="K47">
        <v>9.2899999999999991</v>
      </c>
      <c r="L47" s="10">
        <v>37</v>
      </c>
      <c r="M47" s="20" t="s">
        <v>56</v>
      </c>
      <c r="N47" s="20" t="s">
        <v>300</v>
      </c>
      <c r="O47" s="20" t="s">
        <v>1</v>
      </c>
      <c r="P47" s="20" t="s">
        <v>1</v>
      </c>
      <c r="Q47" s="20" t="s">
        <v>1</v>
      </c>
      <c r="S47">
        <v>8.89</v>
      </c>
      <c r="T47" s="10">
        <v>40</v>
      </c>
      <c r="U47">
        <v>42</v>
      </c>
      <c r="V47">
        <v>486</v>
      </c>
      <c r="W47" s="28" t="s">
        <v>309</v>
      </c>
    </row>
    <row r="48" spans="1:23" x14ac:dyDescent="0.2">
      <c r="A48">
        <v>2011</v>
      </c>
      <c r="B48" s="20" t="s">
        <v>46</v>
      </c>
      <c r="C48" s="2">
        <v>40709</v>
      </c>
      <c r="D48">
        <v>32</v>
      </c>
      <c r="E48" s="9" t="s">
        <v>49</v>
      </c>
      <c r="F48" s="23" t="s">
        <v>287</v>
      </c>
      <c r="G48">
        <v>55</v>
      </c>
      <c r="H48">
        <v>52</v>
      </c>
      <c r="I48">
        <v>111</v>
      </c>
      <c r="K48">
        <v>12.99</v>
      </c>
      <c r="L48" s="10">
        <v>53</v>
      </c>
      <c r="M48" s="20" t="s">
        <v>81</v>
      </c>
      <c r="N48" s="20" t="s">
        <v>310</v>
      </c>
      <c r="O48" s="20">
        <v>22</v>
      </c>
      <c r="P48" s="20">
        <v>19</v>
      </c>
      <c r="Q48" s="20">
        <v>49</v>
      </c>
      <c r="S48">
        <v>12.74</v>
      </c>
      <c r="T48" s="10">
        <v>54</v>
      </c>
      <c r="U48">
        <v>16</v>
      </c>
      <c r="V48">
        <v>487</v>
      </c>
    </row>
    <row r="49" spans="1:23" x14ac:dyDescent="0.2">
      <c r="A49">
        <v>2011</v>
      </c>
      <c r="B49" s="20" t="s">
        <v>46</v>
      </c>
      <c r="C49" s="2">
        <v>40709</v>
      </c>
      <c r="D49">
        <v>32</v>
      </c>
      <c r="E49" s="20" t="s">
        <v>48</v>
      </c>
      <c r="F49" s="23" t="s">
        <v>311</v>
      </c>
      <c r="G49">
        <v>37</v>
      </c>
      <c r="H49">
        <v>23</v>
      </c>
      <c r="I49">
        <v>63</v>
      </c>
      <c r="K49">
        <v>7.51</v>
      </c>
      <c r="L49" s="10">
        <v>20</v>
      </c>
      <c r="M49" s="20" t="s">
        <v>58</v>
      </c>
      <c r="N49" s="20" t="s">
        <v>299</v>
      </c>
      <c r="O49" s="20">
        <v>33</v>
      </c>
      <c r="P49" s="20">
        <v>23</v>
      </c>
      <c r="Q49" s="20">
        <v>25</v>
      </c>
      <c r="S49">
        <v>7.74</v>
      </c>
      <c r="T49" s="10">
        <v>18</v>
      </c>
      <c r="U49">
        <v>22</v>
      </c>
      <c r="V49">
        <v>485</v>
      </c>
      <c r="W49" s="28" t="s">
        <v>312</v>
      </c>
    </row>
    <row r="50" spans="1:23" x14ac:dyDescent="0.2">
      <c r="A50">
        <v>2011</v>
      </c>
      <c r="B50" s="20" t="s">
        <v>46</v>
      </c>
      <c r="C50" s="2">
        <v>40709</v>
      </c>
      <c r="D50">
        <v>32</v>
      </c>
      <c r="E50" s="9" t="s">
        <v>48</v>
      </c>
      <c r="F50" s="23" t="s">
        <v>313</v>
      </c>
      <c r="G50">
        <v>15</v>
      </c>
      <c r="H50">
        <v>10</v>
      </c>
      <c r="I50">
        <v>28</v>
      </c>
      <c r="K50">
        <v>8.73</v>
      </c>
      <c r="L50" s="10">
        <v>45</v>
      </c>
      <c r="M50" s="20" t="s">
        <v>56</v>
      </c>
      <c r="N50" s="20" t="s">
        <v>300</v>
      </c>
      <c r="O50" s="20" t="s">
        <v>1</v>
      </c>
      <c r="P50" s="20" t="s">
        <v>1</v>
      </c>
      <c r="Q50" s="20" t="s">
        <v>1</v>
      </c>
      <c r="S50">
        <v>8.89</v>
      </c>
      <c r="T50" s="10">
        <v>40</v>
      </c>
      <c r="U50">
        <v>32</v>
      </c>
      <c r="V50">
        <v>486</v>
      </c>
    </row>
    <row r="51" spans="1:23" x14ac:dyDescent="0.2">
      <c r="A51">
        <v>2011</v>
      </c>
      <c r="B51" s="20" t="s">
        <v>46</v>
      </c>
      <c r="C51" s="2">
        <v>40709</v>
      </c>
      <c r="D51">
        <v>32</v>
      </c>
      <c r="E51" s="9" t="s">
        <v>48</v>
      </c>
      <c r="F51" s="23" t="s">
        <v>314</v>
      </c>
      <c r="G51">
        <v>19</v>
      </c>
      <c r="H51">
        <v>14</v>
      </c>
      <c r="I51">
        <v>28</v>
      </c>
      <c r="K51">
        <v>12.24</v>
      </c>
      <c r="L51" s="10">
        <v>52</v>
      </c>
      <c r="M51" s="20" t="s">
        <v>81</v>
      </c>
      <c r="N51" s="20" t="s">
        <v>310</v>
      </c>
      <c r="O51" s="20">
        <v>22</v>
      </c>
      <c r="P51" s="20">
        <v>19</v>
      </c>
      <c r="Q51" s="20">
        <v>49</v>
      </c>
      <c r="S51">
        <v>12.74</v>
      </c>
      <c r="T51" s="10">
        <v>54</v>
      </c>
      <c r="U51">
        <v>75</v>
      </c>
      <c r="V51">
        <v>487</v>
      </c>
    </row>
    <row r="52" spans="1:23" x14ac:dyDescent="0.2">
      <c r="A52">
        <v>2011</v>
      </c>
      <c r="B52" s="20" t="s">
        <v>46</v>
      </c>
      <c r="C52" s="2">
        <v>40709</v>
      </c>
      <c r="D52">
        <v>32</v>
      </c>
      <c r="E52" s="9" t="s">
        <v>48</v>
      </c>
      <c r="F52" s="4" t="s">
        <v>315</v>
      </c>
      <c r="G52">
        <v>10</v>
      </c>
      <c r="H52">
        <v>7</v>
      </c>
      <c r="I52">
        <v>19</v>
      </c>
      <c r="K52">
        <v>12.58</v>
      </c>
      <c r="L52" s="10">
        <v>276</v>
      </c>
      <c r="M52" s="20" t="s">
        <v>47</v>
      </c>
      <c r="N52" s="20" t="s">
        <v>316</v>
      </c>
      <c r="O52" s="20">
        <v>44</v>
      </c>
      <c r="P52" s="20">
        <v>42</v>
      </c>
      <c r="Q52" s="20">
        <v>36</v>
      </c>
      <c r="S52">
        <v>12.64</v>
      </c>
      <c r="T52" s="10">
        <v>274</v>
      </c>
      <c r="U52">
        <v>19</v>
      </c>
      <c r="V52">
        <v>495</v>
      </c>
      <c r="W52" s="28" t="s">
        <v>317</v>
      </c>
    </row>
    <row r="53" spans="1:23" x14ac:dyDescent="0.2">
      <c r="A53">
        <v>2011</v>
      </c>
      <c r="B53" s="20" t="s">
        <v>46</v>
      </c>
      <c r="C53" s="2">
        <v>40709</v>
      </c>
      <c r="D53">
        <v>32</v>
      </c>
      <c r="E53" s="9" t="s">
        <v>48</v>
      </c>
      <c r="F53" s="4" t="s">
        <v>318</v>
      </c>
      <c r="G53" t="s">
        <v>1</v>
      </c>
      <c r="H53" t="s">
        <v>1</v>
      </c>
      <c r="I53" t="s">
        <v>1</v>
      </c>
      <c r="K53">
        <v>12.55</v>
      </c>
      <c r="L53" s="10">
        <v>283</v>
      </c>
      <c r="M53" s="20" t="s">
        <v>74</v>
      </c>
      <c r="N53" s="20" t="s">
        <v>307</v>
      </c>
      <c r="O53" s="20">
        <v>26</v>
      </c>
      <c r="P53" s="20">
        <v>21</v>
      </c>
      <c r="Q53" s="20">
        <v>17</v>
      </c>
      <c r="S53">
        <v>12.98</v>
      </c>
      <c r="T53" s="10">
        <v>286</v>
      </c>
      <c r="U53">
        <v>67</v>
      </c>
      <c r="V53">
        <v>496</v>
      </c>
      <c r="W53" s="28" t="s">
        <v>319</v>
      </c>
    </row>
    <row r="54" spans="1:23" x14ac:dyDescent="0.2">
      <c r="A54">
        <v>2011</v>
      </c>
      <c r="B54" s="20" t="s">
        <v>46</v>
      </c>
      <c r="C54" s="2">
        <v>40709</v>
      </c>
      <c r="D54">
        <v>32</v>
      </c>
      <c r="E54" s="9" t="s">
        <v>48</v>
      </c>
      <c r="F54" s="4" t="s">
        <v>320</v>
      </c>
      <c r="G54">
        <v>23</v>
      </c>
      <c r="H54">
        <v>23</v>
      </c>
      <c r="I54">
        <v>51</v>
      </c>
      <c r="K54">
        <v>14.87</v>
      </c>
      <c r="L54" s="10">
        <v>307</v>
      </c>
      <c r="M54" s="20" t="s">
        <v>81</v>
      </c>
      <c r="N54" s="20" t="s">
        <v>298</v>
      </c>
      <c r="O54" s="20">
        <v>14</v>
      </c>
      <c r="P54" s="20">
        <v>12</v>
      </c>
      <c r="Q54" s="20">
        <v>24</v>
      </c>
      <c r="S54">
        <v>14.8</v>
      </c>
      <c r="T54" s="10">
        <v>313</v>
      </c>
      <c r="U54">
        <v>72</v>
      </c>
      <c r="V54">
        <v>497</v>
      </c>
      <c r="W54" s="28" t="s">
        <v>321</v>
      </c>
    </row>
    <row r="55" spans="1:23" x14ac:dyDescent="0.2">
      <c r="A55">
        <v>2011</v>
      </c>
      <c r="B55" s="20" t="s">
        <v>46</v>
      </c>
      <c r="C55" s="2">
        <v>40758</v>
      </c>
      <c r="D55">
        <v>34</v>
      </c>
      <c r="E55" s="22" t="s">
        <v>63</v>
      </c>
      <c r="F55" s="23" t="s">
        <v>230</v>
      </c>
      <c r="G55" s="20">
        <v>150</v>
      </c>
      <c r="H55" s="20">
        <v>100</v>
      </c>
      <c r="I55" s="20">
        <v>80</v>
      </c>
      <c r="K55">
        <v>10.119999999999999</v>
      </c>
      <c r="L55" s="10">
        <v>300</v>
      </c>
      <c r="M55" s="20" t="s">
        <v>86</v>
      </c>
      <c r="N55" s="20" t="s">
        <v>322</v>
      </c>
      <c r="O55" s="20">
        <v>60</v>
      </c>
      <c r="P55" s="20">
        <v>54</v>
      </c>
      <c r="Q55" s="20">
        <v>50</v>
      </c>
      <c r="S55">
        <v>10.55</v>
      </c>
      <c r="T55" s="10">
        <v>295</v>
      </c>
      <c r="U55">
        <v>82</v>
      </c>
      <c r="V55" s="20">
        <v>1382</v>
      </c>
      <c r="W55" s="28" t="s">
        <v>323</v>
      </c>
    </row>
    <row r="56" spans="1:23" x14ac:dyDescent="0.2">
      <c r="A56">
        <v>2011</v>
      </c>
      <c r="B56" s="20" t="s">
        <v>46</v>
      </c>
      <c r="C56" s="2">
        <v>40758</v>
      </c>
      <c r="D56">
        <v>34</v>
      </c>
      <c r="E56" s="22" t="s">
        <v>72</v>
      </c>
      <c r="F56" s="23" t="s">
        <v>295</v>
      </c>
      <c r="G56" s="20">
        <v>84</v>
      </c>
      <c r="H56" s="20">
        <v>54</v>
      </c>
      <c r="I56" s="20">
        <v>31</v>
      </c>
      <c r="K56">
        <v>12.25</v>
      </c>
      <c r="L56" s="10">
        <v>210</v>
      </c>
      <c r="M56" s="20" t="s">
        <v>47</v>
      </c>
      <c r="N56" s="20" t="s">
        <v>324</v>
      </c>
      <c r="O56" s="20">
        <v>33</v>
      </c>
      <c r="P56" s="20">
        <v>27</v>
      </c>
      <c r="Q56" s="20">
        <v>20</v>
      </c>
      <c r="S56">
        <v>12.65</v>
      </c>
      <c r="T56" s="10">
        <v>211</v>
      </c>
      <c r="U56">
        <v>46</v>
      </c>
      <c r="V56" s="20">
        <v>1378</v>
      </c>
      <c r="W56" s="28" t="s">
        <v>325</v>
      </c>
    </row>
    <row r="57" spans="1:23" x14ac:dyDescent="0.2">
      <c r="A57">
        <v>2011</v>
      </c>
      <c r="B57" s="20" t="s">
        <v>46</v>
      </c>
      <c r="C57" s="2">
        <v>40758</v>
      </c>
      <c r="D57">
        <v>34</v>
      </c>
      <c r="E57" s="22" t="s">
        <v>54</v>
      </c>
      <c r="F57" s="23" t="s">
        <v>250</v>
      </c>
      <c r="G57" s="20">
        <v>7</v>
      </c>
      <c r="H57" s="20">
        <v>6</v>
      </c>
      <c r="I57" s="20">
        <v>17</v>
      </c>
      <c r="K57">
        <v>8.1199999999999992</v>
      </c>
      <c r="L57" s="10">
        <v>50</v>
      </c>
      <c r="M57" s="20" t="s">
        <v>81</v>
      </c>
      <c r="N57" s="20" t="s">
        <v>310</v>
      </c>
      <c r="O57" s="20">
        <v>10</v>
      </c>
      <c r="P57" s="20">
        <v>10</v>
      </c>
      <c r="Q57" s="20">
        <v>9</v>
      </c>
      <c r="S57">
        <v>8.09</v>
      </c>
      <c r="T57" s="10">
        <v>48</v>
      </c>
      <c r="U57">
        <v>23</v>
      </c>
      <c r="V57" s="20">
        <v>1375</v>
      </c>
      <c r="W57" s="28" t="s">
        <v>326</v>
      </c>
    </row>
    <row r="58" spans="1:23" x14ac:dyDescent="0.2">
      <c r="A58">
        <v>2011</v>
      </c>
      <c r="B58" s="20" t="s">
        <v>46</v>
      </c>
      <c r="C58" s="2">
        <v>40758</v>
      </c>
      <c r="D58">
        <v>34</v>
      </c>
      <c r="E58" s="22" t="s">
        <v>54</v>
      </c>
      <c r="F58" s="23" t="s">
        <v>253</v>
      </c>
      <c r="G58" s="20">
        <v>24</v>
      </c>
      <c r="H58" s="20">
        <v>14</v>
      </c>
      <c r="I58" s="20">
        <v>44</v>
      </c>
      <c r="K58">
        <v>8.92</v>
      </c>
      <c r="L58" s="10">
        <v>89</v>
      </c>
      <c r="M58" s="20" t="s">
        <v>47</v>
      </c>
      <c r="N58" s="20" t="s">
        <v>327</v>
      </c>
      <c r="O58" s="20">
        <v>17</v>
      </c>
      <c r="P58" s="20">
        <v>14</v>
      </c>
      <c r="Q58" s="20">
        <v>15</v>
      </c>
      <c r="S58">
        <v>9.84</v>
      </c>
      <c r="T58" s="10">
        <v>86</v>
      </c>
      <c r="U58">
        <v>100</v>
      </c>
      <c r="V58" s="20">
        <v>1376</v>
      </c>
    </row>
    <row r="59" spans="1:23" x14ac:dyDescent="0.2">
      <c r="A59">
        <v>2011</v>
      </c>
      <c r="B59" s="20" t="s">
        <v>46</v>
      </c>
      <c r="C59" s="2">
        <v>40758</v>
      </c>
      <c r="D59">
        <v>34</v>
      </c>
      <c r="E59" s="22" t="s">
        <v>54</v>
      </c>
      <c r="F59" s="23" t="s">
        <v>257</v>
      </c>
      <c r="G59" s="20">
        <v>28</v>
      </c>
      <c r="H59" s="20">
        <v>18</v>
      </c>
      <c r="I59" s="20">
        <v>21</v>
      </c>
      <c r="K59">
        <v>15.58</v>
      </c>
      <c r="L59" s="10">
        <v>184</v>
      </c>
      <c r="M59" s="20" t="s">
        <v>86</v>
      </c>
      <c r="N59" s="20" t="s">
        <v>328</v>
      </c>
      <c r="O59" s="20">
        <v>18</v>
      </c>
      <c r="P59" s="20">
        <v>12</v>
      </c>
      <c r="Q59" s="20">
        <v>18</v>
      </c>
      <c r="S59">
        <v>15.66</v>
      </c>
      <c r="T59" s="10">
        <v>183</v>
      </c>
      <c r="U59">
        <v>22</v>
      </c>
      <c r="V59" s="20">
        <v>1377</v>
      </c>
      <c r="W59" s="28" t="s">
        <v>329</v>
      </c>
    </row>
    <row r="60" spans="1:23" x14ac:dyDescent="0.2">
      <c r="A60">
        <v>2011</v>
      </c>
      <c r="B60" s="20" t="s">
        <v>46</v>
      </c>
      <c r="C60" s="2">
        <v>40758</v>
      </c>
      <c r="D60">
        <v>34</v>
      </c>
      <c r="E60" s="22" t="s">
        <v>54</v>
      </c>
      <c r="F60" s="23" t="s">
        <v>258</v>
      </c>
      <c r="G60" s="20">
        <v>14</v>
      </c>
      <c r="H60" s="20">
        <v>10</v>
      </c>
      <c r="I60" s="20">
        <v>14</v>
      </c>
      <c r="K60">
        <v>16.05</v>
      </c>
      <c r="L60" s="10">
        <v>274</v>
      </c>
      <c r="M60" s="20" t="s">
        <v>47</v>
      </c>
      <c r="N60" s="20" t="s">
        <v>330</v>
      </c>
      <c r="O60" s="20">
        <v>33</v>
      </c>
      <c r="P60" s="20">
        <v>33</v>
      </c>
      <c r="Q60" s="20">
        <v>22</v>
      </c>
      <c r="S60">
        <v>16.07</v>
      </c>
      <c r="T60" s="10">
        <v>274</v>
      </c>
      <c r="U60">
        <v>56</v>
      </c>
      <c r="V60" s="20">
        <v>1380</v>
      </c>
      <c r="W60" s="28" t="s">
        <v>331</v>
      </c>
    </row>
    <row r="61" spans="1:23" x14ac:dyDescent="0.2">
      <c r="A61">
        <v>2011</v>
      </c>
      <c r="B61" s="20" t="s">
        <v>46</v>
      </c>
      <c r="C61" s="2">
        <v>40758</v>
      </c>
      <c r="D61">
        <v>34</v>
      </c>
      <c r="E61" s="22" t="s">
        <v>54</v>
      </c>
      <c r="F61" s="23" t="s">
        <v>262</v>
      </c>
      <c r="G61" s="20">
        <v>62</v>
      </c>
      <c r="H61" s="20">
        <v>33</v>
      </c>
      <c r="I61" s="20">
        <v>56</v>
      </c>
      <c r="K61">
        <v>11.97</v>
      </c>
      <c r="L61" s="10">
        <v>282</v>
      </c>
      <c r="M61" s="20" t="s">
        <v>81</v>
      </c>
      <c r="N61" s="20" t="s">
        <v>332</v>
      </c>
      <c r="O61" s="20">
        <v>15</v>
      </c>
      <c r="P61" s="20">
        <v>12</v>
      </c>
      <c r="Q61" s="20">
        <v>14</v>
      </c>
      <c r="S61">
        <v>12.38</v>
      </c>
      <c r="T61" s="10">
        <v>283</v>
      </c>
      <c r="U61">
        <v>46</v>
      </c>
      <c r="V61" s="20">
        <v>1381</v>
      </c>
    </row>
    <row r="62" spans="1:23" x14ac:dyDescent="0.2">
      <c r="A62">
        <v>2011</v>
      </c>
      <c r="B62" s="20" t="s">
        <v>46</v>
      </c>
      <c r="C62" s="2">
        <v>40758</v>
      </c>
      <c r="D62">
        <v>34</v>
      </c>
      <c r="E62" s="22" t="s">
        <v>54</v>
      </c>
      <c r="F62" s="23" t="s">
        <v>264</v>
      </c>
      <c r="G62" s="20">
        <v>57</v>
      </c>
      <c r="H62" s="20">
        <v>22</v>
      </c>
      <c r="I62" s="20">
        <v>42</v>
      </c>
      <c r="K62">
        <v>16.71</v>
      </c>
      <c r="L62" s="10">
        <v>350</v>
      </c>
      <c r="M62" s="20" t="s">
        <v>47</v>
      </c>
      <c r="N62" s="20" t="s">
        <v>333</v>
      </c>
      <c r="O62" s="20">
        <v>23</v>
      </c>
      <c r="P62" s="20">
        <v>22</v>
      </c>
      <c r="Q62" s="20">
        <v>27</v>
      </c>
      <c r="S62">
        <v>17.010000000000002</v>
      </c>
      <c r="T62" s="10">
        <v>353</v>
      </c>
      <c r="U62">
        <v>60</v>
      </c>
      <c r="V62" s="20">
        <v>1383</v>
      </c>
      <c r="W62" s="28" t="s">
        <v>334</v>
      </c>
    </row>
    <row r="63" spans="1:23" x14ac:dyDescent="0.2">
      <c r="A63">
        <v>2011</v>
      </c>
      <c r="B63" s="20" t="s">
        <v>46</v>
      </c>
      <c r="C63" s="2">
        <v>40758</v>
      </c>
      <c r="D63">
        <v>34</v>
      </c>
      <c r="E63" s="22" t="s">
        <v>49</v>
      </c>
      <c r="F63" s="23" t="s">
        <v>285</v>
      </c>
      <c r="G63" s="20">
        <v>15</v>
      </c>
      <c r="H63" s="20">
        <v>11</v>
      </c>
      <c r="I63" s="20">
        <v>17</v>
      </c>
      <c r="K63">
        <v>9.4700000000000006</v>
      </c>
      <c r="L63" s="10">
        <v>87</v>
      </c>
      <c r="M63" s="20" t="s">
        <v>47</v>
      </c>
      <c r="N63" s="20" t="s">
        <v>327</v>
      </c>
      <c r="O63" s="20">
        <v>17</v>
      </c>
      <c r="P63" s="20">
        <v>14</v>
      </c>
      <c r="Q63" s="20">
        <v>15</v>
      </c>
      <c r="S63">
        <v>9.84</v>
      </c>
      <c r="T63" s="10">
        <v>86</v>
      </c>
      <c r="U63">
        <v>55</v>
      </c>
      <c r="V63" s="20">
        <v>1376</v>
      </c>
    </row>
    <row r="64" spans="1:23" x14ac:dyDescent="0.2">
      <c r="A64">
        <v>2011</v>
      </c>
      <c r="B64" s="20" t="s">
        <v>46</v>
      </c>
      <c r="C64" s="2">
        <v>40758</v>
      </c>
      <c r="D64">
        <v>34</v>
      </c>
      <c r="E64" s="22" t="s">
        <v>49</v>
      </c>
      <c r="F64" s="23" t="s">
        <v>287</v>
      </c>
      <c r="G64" s="20">
        <v>20</v>
      </c>
      <c r="H64" s="20">
        <v>12</v>
      </c>
      <c r="I64" s="20">
        <v>26</v>
      </c>
      <c r="K64">
        <v>16.350000000000001</v>
      </c>
      <c r="L64" s="10">
        <v>276</v>
      </c>
      <c r="M64" s="20" t="s">
        <v>47</v>
      </c>
      <c r="N64" s="20" t="s">
        <v>330</v>
      </c>
      <c r="O64" s="20">
        <v>33</v>
      </c>
      <c r="P64" s="20">
        <v>33</v>
      </c>
      <c r="Q64" s="20">
        <v>22</v>
      </c>
      <c r="S64">
        <v>16.07</v>
      </c>
      <c r="T64" s="10">
        <v>274</v>
      </c>
      <c r="U64">
        <v>44</v>
      </c>
      <c r="V64" s="20">
        <v>1380</v>
      </c>
      <c r="W64" s="28" t="s">
        <v>335</v>
      </c>
    </row>
    <row r="65" spans="1:23" x14ac:dyDescent="0.2">
      <c r="A65">
        <v>2011</v>
      </c>
      <c r="B65" s="20" t="s">
        <v>46</v>
      </c>
      <c r="C65" s="2">
        <v>40758</v>
      </c>
      <c r="D65">
        <v>34</v>
      </c>
      <c r="E65" s="22" t="s">
        <v>48</v>
      </c>
      <c r="F65" s="23" t="s">
        <v>311</v>
      </c>
      <c r="G65" s="20">
        <v>12</v>
      </c>
      <c r="H65" s="20">
        <v>11</v>
      </c>
      <c r="I65" s="20">
        <v>23</v>
      </c>
      <c r="K65">
        <v>13.67</v>
      </c>
      <c r="L65" s="10">
        <v>36</v>
      </c>
      <c r="M65" s="20" t="s">
        <v>47</v>
      </c>
      <c r="N65" s="20" t="s">
        <v>316</v>
      </c>
      <c r="O65" s="20" t="s">
        <v>1</v>
      </c>
      <c r="P65" s="20" t="s">
        <v>1</v>
      </c>
      <c r="Q65" s="20" t="s">
        <v>1</v>
      </c>
      <c r="S65">
        <v>13.82</v>
      </c>
      <c r="T65" s="10">
        <v>37</v>
      </c>
      <c r="U65">
        <v>22</v>
      </c>
      <c r="V65" s="20">
        <v>1374</v>
      </c>
      <c r="W65" s="28" t="s">
        <v>336</v>
      </c>
    </row>
    <row r="66" spans="1:23" x14ac:dyDescent="0.2">
      <c r="A66">
        <v>2011</v>
      </c>
      <c r="B66" s="20" t="s">
        <v>46</v>
      </c>
      <c r="C66" s="2">
        <v>40758</v>
      </c>
      <c r="D66">
        <v>34</v>
      </c>
      <c r="E66" s="22" t="s">
        <v>48</v>
      </c>
      <c r="F66" s="23" t="s">
        <v>313</v>
      </c>
      <c r="G66" s="20">
        <v>15</v>
      </c>
      <c r="H66" s="20">
        <v>14</v>
      </c>
      <c r="I66" s="20">
        <v>24</v>
      </c>
      <c r="K66">
        <v>9.32</v>
      </c>
      <c r="L66" s="10">
        <v>85</v>
      </c>
      <c r="M66" s="20" t="s">
        <v>47</v>
      </c>
      <c r="N66" s="20" t="s">
        <v>327</v>
      </c>
      <c r="O66" s="20">
        <v>17</v>
      </c>
      <c r="P66" s="20">
        <v>14</v>
      </c>
      <c r="Q66" s="20">
        <v>15</v>
      </c>
      <c r="S66">
        <v>9.84</v>
      </c>
      <c r="T66" s="10">
        <v>86</v>
      </c>
      <c r="U66">
        <v>48</v>
      </c>
      <c r="V66" s="20">
        <v>1376</v>
      </c>
      <c r="W66" s="28" t="s">
        <v>337</v>
      </c>
    </row>
    <row r="67" spans="1:23" x14ac:dyDescent="0.2">
      <c r="A67">
        <v>2011</v>
      </c>
      <c r="B67" s="20" t="s">
        <v>46</v>
      </c>
      <c r="C67" s="2">
        <v>40758</v>
      </c>
      <c r="D67">
        <v>34</v>
      </c>
      <c r="E67" s="22" t="s">
        <v>48</v>
      </c>
      <c r="F67" s="23" t="s">
        <v>314</v>
      </c>
      <c r="G67" s="20">
        <v>4</v>
      </c>
      <c r="H67" s="20">
        <v>4</v>
      </c>
      <c r="I67" s="20">
        <v>10</v>
      </c>
      <c r="K67">
        <v>8.6</v>
      </c>
      <c r="L67" s="10">
        <v>246</v>
      </c>
      <c r="M67" s="20" t="s">
        <v>47</v>
      </c>
      <c r="N67" s="20" t="s">
        <v>338</v>
      </c>
      <c r="O67" s="20" t="s">
        <v>1</v>
      </c>
      <c r="P67" s="20" t="s">
        <v>1</v>
      </c>
      <c r="Q67" s="20" t="s">
        <v>1</v>
      </c>
      <c r="S67">
        <v>8.73</v>
      </c>
      <c r="T67" s="10">
        <v>246</v>
      </c>
      <c r="U67">
        <v>13</v>
      </c>
      <c r="V67" s="20">
        <v>1379</v>
      </c>
      <c r="W67" s="28" t="s">
        <v>339</v>
      </c>
    </row>
    <row r="68" spans="1:23" x14ac:dyDescent="0.2">
      <c r="A68">
        <v>2011</v>
      </c>
      <c r="B68" s="20" t="s">
        <v>46</v>
      </c>
      <c r="C68" s="2">
        <v>40738</v>
      </c>
      <c r="D68">
        <v>39</v>
      </c>
      <c r="E68" s="22" t="s">
        <v>63</v>
      </c>
      <c r="F68" s="23" t="s">
        <v>230</v>
      </c>
      <c r="G68">
        <v>150</v>
      </c>
      <c r="H68">
        <v>150</v>
      </c>
      <c r="I68">
        <v>115</v>
      </c>
      <c r="K68">
        <v>13.11</v>
      </c>
      <c r="L68" s="10">
        <v>327</v>
      </c>
      <c r="M68" s="20" t="s">
        <v>81</v>
      </c>
      <c r="N68" s="20" t="s">
        <v>310</v>
      </c>
      <c r="O68" s="20" t="s">
        <v>1</v>
      </c>
      <c r="P68" s="20" t="s">
        <v>1</v>
      </c>
      <c r="Q68" s="20" t="s">
        <v>1</v>
      </c>
      <c r="S68">
        <v>12.53</v>
      </c>
      <c r="T68" s="10">
        <v>326</v>
      </c>
      <c r="U68">
        <v>63</v>
      </c>
      <c r="V68">
        <v>962</v>
      </c>
      <c r="W68" s="28" t="s">
        <v>340</v>
      </c>
    </row>
    <row r="69" spans="1:23" x14ac:dyDescent="0.2">
      <c r="A69">
        <v>2011</v>
      </c>
      <c r="B69" s="20" t="s">
        <v>46</v>
      </c>
      <c r="C69" s="2">
        <v>40738</v>
      </c>
      <c r="D69">
        <v>39</v>
      </c>
      <c r="E69" s="22" t="s">
        <v>72</v>
      </c>
      <c r="F69" s="23" t="s">
        <v>242</v>
      </c>
      <c r="G69" s="20" t="s">
        <v>1</v>
      </c>
      <c r="H69" s="20" t="s">
        <v>1</v>
      </c>
      <c r="I69" s="20" t="s">
        <v>1</v>
      </c>
      <c r="K69">
        <v>12.6</v>
      </c>
      <c r="L69" s="10">
        <v>0</v>
      </c>
      <c r="M69" s="20" t="s">
        <v>92</v>
      </c>
      <c r="N69" s="20" t="s">
        <v>341</v>
      </c>
      <c r="O69" s="20" t="s">
        <v>1</v>
      </c>
      <c r="P69" s="20" t="s">
        <v>1</v>
      </c>
      <c r="Q69" s="20" t="s">
        <v>1</v>
      </c>
      <c r="S69">
        <v>12.13</v>
      </c>
      <c r="T69" s="10">
        <v>356</v>
      </c>
      <c r="U69">
        <v>79</v>
      </c>
      <c r="V69">
        <v>957</v>
      </c>
      <c r="W69" s="28" t="s">
        <v>342</v>
      </c>
    </row>
    <row r="70" spans="1:23" x14ac:dyDescent="0.2">
      <c r="A70">
        <v>2011</v>
      </c>
      <c r="B70" s="20" t="s">
        <v>46</v>
      </c>
      <c r="C70" s="2">
        <v>40738</v>
      </c>
      <c r="D70">
        <v>39</v>
      </c>
      <c r="E70" s="22" t="s">
        <v>72</v>
      </c>
      <c r="F70" s="23" t="s">
        <v>242</v>
      </c>
      <c r="G70" s="20" t="s">
        <v>1</v>
      </c>
      <c r="H70" s="20" t="s">
        <v>1</v>
      </c>
      <c r="I70" s="20" t="s">
        <v>1</v>
      </c>
      <c r="J70" s="20"/>
      <c r="K70">
        <v>12.6</v>
      </c>
      <c r="L70" s="10">
        <v>0</v>
      </c>
      <c r="M70" s="20" t="s">
        <v>77</v>
      </c>
      <c r="N70" s="20" t="s">
        <v>343</v>
      </c>
      <c r="O70" s="20">
        <v>32</v>
      </c>
      <c r="P70" s="20">
        <v>20</v>
      </c>
      <c r="Q70" s="20">
        <v>124</v>
      </c>
      <c r="S70">
        <v>12.13</v>
      </c>
      <c r="T70" s="10">
        <v>356</v>
      </c>
      <c r="U70">
        <v>79</v>
      </c>
      <c r="V70">
        <v>957</v>
      </c>
      <c r="W70" s="28" t="s">
        <v>344</v>
      </c>
    </row>
    <row r="71" spans="1:23" x14ac:dyDescent="0.2">
      <c r="A71">
        <v>2011</v>
      </c>
      <c r="B71" s="20" t="s">
        <v>46</v>
      </c>
      <c r="C71" s="2">
        <v>40738</v>
      </c>
      <c r="D71">
        <v>39</v>
      </c>
      <c r="E71" s="22" t="s">
        <v>54</v>
      </c>
      <c r="F71" s="23" t="s">
        <v>250</v>
      </c>
      <c r="G71">
        <v>2</v>
      </c>
      <c r="H71">
        <v>2</v>
      </c>
      <c r="I71">
        <v>4</v>
      </c>
      <c r="K71">
        <v>9.6</v>
      </c>
      <c r="L71" s="10">
        <v>10</v>
      </c>
      <c r="M71" s="20" t="s">
        <v>47</v>
      </c>
      <c r="N71" s="20" t="s">
        <v>316</v>
      </c>
      <c r="O71" s="20">
        <v>32</v>
      </c>
      <c r="P71" s="20">
        <v>18</v>
      </c>
      <c r="Q71" s="20">
        <v>63</v>
      </c>
      <c r="S71">
        <v>9.25</v>
      </c>
      <c r="T71" s="10">
        <v>13</v>
      </c>
      <c r="U71">
        <v>56</v>
      </c>
      <c r="V71">
        <v>959</v>
      </c>
      <c r="W71" s="28" t="s">
        <v>345</v>
      </c>
    </row>
    <row r="72" spans="1:23" x14ac:dyDescent="0.2">
      <c r="A72">
        <v>2011</v>
      </c>
      <c r="B72" s="20" t="s">
        <v>46</v>
      </c>
      <c r="C72" s="2">
        <v>40738</v>
      </c>
      <c r="D72">
        <v>39</v>
      </c>
      <c r="E72" s="22" t="s">
        <v>54</v>
      </c>
      <c r="F72" s="23" t="s">
        <v>253</v>
      </c>
      <c r="G72" s="20">
        <v>62</v>
      </c>
      <c r="H72" s="20">
        <v>50</v>
      </c>
      <c r="I72" s="20">
        <v>78</v>
      </c>
      <c r="K72">
        <v>10.44</v>
      </c>
      <c r="L72" s="10">
        <v>0</v>
      </c>
      <c r="M72" s="20" t="s">
        <v>83</v>
      </c>
      <c r="N72" s="20" t="s">
        <v>231</v>
      </c>
      <c r="O72" s="20" t="s">
        <v>1</v>
      </c>
      <c r="P72" s="20" t="s">
        <v>1</v>
      </c>
      <c r="Q72" s="20" t="s">
        <v>1</v>
      </c>
      <c r="S72">
        <v>9.2100000000000009</v>
      </c>
      <c r="T72" s="10">
        <v>0</v>
      </c>
      <c r="U72">
        <v>28</v>
      </c>
      <c r="V72">
        <v>958</v>
      </c>
      <c r="W72" s="28" t="s">
        <v>346</v>
      </c>
    </row>
    <row r="73" spans="1:23" x14ac:dyDescent="0.2">
      <c r="A73">
        <v>2011</v>
      </c>
      <c r="B73" s="20" t="s">
        <v>46</v>
      </c>
      <c r="C73" s="2">
        <v>40738</v>
      </c>
      <c r="D73">
        <v>39</v>
      </c>
      <c r="E73" s="22" t="s">
        <v>49</v>
      </c>
      <c r="F73" s="23" t="s">
        <v>287</v>
      </c>
      <c r="G73">
        <v>83</v>
      </c>
      <c r="H73">
        <v>44</v>
      </c>
      <c r="I73">
        <v>152</v>
      </c>
      <c r="K73">
        <v>11.2</v>
      </c>
      <c r="L73" s="10">
        <v>294</v>
      </c>
      <c r="M73" s="20" t="s">
        <v>86</v>
      </c>
      <c r="N73" s="20" t="s">
        <v>347</v>
      </c>
      <c r="O73" s="20">
        <v>38</v>
      </c>
      <c r="P73" s="20">
        <v>29</v>
      </c>
      <c r="Q73" s="20">
        <v>90</v>
      </c>
      <c r="S73">
        <v>11.4</v>
      </c>
      <c r="T73" s="10">
        <v>292</v>
      </c>
      <c r="U73">
        <v>28</v>
      </c>
      <c r="V73">
        <v>960</v>
      </c>
    </row>
    <row r="74" spans="1:23" x14ac:dyDescent="0.2">
      <c r="A74">
        <v>2011</v>
      </c>
      <c r="B74" s="20" t="s">
        <v>46</v>
      </c>
      <c r="C74" s="2">
        <v>40738</v>
      </c>
      <c r="D74">
        <v>39</v>
      </c>
      <c r="E74" s="22" t="s">
        <v>49</v>
      </c>
      <c r="F74" s="23" t="s">
        <v>288</v>
      </c>
      <c r="G74" s="20">
        <v>12</v>
      </c>
      <c r="H74" s="20">
        <v>10</v>
      </c>
      <c r="I74" s="20">
        <v>20</v>
      </c>
      <c r="K74">
        <v>8.77</v>
      </c>
      <c r="L74" s="10">
        <v>1</v>
      </c>
      <c r="M74" s="20" t="s">
        <v>86</v>
      </c>
      <c r="N74" s="20" t="s">
        <v>348</v>
      </c>
      <c r="O74" s="20">
        <v>17</v>
      </c>
      <c r="P74" s="20">
        <v>14</v>
      </c>
      <c r="Q74" s="20">
        <v>28</v>
      </c>
      <c r="S74">
        <v>9.07</v>
      </c>
      <c r="T74" s="10">
        <v>358</v>
      </c>
      <c r="U74">
        <v>25</v>
      </c>
      <c r="V74">
        <v>953</v>
      </c>
    </row>
    <row r="75" spans="1:23" x14ac:dyDescent="0.2">
      <c r="A75">
        <v>2011</v>
      </c>
      <c r="B75" s="20" t="s">
        <v>46</v>
      </c>
      <c r="C75" s="2">
        <v>40738</v>
      </c>
      <c r="D75">
        <v>39</v>
      </c>
      <c r="E75" s="22" t="s">
        <v>49</v>
      </c>
      <c r="F75" s="23" t="s">
        <v>349</v>
      </c>
      <c r="G75" s="20" t="s">
        <v>1</v>
      </c>
      <c r="H75" s="20" t="s">
        <v>1</v>
      </c>
      <c r="I75" s="20" t="s">
        <v>1</v>
      </c>
      <c r="K75">
        <v>12.9</v>
      </c>
      <c r="L75" s="10">
        <v>4</v>
      </c>
      <c r="M75" s="20" t="s">
        <v>92</v>
      </c>
      <c r="N75" s="20" t="s">
        <v>341</v>
      </c>
      <c r="O75" s="20" t="s">
        <v>1</v>
      </c>
      <c r="P75" s="20" t="s">
        <v>1</v>
      </c>
      <c r="Q75" s="20" t="s">
        <v>1</v>
      </c>
      <c r="S75">
        <v>12.13</v>
      </c>
      <c r="T75" s="10">
        <v>356</v>
      </c>
      <c r="U75">
        <v>159</v>
      </c>
      <c r="V75">
        <v>957</v>
      </c>
      <c r="W75" s="28" t="s">
        <v>350</v>
      </c>
    </row>
    <row r="76" spans="1:23" x14ac:dyDescent="0.2">
      <c r="A76">
        <v>2011</v>
      </c>
      <c r="B76" s="20" t="s">
        <v>46</v>
      </c>
      <c r="C76" s="2">
        <v>40738</v>
      </c>
      <c r="D76">
        <v>39</v>
      </c>
      <c r="E76" s="22" t="s">
        <v>48</v>
      </c>
      <c r="F76" s="23" t="s">
        <v>311</v>
      </c>
      <c r="G76">
        <v>21</v>
      </c>
      <c r="H76">
        <v>20</v>
      </c>
      <c r="I76">
        <v>67</v>
      </c>
      <c r="K76">
        <v>9.19</v>
      </c>
      <c r="L76" s="10">
        <v>9</v>
      </c>
      <c r="M76" s="20" t="s">
        <v>47</v>
      </c>
      <c r="N76" s="20" t="s">
        <v>316</v>
      </c>
      <c r="O76" s="20">
        <v>32</v>
      </c>
      <c r="P76" s="20">
        <v>18</v>
      </c>
      <c r="Q76" s="20">
        <v>63</v>
      </c>
      <c r="S76">
        <v>9.25</v>
      </c>
      <c r="T76" s="10">
        <v>13</v>
      </c>
      <c r="U76">
        <v>23</v>
      </c>
      <c r="V76">
        <v>959</v>
      </c>
      <c r="W76" s="28" t="s">
        <v>351</v>
      </c>
    </row>
    <row r="77" spans="1:23" x14ac:dyDescent="0.2">
      <c r="A77">
        <v>2011</v>
      </c>
      <c r="B77" s="20" t="s">
        <v>46</v>
      </c>
      <c r="C77" s="2">
        <v>40738</v>
      </c>
      <c r="D77">
        <v>39</v>
      </c>
      <c r="E77" s="22" t="s">
        <v>48</v>
      </c>
      <c r="F77" s="23" t="s">
        <v>314</v>
      </c>
      <c r="G77">
        <v>25</v>
      </c>
      <c r="H77">
        <v>20</v>
      </c>
      <c r="I77">
        <v>60</v>
      </c>
      <c r="K77">
        <v>12.63</v>
      </c>
      <c r="L77" s="10">
        <v>331</v>
      </c>
      <c r="M77" s="20" t="s">
        <v>81</v>
      </c>
      <c r="N77" s="20" t="s">
        <v>310</v>
      </c>
      <c r="O77" s="20" t="s">
        <v>1</v>
      </c>
      <c r="P77" s="20" t="s">
        <v>1</v>
      </c>
      <c r="Q77" s="20" t="s">
        <v>1</v>
      </c>
      <c r="S77">
        <v>12.53</v>
      </c>
      <c r="T77" s="10">
        <v>326</v>
      </c>
      <c r="U77">
        <v>56</v>
      </c>
      <c r="V77">
        <v>962</v>
      </c>
    </row>
    <row r="78" spans="1:23" x14ac:dyDescent="0.2">
      <c r="A78">
        <v>2011</v>
      </c>
      <c r="B78" s="20" t="s">
        <v>46</v>
      </c>
      <c r="C78" s="2">
        <v>40738</v>
      </c>
      <c r="D78">
        <v>39</v>
      </c>
      <c r="E78" s="22" t="s">
        <v>48</v>
      </c>
      <c r="F78" s="32" t="s">
        <v>352</v>
      </c>
      <c r="G78">
        <v>43</v>
      </c>
      <c r="H78">
        <v>30</v>
      </c>
      <c r="I78">
        <v>64</v>
      </c>
      <c r="K78">
        <v>10.53</v>
      </c>
      <c r="L78" s="10">
        <v>301</v>
      </c>
      <c r="M78" s="20" t="s">
        <v>86</v>
      </c>
      <c r="N78" s="20" t="s">
        <v>322</v>
      </c>
      <c r="O78" s="20">
        <v>67</v>
      </c>
      <c r="P78" s="20">
        <v>53</v>
      </c>
      <c r="Q78" s="20">
        <v>85</v>
      </c>
      <c r="S78">
        <v>9.64</v>
      </c>
      <c r="T78" s="10">
        <v>306</v>
      </c>
      <c r="U78">
        <v>92</v>
      </c>
      <c r="V78">
        <v>961</v>
      </c>
    </row>
    <row r="79" spans="1:23" x14ac:dyDescent="0.2">
      <c r="A79">
        <v>2011</v>
      </c>
      <c r="B79" s="20" t="s">
        <v>46</v>
      </c>
      <c r="C79" s="2">
        <v>40758</v>
      </c>
      <c r="D79">
        <v>124</v>
      </c>
      <c r="E79" s="22" t="s">
        <v>48</v>
      </c>
      <c r="F79" s="23" t="s">
        <v>311</v>
      </c>
      <c r="G79" s="20" t="s">
        <v>1</v>
      </c>
      <c r="H79" s="20" t="s">
        <v>1</v>
      </c>
      <c r="I79" s="20" t="s">
        <v>1</v>
      </c>
      <c r="K79">
        <v>18.09</v>
      </c>
      <c r="L79" s="10">
        <v>80</v>
      </c>
      <c r="M79" s="20" t="s">
        <v>56</v>
      </c>
      <c r="N79" s="20" t="s">
        <v>300</v>
      </c>
      <c r="O79" s="20" t="s">
        <v>1</v>
      </c>
      <c r="P79" s="20" t="s">
        <v>1</v>
      </c>
      <c r="Q79" s="20" t="s">
        <v>1</v>
      </c>
      <c r="S79">
        <v>18.04</v>
      </c>
      <c r="T79" s="10">
        <v>79</v>
      </c>
      <c r="U79">
        <v>5</v>
      </c>
      <c r="V79" s="20" t="s">
        <v>1</v>
      </c>
      <c r="W79" s="28" t="s">
        <v>353</v>
      </c>
    </row>
    <row r="80" spans="1:23" x14ac:dyDescent="0.2">
      <c r="B80" s="20"/>
      <c r="E80" s="22"/>
      <c r="F80" s="23"/>
      <c r="G80" s="20"/>
      <c r="H80" s="20"/>
      <c r="I80" s="20"/>
      <c r="M80" s="20"/>
      <c r="N80" s="20"/>
      <c r="O80" s="20"/>
      <c r="P80" s="20"/>
      <c r="Q80" s="20"/>
      <c r="V80" s="20"/>
    </row>
    <row r="81" spans="2:22" x14ac:dyDescent="0.2">
      <c r="B81" s="20"/>
      <c r="E81" s="22"/>
      <c r="F81" s="23"/>
      <c r="G81" s="20"/>
      <c r="H81" s="20"/>
      <c r="I81" s="20"/>
      <c r="M81" s="20"/>
      <c r="N81" s="20"/>
      <c r="O81" s="20"/>
      <c r="P81" s="20"/>
      <c r="Q81" s="20"/>
      <c r="V81" s="20"/>
    </row>
    <row r="82" spans="2:22" x14ac:dyDescent="0.2">
      <c r="B82" s="20"/>
    </row>
    <row r="83" spans="2:22" x14ac:dyDescent="0.2">
      <c r="B83" s="20"/>
    </row>
    <row r="84" spans="2:22" x14ac:dyDescent="0.2">
      <c r="B84" s="20"/>
    </row>
    <row r="85" spans="2:22" x14ac:dyDescent="0.2">
      <c r="B85" s="20"/>
    </row>
    <row r="86" spans="2:22" x14ac:dyDescent="0.2">
      <c r="B86" s="20"/>
    </row>
  </sheetData>
  <sortState xmlns:xlrd2="http://schemas.microsoft.com/office/spreadsheetml/2017/richdata2" ref="A5:W79">
    <sortCondition ref="D5:D79"/>
    <sortCondition ref="F5:F79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3" ma:contentTypeDescription="Create a new document." ma:contentTypeScope="" ma:versionID="6e42e0ab4a00fbff42e456357a99b1eb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c3506e3d67b73694a3451566b24e0b38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865ECD-6E55-4FCC-AFC2-1EA23F2EB1C7}"/>
</file>

<file path=customXml/itemProps2.xml><?xml version="1.0" encoding="utf-8"?>
<ds:datastoreItem xmlns:ds="http://schemas.openxmlformats.org/officeDocument/2006/customXml" ds:itemID="{3F3807CE-AE38-4B33-A923-054988DEF403}"/>
</file>

<file path=customXml/itemProps3.xml><?xml version="1.0" encoding="utf-8"?>
<ds:datastoreItem xmlns:ds="http://schemas.openxmlformats.org/officeDocument/2006/customXml" ds:itemID="{9BF5ECD3-24A5-4F11-8B13-16E0361AA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quads.all</vt:lpstr>
      <vt:lpstr>pics</vt:lpstr>
      <vt:lpstr>FIA</vt:lpstr>
      <vt:lpstr>tall-skinny</vt:lpstr>
      <vt:lpstr>ash saplings</vt:lpstr>
      <vt:lpstr>nat&amp;inv</vt:lpstr>
    </vt:vector>
  </TitlesOfParts>
  <Manager/>
  <Company>MSU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Hartzler, Diane</cp:lastModifiedBy>
  <cp:revision/>
  <dcterms:created xsi:type="dcterms:W3CDTF">2009-07-21T12:27:29Z</dcterms:created>
  <dcterms:modified xsi:type="dcterms:W3CDTF">2023-06-21T13:38:43Z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