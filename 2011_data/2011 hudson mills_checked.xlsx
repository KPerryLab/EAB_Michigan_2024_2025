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8" windowWidth="19032" windowHeight="9720"/>
  </bookViews>
  <sheets>
    <sheet name="quads.all" sheetId="7" r:id="rId1"/>
    <sheet name="pics" sheetId="5" r:id="rId2"/>
    <sheet name="FIA" sheetId="15" r:id="rId3"/>
    <sheet name="tall-skinny" sheetId="8" r:id="rId4"/>
    <sheet name="ash saplings" sheetId="6" r:id="rId5"/>
    <sheet name="nat&amp;inv" sheetId="2" r:id="rId6"/>
  </sheets>
  <calcPr calcId="125725"/>
</workbook>
</file>

<file path=xl/calcChain.xml><?xml version="1.0" encoding="utf-8"?>
<calcChain xmlns="http://schemas.openxmlformats.org/spreadsheetml/2006/main">
  <c r="J34" i="8"/>
  <c r="J35"/>
  <c r="H35"/>
  <c r="G34"/>
  <c r="AI46" i="7"/>
  <c r="AJ46" s="1"/>
  <c r="AI47"/>
  <c r="AJ47"/>
  <c r="AI48"/>
  <c r="AJ48"/>
  <c r="AI49"/>
  <c r="AJ49"/>
  <c r="AI50"/>
  <c r="AJ50"/>
  <c r="AF46"/>
  <c r="AG46"/>
  <c r="AF47"/>
  <c r="AG47"/>
  <c r="AF48"/>
  <c r="AG48"/>
  <c r="AF49"/>
  <c r="AG49"/>
  <c r="AF50"/>
  <c r="AG50"/>
  <c r="AK50"/>
  <c r="AK49"/>
  <c r="AK48"/>
  <c r="AK47"/>
  <c r="AK46"/>
  <c r="AD46"/>
  <c r="AD47"/>
  <c r="AD48"/>
  <c r="AD49"/>
  <c r="AD50"/>
  <c r="AH50"/>
  <c r="AH49"/>
  <c r="AH48"/>
  <c r="AH47"/>
  <c r="AH46"/>
  <c r="X46"/>
  <c r="X47"/>
  <c r="X48"/>
  <c r="X49"/>
  <c r="X50"/>
  <c r="R46"/>
  <c r="R47"/>
  <c r="R48"/>
  <c r="R49"/>
  <c r="R50"/>
  <c r="L46"/>
  <c r="L47"/>
  <c r="L48"/>
  <c r="L49"/>
  <c r="L50"/>
  <c r="J28" i="8"/>
  <c r="I27"/>
  <c r="H30"/>
  <c r="J30" s="1"/>
  <c r="H27"/>
  <c r="G29"/>
  <c r="J29" s="1"/>
  <c r="G28"/>
  <c r="G27"/>
  <c r="F27"/>
  <c r="J27" s="1"/>
  <c r="J26"/>
  <c r="AI36" i="7"/>
  <c r="AI37"/>
  <c r="AI38"/>
  <c r="AI39"/>
  <c r="AF36"/>
  <c r="AJ36" s="1"/>
  <c r="AG36"/>
  <c r="AF37"/>
  <c r="AJ37" s="1"/>
  <c r="AG37"/>
  <c r="AF38"/>
  <c r="AJ38" s="1"/>
  <c r="AG38"/>
  <c r="AF39"/>
  <c r="AJ39" s="1"/>
  <c r="AG39"/>
  <c r="AK39"/>
  <c r="AK38"/>
  <c r="AK37"/>
  <c r="AK36"/>
  <c r="AD36"/>
  <c r="AD37"/>
  <c r="AD38"/>
  <c r="AD39"/>
  <c r="AH39"/>
  <c r="AH38"/>
  <c r="AH37"/>
  <c r="AH36"/>
  <c r="X36"/>
  <c r="X37"/>
  <c r="X38"/>
  <c r="X39"/>
  <c r="R36"/>
  <c r="R37"/>
  <c r="R38"/>
  <c r="R39"/>
  <c r="L36"/>
  <c r="L37"/>
  <c r="L38"/>
  <c r="L39"/>
  <c r="F23" i="8"/>
  <c r="G14"/>
  <c r="I5"/>
  <c r="F5"/>
  <c r="G1"/>
  <c r="J33"/>
  <c r="AF43" i="7"/>
  <c r="AJ43" s="1"/>
  <c r="AG43"/>
  <c r="AF44"/>
  <c r="AJ44" s="1"/>
  <c r="AG44"/>
  <c r="AF45"/>
  <c r="AJ45" s="1"/>
  <c r="AG45"/>
  <c r="AK45"/>
  <c r="AK44"/>
  <c r="AK43"/>
  <c r="AD45"/>
  <c r="AD43"/>
  <c r="AD44"/>
  <c r="AI45"/>
  <c r="AI44"/>
  <c r="AI43"/>
  <c r="AH45"/>
  <c r="AH44"/>
  <c r="AH43"/>
  <c r="X43"/>
  <c r="X44"/>
  <c r="X45"/>
  <c r="R43"/>
  <c r="R44"/>
  <c r="R45"/>
  <c r="L43"/>
  <c r="L44"/>
  <c r="L45"/>
  <c r="J31" i="8"/>
  <c r="G32"/>
  <c r="J32" s="1"/>
  <c r="AF41" i="7"/>
  <c r="AJ41" s="1"/>
  <c r="AG41"/>
  <c r="AF42"/>
  <c r="AJ42" s="1"/>
  <c r="AG42"/>
  <c r="AK42"/>
  <c r="AK41"/>
  <c r="AK40"/>
  <c r="AD41"/>
  <c r="AD42"/>
  <c r="AI42"/>
  <c r="AI41"/>
  <c r="AD40"/>
  <c r="AI40"/>
  <c r="AH42"/>
  <c r="AH41"/>
  <c r="AH40"/>
  <c r="AG40"/>
  <c r="AF40"/>
  <c r="X41"/>
  <c r="X42"/>
  <c r="X40"/>
  <c r="R41"/>
  <c r="R42"/>
  <c r="R40"/>
  <c r="L41"/>
  <c r="L42"/>
  <c r="L40"/>
  <c r="I25" i="8"/>
  <c r="G25"/>
  <c r="J25" s="1"/>
  <c r="J16"/>
  <c r="J17"/>
  <c r="J19"/>
  <c r="J21"/>
  <c r="I24"/>
  <c r="H24"/>
  <c r="G24"/>
  <c r="J24" s="1"/>
  <c r="I23"/>
  <c r="H23"/>
  <c r="J23" s="1"/>
  <c r="G23"/>
  <c r="F22"/>
  <c r="J22" s="1"/>
  <c r="AF32" i="7"/>
  <c r="AJ32" s="1"/>
  <c r="AG32"/>
  <c r="AF33"/>
  <c r="AJ33" s="1"/>
  <c r="AG33"/>
  <c r="AF34"/>
  <c r="AJ34" s="1"/>
  <c r="AG34"/>
  <c r="AF35"/>
  <c r="AJ35" s="1"/>
  <c r="AG35"/>
  <c r="AK35"/>
  <c r="AK34"/>
  <c r="AK33"/>
  <c r="AK32"/>
  <c r="AD32"/>
  <c r="AD33"/>
  <c r="AD34"/>
  <c r="AD35"/>
  <c r="AI35"/>
  <c r="AI34"/>
  <c r="AI33"/>
  <c r="AI32"/>
  <c r="AH35"/>
  <c r="AH34"/>
  <c r="AH33"/>
  <c r="AH32"/>
  <c r="X32"/>
  <c r="X33"/>
  <c r="X34"/>
  <c r="X35"/>
  <c r="R32"/>
  <c r="R33"/>
  <c r="R34"/>
  <c r="R35"/>
  <c r="L32"/>
  <c r="L33"/>
  <c r="L34"/>
  <c r="L35"/>
  <c r="I21" i="8"/>
  <c r="I20"/>
  <c r="H20"/>
  <c r="J20" s="1"/>
  <c r="F18"/>
  <c r="J18" s="1"/>
  <c r="F17"/>
  <c r="AF26" i="7"/>
  <c r="AJ26" s="1"/>
  <c r="AG26"/>
  <c r="AF27"/>
  <c r="AJ27" s="1"/>
  <c r="AG27"/>
  <c r="AF28"/>
  <c r="AJ28" s="1"/>
  <c r="AG28"/>
  <c r="AF29"/>
  <c r="AJ29" s="1"/>
  <c r="AG29"/>
  <c r="AF30"/>
  <c r="AJ30" s="1"/>
  <c r="AG30"/>
  <c r="AF31"/>
  <c r="AJ31" s="1"/>
  <c r="AG31"/>
  <c r="AK31"/>
  <c r="AK30"/>
  <c r="AK29"/>
  <c r="AK28"/>
  <c r="AK27"/>
  <c r="AK26"/>
  <c r="AK25"/>
  <c r="AD26"/>
  <c r="AD27"/>
  <c r="AD28"/>
  <c r="AD29"/>
  <c r="AD30"/>
  <c r="AD31"/>
  <c r="AI31"/>
  <c r="AI30"/>
  <c r="AI29"/>
  <c r="AI28"/>
  <c r="AI27"/>
  <c r="AI26"/>
  <c r="AD25"/>
  <c r="AI25"/>
  <c r="AH31"/>
  <c r="AH30"/>
  <c r="AH29"/>
  <c r="AH28"/>
  <c r="AH27"/>
  <c r="AH26"/>
  <c r="AH25"/>
  <c r="AG25"/>
  <c r="AF25"/>
  <c r="X26"/>
  <c r="X27"/>
  <c r="X28"/>
  <c r="X29"/>
  <c r="X30"/>
  <c r="X31"/>
  <c r="X25"/>
  <c r="R26"/>
  <c r="R27"/>
  <c r="R28"/>
  <c r="R29"/>
  <c r="R30"/>
  <c r="R31"/>
  <c r="R25"/>
  <c r="L26"/>
  <c r="L27"/>
  <c r="L28"/>
  <c r="L29"/>
  <c r="L30"/>
  <c r="L31"/>
  <c r="L25"/>
  <c r="J15" i="8"/>
  <c r="H15"/>
  <c r="G13"/>
  <c r="F14"/>
  <c r="J14" s="1"/>
  <c r="F13"/>
  <c r="J13" s="1"/>
  <c r="F12"/>
  <c r="J12" s="1"/>
  <c r="AK21" i="7"/>
  <c r="AK22"/>
  <c r="AK23"/>
  <c r="AK24"/>
  <c r="AH21"/>
  <c r="AI21"/>
  <c r="AH22"/>
  <c r="AI22"/>
  <c r="AH23"/>
  <c r="AI23"/>
  <c r="AH24"/>
  <c r="AI24"/>
  <c r="AF20"/>
  <c r="AJ20" s="1"/>
  <c r="AG20"/>
  <c r="AF21"/>
  <c r="AJ21" s="1"/>
  <c r="AG21"/>
  <c r="AF22"/>
  <c r="AJ22" s="1"/>
  <c r="AG22"/>
  <c r="AF23"/>
  <c r="AJ23" s="1"/>
  <c r="AG23"/>
  <c r="AF24"/>
  <c r="AJ24" s="1"/>
  <c r="AG24"/>
  <c r="AK20"/>
  <c r="AD20"/>
  <c r="AD21"/>
  <c r="AD22"/>
  <c r="AD23"/>
  <c r="AD24"/>
  <c r="AI20"/>
  <c r="AH20"/>
  <c r="X20"/>
  <c r="X21"/>
  <c r="X22"/>
  <c r="X23"/>
  <c r="X24"/>
  <c r="R20"/>
  <c r="R21"/>
  <c r="R22"/>
  <c r="R23"/>
  <c r="R24"/>
  <c r="L20"/>
  <c r="L21"/>
  <c r="L22"/>
  <c r="L23"/>
  <c r="L24"/>
  <c r="J6" i="8"/>
  <c r="J7"/>
  <c r="J11"/>
  <c r="I11"/>
  <c r="I10"/>
  <c r="H10"/>
  <c r="J10" s="1"/>
  <c r="H9"/>
  <c r="J9" s="1"/>
  <c r="G8"/>
  <c r="J8" s="1"/>
  <c r="AK19" i="7"/>
  <c r="AF12"/>
  <c r="AJ12" s="1"/>
  <c r="AG12"/>
  <c r="AF13"/>
  <c r="AJ13" s="1"/>
  <c r="AG13"/>
  <c r="AF14"/>
  <c r="AJ14" s="1"/>
  <c r="AG14"/>
  <c r="AF15"/>
  <c r="AJ15" s="1"/>
  <c r="AG15"/>
  <c r="AF16"/>
  <c r="AJ16" s="1"/>
  <c r="AG16"/>
  <c r="AF17"/>
  <c r="AJ17" s="1"/>
  <c r="AG17"/>
  <c r="AF18"/>
  <c r="AJ18" s="1"/>
  <c r="AG18"/>
  <c r="AF19"/>
  <c r="AJ19" s="1"/>
  <c r="AG19"/>
  <c r="AK18"/>
  <c r="AK17"/>
  <c r="AK16"/>
  <c r="AK15"/>
  <c r="AK14"/>
  <c r="AK13"/>
  <c r="AK12"/>
  <c r="AD12"/>
  <c r="AD13"/>
  <c r="AD14"/>
  <c r="AD15"/>
  <c r="AD16"/>
  <c r="AD17"/>
  <c r="AD18"/>
  <c r="AD19"/>
  <c r="AI19"/>
  <c r="AI18"/>
  <c r="AI17"/>
  <c r="AI16"/>
  <c r="AI15"/>
  <c r="AI14"/>
  <c r="AI13"/>
  <c r="AI12"/>
  <c r="AH19"/>
  <c r="AH18"/>
  <c r="AH17"/>
  <c r="AH16"/>
  <c r="AH15"/>
  <c r="AH14"/>
  <c r="AH13"/>
  <c r="AH12"/>
  <c r="X12"/>
  <c r="X13"/>
  <c r="X14"/>
  <c r="X15"/>
  <c r="X16"/>
  <c r="X17"/>
  <c r="X18"/>
  <c r="X19"/>
  <c r="R12"/>
  <c r="R13"/>
  <c r="R14"/>
  <c r="R15"/>
  <c r="R16"/>
  <c r="R17"/>
  <c r="R18"/>
  <c r="R19"/>
  <c r="L12"/>
  <c r="L13"/>
  <c r="L14"/>
  <c r="L15"/>
  <c r="L16"/>
  <c r="L17"/>
  <c r="L18"/>
  <c r="L19"/>
  <c r="J5" i="8"/>
  <c r="J4"/>
  <c r="AK7" i="7"/>
  <c r="AK8"/>
  <c r="AK9"/>
  <c r="AK10"/>
  <c r="AK11"/>
  <c r="AK6"/>
  <c r="AG6"/>
  <c r="AH6"/>
  <c r="AI6"/>
  <c r="AG7"/>
  <c r="AH7"/>
  <c r="AI7"/>
  <c r="AG8"/>
  <c r="AH8"/>
  <c r="AI8"/>
  <c r="AG9"/>
  <c r="AH9"/>
  <c r="AI9"/>
  <c r="AG10"/>
  <c r="AH10"/>
  <c r="AI10"/>
  <c r="AG11"/>
  <c r="AH11"/>
  <c r="AI11"/>
  <c r="AF7"/>
  <c r="AJ7" s="1"/>
  <c r="AF8"/>
  <c r="AJ8" s="1"/>
  <c r="AF9"/>
  <c r="AJ9" s="1"/>
  <c r="AF10"/>
  <c r="AJ10" s="1"/>
  <c r="AF11"/>
  <c r="AJ11" s="1"/>
  <c r="AF6"/>
  <c r="AJ6" s="1"/>
  <c r="AD7"/>
  <c r="AD8"/>
  <c r="AD9"/>
  <c r="AD10"/>
  <c r="AD11"/>
  <c r="AD6"/>
  <c r="X7"/>
  <c r="X8"/>
  <c r="X9"/>
  <c r="X10"/>
  <c r="X11"/>
  <c r="X6"/>
  <c r="R7"/>
  <c r="R8"/>
  <c r="R9"/>
  <c r="R10"/>
  <c r="R11"/>
  <c r="R6"/>
  <c r="L7"/>
  <c r="L8"/>
  <c r="L9"/>
  <c r="L10"/>
  <c r="L11"/>
  <c r="L6"/>
  <c r="AJ25" l="1"/>
  <c r="AJ40"/>
</calcChain>
</file>

<file path=xl/comments1.xml><?xml version="1.0" encoding="utf-8"?>
<comments xmlns="http://schemas.openxmlformats.org/spreadsheetml/2006/main">
  <authors>
    <author>Wendy Klooster</author>
  </authors>
  <commentList>
    <comment ref="H5" authorId="0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only count new plants for ash and invasives in 2011</t>
        </r>
      </text>
    </comment>
    <comment ref="I5" authorId="0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only count short plants for ash and invasives in 2011</t>
        </r>
      </text>
    </comment>
  </commentList>
</comments>
</file>

<file path=xl/sharedStrings.xml><?xml version="1.0" encoding="utf-8"?>
<sst xmlns="http://schemas.openxmlformats.org/spreadsheetml/2006/main" count="1071" uniqueCount="223">
  <si>
    <t>QUADRAT SURVEY</t>
  </si>
  <si>
    <t>.</t>
  </si>
  <si>
    <t>&lt;1</t>
  </si>
  <si>
    <t>cover classes: &lt;1, 1, 2-5, 6-10, 11-20, 21-30, …etc.</t>
  </si>
  <si>
    <t>NORTH</t>
  </si>
  <si>
    <t>EAST</t>
  </si>
  <si>
    <t>SOUTH</t>
  </si>
  <si>
    <t>WEST</t>
  </si>
  <si>
    <t>date</t>
  </si>
  <si>
    <t>plot</t>
  </si>
  <si>
    <t>species</t>
  </si>
  <si>
    <t>common name</t>
  </si>
  <si>
    <t>type</t>
  </si>
  <si>
    <t>N_cov</t>
  </si>
  <si>
    <t>E_cov</t>
  </si>
  <si>
    <t>S_cov</t>
  </si>
  <si>
    <t>W_cov</t>
  </si>
  <si>
    <t>notes</t>
  </si>
  <si>
    <t>Fraxinus</t>
  </si>
  <si>
    <t>Rhamnus cathartica</t>
  </si>
  <si>
    <t>N_short</t>
  </si>
  <si>
    <t>N_tall</t>
  </si>
  <si>
    <t>E_short</t>
  </si>
  <si>
    <t>E_tall</t>
  </si>
  <si>
    <t>S_short</t>
  </si>
  <si>
    <t>S_tall</t>
  </si>
  <si>
    <t>W_short</t>
  </si>
  <si>
    <t>W_tall</t>
  </si>
  <si>
    <t>code</t>
  </si>
  <si>
    <t>hemi</t>
  </si>
  <si>
    <t>quad</t>
  </si>
  <si>
    <t>NE</t>
  </si>
  <si>
    <t>SE</t>
  </si>
  <si>
    <t>SW</t>
  </si>
  <si>
    <t>NW</t>
  </si>
  <si>
    <t>total</t>
  </si>
  <si>
    <t>tall-skinny trees (&gt;bh, &lt;2.5cm dbh) and shrubs (&gt;1m tall)</t>
  </si>
  <si>
    <t>* = native?</t>
  </si>
  <si>
    <t>INVASIVE</t>
  </si>
  <si>
    <t>(cm)</t>
  </si>
  <si>
    <t>NATIVE</t>
  </si>
  <si>
    <t>distance</t>
  </si>
  <si>
    <t>length</t>
  </si>
  <si>
    <t>width</t>
  </si>
  <si>
    <t>height</t>
  </si>
  <si>
    <t>tagged natives &amp; invasives</t>
  </si>
  <si>
    <t>RC1</t>
  </si>
  <si>
    <t>RC2</t>
  </si>
  <si>
    <t>degree</t>
  </si>
  <si>
    <t>dist b/n</t>
  </si>
  <si>
    <t>label</t>
  </si>
  <si>
    <t>diam @ bh</t>
  </si>
  <si>
    <t>diam @ 12"</t>
  </si>
  <si>
    <t>ash saplings: &gt;1m tall, &lt;2.5cm dbh</t>
  </si>
  <si>
    <t>photo</t>
  </si>
  <si>
    <t>N_new</t>
  </si>
  <si>
    <t>N_mid</t>
  </si>
  <si>
    <t>E_new</t>
  </si>
  <si>
    <t>E_mid</t>
  </si>
  <si>
    <t>S_new</t>
  </si>
  <si>
    <t>S_mid</t>
  </si>
  <si>
    <t>S_total</t>
  </si>
  <si>
    <t>N_total</t>
  </si>
  <si>
    <t>E_total</t>
  </si>
  <si>
    <t>W_new</t>
  </si>
  <si>
    <t>W_mid</t>
  </si>
  <si>
    <t>W_total</t>
  </si>
  <si>
    <t>inv_vol (m3)</t>
  </si>
  <si>
    <t>nat_vol (m3)</t>
  </si>
  <si>
    <t>Celastrus orbiculatus</t>
  </si>
  <si>
    <t>Rosa multiflora</t>
  </si>
  <si>
    <t>CO1</t>
  </si>
  <si>
    <t>LB1</t>
  </si>
  <si>
    <t>MF1</t>
  </si>
  <si>
    <t>MF2</t>
  </si>
  <si>
    <t>LB2</t>
  </si>
  <si>
    <t>Carya cordiformis</t>
  </si>
  <si>
    <t>Elaeagnus umbellata</t>
  </si>
  <si>
    <t>EU3</t>
  </si>
  <si>
    <t>EU2</t>
  </si>
  <si>
    <t>EU1</t>
  </si>
  <si>
    <t>Carpinus caroliniana</t>
  </si>
  <si>
    <t>Ligustrum vulgare</t>
  </si>
  <si>
    <t>LV1</t>
  </si>
  <si>
    <t>park</t>
  </si>
  <si>
    <t>new_ttl</t>
  </si>
  <si>
    <t>short_ttl</t>
  </si>
  <si>
    <t>mid_ttl</t>
  </si>
  <si>
    <t>tall_ttl</t>
  </si>
  <si>
    <t>plot_ttl</t>
  </si>
  <si>
    <t>cov_ttl</t>
  </si>
  <si>
    <t>year</t>
  </si>
  <si>
    <t>PHOTOS</t>
  </si>
  <si>
    <t>plot pics</t>
  </si>
  <si>
    <t>Ostrya virginiana</t>
  </si>
  <si>
    <t>tag</t>
  </si>
  <si>
    <t>center</t>
  </si>
  <si>
    <t>north</t>
  </si>
  <si>
    <t>east</t>
  </si>
  <si>
    <t>south</t>
  </si>
  <si>
    <t>west</t>
  </si>
  <si>
    <t>FIA survey</t>
  </si>
  <si>
    <t>% cover: 0, &lt;1, 1-5, 6-10, 11-20, 21-40, 41-60, 61-80, 81-100</t>
  </si>
  <si>
    <t>0-2 ft</t>
  </si>
  <si>
    <t>0-2 mid</t>
  </si>
  <si>
    <t>2-6 ft</t>
  </si>
  <si>
    <t>2-6 mid</t>
  </si>
  <si>
    <t>6-16 ft</t>
  </si>
  <si>
    <t>6-16 mid</t>
  </si>
  <si>
    <t>&gt;16 ft</t>
  </si>
  <si>
    <t>&gt;16 mid</t>
  </si>
  <si>
    <t>TOTAL</t>
  </si>
  <si>
    <t>healthy</t>
  </si>
  <si>
    <t>none</t>
  </si>
  <si>
    <t>Lonicera bush</t>
  </si>
  <si>
    <t>nat.code</t>
  </si>
  <si>
    <t>inv.code</t>
  </si>
  <si>
    <t>CACO15-1</t>
  </si>
  <si>
    <t>CACO15-2</t>
  </si>
  <si>
    <t>CACO15-3</t>
  </si>
  <si>
    <t>lost 2011</t>
  </si>
  <si>
    <t>CACA18-3</t>
  </si>
  <si>
    <t>CACA18-1</t>
  </si>
  <si>
    <t>CACA18-4</t>
  </si>
  <si>
    <t>CACA18-2</t>
  </si>
  <si>
    <t>Crataegus punctata</t>
  </si>
  <si>
    <t>Corylus americana</t>
  </si>
  <si>
    <t>Rubus</t>
  </si>
  <si>
    <t>Tilia americana</t>
  </si>
  <si>
    <t>Cornus spp</t>
  </si>
  <si>
    <t>hudson mills</t>
  </si>
  <si>
    <t>Zanthoxylum americanum</t>
  </si>
  <si>
    <t>S: native rosa - too small</t>
  </si>
  <si>
    <t>N: 2 short recorded, but not entered (too small)</t>
  </si>
  <si>
    <t>906-7</t>
  </si>
  <si>
    <t>608-9</t>
  </si>
  <si>
    <t>hemi tag = wendy</t>
  </si>
  <si>
    <t>8m2 area:</t>
  </si>
  <si>
    <t>N: RC tagged plant</t>
  </si>
  <si>
    <t>tree tag missing</t>
  </si>
  <si>
    <t>E mid: 8/33 = root sprouts</t>
  </si>
  <si>
    <t>SE: root sprout</t>
  </si>
  <si>
    <t>NW: trunk sprout</t>
  </si>
  <si>
    <t>mites?</t>
  </si>
  <si>
    <t>Lonicera maackii</t>
  </si>
  <si>
    <t>LM1</t>
  </si>
  <si>
    <t>LV2</t>
  </si>
  <si>
    <t>LM2</t>
  </si>
  <si>
    <t>MF3</t>
  </si>
  <si>
    <t>EU4</t>
  </si>
  <si>
    <t>MF4</t>
  </si>
  <si>
    <t>Viburnum dentatum</t>
  </si>
  <si>
    <t>OSVI-1</t>
  </si>
  <si>
    <t>OSVI-2</t>
  </si>
  <si>
    <t>TIAM-1</t>
  </si>
  <si>
    <t>CRPU-1</t>
  </si>
  <si>
    <t>CACO15-5</t>
  </si>
  <si>
    <t>CORNU-1</t>
  </si>
  <si>
    <t>CACO15-4</t>
  </si>
  <si>
    <t>TIAM-2</t>
  </si>
  <si>
    <t>VIDE-1</t>
  </si>
  <si>
    <t>TA: tag gone, same</t>
  </si>
  <si>
    <t>CRPU not OSVI; MF sprawling, other nearby</t>
  </si>
  <si>
    <t>Ca: half gone; near small Ostrya, big oak</t>
  </si>
  <si>
    <t>MF: sprawling around tree; next to multi-stm red oak</t>
  </si>
  <si>
    <t>RC: scraggly; OV: long side brand; N quad, next to pvc</t>
  </si>
  <si>
    <t>S &amp; W quads under water = nothing</t>
  </si>
  <si>
    <t>911-12</t>
  </si>
  <si>
    <t>917-8</t>
  </si>
  <si>
    <t>Toxicodendron radicans</t>
  </si>
  <si>
    <t>4 &amp; 6 lost in 2010</t>
  </si>
  <si>
    <t>Prunus virginiana</t>
  </si>
  <si>
    <t>Prunus serotina</t>
  </si>
  <si>
    <t>Ribes cynosbati</t>
  </si>
  <si>
    <t>7214-5</t>
  </si>
  <si>
    <t>Lonicera tatarica</t>
  </si>
  <si>
    <t>written on sheet but no values???</t>
  </si>
  <si>
    <t>trees = # stems; shrubs = m2</t>
  </si>
  <si>
    <t>ok</t>
  </si>
  <si>
    <t>dead 2011</t>
  </si>
  <si>
    <t>new 2011</t>
  </si>
  <si>
    <t>Amelanchier arborea</t>
  </si>
  <si>
    <t>6872-3</t>
  </si>
  <si>
    <t>6870, 6</t>
  </si>
  <si>
    <t>565-7</t>
  </si>
  <si>
    <t>Berberis thunbergii</t>
  </si>
  <si>
    <t>BT1</t>
  </si>
  <si>
    <t>FRAXI-1</t>
  </si>
  <si>
    <t>FRAXI-4</t>
  </si>
  <si>
    <t>FRAXI-3</t>
  </si>
  <si>
    <t>EU: sprawling into other EU &amp; OSVI</t>
  </si>
  <si>
    <t>BT: tag mid level, big clump nearby</t>
  </si>
  <si>
    <t>Cornus racemosa</t>
  </si>
  <si>
    <t>Ulmus americana</t>
  </si>
  <si>
    <t>hemi pics on 7/22/11</t>
  </si>
  <si>
    <t>rt spts: NW=1</t>
  </si>
  <si>
    <t>new 2011; branch broken off, otherwise good</t>
  </si>
  <si>
    <t>scraggly, not healthy</t>
  </si>
  <si>
    <t>leaves spotty, otherwise good</t>
  </si>
  <si>
    <t>LM3</t>
  </si>
  <si>
    <t>LM4</t>
  </si>
  <si>
    <t>LB4</t>
  </si>
  <si>
    <t>LM5</t>
  </si>
  <si>
    <t>LM6</t>
  </si>
  <si>
    <t>Quercus rubra</t>
  </si>
  <si>
    <t>Carya spp</t>
  </si>
  <si>
    <t>CAC015-1</t>
  </si>
  <si>
    <t>QURU-1</t>
  </si>
  <si>
    <t>CARYA-1</t>
  </si>
  <si>
    <t>FRAXI-2</t>
  </si>
  <si>
    <t>CARYA-2</t>
  </si>
  <si>
    <t>CARYA-3</t>
  </si>
  <si>
    <t>LM: big clump nearby; Frax: low branch</t>
  </si>
  <si>
    <t>Carya: leaf broken (by us…)</t>
  </si>
  <si>
    <t>SW big Q. rubra; LB whole clump</t>
  </si>
  <si>
    <t>MF: browsed, scraggly (1 low branch), under LM</t>
  </si>
  <si>
    <t>EU: multi-stem; Cor: dbl-stem</t>
  </si>
  <si>
    <t>MF: long side branches</t>
  </si>
  <si>
    <t>1158-9</t>
  </si>
  <si>
    <t>2-6ft: high end of 1-5</t>
  </si>
  <si>
    <t>2-6ft: low end of 1-5</t>
  </si>
  <si>
    <t>little scraggly</t>
  </si>
  <si>
    <t>(m)</t>
  </si>
</sst>
</file>

<file path=xl/styles.xml><?xml version="1.0" encoding="utf-8"?>
<styleSheet xmlns="http://schemas.openxmlformats.org/spreadsheetml/2006/main">
  <numFmts count="2">
    <numFmt numFmtId="164" formatCode="ddmmmyy"/>
    <numFmt numFmtId="165" formatCode="0.0000"/>
  </numFmts>
  <fonts count="8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Fill="1" applyBorder="1"/>
    <xf numFmtId="0" fontId="0" fillId="0" borderId="0" xfId="0" applyBorder="1" applyAlignment="1">
      <alignment horizontal="right"/>
    </xf>
    <xf numFmtId="164" fontId="0" fillId="0" borderId="0" xfId="0" applyNumberFormat="1" applyBorder="1"/>
    <xf numFmtId="0" fontId="0" fillId="0" borderId="0" xfId="0" applyBorder="1"/>
    <xf numFmtId="164" fontId="0" fillId="0" borderId="0" xfId="0" applyNumberFormat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1" xfId="0" applyBorder="1"/>
    <xf numFmtId="164" fontId="0" fillId="0" borderId="2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3" fillId="0" borderId="0" xfId="0" applyFont="1"/>
    <xf numFmtId="0" fontId="3" fillId="0" borderId="0" xfId="0" applyFont="1" applyFill="1" applyBorder="1"/>
    <xf numFmtId="0" fontId="0" fillId="0" borderId="0" xfId="0" applyFont="1" applyFill="1" applyBorder="1"/>
    <xf numFmtId="0" fontId="4" fillId="0" borderId="0" xfId="0" applyFont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2" fillId="0" borderId="1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2" fillId="0" borderId="2" xfId="0" applyFont="1" applyBorder="1"/>
    <xf numFmtId="164" fontId="2" fillId="0" borderId="0" xfId="0" applyNumberFormat="1" applyFont="1"/>
    <xf numFmtId="0" fontId="4" fillId="0" borderId="0" xfId="0" applyFont="1" applyBorder="1"/>
    <xf numFmtId="16" fontId="0" fillId="0" borderId="0" xfId="0" applyNumberFormat="1" applyBorder="1"/>
    <xf numFmtId="0" fontId="2" fillId="0" borderId="0" xfId="0" applyFont="1" applyBorder="1" applyAlignment="1">
      <alignment horizontal="right"/>
    </xf>
    <xf numFmtId="0" fontId="0" fillId="0" borderId="2" xfId="0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/>
    <xf numFmtId="0" fontId="7" fillId="0" borderId="0" xfId="0" applyFont="1"/>
    <xf numFmtId="0" fontId="2" fillId="0" borderId="2" xfId="0" applyFont="1" applyBorder="1" applyAlignment="1">
      <alignment horizontal="left"/>
    </xf>
    <xf numFmtId="0" fontId="0" fillId="0" borderId="0" xfId="0" applyNumberFormat="1" applyBorder="1"/>
    <xf numFmtId="0" fontId="1" fillId="0" borderId="0" xfId="0" applyFont="1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1" xfId="0" applyBorder="1"/>
    <xf numFmtId="0" fontId="0" fillId="0" borderId="0" xfId="0" applyFill="1" applyBorder="1"/>
    <xf numFmtId="0" fontId="0" fillId="0" borderId="1" xfId="0" applyBorder="1"/>
    <xf numFmtId="0" fontId="0" fillId="0" borderId="0" xfId="0" applyFill="1" applyBorder="1"/>
    <xf numFmtId="0" fontId="0" fillId="0" borderId="1" xfId="0" applyBorder="1"/>
    <xf numFmtId="0" fontId="0" fillId="0" borderId="0" xfId="0" applyFill="1" applyBorder="1"/>
    <xf numFmtId="0" fontId="0" fillId="0" borderId="1" xfId="0" applyBorder="1"/>
    <xf numFmtId="0" fontId="0" fillId="2" borderId="0" xfId="0" applyFill="1" applyBorder="1" applyAlignment="1">
      <alignment horizontal="right"/>
    </xf>
    <xf numFmtId="0" fontId="2" fillId="2" borderId="0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95"/>
  <sheetViews>
    <sheetView tabSelected="1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I11" sqref="I11"/>
    </sheetView>
  </sheetViews>
  <sheetFormatPr defaultColWidth="9.109375" defaultRowHeight="13.2"/>
  <cols>
    <col min="1" max="1" width="9.109375" style="4"/>
    <col min="2" max="2" width="11.109375" style="4" customWidth="1"/>
    <col min="3" max="3" width="9.88671875" style="15" customWidth="1"/>
    <col min="4" max="4" width="7.44140625" style="6" customWidth="1"/>
    <col min="5" max="5" width="25" style="4" customWidth="1"/>
    <col min="6" max="6" width="21.5546875" style="4" hidden="1" customWidth="1"/>
    <col min="7" max="7" width="12.5546875" style="4" hidden="1" customWidth="1"/>
    <col min="8" max="31" width="9.109375" style="2"/>
    <col min="32" max="36" width="9.109375" style="12" customWidth="1"/>
    <col min="37" max="37" width="9.109375" style="4"/>
    <col min="38" max="38" width="29.33203125" style="48" bestFit="1" customWidth="1"/>
    <col min="39" max="16384" width="9.109375" style="4"/>
  </cols>
  <sheetData>
    <row r="1" spans="1:38">
      <c r="A1" s="23" t="s">
        <v>0</v>
      </c>
      <c r="B1" s="6"/>
      <c r="C1" s="4"/>
      <c r="D1" s="4"/>
      <c r="F1" s="2" t="s">
        <v>1</v>
      </c>
      <c r="G1" s="2" t="s">
        <v>2</v>
      </c>
      <c r="H1" s="2">
        <v>1</v>
      </c>
      <c r="I1" s="1">
        <v>2</v>
      </c>
      <c r="J1" s="1">
        <v>6</v>
      </c>
      <c r="K1" s="1">
        <v>11</v>
      </c>
      <c r="L1" s="1">
        <v>21</v>
      </c>
      <c r="M1" s="1">
        <v>31</v>
      </c>
      <c r="N1" s="1">
        <v>41</v>
      </c>
      <c r="O1" s="1">
        <v>51</v>
      </c>
      <c r="P1" s="1">
        <v>61</v>
      </c>
      <c r="Q1" s="1">
        <v>71</v>
      </c>
      <c r="R1" s="1">
        <v>81</v>
      </c>
      <c r="S1" s="1">
        <v>91</v>
      </c>
      <c r="U1" s="12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L1" s="53"/>
    </row>
    <row r="2" spans="1:38">
      <c r="A2" s="23" t="s">
        <v>3</v>
      </c>
      <c r="B2" s="6"/>
      <c r="C2" s="4"/>
      <c r="D2" s="4"/>
      <c r="F2" s="2">
        <v>0</v>
      </c>
      <c r="G2" s="2">
        <v>0.5</v>
      </c>
      <c r="H2" s="2">
        <v>1.5</v>
      </c>
      <c r="I2" s="1">
        <v>3.5</v>
      </c>
      <c r="J2" s="1">
        <v>8</v>
      </c>
      <c r="K2" s="1">
        <v>15</v>
      </c>
      <c r="L2" s="1">
        <v>25</v>
      </c>
      <c r="M2" s="1">
        <v>35</v>
      </c>
      <c r="N2" s="1">
        <v>45</v>
      </c>
      <c r="O2" s="1">
        <v>55</v>
      </c>
      <c r="P2" s="1">
        <v>65</v>
      </c>
      <c r="Q2" s="1">
        <v>75</v>
      </c>
      <c r="R2" s="1">
        <v>85</v>
      </c>
      <c r="S2" s="1">
        <v>95</v>
      </c>
      <c r="U2" s="12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L2" s="53"/>
    </row>
    <row r="3" spans="1:38">
      <c r="C3" s="2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8">
      <c r="H4" s="6"/>
      <c r="I4" s="6"/>
      <c r="J4" s="6" t="s">
        <v>4</v>
      </c>
      <c r="K4" s="6"/>
      <c r="L4" s="6"/>
      <c r="M4" s="6"/>
      <c r="N4" s="6"/>
      <c r="O4" s="6"/>
      <c r="P4" s="6" t="s">
        <v>5</v>
      </c>
      <c r="Q4" s="6"/>
      <c r="R4" s="6"/>
      <c r="S4" s="6"/>
      <c r="T4" s="6"/>
      <c r="U4" s="6"/>
      <c r="V4" s="6"/>
      <c r="W4" s="6" t="s">
        <v>6</v>
      </c>
      <c r="X4" s="6"/>
      <c r="Y4" s="6"/>
      <c r="Z4" s="6"/>
      <c r="AA4" s="6"/>
      <c r="AB4" s="6" t="s">
        <v>7</v>
      </c>
      <c r="AC4" s="6"/>
      <c r="AD4" s="6"/>
      <c r="AE4" s="6"/>
    </row>
    <row r="5" spans="1:38">
      <c r="A5" s="39" t="s">
        <v>91</v>
      </c>
      <c r="B5" s="39" t="s">
        <v>84</v>
      </c>
      <c r="C5" s="15" t="s">
        <v>8</v>
      </c>
      <c r="D5" s="6" t="s">
        <v>9</v>
      </c>
      <c r="E5" s="4" t="s">
        <v>10</v>
      </c>
      <c r="F5" s="4" t="s">
        <v>11</v>
      </c>
      <c r="G5" s="4" t="s">
        <v>12</v>
      </c>
      <c r="H5" s="6" t="s">
        <v>55</v>
      </c>
      <c r="I5" s="6" t="s">
        <v>20</v>
      </c>
      <c r="J5" s="6" t="s">
        <v>56</v>
      </c>
      <c r="K5" s="6" t="s">
        <v>21</v>
      </c>
      <c r="L5" s="6" t="s">
        <v>62</v>
      </c>
      <c r="M5" s="6" t="s">
        <v>13</v>
      </c>
      <c r="N5" s="6" t="s">
        <v>57</v>
      </c>
      <c r="O5" s="6" t="s">
        <v>22</v>
      </c>
      <c r="P5" s="6" t="s">
        <v>58</v>
      </c>
      <c r="Q5" s="6" t="s">
        <v>23</v>
      </c>
      <c r="R5" s="6" t="s">
        <v>63</v>
      </c>
      <c r="S5" s="6" t="s">
        <v>14</v>
      </c>
      <c r="T5" s="6" t="s">
        <v>59</v>
      </c>
      <c r="U5" s="6" t="s">
        <v>24</v>
      </c>
      <c r="V5" s="6" t="s">
        <v>60</v>
      </c>
      <c r="W5" s="6" t="s">
        <v>25</v>
      </c>
      <c r="X5" s="6" t="s">
        <v>61</v>
      </c>
      <c r="Y5" s="6" t="s">
        <v>15</v>
      </c>
      <c r="Z5" s="6" t="s">
        <v>64</v>
      </c>
      <c r="AA5" s="6" t="s">
        <v>26</v>
      </c>
      <c r="AB5" s="6" t="s">
        <v>65</v>
      </c>
      <c r="AC5" s="6" t="s">
        <v>27</v>
      </c>
      <c r="AD5" s="6" t="s">
        <v>66</v>
      </c>
      <c r="AE5" s="6" t="s">
        <v>16</v>
      </c>
      <c r="AF5" s="38" t="s">
        <v>85</v>
      </c>
      <c r="AG5" s="38" t="s">
        <v>86</v>
      </c>
      <c r="AH5" s="38" t="s">
        <v>87</v>
      </c>
      <c r="AI5" s="38" t="s">
        <v>88</v>
      </c>
      <c r="AJ5" s="38" t="s">
        <v>89</v>
      </c>
      <c r="AK5" s="34" t="s">
        <v>90</v>
      </c>
      <c r="AL5" s="38" t="s">
        <v>17</v>
      </c>
    </row>
    <row r="6" spans="1:38">
      <c r="A6" s="4">
        <v>2011</v>
      </c>
      <c r="B6" s="39" t="s">
        <v>130</v>
      </c>
      <c r="C6" s="15">
        <v>40715</v>
      </c>
      <c r="D6" s="22">
        <v>4</v>
      </c>
      <c r="E6" s="35" t="s">
        <v>18</v>
      </c>
      <c r="F6" s="1"/>
      <c r="G6" s="1"/>
      <c r="H6" s="44">
        <v>0</v>
      </c>
      <c r="I6" s="2">
        <v>8</v>
      </c>
      <c r="J6" s="44">
        <v>1</v>
      </c>
      <c r="K6" s="44">
        <v>0</v>
      </c>
      <c r="L6" s="2">
        <f>SUM(H6:K6)</f>
        <v>9</v>
      </c>
      <c r="M6" s="2">
        <v>3.5</v>
      </c>
      <c r="N6" s="44">
        <v>0</v>
      </c>
      <c r="O6" s="2">
        <v>4</v>
      </c>
      <c r="P6" s="44">
        <v>2</v>
      </c>
      <c r="Q6" s="2">
        <v>0</v>
      </c>
      <c r="R6" s="2">
        <f>SUM(N6:Q6)</f>
        <v>6</v>
      </c>
      <c r="S6" s="2">
        <v>3.5</v>
      </c>
      <c r="T6" s="26">
        <v>0</v>
      </c>
      <c r="U6" s="2">
        <v>2</v>
      </c>
      <c r="V6" s="26">
        <v>0</v>
      </c>
      <c r="W6" s="26">
        <v>0</v>
      </c>
      <c r="X6" s="2">
        <f>SUM(T6:W6)</f>
        <v>2</v>
      </c>
      <c r="Y6" s="2">
        <v>0.5</v>
      </c>
      <c r="Z6" s="26">
        <v>0</v>
      </c>
      <c r="AA6" s="2">
        <v>0</v>
      </c>
      <c r="AB6" s="26">
        <v>0</v>
      </c>
      <c r="AC6" s="26">
        <v>0</v>
      </c>
      <c r="AD6" s="2">
        <f>SUM(Z6:AC6)</f>
        <v>0</v>
      </c>
      <c r="AE6" s="2">
        <v>0</v>
      </c>
      <c r="AF6" s="27">
        <f>SUM(H6,N6,T6,Z6)</f>
        <v>0</v>
      </c>
      <c r="AG6" s="27">
        <f t="shared" ref="AG6:AI20" si="0">SUM(I6,O6,U6,AA6)</f>
        <v>14</v>
      </c>
      <c r="AH6" s="27">
        <f t="shared" si="0"/>
        <v>3</v>
      </c>
      <c r="AI6" s="27">
        <f t="shared" si="0"/>
        <v>0</v>
      </c>
      <c r="AJ6" s="27">
        <f>SUM(AF6:AI6)</f>
        <v>17</v>
      </c>
      <c r="AK6" s="34">
        <f>M6+S6+Y6+AE6</f>
        <v>7.5</v>
      </c>
    </row>
    <row r="7" spans="1:38">
      <c r="A7" s="4">
        <v>2011</v>
      </c>
      <c r="B7" s="39" t="s">
        <v>130</v>
      </c>
      <c r="C7" s="15">
        <v>40715</v>
      </c>
      <c r="D7" s="22">
        <v>4</v>
      </c>
      <c r="E7" s="35" t="s">
        <v>126</v>
      </c>
      <c r="F7" s="1"/>
      <c r="G7" s="1"/>
      <c r="H7" s="44" t="s">
        <v>1</v>
      </c>
      <c r="I7" s="44" t="s">
        <v>1</v>
      </c>
      <c r="J7" s="44">
        <v>5</v>
      </c>
      <c r="K7" s="26">
        <v>0</v>
      </c>
      <c r="L7" s="2">
        <f t="shared" ref="L7:L50" si="1">SUM(H7:K7)</f>
        <v>5</v>
      </c>
      <c r="M7" s="26">
        <v>55</v>
      </c>
      <c r="N7" s="44" t="s">
        <v>1</v>
      </c>
      <c r="O7" s="2" t="s">
        <v>1</v>
      </c>
      <c r="P7" s="44">
        <v>0</v>
      </c>
      <c r="Q7" s="2">
        <v>0</v>
      </c>
      <c r="R7" s="2">
        <f t="shared" ref="R7:R50" si="2">SUM(N7:Q7)</f>
        <v>0</v>
      </c>
      <c r="S7" s="44">
        <v>0</v>
      </c>
      <c r="T7" s="2" t="s">
        <v>1</v>
      </c>
      <c r="U7" s="44" t="s">
        <v>1</v>
      </c>
      <c r="V7" s="26">
        <v>0</v>
      </c>
      <c r="W7" s="26">
        <v>0</v>
      </c>
      <c r="X7" s="2">
        <f t="shared" ref="X7:X50" si="3">SUM(T7:W7)</f>
        <v>0</v>
      </c>
      <c r="Y7" s="26">
        <v>0</v>
      </c>
      <c r="Z7" s="44" t="s">
        <v>1</v>
      </c>
      <c r="AA7" s="44" t="s">
        <v>1</v>
      </c>
      <c r="AB7" s="26">
        <v>2</v>
      </c>
      <c r="AC7" s="26">
        <v>0</v>
      </c>
      <c r="AD7" s="2">
        <f t="shared" ref="AD7:AD50" si="4">SUM(Z7:AC7)</f>
        <v>2</v>
      </c>
      <c r="AE7" s="26">
        <v>1.5</v>
      </c>
      <c r="AF7" s="27">
        <f t="shared" ref="AF7:AF11" si="5">SUM(H7,N7,T7,Z7)</f>
        <v>0</v>
      </c>
      <c r="AG7" s="27">
        <f t="shared" si="0"/>
        <v>0</v>
      </c>
      <c r="AH7" s="27">
        <f t="shared" si="0"/>
        <v>7</v>
      </c>
      <c r="AI7" s="27">
        <f t="shared" si="0"/>
        <v>0</v>
      </c>
      <c r="AJ7" s="27">
        <f t="shared" ref="AJ7:AJ10" si="6">SUM(AF7:AI7)</f>
        <v>7</v>
      </c>
      <c r="AK7" s="34">
        <f t="shared" ref="AK7:AK50" si="7">M7+S7+Y7+AE7</f>
        <v>56.5</v>
      </c>
      <c r="AL7" s="48" t="s">
        <v>133</v>
      </c>
    </row>
    <row r="8" spans="1:38">
      <c r="A8" s="4">
        <v>2011</v>
      </c>
      <c r="B8" s="39" t="s">
        <v>130</v>
      </c>
      <c r="C8" s="15">
        <v>40715</v>
      </c>
      <c r="D8" s="22">
        <v>4</v>
      </c>
      <c r="E8" s="35" t="s">
        <v>70</v>
      </c>
      <c r="F8" s="1"/>
      <c r="G8" s="1"/>
      <c r="H8" s="44">
        <v>0</v>
      </c>
      <c r="I8" s="2">
        <v>0</v>
      </c>
      <c r="J8" s="44">
        <v>0</v>
      </c>
      <c r="K8" s="44">
        <v>0</v>
      </c>
      <c r="L8" s="2">
        <f t="shared" si="1"/>
        <v>0</v>
      </c>
      <c r="M8" s="2">
        <v>0</v>
      </c>
      <c r="N8" s="44">
        <v>0</v>
      </c>
      <c r="O8" s="2">
        <v>0</v>
      </c>
      <c r="P8" s="44">
        <v>1</v>
      </c>
      <c r="Q8" s="2">
        <v>0</v>
      </c>
      <c r="R8" s="2">
        <f t="shared" si="2"/>
        <v>1</v>
      </c>
      <c r="S8" s="44">
        <v>1.5</v>
      </c>
      <c r="T8" s="44">
        <v>0</v>
      </c>
      <c r="U8" s="2">
        <v>0</v>
      </c>
      <c r="V8" s="26">
        <v>0</v>
      </c>
      <c r="W8" s="26">
        <v>0</v>
      </c>
      <c r="X8" s="2">
        <f t="shared" si="3"/>
        <v>0</v>
      </c>
      <c r="Y8" s="2">
        <v>0</v>
      </c>
      <c r="Z8" s="44">
        <v>0</v>
      </c>
      <c r="AA8" s="2">
        <v>0</v>
      </c>
      <c r="AB8" s="2">
        <v>0</v>
      </c>
      <c r="AC8" s="26">
        <v>0</v>
      </c>
      <c r="AD8" s="2">
        <f t="shared" si="4"/>
        <v>0</v>
      </c>
      <c r="AE8" s="2">
        <v>0</v>
      </c>
      <c r="AF8" s="27">
        <f t="shared" si="5"/>
        <v>0</v>
      </c>
      <c r="AG8" s="27">
        <f t="shared" si="0"/>
        <v>0</v>
      </c>
      <c r="AH8" s="27">
        <f t="shared" si="0"/>
        <v>1</v>
      </c>
      <c r="AI8" s="27">
        <f t="shared" si="0"/>
        <v>0</v>
      </c>
      <c r="AJ8" s="27">
        <f t="shared" si="6"/>
        <v>1</v>
      </c>
      <c r="AK8" s="34">
        <f t="shared" si="7"/>
        <v>1.5</v>
      </c>
      <c r="AL8" s="48" t="s">
        <v>132</v>
      </c>
    </row>
    <row r="9" spans="1:38">
      <c r="A9" s="4">
        <v>2011</v>
      </c>
      <c r="B9" s="39" t="s">
        <v>130</v>
      </c>
      <c r="C9" s="15">
        <v>40715</v>
      </c>
      <c r="D9" s="22">
        <v>4</v>
      </c>
      <c r="E9" s="35" t="s">
        <v>94</v>
      </c>
      <c r="F9" s="1"/>
      <c r="G9" s="1"/>
      <c r="H9" s="44" t="s">
        <v>1</v>
      </c>
      <c r="I9" s="2" t="s">
        <v>1</v>
      </c>
      <c r="J9" s="26">
        <v>0</v>
      </c>
      <c r="K9" s="26">
        <v>0</v>
      </c>
      <c r="L9" s="2">
        <f t="shared" si="1"/>
        <v>0</v>
      </c>
      <c r="M9" s="2">
        <v>0</v>
      </c>
      <c r="N9" s="44" t="s">
        <v>1</v>
      </c>
      <c r="O9" s="2" t="s">
        <v>1</v>
      </c>
      <c r="P9" s="26">
        <v>2</v>
      </c>
      <c r="Q9" s="2">
        <v>0</v>
      </c>
      <c r="R9" s="2">
        <f t="shared" si="2"/>
        <v>2</v>
      </c>
      <c r="S9" s="26">
        <v>3.5</v>
      </c>
      <c r="T9" s="44" t="s">
        <v>1</v>
      </c>
      <c r="U9" s="2" t="s">
        <v>1</v>
      </c>
      <c r="V9" s="2">
        <v>0</v>
      </c>
      <c r="W9" s="26">
        <v>0</v>
      </c>
      <c r="X9" s="2">
        <f t="shared" si="3"/>
        <v>0</v>
      </c>
      <c r="Y9" s="2">
        <v>0</v>
      </c>
      <c r="Z9" s="44" t="s">
        <v>1</v>
      </c>
      <c r="AA9" s="2" t="s">
        <v>1</v>
      </c>
      <c r="AB9" s="2">
        <v>0</v>
      </c>
      <c r="AC9" s="26">
        <v>0</v>
      </c>
      <c r="AD9" s="2">
        <f t="shared" si="4"/>
        <v>0</v>
      </c>
      <c r="AE9" s="2">
        <v>0</v>
      </c>
      <c r="AF9" s="27">
        <f t="shared" si="5"/>
        <v>0</v>
      </c>
      <c r="AG9" s="27">
        <f t="shared" si="0"/>
        <v>0</v>
      </c>
      <c r="AH9" s="27">
        <f t="shared" si="0"/>
        <v>2</v>
      </c>
      <c r="AI9" s="27">
        <f t="shared" si="0"/>
        <v>0</v>
      </c>
      <c r="AJ9" s="27">
        <f t="shared" si="6"/>
        <v>2</v>
      </c>
      <c r="AK9" s="34">
        <f t="shared" si="7"/>
        <v>3.5</v>
      </c>
    </row>
    <row r="10" spans="1:38">
      <c r="A10" s="4">
        <v>2011</v>
      </c>
      <c r="B10" s="39" t="s">
        <v>130</v>
      </c>
      <c r="C10" s="15">
        <v>40715</v>
      </c>
      <c r="D10" s="22">
        <v>4</v>
      </c>
      <c r="E10" s="35" t="s">
        <v>127</v>
      </c>
      <c r="F10" s="1"/>
      <c r="G10" s="1"/>
      <c r="H10" s="44" t="s">
        <v>1</v>
      </c>
      <c r="I10" s="44" t="s">
        <v>1</v>
      </c>
      <c r="J10" s="26">
        <v>0</v>
      </c>
      <c r="K10" s="26">
        <v>0</v>
      </c>
      <c r="L10" s="2">
        <f t="shared" si="1"/>
        <v>0</v>
      </c>
      <c r="M10" s="26">
        <v>0</v>
      </c>
      <c r="N10" s="44" t="s">
        <v>1</v>
      </c>
      <c r="O10" s="44" t="s">
        <v>1</v>
      </c>
      <c r="P10" s="26">
        <v>0</v>
      </c>
      <c r="Q10" s="2">
        <v>0</v>
      </c>
      <c r="R10" s="2">
        <f t="shared" si="2"/>
        <v>0</v>
      </c>
      <c r="S10" s="26">
        <v>0</v>
      </c>
      <c r="T10" s="44" t="s">
        <v>1</v>
      </c>
      <c r="U10" s="2" t="s">
        <v>1</v>
      </c>
      <c r="V10" s="26">
        <v>0</v>
      </c>
      <c r="W10" s="26">
        <v>0</v>
      </c>
      <c r="X10" s="2">
        <f t="shared" si="3"/>
        <v>0</v>
      </c>
      <c r="Y10" s="2">
        <v>0</v>
      </c>
      <c r="Z10" s="44" t="s">
        <v>1</v>
      </c>
      <c r="AA10" s="44" t="s">
        <v>1</v>
      </c>
      <c r="AB10" s="26">
        <v>5</v>
      </c>
      <c r="AC10" s="26">
        <v>0</v>
      </c>
      <c r="AD10" s="2">
        <f t="shared" si="4"/>
        <v>5</v>
      </c>
      <c r="AE10" s="26">
        <v>1.5</v>
      </c>
      <c r="AF10" s="27">
        <f t="shared" si="5"/>
        <v>0</v>
      </c>
      <c r="AG10" s="27">
        <f t="shared" si="0"/>
        <v>0</v>
      </c>
      <c r="AH10" s="27">
        <f t="shared" si="0"/>
        <v>5</v>
      </c>
      <c r="AI10" s="27">
        <f t="shared" si="0"/>
        <v>0</v>
      </c>
      <c r="AJ10" s="27">
        <f t="shared" si="6"/>
        <v>5</v>
      </c>
      <c r="AK10" s="34">
        <f t="shared" si="7"/>
        <v>1.5</v>
      </c>
    </row>
    <row r="11" spans="1:38">
      <c r="A11" s="4">
        <v>2011</v>
      </c>
      <c r="B11" s="39" t="s">
        <v>130</v>
      </c>
      <c r="C11" s="15">
        <v>40715</v>
      </c>
      <c r="D11" s="22">
        <v>4</v>
      </c>
      <c r="E11" s="35" t="s">
        <v>131</v>
      </c>
      <c r="F11" s="1"/>
      <c r="G11" s="1"/>
      <c r="H11" s="44" t="s">
        <v>1</v>
      </c>
      <c r="I11" s="44" t="s">
        <v>1</v>
      </c>
      <c r="J11" s="26">
        <v>0</v>
      </c>
      <c r="K11" s="26">
        <v>0</v>
      </c>
      <c r="L11" s="2">
        <f t="shared" si="1"/>
        <v>0</v>
      </c>
      <c r="M11" s="26">
        <v>0</v>
      </c>
      <c r="N11" s="44" t="s">
        <v>1</v>
      </c>
      <c r="O11" s="44" t="s">
        <v>1</v>
      </c>
      <c r="P11" s="26">
        <v>0</v>
      </c>
      <c r="Q11" s="2">
        <v>0</v>
      </c>
      <c r="R11" s="2">
        <f t="shared" si="2"/>
        <v>0</v>
      </c>
      <c r="S11" s="26">
        <v>0</v>
      </c>
      <c r="T11" s="44" t="s">
        <v>1</v>
      </c>
      <c r="U11" s="2" t="s">
        <v>1</v>
      </c>
      <c r="V11" s="26">
        <v>0</v>
      </c>
      <c r="W11" s="26">
        <v>0</v>
      </c>
      <c r="X11" s="2">
        <f t="shared" si="3"/>
        <v>0</v>
      </c>
      <c r="Y11" s="2">
        <v>0</v>
      </c>
      <c r="Z11" s="44" t="s">
        <v>1</v>
      </c>
      <c r="AA11" s="44" t="s">
        <v>1</v>
      </c>
      <c r="AB11" s="26">
        <v>2</v>
      </c>
      <c r="AC11" s="26">
        <v>0</v>
      </c>
      <c r="AD11" s="2">
        <f t="shared" si="4"/>
        <v>2</v>
      </c>
      <c r="AE11" s="26">
        <v>3.5</v>
      </c>
      <c r="AF11" s="27">
        <f t="shared" si="5"/>
        <v>0</v>
      </c>
      <c r="AG11" s="27">
        <f t="shared" si="0"/>
        <v>0</v>
      </c>
      <c r="AH11" s="27">
        <f t="shared" si="0"/>
        <v>2</v>
      </c>
      <c r="AI11" s="27">
        <f t="shared" si="0"/>
        <v>0</v>
      </c>
      <c r="AJ11" s="27">
        <f>SUM(AF11:AI11)</f>
        <v>2</v>
      </c>
      <c r="AK11" s="34">
        <f t="shared" si="7"/>
        <v>3.5</v>
      </c>
    </row>
    <row r="12" spans="1:38">
      <c r="A12" s="4">
        <v>2011</v>
      </c>
      <c r="B12" s="39" t="s">
        <v>130</v>
      </c>
      <c r="C12" s="15">
        <v>40715</v>
      </c>
      <c r="D12" s="22">
        <v>5</v>
      </c>
      <c r="E12" s="35" t="s">
        <v>18</v>
      </c>
      <c r="F12" s="1"/>
      <c r="G12" s="1"/>
      <c r="H12" s="2">
        <v>0</v>
      </c>
      <c r="I12" s="2">
        <v>0</v>
      </c>
      <c r="J12" s="2">
        <v>0</v>
      </c>
      <c r="K12" s="2">
        <v>0</v>
      </c>
      <c r="L12" s="2">
        <f t="shared" si="1"/>
        <v>0</v>
      </c>
      <c r="M12" s="2">
        <v>0</v>
      </c>
      <c r="N12" s="2">
        <v>0</v>
      </c>
      <c r="O12" s="2">
        <v>3</v>
      </c>
      <c r="P12" s="2">
        <v>0</v>
      </c>
      <c r="Q12" s="2">
        <v>0</v>
      </c>
      <c r="R12" s="2">
        <f t="shared" si="2"/>
        <v>3</v>
      </c>
      <c r="S12" s="2">
        <v>1.5</v>
      </c>
      <c r="T12" s="2">
        <v>0</v>
      </c>
      <c r="U12" s="2">
        <v>6</v>
      </c>
      <c r="V12" s="2">
        <v>1</v>
      </c>
      <c r="W12" s="2">
        <v>0</v>
      </c>
      <c r="X12" s="2">
        <f t="shared" si="3"/>
        <v>7</v>
      </c>
      <c r="Y12" s="2">
        <v>1.5</v>
      </c>
      <c r="Z12" s="44">
        <v>0</v>
      </c>
      <c r="AA12" s="2">
        <v>5</v>
      </c>
      <c r="AB12" s="26">
        <v>0</v>
      </c>
      <c r="AC12" s="26">
        <v>0</v>
      </c>
      <c r="AD12" s="2">
        <f t="shared" si="4"/>
        <v>5</v>
      </c>
      <c r="AE12" s="2">
        <v>3.5</v>
      </c>
      <c r="AF12" s="27">
        <f t="shared" ref="AF12:AF19" si="8">SUM(H12,N12,T12,Z12)</f>
        <v>0</v>
      </c>
      <c r="AG12" s="27">
        <f t="shared" ref="AG12:AG19" si="9">SUM(I12,O12,U12,AA12)</f>
        <v>14</v>
      </c>
      <c r="AH12" s="27">
        <f t="shared" si="0"/>
        <v>1</v>
      </c>
      <c r="AI12" s="27">
        <f t="shared" si="0"/>
        <v>0</v>
      </c>
      <c r="AJ12" s="27">
        <f t="shared" ref="AJ12:AJ45" si="10">SUM(AF12:AI12)</f>
        <v>15</v>
      </c>
      <c r="AK12" s="34">
        <f t="shared" si="7"/>
        <v>6.5</v>
      </c>
    </row>
    <row r="13" spans="1:38">
      <c r="A13" s="4">
        <v>2011</v>
      </c>
      <c r="B13" s="39" t="s">
        <v>130</v>
      </c>
      <c r="C13" s="15">
        <v>40715</v>
      </c>
      <c r="D13" s="22">
        <v>5</v>
      </c>
      <c r="E13" s="35" t="s">
        <v>19</v>
      </c>
      <c r="F13" s="1"/>
      <c r="G13" s="1"/>
      <c r="H13" s="2">
        <v>0</v>
      </c>
      <c r="I13" s="2">
        <v>1</v>
      </c>
      <c r="J13" s="2">
        <v>0</v>
      </c>
      <c r="K13" s="2">
        <v>0</v>
      </c>
      <c r="L13" s="2">
        <f t="shared" si="1"/>
        <v>1</v>
      </c>
      <c r="M13" s="2">
        <v>0.5</v>
      </c>
      <c r="N13" s="2">
        <v>0</v>
      </c>
      <c r="O13" s="2">
        <v>0</v>
      </c>
      <c r="P13" s="2">
        <v>0</v>
      </c>
      <c r="Q13" s="2">
        <v>0</v>
      </c>
      <c r="R13" s="2">
        <f t="shared" si="2"/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f t="shared" si="3"/>
        <v>0</v>
      </c>
      <c r="Y13" s="2">
        <v>0</v>
      </c>
      <c r="Z13" s="44">
        <v>0</v>
      </c>
      <c r="AA13" s="2">
        <v>0</v>
      </c>
      <c r="AB13" s="26">
        <v>0</v>
      </c>
      <c r="AC13" s="26">
        <v>0</v>
      </c>
      <c r="AD13" s="2">
        <f t="shared" si="4"/>
        <v>0</v>
      </c>
      <c r="AE13" s="2">
        <v>0</v>
      </c>
      <c r="AF13" s="27">
        <f t="shared" si="8"/>
        <v>0</v>
      </c>
      <c r="AG13" s="27">
        <f t="shared" si="9"/>
        <v>1</v>
      </c>
      <c r="AH13" s="27">
        <f t="shared" si="0"/>
        <v>0</v>
      </c>
      <c r="AI13" s="27">
        <f t="shared" si="0"/>
        <v>0</v>
      </c>
      <c r="AJ13" s="27">
        <f t="shared" si="10"/>
        <v>1</v>
      </c>
      <c r="AK13" s="34">
        <f t="shared" si="7"/>
        <v>0.5</v>
      </c>
      <c r="AL13" s="48" t="s">
        <v>138</v>
      </c>
    </row>
    <row r="14" spans="1:38">
      <c r="A14" s="4">
        <v>2011</v>
      </c>
      <c r="B14" s="39" t="s">
        <v>130</v>
      </c>
      <c r="C14" s="15">
        <v>40715</v>
      </c>
      <c r="D14" s="22">
        <v>5</v>
      </c>
      <c r="E14" s="35" t="s">
        <v>94</v>
      </c>
      <c r="F14" s="1"/>
      <c r="G14" s="1"/>
      <c r="H14" s="2" t="s">
        <v>1</v>
      </c>
      <c r="I14" s="2" t="s">
        <v>1</v>
      </c>
      <c r="J14" s="2">
        <v>1</v>
      </c>
      <c r="K14" s="2">
        <v>0</v>
      </c>
      <c r="L14" s="2">
        <f t="shared" si="1"/>
        <v>1</v>
      </c>
      <c r="M14" s="2">
        <v>3.5</v>
      </c>
      <c r="N14" s="2" t="s">
        <v>1</v>
      </c>
      <c r="O14" s="2" t="s">
        <v>1</v>
      </c>
      <c r="P14" s="2">
        <v>0</v>
      </c>
      <c r="Q14" s="2">
        <v>0</v>
      </c>
      <c r="R14" s="2">
        <f t="shared" si="2"/>
        <v>0</v>
      </c>
      <c r="S14" s="2">
        <v>0</v>
      </c>
      <c r="T14" s="2" t="s">
        <v>1</v>
      </c>
      <c r="U14" s="2" t="s">
        <v>1</v>
      </c>
      <c r="V14" s="2">
        <v>0</v>
      </c>
      <c r="W14" s="2">
        <v>0</v>
      </c>
      <c r="X14" s="2">
        <f t="shared" si="3"/>
        <v>0</v>
      </c>
      <c r="Y14" s="2">
        <v>0</v>
      </c>
      <c r="Z14" s="44" t="s">
        <v>1</v>
      </c>
      <c r="AA14" s="2" t="s">
        <v>1</v>
      </c>
      <c r="AB14" s="26">
        <v>0</v>
      </c>
      <c r="AC14" s="26">
        <v>0</v>
      </c>
      <c r="AD14" s="2">
        <f t="shared" si="4"/>
        <v>0</v>
      </c>
      <c r="AE14" s="2">
        <v>0</v>
      </c>
      <c r="AF14" s="27">
        <f t="shared" si="8"/>
        <v>0</v>
      </c>
      <c r="AG14" s="27">
        <f t="shared" si="9"/>
        <v>0</v>
      </c>
      <c r="AH14" s="27">
        <f t="shared" si="0"/>
        <v>1</v>
      </c>
      <c r="AI14" s="27">
        <f t="shared" si="0"/>
        <v>0</v>
      </c>
      <c r="AJ14" s="27">
        <f t="shared" si="10"/>
        <v>1</v>
      </c>
      <c r="AK14" s="34">
        <f t="shared" si="7"/>
        <v>3.5</v>
      </c>
    </row>
    <row r="15" spans="1:38">
      <c r="A15" s="4">
        <v>2011</v>
      </c>
      <c r="B15" s="39" t="s">
        <v>130</v>
      </c>
      <c r="C15" s="15">
        <v>40715</v>
      </c>
      <c r="D15" s="22">
        <v>5</v>
      </c>
      <c r="E15" s="35" t="s">
        <v>127</v>
      </c>
      <c r="F15" s="1"/>
      <c r="G15" s="1"/>
      <c r="H15" s="2" t="s">
        <v>1</v>
      </c>
      <c r="I15" s="2" t="s">
        <v>1</v>
      </c>
      <c r="J15" s="2">
        <v>4</v>
      </c>
      <c r="K15" s="2">
        <v>0</v>
      </c>
      <c r="L15" s="2">
        <f t="shared" si="1"/>
        <v>4</v>
      </c>
      <c r="M15" s="2">
        <v>3.5</v>
      </c>
      <c r="N15" s="2" t="s">
        <v>1</v>
      </c>
      <c r="O15" s="2" t="s">
        <v>1</v>
      </c>
      <c r="P15" s="2">
        <v>0</v>
      </c>
      <c r="Q15" s="2">
        <v>0</v>
      </c>
      <c r="R15" s="2">
        <f t="shared" si="2"/>
        <v>0</v>
      </c>
      <c r="S15" s="2">
        <v>0</v>
      </c>
      <c r="T15" s="2" t="s">
        <v>1</v>
      </c>
      <c r="U15" s="2" t="s">
        <v>1</v>
      </c>
      <c r="V15" s="2">
        <v>0</v>
      </c>
      <c r="W15" s="2">
        <v>0</v>
      </c>
      <c r="X15" s="2">
        <f t="shared" si="3"/>
        <v>0</v>
      </c>
      <c r="Y15" s="2">
        <v>0</v>
      </c>
      <c r="Z15" s="44" t="s">
        <v>1</v>
      </c>
      <c r="AA15" s="2" t="s">
        <v>1</v>
      </c>
      <c r="AB15" s="26">
        <v>10</v>
      </c>
      <c r="AC15" s="26">
        <v>2</v>
      </c>
      <c r="AD15" s="2">
        <f t="shared" si="4"/>
        <v>12</v>
      </c>
      <c r="AE15" s="2">
        <v>25</v>
      </c>
      <c r="AF15" s="27">
        <f t="shared" si="8"/>
        <v>0</v>
      </c>
      <c r="AG15" s="27">
        <f t="shared" si="9"/>
        <v>0</v>
      </c>
      <c r="AH15" s="27">
        <f t="shared" si="0"/>
        <v>14</v>
      </c>
      <c r="AI15" s="27">
        <f t="shared" si="0"/>
        <v>2</v>
      </c>
      <c r="AJ15" s="27">
        <f t="shared" si="10"/>
        <v>16</v>
      </c>
      <c r="AK15" s="34">
        <f t="shared" si="7"/>
        <v>28.5</v>
      </c>
    </row>
    <row r="16" spans="1:38">
      <c r="A16" s="4">
        <v>2011</v>
      </c>
      <c r="B16" s="39" t="s">
        <v>130</v>
      </c>
      <c r="C16" s="15">
        <v>40715</v>
      </c>
      <c r="D16" s="22">
        <v>5</v>
      </c>
      <c r="E16" s="35" t="s">
        <v>81</v>
      </c>
      <c r="F16" s="1"/>
      <c r="G16" s="1"/>
      <c r="H16" s="2" t="s">
        <v>1</v>
      </c>
      <c r="I16" s="2" t="s">
        <v>1</v>
      </c>
      <c r="J16" s="2">
        <v>0</v>
      </c>
      <c r="K16" s="2">
        <v>0</v>
      </c>
      <c r="L16" s="2">
        <f t="shared" si="1"/>
        <v>0</v>
      </c>
      <c r="M16" s="2">
        <v>0</v>
      </c>
      <c r="N16" s="2" t="s">
        <v>1</v>
      </c>
      <c r="O16" s="2" t="s">
        <v>1</v>
      </c>
      <c r="P16" s="2">
        <v>33</v>
      </c>
      <c r="Q16" s="2">
        <v>0</v>
      </c>
      <c r="R16" s="2">
        <f t="shared" si="2"/>
        <v>33</v>
      </c>
      <c r="S16" s="2">
        <v>35</v>
      </c>
      <c r="T16" s="2" t="s">
        <v>1</v>
      </c>
      <c r="U16" s="2" t="s">
        <v>1</v>
      </c>
      <c r="V16" s="2">
        <v>2</v>
      </c>
      <c r="W16" s="2">
        <v>0</v>
      </c>
      <c r="X16" s="2">
        <f t="shared" si="3"/>
        <v>2</v>
      </c>
      <c r="Y16" s="2">
        <v>8</v>
      </c>
      <c r="Z16" s="44" t="s">
        <v>1</v>
      </c>
      <c r="AA16" s="2" t="s">
        <v>1</v>
      </c>
      <c r="AB16" s="26">
        <v>0</v>
      </c>
      <c r="AC16" s="26">
        <v>0</v>
      </c>
      <c r="AD16" s="2">
        <f t="shared" si="4"/>
        <v>0</v>
      </c>
      <c r="AE16" s="2">
        <v>0</v>
      </c>
      <c r="AF16" s="27">
        <f t="shared" si="8"/>
        <v>0</v>
      </c>
      <c r="AG16" s="27">
        <f t="shared" si="9"/>
        <v>0</v>
      </c>
      <c r="AH16" s="27">
        <f t="shared" si="0"/>
        <v>35</v>
      </c>
      <c r="AI16" s="27">
        <f t="shared" si="0"/>
        <v>0</v>
      </c>
      <c r="AJ16" s="27">
        <f t="shared" si="10"/>
        <v>35</v>
      </c>
      <c r="AK16" s="34">
        <f t="shared" si="7"/>
        <v>43</v>
      </c>
      <c r="AL16" s="48" t="s">
        <v>140</v>
      </c>
    </row>
    <row r="17" spans="1:38">
      <c r="A17" s="4">
        <v>2011</v>
      </c>
      <c r="B17" s="39" t="s">
        <v>130</v>
      </c>
      <c r="C17" s="15">
        <v>40715</v>
      </c>
      <c r="D17" s="22">
        <v>5</v>
      </c>
      <c r="E17" s="35" t="s">
        <v>77</v>
      </c>
      <c r="F17" s="1"/>
      <c r="G17" s="1"/>
      <c r="H17" s="2">
        <v>0</v>
      </c>
      <c r="I17" s="2">
        <v>0</v>
      </c>
      <c r="J17" s="2">
        <v>0</v>
      </c>
      <c r="K17" s="2">
        <v>0</v>
      </c>
      <c r="L17" s="2">
        <f t="shared" si="1"/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f t="shared" si="2"/>
        <v>0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2">
        <f t="shared" si="3"/>
        <v>1</v>
      </c>
      <c r="Y17" s="2">
        <v>35</v>
      </c>
      <c r="Z17" s="44">
        <v>0</v>
      </c>
      <c r="AA17" s="2">
        <v>0</v>
      </c>
      <c r="AB17" s="26">
        <v>0</v>
      </c>
      <c r="AC17" s="26">
        <v>0</v>
      </c>
      <c r="AD17" s="2">
        <f t="shared" si="4"/>
        <v>0</v>
      </c>
      <c r="AE17" s="2">
        <v>0</v>
      </c>
      <c r="AF17" s="27">
        <f t="shared" si="8"/>
        <v>0</v>
      </c>
      <c r="AG17" s="27">
        <f t="shared" si="9"/>
        <v>0</v>
      </c>
      <c r="AH17" s="27">
        <f t="shared" si="0"/>
        <v>0</v>
      </c>
      <c r="AI17" s="27">
        <f t="shared" si="0"/>
        <v>1</v>
      </c>
      <c r="AJ17" s="27">
        <f t="shared" si="10"/>
        <v>1</v>
      </c>
      <c r="AK17" s="34">
        <f t="shared" si="7"/>
        <v>35</v>
      </c>
    </row>
    <row r="18" spans="1:38">
      <c r="A18" s="4">
        <v>2011</v>
      </c>
      <c r="B18" s="39" t="s">
        <v>130</v>
      </c>
      <c r="C18" s="15">
        <v>40715</v>
      </c>
      <c r="D18" s="22">
        <v>5</v>
      </c>
      <c r="E18" s="35" t="s">
        <v>126</v>
      </c>
      <c r="F18" s="1"/>
      <c r="G18" s="1"/>
      <c r="H18" s="2" t="s">
        <v>1</v>
      </c>
      <c r="I18" s="2" t="s">
        <v>1</v>
      </c>
      <c r="J18" s="2">
        <v>0</v>
      </c>
      <c r="K18" s="2">
        <v>0</v>
      </c>
      <c r="L18" s="2">
        <f t="shared" si="1"/>
        <v>0</v>
      </c>
      <c r="M18" s="2">
        <v>0</v>
      </c>
      <c r="N18" s="2" t="s">
        <v>1</v>
      </c>
      <c r="O18" s="2" t="s">
        <v>1</v>
      </c>
      <c r="P18" s="2">
        <v>0</v>
      </c>
      <c r="Q18" s="2">
        <v>0</v>
      </c>
      <c r="R18" s="2">
        <f t="shared" si="2"/>
        <v>0</v>
      </c>
      <c r="S18" s="2">
        <v>0</v>
      </c>
      <c r="T18" s="2" t="s">
        <v>1</v>
      </c>
      <c r="U18" s="2" t="s">
        <v>1</v>
      </c>
      <c r="V18" s="2">
        <v>1</v>
      </c>
      <c r="W18" s="2">
        <v>0</v>
      </c>
      <c r="X18" s="2">
        <f t="shared" si="3"/>
        <v>1</v>
      </c>
      <c r="Y18" s="2">
        <v>1.5</v>
      </c>
      <c r="Z18" s="2" t="s">
        <v>1</v>
      </c>
      <c r="AA18" s="2" t="s">
        <v>1</v>
      </c>
      <c r="AB18" s="2">
        <v>0</v>
      </c>
      <c r="AC18" s="2">
        <v>0</v>
      </c>
      <c r="AD18" s="2">
        <f t="shared" si="4"/>
        <v>0</v>
      </c>
      <c r="AE18" s="2">
        <v>0</v>
      </c>
      <c r="AF18" s="27">
        <f t="shared" si="8"/>
        <v>0</v>
      </c>
      <c r="AG18" s="27">
        <f t="shared" si="9"/>
        <v>0</v>
      </c>
      <c r="AH18" s="27">
        <f t="shared" si="0"/>
        <v>1</v>
      </c>
      <c r="AI18" s="27">
        <f t="shared" si="0"/>
        <v>0</v>
      </c>
      <c r="AJ18" s="27">
        <f t="shared" si="10"/>
        <v>1</v>
      </c>
      <c r="AK18" s="34">
        <f t="shared" si="7"/>
        <v>1.5</v>
      </c>
    </row>
    <row r="19" spans="1:38">
      <c r="A19" s="4">
        <v>2011</v>
      </c>
      <c r="B19" s="39" t="s">
        <v>130</v>
      </c>
      <c r="C19" s="15">
        <v>40715</v>
      </c>
      <c r="D19" s="22">
        <v>5</v>
      </c>
      <c r="E19" s="35" t="s">
        <v>76</v>
      </c>
      <c r="F19" s="1"/>
      <c r="G19" s="1"/>
      <c r="H19" s="2" t="s">
        <v>1</v>
      </c>
      <c r="I19" s="2" t="s">
        <v>1</v>
      </c>
      <c r="J19" s="2">
        <v>0</v>
      </c>
      <c r="K19" s="2">
        <v>0</v>
      </c>
      <c r="L19" s="2">
        <f t="shared" si="1"/>
        <v>0</v>
      </c>
      <c r="M19" s="2">
        <v>0</v>
      </c>
      <c r="N19" s="2" t="s">
        <v>1</v>
      </c>
      <c r="O19" s="2" t="s">
        <v>1</v>
      </c>
      <c r="P19" s="2">
        <v>0</v>
      </c>
      <c r="Q19" s="2">
        <v>0</v>
      </c>
      <c r="R19" s="2">
        <f t="shared" si="2"/>
        <v>0</v>
      </c>
      <c r="S19" s="2">
        <v>0</v>
      </c>
      <c r="T19" s="2" t="s">
        <v>1</v>
      </c>
      <c r="U19" s="2" t="s">
        <v>1</v>
      </c>
      <c r="V19" s="2">
        <v>0</v>
      </c>
      <c r="W19" s="2">
        <v>0</v>
      </c>
      <c r="X19" s="2">
        <f t="shared" si="3"/>
        <v>0</v>
      </c>
      <c r="Y19" s="2">
        <v>0</v>
      </c>
      <c r="Z19" s="2" t="s">
        <v>1</v>
      </c>
      <c r="AA19" s="2" t="s">
        <v>1</v>
      </c>
      <c r="AB19" s="2">
        <v>1</v>
      </c>
      <c r="AC19" s="2">
        <v>0</v>
      </c>
      <c r="AD19" s="2">
        <f t="shared" si="4"/>
        <v>1</v>
      </c>
      <c r="AE19" s="2">
        <v>0.5</v>
      </c>
      <c r="AF19" s="27">
        <f t="shared" si="8"/>
        <v>0</v>
      </c>
      <c r="AG19" s="27">
        <f t="shared" si="9"/>
        <v>0</v>
      </c>
      <c r="AH19" s="27">
        <f t="shared" si="0"/>
        <v>1</v>
      </c>
      <c r="AI19" s="27">
        <f t="shared" si="0"/>
        <v>0</v>
      </c>
      <c r="AJ19" s="27">
        <f t="shared" si="10"/>
        <v>1</v>
      </c>
      <c r="AK19" s="34">
        <f t="shared" si="7"/>
        <v>0.5</v>
      </c>
    </row>
    <row r="20" spans="1:38">
      <c r="A20" s="4">
        <v>2011</v>
      </c>
      <c r="B20" s="39" t="s">
        <v>130</v>
      </c>
      <c r="C20" s="15">
        <v>40715</v>
      </c>
      <c r="D20" s="6">
        <v>6</v>
      </c>
      <c r="E20" s="35" t="s">
        <v>18</v>
      </c>
      <c r="F20" s="1"/>
      <c r="G20" s="1"/>
      <c r="H20" s="2">
        <v>0</v>
      </c>
      <c r="I20" s="2">
        <v>5</v>
      </c>
      <c r="J20" s="2">
        <v>6</v>
      </c>
      <c r="K20" s="2">
        <v>0</v>
      </c>
      <c r="L20" s="2">
        <f t="shared" si="1"/>
        <v>11</v>
      </c>
      <c r="M20" s="2">
        <v>8</v>
      </c>
      <c r="N20" s="2">
        <v>0</v>
      </c>
      <c r="O20" s="2">
        <v>0</v>
      </c>
      <c r="P20" s="2">
        <v>0</v>
      </c>
      <c r="Q20" s="2">
        <v>0</v>
      </c>
      <c r="R20" s="2">
        <f t="shared" si="2"/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f t="shared" si="3"/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f t="shared" si="4"/>
        <v>0</v>
      </c>
      <c r="AE20" s="2">
        <v>0</v>
      </c>
      <c r="AF20" s="27">
        <f t="shared" ref="AF20:AF25" si="11">SUM(H20,N20,T20,Z20)</f>
        <v>0</v>
      </c>
      <c r="AG20" s="27">
        <f t="shared" ref="AG20:AG25" si="12">SUM(I20,O20,U20,AA20)</f>
        <v>5</v>
      </c>
      <c r="AH20" s="27">
        <f t="shared" si="0"/>
        <v>6</v>
      </c>
      <c r="AI20" s="27">
        <f t="shared" si="0"/>
        <v>0</v>
      </c>
      <c r="AJ20" s="27">
        <f t="shared" si="10"/>
        <v>11</v>
      </c>
      <c r="AK20" s="34">
        <f t="shared" si="7"/>
        <v>8</v>
      </c>
      <c r="AL20" s="48" t="s">
        <v>166</v>
      </c>
    </row>
    <row r="21" spans="1:38">
      <c r="A21" s="4">
        <v>2011</v>
      </c>
      <c r="B21" s="39" t="s">
        <v>130</v>
      </c>
      <c r="C21" s="15">
        <v>40715</v>
      </c>
      <c r="D21" s="6">
        <v>6</v>
      </c>
      <c r="E21" s="35" t="s">
        <v>81</v>
      </c>
      <c r="F21" s="1"/>
      <c r="G21" s="1"/>
      <c r="H21" s="2" t="s">
        <v>1</v>
      </c>
      <c r="I21" s="2" t="s">
        <v>1</v>
      </c>
      <c r="J21" s="2">
        <v>1</v>
      </c>
      <c r="K21" s="2">
        <v>0</v>
      </c>
      <c r="L21" s="2">
        <f t="shared" si="1"/>
        <v>1</v>
      </c>
      <c r="M21" s="63">
        <v>1.5</v>
      </c>
      <c r="N21" s="2" t="s">
        <v>1</v>
      </c>
      <c r="O21" s="2" t="s">
        <v>1</v>
      </c>
      <c r="P21" s="2">
        <v>1</v>
      </c>
      <c r="Q21" s="2">
        <v>0</v>
      </c>
      <c r="R21" s="2">
        <f t="shared" si="2"/>
        <v>1</v>
      </c>
      <c r="S21" s="2">
        <v>3.5</v>
      </c>
      <c r="T21" s="2" t="s">
        <v>1</v>
      </c>
      <c r="U21" s="2" t="s">
        <v>1</v>
      </c>
      <c r="V21" s="2">
        <v>0</v>
      </c>
      <c r="W21" s="2">
        <v>0</v>
      </c>
      <c r="X21" s="2">
        <f t="shared" si="3"/>
        <v>0</v>
      </c>
      <c r="Y21" s="2">
        <v>0</v>
      </c>
      <c r="Z21" s="2" t="s">
        <v>1</v>
      </c>
      <c r="AA21" s="2" t="s">
        <v>1</v>
      </c>
      <c r="AB21" s="2">
        <v>0</v>
      </c>
      <c r="AC21" s="2">
        <v>0</v>
      </c>
      <c r="AD21" s="2">
        <f t="shared" si="4"/>
        <v>0</v>
      </c>
      <c r="AE21" s="2">
        <v>0</v>
      </c>
      <c r="AF21" s="27">
        <f t="shared" si="11"/>
        <v>0</v>
      </c>
      <c r="AG21" s="27">
        <f t="shared" si="12"/>
        <v>0</v>
      </c>
      <c r="AH21" s="27">
        <f t="shared" ref="AH21:AH50" si="13">SUM(J21,P21,V21,AB21)</f>
        <v>2</v>
      </c>
      <c r="AI21" s="27">
        <f t="shared" ref="AI21:AI45" si="14">SUM(K21,Q21,W21,AC21)</f>
        <v>0</v>
      </c>
      <c r="AJ21" s="27">
        <f t="shared" si="10"/>
        <v>2</v>
      </c>
      <c r="AK21" s="34">
        <f t="shared" si="7"/>
        <v>5</v>
      </c>
    </row>
    <row r="22" spans="1:38">
      <c r="A22" s="4">
        <v>2011</v>
      </c>
      <c r="B22" s="39" t="s">
        <v>130</v>
      </c>
      <c r="C22" s="15">
        <v>40715</v>
      </c>
      <c r="D22" s="6">
        <v>6</v>
      </c>
      <c r="E22" s="35" t="s">
        <v>126</v>
      </c>
      <c r="F22" s="1"/>
      <c r="G22" s="1"/>
      <c r="H22" s="2" t="s">
        <v>1</v>
      </c>
      <c r="I22" s="2" t="s">
        <v>1</v>
      </c>
      <c r="J22" s="2">
        <v>0</v>
      </c>
      <c r="K22" s="2">
        <v>0</v>
      </c>
      <c r="L22" s="2">
        <f t="shared" si="1"/>
        <v>0</v>
      </c>
      <c r="M22" s="2">
        <v>0</v>
      </c>
      <c r="N22" s="2" t="s">
        <v>1</v>
      </c>
      <c r="O22" s="2" t="s">
        <v>1</v>
      </c>
      <c r="P22" s="2">
        <v>3</v>
      </c>
      <c r="Q22" s="2">
        <v>0</v>
      </c>
      <c r="R22" s="2">
        <f t="shared" si="2"/>
        <v>3</v>
      </c>
      <c r="S22" s="2">
        <v>3.5</v>
      </c>
      <c r="T22" s="2" t="s">
        <v>1</v>
      </c>
      <c r="U22" s="2" t="s">
        <v>1</v>
      </c>
      <c r="V22" s="2">
        <v>0</v>
      </c>
      <c r="W22" s="2">
        <v>0</v>
      </c>
      <c r="X22" s="2">
        <f t="shared" si="3"/>
        <v>0</v>
      </c>
      <c r="Y22" s="2">
        <v>0</v>
      </c>
      <c r="Z22" s="2" t="s">
        <v>1</v>
      </c>
      <c r="AA22" s="2" t="s">
        <v>1</v>
      </c>
      <c r="AB22" s="2">
        <v>0</v>
      </c>
      <c r="AC22" s="2">
        <v>0</v>
      </c>
      <c r="AD22" s="2">
        <f t="shared" si="4"/>
        <v>0</v>
      </c>
      <c r="AE22" s="2">
        <v>0</v>
      </c>
      <c r="AF22" s="27">
        <f t="shared" si="11"/>
        <v>0</v>
      </c>
      <c r="AG22" s="27">
        <f t="shared" si="12"/>
        <v>0</v>
      </c>
      <c r="AH22" s="27">
        <f t="shared" si="13"/>
        <v>3</v>
      </c>
      <c r="AI22" s="27">
        <f t="shared" si="14"/>
        <v>0</v>
      </c>
      <c r="AJ22" s="27">
        <f t="shared" si="10"/>
        <v>3</v>
      </c>
      <c r="AK22" s="34">
        <f t="shared" si="7"/>
        <v>3.5</v>
      </c>
    </row>
    <row r="23" spans="1:38">
      <c r="A23" s="4">
        <v>2011</v>
      </c>
      <c r="B23" s="39" t="s">
        <v>130</v>
      </c>
      <c r="C23" s="15">
        <v>40715</v>
      </c>
      <c r="D23" s="6">
        <v>6</v>
      </c>
      <c r="E23" s="35" t="s">
        <v>94</v>
      </c>
      <c r="F23" s="1"/>
      <c r="G23" s="1"/>
      <c r="H23" s="2" t="s">
        <v>1</v>
      </c>
      <c r="I23" s="2" t="s">
        <v>1</v>
      </c>
      <c r="J23" s="2">
        <v>0</v>
      </c>
      <c r="K23" s="2">
        <v>0</v>
      </c>
      <c r="L23" s="2">
        <f t="shared" si="1"/>
        <v>0</v>
      </c>
      <c r="M23" s="2">
        <v>0</v>
      </c>
      <c r="N23" s="2" t="s">
        <v>1</v>
      </c>
      <c r="O23" s="2" t="s">
        <v>1</v>
      </c>
      <c r="P23" s="2">
        <v>1</v>
      </c>
      <c r="Q23" s="2">
        <v>0</v>
      </c>
      <c r="R23" s="2">
        <f t="shared" si="2"/>
        <v>1</v>
      </c>
      <c r="S23" s="2">
        <v>3.5</v>
      </c>
      <c r="T23" s="2" t="s">
        <v>1</v>
      </c>
      <c r="U23" s="2" t="s">
        <v>1</v>
      </c>
      <c r="V23" s="2">
        <v>0</v>
      </c>
      <c r="W23" s="2">
        <v>0</v>
      </c>
      <c r="X23" s="2">
        <f t="shared" si="3"/>
        <v>0</v>
      </c>
      <c r="Y23" s="2">
        <v>0</v>
      </c>
      <c r="Z23" s="2" t="s">
        <v>1</v>
      </c>
      <c r="AA23" s="2" t="s">
        <v>1</v>
      </c>
      <c r="AB23" s="2">
        <v>0</v>
      </c>
      <c r="AC23" s="2">
        <v>0</v>
      </c>
      <c r="AD23" s="2">
        <f t="shared" si="4"/>
        <v>0</v>
      </c>
      <c r="AE23" s="2">
        <v>0</v>
      </c>
      <c r="AF23" s="27">
        <f t="shared" si="11"/>
        <v>0</v>
      </c>
      <c r="AG23" s="27">
        <f t="shared" si="12"/>
        <v>0</v>
      </c>
      <c r="AH23" s="27">
        <f t="shared" si="13"/>
        <v>1</v>
      </c>
      <c r="AI23" s="27">
        <f t="shared" si="14"/>
        <v>0</v>
      </c>
      <c r="AJ23" s="27">
        <f t="shared" si="10"/>
        <v>1</v>
      </c>
      <c r="AK23" s="34">
        <f t="shared" si="7"/>
        <v>3.5</v>
      </c>
    </row>
    <row r="24" spans="1:38">
      <c r="A24" s="4">
        <v>2011</v>
      </c>
      <c r="B24" s="39" t="s">
        <v>130</v>
      </c>
      <c r="C24" s="15">
        <v>40715</v>
      </c>
      <c r="D24" s="6">
        <v>6</v>
      </c>
      <c r="E24" s="35" t="s">
        <v>70</v>
      </c>
      <c r="F24" s="1"/>
      <c r="G24" s="1"/>
      <c r="H24" s="2">
        <v>0</v>
      </c>
      <c r="I24" s="2">
        <v>0</v>
      </c>
      <c r="J24" s="2">
        <v>0</v>
      </c>
      <c r="K24" s="2">
        <v>0</v>
      </c>
      <c r="L24" s="2">
        <f t="shared" si="1"/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f t="shared" si="2"/>
        <v>1</v>
      </c>
      <c r="S24" s="2">
        <v>8</v>
      </c>
      <c r="T24" s="2">
        <v>0</v>
      </c>
      <c r="U24" s="2">
        <v>0</v>
      </c>
      <c r="V24" s="2">
        <v>0</v>
      </c>
      <c r="W24" s="2">
        <v>0</v>
      </c>
      <c r="X24" s="2">
        <f t="shared" si="3"/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f t="shared" si="4"/>
        <v>0</v>
      </c>
      <c r="AE24" s="2">
        <v>0</v>
      </c>
      <c r="AF24" s="27">
        <f t="shared" si="11"/>
        <v>0</v>
      </c>
      <c r="AG24" s="27">
        <f t="shared" si="12"/>
        <v>0</v>
      </c>
      <c r="AH24" s="27">
        <f t="shared" si="13"/>
        <v>1</v>
      </c>
      <c r="AI24" s="27">
        <f t="shared" si="14"/>
        <v>0</v>
      </c>
      <c r="AJ24" s="27">
        <f t="shared" si="10"/>
        <v>1</v>
      </c>
      <c r="AK24" s="34">
        <f t="shared" si="7"/>
        <v>8</v>
      </c>
    </row>
    <row r="25" spans="1:38">
      <c r="A25" s="4">
        <v>2011</v>
      </c>
      <c r="B25" s="39" t="s">
        <v>130</v>
      </c>
      <c r="C25" s="15">
        <v>40724</v>
      </c>
      <c r="D25" s="22">
        <v>10</v>
      </c>
      <c r="E25" s="35" t="s">
        <v>18</v>
      </c>
      <c r="F25" s="1"/>
      <c r="G25" s="1"/>
      <c r="H25" s="2">
        <v>0</v>
      </c>
      <c r="I25" s="2">
        <v>4</v>
      </c>
      <c r="J25" s="2">
        <v>6</v>
      </c>
      <c r="K25" s="2">
        <v>0</v>
      </c>
      <c r="L25" s="2">
        <f t="shared" si="1"/>
        <v>10</v>
      </c>
      <c r="M25" s="2">
        <v>3.5</v>
      </c>
      <c r="N25" s="2">
        <v>0</v>
      </c>
      <c r="O25" s="2">
        <v>1</v>
      </c>
      <c r="P25" s="2">
        <v>10</v>
      </c>
      <c r="Q25" s="2">
        <v>0</v>
      </c>
      <c r="R25" s="2">
        <f t="shared" si="2"/>
        <v>11</v>
      </c>
      <c r="S25" s="2">
        <v>35</v>
      </c>
      <c r="T25" s="2">
        <v>0</v>
      </c>
      <c r="U25" s="2">
        <v>3</v>
      </c>
      <c r="V25" s="2">
        <v>2</v>
      </c>
      <c r="W25" s="2">
        <v>0</v>
      </c>
      <c r="X25" s="2">
        <f t="shared" si="3"/>
        <v>5</v>
      </c>
      <c r="Y25" s="2">
        <v>3.5</v>
      </c>
      <c r="Z25" s="2">
        <v>0</v>
      </c>
      <c r="AA25" s="2">
        <v>0</v>
      </c>
      <c r="AB25" s="2">
        <v>5</v>
      </c>
      <c r="AC25" s="2">
        <v>1</v>
      </c>
      <c r="AD25" s="2">
        <f t="shared" si="4"/>
        <v>6</v>
      </c>
      <c r="AE25" s="2">
        <v>15</v>
      </c>
      <c r="AF25" s="27">
        <f t="shared" si="11"/>
        <v>0</v>
      </c>
      <c r="AG25" s="27">
        <f t="shared" si="12"/>
        <v>8</v>
      </c>
      <c r="AH25" s="27">
        <f t="shared" si="13"/>
        <v>23</v>
      </c>
      <c r="AI25" s="27">
        <f t="shared" si="14"/>
        <v>1</v>
      </c>
      <c r="AJ25" s="27">
        <f t="shared" si="10"/>
        <v>32</v>
      </c>
      <c r="AK25" s="34">
        <f t="shared" si="7"/>
        <v>57</v>
      </c>
    </row>
    <row r="26" spans="1:38">
      <c r="A26" s="4">
        <v>2011</v>
      </c>
      <c r="B26" s="39" t="s">
        <v>130</v>
      </c>
      <c r="C26" s="15">
        <v>40724</v>
      </c>
      <c r="D26" s="22">
        <v>10</v>
      </c>
      <c r="E26" s="35" t="s">
        <v>169</v>
      </c>
      <c r="F26" s="1"/>
      <c r="G26" s="1"/>
      <c r="H26" s="2" t="s">
        <v>1</v>
      </c>
      <c r="I26" s="2" t="s">
        <v>1</v>
      </c>
      <c r="J26" s="2">
        <v>0</v>
      </c>
      <c r="K26" s="2">
        <v>0</v>
      </c>
      <c r="L26" s="2">
        <f t="shared" si="1"/>
        <v>0</v>
      </c>
      <c r="M26" s="2">
        <v>0</v>
      </c>
      <c r="N26" s="2" t="s">
        <v>1</v>
      </c>
      <c r="O26" s="2" t="s">
        <v>1</v>
      </c>
      <c r="P26" s="2">
        <v>1</v>
      </c>
      <c r="Q26" s="2">
        <v>0</v>
      </c>
      <c r="R26" s="2">
        <f t="shared" si="2"/>
        <v>1</v>
      </c>
      <c r="S26" s="2">
        <v>1.5</v>
      </c>
      <c r="T26" s="2" t="s">
        <v>1</v>
      </c>
      <c r="U26" s="2" t="s">
        <v>1</v>
      </c>
      <c r="V26" s="2">
        <v>0</v>
      </c>
      <c r="W26" s="2">
        <v>0</v>
      </c>
      <c r="X26" s="2">
        <f t="shared" si="3"/>
        <v>0</v>
      </c>
      <c r="Y26" s="2">
        <v>0</v>
      </c>
      <c r="Z26" s="2" t="s">
        <v>1</v>
      </c>
      <c r="AA26" s="2" t="s">
        <v>1</v>
      </c>
      <c r="AB26" s="2">
        <v>0</v>
      </c>
      <c r="AC26" s="2">
        <v>0</v>
      </c>
      <c r="AD26" s="2">
        <f t="shared" si="4"/>
        <v>0</v>
      </c>
      <c r="AE26" s="2">
        <v>0</v>
      </c>
      <c r="AF26" s="27">
        <f t="shared" ref="AF26:AF31" si="15">SUM(H26,N26,T26,Z26)</f>
        <v>0</v>
      </c>
      <c r="AG26" s="27">
        <f t="shared" ref="AG26:AG31" si="16">SUM(I26,O26,U26,AA26)</f>
        <v>0</v>
      </c>
      <c r="AH26" s="27">
        <f t="shared" si="13"/>
        <v>1</v>
      </c>
      <c r="AI26" s="27">
        <f t="shared" si="14"/>
        <v>0</v>
      </c>
      <c r="AJ26" s="27">
        <f t="shared" si="10"/>
        <v>1</v>
      </c>
      <c r="AK26" s="34">
        <f t="shared" si="7"/>
        <v>1.5</v>
      </c>
    </row>
    <row r="27" spans="1:38">
      <c r="A27" s="4">
        <v>2011</v>
      </c>
      <c r="B27" s="39" t="s">
        <v>130</v>
      </c>
      <c r="C27" s="15">
        <v>40724</v>
      </c>
      <c r="D27" s="22">
        <v>10</v>
      </c>
      <c r="E27" s="35" t="s">
        <v>171</v>
      </c>
      <c r="F27" s="1"/>
      <c r="G27" s="1"/>
      <c r="H27" s="2" t="s">
        <v>1</v>
      </c>
      <c r="I27" s="2" t="s">
        <v>1</v>
      </c>
      <c r="J27" s="2">
        <v>0</v>
      </c>
      <c r="K27" s="2">
        <v>0</v>
      </c>
      <c r="L27" s="2">
        <f t="shared" si="1"/>
        <v>0</v>
      </c>
      <c r="M27" s="2">
        <v>0</v>
      </c>
      <c r="N27" s="2" t="s">
        <v>1</v>
      </c>
      <c r="O27" s="2" t="s">
        <v>1</v>
      </c>
      <c r="P27" s="2">
        <v>1</v>
      </c>
      <c r="Q27" s="2">
        <v>0</v>
      </c>
      <c r="R27" s="2">
        <f t="shared" si="2"/>
        <v>1</v>
      </c>
      <c r="S27" s="2">
        <v>1.5</v>
      </c>
      <c r="T27" s="2" t="s">
        <v>1</v>
      </c>
      <c r="U27" s="2" t="s">
        <v>1</v>
      </c>
      <c r="V27" s="2">
        <v>0</v>
      </c>
      <c r="W27" s="2">
        <v>0</v>
      </c>
      <c r="X27" s="2">
        <f t="shared" si="3"/>
        <v>0</v>
      </c>
      <c r="Y27" s="2">
        <v>0</v>
      </c>
      <c r="Z27" s="2" t="s">
        <v>1</v>
      </c>
      <c r="AA27" s="2" t="s">
        <v>1</v>
      </c>
      <c r="AB27" s="2">
        <v>0</v>
      </c>
      <c r="AC27" s="2">
        <v>0</v>
      </c>
      <c r="AD27" s="2">
        <f t="shared" si="4"/>
        <v>0</v>
      </c>
      <c r="AE27" s="2">
        <v>0</v>
      </c>
      <c r="AF27" s="27">
        <f t="shared" si="15"/>
        <v>0</v>
      </c>
      <c r="AG27" s="27">
        <f t="shared" si="16"/>
        <v>0</v>
      </c>
      <c r="AH27" s="27">
        <f t="shared" si="13"/>
        <v>1</v>
      </c>
      <c r="AI27" s="27">
        <f t="shared" si="14"/>
        <v>0</v>
      </c>
      <c r="AJ27" s="27">
        <f t="shared" si="10"/>
        <v>1</v>
      </c>
      <c r="AK27" s="34">
        <f t="shared" si="7"/>
        <v>1.5</v>
      </c>
    </row>
    <row r="28" spans="1:38">
      <c r="A28" s="4">
        <v>2011</v>
      </c>
      <c r="B28" s="39" t="s">
        <v>130</v>
      </c>
      <c r="C28" s="15">
        <v>40724</v>
      </c>
      <c r="D28" s="22">
        <v>10</v>
      </c>
      <c r="E28" s="35" t="s">
        <v>127</v>
      </c>
      <c r="F28" s="1"/>
      <c r="G28" s="1"/>
      <c r="H28" s="2" t="s">
        <v>1</v>
      </c>
      <c r="I28" s="2" t="s">
        <v>1</v>
      </c>
      <c r="J28" s="2">
        <v>0</v>
      </c>
      <c r="K28" s="2">
        <v>0</v>
      </c>
      <c r="L28" s="2">
        <f t="shared" si="1"/>
        <v>0</v>
      </c>
      <c r="M28" s="2">
        <v>0</v>
      </c>
      <c r="N28" s="2" t="s">
        <v>1</v>
      </c>
      <c r="O28" s="2" t="s">
        <v>1</v>
      </c>
      <c r="P28" s="2">
        <v>0</v>
      </c>
      <c r="Q28" s="2">
        <v>0</v>
      </c>
      <c r="R28" s="2">
        <f t="shared" si="2"/>
        <v>0</v>
      </c>
      <c r="S28" s="2">
        <v>0</v>
      </c>
      <c r="T28" s="2" t="s">
        <v>1</v>
      </c>
      <c r="U28" s="2" t="s">
        <v>1</v>
      </c>
      <c r="V28" s="2">
        <v>1</v>
      </c>
      <c r="W28" s="2">
        <v>0</v>
      </c>
      <c r="X28" s="2">
        <f t="shared" si="3"/>
        <v>1</v>
      </c>
      <c r="Y28" s="2">
        <v>1.5</v>
      </c>
      <c r="Z28" s="2" t="s">
        <v>1</v>
      </c>
      <c r="AA28" s="2" t="s">
        <v>1</v>
      </c>
      <c r="AB28" s="2">
        <v>4</v>
      </c>
      <c r="AC28" s="2">
        <v>0</v>
      </c>
      <c r="AD28" s="2">
        <f t="shared" si="4"/>
        <v>4</v>
      </c>
      <c r="AE28" s="2">
        <v>3.5</v>
      </c>
      <c r="AF28" s="27">
        <f t="shared" si="15"/>
        <v>0</v>
      </c>
      <c r="AG28" s="27">
        <f t="shared" si="16"/>
        <v>0</v>
      </c>
      <c r="AH28" s="27">
        <f t="shared" si="13"/>
        <v>5</v>
      </c>
      <c r="AI28" s="27">
        <f t="shared" si="14"/>
        <v>0</v>
      </c>
      <c r="AJ28" s="27">
        <f t="shared" si="10"/>
        <v>5</v>
      </c>
      <c r="AK28" s="34">
        <f t="shared" si="7"/>
        <v>5</v>
      </c>
    </row>
    <row r="29" spans="1:38">
      <c r="A29" s="4">
        <v>2011</v>
      </c>
      <c r="B29" s="39" t="s">
        <v>130</v>
      </c>
      <c r="C29" s="15">
        <v>40724</v>
      </c>
      <c r="D29" s="22">
        <v>10</v>
      </c>
      <c r="E29" s="35" t="s">
        <v>172</v>
      </c>
      <c r="F29" s="1"/>
      <c r="G29" s="1"/>
      <c r="H29" s="2" t="s">
        <v>1</v>
      </c>
      <c r="I29" s="2" t="s">
        <v>1</v>
      </c>
      <c r="J29" s="2">
        <v>0</v>
      </c>
      <c r="K29" s="2">
        <v>0</v>
      </c>
      <c r="L29" s="2">
        <f t="shared" si="1"/>
        <v>0</v>
      </c>
      <c r="M29" s="2">
        <v>0</v>
      </c>
      <c r="N29" s="2" t="s">
        <v>1</v>
      </c>
      <c r="O29" s="2" t="s">
        <v>1</v>
      </c>
      <c r="P29" s="2">
        <v>0</v>
      </c>
      <c r="Q29" s="2">
        <v>0</v>
      </c>
      <c r="R29" s="2">
        <f t="shared" si="2"/>
        <v>0</v>
      </c>
      <c r="S29" s="2">
        <v>0</v>
      </c>
      <c r="T29" s="2" t="s">
        <v>1</v>
      </c>
      <c r="U29" s="2" t="s">
        <v>1</v>
      </c>
      <c r="V29" s="2">
        <v>1</v>
      </c>
      <c r="W29" s="2">
        <v>0</v>
      </c>
      <c r="X29" s="2">
        <f t="shared" si="3"/>
        <v>1</v>
      </c>
      <c r="Y29" s="2">
        <v>1.5</v>
      </c>
      <c r="Z29" s="2" t="s">
        <v>1</v>
      </c>
      <c r="AA29" s="2" t="s">
        <v>1</v>
      </c>
      <c r="AB29" s="2">
        <v>0</v>
      </c>
      <c r="AC29" s="2">
        <v>0</v>
      </c>
      <c r="AD29" s="2">
        <f t="shared" si="4"/>
        <v>0</v>
      </c>
      <c r="AE29" s="2">
        <v>0</v>
      </c>
      <c r="AF29" s="27">
        <f t="shared" si="15"/>
        <v>0</v>
      </c>
      <c r="AG29" s="27">
        <f t="shared" si="16"/>
        <v>0</v>
      </c>
      <c r="AH29" s="27">
        <f t="shared" si="13"/>
        <v>1</v>
      </c>
      <c r="AI29" s="27">
        <f t="shared" si="14"/>
        <v>0</v>
      </c>
      <c r="AJ29" s="27">
        <f t="shared" si="10"/>
        <v>1</v>
      </c>
      <c r="AK29" s="34">
        <f t="shared" si="7"/>
        <v>1.5</v>
      </c>
    </row>
    <row r="30" spans="1:38">
      <c r="A30" s="4">
        <v>2011</v>
      </c>
      <c r="B30" s="39" t="s">
        <v>130</v>
      </c>
      <c r="C30" s="15">
        <v>40724</v>
      </c>
      <c r="D30" s="22">
        <v>10</v>
      </c>
      <c r="E30" s="35" t="s">
        <v>173</v>
      </c>
      <c r="H30" s="2" t="s">
        <v>1</v>
      </c>
      <c r="I30" s="2" t="s">
        <v>1</v>
      </c>
      <c r="J30" s="2">
        <v>0</v>
      </c>
      <c r="K30" s="2">
        <v>0</v>
      </c>
      <c r="L30" s="2">
        <f t="shared" si="1"/>
        <v>0</v>
      </c>
      <c r="M30" s="2">
        <v>0</v>
      </c>
      <c r="N30" s="2" t="s">
        <v>1</v>
      </c>
      <c r="O30" s="2" t="s">
        <v>1</v>
      </c>
      <c r="P30" s="2">
        <v>0</v>
      </c>
      <c r="Q30" s="2">
        <v>0</v>
      </c>
      <c r="R30" s="2">
        <f t="shared" si="2"/>
        <v>0</v>
      </c>
      <c r="S30" s="2">
        <v>0</v>
      </c>
      <c r="T30" s="2" t="s">
        <v>1</v>
      </c>
      <c r="U30" s="2" t="s">
        <v>1</v>
      </c>
      <c r="V30" s="2">
        <v>0</v>
      </c>
      <c r="W30" s="2">
        <v>0</v>
      </c>
      <c r="X30" s="2">
        <f t="shared" si="3"/>
        <v>0</v>
      </c>
      <c r="Y30" s="2">
        <v>0</v>
      </c>
      <c r="Z30" s="2" t="s">
        <v>1</v>
      </c>
      <c r="AA30" s="2" t="s">
        <v>1</v>
      </c>
      <c r="AB30" s="2">
        <v>1</v>
      </c>
      <c r="AC30" s="2">
        <v>0</v>
      </c>
      <c r="AD30" s="2">
        <f t="shared" si="4"/>
        <v>1</v>
      </c>
      <c r="AE30" s="2">
        <v>1.5</v>
      </c>
      <c r="AF30" s="27">
        <f t="shared" si="15"/>
        <v>0</v>
      </c>
      <c r="AG30" s="27">
        <f t="shared" si="16"/>
        <v>0</v>
      </c>
      <c r="AH30" s="27">
        <f t="shared" si="13"/>
        <v>1</v>
      </c>
      <c r="AI30" s="27">
        <f t="shared" si="14"/>
        <v>0</v>
      </c>
      <c r="AJ30" s="27">
        <f t="shared" si="10"/>
        <v>1</v>
      </c>
      <c r="AK30" s="34">
        <f t="shared" si="7"/>
        <v>1.5</v>
      </c>
    </row>
    <row r="31" spans="1:38">
      <c r="A31" s="4">
        <v>2011</v>
      </c>
      <c r="B31" s="39" t="s">
        <v>130</v>
      </c>
      <c r="C31" s="15">
        <v>40724</v>
      </c>
      <c r="D31" s="22">
        <v>10</v>
      </c>
      <c r="E31" s="35" t="s">
        <v>76</v>
      </c>
      <c r="H31" s="2" t="s">
        <v>1</v>
      </c>
      <c r="I31" s="2" t="s">
        <v>1</v>
      </c>
      <c r="J31" s="2">
        <v>0</v>
      </c>
      <c r="K31" s="2">
        <v>0</v>
      </c>
      <c r="L31" s="2">
        <f t="shared" si="1"/>
        <v>0</v>
      </c>
      <c r="M31" s="2">
        <v>0</v>
      </c>
      <c r="N31" s="2" t="s">
        <v>1</v>
      </c>
      <c r="O31" s="2" t="s">
        <v>1</v>
      </c>
      <c r="P31" s="2">
        <v>0</v>
      </c>
      <c r="Q31" s="2">
        <v>0</v>
      </c>
      <c r="R31" s="2">
        <f t="shared" si="2"/>
        <v>0</v>
      </c>
      <c r="S31" s="2">
        <v>0</v>
      </c>
      <c r="T31" s="2" t="s">
        <v>1</v>
      </c>
      <c r="U31" s="2" t="s">
        <v>1</v>
      </c>
      <c r="V31" s="2">
        <v>0</v>
      </c>
      <c r="W31" s="2">
        <v>0</v>
      </c>
      <c r="X31" s="2">
        <f t="shared" si="3"/>
        <v>0</v>
      </c>
      <c r="Y31" s="2">
        <v>0</v>
      </c>
      <c r="Z31" s="2" t="s">
        <v>1</v>
      </c>
      <c r="AA31" s="2" t="s">
        <v>1</v>
      </c>
      <c r="AB31" s="2">
        <v>1</v>
      </c>
      <c r="AC31" s="2">
        <v>0</v>
      </c>
      <c r="AD31" s="2">
        <f t="shared" si="4"/>
        <v>1</v>
      </c>
      <c r="AE31" s="2">
        <v>1.5</v>
      </c>
      <c r="AF31" s="27">
        <f t="shared" si="15"/>
        <v>0</v>
      </c>
      <c r="AG31" s="27">
        <f t="shared" si="16"/>
        <v>0</v>
      </c>
      <c r="AH31" s="27">
        <f t="shared" si="13"/>
        <v>1</v>
      </c>
      <c r="AI31" s="27">
        <f t="shared" si="14"/>
        <v>0</v>
      </c>
      <c r="AJ31" s="27">
        <f t="shared" si="10"/>
        <v>1</v>
      </c>
      <c r="AK31" s="34">
        <f t="shared" si="7"/>
        <v>1.5</v>
      </c>
    </row>
    <row r="32" spans="1:38">
      <c r="A32" s="4">
        <v>2011</v>
      </c>
      <c r="B32" s="39" t="s">
        <v>130</v>
      </c>
      <c r="C32" s="15">
        <v>40724</v>
      </c>
      <c r="D32" s="22">
        <v>11</v>
      </c>
      <c r="E32" s="35" t="s">
        <v>18</v>
      </c>
      <c r="H32" s="2">
        <v>0</v>
      </c>
      <c r="I32" s="2">
        <v>0</v>
      </c>
      <c r="J32" s="2">
        <v>3</v>
      </c>
      <c r="K32" s="2">
        <v>0</v>
      </c>
      <c r="L32" s="2">
        <f t="shared" si="1"/>
        <v>3</v>
      </c>
      <c r="M32" s="2">
        <v>3.5</v>
      </c>
      <c r="N32" s="2">
        <v>0</v>
      </c>
      <c r="O32" s="2">
        <v>10</v>
      </c>
      <c r="P32" s="2">
        <v>6</v>
      </c>
      <c r="Q32" s="2">
        <v>0</v>
      </c>
      <c r="R32" s="2">
        <f t="shared" si="2"/>
        <v>16</v>
      </c>
      <c r="S32" s="2">
        <v>15</v>
      </c>
      <c r="T32" s="2">
        <v>0</v>
      </c>
      <c r="U32" s="2">
        <v>6</v>
      </c>
      <c r="V32" s="2">
        <v>10</v>
      </c>
      <c r="W32" s="2">
        <v>0</v>
      </c>
      <c r="X32" s="2">
        <f t="shared" si="3"/>
        <v>16</v>
      </c>
      <c r="Y32" s="2">
        <v>15</v>
      </c>
      <c r="Z32" s="2">
        <v>0</v>
      </c>
      <c r="AA32" s="2">
        <v>5</v>
      </c>
      <c r="AB32" s="2">
        <v>3</v>
      </c>
      <c r="AC32" s="2">
        <v>0</v>
      </c>
      <c r="AD32" s="2">
        <f t="shared" si="4"/>
        <v>8</v>
      </c>
      <c r="AE32" s="2">
        <v>8</v>
      </c>
      <c r="AF32" s="27">
        <f t="shared" ref="AF32:AF40" si="17">SUM(H32,N32,T32,Z32)</f>
        <v>0</v>
      </c>
      <c r="AG32" s="27">
        <f t="shared" ref="AG32:AG40" si="18">SUM(I32,O32,U32,AA32)</f>
        <v>21</v>
      </c>
      <c r="AH32" s="27">
        <f t="shared" si="13"/>
        <v>22</v>
      </c>
      <c r="AI32" s="27">
        <f t="shared" si="14"/>
        <v>0</v>
      </c>
      <c r="AJ32" s="27">
        <f t="shared" si="10"/>
        <v>43</v>
      </c>
      <c r="AK32" s="34">
        <f t="shared" si="7"/>
        <v>41.5</v>
      </c>
    </row>
    <row r="33" spans="1:37">
      <c r="A33" s="4">
        <v>2011</v>
      </c>
      <c r="B33" s="39" t="s">
        <v>130</v>
      </c>
      <c r="C33" s="15">
        <v>40724</v>
      </c>
      <c r="D33" s="22">
        <v>11</v>
      </c>
      <c r="E33" s="35" t="s">
        <v>127</v>
      </c>
      <c r="H33" s="2" t="s">
        <v>1</v>
      </c>
      <c r="I33" s="2" t="s">
        <v>1</v>
      </c>
      <c r="J33" s="2">
        <v>4</v>
      </c>
      <c r="K33" s="2">
        <v>0</v>
      </c>
      <c r="L33" s="2">
        <f t="shared" si="1"/>
        <v>4</v>
      </c>
      <c r="M33" s="2">
        <v>3.5</v>
      </c>
      <c r="N33" s="2" t="s">
        <v>1</v>
      </c>
      <c r="O33" s="2" t="s">
        <v>1</v>
      </c>
      <c r="P33" s="2">
        <v>15</v>
      </c>
      <c r="Q33" s="2">
        <v>1</v>
      </c>
      <c r="R33" s="2">
        <f t="shared" si="2"/>
        <v>16</v>
      </c>
      <c r="S33" s="2">
        <v>45</v>
      </c>
      <c r="T33" s="2" t="s">
        <v>1</v>
      </c>
      <c r="U33" s="2" t="s">
        <v>1</v>
      </c>
      <c r="V33" s="2">
        <v>1</v>
      </c>
      <c r="W33" s="2">
        <v>0</v>
      </c>
      <c r="X33" s="2">
        <f t="shared" si="3"/>
        <v>1</v>
      </c>
      <c r="Y33" s="2">
        <v>1.5</v>
      </c>
      <c r="Z33" s="2" t="s">
        <v>1</v>
      </c>
      <c r="AA33" s="2" t="s">
        <v>1</v>
      </c>
      <c r="AB33" s="2">
        <v>0</v>
      </c>
      <c r="AC33" s="2">
        <v>0</v>
      </c>
      <c r="AD33" s="2">
        <f t="shared" si="4"/>
        <v>0</v>
      </c>
      <c r="AE33" s="2">
        <v>0</v>
      </c>
      <c r="AF33" s="27">
        <f t="shared" si="17"/>
        <v>0</v>
      </c>
      <c r="AG33" s="27">
        <f t="shared" si="18"/>
        <v>0</v>
      </c>
      <c r="AH33" s="27">
        <f t="shared" si="13"/>
        <v>20</v>
      </c>
      <c r="AI33" s="27">
        <f t="shared" si="14"/>
        <v>1</v>
      </c>
      <c r="AJ33" s="27">
        <f t="shared" si="10"/>
        <v>21</v>
      </c>
      <c r="AK33" s="34">
        <f t="shared" si="7"/>
        <v>50</v>
      </c>
    </row>
    <row r="34" spans="1:37">
      <c r="A34" s="4">
        <v>2011</v>
      </c>
      <c r="B34" s="39" t="s">
        <v>130</v>
      </c>
      <c r="C34" s="15">
        <v>40724</v>
      </c>
      <c r="D34" s="22">
        <v>11</v>
      </c>
      <c r="E34" s="35" t="s">
        <v>169</v>
      </c>
      <c r="H34" s="2" t="s">
        <v>1</v>
      </c>
      <c r="I34" s="2" t="s">
        <v>1</v>
      </c>
      <c r="J34" s="2">
        <v>0</v>
      </c>
      <c r="K34" s="2">
        <v>0</v>
      </c>
      <c r="L34" s="2">
        <f t="shared" si="1"/>
        <v>0</v>
      </c>
      <c r="M34" s="2">
        <v>0</v>
      </c>
      <c r="N34" s="2" t="s">
        <v>1</v>
      </c>
      <c r="O34" s="2" t="s">
        <v>1</v>
      </c>
      <c r="P34" s="2">
        <v>1</v>
      </c>
      <c r="Q34" s="2">
        <v>0</v>
      </c>
      <c r="R34" s="2">
        <f t="shared" si="2"/>
        <v>1</v>
      </c>
      <c r="S34" s="2">
        <v>0.5</v>
      </c>
      <c r="T34" s="2" t="s">
        <v>1</v>
      </c>
      <c r="U34" s="2" t="s">
        <v>1</v>
      </c>
      <c r="V34" s="2">
        <v>1</v>
      </c>
      <c r="W34" s="2">
        <v>0</v>
      </c>
      <c r="X34" s="2">
        <f t="shared" si="3"/>
        <v>1</v>
      </c>
      <c r="Y34" s="2">
        <v>0.5</v>
      </c>
      <c r="Z34" s="2" t="s">
        <v>1</v>
      </c>
      <c r="AA34" s="2" t="s">
        <v>1</v>
      </c>
      <c r="AB34" s="2">
        <v>0</v>
      </c>
      <c r="AC34" s="2">
        <v>0</v>
      </c>
      <c r="AD34" s="2">
        <f t="shared" si="4"/>
        <v>0</v>
      </c>
      <c r="AE34" s="2">
        <v>0</v>
      </c>
      <c r="AF34" s="27">
        <f t="shared" si="17"/>
        <v>0</v>
      </c>
      <c r="AG34" s="27">
        <f t="shared" si="18"/>
        <v>0</v>
      </c>
      <c r="AH34" s="27">
        <f t="shared" si="13"/>
        <v>2</v>
      </c>
      <c r="AI34" s="27">
        <f t="shared" si="14"/>
        <v>0</v>
      </c>
      <c r="AJ34" s="27">
        <f t="shared" si="10"/>
        <v>2</v>
      </c>
      <c r="AK34" s="34">
        <f t="shared" si="7"/>
        <v>1</v>
      </c>
    </row>
    <row r="35" spans="1:37">
      <c r="A35" s="4">
        <v>2011</v>
      </c>
      <c r="B35" s="39" t="s">
        <v>130</v>
      </c>
      <c r="C35" s="15">
        <v>40724</v>
      </c>
      <c r="D35" s="22">
        <v>11</v>
      </c>
      <c r="E35" s="35" t="s">
        <v>144</v>
      </c>
      <c r="H35" s="2">
        <v>0</v>
      </c>
      <c r="I35" s="2">
        <v>0</v>
      </c>
      <c r="J35" s="2">
        <v>0</v>
      </c>
      <c r="K35" s="2">
        <v>0</v>
      </c>
      <c r="L35" s="2">
        <f t="shared" si="1"/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f t="shared" si="2"/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f t="shared" si="3"/>
        <v>1</v>
      </c>
      <c r="Y35" s="2">
        <v>25</v>
      </c>
      <c r="Z35" s="2">
        <v>0</v>
      </c>
      <c r="AA35" s="2">
        <v>0</v>
      </c>
      <c r="AB35" s="2">
        <v>0</v>
      </c>
      <c r="AC35" s="2">
        <v>0</v>
      </c>
      <c r="AD35" s="2">
        <f t="shared" si="4"/>
        <v>0</v>
      </c>
      <c r="AE35" s="2">
        <v>0</v>
      </c>
      <c r="AF35" s="27">
        <f t="shared" si="17"/>
        <v>0</v>
      </c>
      <c r="AG35" s="27">
        <f t="shared" si="18"/>
        <v>0</v>
      </c>
      <c r="AH35" s="27">
        <f t="shared" si="13"/>
        <v>0</v>
      </c>
      <c r="AI35" s="27">
        <f t="shared" si="14"/>
        <v>1</v>
      </c>
      <c r="AJ35" s="27">
        <f t="shared" si="10"/>
        <v>1</v>
      </c>
      <c r="AK35" s="34">
        <f t="shared" si="7"/>
        <v>25</v>
      </c>
    </row>
    <row r="36" spans="1:37">
      <c r="A36" s="4">
        <v>2011</v>
      </c>
      <c r="B36" s="39" t="s">
        <v>130</v>
      </c>
      <c r="C36" s="15">
        <v>40746</v>
      </c>
      <c r="D36" s="6">
        <v>12</v>
      </c>
      <c r="E36" s="35" t="s">
        <v>18</v>
      </c>
      <c r="H36" s="2">
        <v>0</v>
      </c>
      <c r="I36" s="2">
        <v>2</v>
      </c>
      <c r="J36" s="2">
        <v>7</v>
      </c>
      <c r="K36" s="2">
        <v>0</v>
      </c>
      <c r="L36" s="2">
        <f>SUM(H36:K36)</f>
        <v>9</v>
      </c>
      <c r="M36" s="2">
        <v>15</v>
      </c>
      <c r="N36" s="2">
        <v>0</v>
      </c>
      <c r="O36" s="2">
        <v>1</v>
      </c>
      <c r="P36" s="2">
        <v>2</v>
      </c>
      <c r="Q36" s="2">
        <v>0</v>
      </c>
      <c r="R36" s="2">
        <f>SUM(N36:Q36)</f>
        <v>3</v>
      </c>
      <c r="S36" s="2">
        <v>3.5</v>
      </c>
      <c r="T36" s="2">
        <v>0</v>
      </c>
      <c r="U36" s="2">
        <v>0</v>
      </c>
      <c r="V36" s="2">
        <v>1</v>
      </c>
      <c r="W36" s="2">
        <v>0</v>
      </c>
      <c r="X36" s="2">
        <f>SUM(T36:W36)</f>
        <v>1</v>
      </c>
      <c r="Y36" s="2">
        <v>1.5</v>
      </c>
      <c r="Z36" s="2">
        <v>0</v>
      </c>
      <c r="AA36" s="2">
        <v>1</v>
      </c>
      <c r="AB36" s="2">
        <v>2</v>
      </c>
      <c r="AC36" s="2">
        <v>0</v>
      </c>
      <c r="AD36" s="2">
        <f>SUM(Z36:AC36)</f>
        <v>3</v>
      </c>
      <c r="AE36" s="2">
        <v>3.5</v>
      </c>
      <c r="AF36" s="27">
        <f t="shared" ref="AF36:AF39" si="19">SUM(H36,N36,T36,Z36)</f>
        <v>0</v>
      </c>
      <c r="AG36" s="27">
        <f t="shared" ref="AG36:AG39" si="20">SUM(I36,O36,U36,AA36)</f>
        <v>4</v>
      </c>
      <c r="AH36" s="27">
        <f>SUM(J36,P36,V36,AB36)</f>
        <v>12</v>
      </c>
      <c r="AI36" s="27">
        <f t="shared" ref="AI36:AI39" si="21">SUM(K36,Q36,W36,AC36)</f>
        <v>0</v>
      </c>
      <c r="AJ36" s="27">
        <f t="shared" ref="AJ36:AJ39" si="22">SUM(AF36:AI36)</f>
        <v>16</v>
      </c>
      <c r="AK36" s="34">
        <f>M36+S36+Y36+AE36</f>
        <v>23.5</v>
      </c>
    </row>
    <row r="37" spans="1:37">
      <c r="A37" s="4">
        <v>2011</v>
      </c>
      <c r="B37" s="39" t="s">
        <v>130</v>
      </c>
      <c r="C37" s="15">
        <v>40746</v>
      </c>
      <c r="D37" s="6">
        <v>12</v>
      </c>
      <c r="E37" s="35" t="s">
        <v>192</v>
      </c>
      <c r="H37" s="44" t="s">
        <v>1</v>
      </c>
      <c r="I37" s="44" t="s">
        <v>1</v>
      </c>
      <c r="J37" s="2">
        <v>2</v>
      </c>
      <c r="K37" s="2">
        <v>0</v>
      </c>
      <c r="L37" s="2">
        <f>SUM(H37:K37)</f>
        <v>2</v>
      </c>
      <c r="M37" s="2">
        <v>3.5</v>
      </c>
      <c r="N37" s="44" t="s">
        <v>1</v>
      </c>
      <c r="O37" s="44" t="s">
        <v>1</v>
      </c>
      <c r="P37" s="2">
        <v>0</v>
      </c>
      <c r="Q37" s="2">
        <v>0</v>
      </c>
      <c r="R37" s="2">
        <f>SUM(N37:Q37)</f>
        <v>0</v>
      </c>
      <c r="S37" s="2">
        <v>0</v>
      </c>
      <c r="T37" s="44" t="s">
        <v>1</v>
      </c>
      <c r="U37" s="44" t="s">
        <v>1</v>
      </c>
      <c r="V37" s="2">
        <v>0</v>
      </c>
      <c r="W37" s="2">
        <v>0</v>
      </c>
      <c r="X37" s="2">
        <f>SUM(T37:W37)</f>
        <v>0</v>
      </c>
      <c r="Y37" s="2">
        <v>0</v>
      </c>
      <c r="Z37" s="44" t="s">
        <v>1</v>
      </c>
      <c r="AA37" s="44" t="s">
        <v>1</v>
      </c>
      <c r="AB37" s="2">
        <v>0</v>
      </c>
      <c r="AC37" s="2">
        <v>0</v>
      </c>
      <c r="AD37" s="2">
        <f>SUM(Z37:AC37)</f>
        <v>0</v>
      </c>
      <c r="AE37" s="2">
        <v>0</v>
      </c>
      <c r="AF37" s="27">
        <f t="shared" si="19"/>
        <v>0</v>
      </c>
      <c r="AG37" s="27">
        <f t="shared" si="20"/>
        <v>0</v>
      </c>
      <c r="AH37" s="27">
        <f>SUM(J37,P37,V37,AB37)</f>
        <v>2</v>
      </c>
      <c r="AI37" s="27">
        <f t="shared" si="21"/>
        <v>0</v>
      </c>
      <c r="AJ37" s="27">
        <f t="shared" si="22"/>
        <v>2</v>
      </c>
      <c r="AK37" s="34">
        <f>M37+S37+Y37+AE37</f>
        <v>3.5</v>
      </c>
    </row>
    <row r="38" spans="1:37">
      <c r="A38" s="4">
        <v>2011</v>
      </c>
      <c r="B38" s="39" t="s">
        <v>130</v>
      </c>
      <c r="C38" s="15">
        <v>40746</v>
      </c>
      <c r="D38" s="6">
        <v>12</v>
      </c>
      <c r="E38" s="35" t="s">
        <v>127</v>
      </c>
      <c r="H38" s="44" t="s">
        <v>1</v>
      </c>
      <c r="I38" s="44" t="s">
        <v>1</v>
      </c>
      <c r="J38" s="2">
        <v>1</v>
      </c>
      <c r="K38" s="2">
        <v>0</v>
      </c>
      <c r="L38" s="2">
        <f>SUM(H38:K38)</f>
        <v>1</v>
      </c>
      <c r="M38" s="2">
        <v>3.5</v>
      </c>
      <c r="N38" s="44" t="s">
        <v>1</v>
      </c>
      <c r="O38" s="44" t="s">
        <v>1</v>
      </c>
      <c r="P38" s="2">
        <v>2</v>
      </c>
      <c r="Q38" s="2">
        <v>0</v>
      </c>
      <c r="R38" s="2">
        <f>SUM(N38:Q38)</f>
        <v>2</v>
      </c>
      <c r="S38" s="2">
        <v>0.5</v>
      </c>
      <c r="T38" s="44" t="s">
        <v>1</v>
      </c>
      <c r="U38" s="44" t="s">
        <v>1</v>
      </c>
      <c r="V38" s="2">
        <v>3</v>
      </c>
      <c r="W38" s="2">
        <v>0</v>
      </c>
      <c r="X38" s="2">
        <f>SUM(T38:W38)</f>
        <v>3</v>
      </c>
      <c r="Y38" s="2">
        <v>1.5</v>
      </c>
      <c r="Z38" s="44" t="s">
        <v>1</v>
      </c>
      <c r="AA38" s="44" t="s">
        <v>1</v>
      </c>
      <c r="AB38" s="2">
        <v>1</v>
      </c>
      <c r="AC38" s="2">
        <v>0</v>
      </c>
      <c r="AD38" s="2">
        <f>SUM(Z38:AC38)</f>
        <v>1</v>
      </c>
      <c r="AE38" s="2">
        <v>0.5</v>
      </c>
      <c r="AF38" s="27">
        <f t="shared" si="19"/>
        <v>0</v>
      </c>
      <c r="AG38" s="27">
        <f t="shared" si="20"/>
        <v>0</v>
      </c>
      <c r="AH38" s="27">
        <f>SUM(J38,P38,V38,AB38)</f>
        <v>7</v>
      </c>
      <c r="AI38" s="27">
        <f t="shared" si="21"/>
        <v>0</v>
      </c>
      <c r="AJ38" s="27">
        <f t="shared" si="22"/>
        <v>7</v>
      </c>
      <c r="AK38" s="34">
        <f>M38+S38+Y38+AE38</f>
        <v>6</v>
      </c>
    </row>
    <row r="39" spans="1:37">
      <c r="A39" s="4">
        <v>2011</v>
      </c>
      <c r="B39" s="39" t="s">
        <v>130</v>
      </c>
      <c r="C39" s="15">
        <v>40746</v>
      </c>
      <c r="D39" s="6">
        <v>12</v>
      </c>
      <c r="E39" s="35" t="s">
        <v>193</v>
      </c>
      <c r="H39" s="44" t="s">
        <v>1</v>
      </c>
      <c r="I39" s="44" t="s">
        <v>1</v>
      </c>
      <c r="J39" s="2">
        <v>0</v>
      </c>
      <c r="K39" s="2">
        <v>0</v>
      </c>
      <c r="L39" s="2">
        <f>SUM(H39:K39)</f>
        <v>0</v>
      </c>
      <c r="M39" s="2">
        <v>0</v>
      </c>
      <c r="N39" s="44" t="s">
        <v>1</v>
      </c>
      <c r="O39" s="44" t="s">
        <v>1</v>
      </c>
      <c r="P39" s="2">
        <v>3</v>
      </c>
      <c r="Q39" s="2">
        <v>0</v>
      </c>
      <c r="R39" s="2">
        <f>SUM(N39:Q39)</f>
        <v>3</v>
      </c>
      <c r="S39" s="2">
        <v>3.5</v>
      </c>
      <c r="T39" s="44" t="s">
        <v>1</v>
      </c>
      <c r="U39" s="44" t="s">
        <v>1</v>
      </c>
      <c r="V39" s="2">
        <v>0</v>
      </c>
      <c r="W39" s="2">
        <v>0</v>
      </c>
      <c r="X39" s="2">
        <f>SUM(T39:W39)</f>
        <v>0</v>
      </c>
      <c r="Y39" s="2">
        <v>0</v>
      </c>
      <c r="Z39" s="44" t="s">
        <v>1</v>
      </c>
      <c r="AA39" s="44" t="s">
        <v>1</v>
      </c>
      <c r="AB39" s="2">
        <v>0</v>
      </c>
      <c r="AC39" s="2">
        <v>0</v>
      </c>
      <c r="AD39" s="2">
        <f>SUM(Z39:AC39)</f>
        <v>0</v>
      </c>
      <c r="AE39" s="2">
        <v>0</v>
      </c>
      <c r="AF39" s="27">
        <f t="shared" si="19"/>
        <v>0</v>
      </c>
      <c r="AG39" s="27">
        <f t="shared" si="20"/>
        <v>0</v>
      </c>
      <c r="AH39" s="27">
        <f>SUM(J39,P39,V39,AB39)</f>
        <v>3</v>
      </c>
      <c r="AI39" s="27">
        <f t="shared" si="21"/>
        <v>0</v>
      </c>
      <c r="AJ39" s="27">
        <f t="shared" si="22"/>
        <v>3</v>
      </c>
      <c r="AK39" s="34">
        <f>M39+S39+Y39+AE39</f>
        <v>3.5</v>
      </c>
    </row>
    <row r="40" spans="1:37">
      <c r="A40" s="4">
        <v>2011</v>
      </c>
      <c r="B40" s="39" t="s">
        <v>130</v>
      </c>
      <c r="C40" s="15">
        <v>40711</v>
      </c>
      <c r="D40" s="22">
        <v>91</v>
      </c>
      <c r="E40" s="35" t="s">
        <v>18</v>
      </c>
      <c r="H40" s="2">
        <v>0</v>
      </c>
      <c r="I40" s="2">
        <v>6</v>
      </c>
      <c r="J40" s="2">
        <v>1</v>
      </c>
      <c r="K40" s="2">
        <v>0</v>
      </c>
      <c r="L40" s="2">
        <f t="shared" si="1"/>
        <v>7</v>
      </c>
      <c r="M40" s="2">
        <v>3.5</v>
      </c>
      <c r="N40" s="2">
        <v>0</v>
      </c>
      <c r="O40" s="2">
        <v>7</v>
      </c>
      <c r="P40" s="2">
        <v>4</v>
      </c>
      <c r="Q40" s="2">
        <v>0</v>
      </c>
      <c r="R40" s="2">
        <f t="shared" si="2"/>
        <v>11</v>
      </c>
      <c r="S40" s="2">
        <v>15</v>
      </c>
      <c r="T40" s="2">
        <v>0</v>
      </c>
      <c r="U40" s="2">
        <v>18</v>
      </c>
      <c r="V40" s="2">
        <v>1</v>
      </c>
      <c r="W40" s="2">
        <v>0</v>
      </c>
      <c r="X40" s="2">
        <f t="shared" si="3"/>
        <v>19</v>
      </c>
      <c r="Y40" s="2">
        <v>15</v>
      </c>
      <c r="Z40" s="2">
        <v>0</v>
      </c>
      <c r="AA40" s="2">
        <v>4</v>
      </c>
      <c r="AB40" s="2">
        <v>2</v>
      </c>
      <c r="AC40" s="2">
        <v>0</v>
      </c>
      <c r="AD40" s="2">
        <f t="shared" si="4"/>
        <v>6</v>
      </c>
      <c r="AE40" s="2">
        <v>8</v>
      </c>
      <c r="AF40" s="27">
        <f t="shared" si="17"/>
        <v>0</v>
      </c>
      <c r="AG40" s="27">
        <f t="shared" si="18"/>
        <v>35</v>
      </c>
      <c r="AH40" s="27">
        <f t="shared" si="13"/>
        <v>8</v>
      </c>
      <c r="AI40" s="27">
        <f t="shared" si="14"/>
        <v>0</v>
      </c>
      <c r="AJ40" s="27">
        <f t="shared" si="10"/>
        <v>43</v>
      </c>
      <c r="AK40" s="34">
        <f t="shared" si="7"/>
        <v>41.5</v>
      </c>
    </row>
    <row r="41" spans="1:37">
      <c r="A41" s="4">
        <v>2011</v>
      </c>
      <c r="B41" s="39" t="s">
        <v>130</v>
      </c>
      <c r="C41" s="15">
        <v>40711</v>
      </c>
      <c r="D41" s="22">
        <v>91</v>
      </c>
      <c r="E41" s="35" t="s">
        <v>94</v>
      </c>
      <c r="H41" s="2" t="s">
        <v>1</v>
      </c>
      <c r="I41" s="2" t="s">
        <v>1</v>
      </c>
      <c r="J41" s="2">
        <v>0</v>
      </c>
      <c r="K41" s="2">
        <v>0</v>
      </c>
      <c r="L41" s="2">
        <f t="shared" si="1"/>
        <v>0</v>
      </c>
      <c r="M41" s="2">
        <v>0</v>
      </c>
      <c r="N41" s="2" t="s">
        <v>1</v>
      </c>
      <c r="O41" s="2" t="s">
        <v>1</v>
      </c>
      <c r="P41" s="2">
        <v>1</v>
      </c>
      <c r="Q41" s="2">
        <v>0</v>
      </c>
      <c r="R41" s="2">
        <f t="shared" si="2"/>
        <v>1</v>
      </c>
      <c r="S41" s="2">
        <v>1.5</v>
      </c>
      <c r="T41" s="2" t="s">
        <v>1</v>
      </c>
      <c r="U41" s="2" t="s">
        <v>1</v>
      </c>
      <c r="V41" s="2">
        <v>0</v>
      </c>
      <c r="W41" s="2">
        <v>0</v>
      </c>
      <c r="X41" s="2">
        <f t="shared" si="3"/>
        <v>0</v>
      </c>
      <c r="Y41" s="2">
        <v>0</v>
      </c>
      <c r="Z41" s="2" t="s">
        <v>1</v>
      </c>
      <c r="AA41" s="2" t="s">
        <v>1</v>
      </c>
      <c r="AB41" s="2">
        <v>1</v>
      </c>
      <c r="AC41" s="2">
        <v>0</v>
      </c>
      <c r="AD41" s="2">
        <f t="shared" si="4"/>
        <v>1</v>
      </c>
      <c r="AE41" s="2">
        <v>1.5</v>
      </c>
      <c r="AF41" s="27">
        <f t="shared" ref="AF41:AF42" si="23">SUM(H41,N41,T41,Z41)</f>
        <v>0</v>
      </c>
      <c r="AG41" s="27">
        <f t="shared" ref="AG41:AG42" si="24">SUM(I41,O41,U41,AA41)</f>
        <v>0</v>
      </c>
      <c r="AH41" s="27">
        <f t="shared" si="13"/>
        <v>2</v>
      </c>
      <c r="AI41" s="27">
        <f t="shared" si="14"/>
        <v>0</v>
      </c>
      <c r="AJ41" s="27">
        <f t="shared" si="10"/>
        <v>2</v>
      </c>
      <c r="AK41" s="34">
        <f t="shared" si="7"/>
        <v>3</v>
      </c>
    </row>
    <row r="42" spans="1:37">
      <c r="A42" s="4">
        <v>2011</v>
      </c>
      <c r="B42" s="39" t="s">
        <v>130</v>
      </c>
      <c r="C42" s="15">
        <v>40711</v>
      </c>
      <c r="D42" s="22">
        <v>91</v>
      </c>
      <c r="E42" s="35" t="s">
        <v>127</v>
      </c>
      <c r="H42" s="2" t="s">
        <v>1</v>
      </c>
      <c r="I42" s="2" t="s">
        <v>1</v>
      </c>
      <c r="J42" s="2">
        <v>0</v>
      </c>
      <c r="K42" s="2">
        <v>0</v>
      </c>
      <c r="L42" s="2">
        <f t="shared" si="1"/>
        <v>0</v>
      </c>
      <c r="M42" s="2">
        <v>0</v>
      </c>
      <c r="N42" s="2" t="s">
        <v>1</v>
      </c>
      <c r="O42" s="2" t="s">
        <v>1</v>
      </c>
      <c r="P42" s="2">
        <v>0</v>
      </c>
      <c r="Q42" s="2">
        <v>0</v>
      </c>
      <c r="R42" s="2">
        <f t="shared" si="2"/>
        <v>0</v>
      </c>
      <c r="S42" s="2">
        <v>0</v>
      </c>
      <c r="T42" s="2" t="s">
        <v>1</v>
      </c>
      <c r="U42" s="2" t="s">
        <v>1</v>
      </c>
      <c r="V42" s="2">
        <v>0</v>
      </c>
      <c r="W42" s="2">
        <v>0</v>
      </c>
      <c r="X42" s="2">
        <f t="shared" si="3"/>
        <v>0</v>
      </c>
      <c r="Y42" s="2">
        <v>0</v>
      </c>
      <c r="Z42" s="2" t="s">
        <v>1</v>
      </c>
      <c r="AA42" s="2" t="s">
        <v>1</v>
      </c>
      <c r="AB42" s="2">
        <v>3</v>
      </c>
      <c r="AC42" s="2">
        <v>0</v>
      </c>
      <c r="AD42" s="2">
        <f t="shared" si="4"/>
        <v>3</v>
      </c>
      <c r="AE42" s="2">
        <v>3.5</v>
      </c>
      <c r="AF42" s="27">
        <f t="shared" si="23"/>
        <v>0</v>
      </c>
      <c r="AG42" s="27">
        <f t="shared" si="24"/>
        <v>0</v>
      </c>
      <c r="AH42" s="27">
        <f t="shared" si="13"/>
        <v>3</v>
      </c>
      <c r="AI42" s="27">
        <f t="shared" si="14"/>
        <v>0</v>
      </c>
      <c r="AJ42" s="27">
        <f t="shared" si="10"/>
        <v>3</v>
      </c>
      <c r="AK42" s="34">
        <f t="shared" si="7"/>
        <v>3.5</v>
      </c>
    </row>
    <row r="43" spans="1:37">
      <c r="A43" s="4">
        <v>2011</v>
      </c>
      <c r="B43" s="39" t="s">
        <v>130</v>
      </c>
      <c r="C43" s="15">
        <v>40711</v>
      </c>
      <c r="D43" s="22">
        <v>92</v>
      </c>
      <c r="E43" s="35" t="s">
        <v>18</v>
      </c>
      <c r="H43" s="2">
        <v>0</v>
      </c>
      <c r="I43" s="2">
        <v>14</v>
      </c>
      <c r="J43" s="2">
        <v>0</v>
      </c>
      <c r="K43" s="2">
        <v>0</v>
      </c>
      <c r="L43" s="2">
        <f t="shared" si="1"/>
        <v>14</v>
      </c>
      <c r="M43" s="2">
        <v>3.5</v>
      </c>
      <c r="N43" s="2">
        <v>0</v>
      </c>
      <c r="O43" s="2">
        <v>15</v>
      </c>
      <c r="P43" s="2">
        <v>2</v>
      </c>
      <c r="Q43" s="2">
        <v>0</v>
      </c>
      <c r="R43" s="2">
        <f t="shared" si="2"/>
        <v>17</v>
      </c>
      <c r="S43" s="2">
        <v>8</v>
      </c>
      <c r="T43" s="2">
        <v>0</v>
      </c>
      <c r="U43" s="2">
        <v>4</v>
      </c>
      <c r="V43" s="2">
        <v>0</v>
      </c>
      <c r="W43" s="2">
        <v>0</v>
      </c>
      <c r="X43" s="2">
        <f t="shared" si="3"/>
        <v>4</v>
      </c>
      <c r="Y43" s="2">
        <v>3.5</v>
      </c>
      <c r="Z43" s="2">
        <v>0</v>
      </c>
      <c r="AA43" s="2">
        <v>11</v>
      </c>
      <c r="AB43" s="2">
        <v>0</v>
      </c>
      <c r="AC43" s="2">
        <v>0</v>
      </c>
      <c r="AD43" s="2">
        <f t="shared" si="4"/>
        <v>11</v>
      </c>
      <c r="AE43" s="2">
        <v>8</v>
      </c>
      <c r="AF43" s="27">
        <f t="shared" ref="AF43:AF45" si="25">SUM(H43,N43,T43,Z43)</f>
        <v>0</v>
      </c>
      <c r="AG43" s="27">
        <f t="shared" ref="AG43:AG45" si="26">SUM(I43,O43,U43,AA43)</f>
        <v>44</v>
      </c>
      <c r="AH43" s="27">
        <f t="shared" si="13"/>
        <v>2</v>
      </c>
      <c r="AI43" s="27">
        <f t="shared" si="14"/>
        <v>0</v>
      </c>
      <c r="AJ43" s="27">
        <f t="shared" si="10"/>
        <v>46</v>
      </c>
      <c r="AK43" s="34">
        <f t="shared" si="7"/>
        <v>23</v>
      </c>
    </row>
    <row r="44" spans="1:37">
      <c r="A44" s="4">
        <v>2011</v>
      </c>
      <c r="B44" s="39" t="s">
        <v>130</v>
      </c>
      <c r="C44" s="15">
        <v>40711</v>
      </c>
      <c r="D44" s="22">
        <v>92</v>
      </c>
      <c r="E44" s="35" t="s">
        <v>127</v>
      </c>
      <c r="H44" s="2" t="s">
        <v>1</v>
      </c>
      <c r="I44" s="2" t="s">
        <v>1</v>
      </c>
      <c r="J44" s="2">
        <v>0</v>
      </c>
      <c r="K44" s="2">
        <v>0</v>
      </c>
      <c r="L44" s="2">
        <f t="shared" si="1"/>
        <v>0</v>
      </c>
      <c r="M44" s="2">
        <v>0</v>
      </c>
      <c r="N44" s="2" t="s">
        <v>1</v>
      </c>
      <c r="O44" s="2" t="s">
        <v>1</v>
      </c>
      <c r="P44" s="2">
        <v>3</v>
      </c>
      <c r="Q44" s="2">
        <v>0</v>
      </c>
      <c r="R44" s="2">
        <f t="shared" si="2"/>
        <v>3</v>
      </c>
      <c r="S44" s="2">
        <v>3.5</v>
      </c>
      <c r="T44" s="2" t="s">
        <v>1</v>
      </c>
      <c r="U44" s="2" t="s">
        <v>1</v>
      </c>
      <c r="V44" s="2">
        <v>0</v>
      </c>
      <c r="W44" s="2">
        <v>0</v>
      </c>
      <c r="X44" s="2">
        <f t="shared" si="3"/>
        <v>0</v>
      </c>
      <c r="Y44" s="2">
        <v>0</v>
      </c>
      <c r="Z44" s="2" t="s">
        <v>1</v>
      </c>
      <c r="AA44" s="2" t="s">
        <v>1</v>
      </c>
      <c r="AB44" s="2">
        <v>0</v>
      </c>
      <c r="AC44" s="2">
        <v>0</v>
      </c>
      <c r="AD44" s="2">
        <f t="shared" si="4"/>
        <v>0</v>
      </c>
      <c r="AE44" s="2">
        <v>0</v>
      </c>
      <c r="AF44" s="27">
        <f t="shared" si="25"/>
        <v>0</v>
      </c>
      <c r="AG44" s="27">
        <f t="shared" si="26"/>
        <v>0</v>
      </c>
      <c r="AH44" s="27">
        <f t="shared" si="13"/>
        <v>3</v>
      </c>
      <c r="AI44" s="27">
        <f t="shared" si="14"/>
        <v>0</v>
      </c>
      <c r="AJ44" s="27">
        <f t="shared" si="10"/>
        <v>3</v>
      </c>
      <c r="AK44" s="34">
        <f t="shared" si="7"/>
        <v>3.5</v>
      </c>
    </row>
    <row r="45" spans="1:37">
      <c r="A45" s="4">
        <v>2011</v>
      </c>
      <c r="B45" s="39" t="s">
        <v>130</v>
      </c>
      <c r="C45" s="15">
        <v>40711</v>
      </c>
      <c r="D45" s="22">
        <v>92</v>
      </c>
      <c r="E45" s="35" t="s">
        <v>169</v>
      </c>
      <c r="H45" s="2" t="s">
        <v>1</v>
      </c>
      <c r="I45" s="2" t="s">
        <v>1</v>
      </c>
      <c r="J45" s="2">
        <v>0</v>
      </c>
      <c r="K45" s="2">
        <v>0</v>
      </c>
      <c r="L45" s="2">
        <f t="shared" si="1"/>
        <v>0</v>
      </c>
      <c r="M45" s="2">
        <v>0</v>
      </c>
      <c r="N45" s="2" t="s">
        <v>1</v>
      </c>
      <c r="O45" s="2" t="s">
        <v>1</v>
      </c>
      <c r="P45" s="2">
        <v>1</v>
      </c>
      <c r="Q45" s="2">
        <v>0</v>
      </c>
      <c r="R45" s="2">
        <f t="shared" si="2"/>
        <v>1</v>
      </c>
      <c r="S45" s="2">
        <v>1.5</v>
      </c>
      <c r="T45" s="2" t="s">
        <v>1</v>
      </c>
      <c r="U45" s="2" t="s">
        <v>1</v>
      </c>
      <c r="V45" s="2">
        <v>0</v>
      </c>
      <c r="W45" s="2">
        <v>0</v>
      </c>
      <c r="X45" s="2">
        <f t="shared" si="3"/>
        <v>0</v>
      </c>
      <c r="Y45" s="2">
        <v>0</v>
      </c>
      <c r="Z45" s="2" t="s">
        <v>1</v>
      </c>
      <c r="AA45" s="2" t="s">
        <v>1</v>
      </c>
      <c r="AB45" s="2">
        <v>0</v>
      </c>
      <c r="AC45" s="2">
        <v>0</v>
      </c>
      <c r="AD45" s="2">
        <f t="shared" si="4"/>
        <v>0</v>
      </c>
      <c r="AE45" s="2">
        <v>0</v>
      </c>
      <c r="AF45" s="27">
        <f t="shared" si="25"/>
        <v>0</v>
      </c>
      <c r="AG45" s="27">
        <f t="shared" si="26"/>
        <v>0</v>
      </c>
      <c r="AH45" s="27">
        <f t="shared" si="13"/>
        <v>1</v>
      </c>
      <c r="AI45" s="27">
        <f t="shared" si="14"/>
        <v>0</v>
      </c>
      <c r="AJ45" s="27">
        <f t="shared" si="10"/>
        <v>1</v>
      </c>
      <c r="AK45" s="34">
        <f t="shared" si="7"/>
        <v>1.5</v>
      </c>
    </row>
    <row r="46" spans="1:37">
      <c r="A46" s="4">
        <v>2011</v>
      </c>
      <c r="B46" s="39" t="s">
        <v>130</v>
      </c>
      <c r="C46" s="15">
        <v>40746</v>
      </c>
      <c r="D46" s="6">
        <v>93</v>
      </c>
      <c r="E46" s="35" t="s">
        <v>18</v>
      </c>
      <c r="H46" s="2">
        <v>0</v>
      </c>
      <c r="I46" s="2">
        <v>7</v>
      </c>
      <c r="J46" s="2">
        <v>0</v>
      </c>
      <c r="K46" s="2">
        <v>0</v>
      </c>
      <c r="L46" s="2">
        <f t="shared" si="1"/>
        <v>7</v>
      </c>
      <c r="M46" s="2">
        <v>3.5</v>
      </c>
      <c r="N46" s="2">
        <v>0</v>
      </c>
      <c r="O46" s="2">
        <v>4</v>
      </c>
      <c r="P46" s="2">
        <v>1</v>
      </c>
      <c r="Q46" s="2">
        <v>0</v>
      </c>
      <c r="R46" s="2">
        <f t="shared" si="2"/>
        <v>5</v>
      </c>
      <c r="S46" s="2">
        <v>8</v>
      </c>
      <c r="T46" s="2">
        <v>0</v>
      </c>
      <c r="U46" s="2">
        <v>3</v>
      </c>
      <c r="V46" s="2">
        <v>2</v>
      </c>
      <c r="W46" s="2">
        <v>0</v>
      </c>
      <c r="X46" s="2">
        <f t="shared" si="3"/>
        <v>5</v>
      </c>
      <c r="Y46" s="2">
        <v>3.5</v>
      </c>
      <c r="Z46" s="2">
        <v>0</v>
      </c>
      <c r="AA46" s="2">
        <v>4</v>
      </c>
      <c r="AB46" s="2">
        <v>2</v>
      </c>
      <c r="AC46" s="2">
        <v>0</v>
      </c>
      <c r="AD46" s="2">
        <f t="shared" si="4"/>
        <v>6</v>
      </c>
      <c r="AE46" s="2">
        <v>8</v>
      </c>
      <c r="AF46" s="27">
        <f t="shared" ref="AF46:AF50" si="27">SUM(H46,N46,T46,Z46)</f>
        <v>0</v>
      </c>
      <c r="AG46" s="27">
        <f t="shared" ref="AG46:AG50" si="28">SUM(I46,O46,U46,AA46)</f>
        <v>18</v>
      </c>
      <c r="AH46" s="27">
        <f t="shared" si="13"/>
        <v>5</v>
      </c>
      <c r="AI46" s="27">
        <f t="shared" ref="AI46:AI50" si="29">SUM(K46,Q46,W46,AC46)</f>
        <v>0</v>
      </c>
      <c r="AJ46" s="27">
        <f t="shared" ref="AJ46:AJ50" si="30">SUM(AF46:AI46)</f>
        <v>23</v>
      </c>
      <c r="AK46" s="34">
        <f t="shared" si="7"/>
        <v>23</v>
      </c>
    </row>
    <row r="47" spans="1:37">
      <c r="A47" s="4">
        <v>2011</v>
      </c>
      <c r="B47" s="39" t="s">
        <v>130</v>
      </c>
      <c r="C47" s="15">
        <v>40746</v>
      </c>
      <c r="D47" s="6">
        <v>93</v>
      </c>
      <c r="E47" s="35" t="s">
        <v>127</v>
      </c>
      <c r="H47" s="44" t="s">
        <v>1</v>
      </c>
      <c r="I47" s="44" t="s">
        <v>1</v>
      </c>
      <c r="J47" s="2">
        <v>0</v>
      </c>
      <c r="K47" s="2">
        <v>0</v>
      </c>
      <c r="L47" s="2">
        <f t="shared" si="1"/>
        <v>0</v>
      </c>
      <c r="M47" s="2">
        <v>0</v>
      </c>
      <c r="N47" s="44" t="s">
        <v>1</v>
      </c>
      <c r="O47" s="44" t="s">
        <v>1</v>
      </c>
      <c r="P47" s="2">
        <v>1</v>
      </c>
      <c r="Q47" s="2">
        <v>0</v>
      </c>
      <c r="R47" s="2">
        <f t="shared" si="2"/>
        <v>1</v>
      </c>
      <c r="S47" s="2">
        <v>0.5</v>
      </c>
      <c r="T47" s="44" t="s">
        <v>1</v>
      </c>
      <c r="U47" s="44" t="s">
        <v>1</v>
      </c>
      <c r="V47" s="2">
        <v>2</v>
      </c>
      <c r="W47" s="2">
        <v>0</v>
      </c>
      <c r="X47" s="2">
        <f t="shared" si="3"/>
        <v>2</v>
      </c>
      <c r="Y47" s="2">
        <v>3.5</v>
      </c>
      <c r="Z47" s="44" t="s">
        <v>1</v>
      </c>
      <c r="AA47" s="44" t="s">
        <v>1</v>
      </c>
      <c r="AB47" s="2">
        <v>0</v>
      </c>
      <c r="AC47" s="2">
        <v>0</v>
      </c>
      <c r="AD47" s="2">
        <f t="shared" si="4"/>
        <v>0</v>
      </c>
      <c r="AE47" s="2">
        <v>0</v>
      </c>
      <c r="AF47" s="27">
        <f t="shared" si="27"/>
        <v>0</v>
      </c>
      <c r="AG47" s="27">
        <f t="shared" si="28"/>
        <v>0</v>
      </c>
      <c r="AH47" s="27">
        <f t="shared" si="13"/>
        <v>3</v>
      </c>
      <c r="AI47" s="27">
        <f t="shared" si="29"/>
        <v>0</v>
      </c>
      <c r="AJ47" s="27">
        <f t="shared" si="30"/>
        <v>3</v>
      </c>
      <c r="AK47" s="34">
        <f t="shared" si="7"/>
        <v>4</v>
      </c>
    </row>
    <row r="48" spans="1:37">
      <c r="A48" s="4">
        <v>2011</v>
      </c>
      <c r="B48" s="39" t="s">
        <v>130</v>
      </c>
      <c r="C48" s="15">
        <v>40746</v>
      </c>
      <c r="D48" s="6">
        <v>93</v>
      </c>
      <c r="E48" s="35" t="s">
        <v>94</v>
      </c>
      <c r="H48" s="44" t="s">
        <v>1</v>
      </c>
      <c r="I48" s="44" t="s">
        <v>1</v>
      </c>
      <c r="J48" s="2">
        <v>0</v>
      </c>
      <c r="K48" s="2">
        <v>0</v>
      </c>
      <c r="L48" s="2">
        <f t="shared" si="1"/>
        <v>0</v>
      </c>
      <c r="M48" s="2">
        <v>0</v>
      </c>
      <c r="N48" s="44" t="s">
        <v>1</v>
      </c>
      <c r="O48" s="44" t="s">
        <v>1</v>
      </c>
      <c r="P48" s="2">
        <v>0</v>
      </c>
      <c r="Q48" s="2">
        <v>0</v>
      </c>
      <c r="R48" s="2">
        <f t="shared" si="2"/>
        <v>0</v>
      </c>
      <c r="S48" s="2">
        <v>0</v>
      </c>
      <c r="T48" s="44" t="s">
        <v>1</v>
      </c>
      <c r="U48" s="44" t="s">
        <v>1</v>
      </c>
      <c r="V48" s="2">
        <v>1</v>
      </c>
      <c r="W48" s="2">
        <v>0</v>
      </c>
      <c r="X48" s="2">
        <f t="shared" si="3"/>
        <v>1</v>
      </c>
      <c r="Y48" s="2">
        <v>1.5</v>
      </c>
      <c r="Z48" s="44" t="s">
        <v>1</v>
      </c>
      <c r="AA48" s="44" t="s">
        <v>1</v>
      </c>
      <c r="AB48" s="2">
        <v>0</v>
      </c>
      <c r="AC48" s="2">
        <v>0</v>
      </c>
      <c r="AD48" s="2">
        <f t="shared" si="4"/>
        <v>0</v>
      </c>
      <c r="AE48" s="2">
        <v>0</v>
      </c>
      <c r="AF48" s="27">
        <f t="shared" si="27"/>
        <v>0</v>
      </c>
      <c r="AG48" s="27">
        <f t="shared" si="28"/>
        <v>0</v>
      </c>
      <c r="AH48" s="27">
        <f t="shared" si="13"/>
        <v>1</v>
      </c>
      <c r="AI48" s="27">
        <f t="shared" si="29"/>
        <v>0</v>
      </c>
      <c r="AJ48" s="27">
        <f t="shared" si="30"/>
        <v>1</v>
      </c>
      <c r="AK48" s="34">
        <f t="shared" si="7"/>
        <v>1.5</v>
      </c>
    </row>
    <row r="49" spans="1:37">
      <c r="A49" s="4">
        <v>2011</v>
      </c>
      <c r="B49" s="39" t="s">
        <v>130</v>
      </c>
      <c r="C49" s="15">
        <v>40746</v>
      </c>
      <c r="D49" s="6">
        <v>93</v>
      </c>
      <c r="E49" s="35" t="s">
        <v>77</v>
      </c>
      <c r="H49" s="2">
        <v>0</v>
      </c>
      <c r="I49" s="2">
        <v>0</v>
      </c>
      <c r="J49" s="2">
        <v>0</v>
      </c>
      <c r="K49" s="2">
        <v>0</v>
      </c>
      <c r="L49" s="2">
        <f t="shared" si="1"/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f t="shared" si="2"/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f t="shared" si="3"/>
        <v>1</v>
      </c>
      <c r="Y49" s="2">
        <v>3.5</v>
      </c>
      <c r="Z49" s="2">
        <v>0</v>
      </c>
      <c r="AA49" s="2">
        <v>0</v>
      </c>
      <c r="AB49" s="2">
        <v>0</v>
      </c>
      <c r="AC49" s="2">
        <v>0</v>
      </c>
      <c r="AD49" s="2">
        <f t="shared" si="4"/>
        <v>0</v>
      </c>
      <c r="AE49" s="2">
        <v>0</v>
      </c>
      <c r="AF49" s="27">
        <f t="shared" si="27"/>
        <v>0</v>
      </c>
      <c r="AG49" s="27">
        <f t="shared" si="28"/>
        <v>0</v>
      </c>
      <c r="AH49" s="27">
        <f t="shared" si="13"/>
        <v>0</v>
      </c>
      <c r="AI49" s="27">
        <f t="shared" si="29"/>
        <v>1</v>
      </c>
      <c r="AJ49" s="27">
        <f t="shared" si="30"/>
        <v>1</v>
      </c>
      <c r="AK49" s="34">
        <f t="shared" si="7"/>
        <v>3.5</v>
      </c>
    </row>
    <row r="50" spans="1:37">
      <c r="A50" s="4">
        <v>2011</v>
      </c>
      <c r="B50" s="39" t="s">
        <v>130</v>
      </c>
      <c r="C50" s="15">
        <v>40746</v>
      </c>
      <c r="D50" s="6">
        <v>93</v>
      </c>
      <c r="E50" s="35" t="s">
        <v>128</v>
      </c>
      <c r="H50" s="44" t="s">
        <v>1</v>
      </c>
      <c r="I50" s="44" t="s">
        <v>1</v>
      </c>
      <c r="J50" s="2">
        <v>0</v>
      </c>
      <c r="K50" s="2">
        <v>0</v>
      </c>
      <c r="L50" s="2">
        <f t="shared" si="1"/>
        <v>0</v>
      </c>
      <c r="M50" s="2">
        <v>0</v>
      </c>
      <c r="N50" s="44" t="s">
        <v>1</v>
      </c>
      <c r="O50" s="44" t="s">
        <v>1</v>
      </c>
      <c r="P50" s="2">
        <v>0</v>
      </c>
      <c r="Q50" s="2">
        <v>0</v>
      </c>
      <c r="R50" s="2">
        <f t="shared" si="2"/>
        <v>0</v>
      </c>
      <c r="S50" s="2">
        <v>0</v>
      </c>
      <c r="T50" s="44" t="s">
        <v>1</v>
      </c>
      <c r="U50" s="44" t="s">
        <v>1</v>
      </c>
      <c r="V50" s="2">
        <v>0</v>
      </c>
      <c r="W50" s="2">
        <v>0</v>
      </c>
      <c r="X50" s="2">
        <f t="shared" si="3"/>
        <v>0</v>
      </c>
      <c r="Y50" s="2">
        <v>0</v>
      </c>
      <c r="Z50" s="44" t="s">
        <v>1</v>
      </c>
      <c r="AA50" s="44" t="s">
        <v>1</v>
      </c>
      <c r="AB50" s="2">
        <v>1</v>
      </c>
      <c r="AC50" s="2">
        <v>0</v>
      </c>
      <c r="AD50" s="2">
        <f t="shared" si="4"/>
        <v>1</v>
      </c>
      <c r="AE50" s="2">
        <v>3.5</v>
      </c>
      <c r="AF50" s="27">
        <f t="shared" si="27"/>
        <v>0</v>
      </c>
      <c r="AG50" s="27">
        <f t="shared" si="28"/>
        <v>0</v>
      </c>
      <c r="AH50" s="27">
        <f t="shared" si="13"/>
        <v>1</v>
      </c>
      <c r="AI50" s="27">
        <f t="shared" si="29"/>
        <v>0</v>
      </c>
      <c r="AJ50" s="27">
        <f t="shared" si="30"/>
        <v>1</v>
      </c>
      <c r="AK50" s="34">
        <f t="shared" si="7"/>
        <v>3.5</v>
      </c>
    </row>
    <row r="51" spans="1:37">
      <c r="B51" s="39"/>
      <c r="E51" s="35"/>
      <c r="AF51" s="27"/>
      <c r="AG51" s="27"/>
      <c r="AH51" s="27"/>
      <c r="AI51" s="27"/>
      <c r="AJ51" s="27"/>
      <c r="AK51" s="34"/>
    </row>
    <row r="52" spans="1:37">
      <c r="B52" s="39"/>
      <c r="E52" s="35"/>
      <c r="AF52" s="27"/>
      <c r="AG52" s="27"/>
      <c r="AH52" s="27"/>
      <c r="AI52" s="27"/>
      <c r="AJ52" s="27"/>
      <c r="AK52" s="34"/>
    </row>
    <row r="53" spans="1:37">
      <c r="B53" s="39"/>
      <c r="E53" s="35"/>
      <c r="AF53" s="27"/>
      <c r="AG53" s="27"/>
      <c r="AH53" s="27"/>
      <c r="AI53" s="27"/>
      <c r="AJ53" s="27"/>
      <c r="AK53" s="34"/>
    </row>
    <row r="54" spans="1:37">
      <c r="B54" s="39"/>
      <c r="E54" s="35"/>
      <c r="AF54" s="27"/>
      <c r="AG54" s="27"/>
      <c r="AH54" s="27"/>
      <c r="AI54" s="27"/>
      <c r="AJ54" s="27"/>
      <c r="AK54" s="34"/>
    </row>
    <row r="55" spans="1:37">
      <c r="B55" s="39"/>
      <c r="E55" s="35"/>
      <c r="AF55" s="27"/>
      <c r="AG55" s="27"/>
      <c r="AH55" s="27"/>
      <c r="AI55" s="27"/>
      <c r="AJ55" s="27"/>
      <c r="AK55" s="34"/>
    </row>
    <row r="56" spans="1:37">
      <c r="B56" s="39"/>
      <c r="E56" s="35"/>
      <c r="AF56" s="27"/>
      <c r="AG56" s="27"/>
      <c r="AI56" s="27"/>
      <c r="AJ56" s="27"/>
      <c r="AK56" s="34"/>
    </row>
    <row r="57" spans="1:37">
      <c r="B57" s="39"/>
      <c r="E57" s="35"/>
      <c r="AF57" s="27"/>
      <c r="AG57" s="27"/>
      <c r="AI57" s="27"/>
      <c r="AJ57" s="27"/>
      <c r="AK57" s="34"/>
    </row>
    <row r="58" spans="1:37">
      <c r="B58" s="39"/>
      <c r="E58" s="35"/>
      <c r="AF58" s="27"/>
      <c r="AG58" s="27"/>
      <c r="AI58" s="27"/>
      <c r="AJ58" s="27"/>
      <c r="AK58" s="34"/>
    </row>
    <row r="59" spans="1:37">
      <c r="B59" s="39"/>
      <c r="E59" s="35"/>
      <c r="AF59" s="27"/>
      <c r="AG59" s="27"/>
      <c r="AI59" s="27"/>
      <c r="AJ59" s="27"/>
      <c r="AK59" s="34"/>
    </row>
    <row r="60" spans="1:37">
      <c r="B60" s="39"/>
      <c r="E60" s="35"/>
      <c r="AF60" s="27"/>
      <c r="AG60" s="27"/>
      <c r="AI60" s="27"/>
      <c r="AJ60" s="27"/>
      <c r="AK60" s="34"/>
    </row>
    <row r="61" spans="1:37">
      <c r="B61" s="39"/>
      <c r="E61" s="35"/>
      <c r="AF61" s="27"/>
      <c r="AG61" s="27"/>
      <c r="AJ61" s="27"/>
      <c r="AK61" s="34"/>
    </row>
    <row r="62" spans="1:37">
      <c r="B62" s="39"/>
      <c r="E62" s="35"/>
      <c r="H62" s="44"/>
      <c r="I62" s="44"/>
      <c r="N62" s="44"/>
      <c r="O62" s="44"/>
      <c r="T62" s="44"/>
      <c r="U62" s="44"/>
      <c r="Z62" s="44"/>
      <c r="AA62" s="44"/>
      <c r="AF62" s="27"/>
      <c r="AG62" s="27"/>
      <c r="AJ62" s="27"/>
      <c r="AK62" s="34"/>
    </row>
    <row r="63" spans="1:37">
      <c r="B63" s="39"/>
      <c r="E63" s="35"/>
      <c r="AF63" s="27"/>
      <c r="AG63" s="27"/>
      <c r="AJ63" s="27"/>
      <c r="AK63" s="34"/>
    </row>
    <row r="64" spans="1:37">
      <c r="B64" s="39"/>
      <c r="E64" s="35"/>
      <c r="H64" s="44"/>
      <c r="I64" s="44"/>
      <c r="N64" s="44"/>
      <c r="O64" s="44"/>
      <c r="T64" s="44"/>
      <c r="U64" s="44"/>
      <c r="Z64" s="44"/>
      <c r="AA64" s="44"/>
      <c r="AF64" s="27"/>
      <c r="AG64" s="27"/>
      <c r="AJ64" s="27"/>
      <c r="AK64" s="34"/>
    </row>
    <row r="65" spans="2:37">
      <c r="B65" s="39"/>
      <c r="E65" s="35"/>
      <c r="H65" s="44"/>
      <c r="I65" s="44"/>
      <c r="N65" s="44"/>
      <c r="O65" s="44"/>
      <c r="T65" s="44"/>
      <c r="U65" s="44"/>
      <c r="Z65" s="44"/>
      <c r="AA65" s="44"/>
      <c r="AF65" s="27"/>
      <c r="AG65" s="27"/>
      <c r="AJ65" s="27"/>
      <c r="AK65" s="34"/>
    </row>
    <row r="66" spans="2:37">
      <c r="B66" s="39"/>
      <c r="E66" s="35"/>
      <c r="AF66" s="27"/>
      <c r="AG66" s="27"/>
      <c r="AJ66" s="27"/>
      <c r="AK66" s="34"/>
    </row>
    <row r="67" spans="2:37">
      <c r="B67" s="39"/>
      <c r="E67" s="35"/>
      <c r="H67" s="44"/>
      <c r="I67" s="44"/>
      <c r="N67" s="44"/>
      <c r="O67" s="44"/>
      <c r="T67" s="44"/>
      <c r="U67" s="44"/>
      <c r="Z67" s="44"/>
      <c r="AA67" s="44"/>
      <c r="AF67" s="27"/>
      <c r="AG67" s="27"/>
      <c r="AJ67" s="27"/>
      <c r="AK67" s="34"/>
    </row>
    <row r="68" spans="2:37">
      <c r="B68" s="39"/>
      <c r="E68" s="35"/>
      <c r="H68" s="44"/>
      <c r="I68" s="44"/>
      <c r="N68" s="44"/>
      <c r="O68" s="44"/>
      <c r="T68" s="44"/>
      <c r="U68" s="44"/>
      <c r="Z68" s="44"/>
      <c r="AA68" s="44"/>
      <c r="AF68" s="27"/>
      <c r="AG68" s="27"/>
      <c r="AJ68" s="27"/>
      <c r="AK68" s="34"/>
    </row>
    <row r="69" spans="2:37">
      <c r="B69" s="39"/>
      <c r="E69" s="35"/>
      <c r="H69" s="44"/>
      <c r="I69" s="44"/>
      <c r="N69" s="44"/>
      <c r="O69" s="44"/>
      <c r="T69" s="44"/>
      <c r="U69" s="44"/>
      <c r="Z69" s="44"/>
      <c r="AA69" s="44"/>
      <c r="AF69" s="27"/>
      <c r="AG69" s="27"/>
      <c r="AJ69" s="27"/>
      <c r="AK69" s="34"/>
    </row>
    <row r="70" spans="2:37">
      <c r="B70" s="39"/>
      <c r="E70" s="35"/>
      <c r="AF70" s="27"/>
      <c r="AG70" s="27"/>
      <c r="AJ70" s="27"/>
      <c r="AK70" s="34"/>
    </row>
    <row r="71" spans="2:37">
      <c r="B71" s="39"/>
      <c r="E71" s="35"/>
      <c r="AF71" s="27"/>
      <c r="AJ71" s="27"/>
      <c r="AK71" s="34"/>
    </row>
    <row r="72" spans="2:37">
      <c r="B72" s="39"/>
      <c r="E72" s="35"/>
      <c r="AF72" s="27"/>
      <c r="AJ72" s="27"/>
      <c r="AK72" s="34"/>
    </row>
    <row r="73" spans="2:37">
      <c r="B73" s="39"/>
      <c r="E73" s="35"/>
      <c r="H73" s="44"/>
      <c r="I73" s="44"/>
      <c r="N73" s="44"/>
      <c r="O73" s="44"/>
      <c r="T73" s="44"/>
      <c r="U73" s="44"/>
      <c r="Z73" s="44"/>
      <c r="AA73" s="44"/>
      <c r="AF73" s="27"/>
      <c r="AJ73" s="27"/>
      <c r="AK73" s="34"/>
    </row>
    <row r="74" spans="2:37">
      <c r="B74" s="39"/>
      <c r="E74" s="35"/>
      <c r="AF74" s="27"/>
      <c r="AJ74" s="27"/>
      <c r="AK74" s="34"/>
    </row>
    <row r="75" spans="2:37">
      <c r="B75" s="39"/>
      <c r="E75" s="35"/>
      <c r="H75" s="44"/>
      <c r="I75" s="44"/>
      <c r="N75" s="44"/>
      <c r="O75" s="44"/>
      <c r="T75" s="44"/>
      <c r="U75" s="44"/>
      <c r="Z75" s="44"/>
      <c r="AA75" s="44"/>
      <c r="AF75" s="27"/>
      <c r="AJ75" s="27"/>
      <c r="AK75" s="34"/>
    </row>
    <row r="76" spans="2:37">
      <c r="B76" s="39"/>
      <c r="E76" s="35"/>
      <c r="AF76" s="27"/>
      <c r="AJ76" s="27"/>
      <c r="AK76" s="34"/>
    </row>
    <row r="77" spans="2:37">
      <c r="B77" s="39"/>
      <c r="E77" s="35"/>
      <c r="H77" s="44"/>
      <c r="I77" s="44"/>
      <c r="N77" s="44"/>
      <c r="O77" s="44"/>
      <c r="T77" s="44"/>
      <c r="U77" s="44"/>
      <c r="Z77" s="44"/>
      <c r="AA77" s="44"/>
      <c r="AF77" s="27"/>
      <c r="AJ77" s="27"/>
      <c r="AK77" s="34"/>
    </row>
    <row r="78" spans="2:37">
      <c r="B78" s="39"/>
      <c r="E78" s="35"/>
      <c r="AF78" s="27"/>
      <c r="AJ78" s="27"/>
      <c r="AK78" s="34"/>
    </row>
    <row r="79" spans="2:37">
      <c r="B79" s="39"/>
      <c r="E79" s="35"/>
      <c r="H79" s="44"/>
      <c r="I79" s="44"/>
      <c r="N79" s="44"/>
      <c r="O79" s="44"/>
      <c r="T79" s="44"/>
      <c r="U79" s="44"/>
      <c r="Z79" s="44"/>
      <c r="AA79" s="44"/>
      <c r="AF79" s="27"/>
      <c r="AJ79" s="27"/>
      <c r="AK79" s="34"/>
    </row>
    <row r="80" spans="2:37">
      <c r="B80" s="39"/>
      <c r="E80" s="35"/>
      <c r="AF80" s="27"/>
      <c r="AJ80" s="27"/>
      <c r="AK80" s="34"/>
    </row>
    <row r="81" spans="2:37">
      <c r="B81" s="39"/>
      <c r="E81" s="35"/>
      <c r="H81" s="44"/>
      <c r="I81" s="44"/>
      <c r="N81" s="44"/>
      <c r="O81" s="44"/>
      <c r="T81" s="44"/>
      <c r="U81" s="44"/>
      <c r="Z81" s="44"/>
      <c r="AA81" s="44"/>
      <c r="AF81" s="27"/>
      <c r="AJ81" s="27"/>
      <c r="AK81" s="34"/>
    </row>
    <row r="82" spans="2:37">
      <c r="B82" s="39"/>
      <c r="E82" s="35"/>
      <c r="H82" s="44"/>
      <c r="I82" s="44"/>
      <c r="N82" s="44"/>
      <c r="O82" s="44"/>
      <c r="T82" s="44"/>
      <c r="U82" s="44"/>
      <c r="Z82" s="44"/>
      <c r="AA82" s="44"/>
      <c r="AF82" s="27"/>
      <c r="AJ82" s="27"/>
      <c r="AK82" s="34"/>
    </row>
    <row r="83" spans="2:37">
      <c r="B83" s="39"/>
      <c r="E83" s="35"/>
      <c r="AF83" s="27"/>
      <c r="AJ83" s="27"/>
      <c r="AK83" s="34"/>
    </row>
    <row r="84" spans="2:37">
      <c r="B84" s="39"/>
      <c r="E84" s="35"/>
      <c r="H84" s="44"/>
      <c r="I84" s="44"/>
      <c r="N84" s="44"/>
      <c r="O84" s="44"/>
      <c r="T84" s="44"/>
      <c r="AF84" s="27"/>
      <c r="AJ84" s="27"/>
      <c r="AK84" s="34"/>
    </row>
    <row r="85" spans="2:37">
      <c r="B85" s="39"/>
      <c r="E85" s="35"/>
      <c r="AF85" s="27"/>
      <c r="AJ85" s="27"/>
      <c r="AK85" s="34"/>
    </row>
    <row r="86" spans="2:37">
      <c r="B86" s="39"/>
      <c r="E86" s="35"/>
      <c r="H86" s="44"/>
      <c r="I86" s="44"/>
      <c r="N86" s="44"/>
      <c r="O86" s="44"/>
      <c r="T86" s="44"/>
      <c r="U86" s="44"/>
      <c r="Z86" s="44"/>
      <c r="AA86" s="44"/>
      <c r="AF86" s="27"/>
      <c r="AJ86" s="27"/>
      <c r="AK86" s="34"/>
    </row>
    <row r="87" spans="2:37">
      <c r="B87" s="39"/>
      <c r="E87" s="35"/>
      <c r="H87" s="44"/>
      <c r="I87" s="44"/>
      <c r="N87" s="44"/>
      <c r="O87" s="44"/>
      <c r="T87" s="44"/>
      <c r="U87" s="44"/>
      <c r="Z87" s="44"/>
      <c r="AA87" s="44"/>
      <c r="AF87" s="27"/>
      <c r="AJ87" s="27"/>
      <c r="AK87" s="34"/>
    </row>
    <row r="88" spans="2:37">
      <c r="B88" s="39"/>
      <c r="E88" s="35"/>
      <c r="H88" s="44"/>
      <c r="I88" s="44"/>
      <c r="N88" s="44"/>
      <c r="O88" s="44"/>
      <c r="T88" s="44"/>
      <c r="U88" s="44"/>
      <c r="Z88" s="44"/>
      <c r="AA88" s="44"/>
      <c r="AF88" s="27"/>
      <c r="AJ88" s="27"/>
      <c r="AK88" s="34"/>
    </row>
    <row r="89" spans="2:37">
      <c r="B89" s="39"/>
      <c r="E89" s="35"/>
      <c r="H89" s="44"/>
      <c r="I89" s="44"/>
      <c r="N89" s="44"/>
      <c r="O89" s="44"/>
      <c r="T89" s="44"/>
      <c r="U89" s="44"/>
      <c r="Z89" s="44"/>
      <c r="AA89" s="44"/>
      <c r="AF89" s="27"/>
      <c r="AJ89" s="27"/>
      <c r="AK89" s="34"/>
    </row>
    <row r="90" spans="2:37">
      <c r="B90" s="39"/>
      <c r="E90" s="35"/>
      <c r="AF90" s="27"/>
      <c r="AJ90" s="27"/>
      <c r="AK90" s="34"/>
    </row>
    <row r="91" spans="2:37">
      <c r="B91" s="39"/>
    </row>
    <row r="92" spans="2:37">
      <c r="B92" s="39"/>
    </row>
    <row r="93" spans="2:37">
      <c r="B93" s="39"/>
    </row>
    <row r="94" spans="2:37">
      <c r="B94" s="39"/>
    </row>
    <row r="95" spans="2:37">
      <c r="B95" s="39"/>
    </row>
  </sheetData>
  <phoneticPr fontId="1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7"/>
  <sheetViews>
    <sheetView workbookViewId="0">
      <pane ySplit="3" topLeftCell="A4" activePane="bottomLeft" state="frozen"/>
      <selection pane="bottomLeft" activeCell="G57" sqref="G57"/>
    </sheetView>
  </sheetViews>
  <sheetFormatPr defaultRowHeight="13.2"/>
  <cols>
    <col min="2" max="2" width="10.6640625" customWidth="1"/>
    <col min="3" max="3" width="9.109375" style="5" customWidth="1"/>
  </cols>
  <sheetData>
    <row r="1" spans="1:10">
      <c r="A1" s="41" t="s">
        <v>92</v>
      </c>
    </row>
    <row r="3" spans="1:10">
      <c r="A3" s="32" t="s">
        <v>91</v>
      </c>
      <c r="B3" s="32" t="s">
        <v>84</v>
      </c>
      <c r="C3" s="3" t="s">
        <v>8</v>
      </c>
      <c r="D3" s="4" t="s">
        <v>9</v>
      </c>
      <c r="E3" s="4" t="s">
        <v>28</v>
      </c>
      <c r="F3" s="4" t="s">
        <v>29</v>
      </c>
      <c r="G3" s="35" t="s">
        <v>93</v>
      </c>
      <c r="H3" s="1" t="s">
        <v>30</v>
      </c>
      <c r="I3" s="1" t="s">
        <v>17</v>
      </c>
    </row>
    <row r="4" spans="1:10" s="4" customFormat="1">
      <c r="A4" s="4">
        <v>2011</v>
      </c>
      <c r="B4" s="39" t="s">
        <v>130</v>
      </c>
      <c r="C4" s="3">
        <v>40715</v>
      </c>
      <c r="D4" s="4">
        <v>4</v>
      </c>
      <c r="E4" s="4" t="s">
        <v>95</v>
      </c>
      <c r="F4" s="1">
        <v>605</v>
      </c>
      <c r="G4" s="4">
        <v>899</v>
      </c>
      <c r="H4" s="39" t="s">
        <v>1</v>
      </c>
      <c r="I4" s="4" t="s">
        <v>136</v>
      </c>
      <c r="J4" s="42"/>
    </row>
    <row r="5" spans="1:10" s="4" customFormat="1">
      <c r="A5" s="4">
        <v>2011</v>
      </c>
      <c r="B5" s="39" t="s">
        <v>130</v>
      </c>
      <c r="C5" s="3">
        <v>40715</v>
      </c>
      <c r="D5" s="4">
        <v>4</v>
      </c>
      <c r="E5" s="4" t="s">
        <v>96</v>
      </c>
      <c r="F5" s="1">
        <v>606</v>
      </c>
      <c r="G5" s="39" t="s">
        <v>1</v>
      </c>
      <c r="H5" s="39" t="s">
        <v>1</v>
      </c>
    </row>
    <row r="6" spans="1:10" s="4" customFormat="1">
      <c r="A6" s="4">
        <v>2011</v>
      </c>
      <c r="B6" s="39" t="s">
        <v>130</v>
      </c>
      <c r="C6" s="3">
        <v>40715</v>
      </c>
      <c r="D6" s="4">
        <v>4</v>
      </c>
      <c r="E6" s="1" t="s">
        <v>97</v>
      </c>
      <c r="F6" s="1">
        <v>607</v>
      </c>
      <c r="G6" s="4">
        <v>904</v>
      </c>
      <c r="H6" s="4">
        <v>900</v>
      </c>
    </row>
    <row r="7" spans="1:10" s="4" customFormat="1">
      <c r="A7" s="4">
        <v>2011</v>
      </c>
      <c r="B7" s="39" t="s">
        <v>130</v>
      </c>
      <c r="C7" s="3">
        <v>40715</v>
      </c>
      <c r="D7" s="4">
        <v>4</v>
      </c>
      <c r="E7" s="1" t="s">
        <v>98</v>
      </c>
      <c r="F7" s="1" t="s">
        <v>135</v>
      </c>
      <c r="G7" s="4">
        <v>905</v>
      </c>
      <c r="H7" s="4">
        <v>901</v>
      </c>
    </row>
    <row r="8" spans="1:10" s="4" customFormat="1">
      <c r="A8" s="4">
        <v>2011</v>
      </c>
      <c r="B8" s="39" t="s">
        <v>130</v>
      </c>
      <c r="C8" s="3">
        <v>40715</v>
      </c>
      <c r="D8" s="4">
        <v>4</v>
      </c>
      <c r="E8" s="1" t="s">
        <v>99</v>
      </c>
      <c r="F8" s="1">
        <v>610</v>
      </c>
      <c r="G8" s="1" t="s">
        <v>134</v>
      </c>
      <c r="H8" s="4">
        <v>902</v>
      </c>
    </row>
    <row r="9" spans="1:10" s="4" customFormat="1">
      <c r="A9" s="4">
        <v>2011</v>
      </c>
      <c r="B9" s="39" t="s">
        <v>130</v>
      </c>
      <c r="C9" s="3">
        <v>40715</v>
      </c>
      <c r="D9" s="4">
        <v>4</v>
      </c>
      <c r="E9" s="1" t="s">
        <v>100</v>
      </c>
      <c r="F9" s="1">
        <v>611</v>
      </c>
      <c r="G9" s="1">
        <v>908</v>
      </c>
      <c r="H9" s="1">
        <v>903</v>
      </c>
    </row>
    <row r="10" spans="1:10" s="4" customFormat="1">
      <c r="A10" s="4">
        <v>2011</v>
      </c>
      <c r="B10" s="39" t="s">
        <v>130</v>
      </c>
      <c r="C10" s="3">
        <v>40715</v>
      </c>
      <c r="D10" s="1">
        <v>5</v>
      </c>
      <c r="E10" s="4" t="s">
        <v>95</v>
      </c>
      <c r="F10" s="1">
        <v>584</v>
      </c>
      <c r="G10" s="1">
        <v>890</v>
      </c>
      <c r="H10" s="1" t="s">
        <v>1</v>
      </c>
      <c r="I10" s="4" t="s">
        <v>139</v>
      </c>
      <c r="J10" s="42"/>
    </row>
    <row r="11" spans="1:10" s="4" customFormat="1">
      <c r="A11" s="4">
        <v>2011</v>
      </c>
      <c r="B11" s="39" t="s">
        <v>130</v>
      </c>
      <c r="C11" s="3">
        <v>40715</v>
      </c>
      <c r="D11" s="1">
        <v>5</v>
      </c>
      <c r="E11" s="4" t="s">
        <v>96</v>
      </c>
      <c r="F11" s="1">
        <v>585</v>
      </c>
      <c r="G11" s="39" t="s">
        <v>1</v>
      </c>
      <c r="H11" s="39" t="s">
        <v>1</v>
      </c>
    </row>
    <row r="12" spans="1:10" s="4" customFormat="1">
      <c r="A12" s="4">
        <v>2011</v>
      </c>
      <c r="B12" s="39" t="s">
        <v>130</v>
      </c>
      <c r="C12" s="3">
        <v>40715</v>
      </c>
      <c r="D12" s="1">
        <v>5</v>
      </c>
      <c r="E12" s="1" t="s">
        <v>97</v>
      </c>
      <c r="F12" s="1">
        <v>586</v>
      </c>
      <c r="G12" s="35">
        <v>895</v>
      </c>
      <c r="H12" s="35">
        <v>891</v>
      </c>
    </row>
    <row r="13" spans="1:10" s="4" customFormat="1">
      <c r="A13" s="4">
        <v>2011</v>
      </c>
      <c r="B13" s="39" t="s">
        <v>130</v>
      </c>
      <c r="C13" s="3">
        <v>40715</v>
      </c>
      <c r="D13" s="1">
        <v>5</v>
      </c>
      <c r="E13" s="1" t="s">
        <v>98</v>
      </c>
      <c r="F13" s="1">
        <v>587</v>
      </c>
      <c r="G13" s="35">
        <v>896</v>
      </c>
      <c r="H13" s="35">
        <v>892</v>
      </c>
    </row>
    <row r="14" spans="1:10" s="4" customFormat="1">
      <c r="A14" s="4">
        <v>2011</v>
      </c>
      <c r="B14" s="39" t="s">
        <v>130</v>
      </c>
      <c r="C14" s="3">
        <v>40715</v>
      </c>
      <c r="D14" s="1">
        <v>5</v>
      </c>
      <c r="E14" s="1" t="s">
        <v>99</v>
      </c>
      <c r="F14" s="1">
        <v>588</v>
      </c>
      <c r="G14" s="35">
        <v>897</v>
      </c>
      <c r="H14" s="35">
        <v>893</v>
      </c>
      <c r="I14" s="39"/>
    </row>
    <row r="15" spans="1:10" s="4" customFormat="1">
      <c r="A15" s="4">
        <v>2011</v>
      </c>
      <c r="B15" s="39" t="s">
        <v>130</v>
      </c>
      <c r="C15" s="3">
        <v>40715</v>
      </c>
      <c r="D15" s="1">
        <v>5</v>
      </c>
      <c r="E15" s="1" t="s">
        <v>100</v>
      </c>
      <c r="F15" s="30">
        <v>589</v>
      </c>
      <c r="G15" s="35">
        <v>898</v>
      </c>
      <c r="H15" s="35">
        <v>894</v>
      </c>
    </row>
    <row r="16" spans="1:10" s="4" customFormat="1">
      <c r="A16" s="4">
        <v>2011</v>
      </c>
      <c r="B16" s="39" t="s">
        <v>130</v>
      </c>
      <c r="C16" s="3">
        <v>40715</v>
      </c>
      <c r="D16" s="1">
        <v>6</v>
      </c>
      <c r="E16" s="4" t="s">
        <v>95</v>
      </c>
      <c r="F16" s="1" t="s">
        <v>1</v>
      </c>
      <c r="G16" s="35">
        <v>909</v>
      </c>
      <c r="H16" s="39" t="s">
        <v>1</v>
      </c>
      <c r="J16" s="42"/>
    </row>
    <row r="17" spans="1:10" s="4" customFormat="1">
      <c r="A17" s="4">
        <v>2011</v>
      </c>
      <c r="B17" s="39" t="s">
        <v>130</v>
      </c>
      <c r="C17" s="3">
        <v>40715</v>
      </c>
      <c r="D17" s="1">
        <v>6</v>
      </c>
      <c r="E17" s="4" t="s">
        <v>96</v>
      </c>
      <c r="F17" s="30">
        <v>612</v>
      </c>
      <c r="G17" s="39" t="s">
        <v>1</v>
      </c>
      <c r="H17" s="39" t="s">
        <v>1</v>
      </c>
    </row>
    <row r="18" spans="1:10" s="4" customFormat="1">
      <c r="A18" s="4">
        <v>2011</v>
      </c>
      <c r="B18" s="39" t="s">
        <v>130</v>
      </c>
      <c r="C18" s="3">
        <v>40715</v>
      </c>
      <c r="D18" s="1">
        <v>6</v>
      </c>
      <c r="E18" s="1" t="s">
        <v>97</v>
      </c>
      <c r="F18" s="30">
        <v>613</v>
      </c>
      <c r="G18" s="35">
        <v>915</v>
      </c>
      <c r="H18" s="35">
        <v>910</v>
      </c>
    </row>
    <row r="19" spans="1:10" s="4" customFormat="1">
      <c r="A19" s="4">
        <v>2011</v>
      </c>
      <c r="B19" s="39" t="s">
        <v>130</v>
      </c>
      <c r="C19" s="3">
        <v>40715</v>
      </c>
      <c r="D19" s="1">
        <v>6</v>
      </c>
      <c r="E19" s="1" t="s">
        <v>98</v>
      </c>
      <c r="F19" s="30">
        <v>614</v>
      </c>
      <c r="G19" s="35">
        <v>916</v>
      </c>
      <c r="H19" s="35" t="s">
        <v>167</v>
      </c>
    </row>
    <row r="20" spans="1:10" s="4" customFormat="1">
      <c r="A20" s="4">
        <v>2011</v>
      </c>
      <c r="B20" s="39" t="s">
        <v>130</v>
      </c>
      <c r="C20" s="3">
        <v>40715</v>
      </c>
      <c r="D20" s="1">
        <v>6</v>
      </c>
      <c r="E20" s="1" t="s">
        <v>99</v>
      </c>
      <c r="F20" s="30">
        <v>615</v>
      </c>
      <c r="G20" s="35" t="s">
        <v>168</v>
      </c>
      <c r="H20" s="37">
        <v>913</v>
      </c>
    </row>
    <row r="21" spans="1:10" s="4" customFormat="1">
      <c r="A21" s="4">
        <v>2011</v>
      </c>
      <c r="B21" s="39" t="s">
        <v>130</v>
      </c>
      <c r="C21" s="3">
        <v>40715</v>
      </c>
      <c r="D21" s="1">
        <v>6</v>
      </c>
      <c r="E21" s="1" t="s">
        <v>100</v>
      </c>
      <c r="F21" s="30">
        <v>616</v>
      </c>
      <c r="G21" s="35">
        <v>919</v>
      </c>
      <c r="H21" s="37">
        <v>914</v>
      </c>
    </row>
    <row r="22" spans="1:10" s="4" customFormat="1">
      <c r="A22" s="4">
        <v>2011</v>
      </c>
      <c r="B22" s="39" t="s">
        <v>130</v>
      </c>
      <c r="C22" s="3">
        <v>40724</v>
      </c>
      <c r="D22" s="1">
        <v>10</v>
      </c>
      <c r="E22" s="4" t="s">
        <v>95</v>
      </c>
      <c r="F22" s="30">
        <v>1189</v>
      </c>
      <c r="G22" s="35">
        <v>7209</v>
      </c>
      <c r="H22" s="4" t="s">
        <v>1</v>
      </c>
      <c r="I22" s="35" t="s">
        <v>194</v>
      </c>
      <c r="J22" s="42"/>
    </row>
    <row r="23" spans="1:10" s="4" customFormat="1">
      <c r="A23" s="4">
        <v>2011</v>
      </c>
      <c r="B23" s="39" t="s">
        <v>130</v>
      </c>
      <c r="C23" s="3">
        <v>40724</v>
      </c>
      <c r="D23" s="1">
        <v>10</v>
      </c>
      <c r="E23" s="4" t="s">
        <v>96</v>
      </c>
      <c r="F23" s="30">
        <v>1190</v>
      </c>
      <c r="G23" s="4" t="s">
        <v>1</v>
      </c>
      <c r="H23" s="4" t="s">
        <v>1</v>
      </c>
    </row>
    <row r="24" spans="1:10" s="4" customFormat="1">
      <c r="A24" s="4">
        <v>2011</v>
      </c>
      <c r="B24" s="39" t="s">
        <v>130</v>
      </c>
      <c r="C24" s="3">
        <v>40724</v>
      </c>
      <c r="D24" s="1">
        <v>10</v>
      </c>
      <c r="E24" s="1" t="s">
        <v>97</v>
      </c>
      <c r="F24" s="30">
        <v>1191</v>
      </c>
      <c r="G24" s="30">
        <v>7210</v>
      </c>
      <c r="H24" s="30" t="s">
        <v>174</v>
      </c>
    </row>
    <row r="25" spans="1:10" s="4" customFormat="1">
      <c r="A25" s="4">
        <v>2011</v>
      </c>
      <c r="B25" s="39" t="s">
        <v>130</v>
      </c>
      <c r="C25" s="3">
        <v>40724</v>
      </c>
      <c r="D25" s="1">
        <v>10</v>
      </c>
      <c r="E25" s="1" t="s">
        <v>98</v>
      </c>
      <c r="F25" s="30">
        <v>1192</v>
      </c>
      <c r="G25" s="30">
        <v>7211</v>
      </c>
      <c r="H25" s="35">
        <v>7216</v>
      </c>
    </row>
    <row r="26" spans="1:10" s="4" customFormat="1">
      <c r="A26" s="4">
        <v>2011</v>
      </c>
      <c r="B26" s="39" t="s">
        <v>130</v>
      </c>
      <c r="C26" s="3">
        <v>40724</v>
      </c>
      <c r="D26" s="1">
        <v>10</v>
      </c>
      <c r="E26" s="1" t="s">
        <v>99</v>
      </c>
      <c r="F26" s="30">
        <v>1193</v>
      </c>
      <c r="G26" s="30">
        <v>7212</v>
      </c>
      <c r="H26" s="35">
        <v>7217</v>
      </c>
    </row>
    <row r="27" spans="1:10" s="4" customFormat="1">
      <c r="A27" s="4">
        <v>2011</v>
      </c>
      <c r="B27" s="39" t="s">
        <v>130</v>
      </c>
      <c r="C27" s="3">
        <v>40724</v>
      </c>
      <c r="D27" s="1">
        <v>10</v>
      </c>
      <c r="E27" s="1" t="s">
        <v>100</v>
      </c>
      <c r="F27" s="30">
        <v>1194</v>
      </c>
      <c r="G27" s="30">
        <v>7213</v>
      </c>
      <c r="H27" s="35">
        <v>7218</v>
      </c>
    </row>
    <row r="28" spans="1:10" s="4" customFormat="1">
      <c r="A28" s="4">
        <v>2011</v>
      </c>
      <c r="B28" s="39" t="s">
        <v>130</v>
      </c>
      <c r="C28" s="3">
        <v>40724</v>
      </c>
      <c r="D28" s="1">
        <v>11</v>
      </c>
      <c r="E28" s="4" t="s">
        <v>95</v>
      </c>
      <c r="F28" s="30">
        <v>1183</v>
      </c>
      <c r="G28" s="30">
        <v>7200</v>
      </c>
      <c r="H28" s="4" t="s">
        <v>1</v>
      </c>
      <c r="I28" s="39" t="s">
        <v>194</v>
      </c>
      <c r="J28" s="42"/>
    </row>
    <row r="29" spans="1:10" s="4" customFormat="1">
      <c r="A29" s="4">
        <v>2011</v>
      </c>
      <c r="B29" s="39" t="s">
        <v>130</v>
      </c>
      <c r="C29" s="3">
        <v>40724</v>
      </c>
      <c r="D29" s="1">
        <v>11</v>
      </c>
      <c r="E29" s="4" t="s">
        <v>96</v>
      </c>
      <c r="F29" s="30">
        <v>1184</v>
      </c>
      <c r="G29" s="4" t="s">
        <v>1</v>
      </c>
      <c r="H29" s="4" t="s">
        <v>1</v>
      </c>
    </row>
    <row r="30" spans="1:10" s="4" customFormat="1">
      <c r="A30" s="4">
        <v>2011</v>
      </c>
      <c r="B30" s="39" t="s">
        <v>130</v>
      </c>
      <c r="C30" s="3">
        <v>40724</v>
      </c>
      <c r="D30" s="1">
        <v>11</v>
      </c>
      <c r="E30" s="1" t="s">
        <v>97</v>
      </c>
      <c r="F30" s="30">
        <v>1185</v>
      </c>
      <c r="G30" s="1">
        <v>7205</v>
      </c>
      <c r="H30" s="1">
        <v>7201</v>
      </c>
    </row>
    <row r="31" spans="1:10" s="4" customFormat="1">
      <c r="A31" s="4">
        <v>2011</v>
      </c>
      <c r="B31" s="39" t="s">
        <v>130</v>
      </c>
      <c r="C31" s="3">
        <v>40724</v>
      </c>
      <c r="D31" s="1">
        <v>11</v>
      </c>
      <c r="E31" s="1" t="s">
        <v>98</v>
      </c>
      <c r="F31" s="30">
        <v>1186</v>
      </c>
      <c r="G31" s="1">
        <v>7206</v>
      </c>
      <c r="H31" s="1">
        <v>7202</v>
      </c>
    </row>
    <row r="32" spans="1:10" s="4" customFormat="1">
      <c r="A32" s="4">
        <v>2011</v>
      </c>
      <c r="B32" s="39" t="s">
        <v>130</v>
      </c>
      <c r="C32" s="3">
        <v>40724</v>
      </c>
      <c r="D32" s="1">
        <v>11</v>
      </c>
      <c r="E32" s="1" t="s">
        <v>99</v>
      </c>
      <c r="F32" s="30">
        <v>1187</v>
      </c>
      <c r="G32" s="1">
        <v>7207</v>
      </c>
      <c r="H32" s="1">
        <v>7203</v>
      </c>
    </row>
    <row r="33" spans="1:10" s="4" customFormat="1">
      <c r="A33" s="4">
        <v>2011</v>
      </c>
      <c r="B33" s="39" t="s">
        <v>130</v>
      </c>
      <c r="C33" s="3">
        <v>40724</v>
      </c>
      <c r="D33" s="1">
        <v>11</v>
      </c>
      <c r="E33" s="1" t="s">
        <v>100</v>
      </c>
      <c r="F33" s="30">
        <v>1188</v>
      </c>
      <c r="G33" s="1">
        <v>7208</v>
      </c>
      <c r="H33" s="1">
        <v>7204</v>
      </c>
    </row>
    <row r="34" spans="1:10" s="4" customFormat="1">
      <c r="A34" s="4">
        <v>2011</v>
      </c>
      <c r="B34" s="39" t="s">
        <v>130</v>
      </c>
      <c r="C34" s="3">
        <v>40746</v>
      </c>
      <c r="D34" s="1">
        <v>12</v>
      </c>
      <c r="E34" s="4" t="s">
        <v>95</v>
      </c>
      <c r="F34" s="1">
        <v>1164</v>
      </c>
      <c r="G34" s="1">
        <v>7746</v>
      </c>
      <c r="H34" s="35" t="s">
        <v>1</v>
      </c>
      <c r="J34" s="42"/>
    </row>
    <row r="35" spans="1:10" s="4" customFormat="1">
      <c r="A35" s="4">
        <v>2011</v>
      </c>
      <c r="B35" s="39" t="s">
        <v>130</v>
      </c>
      <c r="C35" s="3">
        <v>40746</v>
      </c>
      <c r="D35" s="1">
        <v>12</v>
      </c>
      <c r="E35" s="4" t="s">
        <v>96</v>
      </c>
      <c r="F35" s="1">
        <v>1165</v>
      </c>
      <c r="G35" s="39" t="s">
        <v>1</v>
      </c>
      <c r="H35" s="35" t="s">
        <v>1</v>
      </c>
    </row>
    <row r="36" spans="1:10" s="4" customFormat="1">
      <c r="A36" s="4">
        <v>2011</v>
      </c>
      <c r="B36" s="39" t="s">
        <v>130</v>
      </c>
      <c r="C36" s="3">
        <v>40746</v>
      </c>
      <c r="D36" s="1">
        <v>12</v>
      </c>
      <c r="E36" s="1" t="s">
        <v>97</v>
      </c>
      <c r="F36" s="1">
        <v>1166</v>
      </c>
      <c r="G36" s="35">
        <v>7747</v>
      </c>
      <c r="H36" s="1">
        <v>7751</v>
      </c>
    </row>
    <row r="37" spans="1:10" s="4" customFormat="1">
      <c r="A37" s="4">
        <v>2011</v>
      </c>
      <c r="B37" s="39" t="s">
        <v>130</v>
      </c>
      <c r="C37" s="3">
        <v>40746</v>
      </c>
      <c r="D37" s="1">
        <v>12</v>
      </c>
      <c r="E37" s="1" t="s">
        <v>98</v>
      </c>
      <c r="F37" s="1">
        <v>1167</v>
      </c>
      <c r="G37" s="35">
        <v>7748</v>
      </c>
      <c r="H37" s="1">
        <v>7752</v>
      </c>
    </row>
    <row r="38" spans="1:10" s="4" customFormat="1">
      <c r="A38" s="4">
        <v>2011</v>
      </c>
      <c r="B38" s="39" t="s">
        <v>130</v>
      </c>
      <c r="C38" s="3">
        <v>40746</v>
      </c>
      <c r="D38" s="1">
        <v>12</v>
      </c>
      <c r="E38" s="1" t="s">
        <v>99</v>
      </c>
      <c r="F38" s="1">
        <v>1168</v>
      </c>
      <c r="G38" s="35">
        <v>7749</v>
      </c>
      <c r="H38" s="1">
        <v>7753</v>
      </c>
    </row>
    <row r="39" spans="1:10" s="4" customFormat="1">
      <c r="A39" s="4">
        <v>2011</v>
      </c>
      <c r="B39" s="39" t="s">
        <v>130</v>
      </c>
      <c r="C39" s="3">
        <v>40746</v>
      </c>
      <c r="D39" s="1">
        <v>12</v>
      </c>
      <c r="E39" s="1" t="s">
        <v>100</v>
      </c>
      <c r="F39" s="1">
        <v>1169</v>
      </c>
      <c r="G39" s="35">
        <v>7750</v>
      </c>
      <c r="H39" s="1">
        <v>7754</v>
      </c>
    </row>
    <row r="40" spans="1:10" s="4" customFormat="1">
      <c r="A40" s="4">
        <v>2011</v>
      </c>
      <c r="B40" s="39" t="s">
        <v>130</v>
      </c>
      <c r="C40" s="3">
        <v>40711</v>
      </c>
      <c r="D40" s="1">
        <v>91</v>
      </c>
      <c r="E40" s="4" t="s">
        <v>95</v>
      </c>
      <c r="F40" s="1">
        <v>578</v>
      </c>
      <c r="G40" s="1">
        <v>6881</v>
      </c>
      <c r="H40" s="4" t="s">
        <v>1</v>
      </c>
      <c r="J40" s="42"/>
    </row>
    <row r="41" spans="1:10" s="4" customFormat="1">
      <c r="A41" s="4">
        <v>2011</v>
      </c>
      <c r="B41" s="39" t="s">
        <v>130</v>
      </c>
      <c r="C41" s="3">
        <v>40711</v>
      </c>
      <c r="D41" s="1">
        <v>91</v>
      </c>
      <c r="E41" s="4" t="s">
        <v>96</v>
      </c>
      <c r="F41" s="1">
        <v>579</v>
      </c>
      <c r="G41" s="4" t="s">
        <v>1</v>
      </c>
      <c r="H41" s="4" t="s">
        <v>1</v>
      </c>
    </row>
    <row r="42" spans="1:10" s="4" customFormat="1">
      <c r="A42" s="4">
        <v>2011</v>
      </c>
      <c r="B42" s="39" t="s">
        <v>130</v>
      </c>
      <c r="C42" s="3">
        <v>40711</v>
      </c>
      <c r="D42" s="1">
        <v>91</v>
      </c>
      <c r="E42" s="1" t="s">
        <v>97</v>
      </c>
      <c r="F42" s="1">
        <v>580</v>
      </c>
      <c r="G42" s="1">
        <v>6882</v>
      </c>
      <c r="H42" s="1">
        <v>6886</v>
      </c>
    </row>
    <row r="43" spans="1:10" s="4" customFormat="1">
      <c r="A43" s="4">
        <v>2011</v>
      </c>
      <c r="B43" s="39" t="s">
        <v>130</v>
      </c>
      <c r="C43" s="3">
        <v>40711</v>
      </c>
      <c r="D43" s="1">
        <v>91</v>
      </c>
      <c r="E43" s="1" t="s">
        <v>98</v>
      </c>
      <c r="F43" s="1">
        <v>581</v>
      </c>
      <c r="G43" s="1">
        <v>6883</v>
      </c>
      <c r="H43" s="1">
        <v>6887</v>
      </c>
    </row>
    <row r="44" spans="1:10" s="4" customFormat="1">
      <c r="A44" s="4">
        <v>2011</v>
      </c>
      <c r="B44" s="39" t="s">
        <v>130</v>
      </c>
      <c r="C44" s="3">
        <v>40711</v>
      </c>
      <c r="D44" s="1">
        <v>91</v>
      </c>
      <c r="E44" s="1" t="s">
        <v>99</v>
      </c>
      <c r="F44" s="1">
        <v>582</v>
      </c>
      <c r="G44" s="1">
        <v>6884</v>
      </c>
      <c r="H44" s="1">
        <v>6888</v>
      </c>
    </row>
    <row r="45" spans="1:10" s="4" customFormat="1">
      <c r="A45" s="4">
        <v>2011</v>
      </c>
      <c r="B45" s="39" t="s">
        <v>130</v>
      </c>
      <c r="C45" s="3">
        <v>40711</v>
      </c>
      <c r="D45" s="1">
        <v>91</v>
      </c>
      <c r="E45" s="1" t="s">
        <v>100</v>
      </c>
      <c r="F45" s="1">
        <v>583</v>
      </c>
      <c r="G45" s="1">
        <v>6885</v>
      </c>
      <c r="H45" s="1">
        <v>6889</v>
      </c>
    </row>
    <row r="46" spans="1:10" s="4" customFormat="1">
      <c r="A46" s="4">
        <v>2011</v>
      </c>
      <c r="B46" s="39" t="s">
        <v>130</v>
      </c>
      <c r="C46" s="3">
        <v>40711</v>
      </c>
      <c r="D46" s="1">
        <v>92</v>
      </c>
      <c r="E46" s="4" t="s">
        <v>95</v>
      </c>
      <c r="F46" s="4" t="s">
        <v>184</v>
      </c>
      <c r="G46" s="1" t="s">
        <v>183</v>
      </c>
      <c r="H46" s="1" t="s">
        <v>1</v>
      </c>
      <c r="J46" s="42"/>
    </row>
    <row r="47" spans="1:10" s="4" customFormat="1">
      <c r="A47" s="4">
        <v>2011</v>
      </c>
      <c r="B47" s="39" t="s">
        <v>130</v>
      </c>
      <c r="C47" s="3">
        <v>40711</v>
      </c>
      <c r="D47" s="1">
        <v>92</v>
      </c>
      <c r="E47" s="4" t="s">
        <v>96</v>
      </c>
      <c r="F47" s="1">
        <v>568</v>
      </c>
      <c r="G47" s="4" t="s">
        <v>1</v>
      </c>
      <c r="H47" s="1" t="s">
        <v>1</v>
      </c>
    </row>
    <row r="48" spans="1:10" s="4" customFormat="1">
      <c r="A48" s="4">
        <v>2011</v>
      </c>
      <c r="B48" s="39" t="s">
        <v>130</v>
      </c>
      <c r="C48" s="3">
        <v>40711</v>
      </c>
      <c r="D48" s="1">
        <v>92</v>
      </c>
      <c r="E48" s="1" t="s">
        <v>97</v>
      </c>
      <c r="F48" s="1">
        <v>569</v>
      </c>
      <c r="G48" s="1">
        <v>6877</v>
      </c>
      <c r="H48" s="1">
        <v>6871</v>
      </c>
    </row>
    <row r="49" spans="1:10" s="4" customFormat="1">
      <c r="A49" s="4">
        <v>2011</v>
      </c>
      <c r="B49" s="39" t="s">
        <v>130</v>
      </c>
      <c r="C49" s="3">
        <v>40711</v>
      </c>
      <c r="D49" s="1">
        <v>92</v>
      </c>
      <c r="E49" s="1" t="s">
        <v>98</v>
      </c>
      <c r="F49" s="1">
        <v>570</v>
      </c>
      <c r="G49" s="1">
        <v>6878</v>
      </c>
      <c r="H49" s="1" t="s">
        <v>182</v>
      </c>
      <c r="I49" s="1"/>
    </row>
    <row r="50" spans="1:10" s="4" customFormat="1">
      <c r="A50" s="4">
        <v>2011</v>
      </c>
      <c r="B50" s="39" t="s">
        <v>130</v>
      </c>
      <c r="C50" s="3">
        <v>40711</v>
      </c>
      <c r="D50" s="1">
        <v>92</v>
      </c>
      <c r="E50" s="1" t="s">
        <v>99</v>
      </c>
      <c r="F50" s="1">
        <v>571</v>
      </c>
      <c r="G50" s="1">
        <v>6879</v>
      </c>
      <c r="H50" s="4">
        <v>6874</v>
      </c>
    </row>
    <row r="51" spans="1:10" s="4" customFormat="1">
      <c r="A51" s="4">
        <v>2011</v>
      </c>
      <c r="B51" s="39" t="s">
        <v>130</v>
      </c>
      <c r="C51" s="3">
        <v>40711</v>
      </c>
      <c r="D51" s="1">
        <v>92</v>
      </c>
      <c r="E51" s="1" t="s">
        <v>100</v>
      </c>
      <c r="F51" s="1">
        <v>572</v>
      </c>
      <c r="G51" s="1">
        <v>6880</v>
      </c>
      <c r="H51" s="1">
        <v>6875</v>
      </c>
      <c r="I51" s="1"/>
    </row>
    <row r="52" spans="1:10" s="4" customFormat="1">
      <c r="A52" s="4">
        <v>2011</v>
      </c>
      <c r="B52" s="39" t="s">
        <v>130</v>
      </c>
      <c r="C52" s="3">
        <v>40746</v>
      </c>
      <c r="D52" s="1">
        <v>93</v>
      </c>
      <c r="E52" s="4" t="s">
        <v>95</v>
      </c>
      <c r="F52" s="1">
        <v>1157</v>
      </c>
      <c r="G52" s="1">
        <v>7737</v>
      </c>
      <c r="H52" s="35" t="s">
        <v>1</v>
      </c>
      <c r="J52" s="42"/>
    </row>
    <row r="53" spans="1:10" s="4" customFormat="1">
      <c r="A53" s="4">
        <v>2011</v>
      </c>
      <c r="B53" s="39" t="s">
        <v>130</v>
      </c>
      <c r="C53" s="3">
        <v>40746</v>
      </c>
      <c r="D53" s="1">
        <v>93</v>
      </c>
      <c r="E53" s="4" t="s">
        <v>96</v>
      </c>
      <c r="F53" s="35" t="s">
        <v>218</v>
      </c>
      <c r="G53" s="39" t="s">
        <v>1</v>
      </c>
      <c r="H53" s="35" t="s">
        <v>1</v>
      </c>
    </row>
    <row r="54" spans="1:10" s="4" customFormat="1">
      <c r="A54" s="4">
        <v>2011</v>
      </c>
      <c r="B54" s="39" t="s">
        <v>130</v>
      </c>
      <c r="C54" s="3">
        <v>40746</v>
      </c>
      <c r="D54" s="1">
        <v>93</v>
      </c>
      <c r="E54" s="1" t="s">
        <v>97</v>
      </c>
      <c r="F54" s="30">
        <v>1160</v>
      </c>
      <c r="G54" s="35">
        <v>7738</v>
      </c>
      <c r="H54" s="4">
        <v>7742</v>
      </c>
    </row>
    <row r="55" spans="1:10" s="4" customFormat="1">
      <c r="A55" s="4">
        <v>2011</v>
      </c>
      <c r="B55" s="39" t="s">
        <v>130</v>
      </c>
      <c r="C55" s="3">
        <v>40746</v>
      </c>
      <c r="D55" s="1">
        <v>93</v>
      </c>
      <c r="E55" s="1" t="s">
        <v>98</v>
      </c>
      <c r="F55" s="30">
        <v>1161</v>
      </c>
      <c r="G55" s="35">
        <v>7739</v>
      </c>
      <c r="H55" s="1">
        <v>7743</v>
      </c>
    </row>
    <row r="56" spans="1:10" s="4" customFormat="1">
      <c r="A56" s="4">
        <v>2011</v>
      </c>
      <c r="B56" s="39" t="s">
        <v>130</v>
      </c>
      <c r="C56" s="3">
        <v>40746</v>
      </c>
      <c r="D56" s="1">
        <v>93</v>
      </c>
      <c r="E56" s="1" t="s">
        <v>99</v>
      </c>
      <c r="F56" s="30">
        <v>1162</v>
      </c>
      <c r="G56" s="35">
        <v>7740</v>
      </c>
      <c r="H56" s="1">
        <v>7744</v>
      </c>
    </row>
    <row r="57" spans="1:10" s="4" customFormat="1">
      <c r="A57" s="4">
        <v>2011</v>
      </c>
      <c r="B57" s="39" t="s">
        <v>130</v>
      </c>
      <c r="C57" s="3">
        <v>40746</v>
      </c>
      <c r="D57" s="1">
        <v>93</v>
      </c>
      <c r="E57" s="1" t="s">
        <v>100</v>
      </c>
      <c r="F57" s="30">
        <v>1163</v>
      </c>
      <c r="G57" s="35">
        <v>7741</v>
      </c>
      <c r="H57" s="1">
        <v>7745</v>
      </c>
    </row>
    <row r="58" spans="1:10" s="4" customFormat="1">
      <c r="B58" s="39"/>
      <c r="C58" s="3"/>
      <c r="D58" s="1"/>
      <c r="F58" s="1"/>
      <c r="G58" s="35"/>
      <c r="H58" s="39"/>
      <c r="J58" s="42"/>
    </row>
    <row r="59" spans="1:10" s="4" customFormat="1">
      <c r="B59" s="39"/>
      <c r="C59" s="3"/>
      <c r="D59" s="1"/>
      <c r="F59" s="1"/>
      <c r="G59" s="39"/>
      <c r="H59" s="39"/>
    </row>
    <row r="60" spans="1:10" s="4" customFormat="1">
      <c r="B60" s="39"/>
      <c r="C60" s="3"/>
      <c r="D60" s="1"/>
      <c r="E60" s="1"/>
      <c r="F60" s="1"/>
      <c r="G60" s="35"/>
      <c r="I60" s="39"/>
    </row>
    <row r="61" spans="1:10" s="4" customFormat="1">
      <c r="B61" s="39"/>
      <c r="C61" s="3"/>
      <c r="D61" s="1"/>
      <c r="E61" s="1"/>
      <c r="F61" s="52"/>
      <c r="G61" s="39"/>
      <c r="H61" s="1"/>
      <c r="I61" s="39"/>
    </row>
    <row r="62" spans="1:10" s="4" customFormat="1">
      <c r="B62" s="39"/>
      <c r="C62" s="3"/>
      <c r="D62" s="1"/>
      <c r="E62" s="1"/>
      <c r="F62" s="1"/>
      <c r="H62" s="1"/>
    </row>
    <row r="63" spans="1:10" s="4" customFormat="1">
      <c r="B63" s="39"/>
      <c r="C63" s="3"/>
      <c r="D63" s="1"/>
      <c r="E63" s="1"/>
      <c r="F63" s="1"/>
      <c r="H63" s="1"/>
    </row>
    <row r="64" spans="1:10" s="4" customFormat="1">
      <c r="B64" s="39"/>
      <c r="C64" s="3"/>
      <c r="D64" s="1"/>
      <c r="F64" s="39"/>
      <c r="G64" s="1"/>
      <c r="H64" s="39"/>
      <c r="J64" s="42"/>
    </row>
    <row r="65" spans="2:10" s="4" customFormat="1">
      <c r="B65" s="39"/>
      <c r="C65" s="3"/>
      <c r="D65" s="1"/>
      <c r="F65" s="39"/>
      <c r="G65" s="39"/>
      <c r="H65" s="39"/>
    </row>
    <row r="66" spans="2:10" s="4" customFormat="1">
      <c r="B66" s="39"/>
      <c r="C66" s="3"/>
      <c r="D66" s="1"/>
      <c r="E66" s="1"/>
      <c r="F66" s="35"/>
      <c r="G66" s="35"/>
      <c r="H66" s="35"/>
    </row>
    <row r="67" spans="2:10" s="4" customFormat="1">
      <c r="B67" s="39"/>
      <c r="C67" s="3"/>
      <c r="D67" s="1"/>
      <c r="E67" s="1"/>
      <c r="F67" s="43"/>
      <c r="G67" s="35"/>
      <c r="H67" s="35"/>
    </row>
    <row r="68" spans="2:10" s="4" customFormat="1">
      <c r="B68" s="39"/>
      <c r="C68" s="3"/>
      <c r="D68" s="1"/>
      <c r="E68" s="1"/>
      <c r="F68" s="35"/>
      <c r="G68" s="39"/>
      <c r="H68" s="35"/>
    </row>
    <row r="69" spans="2:10" s="4" customFormat="1">
      <c r="B69" s="39"/>
      <c r="C69" s="3"/>
      <c r="D69" s="1"/>
      <c r="E69" s="1"/>
      <c r="F69" s="39"/>
      <c r="G69" s="35"/>
      <c r="H69" s="35"/>
    </row>
    <row r="70" spans="2:10" s="4" customFormat="1">
      <c r="B70" s="39"/>
      <c r="C70" s="3"/>
      <c r="D70" s="1"/>
      <c r="F70" s="39"/>
      <c r="G70" s="35"/>
      <c r="H70" s="39"/>
      <c r="I70" s="35"/>
      <c r="J70" s="42"/>
    </row>
    <row r="71" spans="2:10" s="4" customFormat="1">
      <c r="B71" s="39"/>
      <c r="C71" s="3"/>
      <c r="D71" s="1"/>
      <c r="F71" s="30"/>
      <c r="G71" s="39"/>
      <c r="H71" s="39"/>
    </row>
    <row r="72" spans="2:10" s="4" customFormat="1">
      <c r="B72" s="39"/>
      <c r="C72" s="3"/>
      <c r="D72" s="1"/>
      <c r="E72" s="1"/>
      <c r="F72" s="39"/>
      <c r="H72" s="35"/>
    </row>
    <row r="73" spans="2:10" s="4" customFormat="1">
      <c r="B73" s="39"/>
      <c r="C73" s="3"/>
      <c r="D73" s="1"/>
      <c r="E73" s="1"/>
      <c r="F73" s="1"/>
      <c r="H73" s="35"/>
    </row>
    <row r="74" spans="2:10" s="4" customFormat="1">
      <c r="B74" s="39"/>
      <c r="C74" s="3"/>
      <c r="D74" s="1"/>
      <c r="E74" s="1"/>
      <c r="F74" s="1"/>
      <c r="G74" s="39"/>
      <c r="H74" s="35"/>
    </row>
    <row r="75" spans="2:10" s="4" customFormat="1">
      <c r="B75" s="39"/>
      <c r="C75" s="3"/>
      <c r="D75" s="1"/>
      <c r="E75" s="1"/>
      <c r="F75" s="39"/>
      <c r="G75" s="35"/>
      <c r="H75" s="35"/>
    </row>
    <row r="76" spans="2:10" s="4" customFormat="1">
      <c r="B76" s="39"/>
      <c r="C76" s="3"/>
      <c r="D76" s="1"/>
      <c r="F76" s="35"/>
      <c r="H76" s="39"/>
      <c r="J76" s="42"/>
    </row>
    <row r="77" spans="2:10" s="4" customFormat="1">
      <c r="B77" s="39"/>
      <c r="C77" s="3"/>
      <c r="D77" s="1"/>
      <c r="F77" s="1"/>
      <c r="G77" s="39"/>
      <c r="H77" s="39"/>
    </row>
    <row r="78" spans="2:10" s="4" customFormat="1">
      <c r="B78" s="39"/>
      <c r="C78" s="3"/>
      <c r="D78" s="1"/>
      <c r="E78" s="1"/>
      <c r="F78" s="1"/>
      <c r="H78" s="35"/>
      <c r="I78" s="39"/>
    </row>
    <row r="79" spans="2:10" s="4" customFormat="1">
      <c r="B79" s="39"/>
      <c r="C79" s="3"/>
      <c r="D79" s="1"/>
      <c r="E79" s="1"/>
      <c r="F79" s="1"/>
      <c r="H79" s="35"/>
    </row>
    <row r="80" spans="2:10" s="4" customFormat="1">
      <c r="B80" s="39"/>
      <c r="C80" s="3"/>
      <c r="D80" s="1"/>
      <c r="E80" s="1"/>
      <c r="F80" s="39"/>
      <c r="G80" s="39"/>
      <c r="H80" s="35"/>
    </row>
    <row r="81" spans="1:10" s="4" customFormat="1">
      <c r="B81" s="39"/>
      <c r="C81" s="3"/>
      <c r="D81" s="1"/>
      <c r="E81" s="1"/>
      <c r="F81" s="30"/>
      <c r="G81" s="35"/>
      <c r="H81" s="35"/>
    </row>
    <row r="82" spans="1:10" s="4" customFormat="1">
      <c r="B82" s="39"/>
      <c r="C82" s="3"/>
      <c r="D82" s="1"/>
      <c r="F82" s="39"/>
      <c r="G82" s="35"/>
      <c r="H82" s="39"/>
      <c r="J82" s="42"/>
    </row>
    <row r="83" spans="1:10" s="4" customFormat="1">
      <c r="B83" s="39"/>
      <c r="C83" s="3"/>
      <c r="D83" s="1"/>
      <c r="F83" s="30"/>
      <c r="G83" s="39"/>
      <c r="H83" s="39"/>
    </row>
    <row r="84" spans="1:10" s="4" customFormat="1">
      <c r="B84" s="39"/>
      <c r="C84" s="3"/>
      <c r="D84" s="1"/>
      <c r="E84" s="1"/>
      <c r="F84" s="39"/>
      <c r="G84" s="35"/>
      <c r="H84" s="35"/>
    </row>
    <row r="85" spans="1:10" s="4" customFormat="1">
      <c r="B85" s="39"/>
      <c r="C85" s="3"/>
      <c r="D85" s="1"/>
      <c r="E85" s="1"/>
      <c r="F85" s="1"/>
      <c r="G85" s="35"/>
      <c r="H85" s="35"/>
    </row>
    <row r="86" spans="1:10" s="4" customFormat="1">
      <c r="B86" s="39"/>
      <c r="C86" s="3"/>
      <c r="D86" s="1"/>
      <c r="E86" s="1"/>
      <c r="F86" s="39"/>
      <c r="G86" s="35"/>
      <c r="H86" s="35"/>
    </row>
    <row r="87" spans="1:10" s="4" customFormat="1">
      <c r="B87" s="39"/>
      <c r="C87" s="3"/>
      <c r="D87" s="1"/>
      <c r="E87" s="1"/>
      <c r="F87" s="1"/>
      <c r="G87" s="35"/>
      <c r="H87" s="35"/>
      <c r="I87" s="39"/>
    </row>
    <row r="88" spans="1:10" s="4" customFormat="1">
      <c r="B88" s="39"/>
      <c r="C88" s="3"/>
      <c r="D88" s="1"/>
      <c r="F88" s="1"/>
      <c r="G88" s="35"/>
      <c r="H88" s="39"/>
      <c r="J88" s="42"/>
    </row>
    <row r="89" spans="1:10" s="4" customFormat="1">
      <c r="B89" s="39"/>
      <c r="C89" s="3"/>
      <c r="D89" s="1"/>
      <c r="F89" s="1"/>
      <c r="G89" s="39"/>
      <c r="H89" s="39"/>
    </row>
    <row r="90" spans="1:10" s="4" customFormat="1">
      <c r="B90" s="39"/>
      <c r="C90" s="3"/>
      <c r="D90" s="1"/>
      <c r="E90" s="1"/>
      <c r="F90" s="1"/>
      <c r="G90" s="35"/>
      <c r="H90" s="35"/>
    </row>
    <row r="91" spans="1:10" s="4" customFormat="1">
      <c r="B91" s="39"/>
      <c r="C91" s="3"/>
      <c r="D91" s="1"/>
      <c r="E91" s="1"/>
      <c r="F91" s="1"/>
      <c r="G91" s="39"/>
      <c r="H91" s="35"/>
    </row>
    <row r="92" spans="1:10" s="4" customFormat="1">
      <c r="B92" s="39"/>
      <c r="C92" s="3"/>
      <c r="D92" s="1"/>
      <c r="E92" s="1"/>
      <c r="F92" s="1"/>
      <c r="G92" s="35"/>
      <c r="H92" s="35"/>
    </row>
    <row r="93" spans="1:10" s="4" customFormat="1">
      <c r="B93" s="39"/>
      <c r="C93" s="3"/>
      <c r="D93" s="1"/>
      <c r="E93" s="1"/>
      <c r="F93" s="1"/>
      <c r="G93" s="35"/>
      <c r="H93" s="35"/>
    </row>
    <row r="94" spans="1:10" s="4" customFormat="1">
      <c r="B94" s="39"/>
      <c r="C94" s="3"/>
      <c r="D94" s="1"/>
      <c r="F94" s="1"/>
      <c r="G94" s="35"/>
      <c r="H94" s="39"/>
      <c r="J94" s="42"/>
    </row>
    <row r="95" spans="1:10" s="4" customFormat="1">
      <c r="B95" s="39"/>
      <c r="C95" s="3"/>
      <c r="D95" s="1"/>
      <c r="F95" s="1"/>
      <c r="G95" s="39"/>
      <c r="H95" s="39"/>
    </row>
    <row r="96" spans="1:10">
      <c r="A96" s="4"/>
      <c r="B96" s="39"/>
      <c r="C96" s="3"/>
      <c r="D96" s="1"/>
      <c r="E96" s="1"/>
      <c r="F96" s="1"/>
      <c r="H96" s="35"/>
    </row>
    <row r="97" spans="1:10">
      <c r="A97" s="4"/>
      <c r="B97" s="39"/>
      <c r="C97" s="3"/>
      <c r="D97" s="1"/>
      <c r="E97" s="1"/>
      <c r="F97" s="1"/>
      <c r="H97" s="35"/>
    </row>
    <row r="98" spans="1:10">
      <c r="A98" s="4"/>
      <c r="B98" s="39"/>
      <c r="C98" s="3"/>
      <c r="D98" s="1"/>
      <c r="E98" s="1"/>
      <c r="F98" s="1"/>
      <c r="H98" s="35"/>
    </row>
    <row r="99" spans="1:10">
      <c r="A99" s="4"/>
      <c r="B99" s="39"/>
      <c r="C99" s="3"/>
      <c r="D99" s="1"/>
      <c r="E99" s="1"/>
      <c r="F99" s="1"/>
      <c r="H99" s="35"/>
    </row>
    <row r="100" spans="1:10">
      <c r="A100" s="4"/>
      <c r="B100" s="39"/>
      <c r="D100" s="1"/>
      <c r="E100" s="4"/>
      <c r="F100" s="32"/>
      <c r="G100" s="32"/>
      <c r="H100" s="32"/>
      <c r="J100" s="31"/>
    </row>
    <row r="101" spans="1:10">
      <c r="A101" s="4"/>
      <c r="B101" s="39"/>
      <c r="D101" s="1"/>
      <c r="E101" s="4"/>
      <c r="F101" s="30"/>
      <c r="G101" s="32"/>
      <c r="H101" s="32"/>
    </row>
    <row r="102" spans="1:10">
      <c r="A102" s="4"/>
      <c r="B102" s="39"/>
      <c r="D102" s="1"/>
      <c r="E102" s="1"/>
      <c r="F102" s="30"/>
      <c r="G102" s="32"/>
      <c r="H102" s="32"/>
    </row>
    <row r="103" spans="1:10">
      <c r="A103" s="4"/>
      <c r="B103" s="39"/>
      <c r="D103" s="1"/>
      <c r="E103" s="1"/>
      <c r="F103" s="30"/>
      <c r="G103" s="32"/>
    </row>
    <row r="104" spans="1:10">
      <c r="A104" s="4"/>
      <c r="B104" s="39"/>
      <c r="D104" s="1"/>
      <c r="E104" s="1"/>
      <c r="F104" s="30"/>
      <c r="G104" s="32"/>
    </row>
    <row r="105" spans="1:10">
      <c r="A105" s="4"/>
      <c r="B105" s="39"/>
      <c r="D105" s="1"/>
      <c r="E105" s="1"/>
      <c r="F105" s="30"/>
      <c r="G105" s="32"/>
    </row>
    <row r="106" spans="1:10">
      <c r="A106" s="4"/>
      <c r="B106" s="39"/>
      <c r="D106" s="1"/>
      <c r="E106" s="4"/>
      <c r="F106" s="30"/>
      <c r="G106" s="32"/>
      <c r="H106" s="32"/>
      <c r="J106" s="31"/>
    </row>
    <row r="107" spans="1:10">
      <c r="A107" s="4"/>
      <c r="B107" s="39"/>
      <c r="D107" s="1"/>
      <c r="E107" s="4"/>
      <c r="F107" s="30"/>
      <c r="G107" s="32"/>
      <c r="H107" s="32"/>
    </row>
    <row r="108" spans="1:10">
      <c r="A108" s="4"/>
      <c r="B108" s="39"/>
      <c r="D108" s="1"/>
      <c r="E108" s="1"/>
      <c r="F108" s="30"/>
      <c r="G108" s="32"/>
      <c r="H108" s="32"/>
    </row>
    <row r="109" spans="1:10">
      <c r="A109" s="4"/>
      <c r="B109" s="39"/>
      <c r="D109" s="1"/>
      <c r="E109" s="1"/>
      <c r="F109" s="30"/>
      <c r="G109" s="32"/>
      <c r="H109" s="32"/>
    </row>
    <row r="110" spans="1:10">
      <c r="A110" s="4"/>
      <c r="B110" s="39"/>
      <c r="D110" s="1"/>
      <c r="E110" s="1"/>
      <c r="F110" s="30"/>
      <c r="H110" s="32"/>
    </row>
    <row r="111" spans="1:10">
      <c r="A111" s="4"/>
      <c r="B111" s="39"/>
      <c r="D111" s="1"/>
      <c r="E111" s="1"/>
      <c r="F111" s="30"/>
      <c r="H111" s="32"/>
    </row>
    <row r="112" spans="1:10">
      <c r="E112" s="4"/>
    </row>
    <row r="113" spans="5:5">
      <c r="E113" s="4"/>
    </row>
    <row r="114" spans="5:5">
      <c r="E114" s="4"/>
    </row>
    <row r="115" spans="5:5">
      <c r="E115" s="4"/>
    </row>
    <row r="117" spans="5:5">
      <c r="E117" s="4"/>
    </row>
  </sheetData>
  <sortState ref="A4:J57">
    <sortCondition ref="D4:D57"/>
    <sortCondition ref="C4:C57"/>
  </sortState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9"/>
  <sheetViews>
    <sheetView workbookViewId="0">
      <pane ySplit="4" topLeftCell="A5" activePane="bottomLeft" state="frozen"/>
      <selection pane="bottomLeft" activeCell="E9" sqref="E9"/>
    </sheetView>
  </sheetViews>
  <sheetFormatPr defaultRowHeight="13.2"/>
  <cols>
    <col min="2" max="2" width="10.88671875" customWidth="1"/>
    <col min="3" max="3" width="9.109375" style="5" customWidth="1"/>
    <col min="5" max="5" width="18.5546875" bestFit="1" customWidth="1"/>
    <col min="14" max="14" width="8.88671875" style="49"/>
  </cols>
  <sheetData>
    <row r="1" spans="1:14">
      <c r="A1" s="3" t="s">
        <v>101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A2" s="3" t="s">
        <v>102</v>
      </c>
      <c r="D2" s="2"/>
      <c r="E2" s="2"/>
      <c r="F2" s="2"/>
      <c r="G2" s="2"/>
      <c r="H2" s="2"/>
      <c r="I2" s="2"/>
      <c r="J2" s="2"/>
      <c r="K2" s="2"/>
      <c r="L2" s="2"/>
    </row>
    <row r="3" spans="1:14">
      <c r="C3" s="3"/>
      <c r="D3" s="2"/>
      <c r="E3" s="2"/>
      <c r="F3" s="2"/>
      <c r="G3" s="2"/>
      <c r="H3" s="2"/>
      <c r="I3" s="2"/>
      <c r="J3" s="2"/>
      <c r="K3" s="2"/>
      <c r="L3" s="2"/>
    </row>
    <row r="4" spans="1:14" ht="13.8" thickBot="1">
      <c r="A4" s="40" t="s">
        <v>91</v>
      </c>
      <c r="B4" s="40" t="s">
        <v>84</v>
      </c>
      <c r="C4" s="14" t="s">
        <v>8</v>
      </c>
      <c r="D4" s="10" t="s">
        <v>9</v>
      </c>
      <c r="E4" s="10" t="s">
        <v>10</v>
      </c>
      <c r="F4" s="10" t="s">
        <v>103</v>
      </c>
      <c r="G4" s="33" t="s">
        <v>104</v>
      </c>
      <c r="H4" s="10" t="s">
        <v>105</v>
      </c>
      <c r="I4" s="33" t="s">
        <v>106</v>
      </c>
      <c r="J4" s="10" t="s">
        <v>107</v>
      </c>
      <c r="K4" s="33" t="s">
        <v>108</v>
      </c>
      <c r="L4" s="45" t="s">
        <v>109</v>
      </c>
      <c r="M4" s="46" t="s">
        <v>110</v>
      </c>
      <c r="N4" s="54" t="s">
        <v>17</v>
      </c>
    </row>
    <row r="5" spans="1:14" ht="13.8" thickTop="1">
      <c r="A5">
        <v>2011</v>
      </c>
      <c r="B5" t="s">
        <v>130</v>
      </c>
      <c r="C5" s="5">
        <v>40715</v>
      </c>
      <c r="D5">
        <v>4</v>
      </c>
      <c r="E5" t="s">
        <v>111</v>
      </c>
      <c r="F5">
        <v>61</v>
      </c>
      <c r="G5">
        <v>70</v>
      </c>
      <c r="H5">
        <v>6</v>
      </c>
      <c r="I5">
        <v>8</v>
      </c>
      <c r="J5">
        <v>31</v>
      </c>
      <c r="K5">
        <v>40</v>
      </c>
      <c r="L5">
        <v>81</v>
      </c>
      <c r="M5">
        <v>90</v>
      </c>
    </row>
    <row r="6" spans="1:14">
      <c r="A6">
        <v>2011</v>
      </c>
      <c r="B6" t="s">
        <v>130</v>
      </c>
      <c r="C6" s="5">
        <v>40715</v>
      </c>
      <c r="D6">
        <v>4</v>
      </c>
      <c r="E6" t="s">
        <v>40</v>
      </c>
      <c r="F6">
        <v>61</v>
      </c>
      <c r="G6">
        <v>70</v>
      </c>
      <c r="H6">
        <v>6</v>
      </c>
      <c r="I6">
        <v>8</v>
      </c>
      <c r="J6">
        <v>31</v>
      </c>
      <c r="K6">
        <v>40</v>
      </c>
      <c r="L6">
        <v>81</v>
      </c>
      <c r="M6">
        <v>90</v>
      </c>
    </row>
    <row r="7" spans="1:14">
      <c r="A7">
        <v>2011</v>
      </c>
      <c r="B7" t="s">
        <v>130</v>
      </c>
      <c r="C7" s="5">
        <v>40715</v>
      </c>
      <c r="D7">
        <v>4</v>
      </c>
      <c r="E7" t="s">
        <v>77</v>
      </c>
      <c r="F7" t="s">
        <v>2</v>
      </c>
      <c r="G7">
        <v>0.5</v>
      </c>
      <c r="H7" t="s">
        <v>2</v>
      </c>
      <c r="I7">
        <v>0.5</v>
      </c>
      <c r="J7">
        <v>0</v>
      </c>
      <c r="K7">
        <v>0</v>
      </c>
      <c r="L7">
        <v>0</v>
      </c>
      <c r="M7">
        <v>0</v>
      </c>
    </row>
    <row r="8" spans="1:14">
      <c r="A8">
        <v>2011</v>
      </c>
      <c r="B8" t="s">
        <v>130</v>
      </c>
      <c r="C8" s="5">
        <v>40715</v>
      </c>
      <c r="D8">
        <v>4</v>
      </c>
      <c r="E8" t="s">
        <v>70</v>
      </c>
      <c r="F8" t="s">
        <v>2</v>
      </c>
      <c r="G8">
        <v>0.5</v>
      </c>
      <c r="H8" t="s">
        <v>2</v>
      </c>
      <c r="I8">
        <v>0.5</v>
      </c>
      <c r="J8">
        <v>0</v>
      </c>
      <c r="K8">
        <v>0</v>
      </c>
      <c r="L8">
        <v>0</v>
      </c>
      <c r="M8">
        <v>0</v>
      </c>
    </row>
    <row r="9" spans="1:14">
      <c r="A9">
        <v>2011</v>
      </c>
      <c r="B9" t="s">
        <v>130</v>
      </c>
      <c r="C9" s="5">
        <v>40715</v>
      </c>
      <c r="D9">
        <v>5</v>
      </c>
      <c r="E9" t="s">
        <v>111</v>
      </c>
      <c r="F9">
        <v>81</v>
      </c>
      <c r="G9">
        <v>90</v>
      </c>
      <c r="H9">
        <v>6</v>
      </c>
      <c r="I9">
        <v>8</v>
      </c>
      <c r="J9">
        <v>31</v>
      </c>
      <c r="K9">
        <v>40</v>
      </c>
      <c r="L9">
        <v>81</v>
      </c>
      <c r="M9">
        <v>90</v>
      </c>
    </row>
    <row r="10" spans="1:14">
      <c r="A10">
        <v>2011</v>
      </c>
      <c r="B10" t="s">
        <v>130</v>
      </c>
      <c r="C10" s="5">
        <v>40715</v>
      </c>
      <c r="D10">
        <v>5</v>
      </c>
      <c r="E10" t="s">
        <v>40</v>
      </c>
      <c r="F10">
        <v>81</v>
      </c>
      <c r="G10">
        <v>90</v>
      </c>
      <c r="H10">
        <v>6</v>
      </c>
      <c r="I10">
        <v>8</v>
      </c>
      <c r="J10">
        <v>31</v>
      </c>
      <c r="K10">
        <v>40</v>
      </c>
      <c r="L10">
        <v>81</v>
      </c>
      <c r="M10">
        <v>90</v>
      </c>
    </row>
    <row r="11" spans="1:14">
      <c r="A11">
        <v>2011</v>
      </c>
      <c r="B11" t="s">
        <v>130</v>
      </c>
      <c r="C11" s="5">
        <v>40715</v>
      </c>
      <c r="D11">
        <v>5</v>
      </c>
      <c r="E11" t="s">
        <v>77</v>
      </c>
      <c r="F11" t="s">
        <v>2</v>
      </c>
      <c r="G11">
        <v>0.5</v>
      </c>
      <c r="H11">
        <v>1</v>
      </c>
      <c r="I11">
        <v>3</v>
      </c>
      <c r="J11" t="s">
        <v>2</v>
      </c>
      <c r="K11">
        <v>0.5</v>
      </c>
      <c r="L11">
        <v>0</v>
      </c>
      <c r="M11">
        <v>0</v>
      </c>
    </row>
    <row r="12" spans="1:14">
      <c r="A12">
        <v>2011</v>
      </c>
      <c r="B12" t="s">
        <v>130</v>
      </c>
      <c r="C12" s="5">
        <v>40715</v>
      </c>
      <c r="D12">
        <v>5</v>
      </c>
      <c r="E12" t="s">
        <v>82</v>
      </c>
      <c r="F12">
        <v>1</v>
      </c>
      <c r="G12">
        <v>3</v>
      </c>
      <c r="H12" t="s">
        <v>2</v>
      </c>
      <c r="I12">
        <v>0.5</v>
      </c>
      <c r="J12">
        <v>0</v>
      </c>
      <c r="K12">
        <v>0</v>
      </c>
      <c r="L12">
        <v>0</v>
      </c>
      <c r="M12">
        <v>0</v>
      </c>
    </row>
    <row r="13" spans="1:14">
      <c r="A13">
        <v>2011</v>
      </c>
      <c r="B13" t="s">
        <v>130</v>
      </c>
      <c r="C13" s="5">
        <v>40715</v>
      </c>
      <c r="D13">
        <v>5</v>
      </c>
      <c r="E13" t="s">
        <v>70</v>
      </c>
      <c r="F13">
        <v>1</v>
      </c>
      <c r="G13">
        <v>3</v>
      </c>
      <c r="H13" t="s">
        <v>2</v>
      </c>
      <c r="I13">
        <v>0.5</v>
      </c>
      <c r="J13">
        <v>0</v>
      </c>
      <c r="K13">
        <v>0</v>
      </c>
      <c r="L13">
        <v>0</v>
      </c>
      <c r="M13">
        <v>0</v>
      </c>
    </row>
    <row r="14" spans="1:14">
      <c r="A14">
        <v>2011</v>
      </c>
      <c r="B14" t="s">
        <v>130</v>
      </c>
      <c r="C14" s="5">
        <v>40715</v>
      </c>
      <c r="D14">
        <v>6</v>
      </c>
      <c r="E14" t="s">
        <v>111</v>
      </c>
      <c r="F14">
        <v>41</v>
      </c>
      <c r="G14">
        <v>50</v>
      </c>
      <c r="H14">
        <v>21</v>
      </c>
      <c r="I14">
        <v>30</v>
      </c>
      <c r="J14">
        <v>41</v>
      </c>
      <c r="K14">
        <v>50</v>
      </c>
      <c r="L14">
        <v>81</v>
      </c>
      <c r="M14">
        <v>90</v>
      </c>
    </row>
    <row r="15" spans="1:14">
      <c r="A15">
        <v>2011</v>
      </c>
      <c r="B15" t="s">
        <v>130</v>
      </c>
      <c r="C15" s="5">
        <v>40715</v>
      </c>
      <c r="D15">
        <v>6</v>
      </c>
      <c r="E15" t="s">
        <v>40</v>
      </c>
      <c r="F15">
        <v>41</v>
      </c>
      <c r="G15">
        <v>50</v>
      </c>
      <c r="H15">
        <v>21</v>
      </c>
      <c r="I15">
        <v>30</v>
      </c>
      <c r="J15">
        <v>41</v>
      </c>
      <c r="K15">
        <v>50</v>
      </c>
      <c r="L15">
        <v>41</v>
      </c>
      <c r="M15">
        <v>50</v>
      </c>
    </row>
    <row r="16" spans="1:14">
      <c r="A16">
        <v>2011</v>
      </c>
      <c r="B16" t="s">
        <v>130</v>
      </c>
      <c r="C16" s="5">
        <v>40715</v>
      </c>
      <c r="D16">
        <v>6</v>
      </c>
      <c r="E16" t="s">
        <v>77</v>
      </c>
      <c r="F16" t="s">
        <v>2</v>
      </c>
      <c r="G16">
        <v>0.5</v>
      </c>
      <c r="H16" t="s">
        <v>2</v>
      </c>
      <c r="I16">
        <v>0.5</v>
      </c>
      <c r="J16">
        <v>0</v>
      </c>
      <c r="K16">
        <v>0</v>
      </c>
      <c r="L16">
        <v>0</v>
      </c>
      <c r="M16">
        <v>0</v>
      </c>
    </row>
    <row r="17" spans="1:13">
      <c r="A17">
        <v>2011</v>
      </c>
      <c r="B17" t="s">
        <v>130</v>
      </c>
      <c r="C17" s="5">
        <v>40715</v>
      </c>
      <c r="D17">
        <v>6</v>
      </c>
      <c r="E17" t="s">
        <v>70</v>
      </c>
      <c r="F17">
        <v>6</v>
      </c>
      <c r="G17">
        <v>8</v>
      </c>
      <c r="H17">
        <v>6</v>
      </c>
      <c r="I17">
        <v>8</v>
      </c>
      <c r="J17">
        <v>1</v>
      </c>
      <c r="K17">
        <v>3</v>
      </c>
      <c r="L17">
        <v>0</v>
      </c>
      <c r="M17">
        <v>0</v>
      </c>
    </row>
    <row r="18" spans="1:13">
      <c r="A18">
        <v>2011</v>
      </c>
      <c r="B18" t="s">
        <v>130</v>
      </c>
      <c r="C18" s="5">
        <v>40715</v>
      </c>
      <c r="D18">
        <v>6</v>
      </c>
      <c r="E18" t="s">
        <v>19</v>
      </c>
      <c r="F18" t="s">
        <v>2</v>
      </c>
      <c r="G18">
        <v>0.5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>
        <v>2011</v>
      </c>
      <c r="B19" t="s">
        <v>130</v>
      </c>
      <c r="C19" s="5">
        <v>40724</v>
      </c>
      <c r="D19">
        <v>10</v>
      </c>
      <c r="E19" t="s">
        <v>111</v>
      </c>
      <c r="F19">
        <v>61</v>
      </c>
      <c r="G19">
        <v>70</v>
      </c>
      <c r="H19">
        <v>21</v>
      </c>
      <c r="I19">
        <v>30</v>
      </c>
      <c r="J19">
        <v>21</v>
      </c>
      <c r="K19">
        <v>30</v>
      </c>
      <c r="L19">
        <v>81</v>
      </c>
      <c r="M19">
        <v>90</v>
      </c>
    </row>
    <row r="20" spans="1:13">
      <c r="A20">
        <v>2011</v>
      </c>
      <c r="B20" t="s">
        <v>130</v>
      </c>
      <c r="C20" s="5">
        <v>40724</v>
      </c>
      <c r="D20">
        <v>10</v>
      </c>
      <c r="E20" t="s">
        <v>40</v>
      </c>
      <c r="F20">
        <v>61</v>
      </c>
      <c r="G20">
        <v>70</v>
      </c>
      <c r="H20">
        <v>21</v>
      </c>
      <c r="I20">
        <v>30</v>
      </c>
      <c r="J20">
        <v>21</v>
      </c>
      <c r="K20">
        <v>30</v>
      </c>
      <c r="L20">
        <v>81</v>
      </c>
      <c r="M20">
        <v>90</v>
      </c>
    </row>
    <row r="21" spans="1:13">
      <c r="A21">
        <v>2011</v>
      </c>
      <c r="B21" t="s">
        <v>130</v>
      </c>
      <c r="C21" s="5">
        <v>40724</v>
      </c>
      <c r="D21">
        <v>10</v>
      </c>
      <c r="E21" t="s">
        <v>69</v>
      </c>
      <c r="F21" t="s">
        <v>2</v>
      </c>
      <c r="G21">
        <v>0.5</v>
      </c>
      <c r="H21" t="s">
        <v>2</v>
      </c>
      <c r="I21">
        <v>0.5</v>
      </c>
      <c r="J21">
        <v>0</v>
      </c>
      <c r="K21">
        <v>0</v>
      </c>
      <c r="L21">
        <v>0</v>
      </c>
      <c r="M21">
        <v>0</v>
      </c>
    </row>
    <row r="22" spans="1:13">
      <c r="A22">
        <v>2011</v>
      </c>
      <c r="B22" t="s">
        <v>130</v>
      </c>
      <c r="C22" s="5">
        <v>40724</v>
      </c>
      <c r="D22">
        <v>10</v>
      </c>
      <c r="E22" t="s">
        <v>70</v>
      </c>
      <c r="F22">
        <v>1</v>
      </c>
      <c r="G22">
        <v>3</v>
      </c>
      <c r="H22" t="s">
        <v>2</v>
      </c>
      <c r="I22">
        <v>0.5</v>
      </c>
      <c r="J22">
        <v>0</v>
      </c>
      <c r="K22">
        <v>0</v>
      </c>
      <c r="L22">
        <v>0</v>
      </c>
      <c r="M22">
        <v>0</v>
      </c>
    </row>
    <row r="23" spans="1:13">
      <c r="A23">
        <v>2011</v>
      </c>
      <c r="B23" t="s">
        <v>130</v>
      </c>
      <c r="C23" s="5">
        <v>40724</v>
      </c>
      <c r="D23">
        <v>10</v>
      </c>
      <c r="E23" t="s">
        <v>175</v>
      </c>
      <c r="F23">
        <v>1</v>
      </c>
      <c r="G23">
        <v>3</v>
      </c>
      <c r="H23">
        <v>1</v>
      </c>
      <c r="I23">
        <v>3</v>
      </c>
      <c r="J23">
        <v>0</v>
      </c>
      <c r="K23">
        <v>0</v>
      </c>
      <c r="L23">
        <v>0</v>
      </c>
      <c r="M23">
        <v>0</v>
      </c>
    </row>
    <row r="24" spans="1:13">
      <c r="A24">
        <v>2011</v>
      </c>
      <c r="B24" t="s">
        <v>130</v>
      </c>
      <c r="C24" s="5">
        <v>40724</v>
      </c>
      <c r="D24">
        <v>11</v>
      </c>
      <c r="E24" t="s">
        <v>111</v>
      </c>
      <c r="F24">
        <v>61</v>
      </c>
      <c r="G24">
        <v>70</v>
      </c>
      <c r="H24">
        <v>11</v>
      </c>
      <c r="I24">
        <v>15</v>
      </c>
      <c r="J24">
        <v>21</v>
      </c>
      <c r="K24">
        <v>30</v>
      </c>
      <c r="L24">
        <v>81</v>
      </c>
      <c r="M24">
        <v>90</v>
      </c>
    </row>
    <row r="25" spans="1:13">
      <c r="A25">
        <v>2011</v>
      </c>
      <c r="B25" t="s">
        <v>130</v>
      </c>
      <c r="C25" s="5">
        <v>40724</v>
      </c>
      <c r="D25">
        <v>11</v>
      </c>
      <c r="E25" t="s">
        <v>40</v>
      </c>
      <c r="F25">
        <v>61</v>
      </c>
      <c r="G25">
        <v>70</v>
      </c>
      <c r="H25">
        <v>1</v>
      </c>
      <c r="I25">
        <v>3</v>
      </c>
      <c r="J25">
        <v>21</v>
      </c>
      <c r="K25">
        <v>30</v>
      </c>
      <c r="L25">
        <v>81</v>
      </c>
      <c r="M25">
        <v>90</v>
      </c>
    </row>
    <row r="26" spans="1:13">
      <c r="A26">
        <v>2011</v>
      </c>
      <c r="B26" t="s">
        <v>130</v>
      </c>
      <c r="C26" s="5">
        <v>40724</v>
      </c>
      <c r="D26">
        <v>11</v>
      </c>
      <c r="E26" t="s">
        <v>82</v>
      </c>
      <c r="F26" t="s">
        <v>2</v>
      </c>
      <c r="G26">
        <v>0.5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>
        <v>2011</v>
      </c>
      <c r="B27" t="s">
        <v>130</v>
      </c>
      <c r="C27" s="5">
        <v>40724</v>
      </c>
      <c r="D27">
        <v>11</v>
      </c>
      <c r="E27" t="s">
        <v>70</v>
      </c>
      <c r="F27">
        <v>1</v>
      </c>
      <c r="G27">
        <v>3</v>
      </c>
      <c r="H27" t="s">
        <v>2</v>
      </c>
      <c r="I27">
        <v>0.5</v>
      </c>
      <c r="J27">
        <v>0</v>
      </c>
      <c r="K27">
        <v>0</v>
      </c>
      <c r="L27">
        <v>0</v>
      </c>
      <c r="M27">
        <v>0</v>
      </c>
    </row>
    <row r="28" spans="1:13">
      <c r="A28">
        <v>2011</v>
      </c>
      <c r="B28" t="s">
        <v>130</v>
      </c>
      <c r="C28" s="5">
        <v>40724</v>
      </c>
      <c r="D28">
        <v>11</v>
      </c>
      <c r="E28" t="s">
        <v>77</v>
      </c>
      <c r="F28" t="s">
        <v>2</v>
      </c>
      <c r="G28">
        <v>0.5</v>
      </c>
      <c r="H28" t="s">
        <v>2</v>
      </c>
      <c r="I28">
        <v>0.5</v>
      </c>
      <c r="J28">
        <v>0</v>
      </c>
      <c r="K28">
        <v>0</v>
      </c>
      <c r="L28">
        <v>0</v>
      </c>
      <c r="M28">
        <v>0</v>
      </c>
    </row>
    <row r="29" spans="1:13">
      <c r="A29">
        <v>2011</v>
      </c>
      <c r="B29" t="s">
        <v>130</v>
      </c>
      <c r="C29" s="5">
        <v>40724</v>
      </c>
      <c r="D29">
        <v>11</v>
      </c>
      <c r="E29" t="s">
        <v>144</v>
      </c>
      <c r="F29">
        <v>1</v>
      </c>
      <c r="G29">
        <v>3</v>
      </c>
      <c r="H29">
        <v>6</v>
      </c>
      <c r="I29">
        <v>8</v>
      </c>
      <c r="J29" t="s">
        <v>2</v>
      </c>
      <c r="K29">
        <v>0.5</v>
      </c>
      <c r="L29">
        <v>0</v>
      </c>
      <c r="M29">
        <v>0</v>
      </c>
    </row>
    <row r="30" spans="1:13">
      <c r="A30">
        <v>2011</v>
      </c>
      <c r="B30" t="s">
        <v>130</v>
      </c>
      <c r="C30" s="5">
        <v>40746</v>
      </c>
      <c r="D30">
        <v>12</v>
      </c>
      <c r="E30" s="32" t="s">
        <v>111</v>
      </c>
      <c r="F30" s="32">
        <v>41</v>
      </c>
      <c r="G30" s="32">
        <v>50</v>
      </c>
      <c r="H30" s="32">
        <v>41</v>
      </c>
      <c r="I30" s="32">
        <v>50</v>
      </c>
      <c r="J30" s="32">
        <v>61</v>
      </c>
      <c r="K30" s="32">
        <v>70</v>
      </c>
      <c r="L30" s="32">
        <v>81</v>
      </c>
      <c r="M30" s="32">
        <v>90</v>
      </c>
    </row>
    <row r="31" spans="1:13">
      <c r="A31">
        <v>2011</v>
      </c>
      <c r="B31" t="s">
        <v>130</v>
      </c>
      <c r="C31" s="5">
        <v>40746</v>
      </c>
      <c r="D31">
        <v>12</v>
      </c>
      <c r="E31" s="32" t="s">
        <v>40</v>
      </c>
      <c r="F31" s="32">
        <v>41</v>
      </c>
      <c r="G31" s="32">
        <v>50</v>
      </c>
      <c r="H31" s="32">
        <v>21</v>
      </c>
      <c r="I31" s="32">
        <v>30</v>
      </c>
      <c r="J31" s="32">
        <v>61</v>
      </c>
      <c r="K31" s="32">
        <v>70</v>
      </c>
      <c r="L31" s="32">
        <v>81</v>
      </c>
      <c r="M31" s="32">
        <v>90</v>
      </c>
    </row>
    <row r="32" spans="1:13">
      <c r="A32">
        <v>2011</v>
      </c>
      <c r="B32" t="s">
        <v>130</v>
      </c>
      <c r="C32" s="5">
        <v>40746</v>
      </c>
      <c r="D32">
        <v>12</v>
      </c>
      <c r="E32" s="32" t="s">
        <v>144</v>
      </c>
      <c r="F32" s="32">
        <v>1</v>
      </c>
      <c r="G32" s="32">
        <v>3</v>
      </c>
      <c r="H32" s="32">
        <v>11</v>
      </c>
      <c r="I32" s="32">
        <v>15</v>
      </c>
      <c r="J32" s="32">
        <v>1</v>
      </c>
      <c r="K32" s="32">
        <v>3</v>
      </c>
      <c r="L32" s="32">
        <v>0</v>
      </c>
      <c r="M32" s="32">
        <v>0</v>
      </c>
    </row>
    <row r="33" spans="1:14">
      <c r="A33">
        <v>2011</v>
      </c>
      <c r="B33" t="s">
        <v>130</v>
      </c>
      <c r="C33" s="5">
        <v>40746</v>
      </c>
      <c r="D33">
        <v>12</v>
      </c>
      <c r="E33" s="32" t="s">
        <v>175</v>
      </c>
      <c r="F33" s="32">
        <v>1</v>
      </c>
      <c r="G33" s="32">
        <v>3</v>
      </c>
      <c r="H33" s="32">
        <v>1</v>
      </c>
      <c r="I33" s="32">
        <v>3</v>
      </c>
      <c r="J33" s="32">
        <v>0</v>
      </c>
      <c r="K33" s="32">
        <v>0</v>
      </c>
      <c r="L33" s="32">
        <v>0</v>
      </c>
      <c r="M33" s="32">
        <v>0</v>
      </c>
    </row>
    <row r="34" spans="1:14">
      <c r="A34">
        <v>2011</v>
      </c>
      <c r="B34" t="s">
        <v>130</v>
      </c>
      <c r="C34" s="5">
        <v>40711</v>
      </c>
      <c r="D34">
        <v>91</v>
      </c>
      <c r="E34" t="s">
        <v>111</v>
      </c>
      <c r="F34">
        <v>41</v>
      </c>
      <c r="G34">
        <v>50</v>
      </c>
      <c r="H34">
        <v>6</v>
      </c>
      <c r="I34">
        <v>8</v>
      </c>
      <c r="J34">
        <v>41</v>
      </c>
      <c r="K34">
        <v>50</v>
      </c>
      <c r="L34">
        <v>81</v>
      </c>
      <c r="M34">
        <v>90</v>
      </c>
    </row>
    <row r="35" spans="1:14">
      <c r="A35">
        <v>2011</v>
      </c>
      <c r="B35" t="s">
        <v>130</v>
      </c>
      <c r="C35" s="5">
        <v>40711</v>
      </c>
      <c r="D35">
        <v>91</v>
      </c>
      <c r="E35" t="s">
        <v>40</v>
      </c>
      <c r="F35">
        <v>41</v>
      </c>
      <c r="G35">
        <v>50</v>
      </c>
      <c r="H35">
        <v>6</v>
      </c>
      <c r="I35">
        <v>8</v>
      </c>
      <c r="J35">
        <v>41</v>
      </c>
      <c r="K35">
        <v>50</v>
      </c>
      <c r="L35">
        <v>81</v>
      </c>
      <c r="M35">
        <v>90</v>
      </c>
    </row>
    <row r="36" spans="1:14">
      <c r="A36">
        <v>2011</v>
      </c>
      <c r="B36" t="s">
        <v>130</v>
      </c>
      <c r="C36" s="5">
        <v>40711</v>
      </c>
      <c r="D36">
        <v>91</v>
      </c>
      <c r="E36" t="s">
        <v>77</v>
      </c>
      <c r="F36" t="s">
        <v>2</v>
      </c>
      <c r="G36">
        <v>0.5</v>
      </c>
      <c r="H36" t="s">
        <v>2</v>
      </c>
      <c r="I36">
        <v>0.5</v>
      </c>
      <c r="J36">
        <v>0</v>
      </c>
      <c r="K36">
        <v>0</v>
      </c>
      <c r="L36">
        <v>0</v>
      </c>
      <c r="M36">
        <v>0</v>
      </c>
    </row>
    <row r="37" spans="1:14">
      <c r="A37">
        <v>2011</v>
      </c>
      <c r="B37" t="s">
        <v>130</v>
      </c>
      <c r="C37" s="5">
        <v>40711</v>
      </c>
      <c r="D37">
        <v>92</v>
      </c>
      <c r="E37" t="s">
        <v>111</v>
      </c>
      <c r="F37">
        <v>21</v>
      </c>
      <c r="G37">
        <v>30</v>
      </c>
      <c r="H37">
        <v>6</v>
      </c>
      <c r="I37">
        <v>8</v>
      </c>
      <c r="J37">
        <v>61</v>
      </c>
      <c r="K37">
        <v>70</v>
      </c>
      <c r="L37">
        <v>81</v>
      </c>
      <c r="M37">
        <v>90</v>
      </c>
    </row>
    <row r="38" spans="1:14">
      <c r="A38">
        <v>2011</v>
      </c>
      <c r="B38" t="s">
        <v>130</v>
      </c>
      <c r="C38" s="5">
        <v>40711</v>
      </c>
      <c r="D38">
        <v>92</v>
      </c>
      <c r="E38" t="s">
        <v>40</v>
      </c>
      <c r="F38">
        <v>21</v>
      </c>
      <c r="G38">
        <v>30</v>
      </c>
      <c r="H38">
        <v>6</v>
      </c>
      <c r="I38">
        <v>8</v>
      </c>
      <c r="J38">
        <v>61</v>
      </c>
      <c r="K38">
        <v>70</v>
      </c>
      <c r="L38">
        <v>81</v>
      </c>
      <c r="M38">
        <v>90</v>
      </c>
    </row>
    <row r="39" spans="1:14">
      <c r="A39">
        <v>2011</v>
      </c>
      <c r="B39" t="s">
        <v>130</v>
      </c>
      <c r="C39" s="5">
        <v>40711</v>
      </c>
      <c r="D39">
        <v>92</v>
      </c>
      <c r="E39" t="s">
        <v>77</v>
      </c>
      <c r="F39" t="s">
        <v>2</v>
      </c>
      <c r="G39">
        <v>0.5</v>
      </c>
      <c r="H39" t="s">
        <v>2</v>
      </c>
      <c r="I39">
        <v>0.5</v>
      </c>
      <c r="J39">
        <v>0</v>
      </c>
      <c r="K39">
        <v>0</v>
      </c>
      <c r="L39">
        <v>0</v>
      </c>
      <c r="M39">
        <v>0</v>
      </c>
    </row>
    <row r="40" spans="1:14">
      <c r="A40">
        <v>2011</v>
      </c>
      <c r="B40" t="s">
        <v>130</v>
      </c>
      <c r="C40" s="5">
        <v>40746</v>
      </c>
      <c r="D40">
        <v>93</v>
      </c>
      <c r="E40" s="32" t="s">
        <v>111</v>
      </c>
      <c r="F40" s="32">
        <v>41</v>
      </c>
      <c r="G40" s="32">
        <v>50</v>
      </c>
      <c r="H40" s="32">
        <v>1</v>
      </c>
      <c r="I40" s="32">
        <v>3</v>
      </c>
      <c r="J40" s="32">
        <v>81</v>
      </c>
      <c r="K40" s="32">
        <v>90</v>
      </c>
      <c r="L40" s="32">
        <v>81</v>
      </c>
      <c r="M40" s="32">
        <v>90</v>
      </c>
    </row>
    <row r="41" spans="1:14">
      <c r="A41">
        <v>2011</v>
      </c>
      <c r="B41" t="s">
        <v>130</v>
      </c>
      <c r="C41" s="5">
        <v>40746</v>
      </c>
      <c r="D41">
        <v>93</v>
      </c>
      <c r="E41" s="32" t="s">
        <v>40</v>
      </c>
      <c r="F41" s="32">
        <v>41</v>
      </c>
      <c r="G41" s="32">
        <v>50</v>
      </c>
      <c r="H41" s="32">
        <v>1</v>
      </c>
      <c r="I41" s="32">
        <v>3</v>
      </c>
      <c r="J41" s="32">
        <v>81</v>
      </c>
      <c r="K41" s="32">
        <v>90</v>
      </c>
      <c r="L41" s="32">
        <v>81</v>
      </c>
      <c r="M41" s="32">
        <v>90</v>
      </c>
      <c r="N41" s="49" t="s">
        <v>219</v>
      </c>
    </row>
    <row r="42" spans="1:14">
      <c r="A42">
        <v>2011</v>
      </c>
      <c r="B42" t="s">
        <v>130</v>
      </c>
      <c r="C42" s="5">
        <v>40746</v>
      </c>
      <c r="D42">
        <v>93</v>
      </c>
      <c r="E42" s="32" t="s">
        <v>77</v>
      </c>
      <c r="F42" s="32" t="s">
        <v>2</v>
      </c>
      <c r="G42" s="32">
        <v>0.5</v>
      </c>
      <c r="H42" s="32">
        <v>1</v>
      </c>
      <c r="I42" s="32">
        <v>3</v>
      </c>
      <c r="J42" s="32">
        <v>0</v>
      </c>
      <c r="K42" s="32">
        <v>0</v>
      </c>
      <c r="L42" s="32">
        <v>0</v>
      </c>
      <c r="M42" s="32">
        <v>0</v>
      </c>
      <c r="N42" s="49" t="s">
        <v>220</v>
      </c>
    </row>
    <row r="43" spans="1:14">
      <c r="A43">
        <v>2011</v>
      </c>
      <c r="B43" t="s">
        <v>130</v>
      </c>
      <c r="C43" s="5">
        <v>40746</v>
      </c>
      <c r="D43">
        <v>93</v>
      </c>
      <c r="E43" s="32" t="s">
        <v>70</v>
      </c>
      <c r="F43" s="32" t="s">
        <v>2</v>
      </c>
      <c r="G43" s="32">
        <v>0.5</v>
      </c>
      <c r="H43" s="32" t="s">
        <v>2</v>
      </c>
      <c r="I43" s="32">
        <v>0.5</v>
      </c>
      <c r="J43" s="32">
        <v>0</v>
      </c>
      <c r="K43" s="32">
        <v>0</v>
      </c>
      <c r="L43" s="32">
        <v>0</v>
      </c>
      <c r="M43" s="32">
        <v>0</v>
      </c>
    </row>
    <row r="45" spans="1:14">
      <c r="E45" s="32"/>
      <c r="F45" s="32"/>
      <c r="G45" s="32"/>
      <c r="H45" s="32"/>
      <c r="I45" s="32"/>
      <c r="J45" s="32"/>
      <c r="K45" s="32"/>
      <c r="L45" s="32"/>
      <c r="M45" s="32"/>
    </row>
    <row r="46" spans="1:14">
      <c r="E46" s="32"/>
      <c r="F46" s="32"/>
      <c r="G46" s="32"/>
      <c r="H46" s="32"/>
      <c r="I46" s="32"/>
      <c r="J46" s="32"/>
      <c r="K46" s="32"/>
      <c r="L46" s="32"/>
      <c r="M46" s="32"/>
    </row>
    <row r="47" spans="1:14">
      <c r="E47" s="32"/>
      <c r="F47" s="32"/>
      <c r="G47" s="32"/>
      <c r="H47" s="32"/>
      <c r="I47" s="32"/>
      <c r="J47" s="32"/>
      <c r="K47" s="32"/>
      <c r="L47" s="32"/>
      <c r="M47" s="32"/>
    </row>
    <row r="48" spans="1:14">
      <c r="E48" s="32"/>
      <c r="F48" s="32"/>
      <c r="G48" s="32"/>
      <c r="H48" s="32"/>
      <c r="I48" s="32"/>
      <c r="J48" s="32"/>
      <c r="K48" s="32"/>
      <c r="L48" s="32"/>
      <c r="M48" s="32"/>
    </row>
    <row r="49" spans="5:13">
      <c r="E49" s="32"/>
      <c r="F49" s="32"/>
      <c r="G49" s="32"/>
      <c r="H49" s="32"/>
      <c r="I49" s="32"/>
      <c r="J49" s="32"/>
      <c r="K49" s="32"/>
      <c r="L49" s="32"/>
      <c r="M49" s="32"/>
    </row>
    <row r="50" spans="5:13">
      <c r="E50" s="32"/>
      <c r="F50" s="32"/>
      <c r="G50" s="32"/>
      <c r="H50" s="32"/>
      <c r="I50" s="32"/>
      <c r="J50" s="32"/>
      <c r="K50" s="32"/>
      <c r="L50" s="32"/>
      <c r="M50" s="32"/>
    </row>
    <row r="51" spans="5:13">
      <c r="E51" s="32"/>
      <c r="F51" s="32"/>
      <c r="G51" s="32"/>
      <c r="H51" s="32"/>
      <c r="I51" s="32"/>
      <c r="J51" s="32"/>
      <c r="K51" s="32"/>
      <c r="L51" s="32"/>
      <c r="M51" s="32"/>
    </row>
    <row r="52" spans="5:13">
      <c r="E52" s="32"/>
      <c r="F52" s="32"/>
      <c r="G52" s="32"/>
      <c r="H52" s="32"/>
      <c r="I52" s="32"/>
      <c r="J52" s="32"/>
      <c r="K52" s="32"/>
      <c r="L52" s="32"/>
      <c r="M52" s="32"/>
    </row>
    <row r="53" spans="5:13">
      <c r="E53" s="32"/>
      <c r="F53" s="32"/>
      <c r="G53" s="32"/>
      <c r="H53" s="32"/>
      <c r="I53" s="32"/>
      <c r="J53" s="32"/>
      <c r="K53" s="32"/>
      <c r="L53" s="32"/>
      <c r="M53" s="32"/>
    </row>
    <row r="54" spans="5:13">
      <c r="E54" s="32"/>
      <c r="F54" s="32"/>
      <c r="G54" s="32"/>
      <c r="H54" s="32"/>
      <c r="I54" s="32"/>
      <c r="J54" s="32"/>
      <c r="K54" s="32"/>
      <c r="L54" s="32"/>
      <c r="M54" s="32"/>
    </row>
    <row r="55" spans="5:13">
      <c r="E55" s="32"/>
      <c r="F55" s="32"/>
      <c r="G55" s="32"/>
      <c r="H55" s="32"/>
      <c r="I55" s="32"/>
      <c r="J55" s="32"/>
      <c r="K55" s="32"/>
      <c r="L55" s="32"/>
      <c r="M55" s="32"/>
    </row>
    <row r="56" spans="5:13">
      <c r="E56" s="32"/>
      <c r="F56" s="32"/>
      <c r="G56" s="32"/>
      <c r="H56" s="32"/>
      <c r="I56" s="32"/>
      <c r="J56" s="32"/>
      <c r="K56" s="32"/>
      <c r="L56" s="32"/>
      <c r="M56" s="32"/>
    </row>
    <row r="57" spans="5:13">
      <c r="E57" s="32"/>
      <c r="F57" s="32"/>
      <c r="G57" s="32"/>
      <c r="H57" s="32"/>
      <c r="I57" s="32"/>
      <c r="J57" s="32"/>
      <c r="K57" s="32"/>
      <c r="L57" s="32"/>
      <c r="M57" s="32"/>
    </row>
    <row r="58" spans="5:13">
      <c r="E58" s="32"/>
      <c r="F58" s="32"/>
      <c r="G58" s="32"/>
      <c r="H58" s="32"/>
      <c r="I58" s="32"/>
      <c r="J58" s="32"/>
      <c r="K58" s="32"/>
      <c r="L58" s="32"/>
      <c r="M58" s="32"/>
    </row>
    <row r="59" spans="5:13">
      <c r="E59" s="32"/>
      <c r="F59" s="32"/>
      <c r="G59" s="32"/>
      <c r="H59" s="32"/>
      <c r="I59" s="32"/>
      <c r="J59" s="32"/>
      <c r="K59" s="32"/>
      <c r="L59" s="32"/>
      <c r="M59" s="32"/>
    </row>
    <row r="60" spans="5:13">
      <c r="E60" s="32"/>
      <c r="F60" s="32"/>
      <c r="G60" s="32"/>
      <c r="H60" s="32"/>
      <c r="I60" s="32"/>
      <c r="J60" s="32"/>
      <c r="K60" s="32"/>
      <c r="L60" s="32"/>
      <c r="M60" s="32"/>
    </row>
    <row r="61" spans="5:13">
      <c r="E61" s="32"/>
      <c r="F61" s="32"/>
      <c r="G61" s="32"/>
      <c r="H61" s="32"/>
      <c r="I61" s="32"/>
      <c r="J61" s="32"/>
      <c r="K61" s="32"/>
      <c r="L61" s="32"/>
      <c r="M61" s="32"/>
    </row>
    <row r="62" spans="5:13">
      <c r="E62" s="32"/>
      <c r="F62" s="32"/>
      <c r="G62" s="32"/>
      <c r="H62" s="32"/>
      <c r="I62" s="32"/>
      <c r="J62" s="32"/>
      <c r="K62" s="32"/>
      <c r="L62" s="32"/>
      <c r="M62" s="32"/>
    </row>
    <row r="63" spans="5:13">
      <c r="E63" s="32"/>
      <c r="F63" s="32"/>
      <c r="G63" s="32"/>
      <c r="H63" s="32"/>
      <c r="I63" s="32"/>
      <c r="J63" s="32"/>
      <c r="K63" s="32"/>
      <c r="L63" s="32"/>
      <c r="M63" s="32"/>
    </row>
    <row r="64" spans="5:13">
      <c r="E64" s="32"/>
      <c r="F64" s="32"/>
      <c r="G64" s="32"/>
      <c r="H64" s="32"/>
      <c r="I64" s="32"/>
      <c r="J64" s="32"/>
      <c r="K64" s="32"/>
      <c r="L64" s="32"/>
      <c r="M64" s="32"/>
    </row>
    <row r="65" spans="5:13">
      <c r="E65" s="32"/>
      <c r="F65" s="32"/>
      <c r="G65" s="32"/>
      <c r="H65" s="32"/>
      <c r="I65" s="32"/>
      <c r="J65" s="32"/>
      <c r="K65" s="32"/>
      <c r="L65" s="32"/>
      <c r="M65" s="32"/>
    </row>
    <row r="66" spans="5:13">
      <c r="E66" s="32"/>
      <c r="F66" s="32"/>
      <c r="G66" s="32"/>
      <c r="H66" s="32"/>
      <c r="I66" s="32"/>
      <c r="J66" s="32"/>
      <c r="K66" s="32"/>
      <c r="L66" s="32"/>
      <c r="M66" s="32"/>
    </row>
    <row r="67" spans="5:13">
      <c r="E67" s="32"/>
      <c r="F67" s="32"/>
      <c r="G67" s="32"/>
      <c r="H67" s="32"/>
      <c r="I67" s="32"/>
      <c r="J67" s="32"/>
      <c r="K67" s="32"/>
      <c r="L67" s="32"/>
      <c r="M67" s="32"/>
    </row>
    <row r="68" spans="5:13">
      <c r="E68" s="32"/>
      <c r="F68" s="32"/>
      <c r="G68" s="32"/>
      <c r="H68" s="32"/>
      <c r="I68" s="32"/>
      <c r="J68" s="32"/>
      <c r="K68" s="32"/>
      <c r="L68" s="32"/>
      <c r="M68" s="32"/>
    </row>
    <row r="69" spans="5:13">
      <c r="E69" s="32"/>
      <c r="F69" s="32"/>
      <c r="G69" s="32"/>
      <c r="H69" s="32"/>
      <c r="I69" s="32"/>
      <c r="J69" s="32"/>
      <c r="K69" s="32"/>
      <c r="L69" s="32"/>
      <c r="M69" s="32"/>
    </row>
    <row r="70" spans="5:13">
      <c r="E70" s="32"/>
      <c r="F70" s="32"/>
      <c r="G70" s="32"/>
      <c r="H70" s="32"/>
      <c r="I70" s="32"/>
      <c r="J70" s="32"/>
      <c r="K70" s="32"/>
      <c r="L70" s="32"/>
      <c r="M70" s="32"/>
    </row>
    <row r="71" spans="5:13">
      <c r="E71" s="32"/>
      <c r="F71" s="32"/>
      <c r="G71" s="32"/>
      <c r="H71" s="32"/>
      <c r="I71" s="32"/>
      <c r="J71" s="32"/>
      <c r="K71" s="32"/>
      <c r="L71" s="32"/>
      <c r="M71" s="32"/>
    </row>
    <row r="72" spans="5:13">
      <c r="E72" s="32"/>
      <c r="F72" s="32"/>
      <c r="G72" s="32"/>
      <c r="H72" s="32"/>
      <c r="I72" s="32"/>
      <c r="J72" s="32"/>
      <c r="K72" s="32"/>
      <c r="L72" s="32"/>
      <c r="M72" s="32"/>
    </row>
    <row r="73" spans="5:13">
      <c r="E73" s="32"/>
      <c r="F73" s="32"/>
      <c r="G73" s="32"/>
      <c r="H73" s="32"/>
      <c r="I73" s="32"/>
      <c r="J73" s="32"/>
      <c r="K73" s="32"/>
      <c r="L73" s="32"/>
      <c r="M73" s="32"/>
    </row>
    <row r="74" spans="5:13">
      <c r="E74" s="32"/>
      <c r="F74" s="32"/>
      <c r="G74" s="32"/>
      <c r="H74" s="32"/>
      <c r="I74" s="32"/>
      <c r="J74" s="32"/>
      <c r="K74" s="32"/>
      <c r="L74" s="32"/>
      <c r="M74" s="32"/>
    </row>
    <row r="75" spans="5:13">
      <c r="E75" s="32"/>
      <c r="F75" s="32"/>
      <c r="G75" s="32"/>
      <c r="H75" s="32"/>
      <c r="I75" s="32"/>
      <c r="J75" s="32"/>
      <c r="K75" s="32"/>
      <c r="L75" s="32"/>
      <c r="M75" s="32"/>
    </row>
    <row r="76" spans="5:13">
      <c r="E76" s="32"/>
      <c r="F76" s="32"/>
      <c r="G76" s="32"/>
      <c r="H76" s="32"/>
      <c r="I76" s="32"/>
      <c r="J76" s="32"/>
      <c r="K76" s="32"/>
      <c r="L76" s="32"/>
      <c r="M76" s="32"/>
    </row>
    <row r="77" spans="5:13">
      <c r="E77" s="32"/>
      <c r="F77" s="32"/>
      <c r="G77" s="32"/>
      <c r="H77" s="32"/>
      <c r="I77" s="32"/>
      <c r="J77" s="32"/>
      <c r="K77" s="32"/>
      <c r="L77" s="32"/>
      <c r="M77" s="32"/>
    </row>
    <row r="78" spans="5:13">
      <c r="E78" s="32"/>
      <c r="F78" s="32"/>
      <c r="G78" s="32"/>
      <c r="H78" s="32"/>
      <c r="I78" s="32"/>
      <c r="J78" s="32"/>
      <c r="K78" s="32"/>
      <c r="L78" s="32"/>
      <c r="M78" s="32"/>
    </row>
    <row r="79" spans="5:13">
      <c r="E79" s="32"/>
      <c r="F79" s="32"/>
      <c r="G79" s="32"/>
      <c r="H79" s="32"/>
      <c r="I79" s="32"/>
      <c r="J79" s="32"/>
      <c r="K79" s="32"/>
      <c r="L79" s="32"/>
      <c r="M79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0"/>
  <sheetViews>
    <sheetView workbookViewId="0">
      <pane ySplit="3" topLeftCell="A4" activePane="bottomLeft" state="frozen"/>
      <selection pane="bottomLeft" activeCell="D7" sqref="D7"/>
    </sheetView>
  </sheetViews>
  <sheetFormatPr defaultRowHeight="13.2"/>
  <cols>
    <col min="1" max="1" width="8.6640625" customWidth="1"/>
    <col min="2" max="2" width="10.6640625" customWidth="1"/>
    <col min="3" max="3" width="9.109375" style="5" customWidth="1"/>
    <col min="5" max="5" width="21.33203125" customWidth="1"/>
  </cols>
  <sheetData>
    <row r="1" spans="1:11">
      <c r="A1" s="5" t="s">
        <v>36</v>
      </c>
      <c r="F1" t="s">
        <v>137</v>
      </c>
      <c r="G1">
        <f>3.14159*(8*8)</f>
        <v>201.06175999999999</v>
      </c>
    </row>
    <row r="2" spans="1:11">
      <c r="A2" t="s">
        <v>177</v>
      </c>
    </row>
    <row r="3" spans="1:11" ht="13.8" thickBot="1">
      <c r="A3" s="40" t="s">
        <v>91</v>
      </c>
      <c r="B3" s="40" t="s">
        <v>84</v>
      </c>
      <c r="C3" s="8" t="s">
        <v>8</v>
      </c>
      <c r="D3" s="9" t="s">
        <v>9</v>
      </c>
      <c r="E3" s="9" t="s">
        <v>10</v>
      </c>
      <c r="F3" s="9" t="s">
        <v>31</v>
      </c>
      <c r="G3" s="9" t="s">
        <v>32</v>
      </c>
      <c r="H3" s="9" t="s">
        <v>33</v>
      </c>
      <c r="I3" s="9" t="s">
        <v>34</v>
      </c>
      <c r="J3" s="9" t="s">
        <v>35</v>
      </c>
      <c r="K3" s="1" t="s">
        <v>17</v>
      </c>
    </row>
    <row r="4" spans="1:11" ht="13.8" thickTop="1">
      <c r="A4">
        <v>2011</v>
      </c>
      <c r="B4" s="32" t="s">
        <v>130</v>
      </c>
      <c r="C4" s="5">
        <v>40715</v>
      </c>
      <c r="D4">
        <v>4</v>
      </c>
      <c r="E4" s="32" t="s">
        <v>76</v>
      </c>
      <c r="F4" s="32">
        <v>0</v>
      </c>
      <c r="G4" s="32">
        <v>0</v>
      </c>
      <c r="H4" s="32">
        <v>0</v>
      </c>
      <c r="I4" s="32">
        <v>1</v>
      </c>
      <c r="J4">
        <f>SUM(F4:I4)</f>
        <v>1</v>
      </c>
    </row>
    <row r="5" spans="1:11">
      <c r="A5">
        <v>2011</v>
      </c>
      <c r="B5" s="32" t="s">
        <v>130</v>
      </c>
      <c r="C5" s="5">
        <v>40715</v>
      </c>
      <c r="D5">
        <v>4</v>
      </c>
      <c r="E5" s="32" t="s">
        <v>126</v>
      </c>
      <c r="F5" s="32">
        <f>201*0.03</f>
        <v>6.0299999999999994</v>
      </c>
      <c r="G5" s="32">
        <v>0</v>
      </c>
      <c r="H5" s="32">
        <v>0</v>
      </c>
      <c r="I5" s="32">
        <f>(0.9*0.7)+(0.9*0.9)+(1*0.8)+(201*0.04)</f>
        <v>10.280000000000001</v>
      </c>
      <c r="J5">
        <f>SUM(F5:I5)</f>
        <v>16.310000000000002</v>
      </c>
    </row>
    <row r="6" spans="1:11">
      <c r="A6">
        <v>2011</v>
      </c>
      <c r="B6" s="32" t="s">
        <v>130</v>
      </c>
      <c r="C6" s="5">
        <v>40715</v>
      </c>
      <c r="D6">
        <v>5</v>
      </c>
      <c r="E6" s="32" t="s">
        <v>81</v>
      </c>
      <c r="F6" s="32">
        <v>0</v>
      </c>
      <c r="G6" s="32">
        <v>1</v>
      </c>
      <c r="H6" s="32">
        <v>0</v>
      </c>
      <c r="I6" s="32">
        <v>0</v>
      </c>
      <c r="J6">
        <f t="shared" ref="J6:J35" si="0">SUM(F6:I6)</f>
        <v>1</v>
      </c>
      <c r="K6" t="s">
        <v>141</v>
      </c>
    </row>
    <row r="7" spans="1:11">
      <c r="A7">
        <v>2011</v>
      </c>
      <c r="B7" s="32" t="s">
        <v>130</v>
      </c>
      <c r="C7" s="5">
        <v>40715</v>
      </c>
      <c r="D7">
        <v>5</v>
      </c>
      <c r="E7" s="32" t="s">
        <v>18</v>
      </c>
      <c r="F7" s="32">
        <v>0</v>
      </c>
      <c r="G7" s="32">
        <v>0</v>
      </c>
      <c r="H7" s="32">
        <v>0</v>
      </c>
      <c r="I7" s="32">
        <v>1</v>
      </c>
      <c r="J7">
        <f t="shared" si="0"/>
        <v>1</v>
      </c>
      <c r="K7" t="s">
        <v>142</v>
      </c>
    </row>
    <row r="8" spans="1:11">
      <c r="A8">
        <v>2011</v>
      </c>
      <c r="B8" s="32" t="s">
        <v>130</v>
      </c>
      <c r="C8" s="5">
        <v>40715</v>
      </c>
      <c r="D8">
        <v>5</v>
      </c>
      <c r="E8" s="32" t="s">
        <v>70</v>
      </c>
      <c r="F8" s="32">
        <v>0</v>
      </c>
      <c r="G8" s="32">
        <f>(1.6*1.4)</f>
        <v>2.2399999999999998</v>
      </c>
      <c r="H8" s="32">
        <v>0</v>
      </c>
      <c r="I8" s="32">
        <v>0</v>
      </c>
      <c r="J8">
        <f t="shared" si="0"/>
        <v>2.2399999999999998</v>
      </c>
    </row>
    <row r="9" spans="1:11">
      <c r="A9">
        <v>2011</v>
      </c>
      <c r="B9" s="32" t="s">
        <v>130</v>
      </c>
      <c r="C9" s="5">
        <v>40715</v>
      </c>
      <c r="D9">
        <v>5</v>
      </c>
      <c r="E9" s="32" t="s">
        <v>77</v>
      </c>
      <c r="F9" s="32">
        <v>0</v>
      </c>
      <c r="G9" s="32">
        <v>0</v>
      </c>
      <c r="H9" s="32">
        <f>(4.3*2.5)</f>
        <v>10.75</v>
      </c>
      <c r="I9" s="32">
        <v>0</v>
      </c>
      <c r="J9">
        <f t="shared" si="0"/>
        <v>10.75</v>
      </c>
    </row>
    <row r="10" spans="1:11">
      <c r="A10">
        <v>2011</v>
      </c>
      <c r="B10" s="32" t="s">
        <v>130</v>
      </c>
      <c r="C10" s="5">
        <v>40715</v>
      </c>
      <c r="D10">
        <v>5</v>
      </c>
      <c r="E10" s="32" t="s">
        <v>127</v>
      </c>
      <c r="F10" s="32">
        <v>0</v>
      </c>
      <c r="G10" s="32">
        <v>0</v>
      </c>
      <c r="H10" s="32">
        <f>(0.7*0.6)</f>
        <v>0.42</v>
      </c>
      <c r="I10" s="32">
        <f>(1*0.7)</f>
        <v>0.7</v>
      </c>
      <c r="J10">
        <f t="shared" si="0"/>
        <v>1.1199999999999999</v>
      </c>
    </row>
    <row r="11" spans="1:11">
      <c r="A11">
        <v>2011</v>
      </c>
      <c r="B11" s="32" t="s">
        <v>130</v>
      </c>
      <c r="C11" s="5">
        <v>40715</v>
      </c>
      <c r="D11">
        <v>5</v>
      </c>
      <c r="E11" s="32" t="s">
        <v>126</v>
      </c>
      <c r="F11" s="32">
        <v>0</v>
      </c>
      <c r="G11" s="32">
        <v>0</v>
      </c>
      <c r="H11" s="32">
        <v>0</v>
      </c>
      <c r="I11" s="32">
        <f>(1.5*0.9)+(1.1*0.5)+(0.4*0.4)</f>
        <v>2.06</v>
      </c>
      <c r="J11">
        <f t="shared" si="0"/>
        <v>2.06</v>
      </c>
    </row>
    <row r="12" spans="1:11">
      <c r="A12">
        <v>2011</v>
      </c>
      <c r="B12" s="32" t="s">
        <v>130</v>
      </c>
      <c r="C12" s="5">
        <v>40715</v>
      </c>
      <c r="D12">
        <v>6</v>
      </c>
      <c r="E12" s="32" t="s">
        <v>77</v>
      </c>
      <c r="F12" s="32">
        <f>(1*1.1)</f>
        <v>1.1000000000000001</v>
      </c>
      <c r="G12" s="32">
        <v>0</v>
      </c>
      <c r="H12" s="32">
        <v>0</v>
      </c>
      <c r="I12" s="32">
        <v>0</v>
      </c>
      <c r="J12">
        <f t="shared" si="0"/>
        <v>1.1000000000000001</v>
      </c>
    </row>
    <row r="13" spans="1:11">
      <c r="A13">
        <v>2011</v>
      </c>
      <c r="B13" s="32" t="s">
        <v>130</v>
      </c>
      <c r="C13" s="5">
        <v>40715</v>
      </c>
      <c r="D13">
        <v>6</v>
      </c>
      <c r="E13" s="32" t="s">
        <v>126</v>
      </c>
      <c r="F13" s="32">
        <f>(1.4*0.7)+(1.1*0.7)</f>
        <v>1.75</v>
      </c>
      <c r="G13" s="32">
        <f>(1.7*1.2)+(1.3*1.2)+(2.3*1.1)</f>
        <v>6.13</v>
      </c>
      <c r="H13" s="32">
        <v>0</v>
      </c>
      <c r="I13" s="32">
        <v>0</v>
      </c>
      <c r="J13">
        <f t="shared" si="0"/>
        <v>7.88</v>
      </c>
    </row>
    <row r="14" spans="1:11">
      <c r="A14">
        <v>2011</v>
      </c>
      <c r="B14" s="32" t="s">
        <v>130</v>
      </c>
      <c r="C14" s="5">
        <v>40715</v>
      </c>
      <c r="D14">
        <v>6</v>
      </c>
      <c r="E14" s="32" t="s">
        <v>70</v>
      </c>
      <c r="F14" s="32">
        <f>(2.2*1.6)</f>
        <v>3.5200000000000005</v>
      </c>
      <c r="G14" s="32">
        <f>(201*0.02)</f>
        <v>4.0200000000000005</v>
      </c>
      <c r="H14" s="32">
        <v>0</v>
      </c>
      <c r="I14" s="32">
        <v>0</v>
      </c>
      <c r="J14">
        <f t="shared" si="0"/>
        <v>7.5400000000000009</v>
      </c>
    </row>
    <row r="15" spans="1:11">
      <c r="A15">
        <v>2011</v>
      </c>
      <c r="B15" s="32" t="s">
        <v>130</v>
      </c>
      <c r="C15" s="5">
        <v>40715</v>
      </c>
      <c r="D15">
        <v>6</v>
      </c>
      <c r="E15" s="32" t="s">
        <v>169</v>
      </c>
      <c r="F15" s="32">
        <v>0</v>
      </c>
      <c r="G15" s="32">
        <v>0</v>
      </c>
      <c r="H15" s="32">
        <f>(1.8*1.2)</f>
        <v>2.16</v>
      </c>
      <c r="I15" s="32">
        <v>0</v>
      </c>
      <c r="J15">
        <f t="shared" si="0"/>
        <v>2.16</v>
      </c>
    </row>
    <row r="16" spans="1:11">
      <c r="A16">
        <v>2011</v>
      </c>
      <c r="B16" s="32" t="s">
        <v>130</v>
      </c>
      <c r="C16" s="5">
        <v>40724</v>
      </c>
      <c r="D16">
        <v>10</v>
      </c>
      <c r="E16" s="32" t="s">
        <v>18</v>
      </c>
      <c r="F16" s="32">
        <v>0</v>
      </c>
      <c r="G16" s="32">
        <v>0</v>
      </c>
      <c r="H16" s="32">
        <v>0</v>
      </c>
      <c r="I16" s="32">
        <v>1</v>
      </c>
      <c r="J16">
        <f t="shared" si="0"/>
        <v>1</v>
      </c>
    </row>
    <row r="17" spans="1:11">
      <c r="A17">
        <v>2011</v>
      </c>
      <c r="B17" s="32" t="s">
        <v>130</v>
      </c>
      <c r="C17" s="5">
        <v>40724</v>
      </c>
      <c r="D17">
        <v>10</v>
      </c>
      <c r="E17" s="32" t="s">
        <v>70</v>
      </c>
      <c r="F17" s="32">
        <f>(1.7*1.4)</f>
        <v>2.38</v>
      </c>
      <c r="G17" s="32">
        <v>0</v>
      </c>
      <c r="H17" s="32">
        <v>0</v>
      </c>
      <c r="I17" s="32">
        <v>0</v>
      </c>
      <c r="J17">
        <f t="shared" si="0"/>
        <v>2.38</v>
      </c>
    </row>
    <row r="18" spans="1:11">
      <c r="A18">
        <v>2011</v>
      </c>
      <c r="B18" s="32" t="s">
        <v>130</v>
      </c>
      <c r="C18" s="5">
        <v>40724</v>
      </c>
      <c r="D18">
        <v>10</v>
      </c>
      <c r="E18" s="32" t="s">
        <v>126</v>
      </c>
      <c r="F18" s="32">
        <f>(2.8*1.4)</f>
        <v>3.9199999999999995</v>
      </c>
      <c r="G18" s="32">
        <v>0</v>
      </c>
      <c r="H18" s="32">
        <v>0</v>
      </c>
      <c r="I18" s="32">
        <v>0</v>
      </c>
      <c r="J18">
        <f t="shared" si="0"/>
        <v>3.9199999999999995</v>
      </c>
    </row>
    <row r="19" spans="1:11">
      <c r="A19">
        <v>2011</v>
      </c>
      <c r="B19" s="32" t="s">
        <v>130</v>
      </c>
      <c r="C19" s="5">
        <v>40724</v>
      </c>
      <c r="D19">
        <v>10</v>
      </c>
      <c r="E19" s="32" t="s">
        <v>131</v>
      </c>
      <c r="F19" s="32">
        <v>0</v>
      </c>
      <c r="G19" s="32">
        <v>0</v>
      </c>
      <c r="H19" s="32">
        <v>0</v>
      </c>
      <c r="I19" s="32">
        <v>0</v>
      </c>
      <c r="J19">
        <f t="shared" si="0"/>
        <v>0</v>
      </c>
      <c r="K19" t="s">
        <v>176</v>
      </c>
    </row>
    <row r="20" spans="1:11">
      <c r="A20">
        <v>2011</v>
      </c>
      <c r="B20" s="32" t="s">
        <v>130</v>
      </c>
      <c r="C20" s="5">
        <v>40724</v>
      </c>
      <c r="D20">
        <v>10</v>
      </c>
      <c r="E20" s="32" t="s">
        <v>127</v>
      </c>
      <c r="F20" s="32">
        <v>0</v>
      </c>
      <c r="G20" s="32">
        <v>0</v>
      </c>
      <c r="H20" s="32">
        <f>(0.4*0.3)</f>
        <v>0.12</v>
      </c>
      <c r="I20" s="32">
        <f>(0.5*0.4)+(0.4*0.3)</f>
        <v>0.32</v>
      </c>
      <c r="J20">
        <f t="shared" si="0"/>
        <v>0.44</v>
      </c>
    </row>
    <row r="21" spans="1:11">
      <c r="A21">
        <v>2011</v>
      </c>
      <c r="B21" s="32" t="s">
        <v>130</v>
      </c>
      <c r="C21" s="5">
        <v>40724</v>
      </c>
      <c r="D21">
        <v>10</v>
      </c>
      <c r="E21" s="32" t="s">
        <v>175</v>
      </c>
      <c r="F21" s="32">
        <v>0</v>
      </c>
      <c r="G21" s="32">
        <v>0</v>
      </c>
      <c r="H21" s="32">
        <v>0</v>
      </c>
      <c r="I21" s="32">
        <f>(2.5*1)</f>
        <v>2.5</v>
      </c>
      <c r="J21">
        <f t="shared" si="0"/>
        <v>2.5</v>
      </c>
    </row>
    <row r="22" spans="1:11">
      <c r="A22">
        <v>2011</v>
      </c>
      <c r="B22" s="32" t="s">
        <v>130</v>
      </c>
      <c r="C22" s="5">
        <v>40724</v>
      </c>
      <c r="D22">
        <v>11</v>
      </c>
      <c r="E22" s="32" t="s">
        <v>77</v>
      </c>
      <c r="F22" s="32">
        <f>(1.8*1)</f>
        <v>1.8</v>
      </c>
      <c r="G22" s="32">
        <v>0</v>
      </c>
      <c r="H22" s="32">
        <v>0</v>
      </c>
      <c r="I22" s="32">
        <v>0</v>
      </c>
      <c r="J22">
        <f t="shared" si="0"/>
        <v>1.8</v>
      </c>
    </row>
    <row r="23" spans="1:11">
      <c r="A23">
        <v>2011</v>
      </c>
      <c r="B23" s="32" t="s">
        <v>130</v>
      </c>
      <c r="C23" s="5">
        <v>40724</v>
      </c>
      <c r="D23">
        <v>11</v>
      </c>
      <c r="E23" s="32" t="s">
        <v>127</v>
      </c>
      <c r="F23" s="32">
        <f>(201*0.02)</f>
        <v>4.0200000000000005</v>
      </c>
      <c r="G23" s="32">
        <f>(0.4*0.4)+(0.6*0.5)+(0.7*0.4)</f>
        <v>0.74</v>
      </c>
      <c r="H23" s="32">
        <f>(1.6*0.9)</f>
        <v>1.4400000000000002</v>
      </c>
      <c r="I23" s="32">
        <f>(0.8*0.6)</f>
        <v>0.48</v>
      </c>
      <c r="J23">
        <f t="shared" si="0"/>
        <v>6.6800000000000015</v>
      </c>
    </row>
    <row r="24" spans="1:11">
      <c r="A24">
        <v>2011</v>
      </c>
      <c r="B24" s="32" t="s">
        <v>130</v>
      </c>
      <c r="C24" s="5">
        <v>40724</v>
      </c>
      <c r="D24">
        <v>11</v>
      </c>
      <c r="E24" s="32" t="s">
        <v>144</v>
      </c>
      <c r="F24" s="32">
        <v>0</v>
      </c>
      <c r="G24" s="32">
        <f>(1.9*1.3)+(2*1.4)+(2.6*2.5)</f>
        <v>11.77</v>
      </c>
      <c r="H24" s="32">
        <f>(1.3*1.2)+(1.7*1.6)</f>
        <v>4.28</v>
      </c>
      <c r="I24" s="32">
        <f>(1*1)</f>
        <v>1</v>
      </c>
      <c r="J24">
        <f t="shared" si="0"/>
        <v>17.05</v>
      </c>
    </row>
    <row r="25" spans="1:11">
      <c r="A25">
        <v>2011</v>
      </c>
      <c r="B25" s="32" t="s">
        <v>130</v>
      </c>
      <c r="C25" s="5">
        <v>40724</v>
      </c>
      <c r="D25">
        <v>11</v>
      </c>
      <c r="E25" s="32" t="s">
        <v>70</v>
      </c>
      <c r="F25" s="32">
        <v>0</v>
      </c>
      <c r="G25" s="32">
        <f>(1.2*0.6)</f>
        <v>0.72</v>
      </c>
      <c r="H25" s="32">
        <v>0</v>
      </c>
      <c r="I25" s="32">
        <f>(2.6*1.6)</f>
        <v>4.16</v>
      </c>
      <c r="J25">
        <f t="shared" si="0"/>
        <v>4.88</v>
      </c>
    </row>
    <row r="26" spans="1:11">
      <c r="A26">
        <v>2011</v>
      </c>
      <c r="B26" s="32" t="s">
        <v>130</v>
      </c>
      <c r="C26" s="5">
        <v>40746</v>
      </c>
      <c r="D26">
        <v>12</v>
      </c>
      <c r="E26" s="32" t="s">
        <v>128</v>
      </c>
      <c r="F26" s="32">
        <v>0</v>
      </c>
      <c r="G26" s="32">
        <v>0</v>
      </c>
      <c r="H26" s="32">
        <v>0</v>
      </c>
      <c r="I26" s="32">
        <v>1</v>
      </c>
      <c r="J26">
        <f>SUM(F26:I26)</f>
        <v>1</v>
      </c>
      <c r="K26" s="32" t="s">
        <v>195</v>
      </c>
    </row>
    <row r="27" spans="1:11">
      <c r="A27">
        <v>2011</v>
      </c>
      <c r="B27" s="32" t="s">
        <v>130</v>
      </c>
      <c r="C27" s="5">
        <v>40746</v>
      </c>
      <c r="D27">
        <v>12</v>
      </c>
      <c r="E27" s="32" t="s">
        <v>144</v>
      </c>
      <c r="F27" s="32">
        <f>(1*1)+(1.2*1.2)</f>
        <v>2.44</v>
      </c>
      <c r="G27" s="32">
        <f>(201*0.05)</f>
        <v>10.050000000000001</v>
      </c>
      <c r="H27" s="32">
        <f>(3*2.8)</f>
        <v>8.3999999999999986</v>
      </c>
      <c r="I27" s="32">
        <f>(201*0.04)</f>
        <v>8.0400000000000009</v>
      </c>
      <c r="J27">
        <f>SUM(F27:I27)</f>
        <v>28.93</v>
      </c>
    </row>
    <row r="28" spans="1:11">
      <c r="A28">
        <v>2011</v>
      </c>
      <c r="B28" s="32" t="s">
        <v>130</v>
      </c>
      <c r="C28" s="5">
        <v>40746</v>
      </c>
      <c r="D28">
        <v>12</v>
      </c>
      <c r="E28" s="32" t="s">
        <v>173</v>
      </c>
      <c r="F28" s="32">
        <v>0</v>
      </c>
      <c r="G28">
        <f>(1*0.6)</f>
        <v>0.6</v>
      </c>
      <c r="H28" s="32">
        <v>0</v>
      </c>
      <c r="I28" s="32">
        <v>0</v>
      </c>
      <c r="J28">
        <f>SUM(F28:I28)</f>
        <v>0.6</v>
      </c>
    </row>
    <row r="29" spans="1:11">
      <c r="A29">
        <v>2011</v>
      </c>
      <c r="B29" s="32" t="s">
        <v>130</v>
      </c>
      <c r="C29" s="5">
        <v>40746</v>
      </c>
      <c r="D29">
        <v>12</v>
      </c>
      <c r="E29" s="32" t="s">
        <v>127</v>
      </c>
      <c r="F29" s="32">
        <v>0</v>
      </c>
      <c r="G29">
        <f>(0.8*0.3)</f>
        <v>0.24</v>
      </c>
      <c r="H29" s="32">
        <v>0</v>
      </c>
      <c r="I29" s="32">
        <v>0</v>
      </c>
      <c r="J29">
        <f>SUM(F29:I29)</f>
        <v>0.24</v>
      </c>
    </row>
    <row r="30" spans="1:11">
      <c r="A30">
        <v>2011</v>
      </c>
      <c r="B30" s="32" t="s">
        <v>130</v>
      </c>
      <c r="C30" s="5">
        <v>40746</v>
      </c>
      <c r="D30">
        <v>12</v>
      </c>
      <c r="E30" s="32" t="s">
        <v>175</v>
      </c>
      <c r="F30" s="32">
        <v>0</v>
      </c>
      <c r="G30" s="32">
        <v>0</v>
      </c>
      <c r="H30">
        <f>(1.2*0.9)+(1.7*0.8)+(0.6*0.5)</f>
        <v>2.74</v>
      </c>
      <c r="I30" s="32">
        <v>0</v>
      </c>
      <c r="J30">
        <f>SUM(F30:I30)</f>
        <v>2.74</v>
      </c>
    </row>
    <row r="31" spans="1:11">
      <c r="A31">
        <v>2011</v>
      </c>
      <c r="B31" s="32" t="s">
        <v>130</v>
      </c>
      <c r="C31" s="5">
        <v>40711</v>
      </c>
      <c r="D31">
        <v>91</v>
      </c>
      <c r="E31" s="32" t="s">
        <v>181</v>
      </c>
      <c r="F31" s="32">
        <v>0</v>
      </c>
      <c r="G31" s="32">
        <v>1</v>
      </c>
      <c r="H31" s="32">
        <v>0</v>
      </c>
      <c r="I31" s="32">
        <v>0</v>
      </c>
      <c r="J31">
        <f t="shared" si="0"/>
        <v>1</v>
      </c>
    </row>
    <row r="32" spans="1:11">
      <c r="A32">
        <v>2011</v>
      </c>
      <c r="B32" s="32" t="s">
        <v>130</v>
      </c>
      <c r="C32" s="5">
        <v>40711</v>
      </c>
      <c r="D32">
        <v>91</v>
      </c>
      <c r="E32" s="32" t="s">
        <v>77</v>
      </c>
      <c r="F32" s="32">
        <v>0</v>
      </c>
      <c r="G32" s="32">
        <f>(1.1*0.9)</f>
        <v>0.9900000000000001</v>
      </c>
      <c r="H32" s="32">
        <v>0</v>
      </c>
      <c r="I32" s="32">
        <v>0</v>
      </c>
      <c r="J32">
        <f t="shared" si="0"/>
        <v>0.9900000000000001</v>
      </c>
    </row>
    <row r="33" spans="1:11">
      <c r="A33">
        <v>2011</v>
      </c>
      <c r="B33" s="32" t="s">
        <v>130</v>
      </c>
      <c r="C33" s="5">
        <v>40711</v>
      </c>
      <c r="D33">
        <v>92</v>
      </c>
      <c r="E33" s="32" t="s">
        <v>94</v>
      </c>
      <c r="F33" s="32">
        <v>1</v>
      </c>
      <c r="G33" s="32">
        <v>0</v>
      </c>
      <c r="H33" s="32">
        <v>0</v>
      </c>
      <c r="I33" s="32">
        <v>0</v>
      </c>
      <c r="J33">
        <f t="shared" si="0"/>
        <v>1</v>
      </c>
    </row>
    <row r="34" spans="1:11">
      <c r="A34">
        <v>2011</v>
      </c>
      <c r="B34" s="32" t="s">
        <v>130</v>
      </c>
      <c r="C34" s="5">
        <v>40746</v>
      </c>
      <c r="D34">
        <v>93</v>
      </c>
      <c r="E34" s="32" t="s">
        <v>77</v>
      </c>
      <c r="F34" s="32">
        <v>0</v>
      </c>
      <c r="G34" s="32">
        <f>(1*1)+(0.8*0.7)</f>
        <v>1.56</v>
      </c>
      <c r="H34" s="32">
        <v>0</v>
      </c>
      <c r="I34" s="32">
        <v>0</v>
      </c>
      <c r="J34">
        <f t="shared" si="0"/>
        <v>1.56</v>
      </c>
    </row>
    <row r="35" spans="1:11">
      <c r="A35">
        <v>2011</v>
      </c>
      <c r="B35" s="32" t="s">
        <v>130</v>
      </c>
      <c r="C35" s="5">
        <v>40746</v>
      </c>
      <c r="D35">
        <v>93</v>
      </c>
      <c r="E35" s="32" t="s">
        <v>127</v>
      </c>
      <c r="F35" s="32">
        <v>0</v>
      </c>
      <c r="G35" s="32">
        <v>0</v>
      </c>
      <c r="H35" s="32">
        <f>(0.5*0.4)+(0.5*0.5)</f>
        <v>0.45</v>
      </c>
      <c r="I35" s="32">
        <v>0</v>
      </c>
      <c r="J35">
        <f t="shared" si="0"/>
        <v>0.45</v>
      </c>
    </row>
    <row r="36" spans="1:11">
      <c r="B36" s="32"/>
      <c r="E36" s="32"/>
      <c r="F36" s="32"/>
      <c r="G36" s="32"/>
      <c r="H36" s="32"/>
      <c r="I36" s="32"/>
    </row>
    <row r="37" spans="1:11">
      <c r="B37" s="32"/>
      <c r="E37" s="32"/>
      <c r="F37" s="32"/>
      <c r="G37" s="32"/>
      <c r="H37" s="32"/>
      <c r="I37" s="32"/>
    </row>
    <row r="38" spans="1:11">
      <c r="B38" s="32"/>
      <c r="E38" s="32"/>
      <c r="G38" s="32"/>
      <c r="H38" s="32"/>
      <c r="I38" s="32"/>
    </row>
    <row r="39" spans="1:11">
      <c r="B39" s="32"/>
      <c r="E39" s="32"/>
      <c r="F39" s="32"/>
      <c r="G39" s="32"/>
      <c r="I39" s="32"/>
    </row>
    <row r="40" spans="1:11">
      <c r="B40" s="32"/>
      <c r="E40" s="32"/>
      <c r="F40" s="32"/>
      <c r="G40" s="32"/>
      <c r="H40" s="32"/>
    </row>
    <row r="41" spans="1:11">
      <c r="B41" s="32"/>
      <c r="E41" s="32"/>
      <c r="F41" s="32"/>
      <c r="G41" s="32"/>
      <c r="H41" s="32"/>
      <c r="I41" s="32"/>
      <c r="K41" s="32"/>
    </row>
    <row r="42" spans="1:11">
      <c r="B42" s="32"/>
      <c r="E42" s="32"/>
      <c r="F42" s="32"/>
      <c r="G42" s="32"/>
      <c r="H42" s="32"/>
      <c r="I42" s="32"/>
      <c r="K42" s="32"/>
    </row>
    <row r="43" spans="1:11">
      <c r="B43" s="32"/>
      <c r="E43" s="32"/>
      <c r="F43" s="32"/>
      <c r="G43" s="32"/>
      <c r="H43" s="32"/>
      <c r="I43" s="32"/>
    </row>
    <row r="44" spans="1:11">
      <c r="B44" s="32"/>
      <c r="E44" s="32"/>
      <c r="F44" s="32"/>
      <c r="G44" s="32"/>
      <c r="H44" s="32"/>
      <c r="I44" s="32"/>
    </row>
    <row r="45" spans="1:11">
      <c r="B45" s="32"/>
      <c r="E45" s="32"/>
      <c r="F45" s="32"/>
      <c r="G45" s="32"/>
      <c r="H45" s="32"/>
      <c r="I45" s="32"/>
      <c r="K45" s="32"/>
    </row>
    <row r="46" spans="1:11">
      <c r="B46" s="32"/>
      <c r="E46" s="32"/>
      <c r="F46" s="32"/>
      <c r="G46" s="32"/>
      <c r="H46" s="32"/>
      <c r="I46" s="32"/>
    </row>
    <row r="47" spans="1:11">
      <c r="B47" s="32"/>
      <c r="E47" s="32"/>
      <c r="F47" s="32"/>
      <c r="G47" s="32"/>
      <c r="H47" s="32"/>
      <c r="I47" s="32"/>
    </row>
    <row r="48" spans="1:11">
      <c r="B48" s="32"/>
      <c r="E48" s="32"/>
      <c r="F48" s="32"/>
      <c r="G48" s="32"/>
      <c r="H48" s="32"/>
      <c r="I48" s="32"/>
    </row>
    <row r="49" spans="2:11">
      <c r="B49" s="32"/>
      <c r="E49" s="32"/>
      <c r="G49" s="32"/>
      <c r="H49" s="32"/>
      <c r="I49" s="32"/>
    </row>
    <row r="50" spans="2:11">
      <c r="B50" s="32"/>
      <c r="E50" s="32"/>
      <c r="G50" s="32"/>
      <c r="H50" s="32"/>
    </row>
    <row r="51" spans="2:11">
      <c r="B51" s="32"/>
      <c r="E51" s="32"/>
      <c r="F51" s="32"/>
      <c r="G51" s="32"/>
      <c r="H51" s="32"/>
      <c r="I51" s="32"/>
      <c r="K51" s="32"/>
    </row>
    <row r="52" spans="2:11">
      <c r="B52" s="32"/>
      <c r="E52" s="32"/>
      <c r="H52" s="32"/>
      <c r="I52" s="32"/>
    </row>
    <row r="53" spans="2:11">
      <c r="B53" s="32"/>
      <c r="E53" s="32"/>
      <c r="F53" s="32"/>
      <c r="G53" s="32"/>
      <c r="I53" s="32"/>
    </row>
    <row r="54" spans="2:11">
      <c r="B54" s="32"/>
    </row>
    <row r="55" spans="2:11">
      <c r="B55" s="32"/>
    </row>
    <row r="56" spans="2:11">
      <c r="B56" s="32"/>
    </row>
    <row r="57" spans="2:11">
      <c r="B57" s="32"/>
    </row>
    <row r="58" spans="2:11">
      <c r="B58" s="32"/>
    </row>
    <row r="59" spans="2:11">
      <c r="B59" s="32"/>
    </row>
    <row r="60" spans="2:11">
      <c r="B60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2"/>
  <sheetViews>
    <sheetView workbookViewId="0">
      <pane ySplit="3" topLeftCell="A4" activePane="bottomLeft" state="frozen"/>
      <selection pane="bottomLeft" activeCell="I22" sqref="I22"/>
    </sheetView>
  </sheetViews>
  <sheetFormatPr defaultRowHeight="13.2"/>
  <cols>
    <col min="2" max="2" width="11.109375" customWidth="1"/>
    <col min="3" max="3" width="9.109375" style="5" customWidth="1"/>
    <col min="4" max="4" width="8.88671875" customWidth="1"/>
    <col min="6" max="6" width="10.88671875" customWidth="1"/>
    <col min="7" max="7" width="10.6640625" bestFit="1" customWidth="1"/>
    <col min="9" max="9" width="8" customWidth="1"/>
  </cols>
  <sheetData>
    <row r="1" spans="1:10">
      <c r="A1" s="5" t="s">
        <v>53</v>
      </c>
    </row>
    <row r="2" spans="1:10">
      <c r="A2" s="4"/>
      <c r="B2" s="4"/>
    </row>
    <row r="3" spans="1:10" ht="13.8" thickBot="1">
      <c r="A3" s="40" t="s">
        <v>91</v>
      </c>
      <c r="B3" s="40" t="s">
        <v>84</v>
      </c>
      <c r="C3" s="8" t="s">
        <v>8</v>
      </c>
      <c r="D3" s="9" t="s">
        <v>9</v>
      </c>
      <c r="E3" s="9" t="s">
        <v>50</v>
      </c>
      <c r="F3" s="9" t="s">
        <v>52</v>
      </c>
      <c r="G3" s="9" t="s">
        <v>51</v>
      </c>
      <c r="H3" s="9" t="s">
        <v>41</v>
      </c>
      <c r="I3" s="9" t="s">
        <v>48</v>
      </c>
      <c r="J3" s="9" t="s">
        <v>17</v>
      </c>
    </row>
    <row r="4" spans="1:10" ht="13.8" thickTop="1">
      <c r="A4">
        <v>2011</v>
      </c>
      <c r="B4" s="32" t="s">
        <v>130</v>
      </c>
      <c r="C4" s="5">
        <v>40715</v>
      </c>
      <c r="D4">
        <v>4</v>
      </c>
      <c r="E4" t="s">
        <v>113</v>
      </c>
      <c r="F4" t="s">
        <v>1</v>
      </c>
      <c r="G4" t="s">
        <v>1</v>
      </c>
      <c r="H4" s="1" t="s">
        <v>1</v>
      </c>
      <c r="I4" s="1" t="s">
        <v>1</v>
      </c>
    </row>
    <row r="5" spans="1:10">
      <c r="A5">
        <v>2011</v>
      </c>
      <c r="B5" s="32" t="s">
        <v>130</v>
      </c>
      <c r="C5" s="5">
        <v>40715</v>
      </c>
      <c r="D5">
        <v>5</v>
      </c>
      <c r="E5">
        <v>1</v>
      </c>
      <c r="F5">
        <v>5.31</v>
      </c>
      <c r="G5" t="s">
        <v>1</v>
      </c>
      <c r="H5" s="1">
        <v>3.6</v>
      </c>
      <c r="I5" s="1">
        <v>317</v>
      </c>
      <c r="J5" t="s">
        <v>112</v>
      </c>
    </row>
    <row r="6" spans="1:10">
      <c r="A6">
        <v>2011</v>
      </c>
      <c r="B6" s="32" t="s">
        <v>130</v>
      </c>
      <c r="C6" s="5">
        <v>40715</v>
      </c>
      <c r="D6">
        <v>5</v>
      </c>
      <c r="E6">
        <v>2</v>
      </c>
      <c r="F6">
        <v>6.62</v>
      </c>
      <c r="G6" t="s">
        <v>1</v>
      </c>
      <c r="H6" s="1">
        <v>10.5</v>
      </c>
      <c r="I6" s="1">
        <v>112</v>
      </c>
      <c r="J6" t="s">
        <v>112</v>
      </c>
    </row>
    <row r="7" spans="1:10">
      <c r="A7">
        <v>2011</v>
      </c>
      <c r="B7" s="32" t="s">
        <v>130</v>
      </c>
      <c r="C7" s="5">
        <v>40715</v>
      </c>
      <c r="D7">
        <v>5</v>
      </c>
      <c r="E7">
        <v>3</v>
      </c>
      <c r="F7" s="32">
        <v>4.8600000000000003</v>
      </c>
      <c r="G7" s="32" t="s">
        <v>1</v>
      </c>
      <c r="H7" s="32">
        <v>14.71</v>
      </c>
      <c r="I7" s="32">
        <v>56</v>
      </c>
      <c r="J7" t="s">
        <v>143</v>
      </c>
    </row>
    <row r="8" spans="1:10">
      <c r="A8">
        <v>2011</v>
      </c>
      <c r="B8" s="32" t="s">
        <v>130</v>
      </c>
      <c r="C8" s="5">
        <v>40715</v>
      </c>
      <c r="D8">
        <v>5</v>
      </c>
      <c r="E8">
        <v>4</v>
      </c>
      <c r="F8" s="32" t="s">
        <v>1</v>
      </c>
      <c r="G8" s="32" t="s">
        <v>1</v>
      </c>
      <c r="H8" s="32" t="s">
        <v>1</v>
      </c>
      <c r="I8" s="32" t="s">
        <v>1</v>
      </c>
      <c r="J8" s="32" t="s">
        <v>120</v>
      </c>
    </row>
    <row r="9" spans="1:10">
      <c r="A9">
        <v>2011</v>
      </c>
      <c r="B9" s="32" t="s">
        <v>130</v>
      </c>
      <c r="C9" s="5">
        <v>40715</v>
      </c>
      <c r="D9">
        <v>5</v>
      </c>
      <c r="E9">
        <v>5</v>
      </c>
      <c r="F9" s="32">
        <v>6.03</v>
      </c>
      <c r="G9" s="32" t="s">
        <v>1</v>
      </c>
      <c r="H9" s="32">
        <v>14.78</v>
      </c>
      <c r="I9" s="32">
        <v>48</v>
      </c>
      <c r="J9" s="32" t="s">
        <v>112</v>
      </c>
    </row>
    <row r="10" spans="1:10">
      <c r="A10">
        <v>2011</v>
      </c>
      <c r="B10" s="32" t="s">
        <v>130</v>
      </c>
      <c r="C10" s="5">
        <v>40715</v>
      </c>
      <c r="D10">
        <v>6</v>
      </c>
      <c r="E10">
        <v>1</v>
      </c>
      <c r="F10" s="32">
        <v>8.56</v>
      </c>
      <c r="G10" s="32" t="s">
        <v>1</v>
      </c>
      <c r="H10" s="32">
        <v>3.21</v>
      </c>
      <c r="I10" s="28">
        <v>267</v>
      </c>
      <c r="J10" s="32"/>
    </row>
    <row r="11" spans="1:10">
      <c r="A11">
        <v>2011</v>
      </c>
      <c r="B11" s="32" t="s">
        <v>130</v>
      </c>
      <c r="C11" s="5">
        <v>40715</v>
      </c>
      <c r="D11">
        <v>6</v>
      </c>
      <c r="E11">
        <v>2</v>
      </c>
      <c r="F11" s="32">
        <v>5.14</v>
      </c>
      <c r="G11" s="32" t="s">
        <v>1</v>
      </c>
      <c r="H11" s="32">
        <v>4.99</v>
      </c>
      <c r="I11" s="32">
        <v>332</v>
      </c>
    </row>
    <row r="12" spans="1:10">
      <c r="A12">
        <v>2011</v>
      </c>
      <c r="B12" s="32" t="s">
        <v>130</v>
      </c>
      <c r="C12" s="5">
        <v>40715</v>
      </c>
      <c r="D12">
        <v>6</v>
      </c>
      <c r="E12">
        <v>3</v>
      </c>
      <c r="F12" s="32">
        <v>5.04</v>
      </c>
      <c r="G12" s="32" t="s">
        <v>1</v>
      </c>
      <c r="H12" s="32">
        <v>13</v>
      </c>
      <c r="I12" s="32">
        <v>36</v>
      </c>
    </row>
    <row r="13" spans="1:10">
      <c r="A13">
        <v>2011</v>
      </c>
      <c r="B13" s="32" t="s">
        <v>130</v>
      </c>
      <c r="C13" s="5">
        <v>40715</v>
      </c>
      <c r="D13">
        <v>6</v>
      </c>
      <c r="E13">
        <v>5</v>
      </c>
      <c r="F13" s="32">
        <v>5.2</v>
      </c>
      <c r="G13" s="32" t="s">
        <v>1</v>
      </c>
      <c r="H13" s="32">
        <v>13.09</v>
      </c>
      <c r="I13" s="32">
        <v>358</v>
      </c>
      <c r="J13" s="32" t="s">
        <v>170</v>
      </c>
    </row>
    <row r="14" spans="1:10">
      <c r="A14">
        <v>2011</v>
      </c>
      <c r="B14" s="32" t="s">
        <v>130</v>
      </c>
      <c r="C14" s="5">
        <v>40724</v>
      </c>
      <c r="D14">
        <v>10</v>
      </c>
      <c r="E14" t="s">
        <v>113</v>
      </c>
      <c r="F14" t="s">
        <v>1</v>
      </c>
      <c r="G14" s="32" t="s">
        <v>1</v>
      </c>
      <c r="H14" s="32" t="s">
        <v>1</v>
      </c>
      <c r="I14" s="32" t="s">
        <v>1</v>
      </c>
      <c r="J14" s="32"/>
    </row>
    <row r="15" spans="1:10">
      <c r="A15">
        <v>2011</v>
      </c>
      <c r="B15" s="32" t="s">
        <v>130</v>
      </c>
      <c r="C15" s="5">
        <v>40724</v>
      </c>
      <c r="D15">
        <v>11</v>
      </c>
      <c r="E15">
        <v>1</v>
      </c>
      <c r="F15">
        <v>7.89</v>
      </c>
      <c r="G15" s="32" t="s">
        <v>1</v>
      </c>
      <c r="H15" s="32">
        <v>17.829999999999998</v>
      </c>
      <c r="I15" s="32">
        <v>198</v>
      </c>
      <c r="J15" t="s">
        <v>178</v>
      </c>
    </row>
    <row r="16" spans="1:10">
      <c r="A16">
        <v>2011</v>
      </c>
      <c r="B16" s="32" t="s">
        <v>130</v>
      </c>
      <c r="C16" s="5">
        <v>40724</v>
      </c>
      <c r="D16">
        <v>11</v>
      </c>
      <c r="E16">
        <v>2</v>
      </c>
      <c r="F16">
        <v>9.51</v>
      </c>
      <c r="G16" s="32" t="s">
        <v>1</v>
      </c>
      <c r="H16" s="32">
        <v>13</v>
      </c>
      <c r="I16" s="32">
        <v>240</v>
      </c>
      <c r="J16" t="s">
        <v>179</v>
      </c>
    </row>
    <row r="17" spans="1:10">
      <c r="A17">
        <v>2011</v>
      </c>
      <c r="B17" s="32" t="s">
        <v>130</v>
      </c>
      <c r="C17" s="5">
        <v>40724</v>
      </c>
      <c r="D17">
        <v>11</v>
      </c>
      <c r="E17">
        <v>3</v>
      </c>
      <c r="F17">
        <v>10.69</v>
      </c>
      <c r="G17">
        <v>6.86</v>
      </c>
      <c r="H17" s="32">
        <v>15.8</v>
      </c>
      <c r="I17" s="32">
        <v>285</v>
      </c>
      <c r="J17" t="s">
        <v>178</v>
      </c>
    </row>
    <row r="18" spans="1:10">
      <c r="A18">
        <v>2011</v>
      </c>
      <c r="B18" s="32" t="s">
        <v>130</v>
      </c>
      <c r="C18" s="5">
        <v>40724</v>
      </c>
      <c r="D18">
        <v>11</v>
      </c>
      <c r="E18">
        <v>4</v>
      </c>
      <c r="F18">
        <v>10.56</v>
      </c>
      <c r="G18" t="s">
        <v>1</v>
      </c>
      <c r="H18" s="32">
        <v>14.5</v>
      </c>
      <c r="I18" s="32">
        <v>285</v>
      </c>
      <c r="J18" t="s">
        <v>178</v>
      </c>
    </row>
    <row r="19" spans="1:10">
      <c r="A19">
        <v>2011</v>
      </c>
      <c r="B19" s="32" t="s">
        <v>130</v>
      </c>
      <c r="C19" s="5">
        <v>40724</v>
      </c>
      <c r="D19">
        <v>11</v>
      </c>
      <c r="E19">
        <v>5</v>
      </c>
      <c r="F19">
        <v>7.5</v>
      </c>
      <c r="G19" t="s">
        <v>1</v>
      </c>
      <c r="H19" s="32">
        <v>16.100000000000001</v>
      </c>
      <c r="I19" s="32">
        <v>201</v>
      </c>
      <c r="J19" t="s">
        <v>180</v>
      </c>
    </row>
    <row r="20" spans="1:10">
      <c r="A20">
        <v>2011</v>
      </c>
      <c r="B20" s="32" t="s">
        <v>130</v>
      </c>
      <c r="C20" s="5">
        <v>40746</v>
      </c>
      <c r="D20">
        <v>12</v>
      </c>
      <c r="E20">
        <v>1</v>
      </c>
      <c r="F20">
        <v>11.08</v>
      </c>
      <c r="G20" s="32" t="s">
        <v>1</v>
      </c>
      <c r="H20">
        <v>17.32</v>
      </c>
      <c r="I20">
        <v>164</v>
      </c>
      <c r="J20" s="32" t="s">
        <v>197</v>
      </c>
    </row>
    <row r="21" spans="1:10">
      <c r="A21">
        <v>2011</v>
      </c>
      <c r="B21" s="32" t="s">
        <v>130</v>
      </c>
      <c r="C21" s="5">
        <v>40746</v>
      </c>
      <c r="D21">
        <v>12</v>
      </c>
      <c r="E21">
        <v>2</v>
      </c>
      <c r="F21">
        <v>8.2799999999999994</v>
      </c>
      <c r="G21" s="32" t="s">
        <v>1</v>
      </c>
      <c r="H21">
        <v>15.86</v>
      </c>
      <c r="I21">
        <v>142</v>
      </c>
      <c r="J21" s="32" t="s">
        <v>198</v>
      </c>
    </row>
    <row r="22" spans="1:10">
      <c r="A22">
        <v>2011</v>
      </c>
      <c r="B22" s="32" t="s">
        <v>130</v>
      </c>
      <c r="C22" s="5">
        <v>40746</v>
      </c>
      <c r="D22">
        <v>12</v>
      </c>
      <c r="E22">
        <v>3</v>
      </c>
      <c r="F22">
        <v>35.880000000000003</v>
      </c>
      <c r="G22">
        <v>33.9</v>
      </c>
      <c r="H22">
        <v>9.2899999999999991</v>
      </c>
      <c r="I22">
        <v>191</v>
      </c>
      <c r="J22" s="32" t="s">
        <v>196</v>
      </c>
    </row>
    <row r="23" spans="1:10">
      <c r="A23">
        <v>2011</v>
      </c>
      <c r="B23" s="32" t="s">
        <v>130</v>
      </c>
      <c r="C23" s="5">
        <v>40711</v>
      </c>
      <c r="D23">
        <v>91</v>
      </c>
      <c r="E23" t="s">
        <v>113</v>
      </c>
      <c r="F23" t="s">
        <v>1</v>
      </c>
      <c r="G23" t="s">
        <v>1</v>
      </c>
      <c r="H23" t="s">
        <v>1</v>
      </c>
      <c r="I23" t="s">
        <v>1</v>
      </c>
    </row>
    <row r="24" spans="1:10">
      <c r="A24">
        <v>2011</v>
      </c>
      <c r="B24" s="32" t="s">
        <v>130</v>
      </c>
      <c r="C24" s="5">
        <v>40711</v>
      </c>
      <c r="D24">
        <v>92</v>
      </c>
      <c r="E24" t="s">
        <v>113</v>
      </c>
      <c r="F24" t="s">
        <v>1</v>
      </c>
      <c r="G24" t="s">
        <v>1</v>
      </c>
      <c r="H24" t="s">
        <v>1</v>
      </c>
      <c r="I24" t="s">
        <v>1</v>
      </c>
    </row>
    <row r="25" spans="1:10">
      <c r="A25">
        <v>2011</v>
      </c>
      <c r="B25" s="32" t="s">
        <v>130</v>
      </c>
      <c r="C25" s="5">
        <v>40746</v>
      </c>
      <c r="D25">
        <v>93</v>
      </c>
      <c r="E25">
        <v>1</v>
      </c>
      <c r="F25">
        <v>9.33</v>
      </c>
      <c r="G25" s="32" t="s">
        <v>1</v>
      </c>
      <c r="H25">
        <v>12.1</v>
      </c>
      <c r="I25">
        <v>199</v>
      </c>
      <c r="J25" s="32" t="s">
        <v>112</v>
      </c>
    </row>
    <row r="26" spans="1:10">
      <c r="A26">
        <v>2011</v>
      </c>
      <c r="B26" s="32" t="s">
        <v>130</v>
      </c>
      <c r="C26" s="5">
        <v>40746</v>
      </c>
      <c r="D26">
        <v>93</v>
      </c>
      <c r="E26">
        <v>2</v>
      </c>
      <c r="F26">
        <v>9.34</v>
      </c>
      <c r="G26" s="32" t="s">
        <v>1</v>
      </c>
      <c r="H26">
        <v>17.940000000000001</v>
      </c>
      <c r="I26">
        <v>205</v>
      </c>
      <c r="J26" s="32" t="s">
        <v>112</v>
      </c>
    </row>
    <row r="27" spans="1:10">
      <c r="A27">
        <v>2011</v>
      </c>
      <c r="B27" s="32" t="s">
        <v>130</v>
      </c>
      <c r="C27" s="5">
        <v>40746</v>
      </c>
      <c r="D27">
        <v>93</v>
      </c>
      <c r="E27">
        <v>3</v>
      </c>
      <c r="F27">
        <v>8.2200000000000006</v>
      </c>
      <c r="G27" s="32" t="s">
        <v>1</v>
      </c>
      <c r="H27">
        <v>7.17</v>
      </c>
      <c r="I27">
        <v>248</v>
      </c>
      <c r="J27" s="32" t="s">
        <v>112</v>
      </c>
    </row>
    <row r="28" spans="1:10">
      <c r="A28">
        <v>2011</v>
      </c>
      <c r="B28" s="32" t="s">
        <v>130</v>
      </c>
      <c r="C28" s="5">
        <v>40746</v>
      </c>
      <c r="D28">
        <v>93</v>
      </c>
      <c r="E28">
        <v>4</v>
      </c>
      <c r="F28">
        <v>6.51</v>
      </c>
      <c r="G28" s="32" t="s">
        <v>1</v>
      </c>
      <c r="H28">
        <v>10.29</v>
      </c>
      <c r="I28">
        <v>261</v>
      </c>
      <c r="J28" s="32" t="s">
        <v>221</v>
      </c>
    </row>
    <row r="29" spans="1:10">
      <c r="B29" s="32"/>
    </row>
    <row r="30" spans="1:10">
      <c r="B30" s="32"/>
    </row>
    <row r="31" spans="1:10">
      <c r="B31" s="32"/>
    </row>
    <row r="32" spans="1:10">
      <c r="B32" s="32"/>
    </row>
    <row r="33" spans="2:10">
      <c r="B33" s="32"/>
    </row>
    <row r="34" spans="2:10">
      <c r="B34" s="32"/>
      <c r="H34" s="4"/>
      <c r="I34" s="1"/>
    </row>
    <row r="35" spans="2:10">
      <c r="B35" s="32"/>
      <c r="H35" s="1"/>
      <c r="I35" s="1"/>
    </row>
    <row r="36" spans="2:10">
      <c r="B36" s="32"/>
      <c r="H36" s="1"/>
      <c r="I36" s="1"/>
    </row>
    <row r="37" spans="2:10">
      <c r="B37" s="32"/>
    </row>
    <row r="38" spans="2:10">
      <c r="B38" s="32"/>
    </row>
    <row r="39" spans="2:10">
      <c r="B39" s="32"/>
      <c r="E39" s="32"/>
      <c r="F39" s="32"/>
      <c r="G39" s="32"/>
      <c r="H39" s="32"/>
      <c r="I39" s="32"/>
      <c r="J39" s="32"/>
    </row>
    <row r="40" spans="2:10">
      <c r="B40" s="32"/>
      <c r="E40" s="32"/>
      <c r="F40" s="32"/>
      <c r="G40" s="32"/>
      <c r="H40" s="32"/>
      <c r="I40" s="32"/>
    </row>
    <row r="41" spans="2:10">
      <c r="B41" s="32"/>
      <c r="E41" s="32"/>
      <c r="F41" s="32"/>
      <c r="G41" s="32"/>
      <c r="H41" s="35"/>
      <c r="I41" s="35"/>
    </row>
    <row r="42" spans="2:10">
      <c r="B42" s="32"/>
      <c r="C42" s="41"/>
      <c r="E42" s="32"/>
      <c r="F42" s="32"/>
      <c r="G42" s="32"/>
      <c r="H42" s="35"/>
      <c r="I42" s="35"/>
      <c r="J42" s="28"/>
    </row>
    <row r="43" spans="2:10">
      <c r="B43" s="32"/>
      <c r="E43" s="32"/>
      <c r="F43" s="32"/>
      <c r="G43" s="32"/>
      <c r="H43" s="35"/>
      <c r="I43" s="35"/>
      <c r="J43" s="28"/>
    </row>
    <row r="44" spans="2:10">
      <c r="B44" s="32"/>
      <c r="E44" s="32"/>
      <c r="F44" s="32"/>
      <c r="G44" s="32"/>
      <c r="H44" s="35"/>
      <c r="I44" s="35"/>
      <c r="J44" s="28"/>
    </row>
    <row r="45" spans="2:10">
      <c r="B45" s="32"/>
      <c r="F45" s="28"/>
      <c r="G45" s="32"/>
      <c r="H45" s="32"/>
      <c r="I45" s="32"/>
      <c r="J45" s="32"/>
    </row>
    <row r="46" spans="2:10">
      <c r="B46" s="32"/>
      <c r="F46" s="28"/>
      <c r="G46" s="32"/>
      <c r="H46" s="32"/>
      <c r="I46" s="32"/>
      <c r="J46" s="32"/>
    </row>
    <row r="47" spans="2:10">
      <c r="B47" s="32"/>
      <c r="E47" s="32"/>
      <c r="F47" s="32"/>
      <c r="G47" s="32"/>
      <c r="H47" s="32"/>
      <c r="I47" s="32"/>
      <c r="J47" s="28"/>
    </row>
    <row r="48" spans="2:10">
      <c r="B48" s="32"/>
      <c r="G48" s="32"/>
      <c r="H48" s="32"/>
      <c r="I48" s="32"/>
      <c r="J48" s="32"/>
    </row>
    <row r="49" spans="2:10">
      <c r="B49" s="32"/>
      <c r="G49" s="32"/>
      <c r="H49" s="32"/>
      <c r="I49" s="32"/>
      <c r="J49" s="32"/>
    </row>
    <row r="50" spans="2:10">
      <c r="B50" s="32"/>
    </row>
    <row r="51" spans="2:10">
      <c r="B51" s="32"/>
    </row>
    <row r="52" spans="2:10">
      <c r="B52" s="32"/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W83"/>
  <sheetViews>
    <sheetView workbookViewId="0">
      <pane xSplit="6" ySplit="4" topLeftCell="G5" activePane="bottomRight" state="frozen"/>
      <selection pane="topRight" activeCell="E1" sqref="E1"/>
      <selection pane="bottomLeft" activeCell="A5" sqref="A5"/>
      <selection pane="bottomRight" activeCell="H33" sqref="H33"/>
    </sheetView>
  </sheetViews>
  <sheetFormatPr defaultRowHeight="13.2"/>
  <cols>
    <col min="2" max="2" width="10.6640625" customWidth="1"/>
    <col min="3" max="3" width="9.109375" style="5" hidden="1" customWidth="1"/>
    <col min="4" max="4" width="5.6640625" customWidth="1"/>
    <col min="5" max="5" width="18.44140625" customWidth="1"/>
    <col min="6" max="6" width="9.109375" style="7" customWidth="1"/>
    <col min="9" max="10" width="9.109375" style="4" customWidth="1"/>
    <col min="12" max="12" width="9.109375" style="13" customWidth="1"/>
    <col min="13" max="13" width="18.44140625" customWidth="1"/>
    <col min="14" max="14" width="12.6640625" customWidth="1"/>
    <col min="20" max="20" width="9.109375" style="13" customWidth="1"/>
    <col min="23" max="23" width="39.6640625" style="49" bestFit="1" customWidth="1"/>
  </cols>
  <sheetData>
    <row r="1" spans="1:23">
      <c r="A1" s="3" t="s">
        <v>45</v>
      </c>
      <c r="D1" s="4"/>
      <c r="E1" s="12"/>
      <c r="G1" s="4"/>
      <c r="H1" s="4"/>
      <c r="K1" s="4"/>
      <c r="M1" s="12"/>
      <c r="N1" s="12"/>
      <c r="O1" s="4"/>
      <c r="P1" s="4"/>
      <c r="Q1" s="4"/>
      <c r="R1" s="4"/>
      <c r="W1" s="48"/>
    </row>
    <row r="2" spans="1:23">
      <c r="A2" s="3" t="s">
        <v>37</v>
      </c>
      <c r="D2" s="4"/>
      <c r="E2" s="12"/>
      <c r="G2" s="4"/>
      <c r="H2" s="4"/>
      <c r="K2" s="4"/>
      <c r="M2" s="12"/>
      <c r="N2" s="12"/>
      <c r="O2" s="4"/>
      <c r="P2" s="4"/>
      <c r="Q2" s="4"/>
      <c r="R2" s="4"/>
      <c r="W2" s="48"/>
    </row>
    <row r="3" spans="1:23" s="16" customFormat="1">
      <c r="C3" s="17"/>
      <c r="E3" s="12" t="s">
        <v>38</v>
      </c>
      <c r="F3" s="7"/>
      <c r="G3" s="6" t="s">
        <v>39</v>
      </c>
      <c r="H3" s="6" t="s">
        <v>39</v>
      </c>
      <c r="I3" s="6" t="s">
        <v>39</v>
      </c>
      <c r="J3" s="6"/>
      <c r="K3" s="19" t="s">
        <v>222</v>
      </c>
      <c r="L3" s="7"/>
      <c r="M3" s="6" t="s">
        <v>40</v>
      </c>
      <c r="N3" s="6"/>
      <c r="O3" s="6" t="s">
        <v>39</v>
      </c>
      <c r="P3" s="6" t="s">
        <v>39</v>
      </c>
      <c r="Q3" s="6" t="s">
        <v>39</v>
      </c>
      <c r="R3" s="6"/>
      <c r="S3" s="18" t="s">
        <v>39</v>
      </c>
      <c r="T3" s="24"/>
      <c r="W3" s="48"/>
    </row>
    <row r="4" spans="1:23" s="10" customFormat="1" ht="13.8" thickBot="1">
      <c r="A4" s="33" t="s">
        <v>91</v>
      </c>
      <c r="B4" s="33" t="s">
        <v>84</v>
      </c>
      <c r="C4" s="14" t="s">
        <v>8</v>
      </c>
      <c r="D4" s="10" t="s">
        <v>9</v>
      </c>
      <c r="E4" s="10" t="s">
        <v>10</v>
      </c>
      <c r="F4" s="11" t="s">
        <v>116</v>
      </c>
      <c r="G4" s="10" t="s">
        <v>42</v>
      </c>
      <c r="H4" s="10" t="s">
        <v>43</v>
      </c>
      <c r="I4" s="10" t="s">
        <v>44</v>
      </c>
      <c r="J4" s="10" t="s">
        <v>67</v>
      </c>
      <c r="K4" s="21" t="s">
        <v>41</v>
      </c>
      <c r="L4" s="11" t="s">
        <v>48</v>
      </c>
      <c r="M4" s="10" t="s">
        <v>10</v>
      </c>
      <c r="N4" s="10" t="s">
        <v>115</v>
      </c>
      <c r="O4" s="10" t="s">
        <v>42</v>
      </c>
      <c r="P4" s="10" t="s">
        <v>43</v>
      </c>
      <c r="Q4" s="10" t="s">
        <v>44</v>
      </c>
      <c r="R4" s="10" t="s">
        <v>68</v>
      </c>
      <c r="S4" s="20" t="s">
        <v>41</v>
      </c>
      <c r="T4" s="25" t="s">
        <v>48</v>
      </c>
      <c r="U4" s="10" t="s">
        <v>49</v>
      </c>
      <c r="V4" s="10" t="s">
        <v>54</v>
      </c>
      <c r="W4" s="51" t="s">
        <v>17</v>
      </c>
    </row>
    <row r="5" spans="1:23" ht="13.8" thickTop="1">
      <c r="A5">
        <v>2011</v>
      </c>
      <c r="B5" s="32" t="s">
        <v>130</v>
      </c>
      <c r="C5" s="5">
        <v>40715</v>
      </c>
      <c r="D5">
        <v>5</v>
      </c>
      <c r="E5" s="47" t="s">
        <v>69</v>
      </c>
      <c r="F5" s="7" t="s">
        <v>71</v>
      </c>
      <c r="G5">
        <v>49</v>
      </c>
      <c r="H5">
        <v>22</v>
      </c>
      <c r="I5" s="1">
        <v>30</v>
      </c>
      <c r="K5" s="55">
        <v>14.04</v>
      </c>
      <c r="L5" s="56">
        <v>323</v>
      </c>
      <c r="M5" s="32" t="s">
        <v>128</v>
      </c>
      <c r="N5" s="32" t="s">
        <v>159</v>
      </c>
      <c r="O5" s="35">
        <v>32</v>
      </c>
      <c r="P5" s="35">
        <v>24</v>
      </c>
      <c r="Q5" s="35">
        <v>19</v>
      </c>
      <c r="S5" s="59">
        <v>14.04</v>
      </c>
      <c r="T5" s="60">
        <v>325</v>
      </c>
      <c r="U5" s="59">
        <v>43</v>
      </c>
      <c r="V5" s="30">
        <v>603</v>
      </c>
    </row>
    <row r="6" spans="1:23">
      <c r="A6">
        <v>2011</v>
      </c>
      <c r="B6" s="32" t="s">
        <v>130</v>
      </c>
      <c r="C6" s="5">
        <v>40715</v>
      </c>
      <c r="D6">
        <v>5</v>
      </c>
      <c r="E6" s="47" t="s">
        <v>77</v>
      </c>
      <c r="F6" s="36" t="s">
        <v>80</v>
      </c>
      <c r="G6">
        <v>172</v>
      </c>
      <c r="H6">
        <v>107</v>
      </c>
      <c r="I6" s="1">
        <v>201</v>
      </c>
      <c r="K6" s="55">
        <v>18.61</v>
      </c>
      <c r="L6" s="56">
        <v>103</v>
      </c>
      <c r="M6" s="32" t="s">
        <v>94</v>
      </c>
      <c r="N6" s="32" t="s">
        <v>153</v>
      </c>
      <c r="O6" s="35">
        <v>111</v>
      </c>
      <c r="P6" s="35">
        <v>83</v>
      </c>
      <c r="Q6" s="35">
        <v>84</v>
      </c>
      <c r="S6" s="59">
        <v>18.57</v>
      </c>
      <c r="T6" s="60">
        <v>101</v>
      </c>
      <c r="U6" s="59">
        <v>51</v>
      </c>
      <c r="V6" s="1">
        <v>593</v>
      </c>
    </row>
    <row r="7" spans="1:23">
      <c r="A7">
        <v>2011</v>
      </c>
      <c r="B7" s="32" t="s">
        <v>130</v>
      </c>
      <c r="C7" s="5">
        <v>40715</v>
      </c>
      <c r="D7">
        <v>5</v>
      </c>
      <c r="E7" s="47" t="s">
        <v>77</v>
      </c>
      <c r="F7" s="36" t="s">
        <v>79</v>
      </c>
      <c r="G7">
        <v>120</v>
      </c>
      <c r="H7">
        <v>100</v>
      </c>
      <c r="I7" s="1">
        <v>118</v>
      </c>
      <c r="K7" s="55">
        <v>10.06</v>
      </c>
      <c r="L7" s="56">
        <v>100</v>
      </c>
      <c r="M7" s="32" t="s">
        <v>76</v>
      </c>
      <c r="N7" s="32" t="s">
        <v>119</v>
      </c>
      <c r="O7" s="35">
        <v>22</v>
      </c>
      <c r="P7" s="35">
        <v>17</v>
      </c>
      <c r="Q7" s="35">
        <v>20</v>
      </c>
      <c r="S7" s="59">
        <v>9.91</v>
      </c>
      <c r="T7" s="60">
        <v>106</v>
      </c>
      <c r="U7" s="59">
        <v>109</v>
      </c>
      <c r="V7" s="1">
        <v>592</v>
      </c>
    </row>
    <row r="8" spans="1:23">
      <c r="A8">
        <v>2011</v>
      </c>
      <c r="B8" s="32" t="s">
        <v>130</v>
      </c>
      <c r="C8" s="5">
        <v>40715</v>
      </c>
      <c r="D8">
        <v>5</v>
      </c>
      <c r="E8" s="47" t="s">
        <v>77</v>
      </c>
      <c r="F8" s="7" t="s">
        <v>78</v>
      </c>
      <c r="G8">
        <v>199</v>
      </c>
      <c r="H8">
        <v>136</v>
      </c>
      <c r="I8" s="1">
        <v>183</v>
      </c>
      <c r="K8" s="55">
        <v>8.98</v>
      </c>
      <c r="L8" s="56">
        <v>188</v>
      </c>
      <c r="M8" s="32" t="s">
        <v>81</v>
      </c>
      <c r="N8" s="32" t="s">
        <v>121</v>
      </c>
      <c r="O8" s="35">
        <v>72</v>
      </c>
      <c r="P8" s="35">
        <v>40</v>
      </c>
      <c r="Q8" s="35">
        <v>37</v>
      </c>
      <c r="S8" s="59">
        <v>8.34</v>
      </c>
      <c r="T8" s="60">
        <v>184</v>
      </c>
      <c r="U8" s="59">
        <v>83</v>
      </c>
      <c r="V8" s="30">
        <v>600</v>
      </c>
    </row>
    <row r="9" spans="1:23">
      <c r="A9">
        <v>2011</v>
      </c>
      <c r="B9" s="32" t="s">
        <v>130</v>
      </c>
      <c r="C9" s="5">
        <v>40715</v>
      </c>
      <c r="D9">
        <v>5</v>
      </c>
      <c r="E9" s="47" t="s">
        <v>77</v>
      </c>
      <c r="F9" s="7" t="s">
        <v>149</v>
      </c>
      <c r="G9">
        <v>130</v>
      </c>
      <c r="H9">
        <v>97</v>
      </c>
      <c r="I9" s="1">
        <v>138</v>
      </c>
      <c r="K9" s="55">
        <v>17.45</v>
      </c>
      <c r="L9" s="56">
        <v>316</v>
      </c>
      <c r="M9" s="32" t="s">
        <v>76</v>
      </c>
      <c r="N9" s="32" t="s">
        <v>158</v>
      </c>
      <c r="O9" s="35">
        <v>29</v>
      </c>
      <c r="P9" s="35">
        <v>22</v>
      </c>
      <c r="Q9" s="35">
        <v>23</v>
      </c>
      <c r="S9" s="59">
        <v>17.29</v>
      </c>
      <c r="T9" s="60">
        <v>321</v>
      </c>
      <c r="U9" s="59">
        <v>81</v>
      </c>
      <c r="V9" s="30">
        <v>601</v>
      </c>
    </row>
    <row r="10" spans="1:23">
      <c r="A10">
        <v>2011</v>
      </c>
      <c r="B10" s="32" t="s">
        <v>130</v>
      </c>
      <c r="C10" s="5">
        <v>40715</v>
      </c>
      <c r="D10">
        <v>5</v>
      </c>
      <c r="E10" s="47" t="s">
        <v>114</v>
      </c>
      <c r="F10" s="7" t="s">
        <v>72</v>
      </c>
      <c r="G10">
        <v>26</v>
      </c>
      <c r="H10">
        <v>16</v>
      </c>
      <c r="I10" s="1">
        <v>28</v>
      </c>
      <c r="K10" s="55">
        <v>13.86</v>
      </c>
      <c r="L10" s="56">
        <v>134</v>
      </c>
      <c r="M10" s="32" t="s">
        <v>76</v>
      </c>
      <c r="N10" s="32" t="s">
        <v>156</v>
      </c>
      <c r="O10" s="35">
        <v>19</v>
      </c>
      <c r="P10" s="35">
        <v>16</v>
      </c>
      <c r="Q10" s="35">
        <v>25</v>
      </c>
      <c r="S10" s="59">
        <v>13.48</v>
      </c>
      <c r="T10" s="60">
        <v>137</v>
      </c>
      <c r="U10" s="59">
        <v>32</v>
      </c>
      <c r="V10" s="30">
        <v>597</v>
      </c>
    </row>
    <row r="11" spans="1:23">
      <c r="A11">
        <v>2011</v>
      </c>
      <c r="B11" s="32" t="s">
        <v>130</v>
      </c>
      <c r="C11" s="5">
        <v>40715</v>
      </c>
      <c r="D11">
        <v>5</v>
      </c>
      <c r="E11" s="47" t="s">
        <v>114</v>
      </c>
      <c r="F11" s="7" t="s">
        <v>75</v>
      </c>
      <c r="G11">
        <v>37</v>
      </c>
      <c r="H11">
        <v>31</v>
      </c>
      <c r="I11" s="1">
        <v>54</v>
      </c>
      <c r="K11" s="55">
        <v>12.64</v>
      </c>
      <c r="L11" s="56">
        <v>336</v>
      </c>
      <c r="M11" s="32" t="s">
        <v>151</v>
      </c>
      <c r="N11" s="32" t="s">
        <v>160</v>
      </c>
      <c r="O11" s="35">
        <v>19</v>
      </c>
      <c r="P11" s="35">
        <v>13</v>
      </c>
      <c r="Q11" s="35">
        <v>44</v>
      </c>
      <c r="S11" s="59">
        <v>12.27</v>
      </c>
      <c r="T11" s="60">
        <v>336</v>
      </c>
      <c r="U11" s="59">
        <v>41</v>
      </c>
      <c r="V11" s="30">
        <v>604</v>
      </c>
    </row>
    <row r="12" spans="1:23">
      <c r="A12">
        <v>2011</v>
      </c>
      <c r="B12" s="32" t="s">
        <v>130</v>
      </c>
      <c r="C12" s="5">
        <v>40715</v>
      </c>
      <c r="D12">
        <v>5</v>
      </c>
      <c r="E12" s="47" t="s">
        <v>144</v>
      </c>
      <c r="F12" s="36" t="s">
        <v>145</v>
      </c>
      <c r="G12">
        <v>67</v>
      </c>
      <c r="H12">
        <v>45</v>
      </c>
      <c r="I12" s="1">
        <v>50</v>
      </c>
      <c r="K12" s="55">
        <v>12.37</v>
      </c>
      <c r="L12" s="56">
        <v>107</v>
      </c>
      <c r="M12" s="32" t="s">
        <v>128</v>
      </c>
      <c r="N12" s="32" t="s">
        <v>154</v>
      </c>
      <c r="O12" s="35">
        <v>27</v>
      </c>
      <c r="P12" s="35">
        <v>24</v>
      </c>
      <c r="Q12" s="35">
        <v>18</v>
      </c>
      <c r="S12" s="59">
        <v>12.22</v>
      </c>
      <c r="T12" s="60">
        <v>109</v>
      </c>
      <c r="U12" s="59">
        <v>32</v>
      </c>
      <c r="V12" s="1">
        <v>594</v>
      </c>
      <c r="W12" s="49" t="s">
        <v>161</v>
      </c>
    </row>
    <row r="13" spans="1:23">
      <c r="A13">
        <v>2011</v>
      </c>
      <c r="B13" s="32" t="s">
        <v>130</v>
      </c>
      <c r="C13" s="5">
        <v>40715</v>
      </c>
      <c r="D13">
        <v>5</v>
      </c>
      <c r="E13" s="47" t="s">
        <v>144</v>
      </c>
      <c r="F13" s="7" t="s">
        <v>147</v>
      </c>
      <c r="G13">
        <v>138</v>
      </c>
      <c r="H13">
        <v>72</v>
      </c>
      <c r="I13" s="1">
        <v>102</v>
      </c>
      <c r="K13" s="55">
        <v>17.989999999999998</v>
      </c>
      <c r="L13" s="56">
        <v>144</v>
      </c>
      <c r="M13" s="32" t="s">
        <v>81</v>
      </c>
      <c r="N13" s="32" t="s">
        <v>122</v>
      </c>
      <c r="O13" s="35">
        <v>25</v>
      </c>
      <c r="P13" s="35">
        <v>15</v>
      </c>
      <c r="Q13" s="35">
        <v>33</v>
      </c>
      <c r="S13" s="59">
        <v>18.37</v>
      </c>
      <c r="T13" s="60">
        <v>142</v>
      </c>
      <c r="U13" s="59">
        <v>57</v>
      </c>
      <c r="V13" s="30">
        <v>598</v>
      </c>
    </row>
    <row r="14" spans="1:23">
      <c r="A14">
        <v>2011</v>
      </c>
      <c r="B14" s="32" t="s">
        <v>130</v>
      </c>
      <c r="C14" s="5">
        <v>40715</v>
      </c>
      <c r="D14">
        <v>5</v>
      </c>
      <c r="E14" s="47" t="s">
        <v>82</v>
      </c>
      <c r="F14" s="36" t="s">
        <v>83</v>
      </c>
      <c r="G14">
        <v>41</v>
      </c>
      <c r="H14">
        <v>38</v>
      </c>
      <c r="I14" s="1">
        <v>89</v>
      </c>
      <c r="K14" s="55">
        <v>4.7699999999999996</v>
      </c>
      <c r="L14" s="56">
        <v>130</v>
      </c>
      <c r="M14" s="32" t="s">
        <v>81</v>
      </c>
      <c r="N14" s="32" t="s">
        <v>124</v>
      </c>
      <c r="O14" s="35">
        <v>63</v>
      </c>
      <c r="P14" s="35">
        <v>34</v>
      </c>
      <c r="Q14" s="35">
        <v>21</v>
      </c>
      <c r="S14" s="59">
        <v>4.75</v>
      </c>
      <c r="T14" s="60">
        <v>130</v>
      </c>
      <c r="U14" s="59">
        <v>19</v>
      </c>
      <c r="V14" s="30">
        <v>596</v>
      </c>
    </row>
    <row r="15" spans="1:23">
      <c r="A15">
        <v>2011</v>
      </c>
      <c r="B15" s="32" t="s">
        <v>130</v>
      </c>
      <c r="C15" s="5">
        <v>40715</v>
      </c>
      <c r="D15">
        <v>5</v>
      </c>
      <c r="E15" s="47" t="s">
        <v>82</v>
      </c>
      <c r="F15" s="7" t="s">
        <v>146</v>
      </c>
      <c r="G15">
        <v>53</v>
      </c>
      <c r="H15">
        <v>47</v>
      </c>
      <c r="I15" s="1">
        <v>86</v>
      </c>
      <c r="K15" s="55">
        <v>18.260000000000002</v>
      </c>
      <c r="L15" s="56">
        <v>137</v>
      </c>
      <c r="M15" s="32" t="s">
        <v>81</v>
      </c>
      <c r="N15" s="32" t="s">
        <v>122</v>
      </c>
      <c r="O15" s="35">
        <v>25</v>
      </c>
      <c r="P15" s="35">
        <v>15</v>
      </c>
      <c r="Q15" s="35">
        <v>33</v>
      </c>
      <c r="S15" s="59">
        <v>18.37</v>
      </c>
      <c r="T15" s="60">
        <v>142</v>
      </c>
      <c r="U15" s="59">
        <v>88</v>
      </c>
      <c r="V15" s="30">
        <v>598</v>
      </c>
    </row>
    <row r="16" spans="1:23">
      <c r="A16">
        <v>2011</v>
      </c>
      <c r="B16" s="32" t="s">
        <v>130</v>
      </c>
      <c r="C16" s="5">
        <v>40715</v>
      </c>
      <c r="D16">
        <v>5</v>
      </c>
      <c r="E16" s="47" t="s">
        <v>70</v>
      </c>
      <c r="F16" s="36" t="s">
        <v>73</v>
      </c>
      <c r="G16">
        <v>232</v>
      </c>
      <c r="H16">
        <v>150</v>
      </c>
      <c r="I16" s="4">
        <v>112</v>
      </c>
      <c r="K16" s="55">
        <v>8.84</v>
      </c>
      <c r="L16" s="56">
        <v>20</v>
      </c>
      <c r="M16" s="32" t="s">
        <v>76</v>
      </c>
      <c r="N16" s="32" t="s">
        <v>117</v>
      </c>
      <c r="O16" s="29">
        <v>34</v>
      </c>
      <c r="P16" s="29">
        <v>30</v>
      </c>
      <c r="Q16" s="29">
        <v>20</v>
      </c>
      <c r="S16" s="59">
        <v>8.33</v>
      </c>
      <c r="T16" s="60">
        <v>18</v>
      </c>
      <c r="U16" s="59">
        <v>50</v>
      </c>
      <c r="V16" s="1">
        <v>590</v>
      </c>
      <c r="W16" s="49" t="s">
        <v>164</v>
      </c>
    </row>
    <row r="17" spans="1:23">
      <c r="A17">
        <v>2011</v>
      </c>
      <c r="B17" s="32" t="s">
        <v>130</v>
      </c>
      <c r="C17" s="5">
        <v>40715</v>
      </c>
      <c r="D17">
        <v>5</v>
      </c>
      <c r="E17" s="47" t="s">
        <v>70</v>
      </c>
      <c r="F17" s="36" t="s">
        <v>74</v>
      </c>
      <c r="G17">
        <v>193</v>
      </c>
      <c r="H17">
        <v>144</v>
      </c>
      <c r="I17" s="1">
        <v>102</v>
      </c>
      <c r="K17" s="55">
        <v>14.34</v>
      </c>
      <c r="L17" s="56">
        <v>108</v>
      </c>
      <c r="M17" s="32" t="s">
        <v>125</v>
      </c>
      <c r="N17" s="32" t="s">
        <v>155</v>
      </c>
      <c r="O17" s="35">
        <v>58</v>
      </c>
      <c r="P17" s="35">
        <v>32</v>
      </c>
      <c r="Q17" s="35">
        <v>87</v>
      </c>
      <c r="S17" s="59">
        <v>14.98</v>
      </c>
      <c r="T17" s="60">
        <v>110</v>
      </c>
      <c r="U17" s="59">
        <v>98</v>
      </c>
      <c r="V17" s="30">
        <v>595</v>
      </c>
      <c r="W17" s="49" t="s">
        <v>162</v>
      </c>
    </row>
    <row r="18" spans="1:23">
      <c r="A18">
        <v>2011</v>
      </c>
      <c r="B18" s="32" t="s">
        <v>130</v>
      </c>
      <c r="C18" s="5">
        <v>40715</v>
      </c>
      <c r="D18">
        <v>5</v>
      </c>
      <c r="E18" s="47" t="s">
        <v>70</v>
      </c>
      <c r="F18" s="7" t="s">
        <v>148</v>
      </c>
      <c r="G18">
        <v>220</v>
      </c>
      <c r="H18">
        <v>189</v>
      </c>
      <c r="I18" s="1">
        <v>126</v>
      </c>
      <c r="K18" s="55">
        <v>4.75</v>
      </c>
      <c r="L18" s="56">
        <v>159</v>
      </c>
      <c r="M18" s="32" t="s">
        <v>129</v>
      </c>
      <c r="N18" s="32" t="s">
        <v>157</v>
      </c>
      <c r="O18" s="35">
        <v>37</v>
      </c>
      <c r="P18" s="35">
        <v>21</v>
      </c>
      <c r="Q18" s="35">
        <v>40</v>
      </c>
      <c r="S18" s="59">
        <v>4.57</v>
      </c>
      <c r="T18" s="60">
        <v>165</v>
      </c>
      <c r="U18" s="59">
        <v>77</v>
      </c>
      <c r="V18" s="30">
        <v>599</v>
      </c>
    </row>
    <row r="19" spans="1:23">
      <c r="A19">
        <v>2011</v>
      </c>
      <c r="B19" s="32" t="s">
        <v>130</v>
      </c>
      <c r="C19" s="5">
        <v>40715</v>
      </c>
      <c r="D19">
        <v>5</v>
      </c>
      <c r="E19" s="47" t="s">
        <v>70</v>
      </c>
      <c r="F19" s="7" t="s">
        <v>150</v>
      </c>
      <c r="G19">
        <v>180</v>
      </c>
      <c r="H19">
        <v>130</v>
      </c>
      <c r="I19" s="1">
        <v>101</v>
      </c>
      <c r="K19" s="55">
        <v>14.24</v>
      </c>
      <c r="L19" s="56">
        <v>320</v>
      </c>
      <c r="M19" s="32" t="s">
        <v>81</v>
      </c>
      <c r="N19" s="32" t="s">
        <v>123</v>
      </c>
      <c r="O19" s="35">
        <v>75</v>
      </c>
      <c r="P19" s="35">
        <v>46</v>
      </c>
      <c r="Q19" s="35">
        <v>48</v>
      </c>
      <c r="S19" s="59">
        <v>14.31</v>
      </c>
      <c r="T19" s="60">
        <v>316</v>
      </c>
      <c r="U19" s="59">
        <v>65</v>
      </c>
      <c r="V19" s="30">
        <v>602</v>
      </c>
    </row>
    <row r="20" spans="1:23">
      <c r="A20">
        <v>2011</v>
      </c>
      <c r="B20" s="32" t="s">
        <v>130</v>
      </c>
      <c r="C20" s="5">
        <v>40715</v>
      </c>
      <c r="D20">
        <v>5</v>
      </c>
      <c r="E20" s="32" t="s">
        <v>19</v>
      </c>
      <c r="F20" s="36" t="s">
        <v>46</v>
      </c>
      <c r="G20">
        <v>19</v>
      </c>
      <c r="H20">
        <v>11</v>
      </c>
      <c r="I20" s="4">
        <v>25</v>
      </c>
      <c r="K20" s="55">
        <v>8.27</v>
      </c>
      <c r="L20" s="56">
        <v>2</v>
      </c>
      <c r="M20" s="32" t="s">
        <v>94</v>
      </c>
      <c r="N20" s="32" t="s">
        <v>152</v>
      </c>
      <c r="O20" s="29">
        <v>64</v>
      </c>
      <c r="P20" s="29">
        <v>42</v>
      </c>
      <c r="Q20" s="29">
        <v>50</v>
      </c>
      <c r="S20" s="59">
        <v>8.57</v>
      </c>
      <c r="T20" s="60">
        <v>358</v>
      </c>
      <c r="U20" s="59">
        <v>52</v>
      </c>
      <c r="V20" s="1">
        <v>586</v>
      </c>
      <c r="W20" s="49" t="s">
        <v>165</v>
      </c>
    </row>
    <row r="21" spans="1:23">
      <c r="A21">
        <v>2011</v>
      </c>
      <c r="B21" s="32" t="s">
        <v>130</v>
      </c>
      <c r="C21" s="5">
        <v>40715</v>
      </c>
      <c r="D21">
        <v>5</v>
      </c>
      <c r="E21" s="47" t="s">
        <v>19</v>
      </c>
      <c r="F21" s="36" t="s">
        <v>47</v>
      </c>
      <c r="G21">
        <v>11</v>
      </c>
      <c r="H21">
        <v>10</v>
      </c>
      <c r="I21" s="4">
        <v>21</v>
      </c>
      <c r="K21" s="55">
        <v>15.83</v>
      </c>
      <c r="L21" s="56">
        <v>85</v>
      </c>
      <c r="M21" s="32" t="s">
        <v>76</v>
      </c>
      <c r="N21" s="32" t="s">
        <v>118</v>
      </c>
      <c r="O21" s="29">
        <v>11</v>
      </c>
      <c r="P21" s="29">
        <v>10</v>
      </c>
      <c r="Q21" s="29">
        <v>7</v>
      </c>
      <c r="S21" s="59">
        <v>15.92</v>
      </c>
      <c r="T21" s="60">
        <v>89</v>
      </c>
      <c r="U21" s="59">
        <v>43</v>
      </c>
      <c r="V21" s="1">
        <v>591</v>
      </c>
      <c r="W21" s="49" t="s">
        <v>163</v>
      </c>
    </row>
    <row r="22" spans="1:23">
      <c r="A22">
        <v>2011</v>
      </c>
      <c r="B22" s="32" t="s">
        <v>130</v>
      </c>
      <c r="C22" s="5">
        <v>40746</v>
      </c>
      <c r="D22">
        <v>12</v>
      </c>
      <c r="E22" s="34" t="s">
        <v>77</v>
      </c>
      <c r="F22" s="36" t="s">
        <v>80</v>
      </c>
      <c r="G22">
        <v>27</v>
      </c>
      <c r="H22">
        <v>19</v>
      </c>
      <c r="I22" s="1">
        <v>33</v>
      </c>
      <c r="K22" s="55">
        <v>9.15</v>
      </c>
      <c r="L22" s="56">
        <v>166</v>
      </c>
      <c r="M22" s="32" t="s">
        <v>129</v>
      </c>
      <c r="N22" s="32" t="s">
        <v>157</v>
      </c>
      <c r="O22" s="35">
        <v>19</v>
      </c>
      <c r="P22" s="35">
        <v>15</v>
      </c>
      <c r="Q22" s="35">
        <v>26</v>
      </c>
      <c r="S22" s="59">
        <v>9.42</v>
      </c>
      <c r="T22" s="60">
        <v>163</v>
      </c>
      <c r="U22" s="59">
        <v>29</v>
      </c>
      <c r="V22" s="30">
        <v>1174</v>
      </c>
      <c r="W22" s="49" t="s">
        <v>216</v>
      </c>
    </row>
    <row r="23" spans="1:23">
      <c r="A23">
        <v>2011</v>
      </c>
      <c r="B23" s="32" t="s">
        <v>130</v>
      </c>
      <c r="C23" s="5">
        <v>40746</v>
      </c>
      <c r="D23">
        <v>12</v>
      </c>
      <c r="E23" s="34" t="s">
        <v>77</v>
      </c>
      <c r="F23" s="36" t="s">
        <v>79</v>
      </c>
      <c r="G23">
        <v>19</v>
      </c>
      <c r="H23">
        <v>14</v>
      </c>
      <c r="I23" s="1">
        <v>20</v>
      </c>
      <c r="K23" s="55">
        <v>2.67</v>
      </c>
      <c r="L23" s="56">
        <v>254</v>
      </c>
      <c r="M23" s="32" t="s">
        <v>205</v>
      </c>
      <c r="N23" s="32" t="s">
        <v>210</v>
      </c>
      <c r="O23" s="35">
        <v>39</v>
      </c>
      <c r="P23" s="35">
        <v>25</v>
      </c>
      <c r="Q23" s="35">
        <v>23</v>
      </c>
      <c r="S23" s="59">
        <v>2.38</v>
      </c>
      <c r="T23" s="60">
        <v>251</v>
      </c>
      <c r="U23" s="59">
        <v>40</v>
      </c>
      <c r="V23" s="30">
        <v>1178</v>
      </c>
      <c r="W23" s="49" t="s">
        <v>213</v>
      </c>
    </row>
    <row r="24" spans="1:23">
      <c r="A24">
        <v>2011</v>
      </c>
      <c r="B24" s="32" t="s">
        <v>130</v>
      </c>
      <c r="C24" s="5">
        <v>40746</v>
      </c>
      <c r="D24">
        <v>12</v>
      </c>
      <c r="E24" s="34" t="s">
        <v>114</v>
      </c>
      <c r="F24" s="36" t="s">
        <v>72</v>
      </c>
      <c r="G24">
        <v>114</v>
      </c>
      <c r="H24">
        <v>65</v>
      </c>
      <c r="I24" s="1">
        <v>68</v>
      </c>
      <c r="K24" s="55">
        <v>13.51</v>
      </c>
      <c r="L24" s="56">
        <v>56</v>
      </c>
      <c r="M24" s="32" t="s">
        <v>76</v>
      </c>
      <c r="N24" s="32" t="s">
        <v>206</v>
      </c>
      <c r="O24" s="64">
        <v>34</v>
      </c>
      <c r="P24" s="35">
        <v>29</v>
      </c>
      <c r="Q24" s="35">
        <v>32</v>
      </c>
      <c r="S24" s="59">
        <v>14.42</v>
      </c>
      <c r="T24" s="60">
        <v>60</v>
      </c>
      <c r="U24" s="59">
        <v>64</v>
      </c>
      <c r="V24" s="30">
        <v>1170</v>
      </c>
      <c r="W24" s="49" t="s">
        <v>214</v>
      </c>
    </row>
    <row r="25" spans="1:23">
      <c r="A25">
        <v>2011</v>
      </c>
      <c r="B25" s="32" t="s">
        <v>130</v>
      </c>
      <c r="C25" s="5">
        <v>40746</v>
      </c>
      <c r="D25">
        <v>12</v>
      </c>
      <c r="E25" s="34" t="s">
        <v>114</v>
      </c>
      <c r="F25" s="36" t="s">
        <v>201</v>
      </c>
      <c r="G25">
        <v>120</v>
      </c>
      <c r="H25">
        <v>112</v>
      </c>
      <c r="I25" s="1">
        <v>124</v>
      </c>
      <c r="K25" s="55">
        <v>5.0199999999999996</v>
      </c>
      <c r="L25" s="56">
        <v>268</v>
      </c>
      <c r="M25" s="32" t="s">
        <v>76</v>
      </c>
      <c r="N25" s="32" t="s">
        <v>158</v>
      </c>
      <c r="O25" s="35">
        <v>46</v>
      </c>
      <c r="P25" s="35">
        <v>34</v>
      </c>
      <c r="Q25" s="35">
        <v>39</v>
      </c>
      <c r="S25" s="59">
        <v>5.89</v>
      </c>
      <c r="T25" s="60">
        <v>268</v>
      </c>
      <c r="U25" s="59">
        <v>93</v>
      </c>
      <c r="V25" s="30">
        <v>1180</v>
      </c>
    </row>
    <row r="26" spans="1:23">
      <c r="A26">
        <v>2011</v>
      </c>
      <c r="B26" s="32" t="s">
        <v>130</v>
      </c>
      <c r="C26" s="5">
        <v>40746</v>
      </c>
      <c r="D26">
        <v>12</v>
      </c>
      <c r="E26" s="34" t="s">
        <v>144</v>
      </c>
      <c r="F26" s="36" t="s">
        <v>145</v>
      </c>
      <c r="G26">
        <v>102</v>
      </c>
      <c r="H26">
        <v>110</v>
      </c>
      <c r="I26" s="1">
        <v>97</v>
      </c>
      <c r="K26" s="57">
        <v>6.52</v>
      </c>
      <c r="L26" s="58">
        <v>64</v>
      </c>
      <c r="M26" s="32" t="s">
        <v>204</v>
      </c>
      <c r="N26" s="32" t="s">
        <v>207</v>
      </c>
      <c r="O26" s="35">
        <v>12</v>
      </c>
      <c r="P26" s="35">
        <v>12</v>
      </c>
      <c r="Q26" s="35">
        <v>17</v>
      </c>
      <c r="S26" s="59">
        <v>6.63</v>
      </c>
      <c r="T26" s="60">
        <v>58</v>
      </c>
      <c r="U26" s="59">
        <v>87</v>
      </c>
      <c r="V26" s="30">
        <v>1171</v>
      </c>
    </row>
    <row r="27" spans="1:23">
      <c r="A27">
        <v>2011</v>
      </c>
      <c r="B27" s="32" t="s">
        <v>130</v>
      </c>
      <c r="C27" s="5">
        <v>40746</v>
      </c>
      <c r="D27">
        <v>12</v>
      </c>
      <c r="E27" s="34" t="s">
        <v>144</v>
      </c>
      <c r="F27" s="36" t="s">
        <v>147</v>
      </c>
      <c r="G27">
        <v>115</v>
      </c>
      <c r="H27">
        <v>104</v>
      </c>
      <c r="I27" s="1">
        <v>96</v>
      </c>
      <c r="K27" s="57">
        <v>16.95</v>
      </c>
      <c r="L27" s="58">
        <v>100</v>
      </c>
      <c r="M27" s="32" t="s">
        <v>18</v>
      </c>
      <c r="N27" s="32" t="s">
        <v>187</v>
      </c>
      <c r="O27" s="35">
        <v>58</v>
      </c>
      <c r="P27" s="35">
        <v>56</v>
      </c>
      <c r="Q27" s="35">
        <v>42</v>
      </c>
      <c r="S27" s="59">
        <v>17.5</v>
      </c>
      <c r="T27" s="60">
        <v>99</v>
      </c>
      <c r="U27" s="59">
        <v>77</v>
      </c>
      <c r="V27" s="30">
        <v>1172</v>
      </c>
      <c r="W27" s="49" t="s">
        <v>212</v>
      </c>
    </row>
    <row r="28" spans="1:23">
      <c r="A28">
        <v>2011</v>
      </c>
      <c r="B28" s="32" t="s">
        <v>130</v>
      </c>
      <c r="C28" s="5">
        <v>40746</v>
      </c>
      <c r="D28">
        <v>12</v>
      </c>
      <c r="E28" s="34" t="s">
        <v>144</v>
      </c>
      <c r="F28" s="36" t="s">
        <v>199</v>
      </c>
      <c r="G28">
        <v>154</v>
      </c>
      <c r="H28">
        <v>114</v>
      </c>
      <c r="I28" s="1">
        <v>170</v>
      </c>
      <c r="K28" s="57">
        <v>14.71</v>
      </c>
      <c r="L28" s="58">
        <v>159</v>
      </c>
      <c r="M28" s="32" t="s">
        <v>76</v>
      </c>
      <c r="N28" s="32" t="s">
        <v>118</v>
      </c>
      <c r="O28" s="35">
        <v>40</v>
      </c>
      <c r="P28" s="35">
        <v>44</v>
      </c>
      <c r="Q28" s="35">
        <v>19</v>
      </c>
      <c r="S28" s="59">
        <v>14.79</v>
      </c>
      <c r="T28" s="60">
        <v>164</v>
      </c>
      <c r="U28" s="59">
        <v>63</v>
      </c>
      <c r="V28" s="30">
        <v>1173</v>
      </c>
    </row>
    <row r="29" spans="1:23">
      <c r="A29">
        <v>2011</v>
      </c>
      <c r="B29" s="32" t="s">
        <v>130</v>
      </c>
      <c r="C29" s="5">
        <v>40746</v>
      </c>
      <c r="D29">
        <v>12</v>
      </c>
      <c r="E29" s="34" t="s">
        <v>144</v>
      </c>
      <c r="F29" s="36" t="s">
        <v>200</v>
      </c>
      <c r="G29">
        <v>42</v>
      </c>
      <c r="H29">
        <v>48</v>
      </c>
      <c r="I29" s="1">
        <v>54</v>
      </c>
      <c r="K29" s="57">
        <v>10.7</v>
      </c>
      <c r="L29" s="58">
        <v>265</v>
      </c>
      <c r="M29" s="32" t="s">
        <v>94</v>
      </c>
      <c r="N29" s="32" t="s">
        <v>152</v>
      </c>
      <c r="O29" s="35">
        <v>32</v>
      </c>
      <c r="P29" s="35">
        <v>31</v>
      </c>
      <c r="Q29" s="35">
        <v>45</v>
      </c>
      <c r="S29" s="59">
        <v>10.75</v>
      </c>
      <c r="T29" s="60">
        <v>263</v>
      </c>
      <c r="U29" s="59">
        <v>40</v>
      </c>
      <c r="V29" s="30">
        <v>1179</v>
      </c>
    </row>
    <row r="30" spans="1:23">
      <c r="A30">
        <v>2011</v>
      </c>
      <c r="B30" s="32" t="s">
        <v>130</v>
      </c>
      <c r="C30" s="5">
        <v>40746</v>
      </c>
      <c r="D30">
        <v>12</v>
      </c>
      <c r="E30" s="34" t="s">
        <v>144</v>
      </c>
      <c r="F30" s="36" t="s">
        <v>202</v>
      </c>
      <c r="G30">
        <v>102</v>
      </c>
      <c r="H30">
        <v>84</v>
      </c>
      <c r="I30" s="1">
        <v>93</v>
      </c>
      <c r="K30" s="57">
        <v>9.83</v>
      </c>
      <c r="L30" s="58">
        <v>297</v>
      </c>
      <c r="M30" s="32" t="s">
        <v>94</v>
      </c>
      <c r="N30" s="32" t="s">
        <v>153</v>
      </c>
      <c r="O30" s="35">
        <v>30</v>
      </c>
      <c r="P30" s="35">
        <v>27</v>
      </c>
      <c r="Q30" s="35">
        <v>72</v>
      </c>
      <c r="S30" s="59">
        <v>9.6199999999999992</v>
      </c>
      <c r="T30" s="60">
        <v>287</v>
      </c>
      <c r="U30" s="59">
        <v>75</v>
      </c>
      <c r="V30" s="30">
        <v>1181</v>
      </c>
    </row>
    <row r="31" spans="1:23">
      <c r="A31">
        <v>2011</v>
      </c>
      <c r="B31" s="32" t="s">
        <v>130</v>
      </c>
      <c r="C31" s="5">
        <v>40746</v>
      </c>
      <c r="D31">
        <v>12</v>
      </c>
      <c r="E31" s="34" t="s">
        <v>144</v>
      </c>
      <c r="F31" s="36" t="s">
        <v>203</v>
      </c>
      <c r="G31">
        <v>66</v>
      </c>
      <c r="H31">
        <v>61</v>
      </c>
      <c r="I31" s="1">
        <v>86</v>
      </c>
      <c r="K31" s="57">
        <v>15.25</v>
      </c>
      <c r="L31" s="58">
        <v>324</v>
      </c>
      <c r="M31" s="32" t="s">
        <v>205</v>
      </c>
      <c r="N31" s="32" t="s">
        <v>211</v>
      </c>
      <c r="O31" s="35">
        <v>22</v>
      </c>
      <c r="P31" s="35">
        <v>20</v>
      </c>
      <c r="Q31" s="35">
        <v>17</v>
      </c>
      <c r="S31" s="59">
        <v>16.73</v>
      </c>
      <c r="T31" s="60">
        <v>323</v>
      </c>
      <c r="U31" s="59">
        <v>137</v>
      </c>
      <c r="V31" s="30">
        <v>1182</v>
      </c>
    </row>
    <row r="32" spans="1:23">
      <c r="A32">
        <v>2011</v>
      </c>
      <c r="B32" s="32" t="s">
        <v>130</v>
      </c>
      <c r="C32" s="5">
        <v>40746</v>
      </c>
      <c r="D32">
        <v>12</v>
      </c>
      <c r="E32" s="34" t="s">
        <v>82</v>
      </c>
      <c r="F32" s="36" t="s">
        <v>83</v>
      </c>
      <c r="G32">
        <v>207</v>
      </c>
      <c r="H32" s="65">
        <v>144</v>
      </c>
      <c r="I32" s="1">
        <v>180</v>
      </c>
      <c r="K32" s="57">
        <v>12.98</v>
      </c>
      <c r="L32" s="58">
        <v>252</v>
      </c>
      <c r="M32" s="32" t="s">
        <v>18</v>
      </c>
      <c r="N32" s="32" t="s">
        <v>209</v>
      </c>
      <c r="O32" s="35">
        <v>77</v>
      </c>
      <c r="P32" s="35">
        <v>73</v>
      </c>
      <c r="Q32" s="35">
        <v>108</v>
      </c>
      <c r="S32" s="59">
        <v>13.84</v>
      </c>
      <c r="T32" s="60">
        <v>252</v>
      </c>
      <c r="U32" s="59">
        <v>142</v>
      </c>
      <c r="V32" s="30">
        <v>1177</v>
      </c>
    </row>
    <row r="33" spans="1:23">
      <c r="A33">
        <v>2011</v>
      </c>
      <c r="B33" s="32" t="s">
        <v>130</v>
      </c>
      <c r="C33" s="5">
        <v>40746</v>
      </c>
      <c r="D33">
        <v>12</v>
      </c>
      <c r="E33" s="34" t="s">
        <v>70</v>
      </c>
      <c r="F33" s="36" t="s">
        <v>73</v>
      </c>
      <c r="G33">
        <v>61</v>
      </c>
      <c r="H33">
        <v>23</v>
      </c>
      <c r="I33" s="1">
        <v>35</v>
      </c>
      <c r="K33" s="57">
        <v>16.760000000000002</v>
      </c>
      <c r="L33" s="58">
        <v>101</v>
      </c>
      <c r="M33" s="32" t="s">
        <v>18</v>
      </c>
      <c r="N33" s="32" t="s">
        <v>187</v>
      </c>
      <c r="O33" s="35">
        <v>58</v>
      </c>
      <c r="P33" s="35">
        <v>56</v>
      </c>
      <c r="Q33" s="35">
        <v>42</v>
      </c>
      <c r="S33" s="61">
        <v>17.5</v>
      </c>
      <c r="T33" s="62">
        <v>99</v>
      </c>
      <c r="U33" s="61">
        <v>120</v>
      </c>
      <c r="V33" s="30">
        <v>1172</v>
      </c>
      <c r="W33" s="49" t="s">
        <v>215</v>
      </c>
    </row>
    <row r="34" spans="1:23">
      <c r="A34">
        <v>2011</v>
      </c>
      <c r="B34" s="32" t="s">
        <v>130</v>
      </c>
      <c r="C34" s="5">
        <v>40746</v>
      </c>
      <c r="D34">
        <v>12</v>
      </c>
      <c r="E34" s="34" t="s">
        <v>70</v>
      </c>
      <c r="F34" s="36" t="s">
        <v>74</v>
      </c>
      <c r="G34">
        <v>270</v>
      </c>
      <c r="H34">
        <v>80</v>
      </c>
      <c r="I34" s="1">
        <v>115</v>
      </c>
      <c r="K34" s="57">
        <v>10.19</v>
      </c>
      <c r="L34" s="58">
        <v>190</v>
      </c>
      <c r="M34" s="32" t="s">
        <v>76</v>
      </c>
      <c r="N34" s="32" t="s">
        <v>119</v>
      </c>
      <c r="O34" s="35">
        <v>23</v>
      </c>
      <c r="P34" s="35">
        <v>16</v>
      </c>
      <c r="Q34" s="35">
        <v>23</v>
      </c>
      <c r="S34" s="61">
        <v>10.49</v>
      </c>
      <c r="T34" s="62">
        <v>191</v>
      </c>
      <c r="U34" s="61">
        <v>113</v>
      </c>
      <c r="V34" s="30">
        <v>1175</v>
      </c>
      <c r="W34" s="49" t="s">
        <v>217</v>
      </c>
    </row>
    <row r="35" spans="1:23">
      <c r="A35">
        <v>2011</v>
      </c>
      <c r="B35" s="32" t="s">
        <v>130</v>
      </c>
      <c r="C35" s="5">
        <v>40746</v>
      </c>
      <c r="D35">
        <v>12</v>
      </c>
      <c r="E35" s="34" t="s">
        <v>70</v>
      </c>
      <c r="F35" s="36" t="s">
        <v>148</v>
      </c>
      <c r="G35">
        <v>174</v>
      </c>
      <c r="H35">
        <v>112</v>
      </c>
      <c r="I35" s="1">
        <v>155</v>
      </c>
      <c r="K35" s="57">
        <v>14.39</v>
      </c>
      <c r="L35" s="58">
        <v>243</v>
      </c>
      <c r="M35" s="32" t="s">
        <v>205</v>
      </c>
      <c r="N35" s="32" t="s">
        <v>208</v>
      </c>
      <c r="O35" s="35">
        <v>45</v>
      </c>
      <c r="P35" s="35">
        <v>33</v>
      </c>
      <c r="Q35" s="35">
        <v>18</v>
      </c>
      <c r="S35" s="61">
        <v>15.07</v>
      </c>
      <c r="T35" s="62">
        <v>240</v>
      </c>
      <c r="U35" s="61">
        <v>94</v>
      </c>
      <c r="V35" s="30">
        <v>1176</v>
      </c>
    </row>
    <row r="36" spans="1:23">
      <c r="A36">
        <v>2011</v>
      </c>
      <c r="B36" s="32" t="s">
        <v>130</v>
      </c>
      <c r="C36" s="5">
        <v>40711</v>
      </c>
      <c r="D36">
        <v>92</v>
      </c>
      <c r="E36" s="47" t="s">
        <v>185</v>
      </c>
      <c r="F36" s="7" t="s">
        <v>186</v>
      </c>
      <c r="G36">
        <v>117</v>
      </c>
      <c r="H36">
        <v>111</v>
      </c>
      <c r="I36" s="1">
        <v>110</v>
      </c>
      <c r="K36" s="57">
        <v>20.49</v>
      </c>
      <c r="L36" s="58">
        <v>199</v>
      </c>
      <c r="M36" s="32" t="s">
        <v>18</v>
      </c>
      <c r="N36" s="32" t="s">
        <v>189</v>
      </c>
      <c r="O36" s="35">
        <v>25</v>
      </c>
      <c r="P36" s="35">
        <v>20</v>
      </c>
      <c r="Q36" s="35">
        <v>18</v>
      </c>
      <c r="S36" s="61">
        <v>21.83</v>
      </c>
      <c r="T36" s="62">
        <v>196</v>
      </c>
      <c r="U36" s="61">
        <v>153</v>
      </c>
      <c r="V36" s="30">
        <v>575</v>
      </c>
      <c r="W36" s="49" t="s">
        <v>191</v>
      </c>
    </row>
    <row r="37" spans="1:23">
      <c r="A37">
        <v>2011</v>
      </c>
      <c r="B37" s="32" t="s">
        <v>130</v>
      </c>
      <c r="C37" s="5">
        <v>40711</v>
      </c>
      <c r="D37">
        <v>92</v>
      </c>
      <c r="E37" s="47" t="s">
        <v>77</v>
      </c>
      <c r="F37" s="7" t="s">
        <v>80</v>
      </c>
      <c r="G37">
        <v>52</v>
      </c>
      <c r="H37">
        <v>43</v>
      </c>
      <c r="I37" s="1">
        <v>89</v>
      </c>
      <c r="K37" s="57">
        <v>11.11</v>
      </c>
      <c r="L37" s="58">
        <v>10</v>
      </c>
      <c r="M37" s="32" t="s">
        <v>18</v>
      </c>
      <c r="N37" s="32" t="s">
        <v>187</v>
      </c>
      <c r="O37" s="35">
        <v>23</v>
      </c>
      <c r="P37" s="35">
        <v>21</v>
      </c>
      <c r="Q37" s="35">
        <v>13</v>
      </c>
      <c r="S37" s="61">
        <v>10.36</v>
      </c>
      <c r="T37" s="62">
        <v>13</v>
      </c>
      <c r="U37" s="61">
        <v>89</v>
      </c>
      <c r="V37" s="30">
        <v>573</v>
      </c>
    </row>
    <row r="38" spans="1:23">
      <c r="A38">
        <v>2011</v>
      </c>
      <c r="B38" s="32" t="s">
        <v>130</v>
      </c>
      <c r="C38" s="5">
        <v>40711</v>
      </c>
      <c r="D38">
        <v>92</v>
      </c>
      <c r="E38" s="47" t="s">
        <v>77</v>
      </c>
      <c r="F38" s="7" t="s">
        <v>79</v>
      </c>
      <c r="G38">
        <v>255</v>
      </c>
      <c r="H38">
        <v>207</v>
      </c>
      <c r="I38" s="1">
        <v>145</v>
      </c>
      <c r="K38" s="57">
        <v>17.149999999999999</v>
      </c>
      <c r="L38" s="58">
        <v>226</v>
      </c>
      <c r="M38" s="32" t="s">
        <v>94</v>
      </c>
      <c r="N38" s="32" t="s">
        <v>152</v>
      </c>
      <c r="O38" s="35">
        <v>100</v>
      </c>
      <c r="P38" s="35">
        <v>70</v>
      </c>
      <c r="Q38" s="35">
        <v>88</v>
      </c>
      <c r="S38" s="61">
        <v>16.53</v>
      </c>
      <c r="T38" s="62">
        <v>226</v>
      </c>
      <c r="U38" s="61">
        <v>59</v>
      </c>
      <c r="V38" s="30">
        <v>576</v>
      </c>
      <c r="W38" s="49" t="s">
        <v>190</v>
      </c>
    </row>
    <row r="39" spans="1:23">
      <c r="A39">
        <v>2011</v>
      </c>
      <c r="B39" s="32" t="s">
        <v>130</v>
      </c>
      <c r="C39" s="5">
        <v>40711</v>
      </c>
      <c r="D39">
        <v>92</v>
      </c>
      <c r="E39" s="47" t="s">
        <v>77</v>
      </c>
      <c r="F39" s="7" t="s">
        <v>78</v>
      </c>
      <c r="G39">
        <v>106</v>
      </c>
      <c r="H39">
        <v>87</v>
      </c>
      <c r="I39" s="1">
        <v>120</v>
      </c>
      <c r="K39" s="57">
        <v>17.5</v>
      </c>
      <c r="L39" s="58">
        <v>230</v>
      </c>
      <c r="M39" s="32" t="s">
        <v>94</v>
      </c>
      <c r="N39" s="32" t="s">
        <v>153</v>
      </c>
      <c r="O39" s="35">
        <v>45</v>
      </c>
      <c r="P39" s="35">
        <v>42</v>
      </c>
      <c r="Q39" s="35">
        <v>40</v>
      </c>
      <c r="S39" s="61">
        <v>18.11</v>
      </c>
      <c r="T39" s="62">
        <v>229</v>
      </c>
      <c r="U39" s="61">
        <v>73</v>
      </c>
      <c r="V39" s="30">
        <v>577</v>
      </c>
    </row>
    <row r="40" spans="1:23">
      <c r="A40">
        <v>2011</v>
      </c>
      <c r="B40" s="32" t="s">
        <v>130</v>
      </c>
      <c r="C40" s="5">
        <v>40711</v>
      </c>
      <c r="D40">
        <v>92</v>
      </c>
      <c r="E40" s="47" t="s">
        <v>77</v>
      </c>
      <c r="F40" s="7" t="s">
        <v>149</v>
      </c>
      <c r="G40">
        <v>88</v>
      </c>
      <c r="H40">
        <v>56</v>
      </c>
      <c r="I40" s="1">
        <v>55</v>
      </c>
      <c r="K40" s="57">
        <v>6.15</v>
      </c>
      <c r="L40" s="58">
        <v>37</v>
      </c>
      <c r="M40" s="32" t="s">
        <v>18</v>
      </c>
      <c r="N40" s="32" t="s">
        <v>188</v>
      </c>
      <c r="O40" s="35" t="s">
        <v>1</v>
      </c>
      <c r="P40" s="35" t="s">
        <v>1</v>
      </c>
      <c r="Q40" s="35" t="s">
        <v>1</v>
      </c>
      <c r="S40" s="61">
        <v>6.39</v>
      </c>
      <c r="T40" s="62">
        <v>32</v>
      </c>
      <c r="U40" s="61">
        <v>59</v>
      </c>
      <c r="V40" s="30">
        <v>574</v>
      </c>
    </row>
    <row r="41" spans="1:23">
      <c r="B41" s="32"/>
      <c r="E41" s="34"/>
      <c r="F41" s="36"/>
      <c r="I41" s="1"/>
      <c r="K41" s="1"/>
      <c r="M41" s="32"/>
      <c r="N41" s="32"/>
      <c r="O41" s="35"/>
      <c r="P41" s="35"/>
      <c r="Q41" s="35"/>
      <c r="U41" s="1"/>
      <c r="V41" s="30"/>
    </row>
    <row r="42" spans="1:23">
      <c r="B42" s="32"/>
      <c r="E42" s="34"/>
      <c r="F42" s="36"/>
      <c r="I42" s="1"/>
      <c r="K42" s="1"/>
      <c r="M42" s="32"/>
      <c r="N42" s="32"/>
      <c r="O42" s="35"/>
      <c r="P42" s="35"/>
      <c r="Q42" s="35"/>
      <c r="U42" s="1"/>
      <c r="V42" s="30"/>
    </row>
    <row r="43" spans="1:23">
      <c r="B43" s="32"/>
      <c r="E43" s="34"/>
      <c r="F43" s="36"/>
      <c r="I43" s="1"/>
      <c r="K43" s="1"/>
      <c r="M43" s="32"/>
      <c r="N43" s="32"/>
      <c r="O43" s="35"/>
      <c r="P43" s="35"/>
      <c r="Q43" s="35"/>
      <c r="U43" s="1"/>
      <c r="V43" s="35"/>
    </row>
    <row r="44" spans="1:23">
      <c r="B44" s="32"/>
      <c r="E44" s="34"/>
      <c r="F44" s="36"/>
      <c r="I44" s="1"/>
      <c r="K44" s="1"/>
      <c r="M44" s="32"/>
      <c r="N44" s="32"/>
      <c r="O44" s="35"/>
      <c r="P44" s="35"/>
      <c r="Q44" s="35"/>
      <c r="U44" s="1"/>
      <c r="V44" s="35"/>
    </row>
    <row r="45" spans="1:23">
      <c r="B45" s="32"/>
      <c r="E45" s="34"/>
      <c r="F45" s="36"/>
      <c r="I45" s="1"/>
      <c r="K45" s="1"/>
      <c r="M45" s="32"/>
      <c r="N45" s="32"/>
      <c r="O45" s="35"/>
      <c r="P45" s="35"/>
      <c r="Q45" s="35"/>
      <c r="U45" s="1"/>
      <c r="V45" s="35"/>
      <c r="W45" s="50"/>
    </row>
    <row r="46" spans="1:23">
      <c r="B46" s="32"/>
      <c r="E46" s="34"/>
      <c r="F46" s="36"/>
      <c r="I46" s="1"/>
      <c r="K46" s="1"/>
      <c r="M46" s="32"/>
      <c r="N46" s="32"/>
      <c r="O46" s="35"/>
      <c r="P46" s="35"/>
      <c r="Q46" s="35"/>
      <c r="U46" s="1"/>
      <c r="V46" s="35"/>
    </row>
    <row r="47" spans="1:23">
      <c r="B47" s="32"/>
      <c r="E47" s="34"/>
      <c r="F47" s="36"/>
      <c r="I47" s="1"/>
      <c r="K47" s="1"/>
      <c r="M47" s="32"/>
      <c r="N47" s="32"/>
      <c r="O47" s="35"/>
      <c r="P47" s="35"/>
      <c r="Q47" s="35"/>
      <c r="U47" s="1"/>
      <c r="V47" s="35"/>
    </row>
    <row r="48" spans="1:23">
      <c r="B48" s="32"/>
      <c r="E48" s="34"/>
      <c r="F48" s="36"/>
      <c r="I48" s="1"/>
      <c r="K48" s="1"/>
      <c r="M48" s="32"/>
      <c r="N48" s="32"/>
      <c r="O48" s="35"/>
      <c r="P48" s="35"/>
      <c r="Q48" s="35"/>
      <c r="U48" s="1"/>
      <c r="V48" s="35"/>
    </row>
    <row r="49" spans="2:22">
      <c r="B49" s="32"/>
      <c r="E49" s="34"/>
      <c r="F49" s="36"/>
      <c r="I49" s="1"/>
      <c r="K49" s="1"/>
      <c r="M49" s="32"/>
      <c r="N49" s="32"/>
      <c r="O49" s="35"/>
      <c r="P49" s="35"/>
      <c r="Q49" s="35"/>
      <c r="U49" s="1"/>
      <c r="V49" s="35"/>
    </row>
    <row r="50" spans="2:22">
      <c r="B50" s="32"/>
      <c r="E50" s="34"/>
      <c r="F50" s="36"/>
      <c r="I50" s="1"/>
      <c r="K50" s="1"/>
      <c r="M50" s="32"/>
      <c r="N50" s="32"/>
      <c r="O50" s="35"/>
      <c r="P50" s="35"/>
      <c r="Q50" s="35"/>
      <c r="U50" s="1"/>
      <c r="V50" s="35"/>
    </row>
    <row r="51" spans="2:22">
      <c r="B51" s="32"/>
      <c r="E51" s="34"/>
      <c r="F51" s="36"/>
      <c r="I51" s="1"/>
      <c r="K51" s="1"/>
      <c r="M51" s="32"/>
      <c r="N51" s="32"/>
      <c r="O51" s="35"/>
      <c r="P51" s="35"/>
      <c r="Q51" s="35"/>
      <c r="U51" s="1"/>
      <c r="V51" s="35"/>
    </row>
    <row r="52" spans="2:22">
      <c r="B52" s="32"/>
      <c r="E52" s="34"/>
      <c r="F52" s="36"/>
      <c r="I52" s="1"/>
      <c r="K52" s="1"/>
      <c r="M52" s="32"/>
      <c r="N52" s="32"/>
      <c r="O52" s="35"/>
      <c r="P52" s="35"/>
      <c r="Q52" s="35"/>
      <c r="U52" s="1"/>
      <c r="V52" s="35"/>
    </row>
    <row r="53" spans="2:22">
      <c r="B53" s="32"/>
      <c r="E53" s="34"/>
      <c r="F53" s="36"/>
      <c r="I53" s="1"/>
      <c r="K53" s="1"/>
      <c r="M53" s="32"/>
      <c r="N53" s="32"/>
      <c r="O53" s="35"/>
      <c r="P53" s="35"/>
      <c r="Q53" s="35"/>
      <c r="U53" s="1"/>
      <c r="V53" s="35"/>
    </row>
    <row r="54" spans="2:22">
      <c r="B54" s="32"/>
      <c r="E54" s="34"/>
      <c r="F54" s="36"/>
      <c r="I54" s="1"/>
      <c r="K54" s="1"/>
      <c r="M54" s="32"/>
      <c r="N54" s="32"/>
      <c r="O54" s="35"/>
      <c r="P54" s="35"/>
      <c r="Q54" s="35"/>
      <c r="U54" s="1"/>
      <c r="V54" s="35"/>
    </row>
    <row r="55" spans="2:22">
      <c r="B55" s="32"/>
      <c r="E55" s="34"/>
      <c r="F55" s="36"/>
      <c r="I55" s="1"/>
      <c r="K55" s="1"/>
      <c r="M55" s="32"/>
      <c r="N55" s="32"/>
      <c r="O55" s="35"/>
      <c r="P55" s="35"/>
      <c r="Q55" s="35"/>
      <c r="U55" s="1"/>
      <c r="V55" s="35"/>
    </row>
    <row r="56" spans="2:22">
      <c r="B56" s="32"/>
      <c r="E56" s="34"/>
      <c r="F56" s="36"/>
      <c r="I56" s="1"/>
      <c r="K56" s="1"/>
      <c r="M56" s="32"/>
      <c r="N56" s="32"/>
      <c r="O56" s="35"/>
      <c r="P56" s="35"/>
      <c r="Q56" s="35"/>
      <c r="U56" s="1"/>
      <c r="V56" s="35"/>
    </row>
    <row r="57" spans="2:22">
      <c r="B57" s="32"/>
      <c r="E57" s="34"/>
      <c r="F57" s="36"/>
      <c r="I57" s="1"/>
      <c r="K57" s="1"/>
      <c r="M57" s="32"/>
      <c r="N57" s="32"/>
      <c r="O57" s="35"/>
      <c r="P57" s="35"/>
      <c r="Q57" s="35"/>
      <c r="U57" s="1"/>
      <c r="V57" s="35"/>
    </row>
    <row r="58" spans="2:22">
      <c r="B58" s="32"/>
      <c r="E58" s="34"/>
      <c r="F58" s="36"/>
      <c r="I58" s="1"/>
      <c r="K58" s="1"/>
      <c r="M58" s="32"/>
      <c r="N58" s="32"/>
      <c r="O58" s="35"/>
      <c r="P58" s="35"/>
      <c r="Q58" s="35"/>
      <c r="U58" s="1"/>
      <c r="V58" s="35"/>
    </row>
    <row r="59" spans="2:22">
      <c r="B59" s="32"/>
      <c r="E59" s="34"/>
      <c r="F59" s="36"/>
      <c r="G59" s="32"/>
      <c r="H59" s="32"/>
      <c r="I59" s="35"/>
      <c r="K59" s="1"/>
      <c r="M59" s="32"/>
      <c r="N59" s="32"/>
      <c r="O59" s="35"/>
      <c r="P59" s="35"/>
      <c r="Q59" s="35"/>
      <c r="U59" s="1"/>
      <c r="V59" s="35"/>
    </row>
    <row r="60" spans="2:22">
      <c r="B60" s="32"/>
      <c r="E60" s="34"/>
      <c r="F60" s="36"/>
      <c r="G60" s="32"/>
      <c r="H60" s="32"/>
      <c r="I60" s="35"/>
      <c r="K60" s="1"/>
      <c r="M60" s="32"/>
      <c r="N60" s="32"/>
      <c r="O60" s="35"/>
      <c r="P60" s="35"/>
      <c r="Q60" s="35"/>
      <c r="U60" s="1"/>
      <c r="V60" s="35"/>
    </row>
    <row r="61" spans="2:22">
      <c r="B61" s="32"/>
      <c r="E61" s="34"/>
      <c r="F61" s="36"/>
      <c r="G61" s="32"/>
      <c r="H61" s="32"/>
      <c r="I61" s="35"/>
      <c r="K61" s="1"/>
      <c r="M61" s="32"/>
      <c r="N61" s="32"/>
      <c r="O61" s="35"/>
      <c r="P61" s="35"/>
      <c r="Q61" s="35"/>
      <c r="U61" s="1"/>
      <c r="V61" s="35"/>
    </row>
    <row r="62" spans="2:22">
      <c r="B62" s="32"/>
      <c r="E62" s="34"/>
      <c r="F62" s="36"/>
      <c r="G62" s="32"/>
      <c r="H62" s="32"/>
      <c r="I62" s="35"/>
      <c r="K62" s="1"/>
      <c r="M62" s="32"/>
      <c r="N62" s="32"/>
      <c r="O62" s="35"/>
      <c r="P62" s="35"/>
      <c r="Q62" s="35"/>
      <c r="U62" s="1"/>
      <c r="V62" s="35"/>
    </row>
    <row r="63" spans="2:22">
      <c r="B63" s="32"/>
      <c r="E63" s="34"/>
      <c r="F63" s="36"/>
      <c r="I63" s="1"/>
      <c r="K63" s="1"/>
      <c r="M63" s="32"/>
      <c r="N63" s="32"/>
      <c r="O63" s="29"/>
      <c r="P63" s="29"/>
      <c r="Q63" s="29"/>
      <c r="U63" s="1"/>
      <c r="V63" s="30"/>
    </row>
    <row r="64" spans="2:22">
      <c r="B64" s="32"/>
      <c r="E64" s="34"/>
      <c r="F64" s="36"/>
      <c r="G64" s="32"/>
      <c r="H64" s="32"/>
      <c r="I64" s="35"/>
      <c r="K64" s="1"/>
      <c r="M64" s="32"/>
      <c r="N64" s="32"/>
      <c r="O64" s="35"/>
      <c r="P64" s="35"/>
      <c r="Q64" s="35"/>
      <c r="U64" s="1"/>
      <c r="V64" s="35"/>
    </row>
    <row r="65" spans="2:22">
      <c r="B65" s="32"/>
      <c r="E65" s="34"/>
      <c r="F65" s="36"/>
      <c r="I65" s="1"/>
      <c r="K65" s="1"/>
      <c r="M65" s="32"/>
      <c r="N65" s="32"/>
      <c r="O65" s="29"/>
      <c r="P65" s="29"/>
      <c r="Q65" s="29"/>
      <c r="U65" s="1"/>
      <c r="V65" s="30"/>
    </row>
    <row r="66" spans="2:22">
      <c r="B66" s="32"/>
      <c r="E66" s="34"/>
      <c r="F66" s="36"/>
      <c r="I66" s="1"/>
      <c r="K66" s="1"/>
      <c r="M66" s="32"/>
      <c r="N66" s="32"/>
      <c r="O66" s="29"/>
      <c r="P66" s="29"/>
      <c r="Q66" s="29"/>
      <c r="U66" s="1"/>
      <c r="V66" s="30"/>
    </row>
    <row r="67" spans="2:22">
      <c r="B67" s="32"/>
      <c r="E67" s="34"/>
      <c r="F67" s="36"/>
      <c r="I67" s="1"/>
      <c r="K67" s="1"/>
      <c r="M67" s="32"/>
      <c r="N67" s="32"/>
      <c r="O67" s="35"/>
      <c r="P67" s="35"/>
      <c r="Q67" s="35"/>
      <c r="U67" s="1"/>
      <c r="V67" s="30"/>
    </row>
    <row r="68" spans="2:22">
      <c r="B68" s="32"/>
      <c r="E68" s="34"/>
      <c r="F68" s="36"/>
      <c r="I68" s="1"/>
      <c r="K68" s="1"/>
      <c r="M68" s="32"/>
      <c r="N68" s="32"/>
      <c r="O68" s="35"/>
      <c r="P68" s="35"/>
      <c r="Q68" s="35"/>
      <c r="U68" s="1"/>
      <c r="V68" s="30"/>
    </row>
    <row r="69" spans="2:22">
      <c r="B69" s="32"/>
      <c r="E69" s="34"/>
      <c r="F69" s="36"/>
      <c r="I69" s="1"/>
      <c r="K69" s="1"/>
      <c r="M69" s="32"/>
      <c r="N69" s="32"/>
      <c r="O69" s="35"/>
      <c r="P69" s="35"/>
      <c r="Q69" s="35"/>
      <c r="U69" s="1"/>
      <c r="V69" s="30"/>
    </row>
    <row r="70" spans="2:22">
      <c r="B70" s="32"/>
      <c r="E70" s="34"/>
      <c r="F70" s="36"/>
      <c r="I70" s="1"/>
      <c r="K70" s="1"/>
      <c r="M70" s="32"/>
      <c r="N70" s="32"/>
      <c r="O70" s="35"/>
      <c r="P70" s="35"/>
      <c r="Q70" s="35"/>
      <c r="U70" s="1"/>
      <c r="V70" s="30"/>
    </row>
    <row r="71" spans="2:22">
      <c r="B71" s="32"/>
      <c r="E71" s="34"/>
      <c r="F71" s="36"/>
      <c r="I71" s="1"/>
      <c r="K71" s="1"/>
      <c r="M71" s="32"/>
      <c r="N71" s="32"/>
      <c r="O71" s="35"/>
      <c r="P71" s="35"/>
      <c r="Q71" s="35"/>
      <c r="U71" s="1"/>
      <c r="V71" s="30"/>
    </row>
    <row r="72" spans="2:22">
      <c r="B72" s="32"/>
      <c r="E72" s="34"/>
      <c r="F72" s="36"/>
      <c r="G72" s="29"/>
      <c r="I72" s="1"/>
      <c r="K72" s="1"/>
      <c r="M72" s="32"/>
      <c r="N72" s="32"/>
      <c r="O72" s="35"/>
      <c r="P72" s="35"/>
      <c r="Q72" s="35"/>
      <c r="U72" s="1"/>
      <c r="V72" s="35"/>
    </row>
    <row r="73" spans="2:22">
      <c r="B73" s="32"/>
      <c r="E73" s="34"/>
      <c r="F73" s="36"/>
      <c r="G73" s="35"/>
      <c r="I73" s="1"/>
      <c r="K73" s="1"/>
      <c r="M73" s="32"/>
      <c r="N73" s="32"/>
      <c r="O73" s="35"/>
      <c r="P73" s="35"/>
      <c r="Q73" s="35"/>
      <c r="U73" s="1"/>
      <c r="V73" s="35"/>
    </row>
    <row r="74" spans="2:22">
      <c r="B74" s="32"/>
      <c r="E74" s="34"/>
      <c r="F74" s="36"/>
      <c r="G74" s="35"/>
      <c r="H74" s="32"/>
      <c r="I74" s="35"/>
      <c r="K74" s="1"/>
      <c r="M74" s="32"/>
      <c r="N74" s="32"/>
      <c r="O74" s="35"/>
      <c r="P74" s="35"/>
      <c r="Q74" s="35"/>
      <c r="U74" s="1"/>
      <c r="V74" s="35"/>
    </row>
    <row r="75" spans="2:22">
      <c r="B75" s="32"/>
      <c r="E75" s="34"/>
      <c r="F75" s="36"/>
      <c r="G75" s="35"/>
      <c r="H75" s="32"/>
      <c r="I75" s="35"/>
      <c r="K75" s="1"/>
      <c r="M75" s="32"/>
      <c r="N75" s="32"/>
      <c r="O75" s="35"/>
      <c r="P75" s="35"/>
      <c r="Q75" s="35"/>
      <c r="U75" s="1"/>
      <c r="V75" s="35"/>
    </row>
    <row r="76" spans="2:22">
      <c r="B76" s="32"/>
      <c r="E76" s="34"/>
      <c r="F76" s="36"/>
      <c r="G76" s="35"/>
      <c r="H76" s="32"/>
      <c r="I76" s="35"/>
      <c r="K76" s="1"/>
      <c r="M76" s="32"/>
      <c r="N76" s="32"/>
      <c r="O76" s="35"/>
      <c r="P76" s="35"/>
      <c r="Q76" s="35"/>
      <c r="U76" s="1"/>
      <c r="V76" s="35"/>
    </row>
    <row r="77" spans="2:22">
      <c r="B77" s="32"/>
      <c r="E77" s="34"/>
      <c r="F77" s="36"/>
      <c r="G77" s="35"/>
      <c r="H77" s="32"/>
      <c r="I77" s="35"/>
      <c r="K77" s="1"/>
      <c r="M77" s="32"/>
      <c r="N77" s="32"/>
      <c r="O77" s="35"/>
      <c r="P77" s="35"/>
      <c r="Q77" s="35"/>
      <c r="U77" s="1"/>
      <c r="V77" s="35"/>
    </row>
    <row r="78" spans="2:22">
      <c r="B78" s="32"/>
      <c r="E78" s="34"/>
      <c r="F78" s="36"/>
      <c r="G78" s="35"/>
      <c r="H78" s="32"/>
      <c r="I78" s="35"/>
      <c r="K78" s="1"/>
      <c r="M78" s="32"/>
      <c r="N78" s="32"/>
      <c r="O78" s="35"/>
      <c r="P78" s="35"/>
      <c r="Q78" s="35"/>
      <c r="U78" s="1"/>
      <c r="V78" s="35"/>
    </row>
    <row r="79" spans="2:22">
      <c r="B79" s="32"/>
    </row>
    <row r="80" spans="2:22">
      <c r="B80" s="32"/>
    </row>
    <row r="81" spans="2:2">
      <c r="B81" s="32"/>
    </row>
    <row r="82" spans="2:2">
      <c r="B82" s="32"/>
    </row>
    <row r="83" spans="2:2">
      <c r="B83" s="32"/>
    </row>
  </sheetData>
  <sortState ref="A5:W40">
    <sortCondition ref="B5:B40"/>
    <sortCondition ref="D5:D40"/>
    <sortCondition ref="F5:F40"/>
  </sortState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8CD1DE87728B4A91AC01A490840121" ma:contentTypeVersion="13" ma:contentTypeDescription="Create a new document." ma:contentTypeScope="" ma:versionID="6e42e0ab4a00fbff42e456357a99b1eb">
  <xsd:schema xmlns:xsd="http://www.w3.org/2001/XMLSchema" xmlns:xs="http://www.w3.org/2001/XMLSchema" xmlns:p="http://schemas.microsoft.com/office/2006/metadata/properties" xmlns:ns2="f6f6290a-188c-431b-bc1b-08909b9edd3c" xmlns:ns3="c4dec4b6-adc0-4ae7-a610-9837ec16b1be" targetNamespace="http://schemas.microsoft.com/office/2006/metadata/properties" ma:root="true" ma:fieldsID="c3506e3d67b73694a3451566b24e0b38" ns2:_="" ns3:_="">
    <xsd:import namespace="f6f6290a-188c-431b-bc1b-08909b9edd3c"/>
    <xsd:import namespace="c4dec4b6-adc0-4ae7-a610-9837ec16b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6290a-188c-431b-bc1b-08909b9edd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b434354-605c-4a24-9fd5-b21458dd1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c4b6-adc0-4ae7-a610-9837ec16b1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e82eeb-41bc-476c-9695-595138dfca12}" ma:internalName="TaxCatchAll" ma:showField="CatchAllData" ma:web="c4dec4b6-adc0-4ae7-a610-9837ec16b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c4b6-adc0-4ae7-a610-9837ec16b1be" xsi:nil="true"/>
    <lcf76f155ced4ddcb4097134ff3c332f xmlns="f6f6290a-188c-431b-bc1b-08909b9edd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BCAF18-5D6C-47DE-AFBD-517CB9F6F86A}"/>
</file>

<file path=customXml/itemProps2.xml><?xml version="1.0" encoding="utf-8"?>
<ds:datastoreItem xmlns:ds="http://schemas.openxmlformats.org/officeDocument/2006/customXml" ds:itemID="{049598F0-E705-4578-94DA-D4870E14ECA3}"/>
</file>

<file path=customXml/itemProps3.xml><?xml version="1.0" encoding="utf-8"?>
<ds:datastoreItem xmlns:ds="http://schemas.openxmlformats.org/officeDocument/2006/customXml" ds:itemID="{785D13AD-DDE9-4E20-A3FB-92BA574C5A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quads.all</vt:lpstr>
      <vt:lpstr>pics</vt:lpstr>
      <vt:lpstr>FIA</vt:lpstr>
      <vt:lpstr>tall-skinny</vt:lpstr>
      <vt:lpstr>ash saplings</vt:lpstr>
      <vt:lpstr>nat&amp;inv</vt:lpstr>
    </vt:vector>
  </TitlesOfParts>
  <Company>MSU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Klooster</dc:creator>
  <cp:lastModifiedBy>Wendy Klooster</cp:lastModifiedBy>
  <cp:lastPrinted>2011-07-05T19:08:00Z</cp:lastPrinted>
  <dcterms:created xsi:type="dcterms:W3CDTF">2009-07-21T12:27:29Z</dcterms:created>
  <dcterms:modified xsi:type="dcterms:W3CDTF">2011-11-22T20:44:41Z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0x010100838CD1DE87728B4A91AC01A490840121</vt:lpwstr>
  </property>
</Properties>
</file>