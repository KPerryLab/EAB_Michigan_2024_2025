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2f02f1096a9313f/Documents/Entomology MS/Thesis research/EAB_Michigan_2024_2025_github_folder/Cleaned_data/"/>
    </mc:Choice>
  </mc:AlternateContent>
  <xr:revisionPtr revIDLastSave="21" documentId="8_{1BFEFB14-7A14-4F09-A2E4-08D699B114A5}" xr6:coauthVersionLast="47" xr6:coauthVersionMax="47" xr10:uidLastSave="{11EA0825-63CD-482C-8F0B-F405B5E70ABA}"/>
  <bookViews>
    <workbookView xWindow="28680" yWindow="-120" windowWidth="29040" windowHeight="17640" activeTab="1" xr2:uid="{C8A8F5BE-5CEC-4152-A0BD-AD289C167C89}"/>
  </bookViews>
  <sheets>
    <sheet name="ash_by_hydro" sheetId="1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3" l="1"/>
  <c r="G11" i="3"/>
  <c r="G10" i="3"/>
  <c r="G9" i="3"/>
  <c r="G8" i="3"/>
  <c r="G7" i="3"/>
  <c r="E12" i="3"/>
  <c r="E11" i="3"/>
  <c r="E10" i="3"/>
  <c r="E9" i="3"/>
  <c r="E8" i="3"/>
  <c r="E7" i="3"/>
  <c r="C9" i="3"/>
  <c r="C10" i="3"/>
  <c r="C11" i="3"/>
  <c r="C12" i="3"/>
  <c r="C8" i="3"/>
  <c r="C7" i="3"/>
</calcChain>
</file>

<file path=xl/sharedStrings.xml><?xml version="1.0" encoding="utf-8"?>
<sst xmlns="http://schemas.openxmlformats.org/spreadsheetml/2006/main" count="59" uniqueCount="29">
  <si>
    <t>mstrlvl</t>
  </si>
  <si>
    <t>number_of_transects</t>
  </si>
  <si>
    <t>mean_plotmstr</t>
  </si>
  <si>
    <t>number_microplots</t>
  </si>
  <si>
    <t>avrg_perc_cov_seedl</t>
  </si>
  <si>
    <t>stder_perc_cov_seedl</t>
  </si>
  <si>
    <t>avrg_density_short_seedl</t>
  </si>
  <si>
    <t>stder_density_short_seedl</t>
  </si>
  <si>
    <t>avrg_density_tall_seedlings</t>
  </si>
  <si>
    <t>stder_density_tall_seedl</t>
  </si>
  <si>
    <t>avrg_density_seedl</t>
  </si>
  <si>
    <t>stder_density_seedl</t>
  </si>
  <si>
    <t>total_number_short_seedlings</t>
  </si>
  <si>
    <t>total_number_tall_seedlings</t>
  </si>
  <si>
    <t>total_number_seedlings</t>
  </si>
  <si>
    <t>number_subplot_quadrants</t>
  </si>
  <si>
    <t>avrg_density_saplings_stems_per_ha</t>
  </si>
  <si>
    <t>stder_density_saplings_stems_per_ha</t>
  </si>
  <si>
    <t>avrg_density_small_trees_stems_per_ha</t>
  </si>
  <si>
    <t>avrg_density_living_small_trees_stems_per_ha</t>
  </si>
  <si>
    <t>stder_density_living_small_trees_stems_per_ha</t>
  </si>
  <si>
    <t>avrg_basal_area_living_small_trees_m_squared_per_ha</t>
  </si>
  <si>
    <t>stder_basal_area_living_small_trees_m_squared_per_ha</t>
  </si>
  <si>
    <t>avrg_basal_area_living_big_trees_m_squared_per_ha</t>
  </si>
  <si>
    <t>stder_basal_area_living_big_trees_m_squared_per_ha</t>
  </si>
  <si>
    <t>hydric</t>
  </si>
  <si>
    <t>mesic</t>
  </si>
  <si>
    <t>xeric</t>
  </si>
  <si>
    <t>*10000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</si>
</sst>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DADE-4D23-43F4-BA22-7F027A4E0816}">
  <dimension ref="A1:Y4"/>
  <sheetViews>
    <sheetView workbookViewId="0">
      <selection sqref="A1:Y4"/>
    </sheetView>
  </sheetViews>
  <sheetFormatPr defaultRowHeight="14.5" x14ac:dyDescent="0.35"/>
  <sheetData>
    <row r="1" spans="1:2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5">
      <c r="A2" t="s">
        <v>25</v>
      </c>
      <c r="B2">
        <v>10</v>
      </c>
      <c r="C2">
        <v>4.2333333333333298</v>
      </c>
      <c r="D2">
        <v>120</v>
      </c>
      <c r="E2">
        <v>3.0333333333333301</v>
      </c>
      <c r="F2">
        <v>1.2166666666666699</v>
      </c>
      <c r="G2">
        <v>0.13341543513957299</v>
      </c>
      <c r="H2">
        <v>9.5160306610856601E-2</v>
      </c>
      <c r="I2">
        <v>0.238095238095238</v>
      </c>
      <c r="J2">
        <v>9.9439640388747502E-2</v>
      </c>
      <c r="K2">
        <v>0.37151067323481102</v>
      </c>
      <c r="L2">
        <v>0.193429921429078</v>
      </c>
      <c r="M2">
        <v>65</v>
      </c>
      <c r="N2">
        <v>116</v>
      </c>
      <c r="O2">
        <v>181</v>
      </c>
      <c r="P2">
        <v>120</v>
      </c>
      <c r="Q2">
        <v>359.75636039298001</v>
      </c>
      <c r="R2">
        <v>79.394946287535404</v>
      </c>
      <c r="S2">
        <v>477.46466264137399</v>
      </c>
      <c r="T2">
        <v>401.20294569171</v>
      </c>
      <c r="U2">
        <v>144.50382327624899</v>
      </c>
      <c r="V2">
        <v>0.80031427798341803</v>
      </c>
      <c r="W2">
        <v>0.32399470582969198</v>
      </c>
      <c r="X2">
        <v>2.2828961348597201E-2</v>
      </c>
      <c r="Y2">
        <v>1.54921244858208E-2</v>
      </c>
    </row>
    <row r="3" spans="1:25" x14ac:dyDescent="0.35">
      <c r="A3" t="s">
        <v>26</v>
      </c>
      <c r="B3">
        <v>8</v>
      </c>
      <c r="C3">
        <v>2.5</v>
      </c>
      <c r="D3">
        <v>96</v>
      </c>
      <c r="E3">
        <v>16.6041666666667</v>
      </c>
      <c r="F3">
        <v>3.60377096644216</v>
      </c>
      <c r="G3">
        <v>1.54197454844007</v>
      </c>
      <c r="H3">
        <v>0.49197568907462602</v>
      </c>
      <c r="I3">
        <v>1.3084975369458101</v>
      </c>
      <c r="J3">
        <v>0.25632612324193399</v>
      </c>
      <c r="K3">
        <v>2.85047208538588</v>
      </c>
      <c r="L3">
        <v>0.71535203014585502</v>
      </c>
      <c r="M3">
        <v>601</v>
      </c>
      <c r="N3">
        <v>510</v>
      </c>
      <c r="O3">
        <v>1111</v>
      </c>
      <c r="P3">
        <v>96</v>
      </c>
      <c r="Q3">
        <v>472.49107240552701</v>
      </c>
      <c r="R3">
        <v>205.32948385339299</v>
      </c>
      <c r="S3">
        <v>41.446585298730398</v>
      </c>
      <c r="T3">
        <v>37.301926768857399</v>
      </c>
      <c r="U3">
        <v>30.817344850446801</v>
      </c>
      <c r="V3">
        <v>4.3016749310148199E-2</v>
      </c>
      <c r="W3">
        <v>3.7263566972571903E-2</v>
      </c>
      <c r="X3">
        <v>0</v>
      </c>
      <c r="Y3">
        <v>0</v>
      </c>
    </row>
    <row r="4" spans="1:25" x14ac:dyDescent="0.35">
      <c r="A4" t="s">
        <v>27</v>
      </c>
      <c r="B4">
        <v>19</v>
      </c>
      <c r="C4">
        <v>1.4736842105263199</v>
      </c>
      <c r="D4">
        <v>228</v>
      </c>
      <c r="E4">
        <v>12.2997076023392</v>
      </c>
      <c r="F4">
        <v>2.5993904794898599</v>
      </c>
      <c r="G4">
        <v>0.98954282257367598</v>
      </c>
      <c r="H4">
        <v>0.24579264364004899</v>
      </c>
      <c r="I4">
        <v>0.83506179241206502</v>
      </c>
      <c r="J4">
        <v>0.162469391129832</v>
      </c>
      <c r="K4">
        <v>1.82460461498574</v>
      </c>
      <c r="L4">
        <v>0.39843602331233402</v>
      </c>
      <c r="M4">
        <v>916</v>
      </c>
      <c r="N4">
        <v>773</v>
      </c>
      <c r="O4">
        <v>1689</v>
      </c>
      <c r="P4">
        <v>228</v>
      </c>
      <c r="Q4">
        <v>516.55533677575602</v>
      </c>
      <c r="R4">
        <v>285.50352189577899</v>
      </c>
      <c r="S4">
        <v>19.196313190990899</v>
      </c>
      <c r="T4">
        <v>13.9609550479934</v>
      </c>
      <c r="U4">
        <v>7.2011876602724598</v>
      </c>
      <c r="V4">
        <v>8.8431986681254803E-3</v>
      </c>
      <c r="W4">
        <v>4.4918017978479398E-3</v>
      </c>
      <c r="X4">
        <v>0</v>
      </c>
      <c r="Y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13B1-81D4-4DE5-95FF-E46FAE1CC4CC}">
  <dimension ref="A1:G25"/>
  <sheetViews>
    <sheetView tabSelected="1" zoomScale="144" workbookViewId="0">
      <selection activeCell="D17" sqref="D17"/>
    </sheetView>
  </sheetViews>
  <sheetFormatPr defaultRowHeight="14.5" x14ac:dyDescent="0.35"/>
  <cols>
    <col min="1" max="1" width="47" customWidth="1"/>
  </cols>
  <sheetData>
    <row r="1" spans="1:7" s="1" customFormat="1" x14ac:dyDescent="0.35">
      <c r="A1" s="1" t="s">
        <v>0</v>
      </c>
      <c r="B1" s="1" t="s">
        <v>25</v>
      </c>
      <c r="C1" s="1" t="s">
        <v>28</v>
      </c>
      <c r="D1" s="1" t="s">
        <v>26</v>
      </c>
      <c r="E1" s="1" t="s">
        <v>28</v>
      </c>
      <c r="F1" s="1" t="s">
        <v>27</v>
      </c>
      <c r="G1" s="1" t="s">
        <v>28</v>
      </c>
    </row>
    <row r="2" spans="1:7" x14ac:dyDescent="0.35">
      <c r="A2" t="s">
        <v>1</v>
      </c>
      <c r="B2">
        <v>10</v>
      </c>
      <c r="D2">
        <v>8</v>
      </c>
      <c r="F2">
        <v>19</v>
      </c>
    </row>
    <row r="3" spans="1:7" x14ac:dyDescent="0.35">
      <c r="A3" t="s">
        <v>2</v>
      </c>
      <c r="B3">
        <v>4.2333333333333298</v>
      </c>
      <c r="D3">
        <v>2.5</v>
      </c>
      <c r="F3">
        <v>1.4736842105263199</v>
      </c>
    </row>
    <row r="4" spans="1:7" x14ac:dyDescent="0.35">
      <c r="A4" t="s">
        <v>3</v>
      </c>
      <c r="B4">
        <v>120</v>
      </c>
      <c r="D4">
        <v>96</v>
      </c>
      <c r="F4">
        <v>228</v>
      </c>
    </row>
    <row r="5" spans="1:7" x14ac:dyDescent="0.35">
      <c r="A5" t="s">
        <v>4</v>
      </c>
      <c r="B5">
        <v>3.0333333333333301</v>
      </c>
      <c r="D5">
        <v>16.6041666666667</v>
      </c>
      <c r="F5">
        <v>12.2997076023392</v>
      </c>
    </row>
    <row r="6" spans="1:7" x14ac:dyDescent="0.35">
      <c r="A6" t="s">
        <v>5</v>
      </c>
      <c r="B6">
        <v>1.2166666666666699</v>
      </c>
      <c r="D6">
        <v>3.60377096644216</v>
      </c>
      <c r="F6">
        <v>2.5993904794898599</v>
      </c>
    </row>
    <row r="7" spans="1:7" x14ac:dyDescent="0.35">
      <c r="A7" t="s">
        <v>6</v>
      </c>
      <c r="B7">
        <v>0.13341543513957299</v>
      </c>
      <c r="C7">
        <f>B7*10000</f>
        <v>1334.1543513957299</v>
      </c>
      <c r="D7">
        <v>1.54197454844007</v>
      </c>
      <c r="E7">
        <f>D7*10000</f>
        <v>15419.745484400701</v>
      </c>
      <c r="F7">
        <v>0.98954282257367598</v>
      </c>
      <c r="G7">
        <f>F7*10000</f>
        <v>9895.4282257367595</v>
      </c>
    </row>
    <row r="8" spans="1:7" x14ac:dyDescent="0.35">
      <c r="A8" t="s">
        <v>7</v>
      </c>
      <c r="B8">
        <v>9.5160306610856601E-2</v>
      </c>
      <c r="C8">
        <f>B8*10000</f>
        <v>951.60306610856605</v>
      </c>
      <c r="D8">
        <v>0.49197568907462602</v>
      </c>
      <c r="E8">
        <f>D8*10000</f>
        <v>4919.7568907462601</v>
      </c>
      <c r="F8">
        <v>0.24579264364004899</v>
      </c>
      <c r="G8">
        <f>F8*10000</f>
        <v>2457.9264364004898</v>
      </c>
    </row>
    <row r="9" spans="1:7" x14ac:dyDescent="0.35">
      <c r="A9" t="s">
        <v>8</v>
      </c>
      <c r="B9">
        <v>0.238095238095238</v>
      </c>
      <c r="C9">
        <f t="shared" ref="C9:E12" si="0">B9*10000</f>
        <v>2380.9523809523798</v>
      </c>
      <c r="D9">
        <v>1.3084975369458101</v>
      </c>
      <c r="E9">
        <f t="shared" si="0"/>
        <v>13084.975369458101</v>
      </c>
      <c r="F9">
        <v>0.83506179241206502</v>
      </c>
      <c r="G9">
        <f t="shared" ref="G9" si="1">F9*10000</f>
        <v>8350.6179241206501</v>
      </c>
    </row>
    <row r="10" spans="1:7" x14ac:dyDescent="0.35">
      <c r="A10" t="s">
        <v>9</v>
      </c>
      <c r="B10">
        <v>9.9439640388747502E-2</v>
      </c>
      <c r="C10">
        <f t="shared" si="0"/>
        <v>994.396403887475</v>
      </c>
      <c r="D10">
        <v>0.25632612324193399</v>
      </c>
      <c r="E10">
        <f t="shared" si="0"/>
        <v>2563.2612324193401</v>
      </c>
      <c r="F10">
        <v>0.162469391129832</v>
      </c>
      <c r="G10">
        <f t="shared" ref="G10" si="2">F10*10000</f>
        <v>1624.69391129832</v>
      </c>
    </row>
    <row r="11" spans="1:7" x14ac:dyDescent="0.35">
      <c r="A11" t="s">
        <v>10</v>
      </c>
      <c r="B11">
        <v>0.37151067323481102</v>
      </c>
      <c r="C11">
        <f t="shared" si="0"/>
        <v>3715.1067323481102</v>
      </c>
      <c r="D11">
        <v>2.85047208538588</v>
      </c>
      <c r="E11">
        <f t="shared" si="0"/>
        <v>28504.720853858802</v>
      </c>
      <c r="F11">
        <v>1.82460461498574</v>
      </c>
      <c r="G11">
        <f t="shared" ref="G11" si="3">F11*10000</f>
        <v>18246.0461498574</v>
      </c>
    </row>
    <row r="12" spans="1:7" x14ac:dyDescent="0.35">
      <c r="A12" t="s">
        <v>11</v>
      </c>
      <c r="B12">
        <v>0.193429921429078</v>
      </c>
      <c r="C12">
        <f t="shared" si="0"/>
        <v>1934.2992142907799</v>
      </c>
      <c r="D12">
        <v>0.71535203014585502</v>
      </c>
      <c r="E12">
        <f t="shared" si="0"/>
        <v>7153.5203014585504</v>
      </c>
      <c r="F12">
        <v>0.39843602331233402</v>
      </c>
      <c r="G12">
        <f t="shared" ref="G12" si="4">F12*10000</f>
        <v>3984.3602331233401</v>
      </c>
    </row>
    <row r="13" spans="1:7" x14ac:dyDescent="0.35">
      <c r="A13" t="s">
        <v>12</v>
      </c>
      <c r="B13">
        <v>65</v>
      </c>
      <c r="D13">
        <v>601</v>
      </c>
      <c r="F13">
        <v>916</v>
      </c>
    </row>
    <row r="14" spans="1:7" x14ac:dyDescent="0.35">
      <c r="A14" t="s">
        <v>13</v>
      </c>
      <c r="B14">
        <v>116</v>
      </c>
      <c r="D14">
        <v>510</v>
      </c>
      <c r="F14">
        <v>773</v>
      </c>
    </row>
    <row r="15" spans="1:7" x14ac:dyDescent="0.35">
      <c r="A15" t="s">
        <v>14</v>
      </c>
      <c r="B15">
        <v>181</v>
      </c>
      <c r="D15">
        <v>1111</v>
      </c>
      <c r="F15">
        <v>1689</v>
      </c>
    </row>
    <row r="16" spans="1:7" x14ac:dyDescent="0.35">
      <c r="A16" t="s">
        <v>15</v>
      </c>
      <c r="B16">
        <v>120</v>
      </c>
      <c r="D16">
        <v>96</v>
      </c>
      <c r="F16">
        <v>228</v>
      </c>
    </row>
    <row r="17" spans="1:6" s="1" customFormat="1" x14ac:dyDescent="0.35">
      <c r="A17" s="1" t="s">
        <v>16</v>
      </c>
      <c r="B17" s="1">
        <v>359.75636039298001</v>
      </c>
      <c r="D17" s="1">
        <v>472.49107240552701</v>
      </c>
      <c r="F17" s="1">
        <v>516.55533677575602</v>
      </c>
    </row>
    <row r="18" spans="1:6" x14ac:dyDescent="0.35">
      <c r="A18" t="s">
        <v>17</v>
      </c>
      <c r="B18">
        <v>79.394946287535404</v>
      </c>
      <c r="D18">
        <v>205.32948385339299</v>
      </c>
      <c r="F18">
        <v>285.50352189577899</v>
      </c>
    </row>
    <row r="19" spans="1:6" x14ac:dyDescent="0.35">
      <c r="A19" t="s">
        <v>18</v>
      </c>
      <c r="B19">
        <v>477.46466264137399</v>
      </c>
      <c r="D19">
        <v>41.446585298730398</v>
      </c>
      <c r="F19">
        <v>19.196313190990899</v>
      </c>
    </row>
    <row r="20" spans="1:6" x14ac:dyDescent="0.35">
      <c r="A20" t="s">
        <v>19</v>
      </c>
      <c r="B20">
        <v>401.20294569171</v>
      </c>
      <c r="D20">
        <v>37.301926768857399</v>
      </c>
      <c r="F20">
        <v>13.9609550479934</v>
      </c>
    </row>
    <row r="21" spans="1:6" x14ac:dyDescent="0.35">
      <c r="A21" t="s">
        <v>20</v>
      </c>
      <c r="B21">
        <v>144.50382327624899</v>
      </c>
      <c r="D21">
        <v>30.817344850446801</v>
      </c>
      <c r="F21">
        <v>7.2011876602724598</v>
      </c>
    </row>
    <row r="22" spans="1:6" x14ac:dyDescent="0.35">
      <c r="A22" t="s">
        <v>21</v>
      </c>
      <c r="B22">
        <v>0.80031427798341803</v>
      </c>
      <c r="D22">
        <v>4.3016749310148199E-2</v>
      </c>
      <c r="F22">
        <v>8.8431986681254803E-3</v>
      </c>
    </row>
    <row r="23" spans="1:6" x14ac:dyDescent="0.35">
      <c r="A23" t="s">
        <v>22</v>
      </c>
      <c r="B23">
        <v>0.32399470582969198</v>
      </c>
      <c r="D23">
        <v>3.7263566972571903E-2</v>
      </c>
      <c r="F23">
        <v>4.4918017978479398E-3</v>
      </c>
    </row>
    <row r="24" spans="1:6" x14ac:dyDescent="0.35">
      <c r="A24" t="s">
        <v>23</v>
      </c>
      <c r="B24">
        <v>2.2828961348597201E-2</v>
      </c>
      <c r="D24">
        <v>0</v>
      </c>
      <c r="F24">
        <v>0</v>
      </c>
    </row>
    <row r="25" spans="1:6" x14ac:dyDescent="0.35">
      <c r="A25" t="s">
        <v>24</v>
      </c>
      <c r="B25">
        <v>1.54921244858208E-2</v>
      </c>
      <c r="D25">
        <v>0</v>
      </c>
      <c r="F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ash_by_hydro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Aaron Tayal</cp:lastModifiedBy>
  <dcterms:created xsi:type="dcterms:W3CDTF">2025-07-03T20:12:21Z</dcterms:created>
  <dcterms:modified xsi:type="dcterms:W3CDTF">2025-07-03T20:44:22Z</dcterms:modified>
</cp:coreProperties>
</file>