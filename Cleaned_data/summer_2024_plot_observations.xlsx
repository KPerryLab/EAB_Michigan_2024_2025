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Cleaned_data/"/>
    </mc:Choice>
  </mc:AlternateContent>
  <xr:revisionPtr revIDLastSave="24" documentId="8_{68EE1F7F-88B9-4A69-851E-CD5135171EEB}" xr6:coauthVersionLast="47" xr6:coauthVersionMax="47" xr10:uidLastSave="{8723103F-3C63-445A-95EC-310803B58E70}"/>
  <bookViews>
    <workbookView xWindow="-110" yWindow="-110" windowWidth="19420" windowHeight="10420" activeTab="2" xr2:uid="{CF4688EE-E8BA-4DC0-8FBA-DF6C72ADB3F4}"/>
  </bookViews>
  <sheets>
    <sheet name="metadata" sheetId="4" r:id="rId1"/>
    <sheet name="microplot observations" sheetId="1" r:id="rId2"/>
    <sheet name="plot observations" sheetId="3" r:id="rId3"/>
    <sheet name="Sheet2"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B3" i="1"/>
  <c r="A4" i="1"/>
  <c r="B4" i="1"/>
  <c r="A5" i="1"/>
  <c r="B5" i="1"/>
  <c r="A6" i="1"/>
  <c r="B6" i="1"/>
  <c r="A7" i="1"/>
  <c r="B7" i="1"/>
  <c r="A8" i="1"/>
  <c r="B8" i="1"/>
  <c r="A9" i="1"/>
  <c r="B9" i="1"/>
  <c r="A10" i="1"/>
  <c r="B10" i="1"/>
  <c r="A11" i="1"/>
  <c r="B11" i="1"/>
  <c r="A12" i="1"/>
  <c r="B12" i="1"/>
  <c r="A13" i="1"/>
  <c r="B13" i="1"/>
  <c r="A214" i="1"/>
  <c r="B214" i="1"/>
  <c r="A215" i="1"/>
  <c r="B215" i="1"/>
  <c r="A216" i="1"/>
  <c r="B216" i="1"/>
  <c r="A217" i="1"/>
  <c r="B217" i="1"/>
  <c r="A302" i="1"/>
  <c r="B302" i="1"/>
  <c r="A303" i="1"/>
  <c r="B303" i="1"/>
  <c r="A304" i="1"/>
  <c r="B304" i="1"/>
  <c r="A305" i="1"/>
  <c r="B305" i="1"/>
  <c r="A226" i="1"/>
  <c r="B226" i="1"/>
  <c r="A227" i="1"/>
  <c r="B227" i="1"/>
  <c r="A228" i="1"/>
  <c r="B228" i="1"/>
  <c r="A229" i="1"/>
  <c r="B229" i="1"/>
  <c r="A230" i="1"/>
  <c r="B230" i="1"/>
  <c r="A231" i="1"/>
  <c r="B231" i="1"/>
  <c r="A232" i="1"/>
  <c r="B232" i="1"/>
  <c r="A233" i="1"/>
  <c r="B233" i="1"/>
  <c r="A222" i="1"/>
  <c r="B222" i="1"/>
  <c r="A223" i="1"/>
  <c r="B223" i="1"/>
  <c r="A224" i="1"/>
  <c r="B224" i="1"/>
  <c r="A225" i="1"/>
  <c r="B225" i="1"/>
  <c r="A218" i="1"/>
  <c r="B218" i="1"/>
  <c r="A219" i="1"/>
  <c r="B219" i="1"/>
  <c r="A220" i="1"/>
  <c r="B220" i="1"/>
  <c r="A221" i="1"/>
  <c r="B221" i="1"/>
  <c r="A154" i="1"/>
  <c r="B154" i="1"/>
  <c r="A155" i="1"/>
  <c r="B155" i="1"/>
  <c r="A156" i="1"/>
  <c r="B156" i="1"/>
  <c r="A157" i="1"/>
  <c r="B157" i="1"/>
  <c r="A158" i="1"/>
  <c r="B158" i="1"/>
  <c r="A159" i="1"/>
  <c r="B159" i="1"/>
  <c r="A160" i="1"/>
  <c r="B160" i="1"/>
  <c r="A161" i="1"/>
  <c r="B161" i="1"/>
  <c r="A90" i="1"/>
  <c r="B90" i="1"/>
  <c r="A91" i="1"/>
  <c r="B91" i="1"/>
  <c r="A92" i="1"/>
  <c r="B92" i="1"/>
  <c r="A93" i="1"/>
  <c r="B93" i="1"/>
  <c r="A366" i="1"/>
  <c r="B366" i="1"/>
  <c r="A367" i="1"/>
  <c r="B367" i="1"/>
  <c r="A368" i="1"/>
  <c r="B368" i="1"/>
  <c r="A369" i="1"/>
  <c r="B369" i="1"/>
  <c r="A162" i="1"/>
  <c r="B162" i="1"/>
  <c r="A163" i="1"/>
  <c r="B163" i="1"/>
  <c r="A164" i="1"/>
  <c r="B164" i="1"/>
  <c r="A165" i="1"/>
  <c r="B165" i="1"/>
  <c r="A266" i="1"/>
  <c r="B266" i="1"/>
  <c r="A267" i="1"/>
  <c r="B267" i="1"/>
  <c r="A268" i="1"/>
  <c r="B268" i="1"/>
  <c r="A269" i="1"/>
  <c r="B269" i="1"/>
  <c r="A270" i="1"/>
  <c r="B270" i="1"/>
  <c r="A271" i="1"/>
  <c r="B271" i="1"/>
  <c r="A272" i="1"/>
  <c r="B272" i="1"/>
  <c r="A273" i="1"/>
  <c r="B273" i="1"/>
  <c r="A362" i="1"/>
  <c r="B362" i="1"/>
  <c r="A363" i="1"/>
  <c r="B363" i="1"/>
  <c r="A364" i="1"/>
  <c r="B364" i="1"/>
  <c r="A365" i="1"/>
  <c r="B365" i="1"/>
  <c r="A358" i="1"/>
  <c r="B358" i="1"/>
  <c r="A359" i="1"/>
  <c r="B359" i="1"/>
  <c r="A360" i="1"/>
  <c r="B360" i="1"/>
  <c r="A361" i="1"/>
  <c r="B361" i="1"/>
  <c r="A258" i="1"/>
  <c r="B258" i="1"/>
  <c r="A259" i="1"/>
  <c r="B259" i="1"/>
  <c r="A260" i="1"/>
  <c r="B260" i="1"/>
  <c r="A261" i="1"/>
  <c r="B261" i="1"/>
  <c r="A174" i="1"/>
  <c r="B174" i="1"/>
  <c r="A175" i="1"/>
  <c r="B175" i="1"/>
  <c r="A176" i="1"/>
  <c r="B176" i="1"/>
  <c r="A177" i="1"/>
  <c r="B177" i="1"/>
  <c r="A170" i="1"/>
  <c r="B170" i="1"/>
  <c r="A171" i="1"/>
  <c r="B171" i="1"/>
  <c r="A172" i="1"/>
  <c r="B172" i="1"/>
  <c r="A173" i="1"/>
  <c r="B173" i="1"/>
  <c r="A82" i="1"/>
  <c r="B82" i="1"/>
  <c r="A83" i="1"/>
  <c r="B83" i="1"/>
  <c r="A84" i="1"/>
  <c r="B84" i="1"/>
  <c r="A85" i="1"/>
  <c r="B85" i="1"/>
  <c r="A78" i="1"/>
  <c r="B78" i="1"/>
  <c r="A79" i="1"/>
  <c r="B79" i="1"/>
  <c r="A80" i="1"/>
  <c r="B80" i="1"/>
  <c r="A81" i="1"/>
  <c r="B81" i="1"/>
  <c r="A330" i="1"/>
  <c r="B330" i="1"/>
  <c r="A331" i="1"/>
  <c r="B331" i="1"/>
  <c r="A332" i="1"/>
  <c r="B332" i="1"/>
  <c r="A333" i="1"/>
  <c r="B333" i="1"/>
  <c r="A54" i="1"/>
  <c r="B54" i="1"/>
  <c r="A55" i="1"/>
  <c r="B55" i="1"/>
  <c r="A56" i="1"/>
  <c r="B56" i="1"/>
  <c r="A57" i="1"/>
  <c r="B57" i="1"/>
  <c r="A58" i="1"/>
  <c r="B58" i="1"/>
  <c r="A59" i="1"/>
  <c r="B59" i="1"/>
  <c r="A60" i="1"/>
  <c r="B60" i="1"/>
  <c r="A61" i="1"/>
  <c r="B61" i="1"/>
  <c r="A74" i="1"/>
  <c r="B74" i="1"/>
  <c r="A75" i="1"/>
  <c r="B75" i="1"/>
  <c r="A76" i="1"/>
  <c r="B76" i="1"/>
  <c r="A77" i="1"/>
  <c r="B77" i="1"/>
  <c r="A70" i="1"/>
  <c r="B70" i="1"/>
  <c r="A71" i="1"/>
  <c r="B71" i="1"/>
  <c r="A72" i="1"/>
  <c r="B72" i="1"/>
  <c r="A73" i="1"/>
  <c r="B73" i="1"/>
  <c r="A150" i="1"/>
  <c r="B150" i="1"/>
  <c r="A151" i="1"/>
  <c r="B151" i="1"/>
  <c r="A152" i="1"/>
  <c r="B152" i="1"/>
  <c r="A153" i="1"/>
  <c r="B153" i="1"/>
  <c r="A86" i="1"/>
  <c r="B86" i="1"/>
  <c r="A87" i="1"/>
  <c r="B87" i="1"/>
  <c r="A88" i="1"/>
  <c r="B88" i="1"/>
  <c r="A89" i="1"/>
  <c r="B89" i="1"/>
  <c r="A294" i="1"/>
  <c r="B294" i="1"/>
  <c r="A295" i="1"/>
  <c r="B295" i="1"/>
  <c r="A296" i="1"/>
  <c r="B296" i="1"/>
  <c r="A297" i="1"/>
  <c r="B297" i="1"/>
  <c r="A354" i="1"/>
  <c r="B354" i="1"/>
  <c r="A355" i="1"/>
  <c r="B355" i="1"/>
  <c r="A356" i="1"/>
  <c r="B356" i="1"/>
  <c r="A357" i="1"/>
  <c r="B357" i="1"/>
  <c r="A350" i="1"/>
  <c r="B350" i="1"/>
  <c r="A351" i="1"/>
  <c r="B351" i="1"/>
  <c r="A352" i="1"/>
  <c r="B352" i="1"/>
  <c r="A353" i="1"/>
  <c r="B353" i="1"/>
  <c r="A346" i="1"/>
  <c r="B346" i="1"/>
  <c r="A347" i="1"/>
  <c r="B347" i="1"/>
  <c r="A348" i="1"/>
  <c r="B348" i="1"/>
  <c r="A349" i="1"/>
  <c r="B349" i="1"/>
  <c r="A186" i="1"/>
  <c r="B186" i="1"/>
  <c r="A187" i="1"/>
  <c r="B187" i="1"/>
  <c r="A188" i="1"/>
  <c r="B188" i="1"/>
  <c r="A189" i="1"/>
  <c r="B189" i="1"/>
  <c r="A286" i="1"/>
  <c r="B286" i="1"/>
  <c r="A287" i="1"/>
  <c r="B287" i="1"/>
  <c r="A288" i="1"/>
  <c r="B288" i="1"/>
  <c r="A289" i="1"/>
  <c r="B289" i="1"/>
  <c r="A390" i="1"/>
  <c r="B390" i="1"/>
  <c r="A391" i="1"/>
  <c r="B391" i="1"/>
  <c r="A392" i="1"/>
  <c r="B392" i="1"/>
  <c r="A393" i="1"/>
  <c r="B393" i="1"/>
  <c r="A394" i="1"/>
  <c r="B394" i="1"/>
  <c r="A395" i="1"/>
  <c r="B395" i="1"/>
  <c r="A396" i="1"/>
  <c r="B396" i="1"/>
  <c r="A397" i="1"/>
  <c r="B397" i="1"/>
  <c r="A242" i="1"/>
  <c r="B242" i="1"/>
  <c r="A243" i="1"/>
  <c r="B243" i="1"/>
  <c r="A244" i="1"/>
  <c r="B244" i="1"/>
  <c r="A245" i="1"/>
  <c r="B245" i="1"/>
  <c r="A234" i="1"/>
  <c r="B234" i="1"/>
  <c r="A235" i="1"/>
  <c r="B235" i="1"/>
  <c r="A236" i="1"/>
  <c r="B236" i="1"/>
  <c r="A237" i="1"/>
  <c r="B237" i="1"/>
  <c r="A126" i="1"/>
  <c r="B126" i="1"/>
  <c r="A127" i="1"/>
  <c r="B127" i="1"/>
  <c r="A128" i="1"/>
  <c r="B128" i="1"/>
  <c r="A129" i="1"/>
  <c r="B129" i="1"/>
  <c r="A130" i="1"/>
  <c r="B130" i="1"/>
  <c r="A131" i="1"/>
  <c r="B131" i="1"/>
  <c r="A132" i="1"/>
  <c r="B132" i="1"/>
  <c r="A133" i="1"/>
  <c r="B133" i="1"/>
  <c r="A134" i="1"/>
  <c r="B134" i="1"/>
  <c r="A135" i="1"/>
  <c r="B135" i="1"/>
  <c r="A136" i="1"/>
  <c r="B136" i="1"/>
  <c r="A137" i="1"/>
  <c r="B137" i="1"/>
  <c r="A306" i="1"/>
  <c r="B306" i="1"/>
  <c r="A307" i="1"/>
  <c r="B307" i="1"/>
  <c r="A308" i="1"/>
  <c r="B308" i="1"/>
  <c r="A309" i="1"/>
  <c r="B309" i="1"/>
  <c r="A246" i="1"/>
  <c r="B246" i="1"/>
  <c r="A247" i="1"/>
  <c r="B247" i="1"/>
  <c r="A248" i="1"/>
  <c r="B248" i="1"/>
  <c r="A249" i="1"/>
  <c r="B249" i="1"/>
  <c r="A182" i="1"/>
  <c r="B182" i="1"/>
  <c r="A183" i="1"/>
  <c r="B183" i="1"/>
  <c r="A184" i="1"/>
  <c r="B184" i="1"/>
  <c r="A185" i="1"/>
  <c r="B185" i="1"/>
  <c r="A278" i="1"/>
  <c r="B278" i="1"/>
  <c r="A279" i="1"/>
  <c r="B279" i="1"/>
  <c r="A280" i="1"/>
  <c r="B280" i="1"/>
  <c r="A281" i="1"/>
  <c r="B281" i="1"/>
  <c r="A178" i="1"/>
  <c r="B178" i="1"/>
  <c r="A179" i="1"/>
  <c r="B179" i="1"/>
  <c r="A180" i="1"/>
  <c r="B180" i="1"/>
  <c r="A181" i="1"/>
  <c r="B181" i="1"/>
  <c r="A282" i="1"/>
  <c r="B282" i="1"/>
  <c r="A283" i="1"/>
  <c r="B283" i="1"/>
  <c r="A284" i="1"/>
  <c r="B284" i="1"/>
  <c r="A285" i="1"/>
  <c r="B285" i="1"/>
  <c r="A338" i="1"/>
  <c r="B338" i="1"/>
  <c r="A339" i="1"/>
  <c r="B339" i="1"/>
  <c r="A340" i="1"/>
  <c r="B340" i="1"/>
  <c r="A341" i="1"/>
  <c r="B341" i="1"/>
  <c r="A166" i="1"/>
  <c r="B166" i="1"/>
  <c r="A167" i="1"/>
  <c r="B167" i="1"/>
  <c r="A168" i="1"/>
  <c r="B168" i="1"/>
  <c r="A169" i="1"/>
  <c r="B169" i="1"/>
  <c r="A106" i="1"/>
  <c r="B106" i="1"/>
  <c r="A107" i="1"/>
  <c r="B107" i="1"/>
  <c r="A108" i="1"/>
  <c r="B108" i="1"/>
  <c r="A109" i="1"/>
  <c r="B109" i="1"/>
  <c r="A298" i="1"/>
  <c r="B298" i="1"/>
  <c r="A299" i="1"/>
  <c r="B299" i="1"/>
  <c r="A300" i="1"/>
  <c r="B300" i="1"/>
  <c r="A301" i="1"/>
  <c r="B301" i="1"/>
  <c r="A110" i="1"/>
  <c r="B110" i="1"/>
  <c r="A111" i="1"/>
  <c r="B111" i="1"/>
  <c r="A112" i="1"/>
  <c r="B112" i="1"/>
  <c r="A113" i="1"/>
  <c r="B113" i="1"/>
  <c r="A114" i="1"/>
  <c r="B114" i="1"/>
  <c r="A115" i="1"/>
  <c r="B115" i="1"/>
  <c r="A116" i="1"/>
  <c r="B116" i="1"/>
  <c r="A117" i="1"/>
  <c r="B117" i="1"/>
  <c r="A370" i="1"/>
  <c r="B370" i="1"/>
  <c r="A371" i="1"/>
  <c r="B371" i="1"/>
  <c r="A372" i="1"/>
  <c r="B372" i="1"/>
  <c r="A373" i="1"/>
  <c r="B373" i="1"/>
  <c r="A382" i="1"/>
  <c r="B382" i="1"/>
  <c r="A383" i="1"/>
  <c r="B383" i="1"/>
  <c r="A384" i="1"/>
  <c r="B384" i="1"/>
  <c r="A385" i="1"/>
  <c r="B385" i="1"/>
  <c r="A378" i="1"/>
  <c r="B378" i="1"/>
  <c r="A379" i="1"/>
  <c r="B379" i="1"/>
  <c r="A380" i="1"/>
  <c r="B380" i="1"/>
  <c r="A381" i="1"/>
  <c r="B381" i="1"/>
  <c r="A386" i="1"/>
  <c r="B386" i="1"/>
  <c r="A387" i="1"/>
  <c r="B387" i="1"/>
  <c r="A388" i="1"/>
  <c r="B388" i="1"/>
  <c r="A389" i="1"/>
  <c r="B389" i="1"/>
  <c r="A322" i="1"/>
  <c r="B322" i="1"/>
  <c r="A323" i="1"/>
  <c r="B323" i="1"/>
  <c r="A324" i="1"/>
  <c r="B324" i="1"/>
  <c r="A325" i="1"/>
  <c r="B325" i="1"/>
  <c r="A374" i="1"/>
  <c r="B374" i="1"/>
  <c r="A375" i="1"/>
  <c r="B375" i="1"/>
  <c r="A376" i="1"/>
  <c r="B376" i="1"/>
  <c r="A377" i="1"/>
  <c r="B377" i="1"/>
  <c r="A118" i="1"/>
  <c r="B118" i="1"/>
  <c r="A119" i="1"/>
  <c r="B119" i="1"/>
  <c r="A120" i="1"/>
  <c r="B120" i="1"/>
  <c r="A121" i="1"/>
  <c r="B121" i="1"/>
  <c r="A198" i="1"/>
  <c r="B198" i="1"/>
  <c r="A199" i="1"/>
  <c r="B199" i="1"/>
  <c r="A200" i="1"/>
  <c r="B200" i="1"/>
  <c r="A201" i="1"/>
  <c r="B201" i="1"/>
  <c r="A202" i="1"/>
  <c r="B202" i="1"/>
  <c r="A203" i="1"/>
  <c r="B203" i="1"/>
  <c r="A204" i="1"/>
  <c r="B204" i="1"/>
  <c r="A205" i="1"/>
  <c r="B205" i="1"/>
  <c r="A206" i="1"/>
  <c r="B206" i="1"/>
  <c r="A207" i="1"/>
  <c r="B207" i="1"/>
  <c r="A208" i="1"/>
  <c r="B208" i="1"/>
  <c r="A209" i="1"/>
  <c r="B209" i="1"/>
  <c r="A94" i="1"/>
  <c r="B94" i="1"/>
  <c r="A95" i="1"/>
  <c r="B95" i="1"/>
  <c r="A96" i="1"/>
  <c r="B96" i="1"/>
  <c r="A97" i="1"/>
  <c r="B97" i="1"/>
  <c r="A102" i="1"/>
  <c r="B102" i="1"/>
  <c r="A103" i="1"/>
  <c r="B103" i="1"/>
  <c r="A104" i="1"/>
  <c r="B104" i="1"/>
  <c r="A105" i="1"/>
  <c r="B105" i="1"/>
  <c r="A146" i="1"/>
  <c r="B146" i="1"/>
  <c r="A147" i="1"/>
  <c r="B147" i="1"/>
  <c r="A148" i="1"/>
  <c r="B148" i="1"/>
  <c r="A149" i="1"/>
  <c r="B149" i="1"/>
  <c r="A310" i="1"/>
  <c r="B310" i="1"/>
  <c r="A311" i="1"/>
  <c r="B311" i="1"/>
  <c r="A312" i="1"/>
  <c r="B312" i="1"/>
  <c r="A313" i="1"/>
  <c r="B313" i="1"/>
  <c r="A66" i="1"/>
  <c r="B66" i="1"/>
  <c r="A67" i="1"/>
  <c r="B67" i="1"/>
  <c r="A68" i="1"/>
  <c r="B68" i="1"/>
  <c r="A69" i="1"/>
  <c r="B69" i="1"/>
  <c r="A62" i="1"/>
  <c r="B62" i="1"/>
  <c r="A63" i="1"/>
  <c r="B63" i="1"/>
  <c r="A64" i="1"/>
  <c r="B64" i="1"/>
  <c r="A65" i="1"/>
  <c r="B65" i="1"/>
  <c r="A262" i="1"/>
  <c r="B262" i="1"/>
  <c r="A263" i="1"/>
  <c r="B263" i="1"/>
  <c r="A264" i="1"/>
  <c r="B264" i="1"/>
  <c r="A265" i="1"/>
  <c r="B265" i="1"/>
  <c r="A342" i="1"/>
  <c r="B342" i="1"/>
  <c r="A343" i="1"/>
  <c r="B343" i="1"/>
  <c r="A344" i="1"/>
  <c r="B344" i="1"/>
  <c r="A345" i="1"/>
  <c r="B345" i="1"/>
  <c r="A190" i="1"/>
  <c r="B190" i="1"/>
  <c r="A191" i="1"/>
  <c r="B191" i="1"/>
  <c r="A192" i="1"/>
  <c r="B192" i="1"/>
  <c r="A193" i="1"/>
  <c r="B193" i="1"/>
  <c r="A194" i="1"/>
  <c r="B194" i="1"/>
  <c r="A195" i="1"/>
  <c r="B195" i="1"/>
  <c r="A196" i="1"/>
  <c r="B196" i="1"/>
  <c r="A197" i="1"/>
  <c r="B197" i="1"/>
  <c r="A290" i="1"/>
  <c r="B290" i="1"/>
  <c r="A291" i="1"/>
  <c r="B291" i="1"/>
  <c r="A292" i="1"/>
  <c r="B292" i="1"/>
  <c r="A293" i="1"/>
  <c r="B293" i="1"/>
  <c r="A98" i="1"/>
  <c r="B98" i="1"/>
  <c r="A99" i="1"/>
  <c r="B99" i="1"/>
  <c r="A100" i="1"/>
  <c r="B100" i="1"/>
  <c r="A101" i="1"/>
  <c r="B101" i="1"/>
  <c r="A46" i="1"/>
  <c r="B46" i="1"/>
  <c r="A47" i="1"/>
  <c r="B47" i="1"/>
  <c r="A48" i="1"/>
  <c r="B48" i="1"/>
  <c r="A49" i="1"/>
  <c r="B49" i="1"/>
  <c r="A326" i="1"/>
  <c r="B326" i="1"/>
  <c r="A327" i="1"/>
  <c r="B327" i="1"/>
  <c r="A328" i="1"/>
  <c r="B328" i="1"/>
  <c r="A329" i="1"/>
  <c r="B329" i="1"/>
  <c r="A122" i="1"/>
  <c r="B122" i="1"/>
  <c r="A123" i="1"/>
  <c r="B123" i="1"/>
  <c r="A124" i="1"/>
  <c r="B124" i="1"/>
  <c r="A125" i="1"/>
  <c r="B125" i="1"/>
  <c r="A34" i="1"/>
  <c r="B34" i="1"/>
  <c r="A35" i="1"/>
  <c r="B35" i="1"/>
  <c r="A36" i="1"/>
  <c r="B36" i="1"/>
  <c r="A37" i="1"/>
  <c r="B37" i="1"/>
  <c r="A14" i="1"/>
  <c r="B14" i="1"/>
  <c r="A15" i="1"/>
  <c r="B15" i="1"/>
  <c r="A16" i="1"/>
  <c r="B16" i="1"/>
  <c r="A17" i="1"/>
  <c r="B17" i="1"/>
  <c r="A22" i="1"/>
  <c r="B22" i="1"/>
  <c r="A23" i="1"/>
  <c r="B23" i="1"/>
  <c r="A24" i="1"/>
  <c r="B24" i="1"/>
  <c r="A25" i="1"/>
  <c r="B25" i="1"/>
  <c r="A18" i="1"/>
  <c r="B18" i="1"/>
  <c r="A19" i="1"/>
  <c r="B19" i="1"/>
  <c r="A20" i="1"/>
  <c r="B20" i="1"/>
  <c r="A21" i="1"/>
  <c r="B21" i="1"/>
  <c r="A50" i="1"/>
  <c r="B50" i="1"/>
  <c r="A51" i="1"/>
  <c r="B51" i="1"/>
  <c r="A52" i="1"/>
  <c r="B52" i="1"/>
  <c r="A53" i="1"/>
  <c r="B53" i="1"/>
  <c r="A42" i="1"/>
  <c r="B42" i="1"/>
  <c r="A43" i="1"/>
  <c r="B43" i="1"/>
  <c r="A44" i="1"/>
  <c r="B44" i="1"/>
  <c r="A45" i="1"/>
  <c r="B45" i="1"/>
  <c r="A138" i="1"/>
  <c r="B138" i="1"/>
  <c r="A139" i="1"/>
  <c r="B139" i="1"/>
  <c r="A140" i="1"/>
  <c r="B140" i="1"/>
  <c r="A141" i="1"/>
  <c r="B141" i="1"/>
  <c r="A142" i="1"/>
  <c r="B142" i="1"/>
  <c r="A143" i="1"/>
  <c r="B143" i="1"/>
  <c r="A144" i="1"/>
  <c r="B144" i="1"/>
  <c r="A145" i="1"/>
  <c r="B145" i="1"/>
  <c r="A26" i="1"/>
  <c r="B26" i="1"/>
  <c r="A27" i="1"/>
  <c r="B27" i="1"/>
  <c r="A28" i="1"/>
  <c r="B28" i="1"/>
  <c r="A29" i="1"/>
  <c r="B29" i="1"/>
  <c r="A250" i="1"/>
  <c r="B250" i="1"/>
  <c r="A251" i="1"/>
  <c r="B251" i="1"/>
  <c r="A252" i="1"/>
  <c r="B252" i="1"/>
  <c r="A253" i="1"/>
  <c r="B253" i="1"/>
  <c r="A38" i="1"/>
  <c r="B38" i="1"/>
  <c r="A39" i="1"/>
  <c r="B39" i="1"/>
  <c r="A40" i="1"/>
  <c r="B40" i="1"/>
  <c r="A41" i="1"/>
  <c r="B41" i="1"/>
  <c r="A30" i="1"/>
  <c r="B30" i="1"/>
  <c r="A31" i="1"/>
  <c r="B31" i="1"/>
  <c r="A32" i="1"/>
  <c r="B32" i="1"/>
  <c r="A33" i="1"/>
  <c r="B33" i="1"/>
  <c r="A210" i="1"/>
  <c r="B210" i="1"/>
  <c r="A211" i="1"/>
  <c r="B211" i="1"/>
  <c r="A212" i="1"/>
  <c r="B212" i="1"/>
  <c r="A213" i="1"/>
  <c r="B213" i="1"/>
  <c r="A314" i="1"/>
  <c r="B314" i="1"/>
  <c r="A315" i="1"/>
  <c r="B315" i="1"/>
  <c r="A316" i="1"/>
  <c r="B316" i="1"/>
  <c r="A317" i="1"/>
  <c r="B317" i="1"/>
  <c r="A254" i="1"/>
  <c r="B254" i="1"/>
  <c r="A255" i="1"/>
  <c r="B255" i="1"/>
  <c r="A256" i="1"/>
  <c r="B256" i="1"/>
  <c r="A257" i="1"/>
  <c r="B257" i="1"/>
  <c r="A334" i="1"/>
  <c r="B334" i="1"/>
  <c r="A335" i="1"/>
  <c r="B335" i="1"/>
  <c r="A336" i="1"/>
  <c r="B336" i="1"/>
  <c r="A337" i="1"/>
  <c r="B337" i="1"/>
  <c r="A274" i="1"/>
  <c r="B274" i="1"/>
  <c r="A275" i="1"/>
  <c r="B275" i="1"/>
  <c r="A276" i="1"/>
  <c r="B276" i="1"/>
  <c r="A277" i="1"/>
  <c r="B277" i="1"/>
  <c r="A318" i="1"/>
  <c r="B318" i="1"/>
  <c r="A319" i="1"/>
  <c r="B319" i="1"/>
  <c r="A320" i="1"/>
  <c r="B320" i="1"/>
  <c r="A321" i="1"/>
  <c r="B321" i="1"/>
  <c r="A238" i="1"/>
  <c r="B238" i="1"/>
  <c r="A239" i="1"/>
  <c r="B239" i="1"/>
  <c r="A240" i="1"/>
  <c r="B240" i="1"/>
  <c r="A241" i="1"/>
  <c r="B241" i="1"/>
  <c r="B2" i="1"/>
  <c r="A2" i="1"/>
</calcChain>
</file>

<file path=xl/sharedStrings.xml><?xml version="1.0" encoding="utf-8"?>
<sst xmlns="http://schemas.openxmlformats.org/spreadsheetml/2006/main" count="828" uniqueCount="408">
  <si>
    <t>center_tree_number</t>
  </si>
  <si>
    <t>percent_cover_0_0.5_1_3.5_8_15.5_25.5_etc</t>
  </si>
  <si>
    <t>ash_seedlings_notes</t>
  </si>
  <si>
    <t>In NW - there is an approx. 2m tall ash just outside the microplot.</t>
  </si>
  <si>
    <t>1m north of a fork of fallen elm (2nd fork on left).</t>
  </si>
  <si>
    <t>Just .5m east of autum olive.</t>
  </si>
  <si>
    <t>submergd</t>
  </si>
  <si>
    <t>not counting taller than dbh for % cover</t>
  </si>
  <si>
    <t>We think there is only buckthorn and spicebush seedlings but no ash seedlings because they are alternate-leaved</t>
  </si>
  <si>
    <t>gooseberry-like plant with spiky fruit</t>
  </si>
  <si>
    <t>uprooted basswood</t>
  </si>
  <si>
    <t>wingstem in microplot?</t>
  </si>
  <si>
    <t>lots of prickly ash (Zanthoxylum)</t>
  </si>
  <si>
    <t>ferns - big fern - spicebush</t>
  </si>
  <si>
    <t>lots of spicebush</t>
  </si>
  <si>
    <t>jewelweed</t>
  </si>
  <si>
    <t>black ash</t>
  </si>
  <si>
    <t>black and white or green</t>
  </si>
  <si>
    <t>Lots of grasses - some ferns</t>
  </si>
  <si>
    <t>grasses - Sassafras</t>
  </si>
  <si>
    <t>spicebush</t>
  </si>
  <si>
    <t>pine needles</t>
  </si>
  <si>
    <t>Equisetum?</t>
  </si>
  <si>
    <t>Barberry around SW</t>
  </si>
  <si>
    <t>May apple all around</t>
  </si>
  <si>
    <t>Barberry on SW</t>
  </si>
  <si>
    <t>Big tree down covering NE to SE - Barberry</t>
  </si>
  <si>
    <t>Lots of spicebush</t>
  </si>
  <si>
    <t>not counting ash taller than dbh for % cover - Honeysuckle</t>
  </si>
  <si>
    <t>Big rock - downed branch</t>
  </si>
  <si>
    <t>Basswood and cherry seedlings</t>
  </si>
  <si>
    <t>We found ash seedlings but outside of the microplot</t>
  </si>
  <si>
    <t>Fallen branches and horsetail</t>
  </si>
  <si>
    <t>A lot of fallen branches</t>
  </si>
  <si>
    <t>ferns - galls (see photo)</t>
  </si>
  <si>
    <t>invasive vines - autumn olive above</t>
  </si>
  <si>
    <t>ferns - grass - flooded</t>
  </si>
  <si>
    <t>ferns - grasses - skunk cabbage - flooded</t>
  </si>
  <si>
    <t>skunk cabbage - coarse woody debris</t>
  </si>
  <si>
    <t>ferns - grasses - extreme flooding</t>
  </si>
  <si>
    <t>short and tall grasses - extreme flooding</t>
  </si>
  <si>
    <t>spicebush - musclewood - extreme flooding</t>
  </si>
  <si>
    <t>ferns - extreme flooding</t>
  </si>
  <si>
    <t>tall grasses (see photo) - extreme flooding for entire plot</t>
  </si>
  <si>
    <t>tall grasses - skunk cabbage</t>
  </si>
  <si>
    <t>water too deep to walk over to - no ash seedlings observed</t>
  </si>
  <si>
    <t>fallen leaves</t>
  </si>
  <si>
    <t>75_north</t>
  </si>
  <si>
    <t>75_south</t>
  </si>
  <si>
    <t>prickly ash</t>
  </si>
  <si>
    <t>sugar maple</t>
  </si>
  <si>
    <t>under log - viburnum</t>
  </si>
  <si>
    <t>euonymus (wingstem) - alternate leaved dogwood (see photo)</t>
  </si>
  <si>
    <t>grasses - virginia creeper - hickory seedlings - ash saplings taller than DBH</t>
  </si>
  <si>
    <t>grasses - legume plant (the 3-ranked one with pink flowers)</t>
  </si>
  <si>
    <t>grasses - raspberry</t>
  </si>
  <si>
    <t>bittersweet - gooseberry</t>
  </si>
  <si>
    <t>microplot located on equestrian trail - mowed grass</t>
  </si>
  <si>
    <t>raspberry - rose</t>
  </si>
  <si>
    <t>fallen leaves (likely for all these microplots in 110)</t>
  </si>
  <si>
    <t>prickly ash - multiflora rose</t>
  </si>
  <si>
    <t>high density of ash seedlings in surrounding areas - spiral fern - fallen ash tree with living leaves</t>
  </si>
  <si>
    <t>mud - fallen leaves</t>
  </si>
  <si>
    <t>grasses - fallen leaves</t>
  </si>
  <si>
    <t>grasses - ferns - mosses</t>
  </si>
  <si>
    <t>tall grasses - muddy leaves</t>
  </si>
  <si>
    <t>ferns</t>
  </si>
  <si>
    <t>spicebush - beech leaves - short grasses</t>
  </si>
  <si>
    <t>tall grasses - wet leaves - spicebush</t>
  </si>
  <si>
    <t>spicebush - blackberry</t>
  </si>
  <si>
    <t>lots of ferns - spicebush</t>
  </si>
  <si>
    <t>buckthorn - skunk cabbage - wet leaves</t>
  </si>
  <si>
    <t>wet leaves</t>
  </si>
  <si>
    <t>tall grasses</t>
  </si>
  <si>
    <t>tall grasses - irises (?)</t>
  </si>
  <si>
    <t>spring wildflowers - cherry - maples</t>
  </si>
  <si>
    <t>hepatica</t>
  </si>
  <si>
    <t>lots of rocks</t>
  </si>
  <si>
    <t>fallen leaves - oak - hickory seedlings - dogwood</t>
  </si>
  <si>
    <t>fallen leaves - coarse woody debris</t>
  </si>
  <si>
    <t>potential deer browse</t>
  </si>
  <si>
    <t>coarse woody debris - fallen leaves</t>
  </si>
  <si>
    <t>coarse woody debris - short grasses - fallen leaves - ash seedling leaf damage (see photo)</t>
  </si>
  <si>
    <t>lots of ferns</t>
  </si>
  <si>
    <t>short grasses - spicebush - bittersweet</t>
  </si>
  <si>
    <t>may apple - fallen leaves - spice bush - bittersweet(?)</t>
  </si>
  <si>
    <t>may apple - Desmodium</t>
  </si>
  <si>
    <t>fallen leaves - Desmodium</t>
  </si>
  <si>
    <t>dogwood - short grasses - oak seedlings</t>
  </si>
  <si>
    <t>oak seedlings - short grasses - paw paw (written on datasheet but makes zero sense)</t>
  </si>
  <si>
    <t>dogwood - short grasses</t>
  </si>
  <si>
    <t>dogbane (?) - tall grasses - flooded</t>
  </si>
  <si>
    <t>cattail (?) - flooded</t>
  </si>
  <si>
    <t>ferns - tall grasses - flooded</t>
  </si>
  <si>
    <t>cattail - tall grasses - dogwood (?) - flooded</t>
  </si>
  <si>
    <t>flooded</t>
  </si>
  <si>
    <t>black ash seedling</t>
  </si>
  <si>
    <t>poison sumac - cattail - jewelweed</t>
  </si>
  <si>
    <t>flooded - ferns - tall grasses - jewelweed</t>
  </si>
  <si>
    <t>ferns - tall grasses</t>
  </si>
  <si>
    <t>buckthorn (?) - ferns - grasses</t>
  </si>
  <si>
    <t>cattails - ferns - black ash seedling</t>
  </si>
  <si>
    <t>potentially Sagittaria</t>
  </si>
  <si>
    <t>flooded - cattails</t>
  </si>
  <si>
    <t>cattails - an unknown woody shrub (Ilex I think)</t>
  </si>
  <si>
    <t>buckthorn (?) - autumn olive - tall grasses</t>
  </si>
  <si>
    <t>goldenrod - dead spicebush</t>
  </si>
  <si>
    <t>skunk cabbage - Joe Pye Weed (see photo)</t>
  </si>
  <si>
    <t>ferns (see photo) - cattail</t>
  </si>
  <si>
    <t>poison sumac - ferns</t>
  </si>
  <si>
    <t>short grasses - ferns</t>
  </si>
  <si>
    <t>jewelweed - ferns - cattail</t>
  </si>
  <si>
    <t>fallen leaves - dogwood - beech or hophornbeam</t>
  </si>
  <si>
    <t>short grasses - fallen leaves</t>
  </si>
  <si>
    <t>short grasses - spicebush - hophornbeam (see photo)</t>
  </si>
  <si>
    <t>short grasses - fallen leaves - orchid (see photo)</t>
  </si>
  <si>
    <t>grasses - fallen leaves - spicebush</t>
  </si>
  <si>
    <t>short grasses - coarse woody debris - ghost pipe</t>
  </si>
  <si>
    <t>spicebush - fine woody debris</t>
  </si>
  <si>
    <t>short grasses - fallen leaves - spicebush - snakeroot (?)</t>
  </si>
  <si>
    <t>fallen leaves - short grasses - coarse woody debris</t>
  </si>
  <si>
    <t>tall grasses - fallen leaves - coarse woody debris</t>
  </si>
  <si>
    <t>dead Ostrya</t>
  </si>
  <si>
    <t>viburnum (see photo)</t>
  </si>
  <si>
    <t>wingstem - dogwood - Ostrya (?)</t>
  </si>
  <si>
    <t>sassafrass - hickory</t>
  </si>
  <si>
    <t>short grasses - viburnum</t>
  </si>
  <si>
    <t>ferns (see photo) - spicebush - sandy soil</t>
  </si>
  <si>
    <t>prickly ash - spicbush - ferns (see photo)</t>
  </si>
  <si>
    <t>oak seedlings - ferns - spruce (see photo) - viburnum</t>
  </si>
  <si>
    <t>spicebush - skunk cabbage - grasses - fallen leaves</t>
  </si>
  <si>
    <t>skunk cabbage - flooded - grasses</t>
  </si>
  <si>
    <t>wild geranium - horsetails - skunk cabbage - spicebush</t>
  </si>
  <si>
    <t>ferns - grasses - flooded</t>
  </si>
  <si>
    <t>fallen leaves - galls on seedlings</t>
  </si>
  <si>
    <t>fallen leaves - coarse woody debris - short grasses</t>
  </si>
  <si>
    <t>fallen leaves - Ostrya - tulip poplar - short grasses</t>
  </si>
  <si>
    <t>blue cohosh (see photo)</t>
  </si>
  <si>
    <t>taller grasses - bloodroot - fallen leaves</t>
  </si>
  <si>
    <t>fallen leaves - blue cohosh - dead ash</t>
  </si>
  <si>
    <t>fallen leaves - grasses</t>
  </si>
  <si>
    <t>fallen leaves - ferns</t>
  </si>
  <si>
    <t>Joe Pye Weed - tall grasses - flooded</t>
  </si>
  <si>
    <t>skunk cabbage - grasses - spicebush - flooded - sedges</t>
  </si>
  <si>
    <t>spicebush - flooded - skunk cabbage</t>
  </si>
  <si>
    <t>tall grasses - flooded - spicebush - ferns</t>
  </si>
  <si>
    <t>ferns - may apple - beech</t>
  </si>
  <si>
    <t>ferns - spicebush</t>
  </si>
  <si>
    <t>fallen leaves - CWD</t>
  </si>
  <si>
    <t>muddy - CWD - spicebush</t>
  </si>
  <si>
    <t>sparse grasses - CWD - some of ash seedlings have white freckles</t>
  </si>
  <si>
    <t>grasses (abundant)</t>
  </si>
  <si>
    <t>CWD - muddy - ash seedlings extremely dense</t>
  </si>
  <si>
    <t>muddy - skunk cabbage - grasses</t>
  </si>
  <si>
    <t>short grasses</t>
  </si>
  <si>
    <t>tulip poplar - fallen leaves - CWD</t>
  </si>
  <si>
    <t>fallen leaves - Prunus</t>
  </si>
  <si>
    <t>Witch hazel - fallen leaves - CWD</t>
  </si>
  <si>
    <t>fallen leaves - viburnum</t>
  </si>
  <si>
    <t>American jumpseed - Arabidopsis thing</t>
  </si>
  <si>
    <t>buckthorn - sedges - flooded</t>
  </si>
  <si>
    <t>ferns - skunk cabbage - buckthorn</t>
  </si>
  <si>
    <t>flooded - ferns - skunk cabbage - mosses</t>
  </si>
  <si>
    <t>flooded - grasses</t>
  </si>
  <si>
    <t>fallen leaves - witch hazel</t>
  </si>
  <si>
    <t>viburnum</t>
  </si>
  <si>
    <t>viburnum - hickory - ash leaf galls - dogwood seedlings</t>
  </si>
  <si>
    <t>dogwood - viburnum - Desmodium - Sassafrass</t>
  </si>
  <si>
    <t>may apple</t>
  </si>
  <si>
    <t>Celastrus - Desmodium</t>
  </si>
  <si>
    <t>short grasses - may apple</t>
  </si>
  <si>
    <t>fallen leaves - short grasses</t>
  </si>
  <si>
    <t>fallen leaves- short grasses</t>
  </si>
  <si>
    <t>fallen leaves - herbicides maybe being used on invasives here</t>
  </si>
  <si>
    <t>fallen leaves - short grasses - tall grasses</t>
  </si>
  <si>
    <t>beech seedling - fallen leaves</t>
  </si>
  <si>
    <t>tall grasses - fallen leaves</t>
  </si>
  <si>
    <t>American jumpseed - fallen leaves</t>
  </si>
  <si>
    <t>fallen leaves - galls on ash</t>
  </si>
  <si>
    <t>one ash seedling with dying leaves</t>
  </si>
  <si>
    <t>CWD - FWD - virginia creeper - bitternut hickory - potential deer browse</t>
  </si>
  <si>
    <t>Rubus - short grasses - mud - cherry - American jumpseed</t>
  </si>
  <si>
    <t>fallen leaves - FWD - Rubus</t>
  </si>
  <si>
    <t>virginia creeper - currant or gooseberry</t>
  </si>
  <si>
    <t>Rubus</t>
  </si>
  <si>
    <t>Rubus - virginia creeper</t>
  </si>
  <si>
    <t>Privet or honeysuckle (seed photo)</t>
  </si>
  <si>
    <t>cherry</t>
  </si>
  <si>
    <t>short grasses - virginia creeper - dogwood</t>
  </si>
  <si>
    <t>short grasses - Rubus - may apple</t>
  </si>
  <si>
    <t>poison ivy - Rubus - short grasses - CWD</t>
  </si>
  <si>
    <t>virginia creeper - oak seedling - honeysuckle - American jumpseed</t>
  </si>
  <si>
    <t>fine woody debris - Rubus</t>
  </si>
  <si>
    <t>musclewood</t>
  </si>
  <si>
    <t>CWD</t>
  </si>
  <si>
    <t>bitternut hickory - Rubus - fallen leaves</t>
  </si>
  <si>
    <t>may apple - fallen leaves - Celastrus</t>
  </si>
  <si>
    <t>galls on ash - fallen leaves</t>
  </si>
  <si>
    <t>CWD - fallen leaves - bittersweet</t>
  </si>
  <si>
    <t>may apple - fallen leaves</t>
  </si>
  <si>
    <t>FWD - brambles - bare ground</t>
  </si>
  <si>
    <t>short grasses - bare ground - serviceberry (?)</t>
  </si>
  <si>
    <t>fallen leaves - short grasses - FWD - dogwood</t>
  </si>
  <si>
    <t>fallen leaves - CWD - poison ivy</t>
  </si>
  <si>
    <t>grass hummocks</t>
  </si>
  <si>
    <t>interesting shrubs (possibly Ilex) - flooded</t>
  </si>
  <si>
    <t>flooded - short grasses - swamp white oak seedling</t>
  </si>
  <si>
    <t>spicebush - muddy - skunk cabbage - flooded</t>
  </si>
  <si>
    <t>beech</t>
  </si>
  <si>
    <t>ferns - witchhazel</t>
  </si>
  <si>
    <t>flooded - mud - hummocks</t>
  </si>
  <si>
    <t>grass hummocks - flooded</t>
  </si>
  <si>
    <t>flooded - fallen leaves - spicebush</t>
  </si>
  <si>
    <t>flooded - skunk cabbage</t>
  </si>
  <si>
    <t>flooded - spicebush - musclewood (?)</t>
  </si>
  <si>
    <t>spicebush - fallen leaves</t>
  </si>
  <si>
    <t>flooded - tall grasses</t>
  </si>
  <si>
    <t>flooded - skunk cabbage - mud</t>
  </si>
  <si>
    <t>ferns - short grasses - mud - skunk cabbage</t>
  </si>
  <si>
    <t>mud - flooded - skunk cabbage</t>
  </si>
  <si>
    <t>fallen leaves - dogwood - cherry (?) - viburnum - Celastrus</t>
  </si>
  <si>
    <t>fallen leaves - American Hog Peanut</t>
  </si>
  <si>
    <t>bitternut hickory</t>
  </si>
  <si>
    <t>mstrlvl</t>
  </si>
  <si>
    <t>pltmstr</t>
  </si>
  <si>
    <t>plotmstr</t>
  </si>
  <si>
    <t>xeric</t>
  </si>
  <si>
    <t>mesic</t>
  </si>
  <si>
    <t>hydric</t>
  </si>
  <si>
    <t>Park</t>
  </si>
  <si>
    <t>Pontiac Lake</t>
  </si>
  <si>
    <t>Highland</t>
  </si>
  <si>
    <t>Kensington</t>
  </si>
  <si>
    <t>Hudson Mills</t>
  </si>
  <si>
    <t>Proud Lake</t>
  </si>
  <si>
    <t>Island Lake</t>
  </si>
  <si>
    <t>Indian Springs</t>
  </si>
  <si>
    <t>ash_plot_centers_notes_2024</t>
  </si>
  <si>
    <t>a lot of vine pressure at this site - vines are competing with ash trees</t>
  </si>
  <si>
    <t>White oak - sugar maple - Populus (bigtooth aspen?) - cherry - swamp white oak (?) - red oak - beech - white oak - swampy part has an interesting sedge (see photo)</t>
  </si>
  <si>
    <t>basswoods - big oaks - hickories - beech - elm (slippery??)</t>
  </si>
  <si>
    <t>Serviceberry - hawthorn - hickory - white oak - red oak - elm</t>
  </si>
  <si>
    <t>Red oak - cherry - walnut - hickory - red maple - white oak - beech</t>
  </si>
  <si>
    <t>Possibly serviceberry (see photos). Understory with American jumpseed. Red oaks - bigger Ostrya - cherry - hickory- white oak - some (few) Tilia.</t>
  </si>
  <si>
    <t>very few ash - big red oaks - cherries - white oaks - Ostrya - Crataegus - hickory - some red maples - beech</t>
  </si>
  <si>
    <t>Serviceberry - red oak - white oak - hickory - cherry - red maple</t>
  </si>
  <si>
    <t>Ostrya - red oaks - cherry - 1 bigtooth aspen - dogwood - hickory. Understory sparse - some honeysuckle and Celastrus.</t>
  </si>
  <si>
    <t>Sunnier spots covered with an Arabidopsis-type plant and American jumpseed. Black oak (?)(leaves with wider lobes) - walnut - sassafrass - white oak - cherry - elm - maple spp</t>
  </si>
  <si>
    <t>Cottonwood - walnut - hickory - slippery elm - cherry - oak (post oak??)</t>
  </si>
  <si>
    <t>Lots of red or black oak - cherry - beech - sassafrass. Some red maple - slippery elm - hickory</t>
  </si>
  <si>
    <t>Lots of sugar maple - beech - Ostrya - smooth barked hickory - maybe a tuliptree</t>
  </si>
  <si>
    <t>Tuliptree - hickory (smooth and shaggy barked) - red oak - LOTS of maple (sugar?) - Ostrya</t>
  </si>
  <si>
    <t>dominant species maple beech and some pine</t>
  </si>
  <si>
    <t>dominant species maple and beech</t>
  </si>
  <si>
    <t>Bigger witchhazels in the understory - tulip poplar - Populus - red oak - Tilia - Acer - wingstem in understory</t>
  </si>
  <si>
    <t>Red oak - red maple - hickory (mockernut?, shagbark?) - dogwood (alternate leaved?) - white oak - cherry (choke cherry?) - sassafrass - viburnum in understory</t>
  </si>
  <si>
    <t>A slightly open area in the East is filled with Desmodium (tick-trefoil) and a mystery herbaceous plant (see photo). Dogwoods are doing well in the open areas. Most of the plot has large oaks (likely red oak)(see acorn photo)(leaf litter is dominated by red oak) - some red maple</t>
  </si>
  <si>
    <t>White oaks - hickories - red maple - Sassafras - red or black oak - Ostrya. Wet part to the South has cattail - poison sumac.</t>
  </si>
  <si>
    <t>Black oak - Ostrya - white oak - hickories - beech - cherry</t>
  </si>
  <si>
    <t>Populus - Acer - white oak - hickory - sassafrass - Prunus understory - Tilia</t>
  </si>
  <si>
    <t>North and West microplots are in the equestrian path - those PVCs were not placed</t>
  </si>
  <si>
    <t>Tilia - bitternut hickory - sugar maple - beech - red oak - serviceberry or musclewood (see photo) - Ostrya - cottonwood (? See photo)</t>
  </si>
  <si>
    <t>The site has a wetter (south) side that is covered with interesting sedges and grasses (along with elms - silver maple - swamp white oak - musclewood). The drier side of the site is beech - sugar maple - red oak</t>
  </si>
  <si>
    <t>Bitternut hickory - red oak - sugar maple - cherry - swamp white oak - understory covered in ash seedlings</t>
  </si>
  <si>
    <t>Lots of ash seedlings. A few small ash trees in the 8-18 m. Sugar maples - oaks in the red oak group - maybe Populus spp.</t>
  </si>
  <si>
    <t>Bigtooth aspen - bitternut (and other Carya (?)) - walnut - some smaller Tilia - an elm - Prunus (choke?)</t>
  </si>
  <si>
    <t>Cherry - elm - Tilia (lots) - Ostrya - hickory - white and red oak - Sassafrass - sugar maple. Some ash small trees in the 8-18 m or just outside it.</t>
  </si>
  <si>
    <t>Basswoods - red oaks - hickories - red maple - sugar maple - Ostryia - maybe Carpinus - lots of spring wildflowers and ghost pipe in the understory - ash mostly in the seedling size</t>
  </si>
  <si>
    <t>Site dominated by Acer - Ostrya - Quercus - Prunus - Carya</t>
  </si>
  <si>
    <t>See rows 75_north and 75_south</t>
  </si>
  <si>
    <t>Many maples - Carpinus - Ostrya</t>
  </si>
  <si>
    <t>Red oaks - sugar maple - beech - hickory</t>
  </si>
  <si>
    <t>The south microplot is underneath a log - witchhazel in the understory</t>
  </si>
  <si>
    <t>Acer saccharum - Ostrya - Carya (cordiformis and ovata (?)) - Quercus (red/black) - Tilia - Prunus - Acer rubrum - Cornus - Quercus alba - sassafrass - Populus grandidentata - Viburnum in understory - elm in swampy pond</t>
  </si>
  <si>
    <t>Beech - sugar maple - American hophornbeam - Tilia - Carpinus - Prunus - swamp white oak - silver maple - elm in flooded part - cottonwood. Some ash in the 8-9 cm range (maybe white or green)</t>
  </si>
  <si>
    <t>There are lots of about 5 cm DBH black ash in the 8-18 m. They have some older epicormic sprouts and some bad bark splitting.</t>
  </si>
  <si>
    <t>Tilia - red oak - hickory - musclewood - some unknown (Ostrya or cherry) - the swamp to the West has pricly ash</t>
  </si>
  <si>
    <t>Found bladdernut in the understory. Lots of tree species including white oak - red oak - silver maple - swamp white oak - Tilia - etc.</t>
  </si>
  <si>
    <t>Big basswoods - oak - one ash seedling has all leaves wilted and yellow</t>
  </si>
  <si>
    <t>Maples - hickory - red oak - tuliptree - Tilia - elms in flooded part</t>
  </si>
  <si>
    <t>There are lots of little ash seedlings (below 137 cm). There are also lots of invasive plants like Autumn olive - bittersweet (Celastrus I think) - barberry - multiflora rose - and others. Also two different types of dogwood - maybe a viburnum - lots of bigger oaks - basswood. There were a couple of ash trees (about 7-10 cm DBH) that were entirely dead. Would they be why there are so many ash seedlings?</t>
  </si>
  <si>
    <t>Flooded area in the 8-18 m (North side) has some black ash small trees. Tilia - sugar or red maple - cherry - beech - bitternut hickory (?) - some musclewood (dying)</t>
  </si>
  <si>
    <t>Dominated by maples - oaks (including swamp white oak - silver maple - sugar maple - red oaks)</t>
  </si>
  <si>
    <t>Sugar maple - red oak - bitternut hickory - beech - elm in wet section. There is an approx 4.5 cm black ash at 17 meters. It has lots of bark splits and epicormics.</t>
  </si>
  <si>
    <t>Dominated by swamp white oak (falling over) - hickories - maples. Sparse understory - with some very interesting sedges and grasses</t>
  </si>
  <si>
    <t>Swamp white oak - Tilia - beech - Carpinus - silver maple - hazelnut - cottonwood - Ilex (?) - Carya</t>
  </si>
  <si>
    <t>Mostly green or pumpkin ash - not black ash as much. Water was 2-3 feet deep.</t>
  </si>
  <si>
    <t>Silver maple - elm - swamp white oak - red or pin oak - Carpinus - Ilex - hickory (with a red stem) - spicebush in understory.</t>
  </si>
  <si>
    <t>There is a whole field of spicebush to the North that is dying. Many leaves brown. Also a green ash outside the 18 meters. At this site: lots of Tilia - some prairie plants such as goldenrod.</t>
  </si>
  <si>
    <t>Many silver maple - Ilex (winterberry) - swamp white oak - elms - open area has water plantain - also lots of buckthorn. The approx. 20 meter radius has some black ash in the 8-10 cm range. Also a 9.6 cm green ash.</t>
  </si>
  <si>
    <t>Red oak - swamp white oak - musclewood - Tilia - sugar maple - elm - ash up to 7-8 cm DBH</t>
  </si>
  <si>
    <t>Water 2-3 feet deep.</t>
  </si>
  <si>
    <t>There are many green and black ash trees in the 5-10 cm range in the 8-18 m. The green seem to grow to bigger sizes before being killed - while the black ash die around about 8 cm.</t>
  </si>
  <si>
    <t>Very flooded: about 1.5 ft of standing water</t>
  </si>
  <si>
    <t>Lots of maples - maybe musclewoods (dying) - swamp white oak - ferns - about 1.5 feet of standing water</t>
  </si>
  <si>
    <t>The area is covered in fallen ash trees. Tall grasses have taken over. Mix of black and green ash in the non-flooded area. Flooded = grasses.</t>
  </si>
  <si>
    <t>A 9.5 cm and an 8.5 cm black ash in the outer plot or close outside it. Red oak - red or silver maple - swamp white oak - Tilia - Carpinus - cottonwood</t>
  </si>
  <si>
    <t>The Larix trees are dead or dying</t>
  </si>
  <si>
    <t>A green or white ash outside the 18 meters. Lots of Tamarack - poison sumac - cattails.</t>
  </si>
  <si>
    <t>Elm - basswood - tamarack - poison sumac - some taller grass I don’t know - cattails - musclewood.</t>
  </si>
  <si>
    <t>Hummocks of plants and flooded muddy areas - many ferns - cattail - one birch - tamarack - Ilex (winterberry) - poison sumac</t>
  </si>
  <si>
    <t>Center_tree_updated_2024</t>
  </si>
  <si>
    <t>23.2 cm black cherry</t>
  </si>
  <si>
    <t>11.25 cm choke cherry</t>
  </si>
  <si>
    <t xml:space="preserve">Center tree down - stump remains - PVC placed on S side. </t>
  </si>
  <si>
    <t>44.9 + 45.1 cm 2-stem Quercus rubra</t>
  </si>
  <si>
    <t>18.6 cm Carya</t>
  </si>
  <si>
    <t>36.7 + 12.8 cm Carya spp - tree tag partly swallowed</t>
  </si>
  <si>
    <t>16.1 cm Quercus alba</t>
  </si>
  <si>
    <t>40.6 cm Quercus (red oak group) - tag missing</t>
  </si>
  <si>
    <t>Tree down - missing. Rebar intact.</t>
  </si>
  <si>
    <t>32.8 cm Prunus</t>
  </si>
  <si>
    <t>25.9 cm - 1 trunk</t>
  </si>
  <si>
    <t>10.9 cm Amelanchier</t>
  </si>
  <si>
    <t>9.8 cm Ostrya</t>
  </si>
  <si>
    <t>57.6 cm Acer saccharum - tree tag mostly swallowed</t>
  </si>
  <si>
    <t>34.4 cm Tilia americana</t>
  </si>
  <si>
    <t>29.1 cm Quercus bicolor</t>
  </si>
  <si>
    <t>33.0 cm Acer spp,</t>
  </si>
  <si>
    <t>25.2 cm cherry</t>
  </si>
  <si>
    <t>Center tree down</t>
  </si>
  <si>
    <t>34.1 cm Tilia</t>
  </si>
  <si>
    <t>58.5 cm Acer sacharinum</t>
  </si>
  <si>
    <t>Center tree decomposed. Only small mossy stump remains.</t>
  </si>
  <si>
    <t>Black cherry 24.4 cm DBH</t>
  </si>
  <si>
    <t>13.7 cm Quercus</t>
  </si>
  <si>
    <t>22.8 cm Prunus serotina</t>
  </si>
  <si>
    <t>29.8 cm Acer saccharum</t>
  </si>
  <si>
    <t>48.5 cm Acer saccharum - tree tag missing - only 1 microplot PVC found - no rebar found - map and GARMIN match the tree we found</t>
  </si>
  <si>
    <t>48.1 cm Quercus (red or black oak) - tree tag almost swallowed</t>
  </si>
  <si>
    <t>16.2 cm Acer rubrum - tree tag mostly swallowed</t>
  </si>
  <si>
    <t>43 cm + 19.7 cm Prunus 2-stem - tree tag missing</t>
  </si>
  <si>
    <t>Prunus serotina 19.9 cm - tree tag missing</t>
  </si>
  <si>
    <t>Acer rubrum 2-stem 5.4 + 4.3 cm</t>
  </si>
  <si>
    <t>Acer 25.5 cm + 18.5 cm + 11.5 cm 3-stem</t>
  </si>
  <si>
    <t>23.6 cm black oak</t>
  </si>
  <si>
    <t>Center tree on the laminated map (Acer) is dead - tree tag was found - however did not locate the Carpinus 4.1 cm</t>
  </si>
  <si>
    <t>Acer 6.9 cm DBH</t>
  </si>
  <si>
    <t>Larix 22.9 cm DBH</t>
  </si>
  <si>
    <t>25.8 cm bur oak</t>
  </si>
  <si>
    <t>7.9 cm musclewood 1-stem (the other stem is down)</t>
  </si>
  <si>
    <t>24.1 cm Tamarack (dead - bark is disintegrating)</t>
  </si>
  <si>
    <t>Center tree missing</t>
  </si>
  <si>
    <t>3 stems left - 9.1 + 8.9 + 11.6 cm</t>
  </si>
  <si>
    <t>10.9 dbh Acer spp.</t>
  </si>
  <si>
    <t>Acer rubrum 15.9 cm</t>
  </si>
  <si>
    <t>Acer rubrum 40.0 cm</t>
  </si>
  <si>
    <t>31.8 cm white oak</t>
  </si>
  <si>
    <t>35.0 cm red oak</t>
  </si>
  <si>
    <t>Q. rubra 28.1 cm</t>
  </si>
  <si>
    <t>Bigtooth aspen 34.7 cm</t>
  </si>
  <si>
    <t>Carya spp. 38.1 cm (tree tag mostly swallowed)</t>
  </si>
  <si>
    <t>Sassafras 16.8 cm</t>
  </si>
  <si>
    <t>39.7 cm DBH Quercus rubra - Tree tag swallowed or missing</t>
  </si>
  <si>
    <t>34.5 cm Quercus (red oak group) - tree tag partly swallowed</t>
  </si>
  <si>
    <t>24.7 cm at DBH (2 fused trunks)</t>
  </si>
  <si>
    <t>29.9 cm hickory</t>
  </si>
  <si>
    <t>16.8 + 9.2 cm Acer spp. 2-stem</t>
  </si>
  <si>
    <t>30.2 cm Acer</t>
  </si>
  <si>
    <t>16.8 cm Quercus bicolor</t>
  </si>
  <si>
    <t>34.5 cm Quercus bicolor</t>
  </si>
  <si>
    <t>Tree dead - approx 14 cm DBH - Note: found only 1 PVC and the tree tag. Ran out of time to replace other PVCs.</t>
  </si>
  <si>
    <t>24.7 cm + 23.7 cm 2-stem Acer saccharum - tree tag likely swallowed</t>
  </si>
  <si>
    <t>9.8 cm Acer saccharum</t>
  </si>
  <si>
    <t>10.1 cm + 22.8 cm 2-stem Tilia americana</t>
  </si>
  <si>
    <t>4.7 cm + 3.0 cm + 5.4 cm + 10.8 cm 4-stem (2 of the six stems must have died)</t>
  </si>
  <si>
    <t>18.9 cm Acer saccharinum (tree tag partly swallowed)</t>
  </si>
  <si>
    <t>38.1 cm Tamarack</t>
  </si>
  <si>
    <t>29.8 cm Quercus rubra - tree tag missing</t>
  </si>
  <si>
    <t>55.2 cm Quercus bicolor - tree tag missing</t>
  </si>
  <si>
    <t>See row 75_south</t>
  </si>
  <si>
    <t>17.5 cm + 8.2 cm 2-stem Acer spp.</t>
  </si>
  <si>
    <t>38.2 cm Acer saccharinum</t>
  </si>
  <si>
    <t>24.6 dbh Acer - tree tag engulfed</t>
  </si>
  <si>
    <t>42.8 cm Quercus rubra (on a big mound)</t>
  </si>
  <si>
    <t>17.4 cm Quercus rubra</t>
  </si>
  <si>
    <t>Tree decomposed. I moved the rebar about a foot to get it out from under a log.</t>
  </si>
  <si>
    <t>15.6 cm Acer spp.</t>
  </si>
  <si>
    <t>Tree down. (Ostrya 2-stem)</t>
  </si>
  <si>
    <t>We cannot find the center tree. We found 2 microplots as well as a depression where a tree once was. The North and West microplots were replaced.</t>
  </si>
  <si>
    <t>37.3 cm dbh bigtooth aspen</t>
  </si>
  <si>
    <t>13.6 cm + 33.8 cm Prunus serotina 2-stem</t>
  </si>
  <si>
    <t>21.9 cm Acer spp.</t>
  </si>
  <si>
    <t>54.4 cm Quercus alba</t>
  </si>
  <si>
    <t>25.6 cm beech - tree tag partly swallowed</t>
  </si>
  <si>
    <t>57.2 + 46.8 cm Quercus rubra</t>
  </si>
  <si>
    <t>15 cm dbh Acer</t>
  </si>
  <si>
    <t>15.7 cm + 13.2 cm two trunk Acer</t>
  </si>
  <si>
    <t>14.2 cm Tilia</t>
  </si>
  <si>
    <t>26.2 cm Tilia</t>
  </si>
  <si>
    <t>20.7 cm Tilia 1-stem: 2 of 3 stems are gone - also needs a tree tag</t>
  </si>
  <si>
    <t>28.5 cm dbh oak</t>
  </si>
  <si>
    <t>34.9 cm Quercus alba</t>
  </si>
  <si>
    <t>24.0 cm Acer rubrum</t>
  </si>
  <si>
    <t>40.0 cm Tilia</t>
  </si>
  <si>
    <t>7.5 cm Acer spp.</t>
  </si>
  <si>
    <t>37.7 cm Quercus spp. (likely Q. alba) 1-stem</t>
  </si>
  <si>
    <t>Acer spp. Has fallen and is partly covered by a large fallen hickory. Created a witness tree.</t>
  </si>
  <si>
    <t>Center tree down. Center tree does have PVC and metal stake.</t>
  </si>
  <si>
    <t>57.3 cm DBH Walnut</t>
  </si>
  <si>
    <t>96 cm Walnut</t>
  </si>
  <si>
    <t>plot observations</t>
  </si>
  <si>
    <t>microplot observations</t>
  </si>
  <si>
    <t>Note: all this data was copied from "EAB_Michigan_2024_raw_data_photos_removed.xlsx" and then reorganized for better understanding</t>
  </si>
  <si>
    <t>percent cover in that microplot of ash seedlings (anything below 137 cm tall)</t>
  </si>
  <si>
    <t>notes on the microplot - generally what type of ground cover, and some (not all) of the understory plants found there</t>
  </si>
  <si>
    <t>notes on some (not all) of the tree species found at each plot, along with some other info on ash trees there</t>
  </si>
  <si>
    <t>info on the center tree, collected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</si>
</sst>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3" borderId="0" xfId="0" applyFill="1"/>
    <xf numFmtId="0" fontId="0" fillId="2" borderId="0" xfId="0" applyFill="1"/>
    <xf numFmtId="0" fontId="0" fillId="4" borderId="0" xfId="0" applyFill="1" applyAlignment="1">
      <alignment wrapText="1"/>
    </xf>
    <xf numFmtId="0" fontId="1" fillId="0" borderId="0" xfId="0" applyFont="1"/>
    <xf numFmtId="0" fontId="1" fillId="0" borderId="0" xfId="0" applyFont="1" applyAlignment="1">
      <alignment wrapText="1"/>
    </xf>
  </cellXfs>
  <cellStyles count="1">
    <cellStyle name="Normal" xfId="0" builtinId="0"/>
  </cellStyles>
  <dxfs count="9">
    <dxf>
      <fill>
        <patternFill>
          <bgColor theme="8" tint="0.79998168889431442"/>
        </patternFill>
      </fill>
    </dxf>
    <dxf>
      <fill>
        <patternFill>
          <bgColor theme="0" tint="-4.9989318521683403E-2"/>
        </patternFill>
      </fill>
    </dxf>
    <dxf>
      <fill>
        <patternFill>
          <bgColor theme="7"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86D55-8772-419D-848F-198B2E186341}">
  <dimension ref="A1:B17"/>
  <sheetViews>
    <sheetView workbookViewId="0">
      <selection activeCell="F13" sqref="F13"/>
    </sheetView>
  </sheetViews>
  <sheetFormatPr defaultRowHeight="14.5" x14ac:dyDescent="0.35"/>
  <cols>
    <col min="1" max="1" width="29.1796875" customWidth="1"/>
  </cols>
  <sheetData>
    <row r="1" spans="1:2" x14ac:dyDescent="0.35">
      <c r="A1" t="s">
        <v>403</v>
      </c>
    </row>
    <row r="4" spans="1:2" x14ac:dyDescent="0.35">
      <c r="A4" s="5" t="s">
        <v>402</v>
      </c>
    </row>
    <row r="5" spans="1:2" x14ac:dyDescent="0.35">
      <c r="A5" s="4" t="s">
        <v>223</v>
      </c>
    </row>
    <row r="6" spans="1:2" x14ac:dyDescent="0.35">
      <c r="A6" s="4" t="s">
        <v>224</v>
      </c>
    </row>
    <row r="7" spans="1:2" ht="19.5" customHeight="1" x14ac:dyDescent="0.35">
      <c r="A7" s="1" t="s">
        <v>0</v>
      </c>
    </row>
    <row r="8" spans="1:2" ht="26.5" customHeight="1" x14ac:dyDescent="0.35">
      <c r="A8" s="1" t="s">
        <v>1</v>
      </c>
      <c r="B8" t="s">
        <v>404</v>
      </c>
    </row>
    <row r="9" spans="1:2" ht="24" customHeight="1" x14ac:dyDescent="0.35">
      <c r="A9" s="1" t="s">
        <v>2</v>
      </c>
      <c r="B9" t="s">
        <v>405</v>
      </c>
    </row>
    <row r="11" spans="1:2" x14ac:dyDescent="0.35">
      <c r="A11" s="6" t="s">
        <v>401</v>
      </c>
    </row>
    <row r="12" spans="1:2" x14ac:dyDescent="0.35">
      <c r="A12" t="s">
        <v>0</v>
      </c>
    </row>
    <row r="13" spans="1:2" x14ac:dyDescent="0.35">
      <c r="A13" t="s">
        <v>223</v>
      </c>
    </row>
    <row r="14" spans="1:2" x14ac:dyDescent="0.35">
      <c r="A14" t="s">
        <v>225</v>
      </c>
    </row>
    <row r="15" spans="1:2" x14ac:dyDescent="0.35">
      <c r="A15" t="s">
        <v>229</v>
      </c>
    </row>
    <row r="16" spans="1:2" x14ac:dyDescent="0.35">
      <c r="A16" t="s">
        <v>237</v>
      </c>
      <c r="B16" t="s">
        <v>406</v>
      </c>
    </row>
    <row r="17" spans="1:2" x14ac:dyDescent="0.35">
      <c r="A17" t="s">
        <v>301</v>
      </c>
      <c r="B17" t="s">
        <v>407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1088-7757-4FEF-B18F-EE8BE2308B24}">
  <dimension ref="A1:E397"/>
  <sheetViews>
    <sheetView topLeftCell="A326" workbookViewId="0">
      <selection activeCell="E342" sqref="A342:E342"/>
    </sheetView>
  </sheetViews>
  <sheetFormatPr defaultRowHeight="14.5" x14ac:dyDescent="0.35"/>
  <cols>
    <col min="3" max="3" width="10.08984375" customWidth="1"/>
    <col min="4" max="4" width="17.36328125" customWidth="1"/>
    <col min="5" max="5" width="24.81640625" customWidth="1"/>
  </cols>
  <sheetData>
    <row r="1" spans="1:5" ht="43.5" x14ac:dyDescent="0.35">
      <c r="A1" s="4" t="s">
        <v>223</v>
      </c>
      <c r="B1" s="4" t="s">
        <v>224</v>
      </c>
      <c r="C1" s="1" t="s">
        <v>0</v>
      </c>
      <c r="D1" s="1" t="s">
        <v>1</v>
      </c>
      <c r="E1" s="1" t="s">
        <v>2</v>
      </c>
    </row>
    <row r="2" spans="1:5" x14ac:dyDescent="0.35">
      <c r="A2" t="str">
        <f>VLOOKUP(C2, Sheet2!$A$1:$C$130, 2, TRUE)</f>
        <v>xeric</v>
      </c>
      <c r="B2">
        <f>VLOOKUP(C2, Sheet2!$A$1:$C$130, 3, TRUE)</f>
        <v>1</v>
      </c>
      <c r="C2">
        <v>1</v>
      </c>
      <c r="D2">
        <v>3.5</v>
      </c>
    </row>
    <row r="3" spans="1:5" x14ac:dyDescent="0.35">
      <c r="A3" t="str">
        <f>VLOOKUP(C3, Sheet2!$A$1:$C$130, 2, TRUE)</f>
        <v>xeric</v>
      </c>
      <c r="B3">
        <f>VLOOKUP(C3, Sheet2!$A$1:$C$130, 3, TRUE)</f>
        <v>1</v>
      </c>
      <c r="C3">
        <v>1</v>
      </c>
      <c r="D3">
        <v>3.5</v>
      </c>
    </row>
    <row r="4" spans="1:5" x14ac:dyDescent="0.35">
      <c r="A4" t="str">
        <f>VLOOKUP(C4, Sheet2!$A$1:$C$130, 2, TRUE)</f>
        <v>xeric</v>
      </c>
      <c r="B4">
        <f>VLOOKUP(C4, Sheet2!$A$1:$C$130, 3, TRUE)</f>
        <v>1</v>
      </c>
      <c r="C4">
        <v>1</v>
      </c>
      <c r="D4">
        <v>15.5</v>
      </c>
    </row>
    <row r="5" spans="1:5" x14ac:dyDescent="0.35">
      <c r="A5" t="str">
        <f>VLOOKUP(C5, Sheet2!$A$1:$C$130, 2, TRUE)</f>
        <v>xeric</v>
      </c>
      <c r="B5">
        <f>VLOOKUP(C5, Sheet2!$A$1:$C$130, 3, TRUE)</f>
        <v>1</v>
      </c>
      <c r="C5">
        <v>1</v>
      </c>
      <c r="D5">
        <v>3.5</v>
      </c>
    </row>
    <row r="6" spans="1:5" x14ac:dyDescent="0.35">
      <c r="A6" t="str">
        <f>VLOOKUP(C6, Sheet2!$A$1:$C$130, 2, TRUE)</f>
        <v>xeric</v>
      </c>
      <c r="B6">
        <f>VLOOKUP(C6, Sheet2!$A$1:$C$130, 3, TRUE)</f>
        <v>1</v>
      </c>
      <c r="C6">
        <v>2</v>
      </c>
      <c r="D6">
        <v>3.5</v>
      </c>
    </row>
    <row r="7" spans="1:5" x14ac:dyDescent="0.35">
      <c r="A7" t="str">
        <f>VLOOKUP(C7, Sheet2!$A$1:$C$130, 2, TRUE)</f>
        <v>xeric</v>
      </c>
      <c r="B7">
        <f>VLOOKUP(C7, Sheet2!$A$1:$C$130, 3, TRUE)</f>
        <v>1</v>
      </c>
      <c r="C7">
        <v>2</v>
      </c>
      <c r="D7">
        <v>3.5</v>
      </c>
    </row>
    <row r="8" spans="1:5" x14ac:dyDescent="0.35">
      <c r="A8" t="str">
        <f>VLOOKUP(C8, Sheet2!$A$1:$C$130, 2, TRUE)</f>
        <v>xeric</v>
      </c>
      <c r="B8">
        <f>VLOOKUP(C8, Sheet2!$A$1:$C$130, 3, TRUE)</f>
        <v>1</v>
      </c>
      <c r="C8">
        <v>2</v>
      </c>
      <c r="D8">
        <v>0</v>
      </c>
    </row>
    <row r="9" spans="1:5" x14ac:dyDescent="0.35">
      <c r="A9" t="str">
        <f>VLOOKUP(C9, Sheet2!$A$1:$C$130, 2, TRUE)</f>
        <v>xeric</v>
      </c>
      <c r="B9">
        <f>VLOOKUP(C9, Sheet2!$A$1:$C$130, 3, TRUE)</f>
        <v>1</v>
      </c>
      <c r="C9">
        <v>2</v>
      </c>
      <c r="D9">
        <v>8</v>
      </c>
      <c r="E9" t="s">
        <v>3</v>
      </c>
    </row>
    <row r="10" spans="1:5" x14ac:dyDescent="0.35">
      <c r="A10" t="str">
        <f>VLOOKUP(C10, Sheet2!$A$1:$C$130, 2, TRUE)</f>
        <v>xeric</v>
      </c>
      <c r="B10">
        <f>VLOOKUP(C10, Sheet2!$A$1:$C$130, 3, TRUE)</f>
        <v>1</v>
      </c>
      <c r="C10">
        <v>3</v>
      </c>
      <c r="D10">
        <v>0</v>
      </c>
    </row>
    <row r="11" spans="1:5" x14ac:dyDescent="0.35">
      <c r="A11" t="str">
        <f>VLOOKUP(C11, Sheet2!$A$1:$C$130, 2, TRUE)</f>
        <v>xeric</v>
      </c>
      <c r="B11">
        <f>VLOOKUP(C11, Sheet2!$A$1:$C$130, 3, TRUE)</f>
        <v>1</v>
      </c>
      <c r="C11">
        <v>3</v>
      </c>
      <c r="D11">
        <v>0</v>
      </c>
      <c r="E11" t="s">
        <v>4</v>
      </c>
    </row>
    <row r="12" spans="1:5" x14ac:dyDescent="0.35">
      <c r="A12" t="str">
        <f>VLOOKUP(C12, Sheet2!$A$1:$C$130, 2, TRUE)</f>
        <v>xeric</v>
      </c>
      <c r="B12">
        <f>VLOOKUP(C12, Sheet2!$A$1:$C$130, 3, TRUE)</f>
        <v>1</v>
      </c>
      <c r="C12">
        <v>3</v>
      </c>
      <c r="D12">
        <v>0</v>
      </c>
      <c r="E12" t="s">
        <v>5</v>
      </c>
    </row>
    <row r="13" spans="1:5" x14ac:dyDescent="0.35">
      <c r="A13" t="str">
        <f>VLOOKUP(C13, Sheet2!$A$1:$C$130, 2, TRUE)</f>
        <v>xeric</v>
      </c>
      <c r="B13">
        <f>VLOOKUP(C13, Sheet2!$A$1:$C$130, 3, TRUE)</f>
        <v>1</v>
      </c>
      <c r="C13">
        <v>3</v>
      </c>
      <c r="D13">
        <v>0</v>
      </c>
    </row>
    <row r="14" spans="1:5" x14ac:dyDescent="0.35">
      <c r="A14" t="str">
        <f>VLOOKUP(C14, Sheet2!$A$1:$C$130, 2, TRUE)</f>
        <v>xeric</v>
      </c>
      <c r="B14">
        <f>VLOOKUP(C14, Sheet2!$A$1:$C$130, 3, TRUE)</f>
        <v>1</v>
      </c>
      <c r="C14">
        <v>7</v>
      </c>
      <c r="D14">
        <v>0</v>
      </c>
      <c r="E14" t="s">
        <v>46</v>
      </c>
    </row>
    <row r="15" spans="1:5" x14ac:dyDescent="0.35">
      <c r="A15" t="str">
        <f>VLOOKUP(C15, Sheet2!$A$1:$C$130, 2, TRUE)</f>
        <v>xeric</v>
      </c>
      <c r="B15">
        <f>VLOOKUP(C15, Sheet2!$A$1:$C$130, 3, TRUE)</f>
        <v>1</v>
      </c>
      <c r="C15">
        <v>7</v>
      </c>
      <c r="D15">
        <v>8</v>
      </c>
      <c r="E15" t="s">
        <v>171</v>
      </c>
    </row>
    <row r="16" spans="1:5" x14ac:dyDescent="0.35">
      <c r="A16" t="str">
        <f>VLOOKUP(C16, Sheet2!$A$1:$C$130, 2, TRUE)</f>
        <v>xeric</v>
      </c>
      <c r="B16">
        <f>VLOOKUP(C16, Sheet2!$A$1:$C$130, 3, TRUE)</f>
        <v>1</v>
      </c>
      <c r="C16">
        <v>7</v>
      </c>
      <c r="D16">
        <v>8</v>
      </c>
      <c r="E16" t="s">
        <v>172</v>
      </c>
    </row>
    <row r="17" spans="1:5" x14ac:dyDescent="0.35">
      <c r="A17" t="str">
        <f>VLOOKUP(C17, Sheet2!$A$1:$C$130, 2, TRUE)</f>
        <v>xeric</v>
      </c>
      <c r="B17">
        <f>VLOOKUP(C17, Sheet2!$A$1:$C$130, 3, TRUE)</f>
        <v>1</v>
      </c>
      <c r="C17">
        <v>7</v>
      </c>
      <c r="D17">
        <v>3.5</v>
      </c>
      <c r="E17" t="s">
        <v>171</v>
      </c>
    </row>
    <row r="18" spans="1:5" x14ac:dyDescent="0.35">
      <c r="A18" t="str">
        <f>VLOOKUP(C18, Sheet2!$A$1:$C$130, 2, TRUE)</f>
        <v>xeric</v>
      </c>
      <c r="B18">
        <f>VLOOKUP(C18, Sheet2!$A$1:$C$130, 3, TRUE)</f>
        <v>1</v>
      </c>
      <c r="C18">
        <v>8</v>
      </c>
      <c r="D18">
        <v>3.5</v>
      </c>
      <c r="E18" t="s">
        <v>176</v>
      </c>
    </row>
    <row r="19" spans="1:5" x14ac:dyDescent="0.35">
      <c r="A19" t="str">
        <f>VLOOKUP(C19, Sheet2!$A$1:$C$130, 2, TRUE)</f>
        <v>xeric</v>
      </c>
      <c r="B19">
        <f>VLOOKUP(C19, Sheet2!$A$1:$C$130, 3, TRUE)</f>
        <v>1</v>
      </c>
      <c r="C19">
        <v>8</v>
      </c>
      <c r="D19">
        <v>0</v>
      </c>
      <c r="E19" t="s">
        <v>46</v>
      </c>
    </row>
    <row r="20" spans="1:5" x14ac:dyDescent="0.35">
      <c r="A20" t="str">
        <f>VLOOKUP(C20, Sheet2!$A$1:$C$130, 2, TRUE)</f>
        <v>xeric</v>
      </c>
      <c r="B20">
        <f>VLOOKUP(C20, Sheet2!$A$1:$C$130, 3, TRUE)</f>
        <v>1</v>
      </c>
      <c r="C20">
        <v>8</v>
      </c>
      <c r="D20">
        <v>0</v>
      </c>
      <c r="E20" t="s">
        <v>46</v>
      </c>
    </row>
    <row r="21" spans="1:5" x14ac:dyDescent="0.35">
      <c r="A21" t="str">
        <f>VLOOKUP(C21, Sheet2!$A$1:$C$130, 2, TRUE)</f>
        <v>xeric</v>
      </c>
      <c r="B21">
        <f>VLOOKUP(C21, Sheet2!$A$1:$C$130, 3, TRUE)</f>
        <v>1</v>
      </c>
      <c r="C21">
        <v>8</v>
      </c>
      <c r="D21">
        <v>3.5</v>
      </c>
      <c r="E21" t="s">
        <v>177</v>
      </c>
    </row>
    <row r="22" spans="1:5" x14ac:dyDescent="0.35">
      <c r="A22" t="str">
        <f>VLOOKUP(C22, Sheet2!$A$1:$C$130, 2, TRUE)</f>
        <v>xeric</v>
      </c>
      <c r="B22">
        <f>VLOOKUP(C22, Sheet2!$A$1:$C$130, 3, TRUE)</f>
        <v>1</v>
      </c>
      <c r="C22">
        <v>9</v>
      </c>
      <c r="D22">
        <v>3.5</v>
      </c>
      <c r="E22" t="s">
        <v>173</v>
      </c>
    </row>
    <row r="23" spans="1:5" x14ac:dyDescent="0.35">
      <c r="A23" t="str">
        <f>VLOOKUP(C23, Sheet2!$A$1:$C$130, 2, TRUE)</f>
        <v>xeric</v>
      </c>
      <c r="B23">
        <f>VLOOKUP(C23, Sheet2!$A$1:$C$130, 3, TRUE)</f>
        <v>1</v>
      </c>
      <c r="C23">
        <v>9</v>
      </c>
      <c r="D23">
        <v>0</v>
      </c>
      <c r="E23" t="s">
        <v>46</v>
      </c>
    </row>
    <row r="24" spans="1:5" x14ac:dyDescent="0.35">
      <c r="A24" t="str">
        <f>VLOOKUP(C24, Sheet2!$A$1:$C$130, 2, TRUE)</f>
        <v>xeric</v>
      </c>
      <c r="B24">
        <f>VLOOKUP(C24, Sheet2!$A$1:$C$130, 3, TRUE)</f>
        <v>1</v>
      </c>
      <c r="C24">
        <v>9</v>
      </c>
      <c r="D24">
        <v>1</v>
      </c>
      <c r="E24" t="s">
        <v>174</v>
      </c>
    </row>
    <row r="25" spans="1:5" x14ac:dyDescent="0.35">
      <c r="A25" t="str">
        <f>VLOOKUP(C25, Sheet2!$A$1:$C$130, 2, TRUE)</f>
        <v>xeric</v>
      </c>
      <c r="B25">
        <f>VLOOKUP(C25, Sheet2!$A$1:$C$130, 3, TRUE)</f>
        <v>1</v>
      </c>
      <c r="C25">
        <v>9</v>
      </c>
      <c r="D25">
        <v>3.5</v>
      </c>
      <c r="E25" t="s">
        <v>175</v>
      </c>
    </row>
    <row r="26" spans="1:5" x14ac:dyDescent="0.35">
      <c r="A26" t="str">
        <f>VLOOKUP(C26, Sheet2!$A$1:$C$130, 2, TRUE)</f>
        <v>xeric</v>
      </c>
      <c r="B26">
        <f>VLOOKUP(C26, Sheet2!$A$1:$C$130, 3, TRUE)</f>
        <v>1</v>
      </c>
      <c r="C26">
        <v>12</v>
      </c>
      <c r="D26">
        <v>0</v>
      </c>
      <c r="E26" t="s">
        <v>188</v>
      </c>
    </row>
    <row r="27" spans="1:5" x14ac:dyDescent="0.35">
      <c r="A27" t="str">
        <f>VLOOKUP(C27, Sheet2!$A$1:$C$130, 2, TRUE)</f>
        <v>xeric</v>
      </c>
      <c r="B27">
        <f>VLOOKUP(C27, Sheet2!$A$1:$C$130, 3, TRUE)</f>
        <v>1</v>
      </c>
      <c r="C27">
        <v>12</v>
      </c>
      <c r="D27">
        <v>3.5</v>
      </c>
      <c r="E27" t="s">
        <v>189</v>
      </c>
    </row>
    <row r="28" spans="1:5" x14ac:dyDescent="0.35">
      <c r="A28" t="str">
        <f>VLOOKUP(C28, Sheet2!$A$1:$C$130, 2, TRUE)</f>
        <v>xeric</v>
      </c>
      <c r="B28">
        <f>VLOOKUP(C28, Sheet2!$A$1:$C$130, 3, TRUE)</f>
        <v>1</v>
      </c>
      <c r="C28">
        <v>12</v>
      </c>
      <c r="D28">
        <v>0</v>
      </c>
      <c r="E28" t="s">
        <v>190</v>
      </c>
    </row>
    <row r="29" spans="1:5" x14ac:dyDescent="0.35">
      <c r="A29" t="str">
        <f>VLOOKUP(C29, Sheet2!$A$1:$C$130, 2, TRUE)</f>
        <v>xeric</v>
      </c>
      <c r="B29">
        <f>VLOOKUP(C29, Sheet2!$A$1:$C$130, 3, TRUE)</f>
        <v>1</v>
      </c>
      <c r="C29">
        <v>12</v>
      </c>
      <c r="D29">
        <v>0</v>
      </c>
      <c r="E29" t="s">
        <v>191</v>
      </c>
    </row>
    <row r="30" spans="1:5" x14ac:dyDescent="0.35">
      <c r="A30" t="str">
        <f>VLOOKUP(C30, Sheet2!$A$1:$C$130, 2, TRUE)</f>
        <v>xeric</v>
      </c>
      <c r="B30">
        <f>VLOOKUP(C30, Sheet2!$A$1:$C$130, 3, TRUE)</f>
        <v>1</v>
      </c>
      <c r="C30">
        <v>13</v>
      </c>
      <c r="D30">
        <v>8</v>
      </c>
      <c r="E30" t="s">
        <v>46</v>
      </c>
    </row>
    <row r="31" spans="1:5" x14ac:dyDescent="0.35">
      <c r="A31" t="str">
        <f>VLOOKUP(C31, Sheet2!$A$1:$C$130, 2, TRUE)</f>
        <v>xeric</v>
      </c>
      <c r="B31">
        <f>VLOOKUP(C31, Sheet2!$A$1:$C$130, 3, TRUE)</f>
        <v>1</v>
      </c>
      <c r="C31">
        <v>13</v>
      </c>
      <c r="D31">
        <v>8</v>
      </c>
      <c r="E31" t="s">
        <v>46</v>
      </c>
    </row>
    <row r="32" spans="1:5" x14ac:dyDescent="0.35">
      <c r="A32" t="str">
        <f>VLOOKUP(C32, Sheet2!$A$1:$C$130, 2, TRUE)</f>
        <v>xeric</v>
      </c>
      <c r="B32">
        <f>VLOOKUP(C32, Sheet2!$A$1:$C$130, 3, TRUE)</f>
        <v>1</v>
      </c>
      <c r="C32">
        <v>13</v>
      </c>
      <c r="D32">
        <v>3.5</v>
      </c>
      <c r="E32" t="s">
        <v>198</v>
      </c>
    </row>
    <row r="33" spans="1:5" x14ac:dyDescent="0.35">
      <c r="A33" t="str">
        <f>VLOOKUP(C33, Sheet2!$A$1:$C$130, 2, TRUE)</f>
        <v>xeric</v>
      </c>
      <c r="B33">
        <f>VLOOKUP(C33, Sheet2!$A$1:$C$130, 3, TRUE)</f>
        <v>1</v>
      </c>
      <c r="C33">
        <v>13</v>
      </c>
      <c r="D33">
        <v>3.5</v>
      </c>
      <c r="E33" t="s">
        <v>199</v>
      </c>
    </row>
    <row r="34" spans="1:5" x14ac:dyDescent="0.35">
      <c r="A34" t="str">
        <f>VLOOKUP(C34, Sheet2!$A$1:$C$130, 2, TRUE)</f>
        <v>xeric</v>
      </c>
      <c r="B34">
        <f>VLOOKUP(C34, Sheet2!$A$1:$C$130, 3, TRUE)</f>
        <v>1</v>
      </c>
      <c r="C34" s="2">
        <v>14</v>
      </c>
      <c r="D34" s="2">
        <v>15.5</v>
      </c>
      <c r="E34" s="2" t="s">
        <v>168</v>
      </c>
    </row>
    <row r="35" spans="1:5" x14ac:dyDescent="0.35">
      <c r="A35" t="str">
        <f>VLOOKUP(C35, Sheet2!$A$1:$C$130, 2, TRUE)</f>
        <v>xeric</v>
      </c>
      <c r="B35">
        <f>VLOOKUP(C35, Sheet2!$A$1:$C$130, 3, TRUE)</f>
        <v>1</v>
      </c>
      <c r="C35">
        <v>14</v>
      </c>
      <c r="D35">
        <v>25.5</v>
      </c>
      <c r="E35" t="s">
        <v>169</v>
      </c>
    </row>
    <row r="36" spans="1:5" x14ac:dyDescent="0.35">
      <c r="A36" t="str">
        <f>VLOOKUP(C36, Sheet2!$A$1:$C$130, 2, TRUE)</f>
        <v>xeric</v>
      </c>
      <c r="B36">
        <f>VLOOKUP(C36, Sheet2!$A$1:$C$130, 3, TRUE)</f>
        <v>1</v>
      </c>
      <c r="C36">
        <v>14</v>
      </c>
      <c r="D36">
        <v>8</v>
      </c>
      <c r="E36" t="s">
        <v>170</v>
      </c>
    </row>
    <row r="37" spans="1:5" x14ac:dyDescent="0.35">
      <c r="A37" t="str">
        <f>VLOOKUP(C37, Sheet2!$A$1:$C$130, 2, TRUE)</f>
        <v>xeric</v>
      </c>
      <c r="B37">
        <f>VLOOKUP(C37, Sheet2!$A$1:$C$130, 3, TRUE)</f>
        <v>1</v>
      </c>
      <c r="C37">
        <v>14</v>
      </c>
      <c r="D37">
        <v>35.5</v>
      </c>
    </row>
    <row r="38" spans="1:5" x14ac:dyDescent="0.35">
      <c r="A38" t="str">
        <f>VLOOKUP(C38, Sheet2!$A$1:$C$130, 2, TRUE)</f>
        <v>xeric</v>
      </c>
      <c r="B38">
        <f>VLOOKUP(C38, Sheet2!$A$1:$C$130, 3, TRUE)</f>
        <v>1</v>
      </c>
      <c r="C38">
        <v>15</v>
      </c>
      <c r="D38">
        <v>8</v>
      </c>
      <c r="E38" t="s">
        <v>196</v>
      </c>
    </row>
    <row r="39" spans="1:5" x14ac:dyDescent="0.35">
      <c r="A39" t="str">
        <f>VLOOKUP(C39, Sheet2!$A$1:$C$130, 2, TRUE)</f>
        <v>xeric</v>
      </c>
      <c r="B39">
        <f>VLOOKUP(C39, Sheet2!$A$1:$C$130, 3, TRUE)</f>
        <v>1</v>
      </c>
      <c r="C39">
        <v>15</v>
      </c>
      <c r="D39">
        <v>3.5</v>
      </c>
      <c r="E39" t="s">
        <v>197</v>
      </c>
    </row>
    <row r="40" spans="1:5" x14ac:dyDescent="0.35">
      <c r="A40" t="str">
        <f>VLOOKUP(C40, Sheet2!$A$1:$C$130, 2, TRUE)</f>
        <v>xeric</v>
      </c>
      <c r="B40">
        <f>VLOOKUP(C40, Sheet2!$A$1:$C$130, 3, TRUE)</f>
        <v>1</v>
      </c>
      <c r="C40">
        <v>15</v>
      </c>
      <c r="D40">
        <v>3.5</v>
      </c>
      <c r="E40" t="s">
        <v>46</v>
      </c>
    </row>
    <row r="41" spans="1:5" x14ac:dyDescent="0.35">
      <c r="A41" t="str">
        <f>VLOOKUP(C41, Sheet2!$A$1:$C$130, 2, TRUE)</f>
        <v>xeric</v>
      </c>
      <c r="B41">
        <f>VLOOKUP(C41, Sheet2!$A$1:$C$130, 3, TRUE)</f>
        <v>1</v>
      </c>
      <c r="C41">
        <v>15</v>
      </c>
      <c r="D41">
        <v>0</v>
      </c>
      <c r="E41" t="s">
        <v>46</v>
      </c>
    </row>
    <row r="42" spans="1:5" x14ac:dyDescent="0.35">
      <c r="A42" t="str">
        <f>VLOOKUP(C42, Sheet2!$A$1:$C$130, 2, TRUE)</f>
        <v>xeric</v>
      </c>
      <c r="B42">
        <f>VLOOKUP(C42, Sheet2!$A$1:$C$130, 3, TRUE)</f>
        <v>1</v>
      </c>
      <c r="C42">
        <v>19</v>
      </c>
      <c r="D42">
        <v>1</v>
      </c>
      <c r="E42" t="s">
        <v>46</v>
      </c>
    </row>
    <row r="43" spans="1:5" x14ac:dyDescent="0.35">
      <c r="A43" t="str">
        <f>VLOOKUP(C43, Sheet2!$A$1:$C$130, 2, TRUE)</f>
        <v>xeric</v>
      </c>
      <c r="B43">
        <f>VLOOKUP(C43, Sheet2!$A$1:$C$130, 3, TRUE)</f>
        <v>1</v>
      </c>
      <c r="C43">
        <v>19</v>
      </c>
      <c r="D43">
        <v>1</v>
      </c>
      <c r="E43" t="s">
        <v>178</v>
      </c>
    </row>
    <row r="44" spans="1:5" x14ac:dyDescent="0.35">
      <c r="A44" t="str">
        <f>VLOOKUP(C44, Sheet2!$A$1:$C$130, 2, TRUE)</f>
        <v>xeric</v>
      </c>
      <c r="B44">
        <f>VLOOKUP(C44, Sheet2!$A$1:$C$130, 3, TRUE)</f>
        <v>1</v>
      </c>
      <c r="C44">
        <v>19</v>
      </c>
      <c r="D44">
        <v>0</v>
      </c>
      <c r="E44" t="s">
        <v>46</v>
      </c>
    </row>
    <row r="45" spans="1:5" x14ac:dyDescent="0.35">
      <c r="A45" t="str">
        <f>VLOOKUP(C45, Sheet2!$A$1:$C$130, 2, TRUE)</f>
        <v>xeric</v>
      </c>
      <c r="B45">
        <f>VLOOKUP(C45, Sheet2!$A$1:$C$130, 3, TRUE)</f>
        <v>1</v>
      </c>
      <c r="C45">
        <v>19</v>
      </c>
      <c r="D45">
        <v>8</v>
      </c>
      <c r="E45" t="s">
        <v>179</v>
      </c>
    </row>
    <row r="46" spans="1:5" x14ac:dyDescent="0.35">
      <c r="A46" t="str">
        <f>VLOOKUP(C46, Sheet2!$A$1:$C$130, 2, TRUE)</f>
        <v>xeric</v>
      </c>
      <c r="B46">
        <f>VLOOKUP(C46, Sheet2!$A$1:$C$130, 3, TRUE)</f>
        <v>1</v>
      </c>
      <c r="C46" s="2">
        <v>20</v>
      </c>
      <c r="D46" s="2">
        <v>0.5</v>
      </c>
      <c r="E46" s="2" t="s">
        <v>159</v>
      </c>
    </row>
    <row r="47" spans="1:5" x14ac:dyDescent="0.35">
      <c r="A47" t="str">
        <f>VLOOKUP(C47, Sheet2!$A$1:$C$130, 2, TRUE)</f>
        <v>xeric</v>
      </c>
      <c r="B47">
        <f>VLOOKUP(C47, Sheet2!$A$1:$C$130, 3, TRUE)</f>
        <v>1</v>
      </c>
      <c r="C47">
        <v>20</v>
      </c>
      <c r="D47">
        <v>1</v>
      </c>
      <c r="E47" t="s">
        <v>159</v>
      </c>
    </row>
    <row r="48" spans="1:5" x14ac:dyDescent="0.35">
      <c r="A48" t="str">
        <f>VLOOKUP(C48, Sheet2!$A$1:$C$130, 2, TRUE)</f>
        <v>xeric</v>
      </c>
      <c r="B48">
        <f>VLOOKUP(C48, Sheet2!$A$1:$C$130, 3, TRUE)</f>
        <v>1</v>
      </c>
      <c r="C48">
        <v>20</v>
      </c>
      <c r="D48">
        <v>1</v>
      </c>
      <c r="E48" t="s">
        <v>46</v>
      </c>
    </row>
    <row r="49" spans="1:5" x14ac:dyDescent="0.35">
      <c r="A49" t="str">
        <f>VLOOKUP(C49, Sheet2!$A$1:$C$130, 2, TRUE)</f>
        <v>xeric</v>
      </c>
      <c r="B49">
        <f>VLOOKUP(C49, Sheet2!$A$1:$C$130, 3, TRUE)</f>
        <v>1</v>
      </c>
      <c r="C49">
        <v>20</v>
      </c>
      <c r="D49">
        <v>0</v>
      </c>
      <c r="E49" t="s">
        <v>46</v>
      </c>
    </row>
    <row r="50" spans="1:5" x14ac:dyDescent="0.35">
      <c r="A50" t="str">
        <f>VLOOKUP(C50, Sheet2!$A$1:$C$130, 2, TRUE)</f>
        <v>xeric</v>
      </c>
      <c r="B50">
        <f>VLOOKUP(C50, Sheet2!$A$1:$C$130, 3, TRUE)</f>
        <v>1</v>
      </c>
      <c r="C50">
        <v>21</v>
      </c>
      <c r="D50">
        <v>0</v>
      </c>
      <c r="E50" t="s">
        <v>171</v>
      </c>
    </row>
    <row r="51" spans="1:5" x14ac:dyDescent="0.35">
      <c r="A51" t="str">
        <f>VLOOKUP(C51, Sheet2!$A$1:$C$130, 2, TRUE)</f>
        <v>xeric</v>
      </c>
      <c r="B51">
        <f>VLOOKUP(C51, Sheet2!$A$1:$C$130, 3, TRUE)</f>
        <v>1</v>
      </c>
      <c r="C51">
        <v>21</v>
      </c>
      <c r="D51">
        <v>0</v>
      </c>
      <c r="E51" t="s">
        <v>46</v>
      </c>
    </row>
    <row r="52" spans="1:5" x14ac:dyDescent="0.35">
      <c r="A52" t="str">
        <f>VLOOKUP(C52, Sheet2!$A$1:$C$130, 2, TRUE)</f>
        <v>xeric</v>
      </c>
      <c r="B52">
        <f>VLOOKUP(C52, Sheet2!$A$1:$C$130, 3, TRUE)</f>
        <v>1</v>
      </c>
      <c r="C52">
        <v>21</v>
      </c>
      <c r="D52">
        <v>0</v>
      </c>
      <c r="E52" t="s">
        <v>177</v>
      </c>
    </row>
    <row r="53" spans="1:5" x14ac:dyDescent="0.35">
      <c r="A53" t="str">
        <f>VLOOKUP(C53, Sheet2!$A$1:$C$130, 2, TRUE)</f>
        <v>xeric</v>
      </c>
      <c r="B53">
        <f>VLOOKUP(C53, Sheet2!$A$1:$C$130, 3, TRUE)</f>
        <v>1</v>
      </c>
      <c r="C53">
        <v>21</v>
      </c>
      <c r="D53">
        <v>0</v>
      </c>
      <c r="E53" t="s">
        <v>46</v>
      </c>
    </row>
    <row r="54" spans="1:5" x14ac:dyDescent="0.35">
      <c r="A54" t="str">
        <f>VLOOKUP(C54, Sheet2!$A$1:$C$130, 2, TRUE)</f>
        <v>xeric</v>
      </c>
      <c r="B54">
        <f>VLOOKUP(C54, Sheet2!$A$1:$C$130, 3, TRUE)</f>
        <v>1</v>
      </c>
      <c r="C54">
        <v>26</v>
      </c>
    </row>
    <row r="55" spans="1:5" x14ac:dyDescent="0.35">
      <c r="A55" t="str">
        <f>VLOOKUP(C55, Sheet2!$A$1:$C$130, 2, TRUE)</f>
        <v>xeric</v>
      </c>
      <c r="B55">
        <f>VLOOKUP(C55, Sheet2!$A$1:$C$130, 3, TRUE)</f>
        <v>1</v>
      </c>
      <c r="C55">
        <v>26</v>
      </c>
      <c r="D55">
        <v>25.5</v>
      </c>
    </row>
    <row r="56" spans="1:5" x14ac:dyDescent="0.35">
      <c r="A56" t="str">
        <f>VLOOKUP(C56, Sheet2!$A$1:$C$130, 2, TRUE)</f>
        <v>xeric</v>
      </c>
      <c r="B56">
        <f>VLOOKUP(C56, Sheet2!$A$1:$C$130, 3, TRUE)</f>
        <v>1</v>
      </c>
      <c r="C56">
        <v>26</v>
      </c>
      <c r="D56">
        <v>25.5</v>
      </c>
    </row>
    <row r="57" spans="1:5" x14ac:dyDescent="0.35">
      <c r="A57" t="str">
        <f>VLOOKUP(C57, Sheet2!$A$1:$C$130, 2, TRUE)</f>
        <v>xeric</v>
      </c>
      <c r="B57">
        <f>VLOOKUP(C57, Sheet2!$A$1:$C$130, 3, TRUE)</f>
        <v>1</v>
      </c>
      <c r="C57">
        <v>26</v>
      </c>
      <c r="D57">
        <v>8</v>
      </c>
      <c r="E57" t="s">
        <v>23</v>
      </c>
    </row>
    <row r="58" spans="1:5" x14ac:dyDescent="0.35">
      <c r="A58" t="str">
        <f>VLOOKUP(C58, Sheet2!$A$1:$C$130, 2, TRUE)</f>
        <v>xeric</v>
      </c>
      <c r="B58">
        <f>VLOOKUP(C58, Sheet2!$A$1:$C$130, 3, TRUE)</f>
        <v>1</v>
      </c>
      <c r="C58">
        <v>27</v>
      </c>
      <c r="D58">
        <v>3.5</v>
      </c>
    </row>
    <row r="59" spans="1:5" x14ac:dyDescent="0.35">
      <c r="A59" t="str">
        <f>VLOOKUP(C59, Sheet2!$A$1:$C$130, 2, TRUE)</f>
        <v>xeric</v>
      </c>
      <c r="B59">
        <f>VLOOKUP(C59, Sheet2!$A$1:$C$130, 3, TRUE)</f>
        <v>1</v>
      </c>
      <c r="C59">
        <v>27</v>
      </c>
      <c r="D59">
        <v>1</v>
      </c>
      <c r="E59" t="s">
        <v>24</v>
      </c>
    </row>
    <row r="60" spans="1:5" x14ac:dyDescent="0.35">
      <c r="A60" t="str">
        <f>VLOOKUP(C60, Sheet2!$A$1:$C$130, 2, TRUE)</f>
        <v>xeric</v>
      </c>
      <c r="B60">
        <f>VLOOKUP(C60, Sheet2!$A$1:$C$130, 3, TRUE)</f>
        <v>1</v>
      </c>
      <c r="C60">
        <v>27</v>
      </c>
      <c r="D60">
        <v>55.5</v>
      </c>
      <c r="E60" t="s">
        <v>25</v>
      </c>
    </row>
    <row r="61" spans="1:5" x14ac:dyDescent="0.35">
      <c r="A61" t="str">
        <f>VLOOKUP(C61, Sheet2!$A$1:$C$130, 2, TRUE)</f>
        <v>xeric</v>
      </c>
      <c r="B61">
        <f>VLOOKUP(C61, Sheet2!$A$1:$C$130, 3, TRUE)</f>
        <v>1</v>
      </c>
      <c r="C61">
        <v>27</v>
      </c>
      <c r="D61">
        <v>8</v>
      </c>
    </row>
    <row r="62" spans="1:5" x14ac:dyDescent="0.35">
      <c r="A62" t="str">
        <f>VLOOKUP(C62, Sheet2!$A$1:$C$130, 2, TRUE)</f>
        <v>xeric</v>
      </c>
      <c r="B62">
        <f>VLOOKUP(C62, Sheet2!$A$1:$C$130, 3, TRUE)</f>
        <v>1</v>
      </c>
      <c r="C62">
        <v>29</v>
      </c>
      <c r="D62">
        <v>8</v>
      </c>
      <c r="E62" t="s">
        <v>137</v>
      </c>
    </row>
    <row r="63" spans="1:5" x14ac:dyDescent="0.35">
      <c r="A63" t="str">
        <f>VLOOKUP(C63, Sheet2!$A$1:$C$130, 2, TRUE)</f>
        <v>xeric</v>
      </c>
      <c r="B63">
        <f>VLOOKUP(C63, Sheet2!$A$1:$C$130, 3, TRUE)</f>
        <v>1</v>
      </c>
      <c r="C63">
        <v>29</v>
      </c>
      <c r="D63">
        <v>8</v>
      </c>
      <c r="E63" t="s">
        <v>138</v>
      </c>
    </row>
    <row r="64" spans="1:5" x14ac:dyDescent="0.35">
      <c r="A64" t="str">
        <f>VLOOKUP(C64, Sheet2!$A$1:$C$130, 2, TRUE)</f>
        <v>xeric</v>
      </c>
      <c r="B64">
        <f>VLOOKUP(C64, Sheet2!$A$1:$C$130, 3, TRUE)</f>
        <v>1</v>
      </c>
      <c r="C64">
        <v>29</v>
      </c>
      <c r="D64">
        <v>0</v>
      </c>
      <c r="E64" t="s">
        <v>139</v>
      </c>
    </row>
    <row r="65" spans="1:5" x14ac:dyDescent="0.35">
      <c r="A65" t="str">
        <f>VLOOKUP(C65, Sheet2!$A$1:$C$130, 2, TRUE)</f>
        <v>xeric</v>
      </c>
      <c r="B65">
        <f>VLOOKUP(C65, Sheet2!$A$1:$C$130, 3, TRUE)</f>
        <v>1</v>
      </c>
      <c r="C65">
        <v>29</v>
      </c>
      <c r="D65">
        <v>1</v>
      </c>
      <c r="E65" t="s">
        <v>140</v>
      </c>
    </row>
    <row r="66" spans="1:5" x14ac:dyDescent="0.35">
      <c r="A66" t="str">
        <f>VLOOKUP(C66, Sheet2!$A$1:$C$130, 2, TRUE)</f>
        <v>xeric</v>
      </c>
      <c r="B66">
        <f>VLOOKUP(C66, Sheet2!$A$1:$C$130, 3, TRUE)</f>
        <v>1</v>
      </c>
      <c r="C66">
        <v>30</v>
      </c>
      <c r="D66">
        <v>8</v>
      </c>
      <c r="E66" t="s">
        <v>46</v>
      </c>
    </row>
    <row r="67" spans="1:5" x14ac:dyDescent="0.35">
      <c r="A67" t="str">
        <f>VLOOKUP(C67, Sheet2!$A$1:$C$130, 2, TRUE)</f>
        <v>xeric</v>
      </c>
      <c r="B67">
        <f>VLOOKUP(C67, Sheet2!$A$1:$C$130, 3, TRUE)</f>
        <v>1</v>
      </c>
      <c r="C67">
        <v>30</v>
      </c>
      <c r="D67">
        <v>15.5</v>
      </c>
      <c r="E67" t="s">
        <v>134</v>
      </c>
    </row>
    <row r="68" spans="1:5" x14ac:dyDescent="0.35">
      <c r="A68" t="str">
        <f>VLOOKUP(C68, Sheet2!$A$1:$C$130, 2, TRUE)</f>
        <v>xeric</v>
      </c>
      <c r="B68">
        <f>VLOOKUP(C68, Sheet2!$A$1:$C$130, 3, TRUE)</f>
        <v>1</v>
      </c>
      <c r="C68">
        <v>30</v>
      </c>
      <c r="D68">
        <v>8</v>
      </c>
      <c r="E68" t="s">
        <v>135</v>
      </c>
    </row>
    <row r="69" spans="1:5" x14ac:dyDescent="0.35">
      <c r="A69" t="str">
        <f>VLOOKUP(C69, Sheet2!$A$1:$C$130, 2, TRUE)</f>
        <v>xeric</v>
      </c>
      <c r="B69">
        <f>VLOOKUP(C69, Sheet2!$A$1:$C$130, 3, TRUE)</f>
        <v>1</v>
      </c>
      <c r="C69">
        <v>30</v>
      </c>
      <c r="D69">
        <v>25.5</v>
      </c>
      <c r="E69" t="s">
        <v>136</v>
      </c>
    </row>
    <row r="70" spans="1:5" x14ac:dyDescent="0.35">
      <c r="A70" t="str">
        <f>VLOOKUP(C70, Sheet2!$A$1:$C$130, 2, TRUE)</f>
        <v>xeric</v>
      </c>
      <c r="B70">
        <f>VLOOKUP(C70, Sheet2!$A$1:$C$130, 3, TRUE)</f>
        <v>1</v>
      </c>
      <c r="C70">
        <v>31</v>
      </c>
      <c r="D70">
        <v>1</v>
      </c>
    </row>
    <row r="71" spans="1:5" x14ac:dyDescent="0.35">
      <c r="A71" t="str">
        <f>VLOOKUP(C71, Sheet2!$A$1:$C$130, 2, TRUE)</f>
        <v>xeric</v>
      </c>
      <c r="B71">
        <f>VLOOKUP(C71, Sheet2!$A$1:$C$130, 3, TRUE)</f>
        <v>1</v>
      </c>
      <c r="C71">
        <v>31</v>
      </c>
      <c r="D71">
        <v>0.5</v>
      </c>
      <c r="E71" t="s">
        <v>29</v>
      </c>
    </row>
    <row r="72" spans="1:5" x14ac:dyDescent="0.35">
      <c r="A72" t="str">
        <f>VLOOKUP(C72, Sheet2!$A$1:$C$130, 2, TRUE)</f>
        <v>xeric</v>
      </c>
      <c r="B72">
        <f>VLOOKUP(C72, Sheet2!$A$1:$C$130, 3, TRUE)</f>
        <v>1</v>
      </c>
      <c r="C72">
        <v>31</v>
      </c>
      <c r="D72">
        <v>8</v>
      </c>
    </row>
    <row r="73" spans="1:5" x14ac:dyDescent="0.35">
      <c r="A73" t="str">
        <f>VLOOKUP(C73, Sheet2!$A$1:$C$130, 2, TRUE)</f>
        <v>xeric</v>
      </c>
      <c r="B73">
        <f>VLOOKUP(C73, Sheet2!$A$1:$C$130, 3, TRUE)</f>
        <v>1</v>
      </c>
      <c r="C73">
        <v>31</v>
      </c>
      <c r="D73">
        <v>15.5</v>
      </c>
    </row>
    <row r="74" spans="1:5" x14ac:dyDescent="0.35">
      <c r="A74" t="str">
        <f>VLOOKUP(C74, Sheet2!$A$1:$C$130, 2, TRUE)</f>
        <v>xeric</v>
      </c>
      <c r="B74">
        <f>VLOOKUP(C74, Sheet2!$A$1:$C$130, 3, TRUE)</f>
        <v>1</v>
      </c>
      <c r="C74">
        <v>33</v>
      </c>
      <c r="D74">
        <v>15.5</v>
      </c>
      <c r="E74" t="s">
        <v>26</v>
      </c>
    </row>
    <row r="75" spans="1:5" x14ac:dyDescent="0.35">
      <c r="A75" t="str">
        <f>VLOOKUP(C75, Sheet2!$A$1:$C$130, 2, TRUE)</f>
        <v>xeric</v>
      </c>
      <c r="B75">
        <f>VLOOKUP(C75, Sheet2!$A$1:$C$130, 3, TRUE)</f>
        <v>1</v>
      </c>
      <c r="C75">
        <v>33</v>
      </c>
      <c r="D75">
        <v>3.5</v>
      </c>
    </row>
    <row r="76" spans="1:5" x14ac:dyDescent="0.35">
      <c r="A76" t="str">
        <f>VLOOKUP(C76, Sheet2!$A$1:$C$130, 2, TRUE)</f>
        <v>xeric</v>
      </c>
      <c r="B76">
        <f>VLOOKUP(C76, Sheet2!$A$1:$C$130, 3, TRUE)</f>
        <v>1</v>
      </c>
      <c r="C76">
        <v>33</v>
      </c>
      <c r="D76">
        <v>0.5</v>
      </c>
      <c r="E76" t="s">
        <v>27</v>
      </c>
    </row>
    <row r="77" spans="1:5" x14ac:dyDescent="0.35">
      <c r="A77" t="str">
        <f>VLOOKUP(C77, Sheet2!$A$1:$C$130, 2, TRUE)</f>
        <v>xeric</v>
      </c>
      <c r="B77">
        <f>VLOOKUP(C77, Sheet2!$A$1:$C$130, 3, TRUE)</f>
        <v>1</v>
      </c>
      <c r="C77">
        <v>33</v>
      </c>
      <c r="D77">
        <v>1</v>
      </c>
      <c r="E77" t="s">
        <v>28</v>
      </c>
    </row>
    <row r="78" spans="1:5" x14ac:dyDescent="0.35">
      <c r="A78" t="str">
        <f>VLOOKUP(C78, Sheet2!$A$1:$C$130, 2, TRUE)</f>
        <v>xeric</v>
      </c>
      <c r="B78">
        <f>VLOOKUP(C78, Sheet2!$A$1:$C$130, 3, TRUE)</f>
        <v>1</v>
      </c>
      <c r="C78">
        <v>34</v>
      </c>
      <c r="D78">
        <v>25.5</v>
      </c>
      <c r="E78" t="s">
        <v>21</v>
      </c>
    </row>
    <row r="79" spans="1:5" x14ac:dyDescent="0.35">
      <c r="A79" t="str">
        <f>VLOOKUP(C79, Sheet2!$A$1:$C$130, 2, TRUE)</f>
        <v>xeric</v>
      </c>
      <c r="B79">
        <f>VLOOKUP(C79, Sheet2!$A$1:$C$130, 3, TRUE)</f>
        <v>1</v>
      </c>
      <c r="C79">
        <v>34</v>
      </c>
      <c r="D79">
        <v>0</v>
      </c>
      <c r="E79" t="s">
        <v>22</v>
      </c>
    </row>
    <row r="80" spans="1:5" x14ac:dyDescent="0.35">
      <c r="A80" t="str">
        <f>VLOOKUP(C80, Sheet2!$A$1:$C$130, 2, TRUE)</f>
        <v>xeric</v>
      </c>
      <c r="B80">
        <f>VLOOKUP(C80, Sheet2!$A$1:$C$130, 3, TRUE)</f>
        <v>1</v>
      </c>
      <c r="C80">
        <v>34</v>
      </c>
      <c r="D80">
        <v>15.5</v>
      </c>
    </row>
    <row r="81" spans="1:5" x14ac:dyDescent="0.35">
      <c r="A81" t="str">
        <f>VLOOKUP(C81, Sheet2!$A$1:$C$130, 2, TRUE)</f>
        <v>xeric</v>
      </c>
      <c r="B81">
        <f>VLOOKUP(C81, Sheet2!$A$1:$C$130, 3, TRUE)</f>
        <v>1</v>
      </c>
      <c r="C81">
        <v>34</v>
      </c>
      <c r="D81">
        <v>1</v>
      </c>
    </row>
    <row r="82" spans="1:5" x14ac:dyDescent="0.35">
      <c r="A82" t="str">
        <f>VLOOKUP(C82, Sheet2!$A$1:$C$130, 2, TRUE)</f>
        <v>xeric</v>
      </c>
      <c r="B82">
        <f>VLOOKUP(C82, Sheet2!$A$1:$C$130, 3, TRUE)</f>
        <v>1</v>
      </c>
      <c r="C82">
        <v>35</v>
      </c>
      <c r="D82">
        <v>0.5</v>
      </c>
      <c r="E82" t="s">
        <v>18</v>
      </c>
    </row>
    <row r="83" spans="1:5" x14ac:dyDescent="0.35">
      <c r="A83" t="str">
        <f>VLOOKUP(C83, Sheet2!$A$1:$C$130, 2, TRUE)</f>
        <v>xeric</v>
      </c>
      <c r="B83">
        <f>VLOOKUP(C83, Sheet2!$A$1:$C$130, 3, TRUE)</f>
        <v>1</v>
      </c>
      <c r="C83">
        <v>35</v>
      </c>
      <c r="D83">
        <v>0.5</v>
      </c>
      <c r="E83" t="s">
        <v>19</v>
      </c>
    </row>
    <row r="84" spans="1:5" x14ac:dyDescent="0.35">
      <c r="A84" t="str">
        <f>VLOOKUP(C84, Sheet2!$A$1:$C$130, 2, TRUE)</f>
        <v>xeric</v>
      </c>
      <c r="B84">
        <f>VLOOKUP(C84, Sheet2!$A$1:$C$130, 3, TRUE)</f>
        <v>1</v>
      </c>
      <c r="C84">
        <v>35</v>
      </c>
      <c r="D84">
        <v>0.5</v>
      </c>
      <c r="E84" t="s">
        <v>20</v>
      </c>
    </row>
    <row r="85" spans="1:5" x14ac:dyDescent="0.35">
      <c r="A85" t="str">
        <f>VLOOKUP(C85, Sheet2!$A$1:$C$130, 2, TRUE)</f>
        <v>xeric</v>
      </c>
      <c r="B85">
        <f>VLOOKUP(C85, Sheet2!$A$1:$C$130, 3, TRUE)</f>
        <v>1</v>
      </c>
      <c r="C85">
        <v>35</v>
      </c>
      <c r="D85">
        <v>0</v>
      </c>
      <c r="E85" t="s">
        <v>20</v>
      </c>
    </row>
    <row r="86" spans="1:5" x14ac:dyDescent="0.35">
      <c r="A86" t="str">
        <f>VLOOKUP(C86, Sheet2!$A$1:$C$130, 2, TRUE)</f>
        <v>xeric</v>
      </c>
      <c r="B86">
        <f>VLOOKUP(C86, Sheet2!$A$1:$C$130, 3, TRUE)</f>
        <v>1</v>
      </c>
      <c r="C86">
        <v>36</v>
      </c>
      <c r="D86">
        <v>0</v>
      </c>
      <c r="E86" t="s">
        <v>32</v>
      </c>
    </row>
    <row r="87" spans="1:5" x14ac:dyDescent="0.35">
      <c r="A87" t="str">
        <f>VLOOKUP(C87, Sheet2!$A$1:$C$130, 2, TRUE)</f>
        <v>xeric</v>
      </c>
      <c r="B87">
        <f>VLOOKUP(C87, Sheet2!$A$1:$C$130, 3, TRUE)</f>
        <v>1</v>
      </c>
      <c r="C87">
        <v>36</v>
      </c>
      <c r="D87">
        <v>1</v>
      </c>
    </row>
    <row r="88" spans="1:5" x14ac:dyDescent="0.35">
      <c r="A88" t="str">
        <f>VLOOKUP(C88, Sheet2!$A$1:$C$130, 2, TRUE)</f>
        <v>xeric</v>
      </c>
      <c r="B88">
        <f>VLOOKUP(C88, Sheet2!$A$1:$C$130, 3, TRUE)</f>
        <v>1</v>
      </c>
      <c r="C88">
        <v>36</v>
      </c>
      <c r="D88">
        <v>3.5</v>
      </c>
    </row>
    <row r="89" spans="1:5" x14ac:dyDescent="0.35">
      <c r="A89" t="str">
        <f>VLOOKUP(C89, Sheet2!$A$1:$C$130, 2, TRUE)</f>
        <v>xeric</v>
      </c>
      <c r="B89">
        <f>VLOOKUP(C89, Sheet2!$A$1:$C$130, 3, TRUE)</f>
        <v>1</v>
      </c>
      <c r="C89">
        <v>36</v>
      </c>
      <c r="D89">
        <v>1</v>
      </c>
      <c r="E89" t="s">
        <v>33</v>
      </c>
    </row>
    <row r="90" spans="1:5" x14ac:dyDescent="0.35">
      <c r="A90" t="str">
        <f>VLOOKUP(C90, Sheet2!$A$1:$C$130, 2, TRUE)</f>
        <v>mesic</v>
      </c>
      <c r="B90">
        <f>VLOOKUP(C90, Sheet2!$A$1:$C$130, 3, TRUE)</f>
        <v>1</v>
      </c>
      <c r="C90">
        <v>53</v>
      </c>
      <c r="D90">
        <v>15.5</v>
      </c>
      <c r="E90" t="s">
        <v>7</v>
      </c>
    </row>
    <row r="91" spans="1:5" x14ac:dyDescent="0.35">
      <c r="A91" t="str">
        <f>VLOOKUP(C91, Sheet2!$A$1:$C$130, 2, TRUE)</f>
        <v>mesic</v>
      </c>
      <c r="B91">
        <f>VLOOKUP(C91, Sheet2!$A$1:$C$130, 3, TRUE)</f>
        <v>1</v>
      </c>
      <c r="C91">
        <v>53</v>
      </c>
      <c r="D91">
        <v>25.5</v>
      </c>
      <c r="E91" t="s">
        <v>7</v>
      </c>
    </row>
    <row r="92" spans="1:5" x14ac:dyDescent="0.35">
      <c r="A92" t="str">
        <f>VLOOKUP(C92, Sheet2!$A$1:$C$130, 2, TRUE)</f>
        <v>mesic</v>
      </c>
      <c r="B92">
        <f>VLOOKUP(C92, Sheet2!$A$1:$C$130, 3, TRUE)</f>
        <v>1</v>
      </c>
      <c r="C92">
        <v>53</v>
      </c>
      <c r="D92">
        <v>3.5</v>
      </c>
      <c r="E92" t="s">
        <v>7</v>
      </c>
    </row>
    <row r="93" spans="1:5" x14ac:dyDescent="0.35">
      <c r="A93" t="str">
        <f>VLOOKUP(C93, Sheet2!$A$1:$C$130, 2, TRUE)</f>
        <v>mesic</v>
      </c>
      <c r="B93">
        <f>VLOOKUP(C93, Sheet2!$A$1:$C$130, 3, TRUE)</f>
        <v>1</v>
      </c>
      <c r="C93">
        <v>53</v>
      </c>
      <c r="D93">
        <v>3.5</v>
      </c>
      <c r="E93" t="s">
        <v>7</v>
      </c>
    </row>
    <row r="94" spans="1:5" x14ac:dyDescent="0.35">
      <c r="A94" t="str">
        <f>VLOOKUP(C94, Sheet2!$A$1:$C$130, 2, TRUE)</f>
        <v>xeric</v>
      </c>
      <c r="B94">
        <f>VLOOKUP(C94, Sheet2!$A$1:$C$130, 3, TRUE)</f>
        <v>1</v>
      </c>
      <c r="C94">
        <v>58</v>
      </c>
      <c r="D94">
        <v>65.5</v>
      </c>
    </row>
    <row r="95" spans="1:5" x14ac:dyDescent="0.35">
      <c r="A95" t="str">
        <f>VLOOKUP(C95, Sheet2!$A$1:$C$130, 2, TRUE)</f>
        <v>xeric</v>
      </c>
      <c r="B95">
        <f>VLOOKUP(C95, Sheet2!$A$1:$C$130, 3, TRUE)</f>
        <v>1</v>
      </c>
      <c r="C95">
        <v>58</v>
      </c>
      <c r="D95">
        <v>15.5</v>
      </c>
      <c r="E95" t="s">
        <v>122</v>
      </c>
    </row>
    <row r="96" spans="1:5" x14ac:dyDescent="0.35">
      <c r="A96" t="str">
        <f>VLOOKUP(C96, Sheet2!$A$1:$C$130, 2, TRUE)</f>
        <v>xeric</v>
      </c>
      <c r="B96">
        <f>VLOOKUP(C96, Sheet2!$A$1:$C$130, 3, TRUE)</f>
        <v>1</v>
      </c>
      <c r="C96">
        <v>58</v>
      </c>
      <c r="D96">
        <v>25.5</v>
      </c>
      <c r="E96" t="s">
        <v>123</v>
      </c>
    </row>
    <row r="97" spans="1:5" x14ac:dyDescent="0.35">
      <c r="A97" t="str">
        <f>VLOOKUP(C97, Sheet2!$A$1:$C$130, 2, TRUE)</f>
        <v>xeric</v>
      </c>
      <c r="B97">
        <f>VLOOKUP(C97, Sheet2!$A$1:$C$130, 3, TRUE)</f>
        <v>1</v>
      </c>
      <c r="C97">
        <v>58</v>
      </c>
      <c r="D97">
        <v>25.5</v>
      </c>
      <c r="E97" t="s">
        <v>124</v>
      </c>
    </row>
    <row r="98" spans="1:5" x14ac:dyDescent="0.35">
      <c r="A98" t="str">
        <f>VLOOKUP(C98, Sheet2!$A$1:$C$130, 2, TRUE)</f>
        <v>xeric</v>
      </c>
      <c r="B98">
        <f>VLOOKUP(C98, Sheet2!$A$1:$C$130, 3, TRUE)</f>
        <v>1</v>
      </c>
      <c r="C98">
        <v>59</v>
      </c>
      <c r="D98">
        <v>1</v>
      </c>
      <c r="E98" t="s">
        <v>155</v>
      </c>
    </row>
    <row r="99" spans="1:5" x14ac:dyDescent="0.35">
      <c r="A99" t="str">
        <f>VLOOKUP(C99, Sheet2!$A$1:$C$130, 2, TRUE)</f>
        <v>xeric</v>
      </c>
      <c r="B99">
        <f>VLOOKUP(C99, Sheet2!$A$1:$C$130, 3, TRUE)</f>
        <v>1</v>
      </c>
      <c r="C99">
        <v>59</v>
      </c>
      <c r="D99">
        <v>1</v>
      </c>
      <c r="E99" t="s">
        <v>156</v>
      </c>
    </row>
    <row r="100" spans="1:5" x14ac:dyDescent="0.35">
      <c r="A100" t="str">
        <f>VLOOKUP(C100, Sheet2!$A$1:$C$130, 2, TRUE)</f>
        <v>xeric</v>
      </c>
      <c r="B100">
        <f>VLOOKUP(C100, Sheet2!$A$1:$C$130, 3, TRUE)</f>
        <v>1</v>
      </c>
      <c r="C100">
        <v>59</v>
      </c>
      <c r="D100">
        <v>3.5</v>
      </c>
      <c r="E100" t="s">
        <v>157</v>
      </c>
    </row>
    <row r="101" spans="1:5" x14ac:dyDescent="0.35">
      <c r="A101" t="str">
        <f>VLOOKUP(C101, Sheet2!$A$1:$C$130, 2, TRUE)</f>
        <v>xeric</v>
      </c>
      <c r="B101">
        <f>VLOOKUP(C101, Sheet2!$A$1:$C$130, 3, TRUE)</f>
        <v>1</v>
      </c>
      <c r="C101">
        <v>59</v>
      </c>
      <c r="D101">
        <v>3.5</v>
      </c>
      <c r="E101" t="s">
        <v>158</v>
      </c>
    </row>
    <row r="102" spans="1:5" x14ac:dyDescent="0.35">
      <c r="A102" t="str">
        <f>VLOOKUP(C102, Sheet2!$A$1:$C$130, 2, TRUE)</f>
        <v>xeric</v>
      </c>
      <c r="B102">
        <f>VLOOKUP(C102, Sheet2!$A$1:$C$130, 3, TRUE)</f>
        <v>1</v>
      </c>
      <c r="C102">
        <v>60</v>
      </c>
      <c r="D102">
        <v>25.5</v>
      </c>
      <c r="E102" t="s">
        <v>125</v>
      </c>
    </row>
    <row r="103" spans="1:5" x14ac:dyDescent="0.35">
      <c r="A103" t="str">
        <f>VLOOKUP(C103, Sheet2!$A$1:$C$130, 2, TRUE)</f>
        <v>xeric</v>
      </c>
      <c r="B103">
        <f>VLOOKUP(C103, Sheet2!$A$1:$C$130, 3, TRUE)</f>
        <v>1</v>
      </c>
      <c r="C103">
        <v>60</v>
      </c>
      <c r="D103">
        <v>45.5</v>
      </c>
      <c r="E103" t="s">
        <v>126</v>
      </c>
    </row>
    <row r="104" spans="1:5" x14ac:dyDescent="0.35">
      <c r="A104" t="str">
        <f>VLOOKUP(C104, Sheet2!$A$1:$C$130, 2, TRUE)</f>
        <v>xeric</v>
      </c>
      <c r="B104">
        <f>VLOOKUP(C104, Sheet2!$A$1:$C$130, 3, TRUE)</f>
        <v>1</v>
      </c>
      <c r="C104">
        <v>60</v>
      </c>
      <c r="D104">
        <v>75.5</v>
      </c>
    </row>
    <row r="105" spans="1:5" x14ac:dyDescent="0.35">
      <c r="A105" t="str">
        <f>VLOOKUP(C105, Sheet2!$A$1:$C$130, 2, TRUE)</f>
        <v>xeric</v>
      </c>
      <c r="B105">
        <f>VLOOKUP(C105, Sheet2!$A$1:$C$130, 3, TRUE)</f>
        <v>1</v>
      </c>
      <c r="C105">
        <v>60</v>
      </c>
    </row>
    <row r="106" spans="1:5" x14ac:dyDescent="0.35">
      <c r="A106" t="str">
        <f>VLOOKUP(C106, Sheet2!$A$1:$C$130, 2, TRUE)</f>
        <v>mesic</v>
      </c>
      <c r="B106">
        <f>VLOOKUP(C106, Sheet2!$A$1:$C$130, 3, TRUE)</f>
        <v>1</v>
      </c>
      <c r="C106" s="2">
        <v>85</v>
      </c>
      <c r="D106" s="2">
        <v>8</v>
      </c>
      <c r="E106" s="2" t="s">
        <v>78</v>
      </c>
    </row>
    <row r="107" spans="1:5" x14ac:dyDescent="0.35">
      <c r="A107" t="str">
        <f>VLOOKUP(C107, Sheet2!$A$1:$C$130, 2, TRUE)</f>
        <v>mesic</v>
      </c>
      <c r="B107">
        <f>VLOOKUP(C107, Sheet2!$A$1:$C$130, 3, TRUE)</f>
        <v>1</v>
      </c>
      <c r="C107">
        <v>85</v>
      </c>
      <c r="D107">
        <v>3.5</v>
      </c>
      <c r="E107" t="s">
        <v>79</v>
      </c>
    </row>
    <row r="108" spans="1:5" x14ac:dyDescent="0.35">
      <c r="A108" t="str">
        <f>VLOOKUP(C108, Sheet2!$A$1:$C$130, 2, TRUE)</f>
        <v>mesic</v>
      </c>
      <c r="B108">
        <f>VLOOKUP(C108, Sheet2!$A$1:$C$130, 3, TRUE)</f>
        <v>1</v>
      </c>
      <c r="C108">
        <v>85</v>
      </c>
      <c r="D108">
        <v>65.5</v>
      </c>
      <c r="E108" t="s">
        <v>80</v>
      </c>
    </row>
    <row r="109" spans="1:5" x14ac:dyDescent="0.35">
      <c r="A109" t="str">
        <f>VLOOKUP(C109, Sheet2!$A$1:$C$130, 2, TRUE)</f>
        <v>mesic</v>
      </c>
      <c r="B109">
        <f>VLOOKUP(C109, Sheet2!$A$1:$C$130, 3, TRUE)</f>
        <v>1</v>
      </c>
      <c r="C109">
        <v>85</v>
      </c>
      <c r="D109">
        <v>0.5</v>
      </c>
      <c r="E109" t="s">
        <v>81</v>
      </c>
    </row>
    <row r="110" spans="1:5" x14ac:dyDescent="0.35">
      <c r="A110" t="str">
        <f>VLOOKUP(C110, Sheet2!$A$1:$C$130, 2, TRUE)</f>
        <v>xeric</v>
      </c>
      <c r="B110">
        <f>VLOOKUP(C110, Sheet2!$A$1:$C$130, 3, TRUE)</f>
        <v>1</v>
      </c>
      <c r="C110">
        <v>88</v>
      </c>
      <c r="D110">
        <v>0.5</v>
      </c>
      <c r="E110" t="s">
        <v>85</v>
      </c>
    </row>
    <row r="111" spans="1:5" x14ac:dyDescent="0.35">
      <c r="A111" t="str">
        <f>VLOOKUP(C111, Sheet2!$A$1:$C$130, 2, TRUE)</f>
        <v>xeric</v>
      </c>
      <c r="B111">
        <f>VLOOKUP(C111, Sheet2!$A$1:$C$130, 3, TRUE)</f>
        <v>1</v>
      </c>
      <c r="C111">
        <v>88</v>
      </c>
      <c r="D111">
        <v>8</v>
      </c>
      <c r="E111" t="s">
        <v>86</v>
      </c>
    </row>
    <row r="112" spans="1:5" x14ac:dyDescent="0.35">
      <c r="A112" t="str">
        <f>VLOOKUP(C112, Sheet2!$A$1:$C$130, 2, TRUE)</f>
        <v>xeric</v>
      </c>
      <c r="B112">
        <f>VLOOKUP(C112, Sheet2!$A$1:$C$130, 3, TRUE)</f>
        <v>1</v>
      </c>
      <c r="C112">
        <v>88</v>
      </c>
      <c r="D112">
        <v>45.5</v>
      </c>
      <c r="E112" t="s">
        <v>87</v>
      </c>
    </row>
    <row r="113" spans="1:5" x14ac:dyDescent="0.35">
      <c r="A113" t="str">
        <f>VLOOKUP(C113, Sheet2!$A$1:$C$130, 2, TRUE)</f>
        <v>xeric</v>
      </c>
      <c r="B113">
        <f>VLOOKUP(C113, Sheet2!$A$1:$C$130, 3, TRUE)</f>
        <v>1</v>
      </c>
      <c r="C113">
        <v>88</v>
      </c>
      <c r="D113">
        <v>15.5</v>
      </c>
      <c r="E113" t="s">
        <v>46</v>
      </c>
    </row>
    <row r="114" spans="1:5" x14ac:dyDescent="0.35">
      <c r="A114" t="str">
        <f>VLOOKUP(C114, Sheet2!$A$1:$C$130, 2, TRUE)</f>
        <v>xeric</v>
      </c>
      <c r="B114">
        <f>VLOOKUP(C114, Sheet2!$A$1:$C$130, 3, TRUE)</f>
        <v>1</v>
      </c>
      <c r="C114">
        <v>89</v>
      </c>
      <c r="D114">
        <v>0</v>
      </c>
      <c r="E114" t="s">
        <v>46</v>
      </c>
    </row>
    <row r="115" spans="1:5" x14ac:dyDescent="0.35">
      <c r="A115" t="str">
        <f>VLOOKUP(C115, Sheet2!$A$1:$C$130, 2, TRUE)</f>
        <v>xeric</v>
      </c>
      <c r="B115">
        <f>VLOOKUP(C115, Sheet2!$A$1:$C$130, 3, TRUE)</f>
        <v>1</v>
      </c>
      <c r="C115">
        <v>89</v>
      </c>
      <c r="D115">
        <v>0.5</v>
      </c>
      <c r="E115" t="s">
        <v>88</v>
      </c>
    </row>
    <row r="116" spans="1:5" x14ac:dyDescent="0.35">
      <c r="A116" t="str">
        <f>VLOOKUP(C116, Sheet2!$A$1:$C$130, 2, TRUE)</f>
        <v>xeric</v>
      </c>
      <c r="B116">
        <f>VLOOKUP(C116, Sheet2!$A$1:$C$130, 3, TRUE)</f>
        <v>1</v>
      </c>
      <c r="C116">
        <v>89</v>
      </c>
      <c r="D116">
        <v>0.5</v>
      </c>
      <c r="E116" t="s">
        <v>89</v>
      </c>
    </row>
    <row r="117" spans="1:5" x14ac:dyDescent="0.35">
      <c r="A117" t="str">
        <f>VLOOKUP(C117, Sheet2!$A$1:$C$130, 2, TRUE)</f>
        <v>xeric</v>
      </c>
      <c r="B117">
        <f>VLOOKUP(C117, Sheet2!$A$1:$C$130, 3, TRUE)</f>
        <v>1</v>
      </c>
      <c r="C117">
        <v>89</v>
      </c>
      <c r="D117">
        <v>3.5</v>
      </c>
      <c r="E117" t="s">
        <v>90</v>
      </c>
    </row>
    <row r="118" spans="1:5" x14ac:dyDescent="0.35">
      <c r="A118" t="str">
        <f>VLOOKUP(C118, Sheet2!$A$1:$C$130, 2, TRUE)</f>
        <v>xeric</v>
      </c>
      <c r="B118">
        <f>VLOOKUP(C118, Sheet2!$A$1:$C$130, 3, TRUE)</f>
        <v>1</v>
      </c>
      <c r="C118" s="2">
        <v>90</v>
      </c>
      <c r="D118" s="2">
        <v>1</v>
      </c>
      <c r="E118" s="2"/>
    </row>
    <row r="119" spans="1:5" x14ac:dyDescent="0.35">
      <c r="A119" t="str">
        <f>VLOOKUP(C119, Sheet2!$A$1:$C$130, 2, TRUE)</f>
        <v>xeric</v>
      </c>
      <c r="B119">
        <f>VLOOKUP(C119, Sheet2!$A$1:$C$130, 3, TRUE)</f>
        <v>1</v>
      </c>
      <c r="C119">
        <v>90</v>
      </c>
      <c r="D119">
        <v>1</v>
      </c>
      <c r="E119" t="s">
        <v>112</v>
      </c>
    </row>
    <row r="120" spans="1:5" x14ac:dyDescent="0.35">
      <c r="A120" t="str">
        <f>VLOOKUP(C120, Sheet2!$A$1:$C$130, 2, TRUE)</f>
        <v>xeric</v>
      </c>
      <c r="B120">
        <f>VLOOKUP(C120, Sheet2!$A$1:$C$130, 3, TRUE)</f>
        <v>1</v>
      </c>
      <c r="C120">
        <v>90</v>
      </c>
      <c r="D120">
        <v>0</v>
      </c>
      <c r="E120" t="s">
        <v>113</v>
      </c>
    </row>
    <row r="121" spans="1:5" x14ac:dyDescent="0.35">
      <c r="A121" t="str">
        <f>VLOOKUP(C121, Sheet2!$A$1:$C$130, 2, TRUE)</f>
        <v>xeric</v>
      </c>
      <c r="B121">
        <f>VLOOKUP(C121, Sheet2!$A$1:$C$130, 3, TRUE)</f>
        <v>1</v>
      </c>
      <c r="C121">
        <v>90</v>
      </c>
      <c r="D121">
        <v>3.5</v>
      </c>
      <c r="E121" t="s">
        <v>81</v>
      </c>
    </row>
    <row r="122" spans="1:5" x14ac:dyDescent="0.35">
      <c r="A122" t="str">
        <f>VLOOKUP(C122, Sheet2!$A$1:$C$130, 2, TRUE)</f>
        <v>xeric</v>
      </c>
      <c r="B122">
        <f>VLOOKUP(C122, Sheet2!$A$1:$C$130, 3, TRUE)</f>
        <v>1</v>
      </c>
      <c r="C122">
        <v>101</v>
      </c>
      <c r="D122">
        <v>1</v>
      </c>
      <c r="E122" t="s">
        <v>164</v>
      </c>
    </row>
    <row r="123" spans="1:5" x14ac:dyDescent="0.35">
      <c r="A123" t="str">
        <f>VLOOKUP(C123, Sheet2!$A$1:$C$130, 2, TRUE)</f>
        <v>xeric</v>
      </c>
      <c r="B123">
        <f>VLOOKUP(C123, Sheet2!$A$1:$C$130, 3, TRUE)</f>
        <v>1</v>
      </c>
      <c r="C123">
        <v>101</v>
      </c>
      <c r="D123">
        <v>15.5</v>
      </c>
      <c r="E123" t="s">
        <v>165</v>
      </c>
    </row>
    <row r="124" spans="1:5" x14ac:dyDescent="0.35">
      <c r="A124" t="str">
        <f>VLOOKUP(C124, Sheet2!$A$1:$C$130, 2, TRUE)</f>
        <v>xeric</v>
      </c>
      <c r="B124">
        <f>VLOOKUP(C124, Sheet2!$A$1:$C$130, 3, TRUE)</f>
        <v>1</v>
      </c>
      <c r="C124">
        <v>101</v>
      </c>
      <c r="D124">
        <v>65.5</v>
      </c>
      <c r="E124" t="s">
        <v>166</v>
      </c>
    </row>
    <row r="125" spans="1:5" x14ac:dyDescent="0.35">
      <c r="A125" t="str">
        <f>VLOOKUP(C125, Sheet2!$A$1:$C$130, 2, TRUE)</f>
        <v>xeric</v>
      </c>
      <c r="B125">
        <f>VLOOKUP(C125, Sheet2!$A$1:$C$130, 3, TRUE)</f>
        <v>1</v>
      </c>
      <c r="C125">
        <v>101</v>
      </c>
      <c r="D125">
        <v>25.5</v>
      </c>
      <c r="E125" t="s">
        <v>167</v>
      </c>
    </row>
    <row r="126" spans="1:5" x14ac:dyDescent="0.35">
      <c r="A126" t="str">
        <f>VLOOKUP(C126, Sheet2!$A$1:$C$130, 2, TRUE)</f>
        <v>xeric</v>
      </c>
      <c r="B126">
        <f>VLOOKUP(C126, Sheet2!$A$1:$C$130, 3, TRUE)</f>
        <v>1</v>
      </c>
      <c r="C126">
        <v>112</v>
      </c>
      <c r="D126">
        <v>8</v>
      </c>
      <c r="E126" t="s">
        <v>53</v>
      </c>
    </row>
    <row r="127" spans="1:5" x14ac:dyDescent="0.35">
      <c r="A127" t="str">
        <f>VLOOKUP(C127, Sheet2!$A$1:$C$130, 2, TRUE)</f>
        <v>xeric</v>
      </c>
      <c r="B127">
        <f>VLOOKUP(C127, Sheet2!$A$1:$C$130, 3, TRUE)</f>
        <v>1</v>
      </c>
      <c r="C127">
        <v>112</v>
      </c>
      <c r="D127">
        <v>0</v>
      </c>
      <c r="E127" t="s">
        <v>54</v>
      </c>
    </row>
    <row r="128" spans="1:5" x14ac:dyDescent="0.35">
      <c r="A128" t="str">
        <f>VLOOKUP(C128, Sheet2!$A$1:$C$130, 2, TRUE)</f>
        <v>xeric</v>
      </c>
      <c r="B128">
        <f>VLOOKUP(C128, Sheet2!$A$1:$C$130, 3, TRUE)</f>
        <v>1</v>
      </c>
      <c r="C128">
        <v>112</v>
      </c>
      <c r="D128">
        <v>15.5</v>
      </c>
      <c r="E128" t="s">
        <v>55</v>
      </c>
    </row>
    <row r="129" spans="1:5" x14ac:dyDescent="0.35">
      <c r="A129" t="str">
        <f>VLOOKUP(C129, Sheet2!$A$1:$C$130, 2, TRUE)</f>
        <v>xeric</v>
      </c>
      <c r="B129">
        <f>VLOOKUP(C129, Sheet2!$A$1:$C$130, 3, TRUE)</f>
        <v>1</v>
      </c>
      <c r="C129">
        <v>112</v>
      </c>
      <c r="D129">
        <v>15.5</v>
      </c>
      <c r="E129" t="s">
        <v>56</v>
      </c>
    </row>
    <row r="130" spans="1:5" x14ac:dyDescent="0.35">
      <c r="A130" t="str">
        <f>VLOOKUP(C130, Sheet2!$A$1:$C$130, 2, TRUE)</f>
        <v>xeric</v>
      </c>
      <c r="B130">
        <f>VLOOKUP(C130, Sheet2!$A$1:$C$130, 3, TRUE)</f>
        <v>1</v>
      </c>
      <c r="C130">
        <v>113</v>
      </c>
      <c r="D130">
        <v>0</v>
      </c>
      <c r="E130" t="s">
        <v>57</v>
      </c>
    </row>
    <row r="131" spans="1:5" x14ac:dyDescent="0.35">
      <c r="A131" t="str">
        <f>VLOOKUP(C131, Sheet2!$A$1:$C$130, 2, TRUE)</f>
        <v>xeric</v>
      </c>
      <c r="B131">
        <f>VLOOKUP(C131, Sheet2!$A$1:$C$130, 3, TRUE)</f>
        <v>1</v>
      </c>
      <c r="C131">
        <v>113</v>
      </c>
      <c r="D131">
        <v>8</v>
      </c>
      <c r="E131" t="s">
        <v>58</v>
      </c>
    </row>
    <row r="132" spans="1:5" x14ac:dyDescent="0.35">
      <c r="A132" t="str">
        <f>VLOOKUP(C132, Sheet2!$A$1:$C$130, 2, TRUE)</f>
        <v>xeric</v>
      </c>
      <c r="B132">
        <f>VLOOKUP(C132, Sheet2!$A$1:$C$130, 3, TRUE)</f>
        <v>1</v>
      </c>
      <c r="C132">
        <v>113</v>
      </c>
      <c r="D132">
        <v>15.5</v>
      </c>
    </row>
    <row r="133" spans="1:5" x14ac:dyDescent="0.35">
      <c r="A133" t="str">
        <f>VLOOKUP(C133, Sheet2!$A$1:$C$130, 2, TRUE)</f>
        <v>xeric</v>
      </c>
      <c r="B133">
        <f>VLOOKUP(C133, Sheet2!$A$1:$C$130, 3, TRUE)</f>
        <v>1</v>
      </c>
      <c r="C133">
        <v>113</v>
      </c>
      <c r="D133">
        <v>0</v>
      </c>
      <c r="E133" t="s">
        <v>57</v>
      </c>
    </row>
    <row r="134" spans="1:5" x14ac:dyDescent="0.35">
      <c r="A134" t="str">
        <f>VLOOKUP(C134, Sheet2!$A$1:$C$130, 2, TRUE)</f>
        <v>xeric</v>
      </c>
      <c r="B134">
        <f>VLOOKUP(C134, Sheet2!$A$1:$C$130, 3, TRUE)</f>
        <v>1</v>
      </c>
      <c r="C134">
        <v>114</v>
      </c>
      <c r="D134">
        <v>8</v>
      </c>
    </row>
    <row r="135" spans="1:5" x14ac:dyDescent="0.35">
      <c r="A135" t="str">
        <f>VLOOKUP(C135, Sheet2!$A$1:$C$130, 2, TRUE)</f>
        <v>xeric</v>
      </c>
      <c r="B135">
        <f>VLOOKUP(C135, Sheet2!$A$1:$C$130, 3, TRUE)</f>
        <v>1</v>
      </c>
      <c r="C135">
        <v>114</v>
      </c>
      <c r="D135">
        <v>45.5</v>
      </c>
    </row>
    <row r="136" spans="1:5" x14ac:dyDescent="0.35">
      <c r="A136" t="str">
        <f>VLOOKUP(C136, Sheet2!$A$1:$C$130, 2, TRUE)</f>
        <v>xeric</v>
      </c>
      <c r="B136">
        <f>VLOOKUP(C136, Sheet2!$A$1:$C$130, 3, TRUE)</f>
        <v>1</v>
      </c>
      <c r="C136">
        <v>114</v>
      </c>
      <c r="D136">
        <v>15.5</v>
      </c>
    </row>
    <row r="137" spans="1:5" x14ac:dyDescent="0.35">
      <c r="A137" t="str">
        <f>VLOOKUP(C137, Sheet2!$A$1:$C$130, 2, TRUE)</f>
        <v>xeric</v>
      </c>
      <c r="B137">
        <f>VLOOKUP(C137, Sheet2!$A$1:$C$130, 3, TRUE)</f>
        <v>1</v>
      </c>
      <c r="C137">
        <v>114</v>
      </c>
      <c r="D137">
        <v>3.5</v>
      </c>
    </row>
    <row r="138" spans="1:5" x14ac:dyDescent="0.35">
      <c r="A138" t="str">
        <f>VLOOKUP(C138, Sheet2!$A$1:$C$130, 2, TRUE)</f>
        <v>xeric</v>
      </c>
      <c r="B138">
        <f>VLOOKUP(C138, Sheet2!$A$1:$C$130, 3, TRUE)</f>
        <v>2</v>
      </c>
      <c r="C138" s="2">
        <v>10</v>
      </c>
      <c r="D138" s="2">
        <v>8</v>
      </c>
      <c r="E138" s="2" t="s">
        <v>180</v>
      </c>
    </row>
    <row r="139" spans="1:5" x14ac:dyDescent="0.35">
      <c r="A139" t="str">
        <f>VLOOKUP(C139, Sheet2!$A$1:$C$130, 2, TRUE)</f>
        <v>xeric</v>
      </c>
      <c r="B139">
        <f>VLOOKUP(C139, Sheet2!$A$1:$C$130, 3, TRUE)</f>
        <v>2</v>
      </c>
      <c r="C139">
        <v>10</v>
      </c>
      <c r="D139">
        <v>15.5</v>
      </c>
      <c r="E139" t="s">
        <v>181</v>
      </c>
    </row>
    <row r="140" spans="1:5" x14ac:dyDescent="0.35">
      <c r="A140" t="str">
        <f>VLOOKUP(C140, Sheet2!$A$1:$C$130, 2, TRUE)</f>
        <v>xeric</v>
      </c>
      <c r="B140">
        <f>VLOOKUP(C140, Sheet2!$A$1:$C$130, 3, TRUE)</f>
        <v>2</v>
      </c>
      <c r="C140">
        <v>10</v>
      </c>
      <c r="D140">
        <v>15.5</v>
      </c>
      <c r="E140" t="s">
        <v>182</v>
      </c>
    </row>
    <row r="141" spans="1:5" x14ac:dyDescent="0.35">
      <c r="A141" t="str">
        <f>VLOOKUP(C141, Sheet2!$A$1:$C$130, 2, TRUE)</f>
        <v>xeric</v>
      </c>
      <c r="B141">
        <f>VLOOKUP(C141, Sheet2!$A$1:$C$130, 3, TRUE)</f>
        <v>2</v>
      </c>
      <c r="C141">
        <v>10</v>
      </c>
      <c r="D141">
        <v>15.5</v>
      </c>
      <c r="E141" t="s">
        <v>183</v>
      </c>
    </row>
    <row r="142" spans="1:5" x14ac:dyDescent="0.35">
      <c r="A142" t="str">
        <f>VLOOKUP(C142, Sheet2!$A$1:$C$130, 2, TRUE)</f>
        <v>xeric</v>
      </c>
      <c r="B142">
        <f>VLOOKUP(C142, Sheet2!$A$1:$C$130, 3, TRUE)</f>
        <v>2</v>
      </c>
      <c r="C142">
        <v>11</v>
      </c>
      <c r="D142">
        <v>15.5</v>
      </c>
      <c r="E142" t="s">
        <v>184</v>
      </c>
    </row>
    <row r="143" spans="1:5" x14ac:dyDescent="0.35">
      <c r="A143" t="str">
        <f>VLOOKUP(C143, Sheet2!$A$1:$C$130, 2, TRUE)</f>
        <v>xeric</v>
      </c>
      <c r="B143">
        <f>VLOOKUP(C143, Sheet2!$A$1:$C$130, 3, TRUE)</f>
        <v>2</v>
      </c>
      <c r="C143">
        <v>11</v>
      </c>
      <c r="D143">
        <v>25.5</v>
      </c>
      <c r="E143" t="s">
        <v>185</v>
      </c>
    </row>
    <row r="144" spans="1:5" x14ac:dyDescent="0.35">
      <c r="A144" t="str">
        <f>VLOOKUP(C144, Sheet2!$A$1:$C$130, 2, TRUE)</f>
        <v>xeric</v>
      </c>
      <c r="B144">
        <f>VLOOKUP(C144, Sheet2!$A$1:$C$130, 3, TRUE)</f>
        <v>2</v>
      </c>
      <c r="C144">
        <v>11</v>
      </c>
      <c r="D144">
        <v>25.5</v>
      </c>
      <c r="E144" t="s">
        <v>186</v>
      </c>
    </row>
    <row r="145" spans="1:5" x14ac:dyDescent="0.35">
      <c r="A145" t="str">
        <f>VLOOKUP(C145, Sheet2!$A$1:$C$130, 2, TRUE)</f>
        <v>xeric</v>
      </c>
      <c r="B145">
        <f>VLOOKUP(C145, Sheet2!$A$1:$C$130, 3, TRUE)</f>
        <v>2</v>
      </c>
      <c r="C145">
        <v>11</v>
      </c>
      <c r="D145">
        <v>25.5</v>
      </c>
      <c r="E145" t="s">
        <v>187</v>
      </c>
    </row>
    <row r="146" spans="1:5" x14ac:dyDescent="0.35">
      <c r="A146" t="str">
        <f>VLOOKUP(C146, Sheet2!$A$1:$C$130, 2, TRUE)</f>
        <v>mesic</v>
      </c>
      <c r="B146">
        <f>VLOOKUP(C146, Sheet2!$A$1:$C$130, 3, TRUE)</f>
        <v>2</v>
      </c>
      <c r="C146" s="2">
        <v>16</v>
      </c>
      <c r="D146" s="2">
        <v>0.5</v>
      </c>
      <c r="E146" s="2" t="s">
        <v>127</v>
      </c>
    </row>
    <row r="147" spans="1:5" x14ac:dyDescent="0.35">
      <c r="A147" t="str">
        <f>VLOOKUP(C147, Sheet2!$A$1:$C$130, 2, TRUE)</f>
        <v>mesic</v>
      </c>
      <c r="B147">
        <f>VLOOKUP(C147, Sheet2!$A$1:$C$130, 3, TRUE)</f>
        <v>2</v>
      </c>
      <c r="C147">
        <v>16</v>
      </c>
      <c r="D147">
        <v>3.5</v>
      </c>
      <c r="E147" t="s">
        <v>128</v>
      </c>
    </row>
    <row r="148" spans="1:5" x14ac:dyDescent="0.35">
      <c r="A148" t="str">
        <f>VLOOKUP(C148, Sheet2!$A$1:$C$130, 2, TRUE)</f>
        <v>mesic</v>
      </c>
      <c r="B148">
        <f>VLOOKUP(C148, Sheet2!$A$1:$C$130, 3, TRUE)</f>
        <v>2</v>
      </c>
      <c r="C148">
        <v>16</v>
      </c>
      <c r="D148">
        <v>15.5</v>
      </c>
    </row>
    <row r="149" spans="1:5" x14ac:dyDescent="0.35">
      <c r="A149" t="str">
        <f>VLOOKUP(C149, Sheet2!$A$1:$C$130, 2, TRUE)</f>
        <v>mesic</v>
      </c>
      <c r="B149">
        <f>VLOOKUP(C149, Sheet2!$A$1:$C$130, 3, TRUE)</f>
        <v>2</v>
      </c>
      <c r="C149">
        <v>16</v>
      </c>
      <c r="D149">
        <v>15.5</v>
      </c>
      <c r="E149" t="s">
        <v>129</v>
      </c>
    </row>
    <row r="150" spans="1:5" x14ac:dyDescent="0.35">
      <c r="A150" t="str">
        <f>VLOOKUP(C150, Sheet2!$A$1:$C$130, 2, TRUE)</f>
        <v>xeric</v>
      </c>
      <c r="B150">
        <f>VLOOKUP(C150, Sheet2!$A$1:$C$130, 3, TRUE)</f>
        <v>2</v>
      </c>
      <c r="C150">
        <v>32</v>
      </c>
      <c r="D150">
        <v>0</v>
      </c>
    </row>
    <row r="151" spans="1:5" x14ac:dyDescent="0.35">
      <c r="A151" t="str">
        <f>VLOOKUP(C151, Sheet2!$A$1:$C$130, 2, TRUE)</f>
        <v>xeric</v>
      </c>
      <c r="B151">
        <f>VLOOKUP(C151, Sheet2!$A$1:$C$130, 3, TRUE)</f>
        <v>2</v>
      </c>
      <c r="C151">
        <v>32</v>
      </c>
      <c r="D151">
        <v>0</v>
      </c>
      <c r="E151" t="s">
        <v>30</v>
      </c>
    </row>
    <row r="152" spans="1:5" x14ac:dyDescent="0.35">
      <c r="A152" t="str">
        <f>VLOOKUP(C152, Sheet2!$A$1:$C$130, 2, TRUE)</f>
        <v>xeric</v>
      </c>
      <c r="B152">
        <f>VLOOKUP(C152, Sheet2!$A$1:$C$130, 3, TRUE)</f>
        <v>2</v>
      </c>
      <c r="C152">
        <v>32</v>
      </c>
      <c r="D152">
        <v>3.5</v>
      </c>
    </row>
    <row r="153" spans="1:5" x14ac:dyDescent="0.35">
      <c r="A153" t="str">
        <f>VLOOKUP(C153, Sheet2!$A$1:$C$130, 2, TRUE)</f>
        <v>xeric</v>
      </c>
      <c r="B153">
        <f>VLOOKUP(C153, Sheet2!$A$1:$C$130, 3, TRUE)</f>
        <v>2</v>
      </c>
      <c r="C153">
        <v>32</v>
      </c>
      <c r="D153">
        <v>1</v>
      </c>
      <c r="E153" t="s">
        <v>31</v>
      </c>
    </row>
    <row r="154" spans="1:5" x14ac:dyDescent="0.35">
      <c r="A154" t="str">
        <f>VLOOKUP(C154, Sheet2!$A$1:$C$130, 2, TRUE)</f>
        <v>xeric</v>
      </c>
      <c r="B154">
        <f>VLOOKUP(C154, Sheet2!$A$1:$C$130, 3, TRUE)</f>
        <v>2</v>
      </c>
      <c r="C154">
        <v>49</v>
      </c>
      <c r="D154">
        <v>55.5</v>
      </c>
    </row>
    <row r="155" spans="1:5" x14ac:dyDescent="0.35">
      <c r="A155" t="str">
        <f>VLOOKUP(C155, Sheet2!$A$1:$C$130, 2, TRUE)</f>
        <v>xeric</v>
      </c>
      <c r="B155">
        <f>VLOOKUP(C155, Sheet2!$A$1:$C$130, 3, TRUE)</f>
        <v>2</v>
      </c>
      <c r="C155">
        <v>49</v>
      </c>
      <c r="D155">
        <v>45.5</v>
      </c>
    </row>
    <row r="156" spans="1:5" x14ac:dyDescent="0.35">
      <c r="A156" t="str">
        <f>VLOOKUP(C156, Sheet2!$A$1:$C$130, 2, TRUE)</f>
        <v>xeric</v>
      </c>
      <c r="B156">
        <f>VLOOKUP(C156, Sheet2!$A$1:$C$130, 3, TRUE)</f>
        <v>2</v>
      </c>
      <c r="C156">
        <v>49</v>
      </c>
      <c r="D156">
        <v>8</v>
      </c>
    </row>
    <row r="157" spans="1:5" x14ac:dyDescent="0.35">
      <c r="A157" t="str">
        <f>VLOOKUP(C157, Sheet2!$A$1:$C$130, 2, TRUE)</f>
        <v>xeric</v>
      </c>
      <c r="B157">
        <f>VLOOKUP(C157, Sheet2!$A$1:$C$130, 3, TRUE)</f>
        <v>2</v>
      </c>
      <c r="C157">
        <v>49</v>
      </c>
      <c r="D157">
        <v>8</v>
      </c>
    </row>
    <row r="158" spans="1:5" x14ac:dyDescent="0.35">
      <c r="A158" t="str">
        <f>VLOOKUP(C158, Sheet2!$A$1:$C$130, 2, TRUE)</f>
        <v>xeric</v>
      </c>
      <c r="B158">
        <f>VLOOKUP(C158, Sheet2!$A$1:$C$130, 3, TRUE)</f>
        <v>2</v>
      </c>
      <c r="C158">
        <v>50</v>
      </c>
      <c r="D158">
        <v>3.5</v>
      </c>
    </row>
    <row r="159" spans="1:5" x14ac:dyDescent="0.35">
      <c r="A159" t="str">
        <f>VLOOKUP(C159, Sheet2!$A$1:$C$130, 2, TRUE)</f>
        <v>xeric</v>
      </c>
      <c r="B159">
        <f>VLOOKUP(C159, Sheet2!$A$1:$C$130, 3, TRUE)</f>
        <v>2</v>
      </c>
      <c r="C159">
        <v>50</v>
      </c>
      <c r="D159">
        <v>35.5</v>
      </c>
    </row>
    <row r="160" spans="1:5" x14ac:dyDescent="0.35">
      <c r="A160" t="str">
        <f>VLOOKUP(C160, Sheet2!$A$1:$C$130, 2, TRUE)</f>
        <v>xeric</v>
      </c>
      <c r="B160">
        <f>VLOOKUP(C160, Sheet2!$A$1:$C$130, 3, TRUE)</f>
        <v>2</v>
      </c>
      <c r="C160">
        <v>50</v>
      </c>
      <c r="D160">
        <v>3.5</v>
      </c>
    </row>
    <row r="161" spans="1:5" x14ac:dyDescent="0.35">
      <c r="A161" t="str">
        <f>VLOOKUP(C161, Sheet2!$A$1:$C$130, 2, TRUE)</f>
        <v>xeric</v>
      </c>
      <c r="B161">
        <f>VLOOKUP(C161, Sheet2!$A$1:$C$130, 3, TRUE)</f>
        <v>2</v>
      </c>
      <c r="C161">
        <v>50</v>
      </c>
      <c r="D161">
        <v>8</v>
      </c>
    </row>
    <row r="162" spans="1:5" x14ac:dyDescent="0.35">
      <c r="A162" t="str">
        <f>VLOOKUP(C162, Sheet2!$A$1:$C$130, 2, TRUE)</f>
        <v>xeric</v>
      </c>
      <c r="B162">
        <f>VLOOKUP(C162, Sheet2!$A$1:$C$130, 3, TRUE)</f>
        <v>2</v>
      </c>
      <c r="C162">
        <v>51</v>
      </c>
      <c r="D162">
        <v>25.5</v>
      </c>
    </row>
    <row r="163" spans="1:5" x14ac:dyDescent="0.35">
      <c r="A163" t="str">
        <f>VLOOKUP(C163, Sheet2!$A$1:$C$130, 2, TRUE)</f>
        <v>xeric</v>
      </c>
      <c r="B163">
        <f>VLOOKUP(C163, Sheet2!$A$1:$C$130, 3, TRUE)</f>
        <v>2</v>
      </c>
      <c r="C163">
        <v>51</v>
      </c>
      <c r="D163">
        <v>15.5</v>
      </c>
    </row>
    <row r="164" spans="1:5" x14ac:dyDescent="0.35">
      <c r="A164" t="str">
        <f>VLOOKUP(C164, Sheet2!$A$1:$C$130, 2, TRUE)</f>
        <v>xeric</v>
      </c>
      <c r="B164">
        <f>VLOOKUP(C164, Sheet2!$A$1:$C$130, 3, TRUE)</f>
        <v>2</v>
      </c>
      <c r="C164">
        <v>51</v>
      </c>
      <c r="D164">
        <v>0.5</v>
      </c>
    </row>
    <row r="165" spans="1:5" x14ac:dyDescent="0.35">
      <c r="A165" t="str">
        <f>VLOOKUP(C165, Sheet2!$A$1:$C$130, 2, TRUE)</f>
        <v>xeric</v>
      </c>
      <c r="B165">
        <f>VLOOKUP(C165, Sheet2!$A$1:$C$130, 3, TRUE)</f>
        <v>2</v>
      </c>
      <c r="C165">
        <v>51</v>
      </c>
      <c r="D165">
        <v>3.5</v>
      </c>
    </row>
    <row r="166" spans="1:5" x14ac:dyDescent="0.35">
      <c r="A166" t="str">
        <f>VLOOKUP(C166, Sheet2!$A$1:$C$130, 2, TRUE)</f>
        <v>xeric</v>
      </c>
      <c r="B166">
        <f>VLOOKUP(C166, Sheet2!$A$1:$C$130, 3, TRUE)</f>
        <v>2</v>
      </c>
      <c r="C166">
        <v>55</v>
      </c>
      <c r="D166">
        <v>25.5</v>
      </c>
      <c r="E166" t="s">
        <v>75</v>
      </c>
    </row>
    <row r="167" spans="1:5" x14ac:dyDescent="0.35">
      <c r="A167" t="str">
        <f>VLOOKUP(C167, Sheet2!$A$1:$C$130, 2, TRUE)</f>
        <v>xeric</v>
      </c>
      <c r="B167">
        <f>VLOOKUP(C167, Sheet2!$A$1:$C$130, 3, TRUE)</f>
        <v>2</v>
      </c>
      <c r="C167">
        <v>55</v>
      </c>
      <c r="D167">
        <v>1</v>
      </c>
      <c r="E167" t="s">
        <v>76</v>
      </c>
    </row>
    <row r="168" spans="1:5" x14ac:dyDescent="0.35">
      <c r="A168" t="str">
        <f>VLOOKUP(C168, Sheet2!$A$1:$C$130, 2, TRUE)</f>
        <v>xeric</v>
      </c>
      <c r="B168">
        <f>VLOOKUP(C168, Sheet2!$A$1:$C$130, 3, TRUE)</f>
        <v>2</v>
      </c>
      <c r="C168">
        <v>55</v>
      </c>
      <c r="D168">
        <v>15.5</v>
      </c>
    </row>
    <row r="169" spans="1:5" x14ac:dyDescent="0.35">
      <c r="A169" t="str">
        <f>VLOOKUP(C169, Sheet2!$A$1:$C$130, 2, TRUE)</f>
        <v>xeric</v>
      </c>
      <c r="B169">
        <f>VLOOKUP(C169, Sheet2!$A$1:$C$130, 3, TRUE)</f>
        <v>2</v>
      </c>
      <c r="C169">
        <v>55</v>
      </c>
      <c r="D169">
        <v>8</v>
      </c>
      <c r="E169" t="s">
        <v>77</v>
      </c>
    </row>
    <row r="170" spans="1:5" x14ac:dyDescent="0.35">
      <c r="A170" t="str">
        <f>VLOOKUP(C170, Sheet2!$A$1:$C$130, 2, TRUE)</f>
        <v>xeric</v>
      </c>
      <c r="B170">
        <f>VLOOKUP(C170, Sheet2!$A$1:$C$130, 3, TRUE)</f>
        <v>2</v>
      </c>
      <c r="C170" s="2">
        <v>56</v>
      </c>
      <c r="D170" s="2">
        <v>15.5</v>
      </c>
      <c r="E170" s="2"/>
    </row>
    <row r="171" spans="1:5" x14ac:dyDescent="0.35">
      <c r="A171" t="str">
        <f>VLOOKUP(C171, Sheet2!$A$1:$C$130, 2, TRUE)</f>
        <v>xeric</v>
      </c>
      <c r="B171">
        <f>VLOOKUP(C171, Sheet2!$A$1:$C$130, 3, TRUE)</f>
        <v>2</v>
      </c>
      <c r="C171">
        <v>56</v>
      </c>
      <c r="D171">
        <v>65.5</v>
      </c>
    </row>
    <row r="172" spans="1:5" x14ac:dyDescent="0.35">
      <c r="A172" t="str">
        <f>VLOOKUP(C172, Sheet2!$A$1:$C$130, 2, TRUE)</f>
        <v>xeric</v>
      </c>
      <c r="B172">
        <f>VLOOKUP(C172, Sheet2!$A$1:$C$130, 3, TRUE)</f>
        <v>2</v>
      </c>
      <c r="C172">
        <v>56</v>
      </c>
      <c r="D172">
        <v>15.5</v>
      </c>
    </row>
    <row r="173" spans="1:5" x14ac:dyDescent="0.35">
      <c r="A173" t="str">
        <f>VLOOKUP(C173, Sheet2!$A$1:$C$130, 2, TRUE)</f>
        <v>xeric</v>
      </c>
      <c r="B173">
        <f>VLOOKUP(C173, Sheet2!$A$1:$C$130, 3, TRUE)</f>
        <v>2</v>
      </c>
      <c r="C173">
        <v>56</v>
      </c>
      <c r="D173">
        <v>55.5</v>
      </c>
    </row>
    <row r="174" spans="1:5" x14ac:dyDescent="0.35">
      <c r="A174" t="str">
        <f>VLOOKUP(C174, Sheet2!$A$1:$C$130, 2, TRUE)</f>
        <v>xeric</v>
      </c>
      <c r="B174">
        <f>VLOOKUP(C174, Sheet2!$A$1:$C$130, 3, TRUE)</f>
        <v>2</v>
      </c>
      <c r="C174">
        <v>57</v>
      </c>
      <c r="D174">
        <v>65.5</v>
      </c>
    </row>
    <row r="175" spans="1:5" x14ac:dyDescent="0.35">
      <c r="A175" t="str">
        <f>VLOOKUP(C175, Sheet2!$A$1:$C$130, 2, TRUE)</f>
        <v>xeric</v>
      </c>
      <c r="B175">
        <f>VLOOKUP(C175, Sheet2!$A$1:$C$130, 3, TRUE)</f>
        <v>2</v>
      </c>
      <c r="C175">
        <v>57</v>
      </c>
      <c r="D175">
        <v>35.5</v>
      </c>
    </row>
    <row r="176" spans="1:5" x14ac:dyDescent="0.35">
      <c r="A176" t="str">
        <f>VLOOKUP(C176, Sheet2!$A$1:$C$130, 2, TRUE)</f>
        <v>xeric</v>
      </c>
      <c r="B176">
        <f>VLOOKUP(C176, Sheet2!$A$1:$C$130, 3, TRUE)</f>
        <v>2</v>
      </c>
      <c r="C176">
        <v>57</v>
      </c>
      <c r="D176">
        <v>65.5</v>
      </c>
    </row>
    <row r="177" spans="1:5" x14ac:dyDescent="0.35">
      <c r="A177" t="str">
        <f>VLOOKUP(C177, Sheet2!$A$1:$C$130, 2, TRUE)</f>
        <v>xeric</v>
      </c>
      <c r="B177">
        <f>VLOOKUP(C177, Sheet2!$A$1:$C$130, 3, TRUE)</f>
        <v>2</v>
      </c>
      <c r="C177">
        <v>57</v>
      </c>
      <c r="D177">
        <v>8</v>
      </c>
    </row>
    <row r="178" spans="1:5" x14ac:dyDescent="0.35">
      <c r="A178" t="str">
        <f>VLOOKUP(C178, Sheet2!$A$1:$C$130, 2, TRUE)</f>
        <v>mesic</v>
      </c>
      <c r="B178">
        <f>VLOOKUP(C178, Sheet2!$A$1:$C$130, 3, TRUE)</f>
        <v>2</v>
      </c>
      <c r="C178">
        <v>67</v>
      </c>
      <c r="D178">
        <v>0</v>
      </c>
      <c r="E178" t="s">
        <v>46</v>
      </c>
    </row>
    <row r="179" spans="1:5" x14ac:dyDescent="0.35">
      <c r="A179" t="str">
        <f>VLOOKUP(C179, Sheet2!$A$1:$C$130, 2, TRUE)</f>
        <v>mesic</v>
      </c>
      <c r="B179">
        <f>VLOOKUP(C179, Sheet2!$A$1:$C$130, 3, TRUE)</f>
        <v>2</v>
      </c>
      <c r="C179">
        <v>67</v>
      </c>
      <c r="D179">
        <v>0.5</v>
      </c>
      <c r="E179" t="s">
        <v>46</v>
      </c>
    </row>
    <row r="180" spans="1:5" x14ac:dyDescent="0.35">
      <c r="A180" t="str">
        <f>VLOOKUP(C180, Sheet2!$A$1:$C$130, 2, TRUE)</f>
        <v>mesic</v>
      </c>
      <c r="B180">
        <f>VLOOKUP(C180, Sheet2!$A$1:$C$130, 3, TRUE)</f>
        <v>2</v>
      </c>
      <c r="C180">
        <v>67</v>
      </c>
      <c r="D180">
        <v>0</v>
      </c>
      <c r="E180" t="s">
        <v>46</v>
      </c>
    </row>
    <row r="181" spans="1:5" x14ac:dyDescent="0.35">
      <c r="A181" t="str">
        <f>VLOOKUP(C181, Sheet2!$A$1:$C$130, 2, TRUE)</f>
        <v>mesic</v>
      </c>
      <c r="B181">
        <f>VLOOKUP(C181, Sheet2!$A$1:$C$130, 3, TRUE)</f>
        <v>2</v>
      </c>
      <c r="C181">
        <v>67</v>
      </c>
      <c r="D181">
        <v>0</v>
      </c>
      <c r="E181" t="s">
        <v>46</v>
      </c>
    </row>
    <row r="182" spans="1:5" x14ac:dyDescent="0.35">
      <c r="A182" t="str">
        <f>VLOOKUP(C182, Sheet2!$A$1:$C$130, 2, TRUE)</f>
        <v>mesic</v>
      </c>
      <c r="B182">
        <f>VLOOKUP(C182, Sheet2!$A$1:$C$130, 3, TRUE)</f>
        <v>2</v>
      </c>
      <c r="C182">
        <v>69</v>
      </c>
      <c r="D182">
        <v>8</v>
      </c>
    </row>
    <row r="183" spans="1:5" x14ac:dyDescent="0.35">
      <c r="A183" t="str">
        <f>VLOOKUP(C183, Sheet2!$A$1:$C$130, 2, TRUE)</f>
        <v>mesic</v>
      </c>
      <c r="B183">
        <f>VLOOKUP(C183, Sheet2!$A$1:$C$130, 3, TRUE)</f>
        <v>2</v>
      </c>
      <c r="C183">
        <v>69</v>
      </c>
      <c r="D183">
        <v>8</v>
      </c>
    </row>
    <row r="184" spans="1:5" x14ac:dyDescent="0.35">
      <c r="A184" t="str">
        <f>VLOOKUP(C184, Sheet2!$A$1:$C$130, 2, TRUE)</f>
        <v>mesic</v>
      </c>
      <c r="B184">
        <f>VLOOKUP(C184, Sheet2!$A$1:$C$130, 3, TRUE)</f>
        <v>2</v>
      </c>
      <c r="C184">
        <v>69</v>
      </c>
      <c r="D184">
        <v>65.5</v>
      </c>
      <c r="E184" t="s">
        <v>64</v>
      </c>
    </row>
    <row r="185" spans="1:5" x14ac:dyDescent="0.35">
      <c r="A185" t="str">
        <f>VLOOKUP(C185, Sheet2!$A$1:$C$130, 2, TRUE)</f>
        <v>mesic</v>
      </c>
      <c r="B185">
        <f>VLOOKUP(C185, Sheet2!$A$1:$C$130, 3, TRUE)</f>
        <v>2</v>
      </c>
      <c r="C185">
        <v>69</v>
      </c>
      <c r="D185">
        <v>3.5</v>
      </c>
    </row>
    <row r="186" spans="1:5" x14ac:dyDescent="0.35">
      <c r="A186" t="str">
        <f>VLOOKUP(C186, Sheet2!$A$1:$C$130, 2, TRUE)</f>
        <v>xeric</v>
      </c>
      <c r="B186">
        <f>VLOOKUP(C186, Sheet2!$A$1:$C$130, 3, TRUE)</f>
        <v>2</v>
      </c>
      <c r="C186">
        <v>73</v>
      </c>
      <c r="D186">
        <v>0</v>
      </c>
      <c r="E186" t="s">
        <v>46</v>
      </c>
    </row>
    <row r="187" spans="1:5" x14ac:dyDescent="0.35">
      <c r="A187" t="str">
        <f>VLOOKUP(C187, Sheet2!$A$1:$C$130, 2, TRUE)</f>
        <v>xeric</v>
      </c>
      <c r="B187">
        <f>VLOOKUP(C187, Sheet2!$A$1:$C$130, 3, TRUE)</f>
        <v>2</v>
      </c>
      <c r="C187">
        <v>73</v>
      </c>
      <c r="D187">
        <v>3.5</v>
      </c>
    </row>
    <row r="188" spans="1:5" x14ac:dyDescent="0.35">
      <c r="A188" t="str">
        <f>VLOOKUP(C188, Sheet2!$A$1:$C$130, 2, TRUE)</f>
        <v>xeric</v>
      </c>
      <c r="B188">
        <f>VLOOKUP(C188, Sheet2!$A$1:$C$130, 3, TRUE)</f>
        <v>2</v>
      </c>
      <c r="C188">
        <v>73</v>
      </c>
      <c r="D188">
        <v>8</v>
      </c>
    </row>
    <row r="189" spans="1:5" x14ac:dyDescent="0.35">
      <c r="A189" t="str">
        <f>VLOOKUP(C189, Sheet2!$A$1:$C$130, 2, TRUE)</f>
        <v>xeric</v>
      </c>
      <c r="B189">
        <f>VLOOKUP(C189, Sheet2!$A$1:$C$130, 3, TRUE)</f>
        <v>2</v>
      </c>
      <c r="C189">
        <v>73</v>
      </c>
      <c r="D189">
        <v>8</v>
      </c>
    </row>
    <row r="190" spans="1:5" x14ac:dyDescent="0.35">
      <c r="A190" t="str">
        <f>VLOOKUP(C190, Sheet2!$A$1:$C$130, 2, TRUE)</f>
        <v>mesic</v>
      </c>
      <c r="B190">
        <f>VLOOKUP(C190, Sheet2!$A$1:$C$130, 3, TRUE)</f>
        <v>2</v>
      </c>
      <c r="C190" s="2">
        <v>80</v>
      </c>
      <c r="D190" s="2">
        <v>8</v>
      </c>
      <c r="E190" s="2" t="s">
        <v>46</v>
      </c>
    </row>
    <row r="191" spans="1:5" x14ac:dyDescent="0.35">
      <c r="A191" t="str">
        <f>VLOOKUP(C191, Sheet2!$A$1:$C$130, 2, TRUE)</f>
        <v>mesic</v>
      </c>
      <c r="B191">
        <f>VLOOKUP(C191, Sheet2!$A$1:$C$130, 3, TRUE)</f>
        <v>2</v>
      </c>
      <c r="C191">
        <v>80</v>
      </c>
      <c r="D191">
        <v>15.5</v>
      </c>
      <c r="E191" t="s">
        <v>146</v>
      </c>
    </row>
    <row r="192" spans="1:5" x14ac:dyDescent="0.35">
      <c r="A192" t="str">
        <f>VLOOKUP(C192, Sheet2!$A$1:$C$130, 2, TRUE)</f>
        <v>mesic</v>
      </c>
      <c r="B192">
        <f>VLOOKUP(C192, Sheet2!$A$1:$C$130, 3, TRUE)</f>
        <v>2</v>
      </c>
      <c r="C192">
        <v>80</v>
      </c>
      <c r="D192">
        <v>25.5</v>
      </c>
      <c r="E192" t="s">
        <v>147</v>
      </c>
    </row>
    <row r="193" spans="1:5" x14ac:dyDescent="0.35">
      <c r="A193" t="str">
        <f>VLOOKUP(C193, Sheet2!$A$1:$C$130, 2, TRUE)</f>
        <v>mesic</v>
      </c>
      <c r="B193">
        <f>VLOOKUP(C193, Sheet2!$A$1:$C$130, 3, TRUE)</f>
        <v>2</v>
      </c>
      <c r="C193">
        <v>80</v>
      </c>
      <c r="D193">
        <v>8</v>
      </c>
      <c r="E193" t="s">
        <v>148</v>
      </c>
    </row>
    <row r="194" spans="1:5" x14ac:dyDescent="0.35">
      <c r="A194" t="str">
        <f>VLOOKUP(C194, Sheet2!$A$1:$C$130, 2, TRUE)</f>
        <v>mesic</v>
      </c>
      <c r="B194">
        <f>VLOOKUP(C194, Sheet2!$A$1:$C$130, 3, TRUE)</f>
        <v>2</v>
      </c>
      <c r="C194">
        <v>81</v>
      </c>
      <c r="D194">
        <v>15.5</v>
      </c>
      <c r="E194" t="s">
        <v>63</v>
      </c>
    </row>
    <row r="195" spans="1:5" x14ac:dyDescent="0.35">
      <c r="A195" t="str">
        <f>VLOOKUP(C195, Sheet2!$A$1:$C$130, 2, TRUE)</f>
        <v>mesic</v>
      </c>
      <c r="B195">
        <f>VLOOKUP(C195, Sheet2!$A$1:$C$130, 3, TRUE)</f>
        <v>2</v>
      </c>
      <c r="C195">
        <v>81</v>
      </c>
      <c r="D195">
        <v>8</v>
      </c>
      <c r="E195" t="s">
        <v>149</v>
      </c>
    </row>
    <row r="196" spans="1:5" x14ac:dyDescent="0.35">
      <c r="A196" t="str">
        <f>VLOOKUP(C196, Sheet2!$A$1:$C$130, 2, TRUE)</f>
        <v>mesic</v>
      </c>
      <c r="B196">
        <f>VLOOKUP(C196, Sheet2!$A$1:$C$130, 3, TRUE)</f>
        <v>2</v>
      </c>
      <c r="C196">
        <v>81</v>
      </c>
      <c r="D196">
        <v>8</v>
      </c>
      <c r="E196" t="s">
        <v>150</v>
      </c>
    </row>
    <row r="197" spans="1:5" x14ac:dyDescent="0.35">
      <c r="A197" t="str">
        <f>VLOOKUP(C197, Sheet2!$A$1:$C$130, 2, TRUE)</f>
        <v>mesic</v>
      </c>
      <c r="B197">
        <f>VLOOKUP(C197, Sheet2!$A$1:$C$130, 3, TRUE)</f>
        <v>2</v>
      </c>
      <c r="C197">
        <v>81</v>
      </c>
      <c r="D197">
        <v>0.5</v>
      </c>
      <c r="E197" t="s">
        <v>151</v>
      </c>
    </row>
    <row r="198" spans="1:5" x14ac:dyDescent="0.35">
      <c r="A198" t="str">
        <f>VLOOKUP(C198, Sheet2!$A$1:$C$130, 2, TRUE)</f>
        <v>xeric</v>
      </c>
      <c r="B198">
        <f>VLOOKUP(C198, Sheet2!$A$1:$C$130, 3, TRUE)</f>
        <v>2</v>
      </c>
      <c r="C198">
        <v>82</v>
      </c>
      <c r="D198">
        <v>0</v>
      </c>
      <c r="E198" t="s">
        <v>114</v>
      </c>
    </row>
    <row r="199" spans="1:5" x14ac:dyDescent="0.35">
      <c r="A199" t="str">
        <f>VLOOKUP(C199, Sheet2!$A$1:$C$130, 2, TRUE)</f>
        <v>xeric</v>
      </c>
      <c r="B199">
        <f>VLOOKUP(C199, Sheet2!$A$1:$C$130, 3, TRUE)</f>
        <v>2</v>
      </c>
      <c r="C199">
        <v>82</v>
      </c>
      <c r="D199">
        <v>1</v>
      </c>
      <c r="E199" t="s">
        <v>46</v>
      </c>
    </row>
    <row r="200" spans="1:5" x14ac:dyDescent="0.35">
      <c r="A200" t="str">
        <f>VLOOKUP(C200, Sheet2!$A$1:$C$130, 2, TRUE)</f>
        <v>xeric</v>
      </c>
      <c r="B200">
        <f>VLOOKUP(C200, Sheet2!$A$1:$C$130, 3, TRUE)</f>
        <v>2</v>
      </c>
      <c r="C200">
        <v>82</v>
      </c>
      <c r="D200">
        <v>3.5</v>
      </c>
      <c r="E200" t="s">
        <v>115</v>
      </c>
    </row>
    <row r="201" spans="1:5" x14ac:dyDescent="0.35">
      <c r="A201" t="str">
        <f>VLOOKUP(C201, Sheet2!$A$1:$C$130, 2, TRUE)</f>
        <v>xeric</v>
      </c>
      <c r="B201">
        <f>VLOOKUP(C201, Sheet2!$A$1:$C$130, 3, TRUE)</f>
        <v>2</v>
      </c>
      <c r="C201">
        <v>82</v>
      </c>
      <c r="D201">
        <v>0</v>
      </c>
      <c r="E201" t="s">
        <v>116</v>
      </c>
    </row>
    <row r="202" spans="1:5" x14ac:dyDescent="0.35">
      <c r="A202" t="str">
        <f>VLOOKUP(C202, Sheet2!$A$1:$C$130, 2, TRUE)</f>
        <v>xeric</v>
      </c>
      <c r="B202">
        <f>VLOOKUP(C202, Sheet2!$A$1:$C$130, 3, TRUE)</f>
        <v>2</v>
      </c>
      <c r="C202">
        <v>83</v>
      </c>
      <c r="D202">
        <v>0</v>
      </c>
      <c r="E202" t="s">
        <v>117</v>
      </c>
    </row>
    <row r="203" spans="1:5" x14ac:dyDescent="0.35">
      <c r="A203" t="str">
        <f>VLOOKUP(C203, Sheet2!$A$1:$C$130, 2, TRUE)</f>
        <v>xeric</v>
      </c>
      <c r="B203">
        <f>VLOOKUP(C203, Sheet2!$A$1:$C$130, 3, TRUE)</f>
        <v>2</v>
      </c>
      <c r="C203">
        <v>83</v>
      </c>
      <c r="D203">
        <v>1</v>
      </c>
      <c r="E203" t="s">
        <v>113</v>
      </c>
    </row>
    <row r="204" spans="1:5" x14ac:dyDescent="0.35">
      <c r="A204" t="str">
        <f>VLOOKUP(C204, Sheet2!$A$1:$C$130, 2, TRUE)</f>
        <v>xeric</v>
      </c>
      <c r="B204">
        <f>VLOOKUP(C204, Sheet2!$A$1:$C$130, 3, TRUE)</f>
        <v>2</v>
      </c>
      <c r="C204">
        <v>83</v>
      </c>
      <c r="D204">
        <v>3.5</v>
      </c>
      <c r="E204" t="s">
        <v>118</v>
      </c>
    </row>
    <row r="205" spans="1:5" x14ac:dyDescent="0.35">
      <c r="A205" t="str">
        <f>VLOOKUP(C205, Sheet2!$A$1:$C$130, 2, TRUE)</f>
        <v>xeric</v>
      </c>
      <c r="B205">
        <f>VLOOKUP(C205, Sheet2!$A$1:$C$130, 3, TRUE)</f>
        <v>2</v>
      </c>
      <c r="C205">
        <v>83</v>
      </c>
      <c r="D205">
        <v>1</v>
      </c>
      <c r="E205" t="s">
        <v>119</v>
      </c>
    </row>
    <row r="206" spans="1:5" x14ac:dyDescent="0.35">
      <c r="A206" t="str">
        <f>VLOOKUP(C206, Sheet2!$A$1:$C$130, 2, TRUE)</f>
        <v>xeric</v>
      </c>
      <c r="B206">
        <f>VLOOKUP(C206, Sheet2!$A$1:$C$130, 3, TRUE)</f>
        <v>2</v>
      </c>
      <c r="C206">
        <v>84</v>
      </c>
      <c r="D206">
        <v>0</v>
      </c>
      <c r="E206" t="s">
        <v>120</v>
      </c>
    </row>
    <row r="207" spans="1:5" x14ac:dyDescent="0.35">
      <c r="A207" t="str">
        <f>VLOOKUP(C207, Sheet2!$A$1:$C$130, 2, TRUE)</f>
        <v>xeric</v>
      </c>
      <c r="B207">
        <f>VLOOKUP(C207, Sheet2!$A$1:$C$130, 3, TRUE)</f>
        <v>2</v>
      </c>
      <c r="C207">
        <v>84</v>
      </c>
      <c r="D207">
        <v>1</v>
      </c>
      <c r="E207" t="s">
        <v>79</v>
      </c>
    </row>
    <row r="208" spans="1:5" x14ac:dyDescent="0.35">
      <c r="A208" t="str">
        <f>VLOOKUP(C208, Sheet2!$A$1:$C$130, 2, TRUE)</f>
        <v>xeric</v>
      </c>
      <c r="B208">
        <f>VLOOKUP(C208, Sheet2!$A$1:$C$130, 3, TRUE)</f>
        <v>2</v>
      </c>
      <c r="C208">
        <v>84</v>
      </c>
      <c r="D208">
        <v>0</v>
      </c>
      <c r="E208" t="s">
        <v>121</v>
      </c>
    </row>
    <row r="209" spans="1:5" x14ac:dyDescent="0.35">
      <c r="A209" t="str">
        <f>VLOOKUP(C209, Sheet2!$A$1:$C$130, 2, TRUE)</f>
        <v>xeric</v>
      </c>
      <c r="B209">
        <f>VLOOKUP(C209, Sheet2!$A$1:$C$130, 3, TRUE)</f>
        <v>2</v>
      </c>
      <c r="C209">
        <v>84</v>
      </c>
      <c r="D209">
        <v>0.5</v>
      </c>
    </row>
    <row r="210" spans="1:5" x14ac:dyDescent="0.35">
      <c r="A210" t="str">
        <f>VLOOKUP(C210, Sheet2!$A$1:$C$130, 2, TRUE)</f>
        <v>xeric</v>
      </c>
      <c r="B210">
        <f>VLOOKUP(C210, Sheet2!$A$1:$C$130, 3, TRUE)</f>
        <v>2</v>
      </c>
      <c r="C210">
        <v>91</v>
      </c>
      <c r="D210">
        <v>3.5</v>
      </c>
      <c r="E210" t="s">
        <v>200</v>
      </c>
    </row>
    <row r="211" spans="1:5" x14ac:dyDescent="0.35">
      <c r="A211" t="str">
        <f>VLOOKUP(C211, Sheet2!$A$1:$C$130, 2, TRUE)</f>
        <v>xeric</v>
      </c>
      <c r="B211">
        <f>VLOOKUP(C211, Sheet2!$A$1:$C$130, 3, TRUE)</f>
        <v>2</v>
      </c>
      <c r="C211">
        <v>91</v>
      </c>
      <c r="D211">
        <v>8</v>
      </c>
      <c r="E211" t="s">
        <v>201</v>
      </c>
    </row>
    <row r="212" spans="1:5" x14ac:dyDescent="0.35">
      <c r="A212" t="str">
        <f>VLOOKUP(C212, Sheet2!$A$1:$C$130, 2, TRUE)</f>
        <v>xeric</v>
      </c>
      <c r="B212">
        <f>VLOOKUP(C212, Sheet2!$A$1:$C$130, 3, TRUE)</f>
        <v>2</v>
      </c>
      <c r="C212">
        <v>91</v>
      </c>
      <c r="D212">
        <v>15.5</v>
      </c>
      <c r="E212" t="s">
        <v>202</v>
      </c>
    </row>
    <row r="213" spans="1:5" x14ac:dyDescent="0.35">
      <c r="A213" t="str">
        <f>VLOOKUP(C213, Sheet2!$A$1:$C$130, 2, TRUE)</f>
        <v>xeric</v>
      </c>
      <c r="B213">
        <f>VLOOKUP(C213, Sheet2!$A$1:$C$130, 3, TRUE)</f>
        <v>2</v>
      </c>
      <c r="C213">
        <v>91</v>
      </c>
      <c r="D213">
        <v>8</v>
      </c>
      <c r="E213" t="s">
        <v>203</v>
      </c>
    </row>
    <row r="214" spans="1:5" x14ac:dyDescent="0.35">
      <c r="A214" t="str">
        <f>VLOOKUP(C214, Sheet2!$A$1:$C$130, 2, TRUE)</f>
        <v>xeric</v>
      </c>
      <c r="B214">
        <f>VLOOKUP(C214, Sheet2!$A$1:$C$130, 3, TRUE)</f>
        <v>2</v>
      </c>
      <c r="C214">
        <v>94</v>
      </c>
      <c r="D214">
        <v>0.5</v>
      </c>
    </row>
    <row r="215" spans="1:5" x14ac:dyDescent="0.35">
      <c r="A215" t="str">
        <f>VLOOKUP(C215, Sheet2!$A$1:$C$130, 2, TRUE)</f>
        <v>xeric</v>
      </c>
      <c r="B215">
        <f>VLOOKUP(C215, Sheet2!$A$1:$C$130, 3, TRUE)</f>
        <v>2</v>
      </c>
      <c r="C215">
        <v>94</v>
      </c>
      <c r="D215">
        <v>45.5</v>
      </c>
    </row>
    <row r="216" spans="1:5" x14ac:dyDescent="0.35">
      <c r="A216" t="str">
        <f>VLOOKUP(C216, Sheet2!$A$1:$C$130, 2, TRUE)</f>
        <v>xeric</v>
      </c>
      <c r="B216">
        <f>VLOOKUP(C216, Sheet2!$A$1:$C$130, 3, TRUE)</f>
        <v>2</v>
      </c>
      <c r="C216">
        <v>94</v>
      </c>
      <c r="D216">
        <v>25.5</v>
      </c>
    </row>
    <row r="217" spans="1:5" x14ac:dyDescent="0.35">
      <c r="A217" t="str">
        <f>VLOOKUP(C217, Sheet2!$A$1:$C$130, 2, TRUE)</f>
        <v>xeric</v>
      </c>
      <c r="B217">
        <f>VLOOKUP(C217, Sheet2!$A$1:$C$130, 3, TRUE)</f>
        <v>2</v>
      </c>
      <c r="C217">
        <v>94</v>
      </c>
      <c r="D217">
        <v>3.5</v>
      </c>
    </row>
    <row r="218" spans="1:5" x14ac:dyDescent="0.35">
      <c r="A218" t="str">
        <f>VLOOKUP(C218, Sheet2!$A$1:$C$130, 2, TRUE)</f>
        <v>xeric</v>
      </c>
      <c r="B218">
        <f>VLOOKUP(C218, Sheet2!$A$1:$C$130, 3, TRUE)</f>
        <v>2</v>
      </c>
      <c r="C218">
        <v>95</v>
      </c>
      <c r="D218">
        <v>25.5</v>
      </c>
    </row>
    <row r="219" spans="1:5" x14ac:dyDescent="0.35">
      <c r="A219" t="str">
        <f>VLOOKUP(C219, Sheet2!$A$1:$C$130, 2, TRUE)</f>
        <v>xeric</v>
      </c>
      <c r="B219">
        <f>VLOOKUP(C219, Sheet2!$A$1:$C$130, 3, TRUE)</f>
        <v>2</v>
      </c>
      <c r="C219">
        <v>95</v>
      </c>
      <c r="D219">
        <v>15.5</v>
      </c>
    </row>
    <row r="220" spans="1:5" x14ac:dyDescent="0.35">
      <c r="A220" t="str">
        <f>VLOOKUP(C220, Sheet2!$A$1:$C$130, 2, TRUE)</f>
        <v>xeric</v>
      </c>
      <c r="B220">
        <f>VLOOKUP(C220, Sheet2!$A$1:$C$130, 3, TRUE)</f>
        <v>2</v>
      </c>
      <c r="C220">
        <v>95</v>
      </c>
      <c r="D220">
        <v>35.5</v>
      </c>
    </row>
    <row r="221" spans="1:5" x14ac:dyDescent="0.35">
      <c r="A221" t="str">
        <f>VLOOKUP(C221, Sheet2!$A$1:$C$130, 2, TRUE)</f>
        <v>xeric</v>
      </c>
      <c r="B221">
        <f>VLOOKUP(C221, Sheet2!$A$1:$C$130, 3, TRUE)</f>
        <v>2</v>
      </c>
      <c r="C221">
        <v>95</v>
      </c>
      <c r="D221">
        <v>15.5</v>
      </c>
    </row>
    <row r="222" spans="1:5" x14ac:dyDescent="0.35">
      <c r="A222" t="str">
        <f>VLOOKUP(C222, Sheet2!$A$1:$C$130, 2, TRUE)</f>
        <v>xeric</v>
      </c>
      <c r="B222">
        <f>VLOOKUP(C222, Sheet2!$A$1:$C$130, 3, TRUE)</f>
        <v>2</v>
      </c>
      <c r="C222">
        <v>96</v>
      </c>
      <c r="D222">
        <v>15.5</v>
      </c>
    </row>
    <row r="223" spans="1:5" x14ac:dyDescent="0.35">
      <c r="A223" t="str">
        <f>VLOOKUP(C223, Sheet2!$A$1:$C$130, 2, TRUE)</f>
        <v>xeric</v>
      </c>
      <c r="B223">
        <f>VLOOKUP(C223, Sheet2!$A$1:$C$130, 3, TRUE)</f>
        <v>2</v>
      </c>
      <c r="C223">
        <v>96</v>
      </c>
      <c r="D223">
        <v>8</v>
      </c>
    </row>
    <row r="224" spans="1:5" x14ac:dyDescent="0.35">
      <c r="A224" t="str">
        <f>VLOOKUP(C224, Sheet2!$A$1:$C$130, 2, TRUE)</f>
        <v>xeric</v>
      </c>
      <c r="B224">
        <f>VLOOKUP(C224, Sheet2!$A$1:$C$130, 3, TRUE)</f>
        <v>2</v>
      </c>
      <c r="C224">
        <v>96</v>
      </c>
      <c r="D224">
        <v>15.5</v>
      </c>
    </row>
    <row r="225" spans="1:5" x14ac:dyDescent="0.35">
      <c r="A225" t="str">
        <f>VLOOKUP(C225, Sheet2!$A$1:$C$130, 2, TRUE)</f>
        <v>xeric</v>
      </c>
      <c r="B225">
        <f>VLOOKUP(C225, Sheet2!$A$1:$C$130, 3, TRUE)</f>
        <v>2</v>
      </c>
      <c r="C225">
        <v>96</v>
      </c>
      <c r="D225">
        <v>15.5</v>
      </c>
    </row>
    <row r="226" spans="1:5" x14ac:dyDescent="0.35">
      <c r="A226" t="str">
        <f>VLOOKUP(C226, Sheet2!$A$1:$C$130, 2, TRUE)</f>
        <v>mesic</v>
      </c>
      <c r="B226">
        <f>VLOOKUP(C226, Sheet2!$A$1:$C$130, 3, TRUE)</f>
        <v>2</v>
      </c>
      <c r="C226">
        <v>98</v>
      </c>
      <c r="D226">
        <v>0</v>
      </c>
    </row>
    <row r="227" spans="1:5" x14ac:dyDescent="0.35">
      <c r="A227" t="str">
        <f>VLOOKUP(C227, Sheet2!$A$1:$C$130, 2, TRUE)</f>
        <v>mesic</v>
      </c>
      <c r="B227">
        <f>VLOOKUP(C227, Sheet2!$A$1:$C$130, 3, TRUE)</f>
        <v>2</v>
      </c>
      <c r="C227">
        <v>98</v>
      </c>
      <c r="D227">
        <v>8</v>
      </c>
    </row>
    <row r="228" spans="1:5" x14ac:dyDescent="0.35">
      <c r="A228" t="str">
        <f>VLOOKUP(C228, Sheet2!$A$1:$C$130, 2, TRUE)</f>
        <v>mesic</v>
      </c>
      <c r="B228">
        <f>VLOOKUP(C228, Sheet2!$A$1:$C$130, 3, TRUE)</f>
        <v>2</v>
      </c>
      <c r="C228">
        <v>98</v>
      </c>
      <c r="D228">
        <v>1</v>
      </c>
    </row>
    <row r="229" spans="1:5" x14ac:dyDescent="0.35">
      <c r="A229" t="str">
        <f>VLOOKUP(C229, Sheet2!$A$1:$C$130, 2, TRUE)</f>
        <v>mesic</v>
      </c>
      <c r="B229">
        <f>VLOOKUP(C229, Sheet2!$A$1:$C$130, 3, TRUE)</f>
        <v>2</v>
      </c>
      <c r="C229">
        <v>98</v>
      </c>
      <c r="D229">
        <v>1</v>
      </c>
    </row>
    <row r="230" spans="1:5" x14ac:dyDescent="0.35">
      <c r="A230" t="str">
        <f>VLOOKUP(C230, Sheet2!$A$1:$C$130, 2, TRUE)</f>
        <v>mesic</v>
      </c>
      <c r="B230">
        <f>VLOOKUP(C230, Sheet2!$A$1:$C$130, 3, TRUE)</f>
        <v>2</v>
      </c>
      <c r="C230">
        <v>99</v>
      </c>
      <c r="D230">
        <v>0.5</v>
      </c>
    </row>
    <row r="231" spans="1:5" x14ac:dyDescent="0.35">
      <c r="A231" t="str">
        <f>VLOOKUP(C231, Sheet2!$A$1:$C$130, 2, TRUE)</f>
        <v>mesic</v>
      </c>
      <c r="B231">
        <f>VLOOKUP(C231, Sheet2!$A$1:$C$130, 3, TRUE)</f>
        <v>2</v>
      </c>
      <c r="C231">
        <v>99</v>
      </c>
      <c r="D231">
        <v>0</v>
      </c>
      <c r="E231" t="s">
        <v>6</v>
      </c>
    </row>
    <row r="232" spans="1:5" x14ac:dyDescent="0.35">
      <c r="A232" t="str">
        <f>VLOOKUP(C232, Sheet2!$A$1:$C$130, 2, TRUE)</f>
        <v>mesic</v>
      </c>
      <c r="B232">
        <f>VLOOKUP(C232, Sheet2!$A$1:$C$130, 3, TRUE)</f>
        <v>2</v>
      </c>
      <c r="C232">
        <v>99</v>
      </c>
      <c r="D232">
        <v>25.5</v>
      </c>
      <c r="E232" t="s">
        <v>6</v>
      </c>
    </row>
    <row r="233" spans="1:5" x14ac:dyDescent="0.35">
      <c r="A233" t="str">
        <f>VLOOKUP(C233, Sheet2!$A$1:$C$130, 2, TRUE)</f>
        <v>mesic</v>
      </c>
      <c r="B233">
        <f>VLOOKUP(C233, Sheet2!$A$1:$C$130, 3, TRUE)</f>
        <v>2</v>
      </c>
      <c r="C233">
        <v>99</v>
      </c>
      <c r="D233">
        <v>0.5</v>
      </c>
    </row>
    <row r="234" spans="1:5" x14ac:dyDescent="0.35">
      <c r="A234" t="str">
        <f>VLOOKUP(C234, Sheet2!$A$1:$C$130, 2, TRUE)</f>
        <v>xeric</v>
      </c>
      <c r="B234">
        <f>VLOOKUP(C234, Sheet2!$A$1:$C$130, 3, TRUE)</f>
        <v>2</v>
      </c>
      <c r="C234">
        <v>100</v>
      </c>
      <c r="D234">
        <v>55.5</v>
      </c>
      <c r="E234" t="s">
        <v>49</v>
      </c>
    </row>
    <row r="235" spans="1:5" x14ac:dyDescent="0.35">
      <c r="A235" t="str">
        <f>VLOOKUP(C235, Sheet2!$A$1:$C$130, 2, TRUE)</f>
        <v>xeric</v>
      </c>
      <c r="B235">
        <f>VLOOKUP(C235, Sheet2!$A$1:$C$130, 3, TRUE)</f>
        <v>2</v>
      </c>
      <c r="C235">
        <v>100</v>
      </c>
      <c r="D235">
        <v>75.5</v>
      </c>
      <c r="E235" t="s">
        <v>50</v>
      </c>
    </row>
    <row r="236" spans="1:5" x14ac:dyDescent="0.35">
      <c r="A236" t="str">
        <f>VLOOKUP(C236, Sheet2!$A$1:$C$130, 2, TRUE)</f>
        <v>xeric</v>
      </c>
      <c r="B236">
        <f>VLOOKUP(C236, Sheet2!$A$1:$C$130, 3, TRUE)</f>
        <v>2</v>
      </c>
      <c r="C236">
        <v>100</v>
      </c>
      <c r="D236">
        <v>8</v>
      </c>
      <c r="E236" t="s">
        <v>51</v>
      </c>
    </row>
    <row r="237" spans="1:5" x14ac:dyDescent="0.35">
      <c r="A237" t="str">
        <f>VLOOKUP(C237, Sheet2!$A$1:$C$130, 2, TRUE)</f>
        <v>xeric</v>
      </c>
      <c r="B237">
        <f>VLOOKUP(C237, Sheet2!$A$1:$C$130, 3, TRUE)</f>
        <v>2</v>
      </c>
      <c r="C237">
        <v>100</v>
      </c>
      <c r="E237" t="s">
        <v>52</v>
      </c>
    </row>
    <row r="238" spans="1:5" x14ac:dyDescent="0.35">
      <c r="A238" t="str">
        <f>VLOOKUP(C238, Sheet2!$A$1:$C$130, 2, TRUE)</f>
        <v>xeric</v>
      </c>
      <c r="B238">
        <f>VLOOKUP(C238, Sheet2!$A$1:$C$130, 3, TRUE)</f>
        <v>2</v>
      </c>
      <c r="C238">
        <v>102</v>
      </c>
      <c r="D238">
        <v>75.5</v>
      </c>
      <c r="E238" t="s">
        <v>220</v>
      </c>
    </row>
    <row r="239" spans="1:5" x14ac:dyDescent="0.35">
      <c r="A239" t="str">
        <f>VLOOKUP(C239, Sheet2!$A$1:$C$130, 2, TRUE)</f>
        <v>xeric</v>
      </c>
      <c r="B239">
        <f>VLOOKUP(C239, Sheet2!$A$1:$C$130, 3, TRUE)</f>
        <v>2</v>
      </c>
      <c r="C239">
        <v>102</v>
      </c>
      <c r="D239">
        <v>25.5</v>
      </c>
      <c r="E239" t="s">
        <v>221</v>
      </c>
    </row>
    <row r="240" spans="1:5" x14ac:dyDescent="0.35">
      <c r="A240" t="str">
        <f>VLOOKUP(C240, Sheet2!$A$1:$C$130, 2, TRUE)</f>
        <v>xeric</v>
      </c>
      <c r="B240">
        <f>VLOOKUP(C240, Sheet2!$A$1:$C$130, 3, TRUE)</f>
        <v>2</v>
      </c>
      <c r="C240">
        <v>102</v>
      </c>
      <c r="D240">
        <v>55.5</v>
      </c>
    </row>
    <row r="241" spans="1:5" x14ac:dyDescent="0.35">
      <c r="A241" t="str">
        <f>VLOOKUP(C241, Sheet2!$A$1:$C$130, 2, TRUE)</f>
        <v>xeric</v>
      </c>
      <c r="B241">
        <f>VLOOKUP(C241, Sheet2!$A$1:$C$130, 3, TRUE)</f>
        <v>2</v>
      </c>
      <c r="C241">
        <v>102</v>
      </c>
      <c r="D241">
        <v>8</v>
      </c>
      <c r="E241" t="s">
        <v>222</v>
      </c>
    </row>
    <row r="242" spans="1:5" x14ac:dyDescent="0.35">
      <c r="A242" t="str">
        <f>VLOOKUP(C242, Sheet2!$A$1:$C$130, 2, TRUE)</f>
        <v>mesic</v>
      </c>
      <c r="B242">
        <f>VLOOKUP(C242, Sheet2!$A$1:$C$130, 3, TRUE)</f>
        <v>2</v>
      </c>
      <c r="C242">
        <v>109</v>
      </c>
      <c r="D242">
        <v>0</v>
      </c>
      <c r="E242" t="s">
        <v>46</v>
      </c>
    </row>
    <row r="243" spans="1:5" x14ac:dyDescent="0.35">
      <c r="A243" t="str">
        <f>VLOOKUP(C243, Sheet2!$A$1:$C$130, 2, TRUE)</f>
        <v>mesic</v>
      </c>
      <c r="B243">
        <f>VLOOKUP(C243, Sheet2!$A$1:$C$130, 3, TRUE)</f>
        <v>2</v>
      </c>
      <c r="C243">
        <v>109</v>
      </c>
      <c r="D243">
        <v>0.5</v>
      </c>
      <c r="E243" t="s">
        <v>46</v>
      </c>
    </row>
    <row r="244" spans="1:5" x14ac:dyDescent="0.35">
      <c r="A244" t="str">
        <f>VLOOKUP(C244, Sheet2!$A$1:$C$130, 2, TRUE)</f>
        <v>mesic</v>
      </c>
      <c r="B244">
        <f>VLOOKUP(C244, Sheet2!$A$1:$C$130, 3, TRUE)</f>
        <v>2</v>
      </c>
      <c r="C244">
        <v>109</v>
      </c>
      <c r="D244">
        <v>0.5</v>
      </c>
      <c r="E244" t="s">
        <v>46</v>
      </c>
    </row>
    <row r="245" spans="1:5" x14ac:dyDescent="0.35">
      <c r="A245" t="str">
        <f>VLOOKUP(C245, Sheet2!$A$1:$C$130, 2, TRUE)</f>
        <v>mesic</v>
      </c>
      <c r="B245">
        <f>VLOOKUP(C245, Sheet2!$A$1:$C$130, 3, TRUE)</f>
        <v>2</v>
      </c>
      <c r="C245">
        <v>109</v>
      </c>
      <c r="D245">
        <v>0</v>
      </c>
      <c r="E245" t="s">
        <v>46</v>
      </c>
    </row>
    <row r="246" spans="1:5" x14ac:dyDescent="0.35">
      <c r="A246" t="str">
        <f>VLOOKUP(C246, Sheet2!$A$1:$C$130, 2, TRUE)</f>
        <v>mesic</v>
      </c>
      <c r="B246">
        <f>VLOOKUP(C246, Sheet2!$A$1:$C$130, 3, TRUE)</f>
        <v>2</v>
      </c>
      <c r="C246">
        <v>111</v>
      </c>
      <c r="D246">
        <v>15.5</v>
      </c>
      <c r="E246" t="s">
        <v>60</v>
      </c>
    </row>
    <row r="247" spans="1:5" x14ac:dyDescent="0.35">
      <c r="A247" t="str">
        <f>VLOOKUP(C247, Sheet2!$A$1:$C$130, 2, TRUE)</f>
        <v>mesic</v>
      </c>
      <c r="B247">
        <f>VLOOKUP(C247, Sheet2!$A$1:$C$130, 3, TRUE)</f>
        <v>2</v>
      </c>
      <c r="C247">
        <v>111</v>
      </c>
      <c r="D247">
        <v>8</v>
      </c>
      <c r="E247" t="s">
        <v>61</v>
      </c>
    </row>
    <row r="248" spans="1:5" x14ac:dyDescent="0.35">
      <c r="A248" t="str">
        <f>VLOOKUP(C248, Sheet2!$A$1:$C$130, 2, TRUE)</f>
        <v>mesic</v>
      </c>
      <c r="B248">
        <f>VLOOKUP(C248, Sheet2!$A$1:$C$130, 3, TRUE)</f>
        <v>2</v>
      </c>
      <c r="C248">
        <v>111</v>
      </c>
      <c r="D248">
        <v>3.5</v>
      </c>
      <c r="E248" t="s">
        <v>62</v>
      </c>
    </row>
    <row r="249" spans="1:5" x14ac:dyDescent="0.35">
      <c r="A249" t="str">
        <f>VLOOKUP(C249, Sheet2!$A$1:$C$130, 2, TRUE)</f>
        <v>mesic</v>
      </c>
      <c r="B249">
        <f>VLOOKUP(C249, Sheet2!$A$1:$C$130, 3, TRUE)</f>
        <v>2</v>
      </c>
      <c r="C249">
        <v>111</v>
      </c>
      <c r="D249">
        <v>25.5</v>
      </c>
      <c r="E249" t="s">
        <v>63</v>
      </c>
    </row>
    <row r="250" spans="1:5" x14ac:dyDescent="0.35">
      <c r="A250" t="str">
        <f>VLOOKUP(C250, Sheet2!$A$1:$C$130, 2, TRUE)</f>
        <v>mesic</v>
      </c>
      <c r="B250">
        <f>VLOOKUP(C250, Sheet2!$A$1:$C$130, 3, TRUE)</f>
        <v>3</v>
      </c>
      <c r="C250">
        <v>5</v>
      </c>
      <c r="D250">
        <v>0</v>
      </c>
      <c r="E250" t="s">
        <v>192</v>
      </c>
    </row>
    <row r="251" spans="1:5" x14ac:dyDescent="0.35">
      <c r="A251" t="str">
        <f>VLOOKUP(C251, Sheet2!$A$1:$C$130, 2, TRUE)</f>
        <v>mesic</v>
      </c>
      <c r="B251">
        <f>VLOOKUP(C251, Sheet2!$A$1:$C$130, 3, TRUE)</f>
        <v>3</v>
      </c>
      <c r="C251">
        <v>5</v>
      </c>
      <c r="D251">
        <v>3.5</v>
      </c>
      <c r="E251" t="s">
        <v>193</v>
      </c>
    </row>
    <row r="252" spans="1:5" x14ac:dyDescent="0.35">
      <c r="A252" t="str">
        <f>VLOOKUP(C252, Sheet2!$A$1:$C$130, 2, TRUE)</f>
        <v>mesic</v>
      </c>
      <c r="B252">
        <f>VLOOKUP(C252, Sheet2!$A$1:$C$130, 3, TRUE)</f>
        <v>3</v>
      </c>
      <c r="C252">
        <v>5</v>
      </c>
      <c r="D252">
        <v>3.5</v>
      </c>
      <c r="E252" t="s">
        <v>194</v>
      </c>
    </row>
    <row r="253" spans="1:5" x14ac:dyDescent="0.35">
      <c r="A253" t="str">
        <f>VLOOKUP(C253, Sheet2!$A$1:$C$130, 2, TRUE)</f>
        <v>mesic</v>
      </c>
      <c r="B253">
        <f>VLOOKUP(C253, Sheet2!$A$1:$C$130, 3, TRUE)</f>
        <v>3</v>
      </c>
      <c r="C253">
        <v>5</v>
      </c>
      <c r="D253">
        <v>0</v>
      </c>
      <c r="E253" t="s">
        <v>195</v>
      </c>
    </row>
    <row r="254" spans="1:5" x14ac:dyDescent="0.35">
      <c r="A254" t="str">
        <f>VLOOKUP(C254, Sheet2!$A$1:$C$130, 2, TRUE)</f>
        <v>mesic</v>
      </c>
      <c r="B254">
        <f>VLOOKUP(C254, Sheet2!$A$1:$C$130, 3, TRUE)</f>
        <v>3</v>
      </c>
      <c r="C254">
        <v>17</v>
      </c>
      <c r="D254">
        <v>3.5</v>
      </c>
      <c r="E254" t="s">
        <v>20</v>
      </c>
    </row>
    <row r="255" spans="1:5" x14ac:dyDescent="0.35">
      <c r="A255" t="str">
        <f>VLOOKUP(C255, Sheet2!$A$1:$C$130, 2, TRUE)</f>
        <v>mesic</v>
      </c>
      <c r="B255">
        <f>VLOOKUP(C255, Sheet2!$A$1:$C$130, 3, TRUE)</f>
        <v>3</v>
      </c>
      <c r="C255">
        <v>17</v>
      </c>
      <c r="D255">
        <v>0.5</v>
      </c>
      <c r="E255" t="s">
        <v>208</v>
      </c>
    </row>
    <row r="256" spans="1:5" x14ac:dyDescent="0.35">
      <c r="A256" t="str">
        <f>VLOOKUP(C256, Sheet2!$A$1:$C$130, 2, TRUE)</f>
        <v>mesic</v>
      </c>
      <c r="B256">
        <f>VLOOKUP(C256, Sheet2!$A$1:$C$130, 3, TRUE)</f>
        <v>3</v>
      </c>
      <c r="C256">
        <v>17</v>
      </c>
      <c r="D256">
        <v>8</v>
      </c>
      <c r="E256" t="s">
        <v>209</v>
      </c>
    </row>
    <row r="257" spans="1:5" x14ac:dyDescent="0.35">
      <c r="A257" t="str">
        <f>VLOOKUP(C257, Sheet2!$A$1:$C$130, 2, TRUE)</f>
        <v>mesic</v>
      </c>
      <c r="B257">
        <f>VLOOKUP(C257, Sheet2!$A$1:$C$130, 3, TRUE)</f>
        <v>3</v>
      </c>
      <c r="C257">
        <v>17</v>
      </c>
      <c r="D257">
        <v>0</v>
      </c>
      <c r="E257" t="s">
        <v>210</v>
      </c>
    </row>
    <row r="258" spans="1:5" x14ac:dyDescent="0.35">
      <c r="A258" t="str">
        <f>VLOOKUP(C258, Sheet2!$A$1:$C$130, 2, TRUE)</f>
        <v>xeric</v>
      </c>
      <c r="B258">
        <f>VLOOKUP(C258, Sheet2!$A$1:$C$130, 3, TRUE)</f>
        <v>3</v>
      </c>
      <c r="C258">
        <v>25</v>
      </c>
      <c r="D258">
        <v>0</v>
      </c>
    </row>
    <row r="259" spans="1:5" x14ac:dyDescent="0.35">
      <c r="A259" t="str">
        <f>VLOOKUP(C259, Sheet2!$A$1:$C$130, 2, TRUE)</f>
        <v>xeric</v>
      </c>
      <c r="B259">
        <f>VLOOKUP(C259, Sheet2!$A$1:$C$130, 3, TRUE)</f>
        <v>3</v>
      </c>
      <c r="C259">
        <v>25</v>
      </c>
      <c r="D259">
        <v>1</v>
      </c>
    </row>
    <row r="260" spans="1:5" x14ac:dyDescent="0.35">
      <c r="A260" t="str">
        <f>VLOOKUP(C260, Sheet2!$A$1:$C$130, 2, TRUE)</f>
        <v>xeric</v>
      </c>
      <c r="B260">
        <f>VLOOKUP(C260, Sheet2!$A$1:$C$130, 3, TRUE)</f>
        <v>3</v>
      </c>
      <c r="C260">
        <v>25</v>
      </c>
      <c r="D260">
        <v>3.5</v>
      </c>
      <c r="E260" t="s">
        <v>16</v>
      </c>
    </row>
    <row r="261" spans="1:5" x14ac:dyDescent="0.35">
      <c r="A261" t="str">
        <f>VLOOKUP(C261, Sheet2!$A$1:$C$130, 2, TRUE)</f>
        <v>xeric</v>
      </c>
      <c r="B261">
        <f>VLOOKUP(C261, Sheet2!$A$1:$C$130, 3, TRUE)</f>
        <v>3</v>
      </c>
      <c r="C261">
        <v>25</v>
      </c>
      <c r="D261">
        <v>15.5</v>
      </c>
      <c r="E261" t="s">
        <v>17</v>
      </c>
    </row>
    <row r="262" spans="1:5" x14ac:dyDescent="0.35">
      <c r="A262" t="str">
        <f>VLOOKUP(C262, Sheet2!$A$1:$C$130, 2, TRUE)</f>
        <v>xeric</v>
      </c>
      <c r="B262">
        <f>VLOOKUP(C262, Sheet2!$A$1:$C$130, 3, TRUE)</f>
        <v>3</v>
      </c>
      <c r="C262">
        <v>28</v>
      </c>
      <c r="D262">
        <v>3.5</v>
      </c>
      <c r="E262" t="s">
        <v>46</v>
      </c>
    </row>
    <row r="263" spans="1:5" x14ac:dyDescent="0.35">
      <c r="A263" t="str">
        <f>VLOOKUP(C263, Sheet2!$A$1:$C$130, 2, TRUE)</f>
        <v>xeric</v>
      </c>
      <c r="B263">
        <f>VLOOKUP(C263, Sheet2!$A$1:$C$130, 3, TRUE)</f>
        <v>3</v>
      </c>
      <c r="C263">
        <v>28</v>
      </c>
      <c r="D263">
        <v>0</v>
      </c>
      <c r="E263" t="s">
        <v>141</v>
      </c>
    </row>
    <row r="264" spans="1:5" x14ac:dyDescent="0.35">
      <c r="A264" t="str">
        <f>VLOOKUP(C264, Sheet2!$A$1:$C$130, 2, TRUE)</f>
        <v>xeric</v>
      </c>
      <c r="B264">
        <f>VLOOKUP(C264, Sheet2!$A$1:$C$130, 3, TRUE)</f>
        <v>3</v>
      </c>
      <c r="C264">
        <v>28</v>
      </c>
      <c r="D264">
        <v>0</v>
      </c>
      <c r="E264" t="s">
        <v>46</v>
      </c>
    </row>
    <row r="265" spans="1:5" x14ac:dyDescent="0.35">
      <c r="A265" t="str">
        <f>VLOOKUP(C265, Sheet2!$A$1:$C$130, 2, TRUE)</f>
        <v>xeric</v>
      </c>
      <c r="B265">
        <f>VLOOKUP(C265, Sheet2!$A$1:$C$130, 3, TRUE)</f>
        <v>3</v>
      </c>
      <c r="C265">
        <v>28</v>
      </c>
      <c r="D265">
        <v>0.5</v>
      </c>
      <c r="E265" t="s">
        <v>46</v>
      </c>
    </row>
    <row r="266" spans="1:5" x14ac:dyDescent="0.35">
      <c r="A266" t="str">
        <f>VLOOKUP(C266, Sheet2!$A$1:$C$130, 2, TRUE)</f>
        <v>mesic</v>
      </c>
      <c r="B266">
        <f>VLOOKUP(C266, Sheet2!$A$1:$C$130, 3, TRUE)</f>
        <v>3</v>
      </c>
      <c r="C266">
        <v>52</v>
      </c>
      <c r="D266">
        <v>55.5</v>
      </c>
    </row>
    <row r="267" spans="1:5" x14ac:dyDescent="0.35">
      <c r="A267" t="str">
        <f>VLOOKUP(C267, Sheet2!$A$1:$C$130, 2, TRUE)</f>
        <v>mesic</v>
      </c>
      <c r="B267">
        <f>VLOOKUP(C267, Sheet2!$A$1:$C$130, 3, TRUE)</f>
        <v>3</v>
      </c>
      <c r="C267">
        <v>52</v>
      </c>
      <c r="D267">
        <v>25.5</v>
      </c>
      <c r="E267" t="s">
        <v>9</v>
      </c>
    </row>
    <row r="268" spans="1:5" x14ac:dyDescent="0.35">
      <c r="A268" t="str">
        <f>VLOOKUP(C268, Sheet2!$A$1:$C$130, 2, TRUE)</f>
        <v>mesic</v>
      </c>
      <c r="B268">
        <f>VLOOKUP(C268, Sheet2!$A$1:$C$130, 3, TRUE)</f>
        <v>3</v>
      </c>
      <c r="C268">
        <v>52</v>
      </c>
      <c r="D268">
        <v>25.5</v>
      </c>
      <c r="E268" t="s">
        <v>10</v>
      </c>
    </row>
    <row r="269" spans="1:5" x14ac:dyDescent="0.35">
      <c r="A269" t="str">
        <f>VLOOKUP(C269, Sheet2!$A$1:$C$130, 2, TRUE)</f>
        <v>mesic</v>
      </c>
      <c r="B269">
        <f>VLOOKUP(C269, Sheet2!$A$1:$C$130, 3, TRUE)</f>
        <v>3</v>
      </c>
      <c r="C269">
        <v>52</v>
      </c>
      <c r="D269">
        <v>45.5</v>
      </c>
      <c r="E269" t="s">
        <v>11</v>
      </c>
    </row>
    <row r="270" spans="1:5" x14ac:dyDescent="0.35">
      <c r="A270" t="str">
        <f>VLOOKUP(C270, Sheet2!$A$1:$C$130, 2, TRUE)</f>
        <v>mesic</v>
      </c>
      <c r="B270">
        <f>VLOOKUP(C270, Sheet2!$A$1:$C$130, 3, TRUE)</f>
        <v>3</v>
      </c>
      <c r="C270">
        <v>54</v>
      </c>
      <c r="D270">
        <v>35.5</v>
      </c>
      <c r="E270" t="s">
        <v>12</v>
      </c>
    </row>
    <row r="271" spans="1:5" x14ac:dyDescent="0.35">
      <c r="A271" t="str">
        <f>VLOOKUP(C271, Sheet2!$A$1:$C$130, 2, TRUE)</f>
        <v>mesic</v>
      </c>
      <c r="B271">
        <f>VLOOKUP(C271, Sheet2!$A$1:$C$130, 3, TRUE)</f>
        <v>3</v>
      </c>
      <c r="C271">
        <v>54</v>
      </c>
      <c r="D271">
        <v>35.5</v>
      </c>
    </row>
    <row r="272" spans="1:5" x14ac:dyDescent="0.35">
      <c r="A272" t="str">
        <f>VLOOKUP(C272, Sheet2!$A$1:$C$130, 2, TRUE)</f>
        <v>mesic</v>
      </c>
      <c r="B272">
        <f>VLOOKUP(C272, Sheet2!$A$1:$C$130, 3, TRUE)</f>
        <v>3</v>
      </c>
      <c r="C272">
        <v>54</v>
      </c>
      <c r="D272">
        <v>3.5</v>
      </c>
    </row>
    <row r="273" spans="1:5" x14ac:dyDescent="0.35">
      <c r="A273" t="str">
        <f>VLOOKUP(C273, Sheet2!$A$1:$C$130, 2, TRUE)</f>
        <v>mesic</v>
      </c>
      <c r="B273">
        <f>VLOOKUP(C273, Sheet2!$A$1:$C$130, 3, TRUE)</f>
        <v>3</v>
      </c>
      <c r="C273">
        <v>54</v>
      </c>
      <c r="D273">
        <v>35.5</v>
      </c>
      <c r="E273" t="s">
        <v>7</v>
      </c>
    </row>
    <row r="274" spans="1:5" x14ac:dyDescent="0.35">
      <c r="A274" t="str">
        <f>VLOOKUP(C274, Sheet2!$A$1:$C$130, 2, TRUE)</f>
        <v>hydric</v>
      </c>
      <c r="B274">
        <f>VLOOKUP(C274, Sheet2!$A$1:$C$130, 3, TRUE)</f>
        <v>3</v>
      </c>
      <c r="C274">
        <v>65</v>
      </c>
      <c r="D274">
        <v>0.5</v>
      </c>
      <c r="E274" t="s">
        <v>214</v>
      </c>
    </row>
    <row r="275" spans="1:5" x14ac:dyDescent="0.35">
      <c r="A275" t="str">
        <f>VLOOKUP(C275, Sheet2!$A$1:$C$130, 2, TRUE)</f>
        <v>hydric</v>
      </c>
      <c r="B275">
        <f>VLOOKUP(C275, Sheet2!$A$1:$C$130, 3, TRUE)</f>
        <v>3</v>
      </c>
      <c r="C275">
        <v>65</v>
      </c>
      <c r="D275">
        <v>8</v>
      </c>
      <c r="E275" t="s">
        <v>215</v>
      </c>
    </row>
    <row r="276" spans="1:5" x14ac:dyDescent="0.35">
      <c r="A276" t="str">
        <f>VLOOKUP(C276, Sheet2!$A$1:$C$130, 2, TRUE)</f>
        <v>hydric</v>
      </c>
      <c r="B276">
        <f>VLOOKUP(C276, Sheet2!$A$1:$C$130, 3, TRUE)</f>
        <v>3</v>
      </c>
      <c r="C276">
        <v>65</v>
      </c>
      <c r="D276">
        <v>3.5</v>
      </c>
      <c r="E276" t="s">
        <v>20</v>
      </c>
    </row>
    <row r="277" spans="1:5" x14ac:dyDescent="0.35">
      <c r="A277" t="str">
        <f>VLOOKUP(C277, Sheet2!$A$1:$C$130, 2, TRUE)</f>
        <v>hydric</v>
      </c>
      <c r="B277">
        <f>VLOOKUP(C277, Sheet2!$A$1:$C$130, 3, TRUE)</f>
        <v>3</v>
      </c>
      <c r="C277">
        <v>65</v>
      </c>
      <c r="D277">
        <v>3.5</v>
      </c>
      <c r="E277" t="s">
        <v>216</v>
      </c>
    </row>
    <row r="278" spans="1:5" x14ac:dyDescent="0.35">
      <c r="A278" t="str">
        <f>VLOOKUP(C278, Sheet2!$A$1:$C$130, 2, TRUE)</f>
        <v>mesic</v>
      </c>
      <c r="B278">
        <f>VLOOKUP(C278, Sheet2!$A$1:$C$130, 3, TRUE)</f>
        <v>3</v>
      </c>
      <c r="C278">
        <v>68</v>
      </c>
      <c r="D278">
        <v>3.5</v>
      </c>
      <c r="E278" t="s">
        <v>46</v>
      </c>
    </row>
    <row r="279" spans="1:5" x14ac:dyDescent="0.35">
      <c r="A279" t="str">
        <f>VLOOKUP(C279, Sheet2!$A$1:$C$130, 2, TRUE)</f>
        <v>mesic</v>
      </c>
      <c r="B279">
        <f>VLOOKUP(C279, Sheet2!$A$1:$C$130, 3, TRUE)</f>
        <v>3</v>
      </c>
      <c r="C279">
        <v>68</v>
      </c>
      <c r="D279">
        <v>65.5</v>
      </c>
    </row>
    <row r="280" spans="1:5" x14ac:dyDescent="0.35">
      <c r="A280" t="str">
        <f>VLOOKUP(C280, Sheet2!$A$1:$C$130, 2, TRUE)</f>
        <v>mesic</v>
      </c>
      <c r="B280">
        <f>VLOOKUP(C280, Sheet2!$A$1:$C$130, 3, TRUE)</f>
        <v>3</v>
      </c>
      <c r="C280">
        <v>68</v>
      </c>
      <c r="D280">
        <v>0</v>
      </c>
      <c r="E280" t="s">
        <v>65</v>
      </c>
    </row>
    <row r="281" spans="1:5" x14ac:dyDescent="0.35">
      <c r="A281" t="str">
        <f>VLOOKUP(C281, Sheet2!$A$1:$C$130, 2, TRUE)</f>
        <v>mesic</v>
      </c>
      <c r="B281">
        <f>VLOOKUP(C281, Sheet2!$A$1:$C$130, 3, TRUE)</f>
        <v>3</v>
      </c>
      <c r="C281">
        <v>68</v>
      </c>
      <c r="D281">
        <v>15.5</v>
      </c>
      <c r="E281" t="s">
        <v>66</v>
      </c>
    </row>
    <row r="282" spans="1:5" x14ac:dyDescent="0.35">
      <c r="A282" t="str">
        <f>VLOOKUP(C282, Sheet2!$A$1:$C$130, 2, TRUE)</f>
        <v>hydric</v>
      </c>
      <c r="B282">
        <f>VLOOKUP(C282, Sheet2!$A$1:$C$130, 3, TRUE)</f>
        <v>3</v>
      </c>
      <c r="C282">
        <v>70</v>
      </c>
      <c r="D282">
        <v>35.5</v>
      </c>
      <c r="E282" t="s">
        <v>67</v>
      </c>
    </row>
    <row r="283" spans="1:5" x14ac:dyDescent="0.35">
      <c r="A283" t="str">
        <f>VLOOKUP(C283, Sheet2!$A$1:$C$130, 2, TRUE)</f>
        <v>hydric</v>
      </c>
      <c r="B283">
        <f>VLOOKUP(C283, Sheet2!$A$1:$C$130, 3, TRUE)</f>
        <v>3</v>
      </c>
      <c r="C283">
        <v>70</v>
      </c>
      <c r="D283">
        <v>3.5</v>
      </c>
      <c r="E283" t="s">
        <v>68</v>
      </c>
    </row>
    <row r="284" spans="1:5" x14ac:dyDescent="0.35">
      <c r="A284" t="str">
        <f>VLOOKUP(C284, Sheet2!$A$1:$C$130, 2, TRUE)</f>
        <v>hydric</v>
      </c>
      <c r="B284">
        <f>VLOOKUP(C284, Sheet2!$A$1:$C$130, 3, TRUE)</f>
        <v>3</v>
      </c>
      <c r="C284">
        <v>70</v>
      </c>
      <c r="D284">
        <v>15.5</v>
      </c>
      <c r="E284" t="s">
        <v>69</v>
      </c>
    </row>
    <row r="285" spans="1:5" x14ac:dyDescent="0.35">
      <c r="A285" t="str">
        <f>VLOOKUP(C285, Sheet2!$A$1:$C$130, 2, TRUE)</f>
        <v>hydric</v>
      </c>
      <c r="B285">
        <f>VLOOKUP(C285, Sheet2!$A$1:$C$130, 3, TRUE)</f>
        <v>3</v>
      </c>
      <c r="C285">
        <v>70</v>
      </c>
      <c r="D285">
        <v>15.5</v>
      </c>
      <c r="E285" t="s">
        <v>70</v>
      </c>
    </row>
    <row r="286" spans="1:5" x14ac:dyDescent="0.35">
      <c r="A286" t="str">
        <f>VLOOKUP(C286, Sheet2!$A$1:$C$130, 2, TRUE)</f>
        <v>xeric</v>
      </c>
      <c r="B286">
        <f>VLOOKUP(C286, Sheet2!$A$1:$C$130, 3, TRUE)</f>
        <v>3</v>
      </c>
      <c r="C286">
        <v>74</v>
      </c>
      <c r="D286">
        <v>0</v>
      </c>
    </row>
    <row r="287" spans="1:5" x14ac:dyDescent="0.35">
      <c r="A287" t="str">
        <f>VLOOKUP(C287, Sheet2!$A$1:$C$130, 2, TRUE)</f>
        <v>xeric</v>
      </c>
      <c r="B287">
        <f>VLOOKUP(C287, Sheet2!$A$1:$C$130, 3, TRUE)</f>
        <v>3</v>
      </c>
      <c r="C287">
        <v>74</v>
      </c>
      <c r="D287">
        <v>15.5</v>
      </c>
    </row>
    <row r="288" spans="1:5" x14ac:dyDescent="0.35">
      <c r="A288" t="str">
        <f>VLOOKUP(C288, Sheet2!$A$1:$C$130, 2, TRUE)</f>
        <v>xeric</v>
      </c>
      <c r="B288">
        <f>VLOOKUP(C288, Sheet2!$A$1:$C$130, 3, TRUE)</f>
        <v>3</v>
      </c>
      <c r="C288">
        <v>74</v>
      </c>
      <c r="D288">
        <v>0</v>
      </c>
    </row>
    <row r="289" spans="1:5" x14ac:dyDescent="0.35">
      <c r="A289" t="str">
        <f>VLOOKUP(C289, Sheet2!$A$1:$C$130, 2, TRUE)</f>
        <v>xeric</v>
      </c>
      <c r="B289">
        <f>VLOOKUP(C289, Sheet2!$A$1:$C$130, 3, TRUE)</f>
        <v>3</v>
      </c>
      <c r="C289">
        <v>74</v>
      </c>
      <c r="D289">
        <v>1</v>
      </c>
    </row>
    <row r="290" spans="1:5" x14ac:dyDescent="0.35">
      <c r="A290" t="str">
        <f>VLOOKUP(C290, Sheet2!$A$1:$C$130, 2, TRUE)</f>
        <v>mesic</v>
      </c>
      <c r="B290">
        <f>VLOOKUP(C290, Sheet2!$A$1:$C$130, 3, TRUE)</f>
        <v>3</v>
      </c>
      <c r="C290">
        <v>79</v>
      </c>
      <c r="D290">
        <v>75.5</v>
      </c>
    </row>
    <row r="291" spans="1:5" x14ac:dyDescent="0.35">
      <c r="A291" t="str">
        <f>VLOOKUP(C291, Sheet2!$A$1:$C$130, 2, TRUE)</f>
        <v>mesic</v>
      </c>
      <c r="B291">
        <f>VLOOKUP(C291, Sheet2!$A$1:$C$130, 3, TRUE)</f>
        <v>3</v>
      </c>
      <c r="C291">
        <v>79</v>
      </c>
      <c r="D291">
        <v>85.5</v>
      </c>
      <c r="E291" t="s">
        <v>152</v>
      </c>
    </row>
    <row r="292" spans="1:5" x14ac:dyDescent="0.35">
      <c r="A292" t="str">
        <f>VLOOKUP(C292, Sheet2!$A$1:$C$130, 2, TRUE)</f>
        <v>mesic</v>
      </c>
      <c r="B292">
        <f>VLOOKUP(C292, Sheet2!$A$1:$C$130, 3, TRUE)</f>
        <v>3</v>
      </c>
      <c r="C292">
        <v>79</v>
      </c>
      <c r="D292">
        <v>0</v>
      </c>
      <c r="E292" t="s">
        <v>153</v>
      </c>
    </row>
    <row r="293" spans="1:5" x14ac:dyDescent="0.35">
      <c r="A293" t="str">
        <f>VLOOKUP(C293, Sheet2!$A$1:$C$130, 2, TRUE)</f>
        <v>mesic</v>
      </c>
      <c r="B293">
        <f>VLOOKUP(C293, Sheet2!$A$1:$C$130, 3, TRUE)</f>
        <v>3</v>
      </c>
      <c r="C293">
        <v>79</v>
      </c>
      <c r="D293">
        <v>45.5</v>
      </c>
      <c r="E293" t="s">
        <v>154</v>
      </c>
    </row>
    <row r="294" spans="1:5" x14ac:dyDescent="0.35">
      <c r="A294" t="str">
        <f>VLOOKUP(C294, Sheet2!$A$1:$C$130, 2, TRUE)</f>
        <v>mesic</v>
      </c>
      <c r="B294">
        <f>VLOOKUP(C294, Sheet2!$A$1:$C$130, 3, TRUE)</f>
        <v>3</v>
      </c>
      <c r="C294" s="3">
        <v>86</v>
      </c>
      <c r="D294" s="3">
        <v>65.5</v>
      </c>
      <c r="E294" s="3" t="s">
        <v>34</v>
      </c>
    </row>
    <row r="295" spans="1:5" x14ac:dyDescent="0.35">
      <c r="A295" t="str">
        <f>VLOOKUP(C295, Sheet2!$A$1:$C$130, 2, TRUE)</f>
        <v>mesic</v>
      </c>
      <c r="B295">
        <f>VLOOKUP(C295, Sheet2!$A$1:$C$130, 3, TRUE)</f>
        <v>3</v>
      </c>
      <c r="C295">
        <v>86</v>
      </c>
      <c r="D295">
        <v>45.5</v>
      </c>
    </row>
    <row r="296" spans="1:5" x14ac:dyDescent="0.35">
      <c r="A296" t="str">
        <f>VLOOKUP(C296, Sheet2!$A$1:$C$130, 2, TRUE)</f>
        <v>mesic</v>
      </c>
      <c r="B296">
        <f>VLOOKUP(C296, Sheet2!$A$1:$C$130, 3, TRUE)</f>
        <v>3</v>
      </c>
      <c r="C296">
        <v>86</v>
      </c>
      <c r="D296">
        <v>15.5</v>
      </c>
      <c r="E296" t="s">
        <v>35</v>
      </c>
    </row>
    <row r="297" spans="1:5" x14ac:dyDescent="0.35">
      <c r="A297" t="str">
        <f>VLOOKUP(C297, Sheet2!$A$1:$C$130, 2, TRUE)</f>
        <v>mesic</v>
      </c>
      <c r="B297">
        <f>VLOOKUP(C297, Sheet2!$A$1:$C$130, 3, TRUE)</f>
        <v>3</v>
      </c>
      <c r="C297">
        <v>86</v>
      </c>
      <c r="D297">
        <v>35.5</v>
      </c>
    </row>
    <row r="298" spans="1:5" x14ac:dyDescent="0.35">
      <c r="A298" t="str">
        <f>VLOOKUP(C298, Sheet2!$A$1:$C$130, 2, TRUE)</f>
        <v>mesic</v>
      </c>
      <c r="B298">
        <f>VLOOKUP(C298, Sheet2!$A$1:$C$130, 3, TRUE)</f>
        <v>3</v>
      </c>
      <c r="C298">
        <v>87</v>
      </c>
      <c r="D298">
        <v>35.5</v>
      </c>
      <c r="E298" t="s">
        <v>82</v>
      </c>
    </row>
    <row r="299" spans="1:5" x14ac:dyDescent="0.35">
      <c r="A299" t="str">
        <f>VLOOKUP(C299, Sheet2!$A$1:$C$130, 2, TRUE)</f>
        <v>mesic</v>
      </c>
      <c r="B299">
        <f>VLOOKUP(C299, Sheet2!$A$1:$C$130, 3, TRUE)</f>
        <v>3</v>
      </c>
      <c r="C299">
        <v>87</v>
      </c>
      <c r="D299">
        <v>15.5</v>
      </c>
      <c r="E299" t="s">
        <v>83</v>
      </c>
    </row>
    <row r="300" spans="1:5" x14ac:dyDescent="0.35">
      <c r="A300" t="str">
        <f>VLOOKUP(C300, Sheet2!$A$1:$C$130, 2, TRUE)</f>
        <v>mesic</v>
      </c>
      <c r="B300">
        <f>VLOOKUP(C300, Sheet2!$A$1:$C$130, 3, TRUE)</f>
        <v>3</v>
      </c>
      <c r="C300">
        <v>87</v>
      </c>
      <c r="D300">
        <v>45.5</v>
      </c>
      <c r="E300" t="s">
        <v>46</v>
      </c>
    </row>
    <row r="301" spans="1:5" x14ac:dyDescent="0.35">
      <c r="A301" t="str">
        <f>VLOOKUP(C301, Sheet2!$A$1:$C$130, 2, TRUE)</f>
        <v>mesic</v>
      </c>
      <c r="B301">
        <f>VLOOKUP(C301, Sheet2!$A$1:$C$130, 3, TRUE)</f>
        <v>3</v>
      </c>
      <c r="C301">
        <v>87</v>
      </c>
      <c r="D301">
        <v>15.5</v>
      </c>
      <c r="E301" t="s">
        <v>84</v>
      </c>
    </row>
    <row r="302" spans="1:5" x14ac:dyDescent="0.35">
      <c r="A302" t="str">
        <f>VLOOKUP(C302, Sheet2!$A$1:$C$130, 2, TRUE)</f>
        <v>mesic</v>
      </c>
      <c r="B302">
        <f>VLOOKUP(C302, Sheet2!$A$1:$C$130, 3, TRUE)</f>
        <v>3</v>
      </c>
      <c r="C302">
        <v>97</v>
      </c>
      <c r="D302">
        <v>3.5</v>
      </c>
    </row>
    <row r="303" spans="1:5" x14ac:dyDescent="0.35">
      <c r="A303" t="str">
        <f>VLOOKUP(C303, Sheet2!$A$1:$C$130, 2, TRUE)</f>
        <v>mesic</v>
      </c>
      <c r="B303">
        <f>VLOOKUP(C303, Sheet2!$A$1:$C$130, 3, TRUE)</f>
        <v>3</v>
      </c>
      <c r="C303">
        <v>97</v>
      </c>
      <c r="D303">
        <v>8</v>
      </c>
    </row>
    <row r="304" spans="1:5" x14ac:dyDescent="0.35">
      <c r="A304" t="str">
        <f>VLOOKUP(C304, Sheet2!$A$1:$C$130, 2, TRUE)</f>
        <v>mesic</v>
      </c>
      <c r="B304">
        <f>VLOOKUP(C304, Sheet2!$A$1:$C$130, 3, TRUE)</f>
        <v>3</v>
      </c>
      <c r="C304">
        <v>97</v>
      </c>
      <c r="D304">
        <v>25.5</v>
      </c>
    </row>
    <row r="305" spans="1:5" x14ac:dyDescent="0.35">
      <c r="A305" t="str">
        <f>VLOOKUP(C305, Sheet2!$A$1:$C$130, 2, TRUE)</f>
        <v>mesic</v>
      </c>
      <c r="B305">
        <f>VLOOKUP(C305, Sheet2!$A$1:$C$130, 3, TRUE)</f>
        <v>3</v>
      </c>
      <c r="C305">
        <v>97</v>
      </c>
      <c r="D305">
        <v>35.5</v>
      </c>
    </row>
    <row r="306" spans="1:5" x14ac:dyDescent="0.35">
      <c r="A306" t="str">
        <f>VLOOKUP(C306, Sheet2!$A$1:$C$130, 2, TRUE)</f>
        <v>mesic</v>
      </c>
      <c r="B306">
        <f>VLOOKUP(C306, Sheet2!$A$1:$C$130, 3, TRUE)</f>
        <v>3</v>
      </c>
      <c r="C306">
        <v>110</v>
      </c>
      <c r="D306">
        <v>8</v>
      </c>
      <c r="E306" t="s">
        <v>59</v>
      </c>
    </row>
    <row r="307" spans="1:5" x14ac:dyDescent="0.35">
      <c r="A307" t="str">
        <f>VLOOKUP(C307, Sheet2!$A$1:$C$130, 2, TRUE)</f>
        <v>mesic</v>
      </c>
      <c r="B307">
        <f>VLOOKUP(C307, Sheet2!$A$1:$C$130, 3, TRUE)</f>
        <v>3</v>
      </c>
      <c r="C307">
        <v>110</v>
      </c>
      <c r="D307">
        <v>25.5</v>
      </c>
    </row>
    <row r="308" spans="1:5" x14ac:dyDescent="0.35">
      <c r="A308" t="str">
        <f>VLOOKUP(C308, Sheet2!$A$1:$C$130, 2, TRUE)</f>
        <v>mesic</v>
      </c>
      <c r="B308">
        <f>VLOOKUP(C308, Sheet2!$A$1:$C$130, 3, TRUE)</f>
        <v>3</v>
      </c>
      <c r="C308">
        <v>110</v>
      </c>
      <c r="D308">
        <v>3.5</v>
      </c>
    </row>
    <row r="309" spans="1:5" x14ac:dyDescent="0.35">
      <c r="A309" t="str">
        <f>VLOOKUP(C309, Sheet2!$A$1:$C$130, 2, TRUE)</f>
        <v>mesic</v>
      </c>
      <c r="B309">
        <f>VLOOKUP(C309, Sheet2!$A$1:$C$130, 3, TRUE)</f>
        <v>3</v>
      </c>
      <c r="C309">
        <v>110</v>
      </c>
      <c r="D309">
        <v>0</v>
      </c>
    </row>
    <row r="310" spans="1:5" x14ac:dyDescent="0.35">
      <c r="A310" t="str">
        <f>VLOOKUP(C310, Sheet2!$A$1:$C$130, 2, TRUE)</f>
        <v>mesic</v>
      </c>
      <c r="B310">
        <f>VLOOKUP(C310, Sheet2!$A$1:$C$130, 3, TRUE)</f>
        <v>4</v>
      </c>
      <c r="C310">
        <v>18</v>
      </c>
      <c r="D310">
        <v>15.5</v>
      </c>
      <c r="E310" t="s">
        <v>130</v>
      </c>
    </row>
    <row r="311" spans="1:5" x14ac:dyDescent="0.35">
      <c r="A311" t="str">
        <f>VLOOKUP(C311, Sheet2!$A$1:$C$130, 2, TRUE)</f>
        <v>mesic</v>
      </c>
      <c r="B311">
        <f>VLOOKUP(C311, Sheet2!$A$1:$C$130, 3, TRUE)</f>
        <v>4</v>
      </c>
      <c r="C311">
        <v>18</v>
      </c>
      <c r="D311">
        <v>0</v>
      </c>
      <c r="E311" t="s">
        <v>131</v>
      </c>
    </row>
    <row r="312" spans="1:5" x14ac:dyDescent="0.35">
      <c r="A312" t="str">
        <f>VLOOKUP(C312, Sheet2!$A$1:$C$130, 2, TRUE)</f>
        <v>mesic</v>
      </c>
      <c r="B312">
        <f>VLOOKUP(C312, Sheet2!$A$1:$C$130, 3, TRUE)</f>
        <v>4</v>
      </c>
      <c r="C312">
        <v>18</v>
      </c>
      <c r="D312">
        <v>8</v>
      </c>
      <c r="E312" t="s">
        <v>132</v>
      </c>
    </row>
    <row r="313" spans="1:5" x14ac:dyDescent="0.35">
      <c r="A313" t="str">
        <f>VLOOKUP(C313, Sheet2!$A$1:$C$130, 2, TRUE)</f>
        <v>mesic</v>
      </c>
      <c r="B313">
        <f>VLOOKUP(C313, Sheet2!$A$1:$C$130, 3, TRUE)</f>
        <v>4</v>
      </c>
      <c r="C313">
        <v>18</v>
      </c>
      <c r="D313">
        <v>0</v>
      </c>
      <c r="E313" t="s">
        <v>133</v>
      </c>
    </row>
    <row r="314" spans="1:5" x14ac:dyDescent="0.35">
      <c r="A314" t="str">
        <f>VLOOKUP(C314, Sheet2!$A$1:$C$130, 2, TRUE)</f>
        <v>hydric</v>
      </c>
      <c r="B314">
        <f>VLOOKUP(C314, Sheet2!$A$1:$C$130, 3, TRUE)</f>
        <v>4</v>
      </c>
      <c r="C314">
        <v>22</v>
      </c>
      <c r="D314">
        <v>3.5</v>
      </c>
      <c r="E314" t="s">
        <v>204</v>
      </c>
    </row>
    <row r="315" spans="1:5" x14ac:dyDescent="0.35">
      <c r="A315" t="str">
        <f>VLOOKUP(C315, Sheet2!$A$1:$C$130, 2, TRUE)</f>
        <v>hydric</v>
      </c>
      <c r="B315">
        <f>VLOOKUP(C315, Sheet2!$A$1:$C$130, 3, TRUE)</f>
        <v>4</v>
      </c>
      <c r="C315">
        <v>22</v>
      </c>
      <c r="D315">
        <v>0</v>
      </c>
      <c r="E315" t="s">
        <v>205</v>
      </c>
    </row>
    <row r="316" spans="1:5" x14ac:dyDescent="0.35">
      <c r="A316" t="str">
        <f>VLOOKUP(C316, Sheet2!$A$1:$C$130, 2, TRUE)</f>
        <v>hydric</v>
      </c>
      <c r="B316">
        <f>VLOOKUP(C316, Sheet2!$A$1:$C$130, 3, TRUE)</f>
        <v>4</v>
      </c>
      <c r="C316">
        <v>22</v>
      </c>
      <c r="D316">
        <v>15.5</v>
      </c>
      <c r="E316" t="s">
        <v>206</v>
      </c>
    </row>
    <row r="317" spans="1:5" x14ac:dyDescent="0.35">
      <c r="A317" t="str">
        <f>VLOOKUP(C317, Sheet2!$A$1:$C$130, 2, TRUE)</f>
        <v>hydric</v>
      </c>
      <c r="B317">
        <f>VLOOKUP(C317, Sheet2!$A$1:$C$130, 3, TRUE)</f>
        <v>4</v>
      </c>
      <c r="C317">
        <v>22</v>
      </c>
      <c r="D317">
        <v>0</v>
      </c>
      <c r="E317" t="s">
        <v>207</v>
      </c>
    </row>
    <row r="318" spans="1:5" x14ac:dyDescent="0.35">
      <c r="A318" t="str">
        <f>VLOOKUP(C318, Sheet2!$A$1:$C$130, 2, TRUE)</f>
        <v>hydric</v>
      </c>
      <c r="B318">
        <f>VLOOKUP(C318, Sheet2!$A$1:$C$130, 3, TRUE)</f>
        <v>4</v>
      </c>
      <c r="C318">
        <v>24</v>
      </c>
      <c r="D318">
        <v>0</v>
      </c>
      <c r="E318" t="s">
        <v>217</v>
      </c>
    </row>
    <row r="319" spans="1:5" x14ac:dyDescent="0.35">
      <c r="A319" t="str">
        <f>VLOOKUP(C319, Sheet2!$A$1:$C$130, 2, TRUE)</f>
        <v>hydric</v>
      </c>
      <c r="B319">
        <f>VLOOKUP(C319, Sheet2!$A$1:$C$130, 3, TRUE)</f>
        <v>4</v>
      </c>
      <c r="C319">
        <v>24</v>
      </c>
      <c r="D319">
        <v>0</v>
      </c>
      <c r="E319" t="s">
        <v>218</v>
      </c>
    </row>
    <row r="320" spans="1:5" x14ac:dyDescent="0.35">
      <c r="A320" t="str">
        <f>VLOOKUP(C320, Sheet2!$A$1:$C$130, 2, TRUE)</f>
        <v>hydric</v>
      </c>
      <c r="B320">
        <f>VLOOKUP(C320, Sheet2!$A$1:$C$130, 3, TRUE)</f>
        <v>4</v>
      </c>
      <c r="C320">
        <v>24</v>
      </c>
      <c r="D320">
        <v>0</v>
      </c>
      <c r="E320" t="s">
        <v>219</v>
      </c>
    </row>
    <row r="321" spans="1:5" x14ac:dyDescent="0.35">
      <c r="A321" t="str">
        <f>VLOOKUP(C321, Sheet2!$A$1:$C$130, 2, TRUE)</f>
        <v>hydric</v>
      </c>
      <c r="B321">
        <f>VLOOKUP(C321, Sheet2!$A$1:$C$130, 3, TRUE)</f>
        <v>4</v>
      </c>
      <c r="C321">
        <v>24</v>
      </c>
      <c r="D321">
        <v>0</v>
      </c>
      <c r="E321" t="s">
        <v>219</v>
      </c>
    </row>
    <row r="322" spans="1:5" x14ac:dyDescent="0.35">
      <c r="A322" t="str">
        <f>VLOOKUP(C322, Sheet2!$A$1:$C$130, 2, TRUE)</f>
        <v>hydric</v>
      </c>
      <c r="B322">
        <f>VLOOKUP(C322, Sheet2!$A$1:$C$130, 3, TRUE)</f>
        <v>4</v>
      </c>
      <c r="C322">
        <v>41</v>
      </c>
      <c r="D322">
        <v>0</v>
      </c>
      <c r="E322" t="s">
        <v>105</v>
      </c>
    </row>
    <row r="323" spans="1:5" x14ac:dyDescent="0.35">
      <c r="A323" t="str">
        <f>VLOOKUP(C323, Sheet2!$A$1:$C$130, 2, TRUE)</f>
        <v>hydric</v>
      </c>
      <c r="B323">
        <f>VLOOKUP(C323, Sheet2!$A$1:$C$130, 3, TRUE)</f>
        <v>4</v>
      </c>
      <c r="C323">
        <v>41</v>
      </c>
      <c r="D323">
        <v>0</v>
      </c>
      <c r="E323" t="s">
        <v>106</v>
      </c>
    </row>
    <row r="324" spans="1:5" x14ac:dyDescent="0.35">
      <c r="A324" t="str">
        <f>VLOOKUP(C324, Sheet2!$A$1:$C$130, 2, TRUE)</f>
        <v>hydric</v>
      </c>
      <c r="B324">
        <f>VLOOKUP(C324, Sheet2!$A$1:$C$130, 3, TRUE)</f>
        <v>4</v>
      </c>
      <c r="C324">
        <v>41</v>
      </c>
      <c r="D324">
        <v>0</v>
      </c>
      <c r="E324" t="s">
        <v>107</v>
      </c>
    </row>
    <row r="325" spans="1:5" x14ac:dyDescent="0.35">
      <c r="A325" t="str">
        <f>VLOOKUP(C325, Sheet2!$A$1:$C$130, 2, TRUE)</f>
        <v>hydric</v>
      </c>
      <c r="B325">
        <f>VLOOKUP(C325, Sheet2!$A$1:$C$130, 3, TRUE)</f>
        <v>4</v>
      </c>
      <c r="C325">
        <v>41</v>
      </c>
      <c r="D325">
        <v>0</v>
      </c>
      <c r="E325" t="s">
        <v>66</v>
      </c>
    </row>
    <row r="326" spans="1:5" x14ac:dyDescent="0.35">
      <c r="A326" t="str">
        <f>VLOOKUP(C326, Sheet2!$A$1:$C$130, 2, TRUE)</f>
        <v>hydric</v>
      </c>
      <c r="B326">
        <f>VLOOKUP(C326, Sheet2!$A$1:$C$130, 3, TRUE)</f>
        <v>4</v>
      </c>
      <c r="C326">
        <v>62</v>
      </c>
      <c r="D326">
        <v>8</v>
      </c>
      <c r="E326" t="s">
        <v>160</v>
      </c>
    </row>
    <row r="327" spans="1:5" x14ac:dyDescent="0.35">
      <c r="A327" t="str">
        <f>VLOOKUP(C327, Sheet2!$A$1:$C$130, 2, TRUE)</f>
        <v>hydric</v>
      </c>
      <c r="B327">
        <f>VLOOKUP(C327, Sheet2!$A$1:$C$130, 3, TRUE)</f>
        <v>4</v>
      </c>
      <c r="C327">
        <v>62</v>
      </c>
      <c r="D327">
        <v>3.5</v>
      </c>
      <c r="E327" t="s">
        <v>161</v>
      </c>
    </row>
    <row r="328" spans="1:5" x14ac:dyDescent="0.35">
      <c r="A328" t="str">
        <f>VLOOKUP(C328, Sheet2!$A$1:$C$130, 2, TRUE)</f>
        <v>hydric</v>
      </c>
      <c r="B328">
        <f>VLOOKUP(C328, Sheet2!$A$1:$C$130, 3, TRUE)</f>
        <v>4</v>
      </c>
      <c r="C328">
        <v>62</v>
      </c>
      <c r="D328">
        <v>0</v>
      </c>
      <c r="E328" t="s">
        <v>162</v>
      </c>
    </row>
    <row r="329" spans="1:5" x14ac:dyDescent="0.35">
      <c r="A329" t="str">
        <f>VLOOKUP(C329, Sheet2!$A$1:$C$130, 2, TRUE)</f>
        <v>hydric</v>
      </c>
      <c r="B329">
        <f>VLOOKUP(C329, Sheet2!$A$1:$C$130, 3, TRUE)</f>
        <v>4</v>
      </c>
      <c r="C329">
        <v>62</v>
      </c>
      <c r="D329">
        <v>0</v>
      </c>
      <c r="E329" t="s">
        <v>163</v>
      </c>
    </row>
    <row r="330" spans="1:5" x14ac:dyDescent="0.35">
      <c r="A330" t="str">
        <f>VLOOKUP(C330, Sheet2!$A$1:$C$130, 2, TRUE)</f>
        <v>hydric</v>
      </c>
      <c r="B330">
        <f>VLOOKUP(C330, Sheet2!$A$1:$C$130, 3, TRUE)</f>
        <v>4</v>
      </c>
      <c r="C330">
        <v>63</v>
      </c>
      <c r="D330">
        <v>3.5</v>
      </c>
    </row>
    <row r="331" spans="1:5" x14ac:dyDescent="0.35">
      <c r="A331" t="str">
        <f>VLOOKUP(C331, Sheet2!$A$1:$C$130, 2, TRUE)</f>
        <v>hydric</v>
      </c>
      <c r="B331">
        <f>VLOOKUP(C331, Sheet2!$A$1:$C$130, 3, TRUE)</f>
        <v>4</v>
      </c>
      <c r="C331">
        <v>63</v>
      </c>
      <c r="D331">
        <v>1</v>
      </c>
    </row>
    <row r="332" spans="1:5" x14ac:dyDescent="0.35">
      <c r="A332" t="str">
        <f>VLOOKUP(C332, Sheet2!$A$1:$C$130, 2, TRUE)</f>
        <v>hydric</v>
      </c>
      <c r="B332">
        <f>VLOOKUP(C332, Sheet2!$A$1:$C$130, 3, TRUE)</f>
        <v>4</v>
      </c>
      <c r="C332">
        <v>63</v>
      </c>
      <c r="D332">
        <v>0</v>
      </c>
    </row>
    <row r="333" spans="1:5" x14ac:dyDescent="0.35">
      <c r="A333" t="str">
        <f>VLOOKUP(C333, Sheet2!$A$1:$C$130, 2, TRUE)</f>
        <v>hydric</v>
      </c>
      <c r="B333">
        <f>VLOOKUP(C333, Sheet2!$A$1:$C$130, 3, TRUE)</f>
        <v>4</v>
      </c>
      <c r="C333">
        <v>63</v>
      </c>
      <c r="D333">
        <v>3.5</v>
      </c>
    </row>
    <row r="334" spans="1:5" x14ac:dyDescent="0.35">
      <c r="A334" t="str">
        <f>VLOOKUP(C334, Sheet2!$A$1:$C$130, 2, TRUE)</f>
        <v>hydric</v>
      </c>
      <c r="B334">
        <f>VLOOKUP(C334, Sheet2!$A$1:$C$130, 3, TRUE)</f>
        <v>4</v>
      </c>
      <c r="C334">
        <v>64</v>
      </c>
      <c r="D334">
        <v>3.5</v>
      </c>
      <c r="E334" t="s">
        <v>211</v>
      </c>
    </row>
    <row r="335" spans="1:5" x14ac:dyDescent="0.35">
      <c r="A335" t="str">
        <f>VLOOKUP(C335, Sheet2!$A$1:$C$130, 2, TRUE)</f>
        <v>hydric</v>
      </c>
      <c r="B335">
        <f>VLOOKUP(C335, Sheet2!$A$1:$C$130, 3, TRUE)</f>
        <v>4</v>
      </c>
      <c r="C335">
        <v>64</v>
      </c>
      <c r="D335">
        <v>35.5</v>
      </c>
      <c r="E335" t="s">
        <v>148</v>
      </c>
    </row>
    <row r="336" spans="1:5" x14ac:dyDescent="0.35">
      <c r="A336" t="str">
        <f>VLOOKUP(C336, Sheet2!$A$1:$C$130, 2, TRUE)</f>
        <v>hydric</v>
      </c>
      <c r="B336">
        <f>VLOOKUP(C336, Sheet2!$A$1:$C$130, 3, TRUE)</f>
        <v>4</v>
      </c>
      <c r="C336">
        <v>64</v>
      </c>
      <c r="D336">
        <v>15.5</v>
      </c>
      <c r="E336" t="s">
        <v>212</v>
      </c>
    </row>
    <row r="337" spans="1:5" x14ac:dyDescent="0.35">
      <c r="A337" t="str">
        <f>VLOOKUP(C337, Sheet2!$A$1:$C$130, 2, TRUE)</f>
        <v>hydric</v>
      </c>
      <c r="B337">
        <f>VLOOKUP(C337, Sheet2!$A$1:$C$130, 3, TRUE)</f>
        <v>4</v>
      </c>
      <c r="C337">
        <v>64</v>
      </c>
      <c r="D337">
        <v>25.5</v>
      </c>
      <c r="E337" t="s">
        <v>213</v>
      </c>
    </row>
    <row r="338" spans="1:5" x14ac:dyDescent="0.35">
      <c r="A338" t="str">
        <f>VLOOKUP(C338, Sheet2!$A$1:$C$130, 2, TRUE)</f>
        <v>hydric</v>
      </c>
      <c r="B338">
        <f>VLOOKUP(C338, Sheet2!$A$1:$C$130, 3, TRUE)</f>
        <v>4</v>
      </c>
      <c r="C338">
        <v>71</v>
      </c>
      <c r="D338">
        <v>35.5</v>
      </c>
      <c r="E338" t="s">
        <v>71</v>
      </c>
    </row>
    <row r="339" spans="1:5" x14ac:dyDescent="0.35">
      <c r="A339" t="str">
        <f>VLOOKUP(C339, Sheet2!$A$1:$C$130, 2, TRUE)</f>
        <v>hydric</v>
      </c>
      <c r="B339">
        <f>VLOOKUP(C339, Sheet2!$A$1:$C$130, 3, TRUE)</f>
        <v>4</v>
      </c>
      <c r="C339">
        <v>71</v>
      </c>
      <c r="D339">
        <v>0</v>
      </c>
      <c r="E339" t="s">
        <v>72</v>
      </c>
    </row>
    <row r="340" spans="1:5" x14ac:dyDescent="0.35">
      <c r="A340" t="str">
        <f>VLOOKUP(C340, Sheet2!$A$1:$C$130, 2, TRUE)</f>
        <v>hydric</v>
      </c>
      <c r="B340">
        <f>VLOOKUP(C340, Sheet2!$A$1:$C$130, 3, TRUE)</f>
        <v>4</v>
      </c>
      <c r="C340">
        <v>71</v>
      </c>
      <c r="D340">
        <v>1</v>
      </c>
      <c r="E340" t="s">
        <v>73</v>
      </c>
    </row>
    <row r="341" spans="1:5" x14ac:dyDescent="0.35">
      <c r="A341" t="str">
        <f>VLOOKUP(C341, Sheet2!$A$1:$C$130, 2, TRUE)</f>
        <v>hydric</v>
      </c>
      <c r="B341">
        <f>VLOOKUP(C341, Sheet2!$A$1:$C$130, 3, TRUE)</f>
        <v>4</v>
      </c>
      <c r="C341">
        <v>71</v>
      </c>
      <c r="D341">
        <v>8</v>
      </c>
      <c r="E341" t="s">
        <v>74</v>
      </c>
    </row>
    <row r="342" spans="1:5" x14ac:dyDescent="0.35">
      <c r="A342" t="str">
        <f>VLOOKUP(C342, Sheet2!$A$1:$C$130, 2, TRUE)</f>
        <v>hydric</v>
      </c>
      <c r="B342">
        <f>VLOOKUP(C342, Sheet2!$A$1:$C$130, 3, TRUE)</f>
        <v>4</v>
      </c>
      <c r="C342">
        <v>72</v>
      </c>
      <c r="D342">
        <v>15.5</v>
      </c>
      <c r="E342" t="s">
        <v>142</v>
      </c>
    </row>
    <row r="343" spans="1:5" x14ac:dyDescent="0.35">
      <c r="A343" t="str">
        <f>VLOOKUP(C343, Sheet2!$A$1:$C$130, 2, TRUE)</f>
        <v>hydric</v>
      </c>
      <c r="B343">
        <f>VLOOKUP(C343, Sheet2!$A$1:$C$130, 3, TRUE)</f>
        <v>4</v>
      </c>
      <c r="C343">
        <v>72</v>
      </c>
      <c r="D343">
        <v>3.5</v>
      </c>
      <c r="E343" t="s">
        <v>143</v>
      </c>
    </row>
    <row r="344" spans="1:5" x14ac:dyDescent="0.35">
      <c r="A344" t="str">
        <f>VLOOKUP(C344, Sheet2!$A$1:$C$130, 2, TRUE)</f>
        <v>hydric</v>
      </c>
      <c r="B344">
        <f>VLOOKUP(C344, Sheet2!$A$1:$C$130, 3, TRUE)</f>
        <v>4</v>
      </c>
      <c r="C344">
        <v>72</v>
      </c>
      <c r="D344">
        <v>1</v>
      </c>
      <c r="E344" t="s">
        <v>144</v>
      </c>
    </row>
    <row r="345" spans="1:5" x14ac:dyDescent="0.35">
      <c r="A345" t="str">
        <f>VLOOKUP(C345, Sheet2!$A$1:$C$130, 2, TRUE)</f>
        <v>hydric</v>
      </c>
      <c r="B345">
        <f>VLOOKUP(C345, Sheet2!$A$1:$C$130, 3, TRUE)</f>
        <v>4</v>
      </c>
      <c r="C345">
        <v>72</v>
      </c>
      <c r="D345">
        <v>0.5</v>
      </c>
      <c r="E345" t="s">
        <v>145</v>
      </c>
    </row>
    <row r="346" spans="1:5" x14ac:dyDescent="0.35">
      <c r="A346" t="str">
        <f>VLOOKUP(C346, Sheet2!$A$1:$C$130, 2, TRUE)</f>
        <v>hydric</v>
      </c>
      <c r="B346">
        <f>VLOOKUP(C346, Sheet2!$A$1:$C$130, 3, TRUE)</f>
        <v>4</v>
      </c>
      <c r="C346">
        <v>76</v>
      </c>
      <c r="D346">
        <v>0</v>
      </c>
      <c r="E346" t="s">
        <v>43</v>
      </c>
    </row>
    <row r="347" spans="1:5" x14ac:dyDescent="0.35">
      <c r="A347" t="str">
        <f>VLOOKUP(C347, Sheet2!$A$1:$C$130, 2, TRUE)</f>
        <v>hydric</v>
      </c>
      <c r="B347">
        <f>VLOOKUP(C347, Sheet2!$A$1:$C$130, 3, TRUE)</f>
        <v>4</v>
      </c>
      <c r="C347">
        <v>76</v>
      </c>
      <c r="D347">
        <v>0</v>
      </c>
      <c r="E347" t="s">
        <v>44</v>
      </c>
    </row>
    <row r="348" spans="1:5" x14ac:dyDescent="0.35">
      <c r="A348" t="str">
        <f>VLOOKUP(C348, Sheet2!$A$1:$C$130, 2, TRUE)</f>
        <v>hydric</v>
      </c>
      <c r="B348">
        <f>VLOOKUP(C348, Sheet2!$A$1:$C$130, 3, TRUE)</f>
        <v>4</v>
      </c>
      <c r="C348">
        <v>76</v>
      </c>
      <c r="D348">
        <v>0</v>
      </c>
      <c r="E348" t="s">
        <v>45</v>
      </c>
    </row>
    <row r="349" spans="1:5" x14ac:dyDescent="0.35">
      <c r="A349" t="str">
        <f>VLOOKUP(C349, Sheet2!$A$1:$C$130, 2, TRUE)</f>
        <v>hydric</v>
      </c>
      <c r="B349">
        <f>VLOOKUP(C349, Sheet2!$A$1:$C$130, 3, TRUE)</f>
        <v>4</v>
      </c>
      <c r="C349">
        <v>76</v>
      </c>
      <c r="D349">
        <v>3.5</v>
      </c>
    </row>
    <row r="350" spans="1:5" x14ac:dyDescent="0.35">
      <c r="A350" t="str">
        <f>VLOOKUP(C350, Sheet2!$A$1:$C$130, 2, TRUE)</f>
        <v>hydric</v>
      </c>
      <c r="B350">
        <f>VLOOKUP(C350, Sheet2!$A$1:$C$130, 3, TRUE)</f>
        <v>4</v>
      </c>
      <c r="C350">
        <v>77</v>
      </c>
      <c r="D350">
        <v>0</v>
      </c>
      <c r="E350" t="s">
        <v>39</v>
      </c>
    </row>
    <row r="351" spans="1:5" x14ac:dyDescent="0.35">
      <c r="A351" t="str">
        <f>VLOOKUP(C351, Sheet2!$A$1:$C$130, 2, TRUE)</f>
        <v>hydric</v>
      </c>
      <c r="B351">
        <f>VLOOKUP(C351, Sheet2!$A$1:$C$130, 3, TRUE)</f>
        <v>4</v>
      </c>
      <c r="C351">
        <v>77</v>
      </c>
      <c r="D351">
        <v>0</v>
      </c>
      <c r="E351" t="s">
        <v>40</v>
      </c>
    </row>
    <row r="352" spans="1:5" x14ac:dyDescent="0.35">
      <c r="A352" t="str">
        <f>VLOOKUP(C352, Sheet2!$A$1:$C$130, 2, TRUE)</f>
        <v>hydric</v>
      </c>
      <c r="B352">
        <f>VLOOKUP(C352, Sheet2!$A$1:$C$130, 3, TRUE)</f>
        <v>4</v>
      </c>
      <c r="C352">
        <v>77</v>
      </c>
      <c r="D352">
        <v>0</v>
      </c>
      <c r="E352" t="s">
        <v>41</v>
      </c>
    </row>
    <row r="353" spans="1:5" x14ac:dyDescent="0.35">
      <c r="A353" t="str">
        <f>VLOOKUP(C353, Sheet2!$A$1:$C$130, 2, TRUE)</f>
        <v>hydric</v>
      </c>
      <c r="B353">
        <f>VLOOKUP(C353, Sheet2!$A$1:$C$130, 3, TRUE)</f>
        <v>4</v>
      </c>
      <c r="C353">
        <v>77</v>
      </c>
      <c r="D353">
        <v>0</v>
      </c>
      <c r="E353" t="s">
        <v>42</v>
      </c>
    </row>
    <row r="354" spans="1:5" x14ac:dyDescent="0.35">
      <c r="A354" t="str">
        <f>VLOOKUP(C354, Sheet2!$A$1:$C$130, 2, TRUE)</f>
        <v>hydric</v>
      </c>
      <c r="B354">
        <f>VLOOKUP(C354, Sheet2!$A$1:$C$130, 3, TRUE)</f>
        <v>4</v>
      </c>
      <c r="C354">
        <v>78</v>
      </c>
      <c r="D354">
        <v>0</v>
      </c>
      <c r="E354" t="s">
        <v>36</v>
      </c>
    </row>
    <row r="355" spans="1:5" x14ac:dyDescent="0.35">
      <c r="A355" t="str">
        <f>VLOOKUP(C355, Sheet2!$A$1:$C$130, 2, TRUE)</f>
        <v>hydric</v>
      </c>
      <c r="B355">
        <f>VLOOKUP(C355, Sheet2!$A$1:$C$130, 3, TRUE)</f>
        <v>4</v>
      </c>
      <c r="C355">
        <v>78</v>
      </c>
      <c r="D355">
        <v>25.5</v>
      </c>
      <c r="E355" t="s">
        <v>7</v>
      </c>
    </row>
    <row r="356" spans="1:5" x14ac:dyDescent="0.35">
      <c r="A356" t="str">
        <f>VLOOKUP(C356, Sheet2!$A$1:$C$130, 2, TRUE)</f>
        <v>hydric</v>
      </c>
      <c r="B356">
        <f>VLOOKUP(C356, Sheet2!$A$1:$C$130, 3, TRUE)</f>
        <v>4</v>
      </c>
      <c r="C356">
        <v>78</v>
      </c>
      <c r="D356">
        <v>0</v>
      </c>
      <c r="E356" t="s">
        <v>37</v>
      </c>
    </row>
    <row r="357" spans="1:5" x14ac:dyDescent="0.35">
      <c r="A357" t="str">
        <f>VLOOKUP(C357, Sheet2!$A$1:$C$130, 2, TRUE)</f>
        <v>hydric</v>
      </c>
      <c r="B357">
        <f>VLOOKUP(C357, Sheet2!$A$1:$C$130, 3, TRUE)</f>
        <v>4</v>
      </c>
      <c r="C357">
        <v>78</v>
      </c>
      <c r="D357">
        <v>0</v>
      </c>
      <c r="E357" t="s">
        <v>38</v>
      </c>
    </row>
    <row r="358" spans="1:5" x14ac:dyDescent="0.35">
      <c r="A358" t="str">
        <f>VLOOKUP(C358, Sheet2!$A$1:$C$130, 2, TRUE)</f>
        <v>hydric</v>
      </c>
      <c r="B358">
        <f>VLOOKUP(C358, Sheet2!$A$1:$C$130, 3, TRUE)</f>
        <v>5</v>
      </c>
      <c r="C358">
        <v>37</v>
      </c>
      <c r="D358">
        <v>0</v>
      </c>
      <c r="E358" t="s">
        <v>7</v>
      </c>
    </row>
    <row r="359" spans="1:5" x14ac:dyDescent="0.35">
      <c r="A359" t="str">
        <f>VLOOKUP(C359, Sheet2!$A$1:$C$130, 2, TRUE)</f>
        <v>hydric</v>
      </c>
      <c r="B359">
        <f>VLOOKUP(C359, Sheet2!$A$1:$C$130, 3, TRUE)</f>
        <v>5</v>
      </c>
      <c r="C359">
        <v>37</v>
      </c>
      <c r="D359">
        <v>0</v>
      </c>
    </row>
    <row r="360" spans="1:5" x14ac:dyDescent="0.35">
      <c r="A360" t="str">
        <f>VLOOKUP(C360, Sheet2!$A$1:$C$130, 2, TRUE)</f>
        <v>hydric</v>
      </c>
      <c r="B360">
        <f>VLOOKUP(C360, Sheet2!$A$1:$C$130, 3, TRUE)</f>
        <v>5</v>
      </c>
      <c r="C360">
        <v>37</v>
      </c>
      <c r="D360">
        <v>0</v>
      </c>
      <c r="E360" t="s">
        <v>15</v>
      </c>
    </row>
    <row r="361" spans="1:5" x14ac:dyDescent="0.35">
      <c r="A361" t="str">
        <f>VLOOKUP(C361, Sheet2!$A$1:$C$130, 2, TRUE)</f>
        <v>hydric</v>
      </c>
      <c r="B361">
        <f>VLOOKUP(C361, Sheet2!$A$1:$C$130, 3, TRUE)</f>
        <v>5</v>
      </c>
      <c r="C361">
        <v>37</v>
      </c>
      <c r="D361">
        <v>0</v>
      </c>
    </row>
    <row r="362" spans="1:5" x14ac:dyDescent="0.35">
      <c r="A362" t="str">
        <f>VLOOKUP(C362, Sheet2!$A$1:$C$130, 2, TRUE)</f>
        <v>hydric</v>
      </c>
      <c r="B362">
        <f>VLOOKUP(C362, Sheet2!$A$1:$C$130, 3, TRUE)</f>
        <v>5</v>
      </c>
      <c r="C362" s="2">
        <v>38</v>
      </c>
      <c r="D362" s="2">
        <v>0</v>
      </c>
      <c r="E362" s="2" t="s">
        <v>7</v>
      </c>
    </row>
    <row r="363" spans="1:5" x14ac:dyDescent="0.35">
      <c r="A363" t="str">
        <f>VLOOKUP(C363, Sheet2!$A$1:$C$130, 2, TRUE)</f>
        <v>hydric</v>
      </c>
      <c r="B363">
        <f>VLOOKUP(C363, Sheet2!$A$1:$C$130, 3, TRUE)</f>
        <v>5</v>
      </c>
      <c r="C363">
        <v>38</v>
      </c>
      <c r="D363">
        <v>0</v>
      </c>
      <c r="E363" t="s">
        <v>13</v>
      </c>
    </row>
    <row r="364" spans="1:5" x14ac:dyDescent="0.35">
      <c r="A364" t="str">
        <f>VLOOKUP(C364, Sheet2!$A$1:$C$130, 2, TRUE)</f>
        <v>hydric</v>
      </c>
      <c r="B364">
        <f>VLOOKUP(C364, Sheet2!$A$1:$C$130, 3, TRUE)</f>
        <v>5</v>
      </c>
      <c r="C364">
        <v>38</v>
      </c>
      <c r="D364">
        <v>0</v>
      </c>
    </row>
    <row r="365" spans="1:5" x14ac:dyDescent="0.35">
      <c r="A365" t="str">
        <f>VLOOKUP(C365, Sheet2!$A$1:$C$130, 2, TRUE)</f>
        <v>hydric</v>
      </c>
      <c r="B365">
        <f>VLOOKUP(C365, Sheet2!$A$1:$C$130, 3, TRUE)</f>
        <v>5</v>
      </c>
      <c r="C365">
        <v>38</v>
      </c>
      <c r="D365">
        <v>0</v>
      </c>
      <c r="E365" t="s">
        <v>14</v>
      </c>
    </row>
    <row r="366" spans="1:5" x14ac:dyDescent="0.35">
      <c r="A366" t="str">
        <f>VLOOKUP(C366, Sheet2!$A$1:$C$130, 2, TRUE)</f>
        <v>hydric</v>
      </c>
      <c r="B366">
        <f>VLOOKUP(C366, Sheet2!$A$1:$C$130, 3, TRUE)</f>
        <v>5</v>
      </c>
      <c r="C366">
        <v>39</v>
      </c>
      <c r="D366">
        <v>0</v>
      </c>
      <c r="E366" t="s">
        <v>8</v>
      </c>
    </row>
    <row r="367" spans="1:5" x14ac:dyDescent="0.35">
      <c r="A367" t="str">
        <f>VLOOKUP(C367, Sheet2!$A$1:$C$130, 2, TRUE)</f>
        <v>hydric</v>
      </c>
      <c r="B367">
        <f>VLOOKUP(C367, Sheet2!$A$1:$C$130, 3, TRUE)</f>
        <v>5</v>
      </c>
      <c r="C367">
        <v>39</v>
      </c>
      <c r="D367">
        <v>0</v>
      </c>
    </row>
    <row r="368" spans="1:5" x14ac:dyDescent="0.35">
      <c r="A368" t="str">
        <f>VLOOKUP(C368, Sheet2!$A$1:$C$130, 2, TRUE)</f>
        <v>hydric</v>
      </c>
      <c r="B368">
        <f>VLOOKUP(C368, Sheet2!$A$1:$C$130, 3, TRUE)</f>
        <v>5</v>
      </c>
      <c r="C368">
        <v>39</v>
      </c>
      <c r="D368">
        <v>3.5</v>
      </c>
    </row>
    <row r="369" spans="1:5" x14ac:dyDescent="0.35">
      <c r="A369" t="str">
        <f>VLOOKUP(C369, Sheet2!$A$1:$C$130, 2, TRUE)</f>
        <v>hydric</v>
      </c>
      <c r="B369">
        <f>VLOOKUP(C369, Sheet2!$A$1:$C$130, 3, TRUE)</f>
        <v>5</v>
      </c>
      <c r="C369">
        <v>39</v>
      </c>
      <c r="D369">
        <v>0</v>
      </c>
    </row>
    <row r="370" spans="1:5" x14ac:dyDescent="0.35">
      <c r="A370" t="str">
        <f>VLOOKUP(C370, Sheet2!$A$1:$C$130, 2, TRUE)</f>
        <v>hydric</v>
      </c>
      <c r="B370">
        <f>VLOOKUP(C370, Sheet2!$A$1:$C$130, 3, TRUE)</f>
        <v>5</v>
      </c>
      <c r="C370">
        <v>40</v>
      </c>
      <c r="D370">
        <v>0</v>
      </c>
      <c r="E370" t="s">
        <v>91</v>
      </c>
    </row>
    <row r="371" spans="1:5" x14ac:dyDescent="0.35">
      <c r="A371" t="str">
        <f>VLOOKUP(C371, Sheet2!$A$1:$C$130, 2, TRUE)</f>
        <v>hydric</v>
      </c>
      <c r="B371">
        <f>VLOOKUP(C371, Sheet2!$A$1:$C$130, 3, TRUE)</f>
        <v>5</v>
      </c>
      <c r="C371">
        <v>40</v>
      </c>
      <c r="D371">
        <v>0</v>
      </c>
      <c r="E371" t="s">
        <v>92</v>
      </c>
    </row>
    <row r="372" spans="1:5" x14ac:dyDescent="0.35">
      <c r="A372" t="str">
        <f>VLOOKUP(C372, Sheet2!$A$1:$C$130, 2, TRUE)</f>
        <v>hydric</v>
      </c>
      <c r="B372">
        <f>VLOOKUP(C372, Sheet2!$A$1:$C$130, 3, TRUE)</f>
        <v>5</v>
      </c>
      <c r="C372">
        <v>40</v>
      </c>
      <c r="D372">
        <v>0</v>
      </c>
      <c r="E372" t="s">
        <v>93</v>
      </c>
    </row>
    <row r="373" spans="1:5" x14ac:dyDescent="0.35">
      <c r="A373" t="str">
        <f>VLOOKUP(C373, Sheet2!$A$1:$C$130, 2, TRUE)</f>
        <v>hydric</v>
      </c>
      <c r="B373">
        <f>VLOOKUP(C373, Sheet2!$A$1:$C$130, 3, TRUE)</f>
        <v>5</v>
      </c>
      <c r="C373">
        <v>40</v>
      </c>
      <c r="D373">
        <v>0</v>
      </c>
      <c r="E373" t="s">
        <v>94</v>
      </c>
    </row>
    <row r="374" spans="1:5" x14ac:dyDescent="0.35">
      <c r="A374" t="str">
        <f>VLOOKUP(C374, Sheet2!$A$1:$C$130, 2, TRUE)</f>
        <v>hydric</v>
      </c>
      <c r="B374">
        <f>VLOOKUP(C374, Sheet2!$A$1:$C$130, 3, TRUE)</f>
        <v>5</v>
      </c>
      <c r="C374">
        <v>42</v>
      </c>
      <c r="D374">
        <v>0</v>
      </c>
      <c r="E374" t="s">
        <v>108</v>
      </c>
    </row>
    <row r="375" spans="1:5" x14ac:dyDescent="0.35">
      <c r="A375" t="str">
        <f>VLOOKUP(C375, Sheet2!$A$1:$C$130, 2, TRUE)</f>
        <v>hydric</v>
      </c>
      <c r="B375">
        <f>VLOOKUP(C375, Sheet2!$A$1:$C$130, 3, TRUE)</f>
        <v>5</v>
      </c>
      <c r="C375">
        <v>42</v>
      </c>
      <c r="D375">
        <v>0</v>
      </c>
      <c r="E375" t="s">
        <v>109</v>
      </c>
    </row>
    <row r="376" spans="1:5" x14ac:dyDescent="0.35">
      <c r="A376" t="str">
        <f>VLOOKUP(C376, Sheet2!$A$1:$C$130, 2, TRUE)</f>
        <v>hydric</v>
      </c>
      <c r="B376">
        <f>VLOOKUP(C376, Sheet2!$A$1:$C$130, 3, TRUE)</f>
        <v>5</v>
      </c>
      <c r="C376">
        <v>42</v>
      </c>
      <c r="D376">
        <v>0</v>
      </c>
      <c r="E376" t="s">
        <v>110</v>
      </c>
    </row>
    <row r="377" spans="1:5" x14ac:dyDescent="0.35">
      <c r="A377" t="str">
        <f>VLOOKUP(C377, Sheet2!$A$1:$C$130, 2, TRUE)</f>
        <v>hydric</v>
      </c>
      <c r="B377">
        <f>VLOOKUP(C377, Sheet2!$A$1:$C$130, 3, TRUE)</f>
        <v>5</v>
      </c>
      <c r="C377">
        <v>42</v>
      </c>
      <c r="D377">
        <v>0</v>
      </c>
      <c r="E377" t="s">
        <v>111</v>
      </c>
    </row>
    <row r="378" spans="1:5" x14ac:dyDescent="0.35">
      <c r="A378" t="str">
        <f>VLOOKUP(C378, Sheet2!$A$1:$C$130, 2, TRUE)</f>
        <v>hydric</v>
      </c>
      <c r="B378">
        <f>VLOOKUP(C378, Sheet2!$A$1:$C$130, 3, TRUE)</f>
        <v>5</v>
      </c>
      <c r="C378">
        <v>43</v>
      </c>
      <c r="D378">
        <v>0</v>
      </c>
      <c r="E378" t="s">
        <v>98</v>
      </c>
    </row>
    <row r="379" spans="1:5" x14ac:dyDescent="0.35">
      <c r="A379" t="str">
        <f>VLOOKUP(C379, Sheet2!$A$1:$C$130, 2, TRUE)</f>
        <v>hydric</v>
      </c>
      <c r="B379">
        <f>VLOOKUP(C379, Sheet2!$A$1:$C$130, 3, TRUE)</f>
        <v>5</v>
      </c>
      <c r="C379">
        <v>43</v>
      </c>
      <c r="D379">
        <v>0</v>
      </c>
      <c r="E379" t="s">
        <v>99</v>
      </c>
    </row>
    <row r="380" spans="1:5" x14ac:dyDescent="0.35">
      <c r="A380" t="str">
        <f>VLOOKUP(C380, Sheet2!$A$1:$C$130, 2, TRUE)</f>
        <v>hydric</v>
      </c>
      <c r="B380">
        <f>VLOOKUP(C380, Sheet2!$A$1:$C$130, 3, TRUE)</f>
        <v>5</v>
      </c>
      <c r="C380">
        <v>43</v>
      </c>
      <c r="D380">
        <v>0</v>
      </c>
      <c r="E380" t="s">
        <v>100</v>
      </c>
    </row>
    <row r="381" spans="1:5" x14ac:dyDescent="0.35">
      <c r="A381" t="str">
        <f>VLOOKUP(C381, Sheet2!$A$1:$C$130, 2, TRUE)</f>
        <v>hydric</v>
      </c>
      <c r="B381">
        <f>VLOOKUP(C381, Sheet2!$A$1:$C$130, 3, TRUE)</f>
        <v>5</v>
      </c>
      <c r="C381">
        <v>43</v>
      </c>
      <c r="D381">
        <v>1</v>
      </c>
      <c r="E381" t="s">
        <v>101</v>
      </c>
    </row>
    <row r="382" spans="1:5" x14ac:dyDescent="0.35">
      <c r="A382" t="str">
        <f>VLOOKUP(C382, Sheet2!$A$1:$C$130, 2, TRUE)</f>
        <v>hydric</v>
      </c>
      <c r="B382">
        <f>VLOOKUP(C382, Sheet2!$A$1:$C$130, 3, TRUE)</f>
        <v>5</v>
      </c>
      <c r="C382">
        <v>44</v>
      </c>
      <c r="D382">
        <v>0</v>
      </c>
      <c r="E382" t="s">
        <v>95</v>
      </c>
    </row>
    <row r="383" spans="1:5" x14ac:dyDescent="0.35">
      <c r="A383" t="str">
        <f>VLOOKUP(C383, Sheet2!$A$1:$C$130, 2, TRUE)</f>
        <v>hydric</v>
      </c>
      <c r="B383">
        <f>VLOOKUP(C383, Sheet2!$A$1:$C$130, 3, TRUE)</f>
        <v>5</v>
      </c>
      <c r="C383">
        <v>44</v>
      </c>
      <c r="D383">
        <v>0</v>
      </c>
      <c r="E383" t="s">
        <v>15</v>
      </c>
    </row>
    <row r="384" spans="1:5" x14ac:dyDescent="0.35">
      <c r="A384" t="str">
        <f>VLOOKUP(C384, Sheet2!$A$1:$C$130, 2, TRUE)</f>
        <v>hydric</v>
      </c>
      <c r="B384">
        <f>VLOOKUP(C384, Sheet2!$A$1:$C$130, 3, TRUE)</f>
        <v>5</v>
      </c>
      <c r="C384">
        <v>44</v>
      </c>
      <c r="D384">
        <v>3.5</v>
      </c>
      <c r="E384" t="s">
        <v>96</v>
      </c>
    </row>
    <row r="385" spans="1:5" x14ac:dyDescent="0.35">
      <c r="A385" t="str">
        <f>VLOOKUP(C385, Sheet2!$A$1:$C$130, 2, TRUE)</f>
        <v>hydric</v>
      </c>
      <c r="B385">
        <f>VLOOKUP(C385, Sheet2!$A$1:$C$130, 3, TRUE)</f>
        <v>5</v>
      </c>
      <c r="C385">
        <v>44</v>
      </c>
      <c r="D385">
        <v>0</v>
      </c>
      <c r="E385" t="s">
        <v>97</v>
      </c>
    </row>
    <row r="386" spans="1:5" x14ac:dyDescent="0.35">
      <c r="A386" t="str">
        <f>VLOOKUP(C386, Sheet2!$A$1:$C$130, 2, TRUE)</f>
        <v>hydric</v>
      </c>
      <c r="B386">
        <f>VLOOKUP(C386, Sheet2!$A$1:$C$130, 3, TRUE)</f>
        <v>5</v>
      </c>
      <c r="C386">
        <v>45</v>
      </c>
      <c r="D386">
        <v>0</v>
      </c>
      <c r="E386" t="s">
        <v>102</v>
      </c>
    </row>
    <row r="387" spans="1:5" x14ac:dyDescent="0.35">
      <c r="A387" t="str">
        <f>VLOOKUP(C387, Sheet2!$A$1:$C$130, 2, TRUE)</f>
        <v>hydric</v>
      </c>
      <c r="B387">
        <f>VLOOKUP(C387, Sheet2!$A$1:$C$130, 3, TRUE)</f>
        <v>5</v>
      </c>
      <c r="C387">
        <v>45</v>
      </c>
      <c r="D387">
        <v>0</v>
      </c>
      <c r="E387" t="s">
        <v>103</v>
      </c>
    </row>
    <row r="388" spans="1:5" x14ac:dyDescent="0.35">
      <c r="A388" t="str">
        <f>VLOOKUP(C388, Sheet2!$A$1:$C$130, 2, TRUE)</f>
        <v>hydric</v>
      </c>
      <c r="B388">
        <f>VLOOKUP(C388, Sheet2!$A$1:$C$130, 3, TRUE)</f>
        <v>5</v>
      </c>
      <c r="C388">
        <v>45</v>
      </c>
      <c r="D388">
        <v>0</v>
      </c>
    </row>
    <row r="389" spans="1:5" x14ac:dyDescent="0.35">
      <c r="A389" t="str">
        <f>VLOOKUP(C389, Sheet2!$A$1:$C$130, 2, TRUE)</f>
        <v>hydric</v>
      </c>
      <c r="B389">
        <f>VLOOKUP(C389, Sheet2!$A$1:$C$130, 3, TRUE)</f>
        <v>5</v>
      </c>
      <c r="C389">
        <v>45</v>
      </c>
      <c r="D389">
        <v>0</v>
      </c>
      <c r="E389" t="s">
        <v>104</v>
      </c>
    </row>
    <row r="390" spans="1:5" x14ac:dyDescent="0.35">
      <c r="A390" t="e">
        <f>VLOOKUP(C390, Sheet2!$A$1:$C$130, 2, TRUE)</f>
        <v>#N/A</v>
      </c>
      <c r="B390" t="e">
        <f>VLOOKUP(C390, Sheet2!$A$1:$C$130, 3, TRUE)</f>
        <v>#N/A</v>
      </c>
      <c r="C390" s="2" t="s">
        <v>47</v>
      </c>
      <c r="D390" s="2">
        <v>15.5</v>
      </c>
      <c r="E390" s="2"/>
    </row>
    <row r="391" spans="1:5" x14ac:dyDescent="0.35">
      <c r="A391" t="e">
        <f>VLOOKUP(C391, Sheet2!$A$1:$C$130, 2, TRUE)</f>
        <v>#N/A</v>
      </c>
      <c r="B391" t="e">
        <f>VLOOKUP(C391, Sheet2!$A$1:$C$130, 3, TRUE)</f>
        <v>#N/A</v>
      </c>
      <c r="C391" t="s">
        <v>47</v>
      </c>
      <c r="D391">
        <v>8</v>
      </c>
    </row>
    <row r="392" spans="1:5" x14ac:dyDescent="0.35">
      <c r="A392" t="e">
        <f>VLOOKUP(C392, Sheet2!$A$1:$C$130, 2, TRUE)</f>
        <v>#N/A</v>
      </c>
      <c r="B392" t="e">
        <f>VLOOKUP(C392, Sheet2!$A$1:$C$130, 3, TRUE)</f>
        <v>#N/A</v>
      </c>
      <c r="C392" t="s">
        <v>47</v>
      </c>
      <c r="D392">
        <v>8</v>
      </c>
    </row>
    <row r="393" spans="1:5" x14ac:dyDescent="0.35">
      <c r="A393" t="e">
        <f>VLOOKUP(C393, Sheet2!$A$1:$C$130, 2, TRUE)</f>
        <v>#N/A</v>
      </c>
      <c r="B393" t="e">
        <f>VLOOKUP(C393, Sheet2!$A$1:$C$130, 3, TRUE)</f>
        <v>#N/A</v>
      </c>
      <c r="C393" t="s">
        <v>47</v>
      </c>
      <c r="D393">
        <v>8</v>
      </c>
    </row>
    <row r="394" spans="1:5" x14ac:dyDescent="0.35">
      <c r="A394" t="e">
        <f>VLOOKUP(C394, Sheet2!$A$1:$C$130, 2, TRUE)</f>
        <v>#N/A</v>
      </c>
      <c r="B394" t="e">
        <f>VLOOKUP(C394, Sheet2!$A$1:$C$130, 3, TRUE)</f>
        <v>#N/A</v>
      </c>
      <c r="C394" t="s">
        <v>48</v>
      </c>
      <c r="D394">
        <v>0.5</v>
      </c>
    </row>
    <row r="395" spans="1:5" x14ac:dyDescent="0.35">
      <c r="A395" t="e">
        <f>VLOOKUP(C395, Sheet2!$A$1:$C$130, 2, TRUE)</f>
        <v>#N/A</v>
      </c>
      <c r="B395" t="e">
        <f>VLOOKUP(C395, Sheet2!$A$1:$C$130, 3, TRUE)</f>
        <v>#N/A</v>
      </c>
      <c r="C395" t="s">
        <v>48</v>
      </c>
      <c r="D395">
        <v>0</v>
      </c>
    </row>
    <row r="396" spans="1:5" x14ac:dyDescent="0.35">
      <c r="A396" t="e">
        <f>VLOOKUP(C396, Sheet2!$A$1:$C$130, 2, TRUE)</f>
        <v>#N/A</v>
      </c>
      <c r="B396" t="e">
        <f>VLOOKUP(C396, Sheet2!$A$1:$C$130, 3, TRUE)</f>
        <v>#N/A</v>
      </c>
      <c r="C396" t="s">
        <v>48</v>
      </c>
      <c r="D396">
        <v>0.5</v>
      </c>
    </row>
    <row r="397" spans="1:5" x14ac:dyDescent="0.35">
      <c r="A397" t="e">
        <f>VLOOKUP(C397, Sheet2!$A$1:$C$130, 2, TRUE)</f>
        <v>#N/A</v>
      </c>
      <c r="B397" t="e">
        <f>VLOOKUP(C397, Sheet2!$A$1:$C$130, 3, TRUE)</f>
        <v>#N/A</v>
      </c>
      <c r="C397" t="s">
        <v>48</v>
      </c>
      <c r="D397">
        <v>3.5</v>
      </c>
    </row>
  </sheetData>
  <sortState xmlns:xlrd2="http://schemas.microsoft.com/office/spreadsheetml/2017/richdata2" ref="A2:E400">
    <sortCondition ref="B2:B400"/>
    <sortCondition ref="C2:C400"/>
  </sortState>
  <conditionalFormatting sqref="B2:B389">
    <cfRule type="colorScale" priority="3">
      <colorScale>
        <cfvo type="min"/>
        <cfvo type="percentile" val="50"/>
        <cfvo type="max"/>
        <color rgb="FFF8696B"/>
        <color rgb="FFFFEB84"/>
        <color rgb="FF63BE7B"/>
      </colorScale>
    </cfRule>
  </conditionalFormatting>
  <conditionalFormatting sqref="A2:A389">
    <cfRule type="containsText" dxfId="4" priority="1" operator="containsText" text="xeric">
      <formula>NOT(ISERROR(SEARCH("xeric",A2)))</formula>
    </cfRule>
    <cfRule type="containsText" dxfId="3" priority="2" operator="containsText" text="hydric">
      <formula>NOT(ISERROR(SEARCH("hydric",A2)))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B376-AFE9-4F8F-8EA3-BAEA91CE8F3F}">
  <dimension ref="A1:F112"/>
  <sheetViews>
    <sheetView tabSelected="1" topLeftCell="A70" workbookViewId="0">
      <selection activeCell="E82" sqref="E82"/>
    </sheetView>
  </sheetViews>
  <sheetFormatPr defaultRowHeight="14.5" x14ac:dyDescent="0.35"/>
  <cols>
    <col min="4" max="4" width="14" customWidth="1"/>
    <col min="5" max="5" width="127.81640625" customWidth="1"/>
    <col min="6" max="6" width="14.54296875" customWidth="1"/>
  </cols>
  <sheetData>
    <row r="1" spans="1:6" x14ac:dyDescent="0.35">
      <c r="A1" t="s">
        <v>0</v>
      </c>
      <c r="B1" t="s">
        <v>223</v>
      </c>
      <c r="C1" t="s">
        <v>225</v>
      </c>
      <c r="D1" t="s">
        <v>229</v>
      </c>
      <c r="E1" t="s">
        <v>237</v>
      </c>
      <c r="F1" t="s">
        <v>301</v>
      </c>
    </row>
    <row r="2" spans="1:6" x14ac:dyDescent="0.35">
      <c r="A2">
        <v>1</v>
      </c>
      <c r="B2" t="s">
        <v>226</v>
      </c>
      <c r="C2">
        <v>1</v>
      </c>
      <c r="D2" t="s">
        <v>232</v>
      </c>
      <c r="F2" t="s">
        <v>302</v>
      </c>
    </row>
    <row r="3" spans="1:6" x14ac:dyDescent="0.35">
      <c r="A3">
        <v>2</v>
      </c>
      <c r="B3" t="s">
        <v>226</v>
      </c>
      <c r="C3">
        <v>1</v>
      </c>
      <c r="D3" t="s">
        <v>232</v>
      </c>
      <c r="F3" t="s">
        <v>303</v>
      </c>
    </row>
    <row r="4" spans="1:6" x14ac:dyDescent="0.35">
      <c r="A4">
        <v>3</v>
      </c>
      <c r="B4" t="s">
        <v>226</v>
      </c>
      <c r="C4">
        <v>1</v>
      </c>
      <c r="D4" t="s">
        <v>232</v>
      </c>
      <c r="F4" t="s">
        <v>304</v>
      </c>
    </row>
    <row r="5" spans="1:6" x14ac:dyDescent="0.35">
      <c r="A5">
        <v>7</v>
      </c>
      <c r="B5" t="s">
        <v>226</v>
      </c>
      <c r="C5">
        <v>1</v>
      </c>
      <c r="D5" t="s">
        <v>232</v>
      </c>
      <c r="E5" t="s">
        <v>240</v>
      </c>
      <c r="F5" t="s">
        <v>306</v>
      </c>
    </row>
    <row r="6" spans="1:6" x14ac:dyDescent="0.35">
      <c r="A6">
        <v>8</v>
      </c>
      <c r="B6" t="s">
        <v>226</v>
      </c>
      <c r="C6">
        <v>1</v>
      </c>
      <c r="D6" t="s">
        <v>232</v>
      </c>
      <c r="E6" t="s">
        <v>241</v>
      </c>
      <c r="F6" t="s">
        <v>307</v>
      </c>
    </row>
    <row r="7" spans="1:6" x14ac:dyDescent="0.35">
      <c r="A7">
        <v>9</v>
      </c>
      <c r="B7" t="s">
        <v>226</v>
      </c>
      <c r="C7">
        <v>1</v>
      </c>
      <c r="D7" t="s">
        <v>232</v>
      </c>
      <c r="E7" t="s">
        <v>242</v>
      </c>
      <c r="F7" t="s">
        <v>308</v>
      </c>
    </row>
    <row r="8" spans="1:6" x14ac:dyDescent="0.35">
      <c r="A8">
        <v>12</v>
      </c>
      <c r="B8" t="s">
        <v>226</v>
      </c>
      <c r="C8">
        <v>1</v>
      </c>
      <c r="D8" t="s">
        <v>233</v>
      </c>
      <c r="E8" t="s">
        <v>243</v>
      </c>
      <c r="F8" t="s">
        <v>311</v>
      </c>
    </row>
    <row r="9" spans="1:6" x14ac:dyDescent="0.35">
      <c r="A9">
        <v>13</v>
      </c>
      <c r="B9" t="s">
        <v>226</v>
      </c>
      <c r="C9">
        <v>1</v>
      </c>
      <c r="D9" t="s">
        <v>232</v>
      </c>
      <c r="E9" t="s">
        <v>244</v>
      </c>
      <c r="F9" t="s">
        <v>312</v>
      </c>
    </row>
    <row r="10" spans="1:6" x14ac:dyDescent="0.35">
      <c r="A10">
        <v>14</v>
      </c>
      <c r="B10" t="s">
        <v>226</v>
      </c>
      <c r="C10">
        <v>1</v>
      </c>
      <c r="D10" t="s">
        <v>232</v>
      </c>
      <c r="E10" t="s">
        <v>245</v>
      </c>
      <c r="F10" t="s">
        <v>313</v>
      </c>
    </row>
    <row r="11" spans="1:6" x14ac:dyDescent="0.35">
      <c r="A11">
        <v>15</v>
      </c>
      <c r="B11" t="s">
        <v>226</v>
      </c>
      <c r="C11">
        <v>1</v>
      </c>
      <c r="D11" t="s">
        <v>232</v>
      </c>
      <c r="E11" t="s">
        <v>246</v>
      </c>
      <c r="F11" t="s">
        <v>314</v>
      </c>
    </row>
    <row r="12" spans="1:6" x14ac:dyDescent="0.35">
      <c r="A12">
        <v>19</v>
      </c>
      <c r="B12" t="s">
        <v>226</v>
      </c>
      <c r="C12">
        <v>1</v>
      </c>
      <c r="D12" t="s">
        <v>232</v>
      </c>
      <c r="E12" t="s">
        <v>247</v>
      </c>
      <c r="F12" t="s">
        <v>318</v>
      </c>
    </row>
    <row r="13" spans="1:6" x14ac:dyDescent="0.35">
      <c r="A13">
        <v>20</v>
      </c>
      <c r="B13" t="s">
        <v>226</v>
      </c>
      <c r="C13">
        <v>1</v>
      </c>
      <c r="D13" t="s">
        <v>232</v>
      </c>
      <c r="E13" t="s">
        <v>248</v>
      </c>
      <c r="F13" t="s">
        <v>319</v>
      </c>
    </row>
    <row r="14" spans="1:6" x14ac:dyDescent="0.35">
      <c r="A14">
        <v>21</v>
      </c>
      <c r="B14" t="s">
        <v>226</v>
      </c>
      <c r="C14">
        <v>1</v>
      </c>
      <c r="D14" t="s">
        <v>232</v>
      </c>
      <c r="E14" t="s">
        <v>249</v>
      </c>
      <c r="F14" t="s">
        <v>320</v>
      </c>
    </row>
    <row r="15" spans="1:6" x14ac:dyDescent="0.35">
      <c r="A15">
        <v>26</v>
      </c>
      <c r="B15" t="s">
        <v>226</v>
      </c>
      <c r="C15">
        <v>1</v>
      </c>
      <c r="D15" t="s">
        <v>234</v>
      </c>
      <c r="F15" t="s">
        <v>325</v>
      </c>
    </row>
    <row r="16" spans="1:6" x14ac:dyDescent="0.35">
      <c r="A16">
        <v>27</v>
      </c>
      <c r="B16" t="s">
        <v>226</v>
      </c>
      <c r="C16">
        <v>1</v>
      </c>
      <c r="D16" t="s">
        <v>234</v>
      </c>
      <c r="F16" t="s">
        <v>326</v>
      </c>
    </row>
    <row r="17" spans="1:6" x14ac:dyDescent="0.35">
      <c r="A17">
        <v>29</v>
      </c>
      <c r="B17" t="s">
        <v>226</v>
      </c>
      <c r="C17">
        <v>1</v>
      </c>
      <c r="D17" t="s">
        <v>231</v>
      </c>
      <c r="E17" t="s">
        <v>250</v>
      </c>
      <c r="F17" t="s">
        <v>328</v>
      </c>
    </row>
    <row r="18" spans="1:6" x14ac:dyDescent="0.35">
      <c r="A18">
        <v>30</v>
      </c>
      <c r="B18" t="s">
        <v>226</v>
      </c>
      <c r="C18">
        <v>1</v>
      </c>
      <c r="D18" t="s">
        <v>231</v>
      </c>
      <c r="E18" t="s">
        <v>251</v>
      </c>
      <c r="F18" t="s">
        <v>329</v>
      </c>
    </row>
    <row r="19" spans="1:6" x14ac:dyDescent="0.35">
      <c r="A19">
        <v>31</v>
      </c>
      <c r="B19" t="s">
        <v>226</v>
      </c>
      <c r="C19">
        <v>1</v>
      </c>
      <c r="D19" t="s">
        <v>234</v>
      </c>
      <c r="F19" t="s">
        <v>330</v>
      </c>
    </row>
    <row r="20" spans="1:6" x14ac:dyDescent="0.35">
      <c r="A20">
        <v>33</v>
      </c>
      <c r="B20" t="s">
        <v>226</v>
      </c>
      <c r="C20">
        <v>1</v>
      </c>
      <c r="D20" t="s">
        <v>234</v>
      </c>
      <c r="F20" t="s">
        <v>332</v>
      </c>
    </row>
    <row r="21" spans="1:6" x14ac:dyDescent="0.35">
      <c r="A21">
        <v>34</v>
      </c>
      <c r="B21" t="s">
        <v>226</v>
      </c>
      <c r="C21">
        <v>1</v>
      </c>
      <c r="D21" t="s">
        <v>234</v>
      </c>
      <c r="E21" t="s">
        <v>252</v>
      </c>
      <c r="F21" t="s">
        <v>333</v>
      </c>
    </row>
    <row r="22" spans="1:6" x14ac:dyDescent="0.35">
      <c r="A22">
        <v>35</v>
      </c>
      <c r="B22" t="s">
        <v>226</v>
      </c>
      <c r="C22">
        <v>1</v>
      </c>
      <c r="D22" t="s">
        <v>234</v>
      </c>
      <c r="E22" t="s">
        <v>253</v>
      </c>
      <c r="F22" t="s">
        <v>334</v>
      </c>
    </row>
    <row r="23" spans="1:6" x14ac:dyDescent="0.35">
      <c r="A23">
        <v>36</v>
      </c>
      <c r="B23" t="s">
        <v>226</v>
      </c>
      <c r="C23">
        <v>1</v>
      </c>
      <c r="D23" t="s">
        <v>234</v>
      </c>
      <c r="F23" t="s">
        <v>335</v>
      </c>
    </row>
    <row r="24" spans="1:6" x14ac:dyDescent="0.35">
      <c r="A24">
        <v>53</v>
      </c>
      <c r="B24" t="s">
        <v>227</v>
      </c>
      <c r="C24">
        <v>1</v>
      </c>
      <c r="D24" t="s">
        <v>230</v>
      </c>
      <c r="E24" t="s">
        <v>238</v>
      </c>
      <c r="F24" t="s">
        <v>349</v>
      </c>
    </row>
    <row r="25" spans="1:6" x14ac:dyDescent="0.35">
      <c r="A25">
        <v>58</v>
      </c>
      <c r="B25" t="s">
        <v>226</v>
      </c>
      <c r="C25">
        <v>1</v>
      </c>
      <c r="D25" t="s">
        <v>230</v>
      </c>
      <c r="F25" t="s">
        <v>354</v>
      </c>
    </row>
    <row r="26" spans="1:6" x14ac:dyDescent="0.35">
      <c r="A26">
        <v>59</v>
      </c>
      <c r="B26" t="s">
        <v>226</v>
      </c>
      <c r="C26">
        <v>1</v>
      </c>
      <c r="D26" t="s">
        <v>230</v>
      </c>
      <c r="E26" t="s">
        <v>254</v>
      </c>
      <c r="F26" t="s">
        <v>355</v>
      </c>
    </row>
    <row r="27" spans="1:6" x14ac:dyDescent="0.35">
      <c r="A27">
        <v>60</v>
      </c>
      <c r="B27" t="s">
        <v>226</v>
      </c>
      <c r="C27">
        <v>1</v>
      </c>
      <c r="D27" t="s">
        <v>230</v>
      </c>
      <c r="E27" t="s">
        <v>255</v>
      </c>
      <c r="F27" t="s">
        <v>356</v>
      </c>
    </row>
    <row r="28" spans="1:6" x14ac:dyDescent="0.35">
      <c r="A28">
        <v>85</v>
      </c>
      <c r="B28" t="s">
        <v>227</v>
      </c>
      <c r="C28">
        <v>1</v>
      </c>
      <c r="D28" t="s">
        <v>231</v>
      </c>
      <c r="E28" t="s">
        <v>239</v>
      </c>
      <c r="F28" t="s">
        <v>379</v>
      </c>
    </row>
    <row r="29" spans="1:6" x14ac:dyDescent="0.35">
      <c r="A29">
        <v>88</v>
      </c>
      <c r="B29" t="s">
        <v>226</v>
      </c>
      <c r="C29">
        <v>1</v>
      </c>
      <c r="D29" t="s">
        <v>231</v>
      </c>
      <c r="E29" t="s">
        <v>256</v>
      </c>
      <c r="F29" t="s">
        <v>382</v>
      </c>
    </row>
    <row r="30" spans="1:6" x14ac:dyDescent="0.35">
      <c r="A30">
        <v>89</v>
      </c>
      <c r="B30" t="s">
        <v>226</v>
      </c>
      <c r="C30">
        <v>1</v>
      </c>
      <c r="D30" t="s">
        <v>231</v>
      </c>
      <c r="E30" t="s">
        <v>257</v>
      </c>
      <c r="F30" t="s">
        <v>383</v>
      </c>
    </row>
    <row r="31" spans="1:6" x14ac:dyDescent="0.35">
      <c r="A31">
        <v>90</v>
      </c>
      <c r="B31" t="s">
        <v>226</v>
      </c>
      <c r="C31">
        <v>1</v>
      </c>
      <c r="D31" t="s">
        <v>231</v>
      </c>
      <c r="E31" t="s">
        <v>258</v>
      </c>
      <c r="F31" t="s">
        <v>384</v>
      </c>
    </row>
    <row r="32" spans="1:6" x14ac:dyDescent="0.35">
      <c r="A32">
        <v>93</v>
      </c>
      <c r="B32" t="s">
        <v>226</v>
      </c>
      <c r="C32">
        <v>1</v>
      </c>
      <c r="D32" t="s">
        <v>233</v>
      </c>
    </row>
    <row r="33" spans="1:6" x14ac:dyDescent="0.35">
      <c r="A33">
        <v>101</v>
      </c>
      <c r="B33" t="s">
        <v>226</v>
      </c>
      <c r="C33">
        <v>1</v>
      </c>
      <c r="D33" t="s">
        <v>230</v>
      </c>
      <c r="E33" t="s">
        <v>259</v>
      </c>
      <c r="F33" t="s">
        <v>393</v>
      </c>
    </row>
    <row r="34" spans="1:6" x14ac:dyDescent="0.35">
      <c r="A34">
        <v>112</v>
      </c>
      <c r="B34" t="s">
        <v>226</v>
      </c>
      <c r="C34">
        <v>1</v>
      </c>
      <c r="D34" t="s">
        <v>232</v>
      </c>
      <c r="F34" t="s">
        <v>398</v>
      </c>
    </row>
    <row r="35" spans="1:6" x14ac:dyDescent="0.35">
      <c r="A35">
        <v>113</v>
      </c>
      <c r="B35" t="s">
        <v>226</v>
      </c>
      <c r="C35">
        <v>1</v>
      </c>
      <c r="D35" t="s">
        <v>232</v>
      </c>
      <c r="E35" t="s">
        <v>260</v>
      </c>
      <c r="F35" t="s">
        <v>399</v>
      </c>
    </row>
    <row r="36" spans="1:6" x14ac:dyDescent="0.35">
      <c r="A36">
        <v>114</v>
      </c>
      <c r="B36" t="s">
        <v>226</v>
      </c>
      <c r="C36">
        <v>1</v>
      </c>
      <c r="D36" t="s">
        <v>232</v>
      </c>
      <c r="F36" t="s">
        <v>400</v>
      </c>
    </row>
    <row r="37" spans="1:6" x14ac:dyDescent="0.35">
      <c r="A37">
        <v>10</v>
      </c>
      <c r="B37" t="s">
        <v>226</v>
      </c>
      <c r="C37">
        <v>2</v>
      </c>
      <c r="D37" t="s">
        <v>233</v>
      </c>
      <c r="E37" t="s">
        <v>265</v>
      </c>
      <c r="F37" t="s">
        <v>309</v>
      </c>
    </row>
    <row r="38" spans="1:6" x14ac:dyDescent="0.35">
      <c r="A38">
        <v>11</v>
      </c>
      <c r="B38" t="s">
        <v>226</v>
      </c>
      <c r="C38">
        <v>2</v>
      </c>
      <c r="D38" t="s">
        <v>233</v>
      </c>
      <c r="E38" t="s">
        <v>266</v>
      </c>
      <c r="F38" t="s">
        <v>310</v>
      </c>
    </row>
    <row r="39" spans="1:6" x14ac:dyDescent="0.35">
      <c r="A39">
        <v>16</v>
      </c>
      <c r="B39" t="s">
        <v>227</v>
      </c>
      <c r="C39">
        <v>2</v>
      </c>
      <c r="D39" t="s">
        <v>235</v>
      </c>
      <c r="E39" t="s">
        <v>261</v>
      </c>
      <c r="F39" t="s">
        <v>315</v>
      </c>
    </row>
    <row r="40" spans="1:6" x14ac:dyDescent="0.35">
      <c r="A40">
        <v>32</v>
      </c>
      <c r="B40" t="s">
        <v>226</v>
      </c>
      <c r="C40">
        <v>2</v>
      </c>
      <c r="D40" t="s">
        <v>234</v>
      </c>
      <c r="F40" t="s">
        <v>331</v>
      </c>
    </row>
    <row r="41" spans="1:6" x14ac:dyDescent="0.35">
      <c r="A41">
        <v>49</v>
      </c>
      <c r="B41" t="s">
        <v>226</v>
      </c>
      <c r="C41">
        <v>2</v>
      </c>
      <c r="D41" t="s">
        <v>230</v>
      </c>
      <c r="F41" t="s">
        <v>345</v>
      </c>
    </row>
    <row r="42" spans="1:6" x14ac:dyDescent="0.35">
      <c r="A42">
        <v>50</v>
      </c>
      <c r="B42" t="s">
        <v>226</v>
      </c>
      <c r="C42">
        <v>2</v>
      </c>
      <c r="D42" t="s">
        <v>230</v>
      </c>
      <c r="F42" t="s">
        <v>346</v>
      </c>
    </row>
    <row r="43" spans="1:6" x14ac:dyDescent="0.35">
      <c r="A43">
        <v>51</v>
      </c>
      <c r="B43" t="s">
        <v>226</v>
      </c>
      <c r="C43">
        <v>2</v>
      </c>
      <c r="D43" t="s">
        <v>230</v>
      </c>
      <c r="F43" t="s">
        <v>347</v>
      </c>
    </row>
    <row r="44" spans="1:6" x14ac:dyDescent="0.35">
      <c r="A44">
        <v>55</v>
      </c>
      <c r="B44" t="s">
        <v>226</v>
      </c>
      <c r="C44">
        <v>2</v>
      </c>
      <c r="D44" t="s">
        <v>230</v>
      </c>
      <c r="E44" t="s">
        <v>267</v>
      </c>
      <c r="F44" t="s">
        <v>351</v>
      </c>
    </row>
    <row r="45" spans="1:6" x14ac:dyDescent="0.35">
      <c r="A45">
        <v>56</v>
      </c>
      <c r="B45" t="s">
        <v>226</v>
      </c>
      <c r="C45">
        <v>2</v>
      </c>
      <c r="D45" t="s">
        <v>230</v>
      </c>
      <c r="F45" t="s">
        <v>352</v>
      </c>
    </row>
    <row r="46" spans="1:6" x14ac:dyDescent="0.35">
      <c r="A46">
        <v>57</v>
      </c>
      <c r="B46" t="s">
        <v>226</v>
      </c>
      <c r="C46">
        <v>2</v>
      </c>
      <c r="D46" t="s">
        <v>230</v>
      </c>
      <c r="F46" t="s">
        <v>353</v>
      </c>
    </row>
    <row r="47" spans="1:6" x14ac:dyDescent="0.35">
      <c r="A47">
        <v>67</v>
      </c>
      <c r="B47" t="s">
        <v>227</v>
      </c>
      <c r="C47">
        <v>2</v>
      </c>
      <c r="D47" t="s">
        <v>236</v>
      </c>
      <c r="F47" t="s">
        <v>362</v>
      </c>
    </row>
    <row r="48" spans="1:6" x14ac:dyDescent="0.35">
      <c r="A48">
        <v>69</v>
      </c>
      <c r="B48" t="s">
        <v>227</v>
      </c>
      <c r="C48">
        <v>2</v>
      </c>
      <c r="D48" t="s">
        <v>236</v>
      </c>
      <c r="E48" t="s">
        <v>262</v>
      </c>
      <c r="F48" t="s">
        <v>364</v>
      </c>
    </row>
    <row r="49" spans="1:6" x14ac:dyDescent="0.35">
      <c r="A49">
        <v>73</v>
      </c>
      <c r="B49" t="s">
        <v>226</v>
      </c>
      <c r="C49">
        <v>2</v>
      </c>
      <c r="D49" t="s">
        <v>236</v>
      </c>
      <c r="E49" t="s">
        <v>268</v>
      </c>
      <c r="F49" t="s">
        <v>368</v>
      </c>
    </row>
    <row r="50" spans="1:6" x14ac:dyDescent="0.35">
      <c r="A50">
        <v>75</v>
      </c>
      <c r="B50" t="s">
        <v>226</v>
      </c>
      <c r="C50">
        <v>2</v>
      </c>
      <c r="D50" t="s">
        <v>236</v>
      </c>
      <c r="E50" t="s">
        <v>269</v>
      </c>
      <c r="F50" t="s">
        <v>370</v>
      </c>
    </row>
    <row r="51" spans="1:6" x14ac:dyDescent="0.35">
      <c r="A51">
        <v>80</v>
      </c>
      <c r="B51" t="s">
        <v>227</v>
      </c>
      <c r="C51">
        <v>2</v>
      </c>
      <c r="D51" t="s">
        <v>236</v>
      </c>
      <c r="E51" t="s">
        <v>263</v>
      </c>
      <c r="F51" t="s">
        <v>375</v>
      </c>
    </row>
    <row r="52" spans="1:6" x14ac:dyDescent="0.35">
      <c r="A52">
        <v>81</v>
      </c>
      <c r="B52" t="s">
        <v>227</v>
      </c>
      <c r="C52">
        <v>2</v>
      </c>
      <c r="D52" t="s">
        <v>236</v>
      </c>
      <c r="F52" t="s">
        <v>310</v>
      </c>
    </row>
    <row r="53" spans="1:6" x14ac:dyDescent="0.35">
      <c r="A53">
        <v>82</v>
      </c>
      <c r="B53" t="s">
        <v>226</v>
      </c>
      <c r="C53">
        <v>2</v>
      </c>
      <c r="D53" t="s">
        <v>231</v>
      </c>
      <c r="F53" t="s">
        <v>376</v>
      </c>
    </row>
    <row r="54" spans="1:6" x14ac:dyDescent="0.35">
      <c r="A54">
        <v>83</v>
      </c>
      <c r="B54" t="s">
        <v>226</v>
      </c>
      <c r="C54">
        <v>2</v>
      </c>
      <c r="D54" t="s">
        <v>231</v>
      </c>
      <c r="E54" t="s">
        <v>270</v>
      </c>
      <c r="F54" t="s">
        <v>377</v>
      </c>
    </row>
    <row r="55" spans="1:6" x14ac:dyDescent="0.35">
      <c r="A55">
        <v>84</v>
      </c>
      <c r="B55" t="s">
        <v>226</v>
      </c>
      <c r="C55">
        <v>2</v>
      </c>
      <c r="D55" t="s">
        <v>231</v>
      </c>
      <c r="E55" t="s">
        <v>271</v>
      </c>
      <c r="F55" t="s">
        <v>378</v>
      </c>
    </row>
    <row r="56" spans="1:6" x14ac:dyDescent="0.35">
      <c r="A56">
        <v>91</v>
      </c>
      <c r="B56" t="s">
        <v>226</v>
      </c>
      <c r="C56">
        <v>2</v>
      </c>
      <c r="D56" t="s">
        <v>233</v>
      </c>
      <c r="F56" t="s">
        <v>385</v>
      </c>
    </row>
    <row r="57" spans="1:6" x14ac:dyDescent="0.35">
      <c r="A57">
        <v>92</v>
      </c>
      <c r="B57" t="s">
        <v>226</v>
      </c>
      <c r="C57">
        <v>2</v>
      </c>
      <c r="D57" t="s">
        <v>233</v>
      </c>
    </row>
    <row r="58" spans="1:6" x14ac:dyDescent="0.35">
      <c r="A58">
        <v>94</v>
      </c>
      <c r="B58" t="s">
        <v>226</v>
      </c>
      <c r="C58">
        <v>2</v>
      </c>
      <c r="D58" t="s">
        <v>230</v>
      </c>
      <c r="F58" t="s">
        <v>386</v>
      </c>
    </row>
    <row r="59" spans="1:6" x14ac:dyDescent="0.35">
      <c r="A59">
        <v>95</v>
      </c>
      <c r="B59" t="s">
        <v>226</v>
      </c>
      <c r="C59">
        <v>2</v>
      </c>
      <c r="D59" t="s">
        <v>230</v>
      </c>
      <c r="F59" t="s">
        <v>387</v>
      </c>
    </row>
    <row r="60" spans="1:6" x14ac:dyDescent="0.35">
      <c r="A60">
        <v>96</v>
      </c>
      <c r="B60" t="s">
        <v>226</v>
      </c>
      <c r="C60">
        <v>2</v>
      </c>
      <c r="D60" t="s">
        <v>230</v>
      </c>
      <c r="F60" t="s">
        <v>388</v>
      </c>
    </row>
    <row r="61" spans="1:6" x14ac:dyDescent="0.35">
      <c r="A61">
        <v>98</v>
      </c>
      <c r="B61" t="s">
        <v>227</v>
      </c>
      <c r="C61">
        <v>2</v>
      </c>
      <c r="D61" t="s">
        <v>230</v>
      </c>
      <c r="F61" t="s">
        <v>390</v>
      </c>
    </row>
    <row r="62" spans="1:6" x14ac:dyDescent="0.35">
      <c r="A62">
        <v>99</v>
      </c>
      <c r="B62" t="s">
        <v>227</v>
      </c>
      <c r="C62">
        <v>2</v>
      </c>
      <c r="D62" t="s">
        <v>230</v>
      </c>
      <c r="F62" t="s">
        <v>391</v>
      </c>
    </row>
    <row r="63" spans="1:6" x14ac:dyDescent="0.35">
      <c r="A63">
        <v>100</v>
      </c>
      <c r="B63" t="s">
        <v>226</v>
      </c>
      <c r="C63">
        <v>2</v>
      </c>
      <c r="D63" t="s">
        <v>230</v>
      </c>
      <c r="E63" t="s">
        <v>272</v>
      </c>
      <c r="F63" t="s">
        <v>392</v>
      </c>
    </row>
    <row r="64" spans="1:6" x14ac:dyDescent="0.35">
      <c r="A64">
        <v>102</v>
      </c>
      <c r="B64" t="s">
        <v>226</v>
      </c>
      <c r="C64">
        <v>2</v>
      </c>
      <c r="D64" t="s">
        <v>230</v>
      </c>
      <c r="E64" t="s">
        <v>273</v>
      </c>
      <c r="F64" t="s">
        <v>394</v>
      </c>
    </row>
    <row r="65" spans="1:6" x14ac:dyDescent="0.35">
      <c r="A65">
        <v>109</v>
      </c>
      <c r="B65" t="s">
        <v>227</v>
      </c>
      <c r="C65">
        <v>2</v>
      </c>
      <c r="D65" t="s">
        <v>236</v>
      </c>
      <c r="F65" t="s">
        <v>395</v>
      </c>
    </row>
    <row r="66" spans="1:6" x14ac:dyDescent="0.35">
      <c r="A66">
        <v>111</v>
      </c>
      <c r="B66" t="s">
        <v>227</v>
      </c>
      <c r="C66">
        <v>2</v>
      </c>
      <c r="D66" t="s">
        <v>236</v>
      </c>
      <c r="E66" t="s">
        <v>264</v>
      </c>
      <c r="F66" t="s">
        <v>397</v>
      </c>
    </row>
    <row r="67" spans="1:6" x14ac:dyDescent="0.35">
      <c r="A67">
        <v>4</v>
      </c>
      <c r="B67" t="s">
        <v>227</v>
      </c>
      <c r="C67">
        <v>3</v>
      </c>
      <c r="D67" t="s">
        <v>233</v>
      </c>
    </row>
    <row r="68" spans="1:6" x14ac:dyDescent="0.35">
      <c r="A68">
        <v>5</v>
      </c>
      <c r="B68" t="s">
        <v>227</v>
      </c>
      <c r="C68">
        <v>3</v>
      </c>
      <c r="D68" t="s">
        <v>233</v>
      </c>
      <c r="E68" t="s">
        <v>276</v>
      </c>
      <c r="F68" t="s">
        <v>305</v>
      </c>
    </row>
    <row r="69" spans="1:6" x14ac:dyDescent="0.35">
      <c r="A69">
        <v>6</v>
      </c>
      <c r="B69" t="s">
        <v>227</v>
      </c>
      <c r="C69">
        <v>3</v>
      </c>
      <c r="D69" t="s">
        <v>233</v>
      </c>
    </row>
    <row r="70" spans="1:6" x14ac:dyDescent="0.35">
      <c r="A70">
        <v>17</v>
      </c>
      <c r="B70" t="s">
        <v>227</v>
      </c>
      <c r="C70">
        <v>3</v>
      </c>
      <c r="D70" t="s">
        <v>235</v>
      </c>
      <c r="E70" t="s">
        <v>277</v>
      </c>
      <c r="F70" t="s">
        <v>316</v>
      </c>
    </row>
    <row r="71" spans="1:6" x14ac:dyDescent="0.35">
      <c r="A71">
        <v>25</v>
      </c>
      <c r="B71" t="s">
        <v>226</v>
      </c>
      <c r="C71">
        <v>3</v>
      </c>
      <c r="D71" t="s">
        <v>234</v>
      </c>
      <c r="F71" t="s">
        <v>324</v>
      </c>
    </row>
    <row r="72" spans="1:6" x14ac:dyDescent="0.35">
      <c r="A72">
        <v>28</v>
      </c>
      <c r="B72" t="s">
        <v>226</v>
      </c>
      <c r="C72">
        <v>3</v>
      </c>
      <c r="D72" t="s">
        <v>231</v>
      </c>
      <c r="E72" t="s">
        <v>283</v>
      </c>
      <c r="F72" t="s">
        <v>327</v>
      </c>
    </row>
    <row r="73" spans="1:6" x14ac:dyDescent="0.35">
      <c r="A73">
        <v>52</v>
      </c>
      <c r="B73" t="s">
        <v>227</v>
      </c>
      <c r="C73">
        <v>3</v>
      </c>
      <c r="D73" t="s">
        <v>230</v>
      </c>
      <c r="E73" t="s">
        <v>278</v>
      </c>
      <c r="F73" t="s">
        <v>348</v>
      </c>
    </row>
    <row r="74" spans="1:6" x14ac:dyDescent="0.35">
      <c r="A74">
        <v>54</v>
      </c>
      <c r="B74" t="s">
        <v>227</v>
      </c>
      <c r="C74">
        <v>3</v>
      </c>
      <c r="D74" t="s">
        <v>230</v>
      </c>
      <c r="F74" t="s">
        <v>350</v>
      </c>
    </row>
    <row r="75" spans="1:6" x14ac:dyDescent="0.35">
      <c r="A75">
        <v>65</v>
      </c>
      <c r="B75" t="s">
        <v>228</v>
      </c>
      <c r="C75">
        <v>3</v>
      </c>
      <c r="D75" t="s">
        <v>235</v>
      </c>
      <c r="E75" t="s">
        <v>274</v>
      </c>
      <c r="F75" t="s">
        <v>360</v>
      </c>
    </row>
    <row r="76" spans="1:6" x14ac:dyDescent="0.35">
      <c r="A76">
        <v>68</v>
      </c>
      <c r="B76" t="s">
        <v>227</v>
      </c>
      <c r="C76">
        <v>3</v>
      </c>
      <c r="D76" t="s">
        <v>236</v>
      </c>
      <c r="F76" t="s">
        <v>363</v>
      </c>
    </row>
    <row r="77" spans="1:6" x14ac:dyDescent="0.35">
      <c r="A77">
        <v>70</v>
      </c>
      <c r="B77" t="s">
        <v>228</v>
      </c>
      <c r="C77">
        <v>3</v>
      </c>
      <c r="D77" t="s">
        <v>236</v>
      </c>
      <c r="E77" t="s">
        <v>275</v>
      </c>
      <c r="F77" t="s">
        <v>365</v>
      </c>
    </row>
    <row r="78" spans="1:6" x14ac:dyDescent="0.35">
      <c r="A78">
        <v>74</v>
      </c>
      <c r="B78" t="s">
        <v>226</v>
      </c>
      <c r="C78">
        <v>3</v>
      </c>
      <c r="D78" t="s">
        <v>236</v>
      </c>
      <c r="E78" t="s">
        <v>284</v>
      </c>
      <c r="F78" t="s">
        <v>369</v>
      </c>
    </row>
    <row r="79" spans="1:6" x14ac:dyDescent="0.35">
      <c r="A79">
        <v>79</v>
      </c>
      <c r="B79" t="s">
        <v>227</v>
      </c>
      <c r="C79">
        <v>3</v>
      </c>
      <c r="D79" t="s">
        <v>236</v>
      </c>
      <c r="E79" t="s">
        <v>279</v>
      </c>
      <c r="F79" t="s">
        <v>374</v>
      </c>
    </row>
    <row r="80" spans="1:6" x14ac:dyDescent="0.35">
      <c r="A80">
        <v>86</v>
      </c>
      <c r="B80" t="s">
        <v>227</v>
      </c>
      <c r="C80">
        <v>3</v>
      </c>
      <c r="D80" t="s">
        <v>231</v>
      </c>
      <c r="E80" t="s">
        <v>280</v>
      </c>
      <c r="F80" t="s">
        <v>380</v>
      </c>
    </row>
    <row r="81" spans="1:6" x14ac:dyDescent="0.35">
      <c r="A81">
        <v>87</v>
      </c>
      <c r="B81" t="s">
        <v>227</v>
      </c>
      <c r="C81">
        <v>3</v>
      </c>
      <c r="D81" t="s">
        <v>231</v>
      </c>
      <c r="E81" t="s">
        <v>281</v>
      </c>
      <c r="F81" t="s">
        <v>381</v>
      </c>
    </row>
    <row r="82" spans="1:6" x14ac:dyDescent="0.35">
      <c r="A82">
        <v>97</v>
      </c>
      <c r="B82" t="s">
        <v>227</v>
      </c>
      <c r="C82">
        <v>3</v>
      </c>
      <c r="D82" t="s">
        <v>230</v>
      </c>
      <c r="F82" t="s">
        <v>389</v>
      </c>
    </row>
    <row r="83" spans="1:6" x14ac:dyDescent="0.35">
      <c r="A83">
        <v>110</v>
      </c>
      <c r="B83" t="s">
        <v>227</v>
      </c>
      <c r="C83">
        <v>3</v>
      </c>
      <c r="D83" t="s">
        <v>236</v>
      </c>
      <c r="E83" t="s">
        <v>282</v>
      </c>
      <c r="F83" t="s">
        <v>396</v>
      </c>
    </row>
    <row r="84" spans="1:6" x14ac:dyDescent="0.35">
      <c r="A84">
        <v>18</v>
      </c>
      <c r="B84" t="s">
        <v>227</v>
      </c>
      <c r="C84">
        <v>4</v>
      </c>
      <c r="D84" t="s">
        <v>235</v>
      </c>
      <c r="E84" t="s">
        <v>296</v>
      </c>
      <c r="F84" t="s">
        <v>317</v>
      </c>
    </row>
    <row r="85" spans="1:6" x14ac:dyDescent="0.35">
      <c r="A85">
        <v>22</v>
      </c>
      <c r="B85" t="s">
        <v>228</v>
      </c>
      <c r="C85">
        <v>4</v>
      </c>
      <c r="D85" t="s">
        <v>235</v>
      </c>
      <c r="E85" t="s">
        <v>285</v>
      </c>
      <c r="F85" t="s">
        <v>321</v>
      </c>
    </row>
    <row r="86" spans="1:6" x14ac:dyDescent="0.35">
      <c r="A86">
        <v>23</v>
      </c>
      <c r="B86" t="s">
        <v>228</v>
      </c>
      <c r="C86">
        <v>4</v>
      </c>
      <c r="D86" t="s">
        <v>235</v>
      </c>
      <c r="E86" t="s">
        <v>286</v>
      </c>
      <c r="F86" t="s">
        <v>322</v>
      </c>
    </row>
    <row r="87" spans="1:6" x14ac:dyDescent="0.35">
      <c r="A87">
        <v>24</v>
      </c>
      <c r="B87" t="s">
        <v>228</v>
      </c>
      <c r="C87">
        <v>4</v>
      </c>
      <c r="D87" t="s">
        <v>235</v>
      </c>
      <c r="E87" t="s">
        <v>287</v>
      </c>
      <c r="F87" t="s">
        <v>323</v>
      </c>
    </row>
    <row r="88" spans="1:6" x14ac:dyDescent="0.35">
      <c r="A88">
        <v>41</v>
      </c>
      <c r="B88" t="s">
        <v>228</v>
      </c>
      <c r="C88">
        <v>4</v>
      </c>
      <c r="D88" t="s">
        <v>232</v>
      </c>
      <c r="E88" t="s">
        <v>288</v>
      </c>
      <c r="F88" t="s">
        <v>340</v>
      </c>
    </row>
    <row r="89" spans="1:6" x14ac:dyDescent="0.35">
      <c r="A89">
        <v>61</v>
      </c>
      <c r="B89" t="s">
        <v>228</v>
      </c>
      <c r="C89">
        <v>4</v>
      </c>
      <c r="D89" t="s">
        <v>235</v>
      </c>
    </row>
    <row r="90" spans="1:6" x14ac:dyDescent="0.35">
      <c r="A90">
        <v>62</v>
      </c>
      <c r="B90" t="s">
        <v>228</v>
      </c>
      <c r="C90">
        <v>4</v>
      </c>
      <c r="D90" t="s">
        <v>235</v>
      </c>
      <c r="E90" t="s">
        <v>289</v>
      </c>
      <c r="F90" t="s">
        <v>357</v>
      </c>
    </row>
    <row r="91" spans="1:6" x14ac:dyDescent="0.35">
      <c r="A91">
        <v>63</v>
      </c>
      <c r="B91" t="s">
        <v>228</v>
      </c>
      <c r="C91">
        <v>4</v>
      </c>
      <c r="D91" t="s">
        <v>235</v>
      </c>
      <c r="F91" t="s">
        <v>358</v>
      </c>
    </row>
    <row r="92" spans="1:6" x14ac:dyDescent="0.35">
      <c r="A92">
        <v>64</v>
      </c>
      <c r="B92" t="s">
        <v>228</v>
      </c>
      <c r="C92">
        <v>4</v>
      </c>
      <c r="D92" t="s">
        <v>235</v>
      </c>
      <c r="E92" t="s">
        <v>290</v>
      </c>
      <c r="F92" t="s">
        <v>359</v>
      </c>
    </row>
    <row r="93" spans="1:6" x14ac:dyDescent="0.35">
      <c r="A93">
        <v>66</v>
      </c>
      <c r="B93" t="s">
        <v>228</v>
      </c>
      <c r="C93">
        <v>4</v>
      </c>
      <c r="D93" t="s">
        <v>235</v>
      </c>
      <c r="E93" t="s">
        <v>291</v>
      </c>
      <c r="F93" t="s">
        <v>361</v>
      </c>
    </row>
    <row r="94" spans="1:6" x14ac:dyDescent="0.35">
      <c r="A94">
        <v>71</v>
      </c>
      <c r="B94" t="s">
        <v>228</v>
      </c>
      <c r="C94">
        <v>4</v>
      </c>
      <c r="D94" t="s">
        <v>236</v>
      </c>
      <c r="E94" t="s">
        <v>292</v>
      </c>
      <c r="F94" t="s">
        <v>366</v>
      </c>
    </row>
    <row r="95" spans="1:6" x14ac:dyDescent="0.35">
      <c r="A95">
        <v>72</v>
      </c>
      <c r="B95" t="s">
        <v>228</v>
      </c>
      <c r="C95">
        <v>4</v>
      </c>
      <c r="D95" t="s">
        <v>236</v>
      </c>
      <c r="F95" t="s">
        <v>367</v>
      </c>
    </row>
    <row r="96" spans="1:6" x14ac:dyDescent="0.35">
      <c r="A96">
        <v>76</v>
      </c>
      <c r="B96" t="s">
        <v>228</v>
      </c>
      <c r="C96">
        <v>4</v>
      </c>
      <c r="D96" t="s">
        <v>236</v>
      </c>
      <c r="E96" t="s">
        <v>293</v>
      </c>
      <c r="F96" t="s">
        <v>371</v>
      </c>
    </row>
    <row r="97" spans="1:6" x14ac:dyDescent="0.35">
      <c r="A97">
        <v>77</v>
      </c>
      <c r="B97" t="s">
        <v>228</v>
      </c>
      <c r="C97">
        <v>4</v>
      </c>
      <c r="D97" t="s">
        <v>236</v>
      </c>
      <c r="E97" t="s">
        <v>294</v>
      </c>
      <c r="F97" t="s">
        <v>372</v>
      </c>
    </row>
    <row r="98" spans="1:6" x14ac:dyDescent="0.35">
      <c r="A98">
        <v>78</v>
      </c>
      <c r="B98" t="s">
        <v>228</v>
      </c>
      <c r="C98">
        <v>4</v>
      </c>
      <c r="D98" t="s">
        <v>236</v>
      </c>
      <c r="E98" t="s">
        <v>295</v>
      </c>
      <c r="F98" t="s">
        <v>373</v>
      </c>
    </row>
    <row r="99" spans="1:6" x14ac:dyDescent="0.35">
      <c r="A99">
        <v>104</v>
      </c>
      <c r="B99" t="s">
        <v>228</v>
      </c>
      <c r="C99">
        <v>4</v>
      </c>
      <c r="D99" t="s">
        <v>236</v>
      </c>
    </row>
    <row r="100" spans="1:6" x14ac:dyDescent="0.35">
      <c r="A100">
        <v>105</v>
      </c>
      <c r="B100" t="s">
        <v>228</v>
      </c>
      <c r="C100">
        <v>4</v>
      </c>
      <c r="D100" t="s">
        <v>236</v>
      </c>
    </row>
    <row r="101" spans="1:6" x14ac:dyDescent="0.35">
      <c r="A101">
        <v>106</v>
      </c>
      <c r="B101" t="s">
        <v>228</v>
      </c>
      <c r="C101">
        <v>4</v>
      </c>
      <c r="D101" t="s">
        <v>236</v>
      </c>
    </row>
    <row r="102" spans="1:6" x14ac:dyDescent="0.35">
      <c r="A102">
        <v>107</v>
      </c>
      <c r="B102" t="s">
        <v>228</v>
      </c>
      <c r="C102">
        <v>4</v>
      </c>
      <c r="D102" t="s">
        <v>236</v>
      </c>
    </row>
    <row r="103" spans="1:6" x14ac:dyDescent="0.35">
      <c r="A103">
        <v>108</v>
      </c>
      <c r="B103" t="s">
        <v>228</v>
      </c>
      <c r="C103">
        <v>4</v>
      </c>
      <c r="D103" t="s">
        <v>236</v>
      </c>
    </row>
    <row r="104" spans="1:6" x14ac:dyDescent="0.35">
      <c r="A104">
        <v>37</v>
      </c>
      <c r="B104" t="s">
        <v>228</v>
      </c>
      <c r="C104">
        <v>5</v>
      </c>
      <c r="D104" t="s">
        <v>234</v>
      </c>
      <c r="F104" t="s">
        <v>336</v>
      </c>
    </row>
    <row r="105" spans="1:6" x14ac:dyDescent="0.35">
      <c r="A105">
        <v>38</v>
      </c>
      <c r="B105" t="s">
        <v>228</v>
      </c>
      <c r="C105">
        <v>5</v>
      </c>
      <c r="D105" t="s">
        <v>234</v>
      </c>
      <c r="F105" t="s">
        <v>337</v>
      </c>
    </row>
    <row r="106" spans="1:6" x14ac:dyDescent="0.35">
      <c r="A106">
        <v>39</v>
      </c>
      <c r="B106" t="s">
        <v>228</v>
      </c>
      <c r="C106">
        <v>5</v>
      </c>
      <c r="D106" t="s">
        <v>234</v>
      </c>
      <c r="E106" t="s">
        <v>297</v>
      </c>
      <c r="F106" t="s">
        <v>338</v>
      </c>
    </row>
    <row r="107" spans="1:6" x14ac:dyDescent="0.35">
      <c r="A107">
        <v>40</v>
      </c>
      <c r="B107" t="s">
        <v>228</v>
      </c>
      <c r="C107">
        <v>5</v>
      </c>
      <c r="D107" t="s">
        <v>232</v>
      </c>
      <c r="F107" t="s">
        <v>339</v>
      </c>
    </row>
    <row r="108" spans="1:6" x14ac:dyDescent="0.35">
      <c r="A108">
        <v>42</v>
      </c>
      <c r="B108" t="s">
        <v>228</v>
      </c>
      <c r="C108">
        <v>5</v>
      </c>
      <c r="D108" t="s">
        <v>232</v>
      </c>
      <c r="E108" t="s">
        <v>298</v>
      </c>
      <c r="F108" t="s">
        <v>341</v>
      </c>
    </row>
    <row r="109" spans="1:6" x14ac:dyDescent="0.35">
      <c r="A109">
        <v>43</v>
      </c>
      <c r="B109" t="s">
        <v>228</v>
      </c>
      <c r="C109">
        <v>5</v>
      </c>
      <c r="D109" t="s">
        <v>232</v>
      </c>
      <c r="F109" t="s">
        <v>342</v>
      </c>
    </row>
    <row r="110" spans="1:6" x14ac:dyDescent="0.35">
      <c r="A110">
        <v>44</v>
      </c>
      <c r="B110" t="s">
        <v>228</v>
      </c>
      <c r="C110">
        <v>5</v>
      </c>
      <c r="D110" t="s">
        <v>232</v>
      </c>
      <c r="E110" t="s">
        <v>299</v>
      </c>
      <c r="F110" t="s">
        <v>343</v>
      </c>
    </row>
    <row r="111" spans="1:6" x14ac:dyDescent="0.35">
      <c r="A111">
        <v>45</v>
      </c>
      <c r="B111" t="s">
        <v>228</v>
      </c>
      <c r="C111">
        <v>5</v>
      </c>
      <c r="D111" t="s">
        <v>232</v>
      </c>
      <c r="E111" t="s">
        <v>300</v>
      </c>
      <c r="F111" t="s">
        <v>344</v>
      </c>
    </row>
    <row r="112" spans="1:6" x14ac:dyDescent="0.35">
      <c r="A112">
        <v>103</v>
      </c>
      <c r="B112" t="s">
        <v>228</v>
      </c>
      <c r="C112">
        <v>5</v>
      </c>
      <c r="D112" t="s">
        <v>236</v>
      </c>
    </row>
  </sheetData>
  <sortState xmlns:xlrd2="http://schemas.microsoft.com/office/spreadsheetml/2017/richdata2" ref="A2:E115">
    <sortCondition ref="C2:C115"/>
    <sortCondition ref="A2:A115"/>
  </sortState>
  <conditionalFormatting sqref="C2:C112">
    <cfRule type="colorScale" priority="5">
      <colorScale>
        <cfvo type="min"/>
        <cfvo type="percentile" val="50"/>
        <cfvo type="max"/>
        <color rgb="FFF8696B"/>
        <color rgb="FFFFEB84"/>
        <color rgb="FF63BE7B"/>
      </colorScale>
    </cfRule>
  </conditionalFormatting>
  <conditionalFormatting sqref="B2:B112">
    <cfRule type="containsText" dxfId="2" priority="1" operator="containsText" text="xeric">
      <formula>NOT(ISERROR(SEARCH("xeric",B2)))</formula>
    </cfRule>
    <cfRule type="containsText" dxfId="1" priority="2" operator="containsText" text="xeric">
      <formula>NOT(ISERROR(SEARCH("xeric",B2)))</formula>
    </cfRule>
    <cfRule type="containsText" dxfId="0" priority="3" operator="containsText" text="hydric">
      <formula>NOT(ISERROR(SEARCH("hydric",B2)))</formula>
    </cfRule>
    <cfRule type="colorScale" priority="4">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03F92-DE73-4395-9179-3F042AB83463}">
  <dimension ref="A1:C130"/>
  <sheetViews>
    <sheetView workbookViewId="0">
      <selection activeCell="F10" sqref="F10"/>
    </sheetView>
  </sheetViews>
  <sheetFormatPr defaultRowHeight="14.5" x14ac:dyDescent="0.35"/>
  <sheetData>
    <row r="1" spans="1:3" x14ac:dyDescent="0.35">
      <c r="A1" t="s">
        <v>0</v>
      </c>
      <c r="B1" t="s">
        <v>223</v>
      </c>
      <c r="C1" t="s">
        <v>225</v>
      </c>
    </row>
    <row r="2" spans="1:3" x14ac:dyDescent="0.35">
      <c r="A2">
        <v>1</v>
      </c>
      <c r="B2" t="s">
        <v>226</v>
      </c>
      <c r="C2">
        <v>1</v>
      </c>
    </row>
    <row r="3" spans="1:3" x14ac:dyDescent="0.35">
      <c r="A3">
        <v>2</v>
      </c>
      <c r="B3" t="s">
        <v>226</v>
      </c>
      <c r="C3">
        <v>1</v>
      </c>
    </row>
    <row r="4" spans="1:3" x14ac:dyDescent="0.35">
      <c r="A4">
        <v>3</v>
      </c>
      <c r="B4" t="s">
        <v>226</v>
      </c>
      <c r="C4">
        <v>1</v>
      </c>
    </row>
    <row r="5" spans="1:3" x14ac:dyDescent="0.35">
      <c r="A5">
        <v>4</v>
      </c>
      <c r="B5" t="s">
        <v>227</v>
      </c>
      <c r="C5">
        <v>3</v>
      </c>
    </row>
    <row r="6" spans="1:3" x14ac:dyDescent="0.35">
      <c r="A6">
        <v>5</v>
      </c>
      <c r="B6" t="s">
        <v>227</v>
      </c>
      <c r="C6">
        <v>3</v>
      </c>
    </row>
    <row r="7" spans="1:3" x14ac:dyDescent="0.35">
      <c r="A7">
        <v>6</v>
      </c>
      <c r="B7" t="s">
        <v>227</v>
      </c>
      <c r="C7">
        <v>3</v>
      </c>
    </row>
    <row r="8" spans="1:3" x14ac:dyDescent="0.35">
      <c r="A8">
        <v>7</v>
      </c>
      <c r="B8" t="s">
        <v>226</v>
      </c>
      <c r="C8">
        <v>1</v>
      </c>
    </row>
    <row r="9" spans="1:3" x14ac:dyDescent="0.35">
      <c r="A9">
        <v>8</v>
      </c>
      <c r="B9" t="s">
        <v>226</v>
      </c>
      <c r="C9">
        <v>1</v>
      </c>
    </row>
    <row r="10" spans="1:3" x14ac:dyDescent="0.35">
      <c r="A10">
        <v>9</v>
      </c>
      <c r="B10" t="s">
        <v>226</v>
      </c>
      <c r="C10">
        <v>1</v>
      </c>
    </row>
    <row r="11" spans="1:3" x14ac:dyDescent="0.35">
      <c r="A11">
        <v>10</v>
      </c>
      <c r="B11" t="s">
        <v>226</v>
      </c>
      <c r="C11">
        <v>2</v>
      </c>
    </row>
    <row r="12" spans="1:3" x14ac:dyDescent="0.35">
      <c r="A12">
        <v>11</v>
      </c>
      <c r="B12" t="s">
        <v>226</v>
      </c>
      <c r="C12">
        <v>2</v>
      </c>
    </row>
    <row r="13" spans="1:3" x14ac:dyDescent="0.35">
      <c r="A13">
        <v>12</v>
      </c>
      <c r="B13" t="s">
        <v>226</v>
      </c>
      <c r="C13">
        <v>1</v>
      </c>
    </row>
    <row r="14" spans="1:3" x14ac:dyDescent="0.35">
      <c r="A14">
        <v>13</v>
      </c>
      <c r="B14" t="s">
        <v>226</v>
      </c>
      <c r="C14">
        <v>1</v>
      </c>
    </row>
    <row r="15" spans="1:3" x14ac:dyDescent="0.35">
      <c r="A15">
        <v>14</v>
      </c>
      <c r="B15" t="s">
        <v>226</v>
      </c>
      <c r="C15">
        <v>1</v>
      </c>
    </row>
    <row r="16" spans="1:3" x14ac:dyDescent="0.35">
      <c r="A16">
        <v>15</v>
      </c>
      <c r="B16" t="s">
        <v>226</v>
      </c>
      <c r="C16">
        <v>1</v>
      </c>
    </row>
    <row r="17" spans="1:3" x14ac:dyDescent="0.35">
      <c r="A17">
        <v>16</v>
      </c>
      <c r="B17" t="s">
        <v>227</v>
      </c>
      <c r="C17">
        <v>2</v>
      </c>
    </row>
    <row r="18" spans="1:3" x14ac:dyDescent="0.35">
      <c r="A18">
        <v>17</v>
      </c>
      <c r="B18" t="s">
        <v>227</v>
      </c>
      <c r="C18">
        <v>3</v>
      </c>
    </row>
    <row r="19" spans="1:3" x14ac:dyDescent="0.35">
      <c r="A19">
        <v>18</v>
      </c>
      <c r="B19" t="s">
        <v>227</v>
      </c>
      <c r="C19">
        <v>4</v>
      </c>
    </row>
    <row r="20" spans="1:3" x14ac:dyDescent="0.35">
      <c r="A20">
        <v>19</v>
      </c>
      <c r="B20" t="s">
        <v>226</v>
      </c>
      <c r="C20">
        <v>1</v>
      </c>
    </row>
    <row r="21" spans="1:3" x14ac:dyDescent="0.35">
      <c r="A21">
        <v>20</v>
      </c>
      <c r="B21" t="s">
        <v>226</v>
      </c>
      <c r="C21">
        <v>1</v>
      </c>
    </row>
    <row r="22" spans="1:3" x14ac:dyDescent="0.35">
      <c r="A22">
        <v>21</v>
      </c>
      <c r="B22" t="s">
        <v>226</v>
      </c>
      <c r="C22">
        <v>1</v>
      </c>
    </row>
    <row r="23" spans="1:3" x14ac:dyDescent="0.35">
      <c r="A23">
        <v>22</v>
      </c>
      <c r="B23" t="s">
        <v>228</v>
      </c>
      <c r="C23">
        <v>4</v>
      </c>
    </row>
    <row r="24" spans="1:3" x14ac:dyDescent="0.35">
      <c r="A24">
        <v>23</v>
      </c>
      <c r="B24" t="s">
        <v>228</v>
      </c>
      <c r="C24">
        <v>4</v>
      </c>
    </row>
    <row r="25" spans="1:3" x14ac:dyDescent="0.35">
      <c r="A25">
        <v>24</v>
      </c>
      <c r="B25" t="s">
        <v>228</v>
      </c>
      <c r="C25">
        <v>4</v>
      </c>
    </row>
    <row r="26" spans="1:3" x14ac:dyDescent="0.35">
      <c r="A26">
        <v>25</v>
      </c>
      <c r="B26" t="s">
        <v>226</v>
      </c>
      <c r="C26">
        <v>3</v>
      </c>
    </row>
    <row r="27" spans="1:3" x14ac:dyDescent="0.35">
      <c r="A27">
        <v>26</v>
      </c>
      <c r="B27" t="s">
        <v>226</v>
      </c>
      <c r="C27">
        <v>1</v>
      </c>
    </row>
    <row r="28" spans="1:3" x14ac:dyDescent="0.35">
      <c r="A28">
        <v>27</v>
      </c>
      <c r="B28" t="s">
        <v>226</v>
      </c>
      <c r="C28">
        <v>1</v>
      </c>
    </row>
    <row r="29" spans="1:3" x14ac:dyDescent="0.35">
      <c r="A29">
        <v>28</v>
      </c>
      <c r="B29" t="s">
        <v>226</v>
      </c>
      <c r="C29">
        <v>3</v>
      </c>
    </row>
    <row r="30" spans="1:3" x14ac:dyDescent="0.35">
      <c r="A30">
        <v>29</v>
      </c>
      <c r="B30" t="s">
        <v>226</v>
      </c>
      <c r="C30">
        <v>1</v>
      </c>
    </row>
    <row r="31" spans="1:3" x14ac:dyDescent="0.35">
      <c r="A31">
        <v>30</v>
      </c>
      <c r="B31" t="s">
        <v>226</v>
      </c>
      <c r="C31">
        <v>1</v>
      </c>
    </row>
    <row r="32" spans="1:3" x14ac:dyDescent="0.35">
      <c r="A32">
        <v>31</v>
      </c>
      <c r="B32" t="s">
        <v>226</v>
      </c>
      <c r="C32">
        <v>1</v>
      </c>
    </row>
    <row r="33" spans="1:3" x14ac:dyDescent="0.35">
      <c r="A33">
        <v>32</v>
      </c>
      <c r="B33" t="s">
        <v>226</v>
      </c>
      <c r="C33">
        <v>2</v>
      </c>
    </row>
    <row r="34" spans="1:3" x14ac:dyDescent="0.35">
      <c r="A34">
        <v>33</v>
      </c>
      <c r="B34" t="s">
        <v>226</v>
      </c>
      <c r="C34">
        <v>1</v>
      </c>
    </row>
    <row r="35" spans="1:3" x14ac:dyDescent="0.35">
      <c r="A35">
        <v>34</v>
      </c>
      <c r="B35" t="s">
        <v>226</v>
      </c>
      <c r="C35">
        <v>1</v>
      </c>
    </row>
    <row r="36" spans="1:3" x14ac:dyDescent="0.35">
      <c r="A36">
        <v>35</v>
      </c>
      <c r="B36" t="s">
        <v>226</v>
      </c>
      <c r="C36">
        <v>1</v>
      </c>
    </row>
    <row r="37" spans="1:3" x14ac:dyDescent="0.35">
      <c r="A37">
        <v>36</v>
      </c>
      <c r="B37" t="s">
        <v>226</v>
      </c>
      <c r="C37">
        <v>1</v>
      </c>
    </row>
    <row r="38" spans="1:3" x14ac:dyDescent="0.35">
      <c r="A38">
        <v>37</v>
      </c>
      <c r="B38" t="s">
        <v>228</v>
      </c>
      <c r="C38">
        <v>5</v>
      </c>
    </row>
    <row r="39" spans="1:3" x14ac:dyDescent="0.35">
      <c r="A39">
        <v>38</v>
      </c>
      <c r="B39" t="s">
        <v>228</v>
      </c>
      <c r="C39">
        <v>5</v>
      </c>
    </row>
    <row r="40" spans="1:3" x14ac:dyDescent="0.35">
      <c r="A40">
        <v>39</v>
      </c>
      <c r="B40" t="s">
        <v>228</v>
      </c>
      <c r="C40">
        <v>5</v>
      </c>
    </row>
    <row r="41" spans="1:3" x14ac:dyDescent="0.35">
      <c r="A41">
        <v>40</v>
      </c>
      <c r="B41" t="s">
        <v>228</v>
      </c>
      <c r="C41">
        <v>5</v>
      </c>
    </row>
    <row r="42" spans="1:3" x14ac:dyDescent="0.35">
      <c r="A42">
        <v>41</v>
      </c>
      <c r="B42" t="s">
        <v>228</v>
      </c>
      <c r="C42">
        <v>4</v>
      </c>
    </row>
    <row r="43" spans="1:3" x14ac:dyDescent="0.35">
      <c r="A43">
        <v>42</v>
      </c>
      <c r="B43" t="s">
        <v>228</v>
      </c>
      <c r="C43">
        <v>5</v>
      </c>
    </row>
    <row r="44" spans="1:3" x14ac:dyDescent="0.35">
      <c r="A44">
        <v>43</v>
      </c>
      <c r="B44" t="s">
        <v>228</v>
      </c>
      <c r="C44">
        <v>5</v>
      </c>
    </row>
    <row r="45" spans="1:3" x14ac:dyDescent="0.35">
      <c r="A45">
        <v>44</v>
      </c>
      <c r="B45" t="s">
        <v>228</v>
      </c>
      <c r="C45">
        <v>5</v>
      </c>
    </row>
    <row r="46" spans="1:3" x14ac:dyDescent="0.35">
      <c r="A46">
        <v>45</v>
      </c>
      <c r="B46" t="s">
        <v>228</v>
      </c>
      <c r="C46">
        <v>5</v>
      </c>
    </row>
    <row r="47" spans="1:3" x14ac:dyDescent="0.35">
      <c r="A47">
        <v>46</v>
      </c>
      <c r="B47" t="s">
        <v>226</v>
      </c>
      <c r="C47">
        <v>2</v>
      </c>
    </row>
    <row r="48" spans="1:3" x14ac:dyDescent="0.35">
      <c r="A48">
        <v>47</v>
      </c>
      <c r="B48" t="s">
        <v>226</v>
      </c>
      <c r="C48">
        <v>2</v>
      </c>
    </row>
    <row r="49" spans="1:3" x14ac:dyDescent="0.35">
      <c r="A49">
        <v>48</v>
      </c>
      <c r="B49" t="s">
        <v>226</v>
      </c>
      <c r="C49">
        <v>2</v>
      </c>
    </row>
    <row r="50" spans="1:3" x14ac:dyDescent="0.35">
      <c r="A50">
        <v>49</v>
      </c>
      <c r="B50" t="s">
        <v>226</v>
      </c>
      <c r="C50">
        <v>2</v>
      </c>
    </row>
    <row r="51" spans="1:3" x14ac:dyDescent="0.35">
      <c r="A51">
        <v>50</v>
      </c>
      <c r="B51" t="s">
        <v>226</v>
      </c>
      <c r="C51">
        <v>2</v>
      </c>
    </row>
    <row r="52" spans="1:3" x14ac:dyDescent="0.35">
      <c r="A52">
        <v>51</v>
      </c>
      <c r="B52" t="s">
        <v>226</v>
      </c>
      <c r="C52">
        <v>2</v>
      </c>
    </row>
    <row r="53" spans="1:3" x14ac:dyDescent="0.35">
      <c r="A53">
        <v>52</v>
      </c>
      <c r="B53" t="s">
        <v>227</v>
      </c>
      <c r="C53">
        <v>3</v>
      </c>
    </row>
    <row r="54" spans="1:3" x14ac:dyDescent="0.35">
      <c r="A54">
        <v>53</v>
      </c>
      <c r="B54" t="s">
        <v>227</v>
      </c>
      <c r="C54">
        <v>1</v>
      </c>
    </row>
    <row r="55" spans="1:3" x14ac:dyDescent="0.35">
      <c r="A55">
        <v>54</v>
      </c>
      <c r="B55" t="s">
        <v>227</v>
      </c>
      <c r="C55">
        <v>3</v>
      </c>
    </row>
    <row r="56" spans="1:3" x14ac:dyDescent="0.35">
      <c r="A56">
        <v>55</v>
      </c>
      <c r="B56" t="s">
        <v>226</v>
      </c>
      <c r="C56">
        <v>2</v>
      </c>
    </row>
    <row r="57" spans="1:3" x14ac:dyDescent="0.35">
      <c r="A57">
        <v>56</v>
      </c>
      <c r="B57" t="s">
        <v>226</v>
      </c>
      <c r="C57">
        <v>2</v>
      </c>
    </row>
    <row r="58" spans="1:3" x14ac:dyDescent="0.35">
      <c r="A58">
        <v>57</v>
      </c>
      <c r="B58" t="s">
        <v>226</v>
      </c>
      <c r="C58">
        <v>2</v>
      </c>
    </row>
    <row r="59" spans="1:3" x14ac:dyDescent="0.35">
      <c r="A59">
        <v>58</v>
      </c>
      <c r="B59" t="s">
        <v>226</v>
      </c>
      <c r="C59">
        <v>1</v>
      </c>
    </row>
    <row r="60" spans="1:3" x14ac:dyDescent="0.35">
      <c r="A60">
        <v>59</v>
      </c>
      <c r="B60" t="s">
        <v>226</v>
      </c>
      <c r="C60">
        <v>1</v>
      </c>
    </row>
    <row r="61" spans="1:3" x14ac:dyDescent="0.35">
      <c r="A61">
        <v>60</v>
      </c>
      <c r="B61" t="s">
        <v>226</v>
      </c>
      <c r="C61">
        <v>1</v>
      </c>
    </row>
    <row r="62" spans="1:3" x14ac:dyDescent="0.35">
      <c r="A62">
        <v>61</v>
      </c>
      <c r="B62" t="s">
        <v>228</v>
      </c>
      <c r="C62">
        <v>4</v>
      </c>
    </row>
    <row r="63" spans="1:3" x14ac:dyDescent="0.35">
      <c r="A63">
        <v>62</v>
      </c>
      <c r="B63" t="s">
        <v>228</v>
      </c>
      <c r="C63">
        <v>4</v>
      </c>
    </row>
    <row r="64" spans="1:3" x14ac:dyDescent="0.35">
      <c r="A64">
        <v>63</v>
      </c>
      <c r="B64" t="s">
        <v>228</v>
      </c>
      <c r="C64">
        <v>4</v>
      </c>
    </row>
    <row r="65" spans="1:3" x14ac:dyDescent="0.35">
      <c r="A65">
        <v>64</v>
      </c>
      <c r="B65" t="s">
        <v>228</v>
      </c>
      <c r="C65">
        <v>4</v>
      </c>
    </row>
    <row r="66" spans="1:3" x14ac:dyDescent="0.35">
      <c r="A66">
        <v>65</v>
      </c>
      <c r="B66" t="s">
        <v>228</v>
      </c>
      <c r="C66">
        <v>3</v>
      </c>
    </row>
    <row r="67" spans="1:3" x14ac:dyDescent="0.35">
      <c r="A67">
        <v>66</v>
      </c>
      <c r="B67" t="s">
        <v>228</v>
      </c>
      <c r="C67">
        <v>4</v>
      </c>
    </row>
    <row r="68" spans="1:3" x14ac:dyDescent="0.35">
      <c r="A68">
        <v>67</v>
      </c>
      <c r="B68" t="s">
        <v>227</v>
      </c>
      <c r="C68">
        <v>2</v>
      </c>
    </row>
    <row r="69" spans="1:3" x14ac:dyDescent="0.35">
      <c r="A69">
        <v>68</v>
      </c>
      <c r="B69" t="s">
        <v>227</v>
      </c>
      <c r="C69">
        <v>3</v>
      </c>
    </row>
    <row r="70" spans="1:3" x14ac:dyDescent="0.35">
      <c r="A70">
        <v>69</v>
      </c>
      <c r="B70" t="s">
        <v>227</v>
      </c>
      <c r="C70">
        <v>2</v>
      </c>
    </row>
    <row r="71" spans="1:3" x14ac:dyDescent="0.35">
      <c r="A71">
        <v>70</v>
      </c>
      <c r="B71" t="s">
        <v>228</v>
      </c>
      <c r="C71">
        <v>3</v>
      </c>
    </row>
    <row r="72" spans="1:3" x14ac:dyDescent="0.35">
      <c r="A72">
        <v>71</v>
      </c>
      <c r="B72" t="s">
        <v>228</v>
      </c>
      <c r="C72">
        <v>4</v>
      </c>
    </row>
    <row r="73" spans="1:3" x14ac:dyDescent="0.35">
      <c r="A73">
        <v>72</v>
      </c>
      <c r="B73" t="s">
        <v>228</v>
      </c>
      <c r="C73">
        <v>4</v>
      </c>
    </row>
    <row r="74" spans="1:3" x14ac:dyDescent="0.35">
      <c r="A74">
        <v>73</v>
      </c>
      <c r="B74" t="s">
        <v>226</v>
      </c>
      <c r="C74">
        <v>2</v>
      </c>
    </row>
    <row r="75" spans="1:3" x14ac:dyDescent="0.35">
      <c r="A75">
        <v>74</v>
      </c>
      <c r="B75" t="s">
        <v>226</v>
      </c>
      <c r="C75">
        <v>3</v>
      </c>
    </row>
    <row r="76" spans="1:3" x14ac:dyDescent="0.35">
      <c r="A76">
        <v>75</v>
      </c>
      <c r="B76" t="s">
        <v>226</v>
      </c>
      <c r="C76">
        <v>2</v>
      </c>
    </row>
    <row r="77" spans="1:3" x14ac:dyDescent="0.35">
      <c r="A77">
        <v>76</v>
      </c>
      <c r="B77" t="s">
        <v>228</v>
      </c>
      <c r="C77">
        <v>4</v>
      </c>
    </row>
    <row r="78" spans="1:3" x14ac:dyDescent="0.35">
      <c r="A78">
        <v>77</v>
      </c>
      <c r="B78" t="s">
        <v>228</v>
      </c>
      <c r="C78">
        <v>4</v>
      </c>
    </row>
    <row r="79" spans="1:3" x14ac:dyDescent="0.35">
      <c r="A79">
        <v>78</v>
      </c>
      <c r="B79" t="s">
        <v>228</v>
      </c>
      <c r="C79">
        <v>4</v>
      </c>
    </row>
    <row r="80" spans="1:3" x14ac:dyDescent="0.35">
      <c r="A80">
        <v>79</v>
      </c>
      <c r="B80" t="s">
        <v>227</v>
      </c>
      <c r="C80">
        <v>3</v>
      </c>
    </row>
    <row r="81" spans="1:3" x14ac:dyDescent="0.35">
      <c r="A81">
        <v>80</v>
      </c>
      <c r="B81" t="s">
        <v>227</v>
      </c>
      <c r="C81">
        <v>2</v>
      </c>
    </row>
    <row r="82" spans="1:3" x14ac:dyDescent="0.35">
      <c r="A82">
        <v>81</v>
      </c>
      <c r="B82" t="s">
        <v>227</v>
      </c>
      <c r="C82">
        <v>2</v>
      </c>
    </row>
    <row r="83" spans="1:3" x14ac:dyDescent="0.35">
      <c r="A83">
        <v>82</v>
      </c>
      <c r="B83" t="s">
        <v>226</v>
      </c>
      <c r="C83">
        <v>2</v>
      </c>
    </row>
    <row r="84" spans="1:3" x14ac:dyDescent="0.35">
      <c r="A84">
        <v>83</v>
      </c>
      <c r="B84" t="s">
        <v>226</v>
      </c>
      <c r="C84">
        <v>2</v>
      </c>
    </row>
    <row r="85" spans="1:3" x14ac:dyDescent="0.35">
      <c r="A85">
        <v>84</v>
      </c>
      <c r="B85" t="s">
        <v>226</v>
      </c>
      <c r="C85">
        <v>2</v>
      </c>
    </row>
    <row r="86" spans="1:3" x14ac:dyDescent="0.35">
      <c r="A86">
        <v>85</v>
      </c>
      <c r="B86" t="s">
        <v>227</v>
      </c>
      <c r="C86">
        <v>1</v>
      </c>
    </row>
    <row r="87" spans="1:3" x14ac:dyDescent="0.35">
      <c r="A87">
        <v>86</v>
      </c>
      <c r="B87" t="s">
        <v>227</v>
      </c>
      <c r="C87">
        <v>3</v>
      </c>
    </row>
    <row r="88" spans="1:3" x14ac:dyDescent="0.35">
      <c r="A88">
        <v>87</v>
      </c>
      <c r="B88" t="s">
        <v>227</v>
      </c>
      <c r="C88">
        <v>3</v>
      </c>
    </row>
    <row r="89" spans="1:3" x14ac:dyDescent="0.35">
      <c r="A89">
        <v>88</v>
      </c>
      <c r="B89" t="s">
        <v>226</v>
      </c>
      <c r="C89">
        <v>1</v>
      </c>
    </row>
    <row r="90" spans="1:3" x14ac:dyDescent="0.35">
      <c r="A90">
        <v>89</v>
      </c>
      <c r="B90" t="s">
        <v>226</v>
      </c>
      <c r="C90">
        <v>1</v>
      </c>
    </row>
    <row r="91" spans="1:3" x14ac:dyDescent="0.35">
      <c r="A91">
        <v>90</v>
      </c>
      <c r="B91" t="s">
        <v>226</v>
      </c>
      <c r="C91">
        <v>1</v>
      </c>
    </row>
    <row r="92" spans="1:3" x14ac:dyDescent="0.35">
      <c r="A92">
        <v>91</v>
      </c>
      <c r="B92" t="s">
        <v>226</v>
      </c>
      <c r="C92">
        <v>2</v>
      </c>
    </row>
    <row r="93" spans="1:3" x14ac:dyDescent="0.35">
      <c r="A93">
        <v>92</v>
      </c>
      <c r="B93" t="s">
        <v>226</v>
      </c>
      <c r="C93">
        <v>2</v>
      </c>
    </row>
    <row r="94" spans="1:3" x14ac:dyDescent="0.35">
      <c r="A94">
        <v>93</v>
      </c>
      <c r="B94" t="s">
        <v>226</v>
      </c>
      <c r="C94">
        <v>1</v>
      </c>
    </row>
    <row r="95" spans="1:3" x14ac:dyDescent="0.35">
      <c r="A95">
        <v>94</v>
      </c>
      <c r="B95" t="s">
        <v>226</v>
      </c>
      <c r="C95">
        <v>2</v>
      </c>
    </row>
    <row r="96" spans="1:3" x14ac:dyDescent="0.35">
      <c r="A96">
        <v>95</v>
      </c>
      <c r="B96" t="s">
        <v>226</v>
      </c>
      <c r="C96">
        <v>2</v>
      </c>
    </row>
    <row r="97" spans="1:3" x14ac:dyDescent="0.35">
      <c r="A97">
        <v>96</v>
      </c>
      <c r="B97" t="s">
        <v>226</v>
      </c>
      <c r="C97">
        <v>2</v>
      </c>
    </row>
    <row r="98" spans="1:3" x14ac:dyDescent="0.35">
      <c r="A98">
        <v>97</v>
      </c>
      <c r="B98" t="s">
        <v>227</v>
      </c>
      <c r="C98">
        <v>3</v>
      </c>
    </row>
    <row r="99" spans="1:3" x14ac:dyDescent="0.35">
      <c r="A99">
        <v>98</v>
      </c>
      <c r="B99" t="s">
        <v>227</v>
      </c>
      <c r="C99">
        <v>2</v>
      </c>
    </row>
    <row r="100" spans="1:3" x14ac:dyDescent="0.35">
      <c r="A100">
        <v>99</v>
      </c>
      <c r="B100" t="s">
        <v>227</v>
      </c>
      <c r="C100">
        <v>2</v>
      </c>
    </row>
    <row r="101" spans="1:3" x14ac:dyDescent="0.35">
      <c r="A101">
        <v>100</v>
      </c>
      <c r="B101" t="s">
        <v>226</v>
      </c>
      <c r="C101">
        <v>2</v>
      </c>
    </row>
    <row r="102" spans="1:3" x14ac:dyDescent="0.35">
      <c r="A102">
        <v>101</v>
      </c>
      <c r="B102" t="s">
        <v>226</v>
      </c>
      <c r="C102">
        <v>1</v>
      </c>
    </row>
    <row r="103" spans="1:3" x14ac:dyDescent="0.35">
      <c r="A103">
        <v>102</v>
      </c>
      <c r="B103" t="s">
        <v>226</v>
      </c>
      <c r="C103">
        <v>2</v>
      </c>
    </row>
    <row r="104" spans="1:3" x14ac:dyDescent="0.35">
      <c r="A104">
        <v>103</v>
      </c>
      <c r="B104" t="s">
        <v>228</v>
      </c>
      <c r="C104">
        <v>5</v>
      </c>
    </row>
    <row r="105" spans="1:3" x14ac:dyDescent="0.35">
      <c r="A105">
        <v>104</v>
      </c>
      <c r="B105" t="s">
        <v>228</v>
      </c>
      <c r="C105">
        <v>4</v>
      </c>
    </row>
    <row r="106" spans="1:3" x14ac:dyDescent="0.35">
      <c r="A106">
        <v>105</v>
      </c>
      <c r="B106" t="s">
        <v>228</v>
      </c>
      <c r="C106">
        <v>4</v>
      </c>
    </row>
    <row r="107" spans="1:3" x14ac:dyDescent="0.35">
      <c r="A107">
        <v>106</v>
      </c>
      <c r="B107" t="s">
        <v>228</v>
      </c>
      <c r="C107">
        <v>4</v>
      </c>
    </row>
    <row r="108" spans="1:3" x14ac:dyDescent="0.35">
      <c r="A108">
        <v>107</v>
      </c>
      <c r="B108" t="s">
        <v>228</v>
      </c>
      <c r="C108">
        <v>4</v>
      </c>
    </row>
    <row r="109" spans="1:3" x14ac:dyDescent="0.35">
      <c r="A109">
        <v>108</v>
      </c>
      <c r="B109" t="s">
        <v>228</v>
      </c>
      <c r="C109">
        <v>4</v>
      </c>
    </row>
    <row r="110" spans="1:3" x14ac:dyDescent="0.35">
      <c r="A110">
        <v>109</v>
      </c>
      <c r="B110" t="s">
        <v>227</v>
      </c>
      <c r="C110">
        <v>2</v>
      </c>
    </row>
    <row r="111" spans="1:3" x14ac:dyDescent="0.35">
      <c r="A111">
        <v>110</v>
      </c>
      <c r="B111" t="s">
        <v>227</v>
      </c>
      <c r="C111">
        <v>3</v>
      </c>
    </row>
    <row r="112" spans="1:3" x14ac:dyDescent="0.35">
      <c r="A112">
        <v>111</v>
      </c>
      <c r="B112" t="s">
        <v>227</v>
      </c>
      <c r="C112">
        <v>2</v>
      </c>
    </row>
    <row r="113" spans="1:3" x14ac:dyDescent="0.35">
      <c r="A113">
        <v>112</v>
      </c>
      <c r="B113" t="s">
        <v>226</v>
      </c>
      <c r="C113">
        <v>1</v>
      </c>
    </row>
    <row r="114" spans="1:3" x14ac:dyDescent="0.35">
      <c r="A114">
        <v>113</v>
      </c>
      <c r="B114" t="s">
        <v>226</v>
      </c>
      <c r="C114">
        <v>1</v>
      </c>
    </row>
    <row r="115" spans="1:3" x14ac:dyDescent="0.35">
      <c r="A115">
        <v>114</v>
      </c>
      <c r="B115" t="s">
        <v>226</v>
      </c>
      <c r="C115">
        <v>1</v>
      </c>
    </row>
    <row r="116" spans="1:3" x14ac:dyDescent="0.35">
      <c r="A116">
        <v>115</v>
      </c>
      <c r="B116" t="s">
        <v>226</v>
      </c>
      <c r="C116">
        <v>1</v>
      </c>
    </row>
    <row r="117" spans="1:3" x14ac:dyDescent="0.35">
      <c r="A117">
        <v>116</v>
      </c>
      <c r="B117" t="s">
        <v>226</v>
      </c>
      <c r="C117">
        <v>1</v>
      </c>
    </row>
    <row r="118" spans="1:3" x14ac:dyDescent="0.35">
      <c r="A118">
        <v>117</v>
      </c>
      <c r="B118" t="s">
        <v>226</v>
      </c>
      <c r="C118">
        <v>1</v>
      </c>
    </row>
    <row r="119" spans="1:3" x14ac:dyDescent="0.35">
      <c r="A119">
        <v>118</v>
      </c>
      <c r="B119" t="s">
        <v>226</v>
      </c>
      <c r="C119">
        <v>1</v>
      </c>
    </row>
    <row r="120" spans="1:3" x14ac:dyDescent="0.35">
      <c r="A120">
        <v>119</v>
      </c>
      <c r="B120" t="s">
        <v>226</v>
      </c>
      <c r="C120">
        <v>1</v>
      </c>
    </row>
    <row r="121" spans="1:3" x14ac:dyDescent="0.35">
      <c r="A121">
        <v>120</v>
      </c>
      <c r="B121" t="s">
        <v>226</v>
      </c>
      <c r="C121">
        <v>2</v>
      </c>
    </row>
    <row r="122" spans="1:3" x14ac:dyDescent="0.35">
      <c r="A122">
        <v>121</v>
      </c>
      <c r="B122" t="s">
        <v>226</v>
      </c>
      <c r="C122">
        <v>1</v>
      </c>
    </row>
    <row r="123" spans="1:3" x14ac:dyDescent="0.35">
      <c r="A123">
        <v>122</v>
      </c>
      <c r="B123" t="s">
        <v>226</v>
      </c>
      <c r="C123">
        <v>1</v>
      </c>
    </row>
    <row r="124" spans="1:3" x14ac:dyDescent="0.35">
      <c r="A124">
        <v>123</v>
      </c>
      <c r="B124" t="s">
        <v>226</v>
      </c>
      <c r="C124">
        <v>2</v>
      </c>
    </row>
    <row r="125" spans="1:3" x14ac:dyDescent="0.35">
      <c r="A125">
        <v>124</v>
      </c>
      <c r="B125" t="s">
        <v>226</v>
      </c>
      <c r="C125">
        <v>1</v>
      </c>
    </row>
    <row r="126" spans="1:3" x14ac:dyDescent="0.35">
      <c r="A126">
        <v>125</v>
      </c>
      <c r="B126" t="s">
        <v>226</v>
      </c>
      <c r="C126">
        <v>1</v>
      </c>
    </row>
    <row r="127" spans="1:3" x14ac:dyDescent="0.35">
      <c r="A127">
        <v>126</v>
      </c>
      <c r="B127" t="s">
        <v>226</v>
      </c>
      <c r="C127">
        <v>2</v>
      </c>
    </row>
    <row r="128" spans="1:3" x14ac:dyDescent="0.35">
      <c r="A128">
        <v>127</v>
      </c>
      <c r="B128" t="s">
        <v>226</v>
      </c>
      <c r="C128">
        <v>1</v>
      </c>
    </row>
    <row r="129" spans="1:3" x14ac:dyDescent="0.35">
      <c r="A129">
        <v>128</v>
      </c>
      <c r="B129" t="s">
        <v>226</v>
      </c>
      <c r="C129">
        <v>1</v>
      </c>
    </row>
    <row r="130" spans="1:3" x14ac:dyDescent="0.35">
      <c r="A130">
        <v>129</v>
      </c>
      <c r="B130" t="s">
        <v>226</v>
      </c>
      <c r="C13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microplot observations</vt:lpstr>
      <vt:lpstr>plot observations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Tayal</dc:creator>
  <cp:lastModifiedBy>Aaron Tayal</cp:lastModifiedBy>
  <dcterms:created xsi:type="dcterms:W3CDTF">2024-12-16T00:39:40Z</dcterms:created>
  <dcterms:modified xsi:type="dcterms:W3CDTF">2024-12-16T01:33:19Z</dcterms:modified>
</cp:coreProperties>
</file>