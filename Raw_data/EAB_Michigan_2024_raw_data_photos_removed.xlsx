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 documentId="8_{626AAFD1-2228-4D45-8913-C858FE942786}" xr6:coauthVersionLast="47" xr6:coauthVersionMax="47" xr10:uidLastSave="{056E0C0D-899D-4948-B477-8D3D143F4079}"/>
  <bookViews>
    <workbookView xWindow="-110" yWindow="-110" windowWidth="19420" windowHeight="10420"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unts 2024" sheetId="11" r:id="rId8"/>
    <sheet name="yellow pan trap collection 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21" i="11" l="1"/>
  <c r="Z120" i="11"/>
  <c r="Z119" i="11"/>
  <c r="Z118" i="11"/>
  <c r="Z117" i="11"/>
  <c r="Z116" i="11"/>
  <c r="Z115" i="11"/>
  <c r="Z114" i="11"/>
  <c r="Z113" i="11"/>
  <c r="Z112" i="11"/>
  <c r="Z111" i="11"/>
  <c r="Z110" i="11"/>
  <c r="Z109" i="11"/>
  <c r="Z108" i="11"/>
  <c r="Z107" i="11"/>
  <c r="E121" i="11"/>
  <c r="E120" i="11"/>
  <c r="E119" i="11"/>
  <c r="E118" i="11"/>
  <c r="E117" i="11"/>
  <c r="E116" i="11"/>
  <c r="E115" i="11"/>
  <c r="E114" i="11"/>
  <c r="E113" i="11"/>
  <c r="E112" i="11"/>
  <c r="E111" i="11"/>
  <c r="E110" i="11"/>
  <c r="E109" i="11"/>
  <c r="E108" i="11"/>
  <c r="E107" i="11"/>
  <c r="R121" i="11"/>
  <c r="R120" i="11"/>
  <c r="R119" i="11"/>
  <c r="R118" i="11"/>
  <c r="R117" i="11"/>
  <c r="R116" i="11"/>
  <c r="R115" i="11"/>
  <c r="R114" i="11"/>
  <c r="R113" i="11"/>
  <c r="R112" i="11"/>
  <c r="R111" i="11"/>
  <c r="R110" i="11"/>
  <c r="R109" i="11"/>
  <c r="R108" i="11"/>
  <c r="R107" i="11"/>
  <c r="Z106" i="11"/>
  <c r="Z105" i="11"/>
  <c r="Z104" i="11"/>
  <c r="Z103" i="11"/>
  <c r="Z102" i="11"/>
  <c r="Z101" i="11"/>
  <c r="Z100" i="11"/>
  <c r="Z99" i="11"/>
  <c r="Z98" i="11"/>
  <c r="Z97" i="11"/>
  <c r="Z96" i="11"/>
  <c r="Z95" i="11"/>
  <c r="Z94" i="11"/>
  <c r="Z93" i="11"/>
  <c r="Z92" i="11"/>
  <c r="E105" i="11"/>
  <c r="E101" i="11"/>
  <c r="E97" i="11"/>
  <c r="E93" i="11"/>
  <c r="R106" i="11"/>
  <c r="E106" i="11" s="1"/>
  <c r="R105" i="11"/>
  <c r="R104" i="11"/>
  <c r="E104" i="11" s="1"/>
  <c r="R103" i="11"/>
  <c r="E103" i="11" s="1"/>
  <c r="R102" i="11"/>
  <c r="E102" i="11" s="1"/>
  <c r="R101" i="11"/>
  <c r="R100" i="11"/>
  <c r="E100" i="11" s="1"/>
  <c r="R99" i="11"/>
  <c r="E99" i="11" s="1"/>
  <c r="R98" i="11"/>
  <c r="E98" i="11" s="1"/>
  <c r="R97" i="11"/>
  <c r="R96" i="11"/>
  <c r="E96" i="11" s="1"/>
  <c r="R95" i="11"/>
  <c r="E95" i="11" s="1"/>
  <c r="R94" i="11"/>
  <c r="E94" i="11" s="1"/>
  <c r="R93" i="11"/>
  <c r="R92" i="11"/>
  <c r="E92" i="11" s="1"/>
  <c r="Z91" i="11"/>
  <c r="Z90" i="11"/>
  <c r="Z89" i="11"/>
  <c r="Z88" i="11"/>
  <c r="Z87" i="11"/>
  <c r="Z86" i="11"/>
  <c r="Z85" i="11"/>
  <c r="Z84" i="11"/>
  <c r="Z83" i="11"/>
  <c r="Z82" i="11"/>
  <c r="Z81" i="11"/>
  <c r="Z80" i="11"/>
  <c r="Z79" i="11"/>
  <c r="Z78" i="11"/>
  <c r="Z77" i="11"/>
  <c r="E91" i="11"/>
  <c r="E87" i="11"/>
  <c r="E83" i="11"/>
  <c r="E79" i="11"/>
  <c r="R91" i="11"/>
  <c r="R90" i="11"/>
  <c r="E90" i="11" s="1"/>
  <c r="R89" i="11"/>
  <c r="E89" i="11" s="1"/>
  <c r="R88" i="11"/>
  <c r="E88" i="11" s="1"/>
  <c r="R87" i="11"/>
  <c r="R86" i="11"/>
  <c r="E86" i="11" s="1"/>
  <c r="R85" i="11"/>
  <c r="E85" i="11" s="1"/>
  <c r="R84" i="11"/>
  <c r="E84" i="11" s="1"/>
  <c r="R83" i="11"/>
  <c r="R82" i="11"/>
  <c r="E82" i="11" s="1"/>
  <c r="R81" i="11"/>
  <c r="E81" i="11" s="1"/>
  <c r="R80" i="11"/>
  <c r="E80" i="11" s="1"/>
  <c r="R79" i="11"/>
  <c r="R78" i="11"/>
  <c r="E78" i="11" s="1"/>
  <c r="R77" i="11"/>
  <c r="E77" i="11" s="1"/>
  <c r="Z76" i="11"/>
  <c r="Z75" i="11"/>
  <c r="Z74" i="11"/>
  <c r="Z73" i="11"/>
  <c r="Z72" i="11"/>
  <c r="Z71" i="11"/>
  <c r="Z70" i="11"/>
  <c r="Z69" i="11"/>
  <c r="Z68" i="11"/>
  <c r="Z67" i="11"/>
  <c r="Z66" i="11"/>
  <c r="Z65" i="11"/>
  <c r="Z64" i="11"/>
  <c r="Z63" i="11"/>
  <c r="Z62" i="11"/>
  <c r="E74" i="11"/>
  <c r="E70" i="11"/>
  <c r="E66" i="11"/>
  <c r="R76" i="11"/>
  <c r="E76" i="11" s="1"/>
  <c r="R75" i="11"/>
  <c r="E75" i="11" s="1"/>
  <c r="R74" i="11"/>
  <c r="R73" i="11"/>
  <c r="E73" i="11" s="1"/>
  <c r="R72" i="11"/>
  <c r="E72" i="11" s="1"/>
  <c r="R71" i="11"/>
  <c r="E71" i="11" s="1"/>
  <c r="R70" i="11"/>
  <c r="R69" i="11"/>
  <c r="E69" i="11" s="1"/>
  <c r="R68" i="11"/>
  <c r="E68" i="11" s="1"/>
  <c r="R67" i="11"/>
  <c r="E67" i="11" s="1"/>
  <c r="R66" i="11"/>
  <c r="R65" i="11"/>
  <c r="E65" i="11" s="1"/>
  <c r="R64" i="11"/>
  <c r="E64" i="11" s="1"/>
  <c r="R63" i="11"/>
  <c r="E63" i="11" s="1"/>
  <c r="R62" i="11"/>
  <c r="E62" i="11" s="1"/>
  <c r="N95" i="1"/>
  <c r="N91" i="1"/>
  <c r="N87" i="1"/>
  <c r="N76" i="1"/>
  <c r="N74" i="1"/>
  <c r="N68" i="1"/>
  <c r="N67" i="1"/>
  <c r="N65" i="1"/>
  <c r="N60" i="1"/>
  <c r="N45" i="1"/>
  <c r="N36" i="1"/>
  <c r="N35" i="1"/>
  <c r="N33" i="1"/>
  <c r="N9" i="1"/>
  <c r="Z34" i="11"/>
  <c r="Z35" i="11"/>
  <c r="Z36" i="11"/>
  <c r="Z37" i="11"/>
  <c r="Z38" i="11"/>
  <c r="Z39" i="11"/>
  <c r="Z40" i="11"/>
  <c r="Z41" i="11"/>
  <c r="Z42" i="11"/>
  <c r="Z43" i="11"/>
  <c r="Z44" i="11"/>
  <c r="Z45" i="11"/>
  <c r="Z46" i="11"/>
  <c r="Z47" i="11"/>
  <c r="Z48" i="11"/>
  <c r="Z49" i="11"/>
  <c r="Z50" i="11"/>
  <c r="Z51" i="11"/>
  <c r="Z52" i="11"/>
  <c r="Z53" i="11"/>
  <c r="Z54" i="11"/>
  <c r="Z55" i="11"/>
  <c r="Z56" i="11"/>
  <c r="Z57" i="11"/>
  <c r="Z58" i="11"/>
  <c r="Z59" i="11"/>
  <c r="Z60" i="11"/>
  <c r="Z61" i="11"/>
  <c r="Z33" i="11"/>
  <c r="Z32" i="11"/>
  <c r="R33" i="11"/>
  <c r="E33" i="11" s="1"/>
  <c r="R34" i="11"/>
  <c r="E34" i="11" s="1"/>
  <c r="R35" i="11"/>
  <c r="E35" i="11" s="1"/>
  <c r="R36" i="11"/>
  <c r="E36" i="11" s="1"/>
  <c r="R37" i="11"/>
  <c r="E37" i="11" s="1"/>
  <c r="R38" i="11"/>
  <c r="E38" i="11" s="1"/>
  <c r="R39" i="11"/>
  <c r="E39" i="11" s="1"/>
  <c r="R40" i="11"/>
  <c r="E40" i="11" s="1"/>
  <c r="R41" i="11"/>
  <c r="E41" i="11" s="1"/>
  <c r="R42" i="11"/>
  <c r="E42" i="11" s="1"/>
  <c r="R43" i="11"/>
  <c r="E43" i="11" s="1"/>
  <c r="R44" i="11"/>
  <c r="E44" i="11" s="1"/>
  <c r="R45" i="11"/>
  <c r="E45" i="11" s="1"/>
  <c r="R46" i="11"/>
  <c r="E46" i="11" s="1"/>
  <c r="R47" i="11"/>
  <c r="E47" i="11" s="1"/>
  <c r="R48" i="11"/>
  <c r="E48" i="11" s="1"/>
  <c r="R49" i="11"/>
  <c r="E49" i="11" s="1"/>
  <c r="R50" i="11"/>
  <c r="E50" i="11" s="1"/>
  <c r="R51" i="11"/>
  <c r="E51" i="11" s="1"/>
  <c r="R52" i="11"/>
  <c r="E52" i="11" s="1"/>
  <c r="R53" i="11"/>
  <c r="E53" i="11" s="1"/>
  <c r="R54" i="11"/>
  <c r="E54" i="11" s="1"/>
  <c r="R55" i="11"/>
  <c r="E55" i="11" s="1"/>
  <c r="R56" i="11"/>
  <c r="E56" i="11" s="1"/>
  <c r="R57" i="11"/>
  <c r="E57" i="11" s="1"/>
  <c r="R58" i="11"/>
  <c r="E58" i="11" s="1"/>
  <c r="R59" i="11"/>
  <c r="E59" i="11" s="1"/>
  <c r="R60" i="11"/>
  <c r="E60" i="11" s="1"/>
  <c r="R61" i="11"/>
  <c r="E61" i="11" s="1"/>
  <c r="R32" i="11"/>
  <c r="E32" i="11" s="1"/>
</calcChain>
</file>

<file path=xl/sharedStrings.xml><?xml version="1.0" encoding="utf-8"?>
<sst xmlns="http://schemas.openxmlformats.org/spreadsheetml/2006/main" count="12858" uniqueCount="1233">
  <si>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</si>
  <si>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</si>
  <si>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</si>
  <si>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</si>
  <si>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</si>
  <si>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</si>
  <si>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</si>
  <si>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</si>
  <si>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</si>
  <si>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</si>
  <si>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</si>
  <si>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</si>
  <si>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</si>
  <si>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</si>
  <si>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</si>
  <si>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</si>
  <si>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</si>
  <si>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</si>
  <si>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</si>
  <si>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</si>
  <si>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</si>
  <si>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</si>
  <si>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</si>
  <si>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</si>
  <si>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</si>
  <si>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</si>
  <si>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</si>
  <si>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</si>
  <si>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</si>
  <si>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</si>
  <si>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</si>
  <si>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</si>
  <si>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</si>
  <si>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</si>
  <si>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</si>
  <si>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</si>
  <si>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</si>
  <si>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</si>
  <si>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</si>
  <si>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</si>
  <si>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</si>
  <si>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</si>
  <si>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</si>
  <si>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</si>
  <si>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</si>
  <si>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</si>
  <si>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</si>
  <si>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</si>
  <si>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</si>
  <si>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</si>
  <si>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</si>
  <si>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</si>
  <si>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</si>
  <si>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</si>
  <si>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</si>
  <si>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</si>
  <si>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</si>
  <si>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</si>
  <si>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</si>
  <si>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</si>
  <si>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</si>
  <si>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</si>
  <si>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</si>
  <si>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</si>
  <si>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</si>
  <si>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</si>
  <si>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</si>
  <si>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</si>
  <si>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</si>
  <si>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</si>
  <si>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</si>
  <si>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</si>
  <si>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</si>
  <si>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</si>
  <si>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</si>
  <si>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</si>
  <si>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</si>
  <si>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</si>
  <si>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</si>
  <si>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</si>
  <si>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</si>
  <si>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</si>
  <si>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</si>
  <si>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</si>
  <si>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</si>
  <si>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</si>
  <si>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</si>
  <si>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</si>
  <si>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</si>
  <si>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</si>
  <si>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</si>
  <si>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</si>
  <si>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</si>
  <si>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</si>
  <si>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</si>
  <si>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</si>
  <si>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</si>
  <si>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</si>
  <si>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</si>
  <si>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</si>
  <si>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</si>
  <si>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</si>
  <si>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</si>
  <si>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</si>
  <si>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</si>
  <si>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</si>
  <si>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</si>
  <si>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</si>
  <si>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</si>
  <si>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</si>
  <si>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</si>
  <si>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</si>
  <si>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</si>
  <si>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</si>
  <si>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</si>
  <si>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</si>
  <si>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</si>
  <si>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</si>
  <si>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</si>
  <si>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</si>
  <si>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</si>
  <si>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</si>
  <si>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</si>
  <si>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</si>
  <si>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</si>
  <si>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</si>
  <si>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</si>
  <si>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</si>
  <si>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</si>
  <si>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</si>
  <si>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</si>
  <si>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</si>
  <si>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</si>
  <si>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</si>
  <si>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</si>
  <si>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</si>
  <si>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</si>
  <si>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</si>
  <si>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</si>
  <si>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</si>
  <si>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</si>
  <si>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</si>
  <si>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</si>
  <si>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</si>
  <si>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</si>
  <si>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</si>
  <si>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</si>
  <si>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</si>
  <si>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</si>
  <si>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</si>
  <si>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</si>
  <si>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</si>
  <si>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</si>
  <si>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</si>
  <si>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</si>
  <si>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</si>
  <si>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</si>
  <si>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</si>
  <si>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</si>
  <si>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</si>
  <si>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</si>
  <si>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</si>
  <si>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</si>
  <si>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</si>
  <si>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</si>
  <si>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</si>
  <si>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</si>
  <si>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</si>
  <si>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</si>
  <si>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</si>
  <si>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</si>
  <si>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</si>
  <si>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</si>
  <si>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</si>
  <si>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</si>
  <si>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</si>
  <si>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</si>
  <si>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</si>
  <si>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</si>
  <si>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</si>
  <si>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</si>
  <si>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</si>
  <si>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</si>
  <si>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</si>
  <si>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</si>
  <si>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</si>
  <si>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</si>
  <si>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</si>
  <si>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</si>
  <si>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</si>
  <si>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</si>
  <si>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</si>
  <si>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</si>
  <si>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</si>
  <si>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</si>
  <si>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</si>
  <si>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</si>
  <si>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</si>
  <si>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</si>
  <si>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</si>
  <si>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</si>
  <si>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</si>
  <si>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</si>
  <si>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</si>
  <si>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</si>
  <si>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</si>
  <si>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</si>
  <si>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</si>
  <si>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</si>
  <si>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</si>
  <si>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</si>
  <si>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</si>
  <si>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</si>
  <si>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</si>
  <si>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</si>
  <si>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</si>
  <si>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</si>
  <si>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</si>
  <si>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</si>
  <si>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</si>
  <si>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</si>
  <si>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</si>
  <si>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</si>
  <si>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</si>
  <si>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</si>
  <si>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</si>
  <si>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</si>
  <si>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</si>
  <si>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</si>
  <si>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</si>
  <si>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</si>
  <si>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</si>
  <si>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</si>
  <si>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</si>
  <si>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</si>
  <si>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</si>
  <si>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</si>
  <si>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</si>
  <si>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</si>
  <si>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</si>
  <si>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</si>
  <si>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</si>
  <si>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</si>
  <si>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</si>
  <si>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</si>
  <si>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</si>
  <si>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</si>
  <si>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</si>
  <si>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</si>
  <si>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</si>
  <si>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</si>
  <si>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</si>
  <si>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</si>
  <si>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</si>
  <si>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</si>
  <si>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</si>
  <si>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</si>
  <si>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</si>
  <si>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</si>
  <si>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</si>
  <si>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</si>
  <si>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</si>
  <si>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</si>
  <si>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</si>
  <si>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</si>
  <si>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</si>
  <si>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</si>
  <si>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</si>
  <si>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</si>
  <si>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</si>
  <si>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</si>
  <si>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</si>
  <si>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</si>
  <si>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</si>
  <si>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</si>
  <si>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</si>
  <si>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</si>
  <si>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</si>
  <si>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</si>
  <si>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</si>
  <si>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</si>
  <si>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</si>
  <si>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</si>
  <si>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</si>
  <si>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</si>
  <si>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</si>
  <si>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</si>
  <si>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</si>
  <si>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</si>
  <si>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</si>
  <si>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</si>
  <si>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</si>
  <si>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</si>
  <si>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</si>
  <si>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</si>
  <si>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</si>
  <si>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</si>
  <si>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</si>
  <si>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</si>
  <si>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</si>
  <si>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</si>
  <si>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</si>
  <si>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</si>
  <si>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</si>
  <si>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</si>
  <si>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</si>
  <si>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</si>
  <si>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</si>
  <si>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</si>
  <si>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</si>
  <si>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</si>
  <si>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</si>
  <si>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</si>
  <si>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</si>
  <si>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</si>
  <si>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</si>
  <si>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</si>
  <si>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</si>
  <si>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</si>
  <si>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</si>
  <si>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</si>
  <si>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</si>
  <si>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</si>
  <si>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</si>
  <si>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</si>
  <si>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</si>
  <si>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</si>
  <si>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</si>
  <si>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</si>
  <si>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</si>
  <si>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</si>
  <si>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</si>
  <si>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</si>
  <si>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</si>
  <si>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</si>
  <si>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</si>
  <si>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</si>
  <si>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</si>
  <si>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</si>
  <si>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</si>
  <si>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</si>
  <si>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</si>
  <si>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</si>
  <si>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</si>
  <si>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</si>
  <si>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</si>
  <si>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</si>
  <si>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</si>
  <si>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</si>
  <si>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</si>
  <si>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</si>
  <si>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</si>
  <si>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</si>
  <si>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</si>
  <si>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</si>
  <si>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</si>
  <si>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</si>
  <si>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</si>
  <si>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</si>
  <si>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</si>
  <si>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</si>
  <si>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</si>
  <si>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</si>
  <si>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</si>
  <si>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</si>
  <si>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</si>
  <si>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</si>
  <si>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</si>
  <si>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</si>
  <si>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</si>
  <si>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</si>
  <si>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</si>
  <si>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</si>
  <si>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</si>
  <si>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</si>
  <si>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</si>
  <si>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</si>
  <si>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</si>
  <si>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</si>
  <si>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</si>
  <si>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</si>
  <si>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</si>
  <si>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</si>
  <si>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</si>
  <si>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</si>
  <si>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</si>
  <si>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</si>
  <si>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</si>
  <si>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</si>
  <si>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</si>
  <si>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</si>
  <si>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</si>
  <si>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</si>
  <si>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</si>
  <si>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</si>
  <si>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</si>
  <si>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</si>
  <si>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</si>
  <si>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</si>
  <si>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</si>
  <si>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</si>
  <si>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</si>
  <si>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</si>
  <si>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</si>
  <si>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</si>
  <si>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</si>
  <si>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</si>
  <si>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</si>
  <si>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</si>
  <si>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</si>
  <si>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</si>
  <si>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</si>
  <si>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</si>
  <si>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</si>
  <si>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</si>
  <si>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</si>
  <si>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</si>
  <si>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</si>
  <si>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</si>
  <si>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</si>
  <si>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</si>
  <si>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</si>
  <si>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</si>
  <si>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</si>
  <si>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</si>
  <si>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</si>
  <si>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</si>
  <si>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</si>
  <si>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</si>
  <si>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</si>
  <si>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</si>
  <si>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</si>
  <si>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</si>
  <si>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</si>
  <si>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</si>
  <si>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</si>
  <si>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</si>
  <si>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</si>
  <si>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</si>
  <si>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</si>
  <si>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</si>
  <si>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</si>
  <si>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</si>
  <si>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</si>
  <si>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</si>
  <si>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</si>
  <si>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</si>
  <si>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</si>
  <si>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</si>
  <si>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</si>
  <si>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</si>
  <si>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</si>
  <si>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</si>
  <si>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</si>
  <si>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</si>
  <si>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</si>
  <si>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</si>
  <si>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</si>
  <si>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</si>
  <si>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</si>
  <si>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</si>
  <si>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</si>
  <si>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</si>
  <si>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</si>
  <si>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</si>
  <si>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</si>
  <si>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</si>
  <si>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</si>
  <si>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</si>
  <si>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</si>
  <si>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</si>
  <si>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</si>
  <si>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</si>
  <si>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</si>
  <si>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</si>
  <si>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</si>
  <si>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</si>
  <si>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</si>
  <si>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</si>
  <si>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</si>
  <si>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</si>
  <si>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</si>
  <si>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</si>
  <si>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</si>
  <si>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</si>
  <si>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</si>
  <si>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</si>
  <si>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</si>
  <si>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</si>
  <si>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</si>
  <si>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</si>
  <si>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</si>
  <si>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</si>
  <si>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</si>
  <si>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</si>
  <si>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</si>
  <si>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</si>
  <si>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</si>
  <si>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</si>
  <si>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</si>
  <si>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</si>
  <si>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</si>
  <si>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</si>
  <si>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</si>
  <si>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</si>
  <si>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</si>
  <si>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</si>
  <si>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</si>
  <si>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</si>
  <si>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</si>
  <si>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</si>
  <si>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</si>
  <si>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</si>
  <si>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</si>
  <si>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</si>
  <si>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</si>
  <si>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</si>
  <si>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</si>
  <si>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</si>
  <si>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</si>
  <si>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</si>
  <si>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</si>
  <si>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</si>
  <si>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</si>
  <si>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</si>
  <si>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</si>
  <si>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</si>
  <si>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</si>
  <si>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</si>
  <si>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</si>
  <si>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</si>
  <si>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</si>
  <si>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</si>
  <si>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</si>
  <si>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</si>
  <si>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</si>
  <si>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</si>
  <si>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</si>
  <si>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</si>
  <si>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</si>
  <si>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</si>
  <si>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</si>
  <si>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</si>
  <si>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</si>
  <si>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</si>
  <si>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</si>
  <si>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</si>
  <si>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</si>
  <si>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</si>
  <si>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</si>
  <si>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</si>
  <si>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</si>
  <si>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</si>
  <si>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</si>
  <si>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</si>
  <si>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</si>
  <si>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</si>
  <si>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</si>
  <si>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</si>
  <si>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</si>
  <si>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</si>
  <si>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</si>
  <si>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</si>
  <si>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</si>
  <si>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</si>
  <si>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</si>
  <si>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</si>
  <si>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</si>
  <si>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</si>
  <si>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</si>
  <si>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</si>
  <si>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</si>
  <si>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</si>
  <si>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</si>
  <si>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</si>
  <si>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</si>
  <si>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</si>
  <si>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</si>
  <si>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</si>
  <si>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</si>
  <si>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</si>
  <si>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</si>
  <si>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</si>
  <si>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</si>
  <si>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</si>
  <si>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</si>
  <si>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</si>
  <si>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</si>
  <si>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</si>
  <si>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</si>
  <si>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</si>
  <si>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</si>
  <si>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</si>
  <si>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</si>
  <si>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</si>
  <si>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</si>
  <si>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</si>
  <si>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</si>
  <si>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</si>
  <si>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</si>
  <si>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</si>
  <si>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</si>
  <si>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</si>
  <si>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</si>
  <si>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</si>
  <si>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</si>
  <si>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</si>
  <si>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</si>
  <si>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</si>
  <si>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</si>
  <si>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</si>
  <si>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</si>
  <si>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</si>
  <si>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</si>
  <si>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</si>
  <si>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</si>
  <si>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</si>
  <si>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</si>
  <si>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</si>
  <si>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</si>
  <si>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</si>
  <si>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</si>
  <si>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</si>
  <si>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</si>
  <si>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</si>
  <si>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</si>
  <si>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</si>
  <si>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</si>
  <si>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</si>
  <si>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</si>
  <si>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</si>
  <si>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</si>
  <si>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</si>
  <si>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</si>
  <si>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</si>
  <si>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</si>
  <si>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</si>
  <si>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</si>
  <si>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</si>
  <si>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</si>
  <si>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</si>
  <si>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</si>
  <si>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</si>
  <si>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</si>
  <si>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</si>
  <si>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</si>
  <si>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</si>
  <si>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</si>
  <si>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</si>
  <si>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</si>
  <si>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</si>
  <si>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</si>
  <si>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</si>
  <si>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</si>
  <si>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</si>
  <si>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</si>
  <si>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</si>
  <si>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</si>
  <si>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</si>
  <si>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</si>
  <si>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</si>
  <si>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</si>
  <si>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</si>
  <si>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</si>
  <si>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</si>
  <si>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</si>
  <si>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</si>
  <si>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</si>
  <si>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</si>
  <si>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</si>
  <si>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</si>
  <si>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</si>
  <si>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</si>
  <si>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</si>
  <si>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</si>
  <si>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</si>
  <si>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</si>
  <si>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</si>
  <si>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</si>
  <si>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</si>
  <si>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</si>
  <si>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</si>
  <si>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</si>
  <si>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</si>
  <si>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</si>
  <si>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</si>
  <si>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</si>
  <si>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</si>
  <si>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</si>
  <si>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</si>
  <si>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</si>
  <si>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</si>
  <si>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</si>
  <si>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</si>
  <si>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</si>
  <si>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</si>
  <si>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</si>
  <si>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</si>
  <si>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</si>
  <si>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</si>
  <si>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</si>
  <si>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</si>
  <si>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</si>
  <si>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</si>
  <si>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</si>
  <si>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</si>
  <si>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</si>
  <si>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</si>
  <si>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</si>
  <si>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</si>
  <si>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</si>
  <si>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</si>
  <si>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</si>
  <si>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</si>
  <si>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</si>
  <si>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</si>
  <si>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</si>
  <si>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</si>
  <si>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</si>
  <si>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</si>
  <si>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</si>
  <si>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</si>
  <si>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</si>
  <si>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</si>
  <si>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</si>
  <si>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</si>
  <si>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</si>
  <si>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</si>
  <si>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</si>
  <si>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</si>
  <si>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</si>
  <si>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</si>
  <si>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</si>
  <si>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</si>
  <si>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</si>
  <si>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</si>
  <si>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</si>
  <si>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</si>
  <si>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</si>
  <si>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</si>
  <si>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</si>
  <si>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</si>
  <si>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</si>
  <si>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</si>
  <si>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</si>
  <si>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</si>
  <si>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</si>
  <si>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</si>
  <si>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</si>
  <si>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</si>
  <si>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</si>
  <si>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</si>
  <si>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</si>
  <si>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</si>
  <si>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</si>
  <si>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</si>
  <si>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</si>
  <si>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</si>
  <si>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</si>
  <si>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</si>
  <si>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</si>
  <si>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</si>
  <si>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</si>
  <si>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</si>
  <si>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</si>
  <si>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</si>
  <si>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</si>
  <si>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</si>
  <si>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</si>
  <si>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</si>
  <si>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</si>
  <si>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</si>
  <si>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</si>
  <si>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</si>
  <si>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</si>
  <si>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</si>
  <si>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</si>
  <si>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</si>
  <si>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</si>
  <si>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</si>
  <si>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</si>
  <si>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</si>
  <si>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</si>
  <si>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</si>
  <si>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</si>
  <si>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</si>
  <si>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</si>
  <si>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</si>
  <si>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</si>
  <si>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</si>
  <si>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</si>
  <si>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</si>
  <si>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</si>
  <si>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</si>
  <si>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</si>
  <si>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</si>
  <si>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</si>
  <si>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</si>
  <si>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</si>
  <si>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</si>
  <si>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</si>
  <si>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</si>
  <si>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</si>
  <si>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</si>
  <si>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</si>
  <si>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</si>
  <si>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</si>
  <si>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</si>
  <si>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</si>
  <si>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</si>
  <si>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</si>
  <si>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</si>
  <si>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</si>
  <si>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</si>
  <si>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</si>
  <si>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</si>
  <si>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</si>
  <si>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</si>
  <si>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</si>
  <si>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</si>
  <si>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</si>
  <si>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</si>
  <si>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</si>
  <si>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</si>
  <si>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</si>
  <si>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</si>
  <si>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</si>
  <si>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</si>
  <si>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</si>
  <si>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</si>
  <si>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</si>
  <si>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</si>
  <si>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</si>
  <si>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</si>
  <si>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</si>
  <si>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</si>
  <si>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</si>
  <si>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</si>
  <si>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</si>
  <si>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</si>
  <si>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</si>
  <si>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</si>
  <si>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</si>
  <si>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</si>
  <si>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</si>
  <si>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</si>
  <si>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</si>
  <si>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</si>
  <si>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</si>
  <si>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</si>
  <si>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</si>
  <si>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</si>
  <si>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</si>
  <si>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</si>
  <si>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</si>
  <si>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</si>
  <si>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</si>
  <si>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</si>
  <si>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</si>
  <si>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</si>
  <si>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</si>
  <si>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</si>
  <si>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</si>
  <si>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</si>
  <si>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</si>
  <si>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</si>
  <si>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</si>
  <si>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</si>
  <si>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</si>
  <si>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</si>
  <si>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</si>
  <si>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</si>
  <si>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</si>
  <si>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</si>
  <si>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</si>
  <si>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</si>
  <si>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</si>
  <si>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</si>
  <si>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</si>
  <si>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</si>
  <si>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</si>
  <si>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</si>
  <si>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</si>
  <si>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</si>
  <si>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</si>
  <si>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</si>
  <si>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</si>
  <si>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</si>
  <si>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</si>
  <si>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</si>
  <si>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</si>
  <si>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</si>
  <si>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</si>
  <si>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</si>
  <si>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</si>
  <si>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</si>
  <si>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</si>
  <si>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</si>
  <si>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</si>
  <si>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</si>
  <si>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</si>
  <si>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</si>
  <si>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</si>
  <si>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</si>
  <si>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</si>
  <si>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</si>
  <si>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</si>
  <si>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</si>
  <si>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</si>
  <si>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</si>
  <si>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</si>
  <si>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</si>
  <si>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</si>
  <si>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</si>
  <si>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</si>
  <si>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</si>
  <si>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</si>
  <si>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</si>
  <si>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</si>
  <si>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</si>
  <si>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</si>
  <si>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</si>
  <si>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</si>
  <si>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</si>
  <si>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</si>
  <si>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</si>
  <si>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</si>
  <si>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</si>
  <si>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</si>
  <si>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</si>
  <si>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</si>
  <si>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</si>
  <si>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</si>
  <si>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</si>
  <si>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</si>
  <si>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</si>
  <si>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</si>
  <si>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</si>
  <si>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</si>
  <si>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</si>
  <si>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</si>
  <si>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</si>
  <si>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</si>
  <si>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</si>
  <si>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</si>
  <si>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</si>
  <si>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</si>
  <si>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</si>
  <si>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</si>
  <si>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</si>
  <si>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</si>
  <si>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</si>
  <si>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</si>
  <si>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</si>
  <si>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</si>
  <si>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</si>
  <si>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</si>
  <si>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</si>
  <si>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</si>
  <si>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</si>
  <si>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</si>
  <si>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</si>
  <si>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</si>
  <si>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</si>
  <si>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</si>
  <si>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</si>
  <si>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</si>
  <si>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</si>
  <si>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</si>
  <si>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</si>
  <si>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</si>
  <si>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</si>
  <si>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</si>
  <si>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</si>
  <si>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</si>
  <si>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</si>
  <si>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</si>
  <si>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</si>
  <si>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</si>
  <si>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</si>
  <si>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</si>
  <si>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</si>
  <si>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</si>
  <si>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</si>
  <si>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</si>
  <si>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</si>
  <si>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</si>
  <si>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</si>
  <si>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</si>
  <si>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</si>
  <si>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</si>
  <si>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</si>
  <si>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</si>
  <si>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</si>
  <si>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</si>
  <si>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</si>
  <si>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</si>
  <si>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</si>
  <si>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</si>
  <si>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</si>
  <si>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</si>
  <si>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</si>
  <si>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</si>
  <si>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</si>
  <si>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</si>
  <si>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</si>
  <si>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</si>
  <si>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</si>
  <si>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</si>
  <si>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</si>
  <si>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</si>
  <si>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</si>
  <si>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</si>
  <si>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</si>
  <si>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</si>
  <si>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</si>
  <si>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</si>
  <si>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</si>
  <si>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</si>
  <si>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</si>
  <si>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</si>
  <si>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</si>
  <si>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</si>
  <si>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</si>
  <si>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</si>
  <si>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</si>
  <si>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</si>
  <si>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</si>
  <si>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</si>
  <si>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</si>
  <si>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</si>
  <si>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</si>
  <si>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</si>
  <si>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</si>
  <si>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</si>
  <si>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</si>
  <si>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</si>
  <si>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</si>
  <si>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</si>
  <si>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</si>
  <si>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</si>
  <si>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</si>
  <si>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</si>
  <si>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</si>
  <si>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</si>
  <si>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</si>
  <si>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</si>
  <si>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</si>
  <si>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</si>
  <si>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</si>
  <si>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</si>
  <si>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</si>
  <si>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</si>
  <si>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</si>
  <si>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</si>
  <si>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</si>
  <si>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</si>
  <si>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</si>
  <si>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</si>
  <si>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</si>
  <si>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</si>
  <si>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</si>
  <si>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</si>
  <si>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</si>
  <si>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</si>
  <si>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</si>
  <si>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</si>
  <si>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</si>
  <si>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</si>
  <si>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</si>
  <si>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</si>
  <si>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</si>
  <si>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</si>
  <si>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</si>
  <si>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</si>
  <si>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</si>
  <si>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</si>
  <si>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</si>
  <si>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</si>
  <si>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</si>
  <si>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</si>
  <si>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</si>
  <si>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</si>
  <si>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</si>
  <si>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</si>
  <si>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</si>
  <si>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</si>
  <si>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</si>
  <si>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</si>
  <si>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</si>
  <si>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</si>
  <si>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</si>
  <si>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</si>
  <si>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</si>
  <si>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</si>
  <si>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</si>
  <si>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</si>
  <si>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</si>
  <si>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</si>
  <si>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</si>
  <si>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</si>
  <si>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</si>
  <si>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</si>
  <si>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</si>
  <si>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</si>
  <si>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</si>
  <si>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</si>
  <si>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</si>
  <si>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</si>
  <si>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</si>
  <si>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</si>
  <si>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</si>
  <si>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</si>
  <si>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</si>
  <si>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</si>
  <si>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</si>
  <si>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</si>
  <si>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</si>
  <si>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</si>
  <si>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</si>
  <si>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</si>
  <si>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</si>
  <si>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</si>
  <si>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</si>
  <si>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</si>
  <si>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</si>
  <si>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</si>
  <si>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</si>
  <si>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</si>
  <si>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</si>
  <si>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</si>
  <si>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</si>
  <si>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</si>
  <si>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</si>
  <si>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</si>
  <si>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</si>
  <si>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</si>
  <si>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</si>
  <si>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</si>
  <si>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</si>
  <si>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</si>
  <si>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</si>
  <si>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Total_Chalcidoidea</t>
  </si>
  <si>
    <t>Unknown Hymenoptera is possibly Aulacidae</t>
  </si>
  <si>
    <t>had samaras hanging from it on subsequent visits - EAB trap 6 is in this tree - there are two stems - 11.5 cm living healthy - and 6.4 cm DBH dead with many signs and symptoms on the dead one</t>
  </si>
  <si>
    <t>Yellow pan trap counts 2024</t>
  </si>
  <si>
    <t>Whether the Hymenoptera was completely (or almost completely) sorted to superfamily</t>
  </si>
  <si>
    <t>sawflies</t>
  </si>
  <si>
    <t>Predominately Dryinidae - pincer wasps</t>
  </si>
  <si>
    <t>ants</t>
  </si>
  <si>
    <t>Very rarely found, for example a hornet</t>
  </si>
  <si>
    <t>spider wasps</t>
  </si>
  <si>
    <t>bees, sphecids, crabronids, etc. (I sometimes had trouble distinguishing it from Vespoidea)</t>
  </si>
  <si>
    <t>gall wasps, etc.</t>
  </si>
  <si>
    <t>Entirely Diapriidae except for one Proctotrupidae individual</t>
  </si>
  <si>
    <t>Ceraphronidae and Megaspilidae</t>
  </si>
  <si>
    <t>Some intervals I just counted the total number of chalcidoids</t>
  </si>
  <si>
    <t>Fairyflies</t>
  </si>
  <si>
    <t>Other chalcidoids, not including Mymaridae or Encyrtidae</t>
  </si>
  <si>
    <t>Platygastridae and Scelionidae</t>
  </si>
  <si>
    <t>Flies - some tiny flies were missed</t>
  </si>
  <si>
    <t>Includes a ton of small hemipterans which may be whiteflies (some of these were undoubtedly missed). Also includes leafhoppers, treehoppers, aphids, and many other hemipterans</t>
  </si>
  <si>
    <t>Not including the previous categories. The following were not counted: thrips, mites, small larvae. Includes spiders, Mecoptera, Trichoptera, Psocodea, Neuroptera, Blattodea, millipedes, isopods, Archaeognatha, etc.</t>
  </si>
  <si>
    <t>Center_tree_2024_species</t>
  </si>
  <si>
    <t>Center_tree_2024_total_DBH_cm</t>
  </si>
  <si>
    <t>Center_tree_2024_number_of_stems</t>
  </si>
  <si>
    <t>Prunus serotina</t>
  </si>
  <si>
    <t>Prunus virginiana</t>
  </si>
  <si>
    <t>Just the species name of the center tree in 2024</t>
  </si>
  <si>
    <t>Just the diameter at breast height in cm of the center tree in 2024. If two or more stems, take the sum of the DBHs of the individual stems</t>
  </si>
  <si>
    <t>fallen</t>
  </si>
  <si>
    <t>Ostrya virginiana</t>
  </si>
  <si>
    <t>Quercus rubra</t>
  </si>
  <si>
    <t>Carya spp.</t>
  </si>
  <si>
    <t>Quercus alba</t>
  </si>
  <si>
    <t>Tilia americana</t>
  </si>
  <si>
    <t>Acer rubrum</t>
  </si>
  <si>
    <t>Missing</t>
  </si>
  <si>
    <t>Prunus spp.</t>
  </si>
  <si>
    <t>Acer saccharum</t>
  </si>
  <si>
    <t>Quercus bicolor</t>
  </si>
  <si>
    <t>Amelanchier spp.</t>
  </si>
  <si>
    <t>Acer spp.</t>
  </si>
  <si>
    <t>Acer saccharinum</t>
  </si>
  <si>
    <t>Quercus spp.</t>
  </si>
  <si>
    <t>Quercus velutina</t>
  </si>
  <si>
    <t>Larix spp.</t>
  </si>
  <si>
    <t>Quercus macrocarpa</t>
  </si>
  <si>
    <t>Carpinus caroliniana</t>
  </si>
  <si>
    <t>Larix laricina</t>
  </si>
  <si>
    <t>Sassafras albidium</t>
  </si>
  <si>
    <t>Populus grandidentata</t>
  </si>
  <si>
    <t>58.5 cm Acer saccharinum</t>
  </si>
  <si>
    <t>Fagus grandifolia</t>
  </si>
  <si>
    <t>Juglans nigra</t>
  </si>
  <si>
    <t>Oobius_agrili</t>
  </si>
  <si>
    <t>Tetrastichus_planipennisi</t>
  </si>
  <si>
    <t>Spathius_galinae</t>
  </si>
  <si>
    <t>large numbers of phorid flies</t>
  </si>
  <si>
    <t>possibly a brown headed ash sawfly</t>
  </si>
  <si>
    <t>S galinae confirmed by T Petrice</t>
  </si>
  <si>
    <t>Chrysidoidea_Dryinidae</t>
  </si>
  <si>
    <t>Proctotrupoidea_Diapriidae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</si>
  <si>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</si>
  <si>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</si>
  <si>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</si>
  <si>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</si>
  <si>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</si>
  <si>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</si>
  <si>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</si>
  <si>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</si>
  <si>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</si>
  <si>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</si>
  <si>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</si>
  <si>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lots of pollen</t>
  </si>
  <si>
    <t>bristletail - lots of white threadlike plant material</t>
  </si>
  <si>
    <t>interesting small cerambycid - Hymenoptera were pointed using the HMDS procedure - failed</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</si>
  <si>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</si>
  <si>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</si>
  <si>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</si>
  <si>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</si>
  <si>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</si>
  <si>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</si>
  <si>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</si>
  <si>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</si>
  <si>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</si>
  <si>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Bug and fairyfly placed into the same vial</t>
  </si>
  <si>
    <t>Lookalike of Tetrastichus planipennisi - looked at by T Petrice</t>
  </si>
  <si>
    <t>I put the bumblebee into the non Hymenoptera vial</t>
  </si>
  <si>
    <t>Possible Tetrastichus planipennisi - not verified by T Petrice</t>
  </si>
  <si>
    <t>many possible tachinids</t>
  </si>
  <si>
    <t>A miniscule Scelionidae</t>
  </si>
  <si>
    <t>S galinae and O agrili confirmed by T Petrice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</si>
</sst>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56"/>
  <sheetViews>
    <sheetView tabSelected="1" topLeftCell="A11" workbookViewId="0">
      <selection activeCell="A20" sqref="A20"/>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ht="43.5" x14ac:dyDescent="0.35">
      <c r="A14" s="5" t="s">
        <v>499</v>
      </c>
      <c r="B14" s="1" t="s">
        <v>1094</v>
      </c>
    </row>
    <row r="15" spans="1:2" x14ac:dyDescent="0.35">
      <c r="A15" s="5" t="s">
        <v>55</v>
      </c>
      <c r="B15" s="1" t="s">
        <v>540</v>
      </c>
    </row>
    <row r="16" spans="1:2" x14ac:dyDescent="0.35">
      <c r="A16" s="5" t="s">
        <v>1163</v>
      </c>
      <c r="B16" s="1" t="s">
        <v>1168</v>
      </c>
    </row>
    <row r="17" spans="1:3" ht="29" x14ac:dyDescent="0.35">
      <c r="A17" s="5" t="s">
        <v>1164</v>
      </c>
      <c r="B17" s="5" t="s">
        <v>1169</v>
      </c>
      <c r="C17" s="5"/>
    </row>
    <row r="18" spans="1:3" x14ac:dyDescent="0.35">
      <c r="A18" s="5" t="s">
        <v>1165</v>
      </c>
      <c r="B18" s="5"/>
      <c r="C18" s="5"/>
    </row>
    <row r="19" spans="1:3" x14ac:dyDescent="0.35">
      <c r="A19" s="5"/>
      <c r="B19" s="5"/>
      <c r="C19" s="5"/>
    </row>
    <row r="20" spans="1:3" x14ac:dyDescent="0.35">
      <c r="A20" s="5"/>
    </row>
    <row r="21" spans="1:3" x14ac:dyDescent="0.35">
      <c r="A21" s="4" t="s">
        <v>536</v>
      </c>
      <c r="B21" s="1" t="s">
        <v>542</v>
      </c>
    </row>
    <row r="22" spans="1:3" x14ac:dyDescent="0.35">
      <c r="A22" s="1" t="s">
        <v>0</v>
      </c>
      <c r="B22" s="1" t="s">
        <v>17</v>
      </c>
    </row>
    <row r="23" spans="1:3" x14ac:dyDescent="0.35">
      <c r="A23" s="1" t="s">
        <v>1</v>
      </c>
      <c r="B23" s="1" t="s">
        <v>15</v>
      </c>
    </row>
    <row r="24" spans="1:3" ht="29" x14ac:dyDescent="0.35">
      <c r="A24" s="1" t="s">
        <v>2</v>
      </c>
      <c r="B24" s="1" t="s">
        <v>16</v>
      </c>
    </row>
    <row r="25" spans="1:3" ht="29" x14ac:dyDescent="0.35">
      <c r="A25" s="2" t="s">
        <v>3</v>
      </c>
      <c r="B25" s="1" t="s">
        <v>13</v>
      </c>
    </row>
    <row r="26" spans="1:3" x14ac:dyDescent="0.35">
      <c r="A26" s="2" t="s">
        <v>4</v>
      </c>
    </row>
    <row r="27" spans="1:3" x14ac:dyDescent="0.35">
      <c r="A27" s="2" t="s">
        <v>5</v>
      </c>
    </row>
    <row r="28" spans="1:3" x14ac:dyDescent="0.35">
      <c r="A28" s="2" t="s">
        <v>6</v>
      </c>
    </row>
    <row r="29" spans="1:3" x14ac:dyDescent="0.35">
      <c r="A29" s="3" t="s">
        <v>10</v>
      </c>
      <c r="B29" s="1" t="s">
        <v>14</v>
      </c>
    </row>
    <row r="30" spans="1:3" x14ac:dyDescent="0.35">
      <c r="A30" s="3" t="s">
        <v>7</v>
      </c>
    </row>
    <row r="31" spans="1:3" x14ac:dyDescent="0.35">
      <c r="A31" s="3" t="s">
        <v>8</v>
      </c>
    </row>
    <row r="32" spans="1:3" x14ac:dyDescent="0.35">
      <c r="A32" s="3" t="s">
        <v>9</v>
      </c>
    </row>
    <row r="33" spans="1:4" ht="43.5" x14ac:dyDescent="0.35">
      <c r="A33" s="10" t="s">
        <v>767</v>
      </c>
      <c r="B33" s="1" t="s">
        <v>768</v>
      </c>
    </row>
    <row r="34" spans="1:4" ht="29" x14ac:dyDescent="0.35">
      <c r="A34" s="1" t="s">
        <v>11</v>
      </c>
      <c r="B34" s="1" t="s">
        <v>12</v>
      </c>
    </row>
    <row r="35" spans="1:4" ht="43.5" x14ac:dyDescent="0.35">
      <c r="A35" s="1" t="s">
        <v>447</v>
      </c>
      <c r="B35" s="1" t="s">
        <v>1095</v>
      </c>
    </row>
    <row r="36" spans="1:4" x14ac:dyDescent="0.35">
      <c r="A36" s="1"/>
    </row>
    <row r="37" spans="1:4" x14ac:dyDescent="0.35">
      <c r="A37" s="7" t="s">
        <v>544</v>
      </c>
      <c r="B37" s="1" t="s">
        <v>543</v>
      </c>
    </row>
    <row r="38" spans="1:4" x14ac:dyDescent="0.35">
      <c r="A38" s="1" t="s">
        <v>0</v>
      </c>
    </row>
    <row r="39" spans="1:4" x14ac:dyDescent="0.35">
      <c r="A39" s="1" t="s">
        <v>18</v>
      </c>
    </row>
    <row r="40" spans="1:4" ht="43.5" x14ac:dyDescent="0.35">
      <c r="A40" s="1" t="s">
        <v>27</v>
      </c>
      <c r="B40" s="1" t="s">
        <v>1092</v>
      </c>
      <c r="D40" s="1"/>
    </row>
    <row r="41" spans="1:4" x14ac:dyDescent="0.35">
      <c r="A41" s="1" t="s">
        <v>1113</v>
      </c>
      <c r="B41" s="1" t="s">
        <v>1115</v>
      </c>
      <c r="C41" s="1"/>
      <c r="D41" s="1"/>
    </row>
    <row r="42" spans="1:4" x14ac:dyDescent="0.35">
      <c r="A42" s="1" t="s">
        <v>1114</v>
      </c>
      <c r="B42" s="1" t="s">
        <v>1116</v>
      </c>
      <c r="C42" s="1"/>
    </row>
    <row r="43" spans="1:4" x14ac:dyDescent="0.35">
      <c r="A43" s="1" t="s">
        <v>19</v>
      </c>
    </row>
    <row r="44" spans="1:4" x14ac:dyDescent="0.35">
      <c r="A44" s="1" t="s">
        <v>20</v>
      </c>
    </row>
    <row r="45" spans="1:4" ht="58" x14ac:dyDescent="0.35">
      <c r="A45" s="1" t="s">
        <v>35</v>
      </c>
      <c r="B45" s="1" t="s">
        <v>541</v>
      </c>
    </row>
    <row r="46" spans="1:4" ht="29" x14ac:dyDescent="0.35">
      <c r="A46" s="1" t="s">
        <v>21</v>
      </c>
      <c r="B46" s="1" t="s">
        <v>572</v>
      </c>
    </row>
    <row r="47" spans="1:4" x14ac:dyDescent="0.35">
      <c r="A47" s="1" t="s">
        <v>22</v>
      </c>
    </row>
    <row r="48" spans="1:4" x14ac:dyDescent="0.35">
      <c r="A48" s="1" t="s">
        <v>23</v>
      </c>
    </row>
    <row r="49" spans="1:2" ht="29" x14ac:dyDescent="0.35">
      <c r="A49" s="1" t="s">
        <v>24</v>
      </c>
      <c r="B49" s="1" t="s">
        <v>1093</v>
      </c>
    </row>
    <row r="50" spans="1:2" x14ac:dyDescent="0.35">
      <c r="A50" s="1" t="s">
        <v>446</v>
      </c>
    </row>
    <row r="51" spans="1:2" x14ac:dyDescent="0.35">
      <c r="A51" s="1"/>
    </row>
    <row r="52" spans="1:2" ht="87" x14ac:dyDescent="0.35">
      <c r="A52" s="7" t="s">
        <v>545</v>
      </c>
      <c r="B52" s="1" t="s">
        <v>1096</v>
      </c>
    </row>
    <row r="53" spans="1:2" x14ac:dyDescent="0.35">
      <c r="A53" s="1" t="s">
        <v>0</v>
      </c>
    </row>
    <row r="54" spans="1:2" ht="72.5" x14ac:dyDescent="0.35">
      <c r="A54" s="1" t="s">
        <v>27</v>
      </c>
      <c r="B54" s="1" t="s">
        <v>1091</v>
      </c>
    </row>
    <row r="55" spans="1:2" x14ac:dyDescent="0.35">
      <c r="A55" s="1" t="s">
        <v>18</v>
      </c>
    </row>
    <row r="56" spans="1:2" x14ac:dyDescent="0.35">
      <c r="A56" s="1" t="s">
        <v>25</v>
      </c>
    </row>
    <row r="57" spans="1:2" x14ac:dyDescent="0.35">
      <c r="A57" s="1" t="s">
        <v>26</v>
      </c>
      <c r="B57" s="1" t="s">
        <v>546</v>
      </c>
    </row>
    <row r="58" spans="1:2" ht="29" x14ac:dyDescent="0.35">
      <c r="A58" s="1" t="s">
        <v>527</v>
      </c>
      <c r="B58" s="1" t="s">
        <v>547</v>
      </c>
    </row>
    <row r="59" spans="1:2" ht="43.5" x14ac:dyDescent="0.35">
      <c r="A59" s="1" t="s">
        <v>443</v>
      </c>
      <c r="B59" s="1" t="s">
        <v>1090</v>
      </c>
    </row>
    <row r="60" spans="1:2" ht="29" x14ac:dyDescent="0.35">
      <c r="A60" s="1" t="s">
        <v>28</v>
      </c>
      <c r="B60" s="1" t="s">
        <v>1097</v>
      </c>
    </row>
    <row r="61" spans="1:2" ht="87" x14ac:dyDescent="0.35">
      <c r="A61" s="1" t="s">
        <v>29</v>
      </c>
      <c r="B61" s="1" t="s">
        <v>548</v>
      </c>
    </row>
    <row r="62" spans="1:2" x14ac:dyDescent="0.35">
      <c r="A62" s="1" t="s">
        <v>30</v>
      </c>
      <c r="B62" s="1" t="s">
        <v>549</v>
      </c>
    </row>
    <row r="63" spans="1:2" x14ac:dyDescent="0.35">
      <c r="A63" s="1" t="s">
        <v>20</v>
      </c>
    </row>
    <row r="64" spans="1:2" x14ac:dyDescent="0.35">
      <c r="A64" s="1" t="s">
        <v>35</v>
      </c>
    </row>
    <row r="65" spans="1:2" x14ac:dyDescent="0.35">
      <c r="A65" s="1" t="s">
        <v>31</v>
      </c>
    </row>
    <row r="66" spans="1:2" x14ac:dyDescent="0.35">
      <c r="A66" s="1" t="s">
        <v>22</v>
      </c>
    </row>
    <row r="67" spans="1:2" x14ac:dyDescent="0.35">
      <c r="A67" s="1" t="s">
        <v>23</v>
      </c>
    </row>
    <row r="68" spans="1:2" x14ac:dyDescent="0.35">
      <c r="A68" s="1" t="s">
        <v>32</v>
      </c>
    </row>
    <row r="69" spans="1:2" ht="29" x14ac:dyDescent="0.35">
      <c r="A69" s="1" t="s">
        <v>33</v>
      </c>
      <c r="B69" s="1" t="s">
        <v>1089</v>
      </c>
    </row>
    <row r="70" spans="1:2" ht="29" x14ac:dyDescent="0.35">
      <c r="A70" s="1" t="s">
        <v>34</v>
      </c>
      <c r="B70" s="1" t="s">
        <v>1089</v>
      </c>
    </row>
    <row r="71" spans="1:2" x14ac:dyDescent="0.35">
      <c r="A71" s="1" t="s">
        <v>445</v>
      </c>
    </row>
    <row r="72" spans="1:2" ht="72.5" x14ac:dyDescent="0.35">
      <c r="A72" s="1" t="s">
        <v>1108</v>
      </c>
      <c r="B72" s="1" t="s">
        <v>1112</v>
      </c>
    </row>
    <row r="73" spans="1:2" x14ac:dyDescent="0.35">
      <c r="A73" s="1"/>
    </row>
    <row r="74" spans="1:2" x14ac:dyDescent="0.35">
      <c r="A74" s="7" t="s">
        <v>550</v>
      </c>
    </row>
    <row r="75" spans="1:2" x14ac:dyDescent="0.35">
      <c r="A75" s="1" t="s">
        <v>456</v>
      </c>
    </row>
    <row r="76" spans="1:2" x14ac:dyDescent="0.35">
      <c r="A76" s="1" t="s">
        <v>0</v>
      </c>
    </row>
    <row r="77" spans="1:2" x14ac:dyDescent="0.35">
      <c r="A77" s="1" t="s">
        <v>459</v>
      </c>
      <c r="B77" s="1" t="s">
        <v>551</v>
      </c>
    </row>
    <row r="78" spans="1:2" x14ac:dyDescent="0.35">
      <c r="A78" s="1" t="s">
        <v>591</v>
      </c>
      <c r="B78" s="1" t="s">
        <v>552</v>
      </c>
    </row>
    <row r="79" spans="1:2" x14ac:dyDescent="0.35">
      <c r="A79" s="1" t="s">
        <v>458</v>
      </c>
    </row>
    <row r="80" spans="1:2" x14ac:dyDescent="0.35">
      <c r="A80" s="1" t="s">
        <v>18</v>
      </c>
    </row>
    <row r="81" spans="1:2" x14ac:dyDescent="0.35">
      <c r="A81" s="1" t="s">
        <v>480</v>
      </c>
    </row>
    <row r="82" spans="1:2" x14ac:dyDescent="0.35">
      <c r="A82" s="1" t="s">
        <v>465</v>
      </c>
    </row>
    <row r="83" spans="1:2" x14ac:dyDescent="0.35">
      <c r="A83" s="1" t="s">
        <v>466</v>
      </c>
      <c r="B83" s="1" t="s">
        <v>553</v>
      </c>
    </row>
    <row r="84" spans="1:2" x14ac:dyDescent="0.35">
      <c r="A84" s="1" t="s">
        <v>467</v>
      </c>
    </row>
    <row r="85" spans="1:2" x14ac:dyDescent="0.35">
      <c r="A85" s="1" t="s">
        <v>468</v>
      </c>
    </row>
    <row r="86" spans="1:2" x14ac:dyDescent="0.35">
      <c r="A86" s="1" t="s">
        <v>469</v>
      </c>
    </row>
    <row r="87" spans="1:2" x14ac:dyDescent="0.35">
      <c r="A87" s="1" t="s">
        <v>460</v>
      </c>
      <c r="B87" s="1" t="s">
        <v>554</v>
      </c>
    </row>
    <row r="88" spans="1:2" x14ac:dyDescent="0.35">
      <c r="A88" s="1" t="s">
        <v>461</v>
      </c>
      <c r="B88" s="1" t="s">
        <v>555</v>
      </c>
    </row>
    <row r="89" spans="1:2" ht="29" x14ac:dyDescent="0.35">
      <c r="A89" s="1" t="s">
        <v>476</v>
      </c>
    </row>
    <row r="90" spans="1:2" x14ac:dyDescent="0.35">
      <c r="A90" s="1" t="s">
        <v>462</v>
      </c>
      <c r="B90" s="1" t="s">
        <v>556</v>
      </c>
    </row>
    <row r="91" spans="1:2" x14ac:dyDescent="0.35">
      <c r="A91" s="1" t="s">
        <v>30</v>
      </c>
      <c r="B91" s="1" t="s">
        <v>549</v>
      </c>
    </row>
    <row r="92" spans="1:2" x14ac:dyDescent="0.35">
      <c r="A92" s="1" t="s">
        <v>510</v>
      </c>
      <c r="B92" s="1" t="s">
        <v>557</v>
      </c>
    </row>
    <row r="93" spans="1:2" x14ac:dyDescent="0.35">
      <c r="A93" s="1" t="s">
        <v>463</v>
      </c>
    </row>
    <row r="94" spans="1:2" x14ac:dyDescent="0.35">
      <c r="A94" s="1" t="s">
        <v>464</v>
      </c>
    </row>
    <row r="95" spans="1:2" x14ac:dyDescent="0.35">
      <c r="A95" s="1" t="s">
        <v>20</v>
      </c>
    </row>
    <row r="96" spans="1:2" x14ac:dyDescent="0.35">
      <c r="A96" s="1" t="s">
        <v>35</v>
      </c>
    </row>
    <row r="97" spans="1:2" x14ac:dyDescent="0.35">
      <c r="A97" s="1" t="s">
        <v>31</v>
      </c>
    </row>
    <row r="98" spans="1:2" x14ac:dyDescent="0.35">
      <c r="A98" s="1" t="s">
        <v>22</v>
      </c>
    </row>
    <row r="99" spans="1:2" x14ac:dyDescent="0.35">
      <c r="A99" s="1" t="s">
        <v>23</v>
      </c>
    </row>
    <row r="100" spans="1:2" ht="29" x14ac:dyDescent="0.35">
      <c r="A100" s="1" t="s">
        <v>33</v>
      </c>
    </row>
    <row r="101" spans="1:2" ht="29" x14ac:dyDescent="0.35">
      <c r="A101" s="1" t="s">
        <v>34</v>
      </c>
    </row>
    <row r="102" spans="1:2" x14ac:dyDescent="0.35">
      <c r="A102" s="1" t="s">
        <v>509</v>
      </c>
    </row>
    <row r="103" spans="1:2" x14ac:dyDescent="0.35">
      <c r="A103" s="1"/>
    </row>
    <row r="104" spans="1:2" x14ac:dyDescent="0.35">
      <c r="A104" s="7" t="s">
        <v>602</v>
      </c>
    </row>
    <row r="105" spans="1:2" x14ac:dyDescent="0.35">
      <c r="A105" s="1" t="s">
        <v>456</v>
      </c>
    </row>
    <row r="106" spans="1:2" x14ac:dyDescent="0.35">
      <c r="A106" s="1" t="s">
        <v>0</v>
      </c>
    </row>
    <row r="107" spans="1:2" x14ac:dyDescent="0.35">
      <c r="A107" s="1" t="s">
        <v>459</v>
      </c>
    </row>
    <row r="108" spans="1:2" x14ac:dyDescent="0.35">
      <c r="A108" s="1" t="s">
        <v>458</v>
      </c>
    </row>
    <row r="109" spans="1:2" x14ac:dyDescent="0.35">
      <c r="A109" s="1" t="s">
        <v>457</v>
      </c>
    </row>
    <row r="110" spans="1:2" x14ac:dyDescent="0.35">
      <c r="A110" s="1" t="s">
        <v>589</v>
      </c>
    </row>
    <row r="111" spans="1:2" x14ac:dyDescent="0.35">
      <c r="A111" s="1" t="s">
        <v>597</v>
      </c>
      <c r="B111" s="1" t="s">
        <v>604</v>
      </c>
    </row>
    <row r="112" spans="1:2" x14ac:dyDescent="0.35">
      <c r="A112" s="1" t="s">
        <v>598</v>
      </c>
    </row>
    <row r="113" spans="1:2" x14ac:dyDescent="0.35">
      <c r="A113" s="1" t="s">
        <v>599</v>
      </c>
    </row>
    <row r="114" spans="1:2" x14ac:dyDescent="0.35">
      <c r="A114" s="1" t="s">
        <v>600</v>
      </c>
    </row>
    <row r="115" spans="1:2" x14ac:dyDescent="0.35">
      <c r="A115" s="1"/>
    </row>
    <row r="116" spans="1:2" x14ac:dyDescent="0.35">
      <c r="A116" s="7" t="s">
        <v>603</v>
      </c>
    </row>
    <row r="117" spans="1:2" x14ac:dyDescent="0.35">
      <c r="A117" s="1" t="s">
        <v>456</v>
      </c>
    </row>
    <row r="118" spans="1:2" x14ac:dyDescent="0.35">
      <c r="A118" s="1" t="s">
        <v>0</v>
      </c>
    </row>
    <row r="119" spans="1:2" x14ac:dyDescent="0.35">
      <c r="A119" s="1" t="s">
        <v>459</v>
      </c>
    </row>
    <row r="120" spans="1:2" x14ac:dyDescent="0.35">
      <c r="A120" s="1" t="s">
        <v>458</v>
      </c>
    </row>
    <row r="121" spans="1:2" x14ac:dyDescent="0.35">
      <c r="A121" s="1" t="s">
        <v>457</v>
      </c>
    </row>
    <row r="122" spans="1:2" x14ac:dyDescent="0.35">
      <c r="A122" s="1" t="s">
        <v>589</v>
      </c>
    </row>
    <row r="123" spans="1:2" x14ac:dyDescent="0.35">
      <c r="A123" s="1" t="s">
        <v>592</v>
      </c>
      <c r="B123" s="1" t="s">
        <v>605</v>
      </c>
    </row>
    <row r="124" spans="1:2" x14ac:dyDescent="0.35">
      <c r="A124" s="1" t="s">
        <v>593</v>
      </c>
      <c r="B124" s="1" t="s">
        <v>606</v>
      </c>
    </row>
    <row r="125" spans="1:2" x14ac:dyDescent="0.35">
      <c r="A125" s="1" t="s">
        <v>590</v>
      </c>
    </row>
    <row r="127" spans="1:2" x14ac:dyDescent="0.35">
      <c r="A127" s="4" t="s">
        <v>1145</v>
      </c>
    </row>
    <row r="128" spans="1:2" x14ac:dyDescent="0.35">
      <c r="A128" s="1" t="s">
        <v>458</v>
      </c>
    </row>
    <row r="129" spans="1:2" x14ac:dyDescent="0.35">
      <c r="A129" s="1" t="s">
        <v>457</v>
      </c>
    </row>
    <row r="130" spans="1:2" x14ac:dyDescent="0.35">
      <c r="A130" s="1" t="s">
        <v>589</v>
      </c>
    </row>
    <row r="131" spans="1:2" x14ac:dyDescent="0.35">
      <c r="A131" s="1" t="s">
        <v>1141</v>
      </c>
      <c r="B131" s="1" t="s">
        <v>1146</v>
      </c>
    </row>
    <row r="132" spans="1:2" x14ac:dyDescent="0.35">
      <c r="A132" s="1" t="s">
        <v>1131</v>
      </c>
    </row>
    <row r="133" spans="1:2" x14ac:dyDescent="0.35">
      <c r="A133" s="1" t="s">
        <v>1139</v>
      </c>
      <c r="B133" s="1" t="s">
        <v>1147</v>
      </c>
    </row>
    <row r="134" spans="1:2" x14ac:dyDescent="0.35">
      <c r="A134" s="1" t="s">
        <v>1117</v>
      </c>
      <c r="B134" s="1" t="s">
        <v>1148</v>
      </c>
    </row>
    <row r="135" spans="1:2" x14ac:dyDescent="0.35">
      <c r="A135" s="1" t="s">
        <v>1118</v>
      </c>
      <c r="B135" s="1" t="s">
        <v>1149</v>
      </c>
    </row>
    <row r="136" spans="1:2" x14ac:dyDescent="0.35">
      <c r="A136" s="1" t="s">
        <v>1119</v>
      </c>
      <c r="B136" s="1" t="s">
        <v>1150</v>
      </c>
    </row>
    <row r="137" spans="1:2" x14ac:dyDescent="0.35">
      <c r="A137" s="1" t="s">
        <v>1120</v>
      </c>
      <c r="B137" s="1" t="s">
        <v>1151</v>
      </c>
    </row>
    <row r="138" spans="1:2" x14ac:dyDescent="0.35">
      <c r="A138" s="1" t="s">
        <v>1121</v>
      </c>
      <c r="B138" s="1" t="s">
        <v>1152</v>
      </c>
    </row>
    <row r="139" spans="1:2" x14ac:dyDescent="0.35">
      <c r="A139" s="1" t="s">
        <v>1122</v>
      </c>
    </row>
    <row r="140" spans="1:2" x14ac:dyDescent="0.35">
      <c r="A140" s="1" t="s">
        <v>1123</v>
      </c>
    </row>
    <row r="141" spans="1:2" x14ac:dyDescent="0.35">
      <c r="A141" s="1" t="s">
        <v>1124</v>
      </c>
      <c r="B141" s="1" t="s">
        <v>1153</v>
      </c>
    </row>
    <row r="142" spans="1:2" x14ac:dyDescent="0.35">
      <c r="A142" s="1" t="s">
        <v>1125</v>
      </c>
      <c r="B142" s="1" t="s">
        <v>1154</v>
      </c>
    </row>
    <row r="143" spans="1:2" x14ac:dyDescent="0.35">
      <c r="A143" s="1" t="s">
        <v>1127</v>
      </c>
      <c r="B143" s="1" t="s">
        <v>1155</v>
      </c>
    </row>
    <row r="144" spans="1:2" x14ac:dyDescent="0.35">
      <c r="A144" s="1" t="s">
        <v>1142</v>
      </c>
      <c r="B144" s="1" t="s">
        <v>1156</v>
      </c>
    </row>
    <row r="145" spans="1:2" x14ac:dyDescent="0.35">
      <c r="A145" s="1" t="s">
        <v>1128</v>
      </c>
      <c r="B145" s="1" t="s">
        <v>1157</v>
      </c>
    </row>
    <row r="146" spans="1:2" x14ac:dyDescent="0.35">
      <c r="A146" s="1" t="s">
        <v>1129</v>
      </c>
    </row>
    <row r="147" spans="1:2" x14ac:dyDescent="0.35">
      <c r="A147" s="1" t="s">
        <v>1130</v>
      </c>
      <c r="B147" s="1" t="s">
        <v>1158</v>
      </c>
    </row>
    <row r="148" spans="1:2" x14ac:dyDescent="0.35">
      <c r="A148" s="1" t="s">
        <v>1126</v>
      </c>
      <c r="B148" s="1" t="s">
        <v>1159</v>
      </c>
    </row>
    <row r="149" spans="1:2" x14ac:dyDescent="0.35">
      <c r="A149" s="1" t="s">
        <v>1132</v>
      </c>
    </row>
    <row r="150" spans="1:2" x14ac:dyDescent="0.35">
      <c r="A150" s="1" t="s">
        <v>1133</v>
      </c>
    </row>
    <row r="151" spans="1:2" x14ac:dyDescent="0.35">
      <c r="A151" s="1" t="s">
        <v>1134</v>
      </c>
      <c r="B151" s="1" t="s">
        <v>1160</v>
      </c>
    </row>
    <row r="152" spans="1:2" ht="29" x14ac:dyDescent="0.35">
      <c r="A152" s="1" t="s">
        <v>1135</v>
      </c>
      <c r="B152" s="1" t="s">
        <v>1161</v>
      </c>
    </row>
    <row r="153" spans="1:2" x14ac:dyDescent="0.35">
      <c r="A153" s="1" t="s">
        <v>1136</v>
      </c>
    </row>
    <row r="154" spans="1:2" x14ac:dyDescent="0.35">
      <c r="A154" s="1" t="s">
        <v>1137</v>
      </c>
    </row>
    <row r="155" spans="1:2" ht="29" x14ac:dyDescent="0.35">
      <c r="A155" s="1" t="s">
        <v>1138</v>
      </c>
      <c r="B155" s="1" t="s">
        <v>1162</v>
      </c>
    </row>
    <row r="156" spans="1:2" x14ac:dyDescent="0.35">
      <c r="A156" s="1" t="s">
        <v>1140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114"/>
  <sheetViews>
    <sheetView zoomScale="59" zoomScaleNormal="100" workbookViewId="0">
      <pane ySplit="1" topLeftCell="A100" activePane="bottomLeft" state="frozen"/>
      <selection pane="bottomLeft" activeCell="K101" sqref="K101"/>
    </sheetView>
  </sheetViews>
  <sheetFormatPr defaultColWidth="12.453125" defaultRowHeight="14.5" x14ac:dyDescent="0.35"/>
  <cols>
    <col min="2" max="2" width="5" bestFit="1"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19.7265625" customWidth="1"/>
    <col min="14" max="15" width="19.6328125" customWidth="1"/>
    <col min="16" max="16" width="8.1796875" customWidth="1"/>
    <col min="17" max="17" width="7.7265625" customWidth="1"/>
    <col min="18" max="18" width="8.26953125" customWidth="1"/>
    <col min="19" max="19" width="25.54296875" customWidth="1"/>
    <col min="20" max="20" width="25.81640625" customWidth="1"/>
    <col min="21" max="21" width="24.6328125" customWidth="1"/>
  </cols>
  <sheetData>
    <row r="1" spans="1:18" ht="101.5" x14ac:dyDescent="0.35">
      <c r="A1" s="5" t="s">
        <v>45</v>
      </c>
      <c r="B1" s="1" t="s">
        <v>0</v>
      </c>
      <c r="C1" s="5" t="s">
        <v>46</v>
      </c>
      <c r="D1" s="5" t="s">
        <v>47</v>
      </c>
      <c r="E1" s="5" t="s">
        <v>48</v>
      </c>
      <c r="F1" s="5" t="s">
        <v>49</v>
      </c>
      <c r="G1" s="5" t="s">
        <v>50</v>
      </c>
      <c r="H1" s="5" t="s">
        <v>51</v>
      </c>
      <c r="I1" s="5" t="s">
        <v>427</v>
      </c>
      <c r="J1" s="5" t="s">
        <v>54</v>
      </c>
      <c r="K1" s="5" t="s">
        <v>932</v>
      </c>
      <c r="L1" s="5" t="s">
        <v>55</v>
      </c>
      <c r="M1" s="5" t="s">
        <v>1163</v>
      </c>
      <c r="N1" s="5" t="s">
        <v>1164</v>
      </c>
      <c r="O1" s="5" t="s">
        <v>1165</v>
      </c>
      <c r="P1" s="5" t="s">
        <v>675</v>
      </c>
      <c r="Q1" s="5" t="s">
        <v>676</v>
      </c>
      <c r="R1" s="5" t="s">
        <v>677</v>
      </c>
    </row>
    <row r="2" spans="1:18" ht="58" x14ac:dyDescent="0.35">
      <c r="A2" s="5" t="s">
        <v>56</v>
      </c>
      <c r="B2" s="5">
        <v>1</v>
      </c>
      <c r="C2" s="5">
        <v>42.532541950000002</v>
      </c>
      <c r="D2" s="5">
        <v>-83.670538800000003</v>
      </c>
      <c r="E2" s="5" t="s">
        <v>57</v>
      </c>
      <c r="F2" s="5" t="s">
        <v>58</v>
      </c>
      <c r="G2" s="5" t="s">
        <v>59</v>
      </c>
      <c r="H2" s="5" t="s">
        <v>60</v>
      </c>
      <c r="I2" s="5" t="s">
        <v>471</v>
      </c>
      <c r="J2" s="5"/>
      <c r="L2" s="5" t="s">
        <v>428</v>
      </c>
      <c r="M2" s="5" t="s">
        <v>1166</v>
      </c>
      <c r="N2" s="5">
        <v>23.2</v>
      </c>
      <c r="O2" s="5">
        <v>1</v>
      </c>
      <c r="P2" t="s">
        <v>442</v>
      </c>
      <c r="Q2" t="s">
        <v>442</v>
      </c>
      <c r="R2" t="s">
        <v>442</v>
      </c>
    </row>
    <row r="3" spans="1:18" ht="43.5" x14ac:dyDescent="0.35">
      <c r="A3" s="5" t="s">
        <v>56</v>
      </c>
      <c r="B3" s="5">
        <v>2</v>
      </c>
      <c r="C3" s="5">
        <v>42.532967239999998</v>
      </c>
      <c r="D3" s="5">
        <v>-83.67076505</v>
      </c>
      <c r="E3" s="5" t="s">
        <v>57</v>
      </c>
      <c r="F3" s="5" t="s">
        <v>61</v>
      </c>
      <c r="G3" s="5" t="s">
        <v>62</v>
      </c>
      <c r="H3" s="5" t="s">
        <v>63</v>
      </c>
      <c r="I3" s="5" t="s">
        <v>471</v>
      </c>
      <c r="J3" s="5" t="s">
        <v>429</v>
      </c>
      <c r="L3" s="5" t="s">
        <v>430</v>
      </c>
      <c r="M3" s="5" t="s">
        <v>1167</v>
      </c>
      <c r="N3" s="5">
        <v>11.25</v>
      </c>
      <c r="O3" s="5">
        <v>1</v>
      </c>
      <c r="P3" t="s">
        <v>442</v>
      </c>
      <c r="Q3" s="5" t="s">
        <v>442</v>
      </c>
      <c r="R3" s="5" t="s">
        <v>442</v>
      </c>
    </row>
    <row r="4" spans="1:18" ht="58" x14ac:dyDescent="0.35">
      <c r="A4" s="5" t="s">
        <v>56</v>
      </c>
      <c r="B4" s="5">
        <v>3</v>
      </c>
      <c r="C4" s="5">
        <v>42.533263560000002</v>
      </c>
      <c r="D4" s="5">
        <v>-83.670932440000001</v>
      </c>
      <c r="E4" s="5" t="s">
        <v>57</v>
      </c>
      <c r="F4" s="5" t="s">
        <v>64</v>
      </c>
      <c r="G4" s="5" t="s">
        <v>65</v>
      </c>
      <c r="H4" s="5" t="s">
        <v>66</v>
      </c>
      <c r="I4" s="5" t="s">
        <v>471</v>
      </c>
      <c r="J4" s="5" t="s">
        <v>947</v>
      </c>
      <c r="L4" s="5" t="s">
        <v>946</v>
      </c>
      <c r="M4" s="5" t="s">
        <v>1177</v>
      </c>
      <c r="N4" s="5" t="s">
        <v>1170</v>
      </c>
      <c r="O4" s="5" t="s">
        <v>477</v>
      </c>
      <c r="P4" t="s">
        <v>442</v>
      </c>
      <c r="Q4" s="5" t="s">
        <v>442</v>
      </c>
      <c r="R4" s="5" t="s">
        <v>442</v>
      </c>
    </row>
    <row r="5" spans="1:18" ht="58" x14ac:dyDescent="0.35">
      <c r="A5" s="5" t="s">
        <v>67</v>
      </c>
      <c r="B5" s="5">
        <v>4</v>
      </c>
      <c r="C5" s="5">
        <v>42.378346659999998</v>
      </c>
      <c r="D5" s="5">
        <v>-83.913361170000002</v>
      </c>
      <c r="E5" s="5" t="s">
        <v>68</v>
      </c>
      <c r="F5" s="5" t="s">
        <v>69</v>
      </c>
      <c r="G5" s="5" t="s">
        <v>70</v>
      </c>
      <c r="H5" s="5" t="s">
        <v>71</v>
      </c>
      <c r="I5" s="5"/>
      <c r="J5" s="5"/>
      <c r="L5" s="5"/>
      <c r="M5" s="5"/>
      <c r="N5" s="5"/>
      <c r="O5" s="5"/>
      <c r="P5" t="s">
        <v>441</v>
      </c>
      <c r="Q5" s="5" t="s">
        <v>441</v>
      </c>
      <c r="R5" s="5" t="s">
        <v>441</v>
      </c>
    </row>
    <row r="6" spans="1:18" ht="58" x14ac:dyDescent="0.35">
      <c r="A6" s="5" t="s">
        <v>67</v>
      </c>
      <c r="B6" s="5">
        <v>5</v>
      </c>
      <c r="C6" s="5">
        <v>42.377963800000003</v>
      </c>
      <c r="D6" s="5">
        <v>-83.913092160000005</v>
      </c>
      <c r="E6" s="5" t="s">
        <v>68</v>
      </c>
      <c r="F6" s="5" t="s">
        <v>72</v>
      </c>
      <c r="G6" s="5" t="s">
        <v>73</v>
      </c>
      <c r="H6" s="5" t="s">
        <v>74</v>
      </c>
      <c r="I6" s="5" t="s">
        <v>934</v>
      </c>
      <c r="J6" s="5"/>
      <c r="K6" s="1" t="s">
        <v>935</v>
      </c>
      <c r="L6" s="5" t="s">
        <v>936</v>
      </c>
      <c r="M6" s="5" t="s">
        <v>1172</v>
      </c>
      <c r="N6" s="5">
        <v>90</v>
      </c>
      <c r="O6" s="5">
        <v>2</v>
      </c>
      <c r="P6" t="s">
        <v>442</v>
      </c>
      <c r="Q6" s="5" t="s">
        <v>442</v>
      </c>
      <c r="R6" s="5" t="s">
        <v>442</v>
      </c>
    </row>
    <row r="7" spans="1:18" ht="29" x14ac:dyDescent="0.35">
      <c r="A7" s="5" t="s">
        <v>67</v>
      </c>
      <c r="B7" s="5">
        <v>6</v>
      </c>
      <c r="C7" s="5">
        <v>42.378304020000002</v>
      </c>
      <c r="D7" s="5">
        <v>-83.913823320000006</v>
      </c>
      <c r="E7" s="5" t="s">
        <v>68</v>
      </c>
      <c r="F7" s="5" t="s">
        <v>75</v>
      </c>
      <c r="G7" s="5" t="s">
        <v>76</v>
      </c>
      <c r="H7" s="5" t="s">
        <v>77</v>
      </c>
      <c r="I7" s="5"/>
      <c r="J7" s="5"/>
      <c r="L7" s="5"/>
      <c r="M7" s="5"/>
      <c r="N7" s="5"/>
      <c r="O7" s="5"/>
      <c r="P7" t="s">
        <v>441</v>
      </c>
      <c r="Q7" s="5" t="s">
        <v>441</v>
      </c>
      <c r="R7" s="5" t="s">
        <v>441</v>
      </c>
    </row>
    <row r="8" spans="1:18" ht="58" x14ac:dyDescent="0.35">
      <c r="A8" s="5" t="s">
        <v>56</v>
      </c>
      <c r="B8" s="5">
        <v>7</v>
      </c>
      <c r="C8" s="5">
        <v>42.53544514</v>
      </c>
      <c r="D8" s="5">
        <v>-83.667223190000001</v>
      </c>
      <c r="E8" s="5" t="s">
        <v>78</v>
      </c>
      <c r="F8" s="5" t="s">
        <v>79</v>
      </c>
      <c r="G8" s="5" t="s">
        <v>80</v>
      </c>
      <c r="H8" s="5" t="s">
        <v>81</v>
      </c>
      <c r="I8" s="5" t="s">
        <v>472</v>
      </c>
      <c r="J8" s="5"/>
      <c r="K8" s="1" t="s">
        <v>945</v>
      </c>
      <c r="L8" s="5" t="s">
        <v>498</v>
      </c>
      <c r="M8" s="5" t="s">
        <v>1173</v>
      </c>
      <c r="N8" s="5">
        <v>18.600000000000001</v>
      </c>
      <c r="O8" s="5">
        <v>1</v>
      </c>
      <c r="P8" t="s">
        <v>442</v>
      </c>
      <c r="Q8" s="5" t="s">
        <v>442</v>
      </c>
      <c r="R8" s="5" t="s">
        <v>442</v>
      </c>
    </row>
    <row r="9" spans="1:18" ht="58" x14ac:dyDescent="0.35">
      <c r="A9" s="5" t="s">
        <v>56</v>
      </c>
      <c r="B9" s="5">
        <v>8</v>
      </c>
      <c r="C9" s="5">
        <v>42.535633609999998</v>
      </c>
      <c r="D9" s="5">
        <v>-83.666427560000002</v>
      </c>
      <c r="E9" s="5" t="s">
        <v>78</v>
      </c>
      <c r="F9" s="5" t="s">
        <v>82</v>
      </c>
      <c r="G9" s="5" t="s">
        <v>83</v>
      </c>
      <c r="H9" s="5" t="s">
        <v>84</v>
      </c>
      <c r="I9" s="5" t="s">
        <v>925</v>
      </c>
      <c r="J9" s="5"/>
      <c r="K9" s="1" t="s">
        <v>949</v>
      </c>
      <c r="L9" s="5" t="s">
        <v>948</v>
      </c>
      <c r="M9" s="5" t="s">
        <v>1173</v>
      </c>
      <c r="N9" s="5">
        <f>36.7+12.8</f>
        <v>49.5</v>
      </c>
      <c r="O9" s="5">
        <v>2</v>
      </c>
      <c r="P9" t="s">
        <v>442</v>
      </c>
      <c r="Q9" s="5" t="s">
        <v>442</v>
      </c>
      <c r="R9" s="5" t="s">
        <v>442</v>
      </c>
    </row>
    <row r="10" spans="1:18" ht="43.5" x14ac:dyDescent="0.35">
      <c r="A10" s="5" t="s">
        <v>56</v>
      </c>
      <c r="B10" s="5">
        <v>9</v>
      </c>
      <c r="C10" s="5">
        <v>42.535882090000001</v>
      </c>
      <c r="D10" s="5">
        <v>-83.66709668</v>
      </c>
      <c r="E10" s="5" t="s">
        <v>78</v>
      </c>
      <c r="F10" s="5" t="s">
        <v>85</v>
      </c>
      <c r="G10" s="5" t="s">
        <v>86</v>
      </c>
      <c r="H10" s="5" t="s">
        <v>87</v>
      </c>
      <c r="I10" s="5" t="s">
        <v>925</v>
      </c>
      <c r="J10" s="5"/>
      <c r="K10" s="1" t="s">
        <v>951</v>
      </c>
      <c r="L10" s="5" t="s">
        <v>950</v>
      </c>
      <c r="M10" s="5" t="s">
        <v>1174</v>
      </c>
      <c r="N10" s="5">
        <v>16.100000000000001</v>
      </c>
      <c r="O10" s="5">
        <v>1</v>
      </c>
      <c r="P10" t="s">
        <v>442</v>
      </c>
      <c r="Q10" s="5" t="s">
        <v>442</v>
      </c>
      <c r="R10" s="5" t="s">
        <v>442</v>
      </c>
    </row>
    <row r="11" spans="1:18" ht="58" x14ac:dyDescent="0.35">
      <c r="A11" s="5" t="s">
        <v>67</v>
      </c>
      <c r="B11" s="5">
        <v>10</v>
      </c>
      <c r="C11" s="5">
        <v>42.375157350000002</v>
      </c>
      <c r="D11" s="5">
        <v>-83.914113369999995</v>
      </c>
      <c r="E11" s="5" t="s">
        <v>88</v>
      </c>
      <c r="F11" s="5" t="s">
        <v>89</v>
      </c>
      <c r="G11" s="5" t="s">
        <v>90</v>
      </c>
      <c r="H11" s="5" t="s">
        <v>91</v>
      </c>
      <c r="I11" s="5" t="s">
        <v>934</v>
      </c>
      <c r="J11" s="5"/>
      <c r="K11" s="1" t="s">
        <v>938</v>
      </c>
      <c r="L11" s="5" t="s">
        <v>937</v>
      </c>
      <c r="M11" s="5" t="s">
        <v>1172</v>
      </c>
      <c r="N11" s="5">
        <v>40.6</v>
      </c>
      <c r="O11" s="5">
        <v>1</v>
      </c>
      <c r="P11" t="s">
        <v>442</v>
      </c>
      <c r="Q11" s="5" t="s">
        <v>442</v>
      </c>
      <c r="R11" s="5" t="s">
        <v>442</v>
      </c>
    </row>
    <row r="12" spans="1:18" ht="58" x14ac:dyDescent="0.35">
      <c r="A12" s="5" t="s">
        <v>67</v>
      </c>
      <c r="B12" s="5">
        <v>11</v>
      </c>
      <c r="C12" s="5">
        <v>42.374745750000002</v>
      </c>
      <c r="D12" s="5">
        <v>-83.914299380000003</v>
      </c>
      <c r="E12" s="5" t="s">
        <v>88</v>
      </c>
      <c r="F12" s="5" t="s">
        <v>92</v>
      </c>
      <c r="G12" s="5" t="s">
        <v>93</v>
      </c>
      <c r="H12" s="5" t="s">
        <v>94</v>
      </c>
      <c r="I12" s="5" t="s">
        <v>934</v>
      </c>
      <c r="J12" s="5" t="s">
        <v>940</v>
      </c>
      <c r="K12" s="5" t="s">
        <v>941</v>
      </c>
      <c r="L12" s="5" t="s">
        <v>939</v>
      </c>
      <c r="M12" s="5" t="s">
        <v>1177</v>
      </c>
      <c r="N12" s="5" t="s">
        <v>1170</v>
      </c>
      <c r="O12" s="5" t="s">
        <v>477</v>
      </c>
      <c r="P12" s="5" t="s">
        <v>442</v>
      </c>
      <c r="Q12" s="5" t="s">
        <v>442</v>
      </c>
      <c r="R12" s="5" t="s">
        <v>442</v>
      </c>
    </row>
    <row r="13" spans="1:18" ht="58" x14ac:dyDescent="0.35">
      <c r="A13" s="5" t="s">
        <v>67</v>
      </c>
      <c r="B13" s="5">
        <v>12</v>
      </c>
      <c r="C13" s="5">
        <v>42.373981559999997</v>
      </c>
      <c r="D13" s="5">
        <v>-83.914218869999999</v>
      </c>
      <c r="E13" s="5" t="s">
        <v>88</v>
      </c>
      <c r="F13" s="5" t="s">
        <v>95</v>
      </c>
      <c r="G13" s="5" t="s">
        <v>96</v>
      </c>
      <c r="H13" s="5" t="s">
        <v>97</v>
      </c>
      <c r="I13" s="5" t="s">
        <v>934</v>
      </c>
      <c r="J13" s="5"/>
      <c r="K13" s="1" t="s">
        <v>943</v>
      </c>
      <c r="L13" s="5" t="s">
        <v>942</v>
      </c>
      <c r="M13" s="5" t="s">
        <v>1178</v>
      </c>
      <c r="N13" s="5">
        <v>32.799999999999997</v>
      </c>
      <c r="O13" s="5">
        <v>1</v>
      </c>
      <c r="P13" t="s">
        <v>442</v>
      </c>
      <c r="Q13" s="5" t="s">
        <v>442</v>
      </c>
      <c r="R13" s="5" t="s">
        <v>442</v>
      </c>
    </row>
    <row r="14" spans="1:18" ht="72.5" x14ac:dyDescent="0.35">
      <c r="A14" s="5" t="s">
        <v>56</v>
      </c>
      <c r="B14" s="5">
        <v>13</v>
      </c>
      <c r="C14" s="5">
        <v>42.534636990000003</v>
      </c>
      <c r="D14" s="5">
        <v>-83.666954950000004</v>
      </c>
      <c r="E14" s="5" t="s">
        <v>98</v>
      </c>
      <c r="F14" s="5" t="s">
        <v>99</v>
      </c>
      <c r="G14" s="5" t="s">
        <v>100</v>
      </c>
      <c r="H14" s="5" t="s">
        <v>101</v>
      </c>
      <c r="I14" s="5" t="s">
        <v>472</v>
      </c>
      <c r="J14" s="5"/>
      <c r="K14" s="1" t="s">
        <v>952</v>
      </c>
      <c r="L14" s="5" t="s">
        <v>500</v>
      </c>
      <c r="M14" s="5" t="s">
        <v>1176</v>
      </c>
      <c r="N14" s="5">
        <v>25.9</v>
      </c>
      <c r="O14" s="5">
        <v>1</v>
      </c>
      <c r="P14" t="s">
        <v>442</v>
      </c>
      <c r="Q14" s="5" t="s">
        <v>442</v>
      </c>
      <c r="R14" s="5" t="s">
        <v>442</v>
      </c>
    </row>
    <row r="15" spans="1:18" ht="58" x14ac:dyDescent="0.35">
      <c r="A15" s="5" t="s">
        <v>56</v>
      </c>
      <c r="B15" s="5">
        <v>14</v>
      </c>
      <c r="C15" s="5">
        <v>42.53497995</v>
      </c>
      <c r="D15" s="5">
        <v>-83.666570340000007</v>
      </c>
      <c r="E15" s="5" t="s">
        <v>98</v>
      </c>
      <c r="F15" s="5" t="s">
        <v>102</v>
      </c>
      <c r="G15" s="5" t="s">
        <v>103</v>
      </c>
      <c r="H15" s="5" t="s">
        <v>104</v>
      </c>
      <c r="I15" s="5" t="s">
        <v>472</v>
      </c>
      <c r="J15" s="5"/>
      <c r="K15" s="1" t="s">
        <v>953</v>
      </c>
      <c r="L15" s="5" t="s">
        <v>501</v>
      </c>
      <c r="M15" s="5" t="s">
        <v>1181</v>
      </c>
      <c r="N15" s="5">
        <v>10.9</v>
      </c>
      <c r="O15" s="5">
        <v>1</v>
      </c>
      <c r="P15" t="s">
        <v>442</v>
      </c>
      <c r="Q15" t="s">
        <v>442</v>
      </c>
      <c r="R15" t="s">
        <v>442</v>
      </c>
    </row>
    <row r="16" spans="1:18" ht="58" x14ac:dyDescent="0.35">
      <c r="A16" s="5" t="s">
        <v>56</v>
      </c>
      <c r="B16" s="5">
        <v>15</v>
      </c>
      <c r="C16" s="5">
        <v>42.534295419999999</v>
      </c>
      <c r="D16" s="5">
        <v>-83.667219650000007</v>
      </c>
      <c r="E16" s="5" t="s">
        <v>98</v>
      </c>
      <c r="F16" s="5" t="s">
        <v>105</v>
      </c>
      <c r="G16" s="5" t="s">
        <v>106</v>
      </c>
      <c r="H16" s="5" t="s">
        <v>107</v>
      </c>
      <c r="I16" s="5" t="s">
        <v>472</v>
      </c>
      <c r="J16" s="5"/>
      <c r="K16" s="5" t="s">
        <v>954</v>
      </c>
      <c r="L16" s="5" t="s">
        <v>502</v>
      </c>
      <c r="M16" s="5" t="s">
        <v>1171</v>
      </c>
      <c r="N16" s="5">
        <v>9.8000000000000007</v>
      </c>
      <c r="O16" s="5">
        <v>1</v>
      </c>
      <c r="P16" t="s">
        <v>442</v>
      </c>
      <c r="Q16" t="s">
        <v>442</v>
      </c>
      <c r="R16" t="s">
        <v>442</v>
      </c>
    </row>
    <row r="17" spans="1:18" ht="58" x14ac:dyDescent="0.35">
      <c r="A17" s="5" t="s">
        <v>108</v>
      </c>
      <c r="B17" s="5">
        <v>16</v>
      </c>
      <c r="C17" s="5">
        <v>42.499414180000002</v>
      </c>
      <c r="D17" s="5">
        <v>-83.716566400000005</v>
      </c>
      <c r="E17" s="5" t="s">
        <v>109</v>
      </c>
      <c r="F17" s="5" t="s">
        <v>110</v>
      </c>
      <c r="G17" s="5" t="s">
        <v>111</v>
      </c>
      <c r="H17" s="5" t="s">
        <v>112</v>
      </c>
      <c r="I17" s="5" t="s">
        <v>769</v>
      </c>
      <c r="J17" s="5"/>
      <c r="K17" s="1" t="s">
        <v>772</v>
      </c>
      <c r="L17" s="5" t="s">
        <v>771</v>
      </c>
      <c r="M17" s="5" t="s">
        <v>1179</v>
      </c>
      <c r="N17" s="5">
        <v>57.6</v>
      </c>
      <c r="O17" s="5">
        <v>1</v>
      </c>
      <c r="P17" t="s">
        <v>442</v>
      </c>
      <c r="Q17" t="s">
        <v>442</v>
      </c>
      <c r="R17" t="s">
        <v>442</v>
      </c>
    </row>
    <row r="18" spans="1:18" ht="43.5" x14ac:dyDescent="0.35">
      <c r="A18" s="5" t="s">
        <v>108</v>
      </c>
      <c r="B18" s="5">
        <v>17</v>
      </c>
      <c r="C18" s="5">
        <v>42.500113159999998</v>
      </c>
      <c r="D18" s="5">
        <v>-83.716904080000006</v>
      </c>
      <c r="E18" s="5" t="s">
        <v>109</v>
      </c>
      <c r="F18" s="5" t="s">
        <v>113</v>
      </c>
      <c r="G18" s="5" t="s">
        <v>114</v>
      </c>
      <c r="H18" s="5" t="s">
        <v>115</v>
      </c>
      <c r="I18" s="5" t="s">
        <v>913</v>
      </c>
      <c r="J18" s="5"/>
      <c r="K18" s="1" t="s">
        <v>915</v>
      </c>
      <c r="L18" s="5" t="s">
        <v>914</v>
      </c>
      <c r="M18" s="5" t="s">
        <v>1175</v>
      </c>
      <c r="N18" s="5">
        <v>34.4</v>
      </c>
      <c r="O18" s="5">
        <v>1</v>
      </c>
      <c r="P18" t="s">
        <v>442</v>
      </c>
      <c r="Q18" s="5" t="s">
        <v>442</v>
      </c>
      <c r="R18" s="5" t="s">
        <v>442</v>
      </c>
    </row>
    <row r="19" spans="1:18" ht="58" x14ac:dyDescent="0.35">
      <c r="A19" s="5" t="s">
        <v>108</v>
      </c>
      <c r="B19" s="5">
        <v>18</v>
      </c>
      <c r="C19" s="5">
        <v>42.499844260000003</v>
      </c>
      <c r="D19" s="5">
        <v>-83.717294050000007</v>
      </c>
      <c r="E19" s="5" t="s">
        <v>109</v>
      </c>
      <c r="F19" s="5" t="s">
        <v>116</v>
      </c>
      <c r="G19" s="5" t="s">
        <v>117</v>
      </c>
      <c r="H19" s="5" t="s">
        <v>118</v>
      </c>
      <c r="I19" s="5" t="s">
        <v>769</v>
      </c>
      <c r="J19" s="5" t="s">
        <v>774</v>
      </c>
      <c r="K19" s="5" t="s">
        <v>775</v>
      </c>
      <c r="L19" s="5" t="s">
        <v>773</v>
      </c>
      <c r="M19" s="5" t="s">
        <v>1180</v>
      </c>
      <c r="N19" s="5">
        <v>29.1</v>
      </c>
      <c r="O19" s="5">
        <v>1</v>
      </c>
      <c r="P19" s="5" t="s">
        <v>442</v>
      </c>
      <c r="Q19" s="5" t="s">
        <v>442</v>
      </c>
      <c r="R19" s="5" t="s">
        <v>442</v>
      </c>
    </row>
    <row r="20" spans="1:18" ht="72.5" x14ac:dyDescent="0.35">
      <c r="A20" s="5" t="s">
        <v>56</v>
      </c>
      <c r="B20" s="5">
        <v>19</v>
      </c>
      <c r="C20" s="5">
        <v>42.537844329999999</v>
      </c>
      <c r="D20" s="5">
        <v>-83.666653620000005</v>
      </c>
      <c r="E20" s="5" t="s">
        <v>119</v>
      </c>
      <c r="F20" s="5" t="s">
        <v>85</v>
      </c>
      <c r="G20" s="5" t="s">
        <v>120</v>
      </c>
      <c r="H20" s="5" t="s">
        <v>121</v>
      </c>
      <c r="I20" s="5" t="s">
        <v>925</v>
      </c>
      <c r="J20" s="5"/>
      <c r="K20" s="5" t="s">
        <v>956</v>
      </c>
      <c r="L20" s="5" t="s">
        <v>955</v>
      </c>
      <c r="M20" s="5" t="s">
        <v>1182</v>
      </c>
      <c r="N20" s="5">
        <v>33</v>
      </c>
      <c r="O20" s="5">
        <v>1</v>
      </c>
      <c r="P20" s="5" t="s">
        <v>442</v>
      </c>
      <c r="Q20" s="5" t="s">
        <v>442</v>
      </c>
      <c r="R20" s="5" t="s">
        <v>442</v>
      </c>
    </row>
    <row r="21" spans="1:18" ht="43.5" x14ac:dyDescent="0.35">
      <c r="A21" s="5" t="s">
        <v>56</v>
      </c>
      <c r="B21" s="5">
        <v>20</v>
      </c>
      <c r="C21" s="5">
        <v>42.537941680000003</v>
      </c>
      <c r="D21" s="5">
        <v>-83.665966850000004</v>
      </c>
      <c r="E21" s="5" t="s">
        <v>119</v>
      </c>
      <c r="F21" s="5" t="s">
        <v>122</v>
      </c>
      <c r="G21" s="5" t="s">
        <v>123</v>
      </c>
      <c r="H21" s="5" t="s">
        <v>124</v>
      </c>
      <c r="I21" s="5" t="s">
        <v>925</v>
      </c>
      <c r="J21" s="5"/>
      <c r="K21" s="5" t="s">
        <v>958</v>
      </c>
      <c r="L21" s="5" t="s">
        <v>957</v>
      </c>
      <c r="M21" s="5" t="s">
        <v>1166</v>
      </c>
      <c r="N21" s="5">
        <v>25.2</v>
      </c>
      <c r="O21" s="5">
        <v>1</v>
      </c>
      <c r="P21" s="5" t="s">
        <v>442</v>
      </c>
      <c r="Q21" s="5" t="s">
        <v>442</v>
      </c>
      <c r="R21" s="5" t="s">
        <v>442</v>
      </c>
    </row>
    <row r="22" spans="1:18" ht="72.5" x14ac:dyDescent="0.35">
      <c r="A22" s="5" t="s">
        <v>56</v>
      </c>
      <c r="B22" s="5">
        <v>21</v>
      </c>
      <c r="C22" s="5">
        <v>42.537279519999998</v>
      </c>
      <c r="D22" s="5">
        <v>-83.666394850000003</v>
      </c>
      <c r="E22" s="5" t="s">
        <v>119</v>
      </c>
      <c r="F22" s="5" t="s">
        <v>125</v>
      </c>
      <c r="G22" s="5" t="s">
        <v>126</v>
      </c>
      <c r="H22" s="5" t="s">
        <v>127</v>
      </c>
      <c r="I22" s="5" t="s">
        <v>925</v>
      </c>
      <c r="J22" s="5" t="s">
        <v>961</v>
      </c>
      <c r="K22" s="5" t="s">
        <v>959</v>
      </c>
      <c r="L22" s="5" t="s">
        <v>960</v>
      </c>
      <c r="M22" s="5" t="s">
        <v>1177</v>
      </c>
      <c r="N22" s="5" t="s">
        <v>1170</v>
      </c>
      <c r="O22" s="5" t="s">
        <v>477</v>
      </c>
      <c r="P22" s="5" t="s">
        <v>442</v>
      </c>
      <c r="Q22" s="5" t="s">
        <v>442</v>
      </c>
      <c r="R22" s="5" t="s">
        <v>442</v>
      </c>
    </row>
    <row r="23" spans="1:18" ht="43.5" x14ac:dyDescent="0.35">
      <c r="A23" s="5" t="s">
        <v>108</v>
      </c>
      <c r="B23" s="5">
        <v>22</v>
      </c>
      <c r="C23" s="5">
        <v>42.499719120000002</v>
      </c>
      <c r="D23" s="5">
        <v>-83.716309580000001</v>
      </c>
      <c r="E23" s="5" t="s">
        <v>128</v>
      </c>
      <c r="F23" s="5" t="s">
        <v>129</v>
      </c>
      <c r="G23" s="5" t="s">
        <v>130</v>
      </c>
      <c r="H23" s="5" t="s">
        <v>131</v>
      </c>
      <c r="I23" s="5" t="s">
        <v>913</v>
      </c>
      <c r="J23" s="5"/>
      <c r="K23" s="1" t="s">
        <v>917</v>
      </c>
      <c r="L23" s="5" t="s">
        <v>916</v>
      </c>
      <c r="M23" s="5" t="s">
        <v>1175</v>
      </c>
      <c r="N23" s="5">
        <v>34.1</v>
      </c>
      <c r="O23" s="5">
        <v>1</v>
      </c>
      <c r="P23" t="s">
        <v>442</v>
      </c>
      <c r="Q23" s="5" t="s">
        <v>442</v>
      </c>
      <c r="R23" s="5" t="s">
        <v>442</v>
      </c>
    </row>
    <row r="24" spans="1:18" ht="58" x14ac:dyDescent="0.35">
      <c r="A24" s="5" t="s">
        <v>108</v>
      </c>
      <c r="B24" s="5">
        <v>23</v>
      </c>
      <c r="C24" s="5">
        <v>42.500855489999999</v>
      </c>
      <c r="D24" s="5">
        <v>-83.716684799999996</v>
      </c>
      <c r="E24" s="5" t="s">
        <v>128</v>
      </c>
      <c r="F24" s="5" t="s">
        <v>132</v>
      </c>
      <c r="G24" s="5" t="s">
        <v>133</v>
      </c>
      <c r="H24" s="5" t="s">
        <v>134</v>
      </c>
      <c r="I24" s="5" t="s">
        <v>918</v>
      </c>
      <c r="J24" s="5"/>
      <c r="K24" s="1" t="s">
        <v>919</v>
      </c>
      <c r="L24" s="5" t="s">
        <v>1192</v>
      </c>
      <c r="M24" s="5" t="s">
        <v>1183</v>
      </c>
      <c r="N24" s="5">
        <v>58.5</v>
      </c>
      <c r="O24" s="5">
        <v>1</v>
      </c>
      <c r="P24" t="s">
        <v>441</v>
      </c>
      <c r="Q24" s="5" t="s">
        <v>441</v>
      </c>
      <c r="R24" s="5" t="s">
        <v>441</v>
      </c>
    </row>
    <row r="25" spans="1:18" ht="101.5" x14ac:dyDescent="0.35">
      <c r="A25" s="5" t="s">
        <v>108</v>
      </c>
      <c r="B25" s="5">
        <v>24</v>
      </c>
      <c r="C25" s="5">
        <v>42.497946849999998</v>
      </c>
      <c r="D25" s="5">
        <v>-83.717754940000006</v>
      </c>
      <c r="E25" s="5" t="s">
        <v>128</v>
      </c>
      <c r="F25" s="5" t="s">
        <v>135</v>
      </c>
      <c r="G25" s="5" t="s">
        <v>136</v>
      </c>
      <c r="H25" s="5" t="s">
        <v>137</v>
      </c>
      <c r="I25" s="5" t="s">
        <v>918</v>
      </c>
      <c r="J25" s="5" t="s">
        <v>921</v>
      </c>
      <c r="K25" s="5" t="s">
        <v>922</v>
      </c>
      <c r="L25" s="5" t="s">
        <v>920</v>
      </c>
      <c r="M25" s="5" t="s">
        <v>1177</v>
      </c>
      <c r="N25" s="5" t="s">
        <v>1170</v>
      </c>
      <c r="O25" s="5" t="s">
        <v>477</v>
      </c>
      <c r="P25" s="5" t="s">
        <v>442</v>
      </c>
      <c r="Q25" s="5" t="s">
        <v>442</v>
      </c>
      <c r="R25" s="5" t="s">
        <v>442</v>
      </c>
    </row>
    <row r="26" spans="1:18" ht="58" x14ac:dyDescent="0.35">
      <c r="A26" s="5" t="s">
        <v>138</v>
      </c>
      <c r="B26" s="5">
        <v>25</v>
      </c>
      <c r="C26" s="5">
        <v>42.575915899999998</v>
      </c>
      <c r="D26" s="5">
        <v>-83.520992419999999</v>
      </c>
      <c r="E26" s="5" t="s">
        <v>38</v>
      </c>
      <c r="F26" s="5" t="s">
        <v>139</v>
      </c>
      <c r="G26" s="5" t="s">
        <v>140</v>
      </c>
      <c r="H26" s="5" t="s">
        <v>141</v>
      </c>
      <c r="I26" s="5" t="s">
        <v>560</v>
      </c>
      <c r="J26" s="5"/>
      <c r="L26" s="5" t="s">
        <v>561</v>
      </c>
      <c r="M26" s="5" t="s">
        <v>1166</v>
      </c>
      <c r="N26" s="5">
        <v>24.4</v>
      </c>
      <c r="O26" s="5">
        <v>1</v>
      </c>
      <c r="P26" t="s">
        <v>442</v>
      </c>
      <c r="Q26" t="s">
        <v>442</v>
      </c>
      <c r="R26" t="s">
        <v>442</v>
      </c>
    </row>
    <row r="27" spans="1:18" ht="58" x14ac:dyDescent="0.35">
      <c r="A27" s="5" t="s">
        <v>138</v>
      </c>
      <c r="B27" s="5">
        <v>26</v>
      </c>
      <c r="C27" s="5">
        <v>42.576015689999998</v>
      </c>
      <c r="D27" s="5">
        <v>-83.520543160000003</v>
      </c>
      <c r="E27" s="5" t="s">
        <v>38</v>
      </c>
      <c r="F27" s="5" t="s">
        <v>142</v>
      </c>
      <c r="G27" s="5" t="s">
        <v>143</v>
      </c>
      <c r="H27" s="5" t="s">
        <v>144</v>
      </c>
      <c r="I27" s="5" t="s">
        <v>611</v>
      </c>
      <c r="J27" s="5"/>
      <c r="L27" s="5" t="s">
        <v>612</v>
      </c>
      <c r="M27" s="5" t="s">
        <v>1184</v>
      </c>
      <c r="N27" s="5">
        <v>13.7</v>
      </c>
      <c r="O27" s="5">
        <v>1</v>
      </c>
      <c r="P27" t="s">
        <v>442</v>
      </c>
      <c r="Q27" t="s">
        <v>442</v>
      </c>
      <c r="R27" t="s">
        <v>442</v>
      </c>
    </row>
    <row r="28" spans="1:18" ht="58" x14ac:dyDescent="0.35">
      <c r="A28" s="5" t="s">
        <v>138</v>
      </c>
      <c r="B28" s="5">
        <v>27</v>
      </c>
      <c r="C28" s="5">
        <v>42.576372249999999</v>
      </c>
      <c r="D28" s="5">
        <v>-83.520269220000003</v>
      </c>
      <c r="E28" s="5" t="s">
        <v>38</v>
      </c>
      <c r="F28" s="5" t="s">
        <v>145</v>
      </c>
      <c r="G28" s="5" t="s">
        <v>146</v>
      </c>
      <c r="H28" s="5" t="s">
        <v>147</v>
      </c>
      <c r="I28" s="5" t="s">
        <v>611</v>
      </c>
      <c r="J28" s="5"/>
      <c r="L28" s="5" t="s">
        <v>613</v>
      </c>
      <c r="M28" s="5" t="s">
        <v>1166</v>
      </c>
      <c r="N28" s="5">
        <v>22.8</v>
      </c>
      <c r="O28" s="5">
        <v>1</v>
      </c>
      <c r="P28" t="s">
        <v>442</v>
      </c>
      <c r="Q28" t="s">
        <v>442</v>
      </c>
      <c r="R28" t="s">
        <v>442</v>
      </c>
    </row>
    <row r="29" spans="1:18" ht="101.5" x14ac:dyDescent="0.35">
      <c r="A29" s="5" t="s">
        <v>148</v>
      </c>
      <c r="B29" s="5">
        <v>28</v>
      </c>
      <c r="C29" s="5">
        <v>42.644734560000003</v>
      </c>
      <c r="D29" s="5">
        <v>-83.566695350000003</v>
      </c>
      <c r="E29" s="5" t="s">
        <v>149</v>
      </c>
      <c r="F29" s="5" t="s">
        <v>150</v>
      </c>
      <c r="G29" s="5" t="s">
        <v>151</v>
      </c>
      <c r="H29" s="5" t="s">
        <v>152</v>
      </c>
      <c r="I29" s="5" t="s">
        <v>770</v>
      </c>
      <c r="J29" s="5"/>
      <c r="K29" s="1" t="s">
        <v>776</v>
      </c>
      <c r="L29" s="5" t="s">
        <v>777</v>
      </c>
      <c r="M29" s="5" t="s">
        <v>1179</v>
      </c>
      <c r="N29" s="5">
        <v>29.8</v>
      </c>
      <c r="O29" s="5">
        <v>1</v>
      </c>
      <c r="P29" t="s">
        <v>442</v>
      </c>
      <c r="Q29" s="5" t="s">
        <v>442</v>
      </c>
      <c r="R29" s="5" t="s">
        <v>442</v>
      </c>
    </row>
    <row r="30" spans="1:18" ht="87" x14ac:dyDescent="0.35">
      <c r="A30" s="5" t="s">
        <v>148</v>
      </c>
      <c r="B30" s="5">
        <v>29</v>
      </c>
      <c r="C30" s="5">
        <v>42.645909760000002</v>
      </c>
      <c r="D30" s="5">
        <v>-83.566805059999993</v>
      </c>
      <c r="E30" s="5" t="s">
        <v>149</v>
      </c>
      <c r="F30" s="5" t="s">
        <v>153</v>
      </c>
      <c r="G30" s="5" t="s">
        <v>154</v>
      </c>
      <c r="H30" s="5" t="s">
        <v>155</v>
      </c>
      <c r="I30" s="5" t="s">
        <v>770</v>
      </c>
      <c r="J30" s="5" t="s">
        <v>779</v>
      </c>
      <c r="K30" s="5" t="s">
        <v>780</v>
      </c>
      <c r="L30" s="5" t="s">
        <v>778</v>
      </c>
      <c r="M30" s="5" t="s">
        <v>1179</v>
      </c>
      <c r="N30" s="5">
        <v>48.5</v>
      </c>
      <c r="O30" s="5">
        <v>1</v>
      </c>
      <c r="P30" s="5" t="s">
        <v>442</v>
      </c>
      <c r="Q30" s="5" t="s">
        <v>442</v>
      </c>
      <c r="R30" s="5" t="s">
        <v>442</v>
      </c>
    </row>
    <row r="31" spans="1:18" ht="72.5" x14ac:dyDescent="0.35">
      <c r="A31" s="5" t="s">
        <v>148</v>
      </c>
      <c r="B31" s="5">
        <v>30</v>
      </c>
      <c r="C31" s="5">
        <v>42.646862839999997</v>
      </c>
      <c r="D31" s="5">
        <v>-83.569159819999996</v>
      </c>
      <c r="E31" s="5" t="s">
        <v>149</v>
      </c>
      <c r="F31" s="5" t="s">
        <v>156</v>
      </c>
      <c r="G31" s="5" t="s">
        <v>157</v>
      </c>
      <c r="H31" s="5" t="s">
        <v>158</v>
      </c>
      <c r="I31" s="5" t="s">
        <v>770</v>
      </c>
      <c r="J31" s="5"/>
      <c r="K31" s="1" t="s">
        <v>781</v>
      </c>
      <c r="L31" s="5" t="s">
        <v>782</v>
      </c>
      <c r="M31" s="5" t="s">
        <v>1172</v>
      </c>
      <c r="N31" s="5">
        <v>48.1</v>
      </c>
      <c r="O31" s="5">
        <v>1</v>
      </c>
      <c r="P31" t="s">
        <v>442</v>
      </c>
      <c r="Q31" s="5" t="s">
        <v>442</v>
      </c>
      <c r="R31" s="5" t="s">
        <v>442</v>
      </c>
    </row>
    <row r="32" spans="1:18" ht="87" x14ac:dyDescent="0.35">
      <c r="A32" s="5" t="s">
        <v>138</v>
      </c>
      <c r="B32" s="5">
        <v>31</v>
      </c>
      <c r="C32" s="5">
        <v>42.575788160000002</v>
      </c>
      <c r="D32" s="5">
        <v>-83.523183520000003</v>
      </c>
      <c r="E32" s="5" t="s">
        <v>159</v>
      </c>
      <c r="F32" s="5" t="s">
        <v>160</v>
      </c>
      <c r="G32" s="5" t="s">
        <v>161</v>
      </c>
      <c r="H32" s="5" t="s">
        <v>162</v>
      </c>
      <c r="I32" s="5" t="s">
        <v>611</v>
      </c>
      <c r="J32" s="5"/>
      <c r="L32" s="5" t="s">
        <v>614</v>
      </c>
      <c r="M32" s="5" t="s">
        <v>1176</v>
      </c>
      <c r="N32" s="5">
        <v>16.2</v>
      </c>
      <c r="O32" s="5">
        <v>1</v>
      </c>
      <c r="P32" t="s">
        <v>442</v>
      </c>
      <c r="Q32" t="s">
        <v>442</v>
      </c>
      <c r="R32" t="s">
        <v>442</v>
      </c>
    </row>
    <row r="33" spans="1:18" ht="43.5" x14ac:dyDescent="0.35">
      <c r="A33" s="5" t="s">
        <v>138</v>
      </c>
      <c r="B33" s="5">
        <v>32</v>
      </c>
      <c r="C33" s="5">
        <v>42.575775739999997</v>
      </c>
      <c r="D33" s="5">
        <v>-83.523990069999996</v>
      </c>
      <c r="E33" s="5" t="s">
        <v>159</v>
      </c>
      <c r="F33" s="5" t="s">
        <v>163</v>
      </c>
      <c r="G33" s="5" t="s">
        <v>164</v>
      </c>
      <c r="H33" s="5" t="s">
        <v>165</v>
      </c>
      <c r="I33" s="5" t="s">
        <v>607</v>
      </c>
      <c r="J33" s="5"/>
      <c r="L33" s="5" t="s">
        <v>615</v>
      </c>
      <c r="M33" s="5" t="s">
        <v>1178</v>
      </c>
      <c r="N33" s="5">
        <f>43+19.7</f>
        <v>62.7</v>
      </c>
      <c r="O33" s="5">
        <v>2</v>
      </c>
      <c r="P33" t="s">
        <v>442</v>
      </c>
      <c r="Q33" t="s">
        <v>442</v>
      </c>
      <c r="R33" t="s">
        <v>442</v>
      </c>
    </row>
    <row r="34" spans="1:18" ht="58" x14ac:dyDescent="0.35">
      <c r="A34" s="5" t="s">
        <v>138</v>
      </c>
      <c r="B34" s="5">
        <v>33</v>
      </c>
      <c r="C34" s="5">
        <v>42.576354590000001</v>
      </c>
      <c r="D34" s="5">
        <v>-83.521824260000002</v>
      </c>
      <c r="E34" s="5" t="s">
        <v>159</v>
      </c>
      <c r="F34" s="5" t="s">
        <v>166</v>
      </c>
      <c r="G34" s="5" t="s">
        <v>167</v>
      </c>
      <c r="H34" s="5" t="s">
        <v>168</v>
      </c>
      <c r="I34" s="5" t="s">
        <v>611</v>
      </c>
      <c r="J34" s="5"/>
      <c r="L34" s="5" t="s">
        <v>616</v>
      </c>
      <c r="M34" s="5" t="s">
        <v>1166</v>
      </c>
      <c r="N34" s="5">
        <v>19.899999999999999</v>
      </c>
      <c r="O34" s="5">
        <v>1</v>
      </c>
      <c r="P34" t="s">
        <v>442</v>
      </c>
      <c r="Q34" t="s">
        <v>442</v>
      </c>
      <c r="R34" t="s">
        <v>442</v>
      </c>
    </row>
    <row r="35" spans="1:18" ht="43.5" x14ac:dyDescent="0.35">
      <c r="A35" s="5" t="s">
        <v>138</v>
      </c>
      <c r="B35" s="5">
        <v>34</v>
      </c>
      <c r="C35" s="5">
        <v>42.575715240000001</v>
      </c>
      <c r="D35" s="5">
        <v>-83.528140289999996</v>
      </c>
      <c r="E35" s="5" t="s">
        <v>169</v>
      </c>
      <c r="F35" s="5" t="s">
        <v>170</v>
      </c>
      <c r="G35" s="5" t="s">
        <v>171</v>
      </c>
      <c r="H35" s="5" t="s">
        <v>172</v>
      </c>
      <c r="I35" s="5" t="s">
        <v>607</v>
      </c>
      <c r="J35" s="5"/>
      <c r="K35" s="1" t="s">
        <v>638</v>
      </c>
      <c r="L35" s="5" t="s">
        <v>617</v>
      </c>
      <c r="M35" s="5" t="s">
        <v>1176</v>
      </c>
      <c r="N35" s="5">
        <f>5.4+4.3</f>
        <v>9.6999999999999993</v>
      </c>
      <c r="O35" s="5">
        <v>2</v>
      </c>
      <c r="P35" t="s">
        <v>442</v>
      </c>
      <c r="Q35" s="5" t="s">
        <v>442</v>
      </c>
      <c r="R35" s="5" t="s">
        <v>442</v>
      </c>
    </row>
    <row r="36" spans="1:18" ht="58" x14ac:dyDescent="0.35">
      <c r="A36" s="5" t="s">
        <v>138</v>
      </c>
      <c r="B36" s="5">
        <v>35</v>
      </c>
      <c r="C36" s="5">
        <v>42.575817630000003</v>
      </c>
      <c r="D36" s="5">
        <v>-83.527408260000001</v>
      </c>
      <c r="E36" s="5" t="s">
        <v>169</v>
      </c>
      <c r="F36" s="5" t="s">
        <v>173</v>
      </c>
      <c r="G36" s="5" t="s">
        <v>174</v>
      </c>
      <c r="H36" s="5" t="s">
        <v>175</v>
      </c>
      <c r="I36" s="5" t="s">
        <v>607</v>
      </c>
      <c r="J36" s="5"/>
      <c r="K36" s="1" t="s">
        <v>637</v>
      </c>
      <c r="L36" s="5" t="s">
        <v>618</v>
      </c>
      <c r="M36" s="5" t="s">
        <v>1182</v>
      </c>
      <c r="N36" s="5">
        <f>25.5+18.5+11.5</f>
        <v>55.5</v>
      </c>
      <c r="O36" s="5">
        <v>3</v>
      </c>
      <c r="P36" t="s">
        <v>442</v>
      </c>
      <c r="Q36" s="5" t="s">
        <v>442</v>
      </c>
      <c r="R36" s="5" t="s">
        <v>442</v>
      </c>
    </row>
    <row r="37" spans="1:18" ht="58" x14ac:dyDescent="0.35">
      <c r="A37" s="5" t="s">
        <v>138</v>
      </c>
      <c r="B37" s="5">
        <v>36</v>
      </c>
      <c r="C37" s="5">
        <v>42.576073919999999</v>
      </c>
      <c r="D37" s="5">
        <v>-83.526681280000005</v>
      </c>
      <c r="E37" s="5" t="s">
        <v>169</v>
      </c>
      <c r="F37" s="5" t="s">
        <v>176</v>
      </c>
      <c r="G37" s="5" t="s">
        <v>177</v>
      </c>
      <c r="H37" s="5" t="s">
        <v>178</v>
      </c>
      <c r="I37" s="5" t="s">
        <v>607</v>
      </c>
      <c r="L37" s="5" t="s">
        <v>619</v>
      </c>
      <c r="M37" s="5" t="s">
        <v>1185</v>
      </c>
      <c r="N37" s="5">
        <v>23.6</v>
      </c>
      <c r="O37" s="5">
        <v>1</v>
      </c>
      <c r="P37" t="s">
        <v>442</v>
      </c>
      <c r="Q37" t="s">
        <v>442</v>
      </c>
      <c r="R37" t="s">
        <v>442</v>
      </c>
    </row>
    <row r="38" spans="1:18"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s="5" t="s">
        <v>1177</v>
      </c>
      <c r="N38" s="5" t="s">
        <v>1170</v>
      </c>
      <c r="O38" s="5" t="s">
        <v>477</v>
      </c>
      <c r="P38" t="s">
        <v>442</v>
      </c>
      <c r="Q38" s="5" t="s">
        <v>442</v>
      </c>
      <c r="R38" s="5" t="s">
        <v>442</v>
      </c>
    </row>
    <row r="39" spans="1:18"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s="5" t="s">
        <v>1182</v>
      </c>
      <c r="N39" s="5">
        <v>6.9</v>
      </c>
      <c r="O39" s="5">
        <v>1</v>
      </c>
      <c r="P39" t="s">
        <v>442</v>
      </c>
      <c r="Q39" s="5" t="s">
        <v>442</v>
      </c>
      <c r="R39" s="5" t="s">
        <v>442</v>
      </c>
    </row>
    <row r="40" spans="1:18"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s="5" t="s">
        <v>1186</v>
      </c>
      <c r="N40" s="5">
        <v>22.9</v>
      </c>
      <c r="O40" s="5">
        <v>1</v>
      </c>
      <c r="P40" t="s">
        <v>442</v>
      </c>
      <c r="Q40" s="5" t="s">
        <v>442</v>
      </c>
      <c r="R40" s="5" t="s">
        <v>442</v>
      </c>
    </row>
    <row r="41" spans="1:18" ht="43.5" x14ac:dyDescent="0.35">
      <c r="A41" s="5" t="s">
        <v>56</v>
      </c>
      <c r="B41" s="5">
        <v>40</v>
      </c>
      <c r="C41" s="5">
        <v>42.530433479999999</v>
      </c>
      <c r="D41" s="5">
        <v>-83.670415829999996</v>
      </c>
      <c r="E41" s="5" t="s">
        <v>189</v>
      </c>
      <c r="F41" s="5" t="s">
        <v>190</v>
      </c>
      <c r="G41" s="5" t="s">
        <v>191</v>
      </c>
      <c r="H41" s="5" t="s">
        <v>192</v>
      </c>
      <c r="I41" s="5" t="s">
        <v>806</v>
      </c>
      <c r="J41" s="5"/>
      <c r="L41" s="5" t="s">
        <v>807</v>
      </c>
      <c r="M41" s="5" t="s">
        <v>1187</v>
      </c>
      <c r="N41" s="5">
        <v>25.8</v>
      </c>
      <c r="O41" s="5">
        <v>1</v>
      </c>
      <c r="P41" t="s">
        <v>442</v>
      </c>
      <c r="Q41" s="5" t="s">
        <v>442</v>
      </c>
      <c r="R41" s="5" t="s">
        <v>442</v>
      </c>
    </row>
    <row r="42" spans="1:18" ht="72.5" x14ac:dyDescent="0.35">
      <c r="A42" s="5" t="s">
        <v>56</v>
      </c>
      <c r="B42" s="5">
        <v>41</v>
      </c>
      <c r="C42" s="5">
        <v>42.531105910000001</v>
      </c>
      <c r="D42" s="5">
        <v>-83.667461239999994</v>
      </c>
      <c r="E42" s="5" t="s">
        <v>189</v>
      </c>
      <c r="F42" s="5" t="s">
        <v>193</v>
      </c>
      <c r="G42" s="5" t="s">
        <v>194</v>
      </c>
      <c r="H42" s="5" t="s">
        <v>195</v>
      </c>
      <c r="I42" s="5" t="s">
        <v>806</v>
      </c>
      <c r="J42" s="5"/>
      <c r="K42" s="1" t="s">
        <v>809</v>
      </c>
      <c r="L42" s="5" t="s">
        <v>808</v>
      </c>
      <c r="M42" s="5" t="s">
        <v>1188</v>
      </c>
      <c r="N42" s="5">
        <v>7.9</v>
      </c>
      <c r="O42" s="5">
        <v>1</v>
      </c>
      <c r="P42" t="s">
        <v>442</v>
      </c>
      <c r="Q42" s="5" t="s">
        <v>442</v>
      </c>
      <c r="R42" s="5" t="s">
        <v>442</v>
      </c>
    </row>
    <row r="43" spans="1:18" ht="72.5" x14ac:dyDescent="0.35">
      <c r="A43" s="5" t="s">
        <v>56</v>
      </c>
      <c r="B43" s="5">
        <v>42</v>
      </c>
      <c r="C43" s="5">
        <v>42.531188139999998</v>
      </c>
      <c r="D43" s="5">
        <v>-83.666480809999996</v>
      </c>
      <c r="E43" s="5" t="s">
        <v>189</v>
      </c>
      <c r="F43" s="5" t="s">
        <v>196</v>
      </c>
      <c r="G43" s="5" t="s">
        <v>197</v>
      </c>
      <c r="H43" s="5" t="s">
        <v>198</v>
      </c>
      <c r="I43" s="5" t="s">
        <v>806</v>
      </c>
      <c r="J43" s="5"/>
      <c r="K43" s="1" t="s">
        <v>811</v>
      </c>
      <c r="L43" s="5" t="s">
        <v>810</v>
      </c>
      <c r="M43" s="5" t="s">
        <v>1189</v>
      </c>
      <c r="N43" s="5">
        <v>24.1</v>
      </c>
      <c r="O43" s="5">
        <v>1</v>
      </c>
      <c r="P43" t="s">
        <v>442</v>
      </c>
      <c r="Q43" s="5" t="s">
        <v>442</v>
      </c>
      <c r="R43" s="5" t="s">
        <v>442</v>
      </c>
    </row>
    <row r="44" spans="1:18" ht="116" x14ac:dyDescent="0.35">
      <c r="A44" s="5" t="s">
        <v>56</v>
      </c>
      <c r="B44" s="5">
        <v>43</v>
      </c>
      <c r="C44" s="5">
        <v>42.531246760000002</v>
      </c>
      <c r="D44" s="5">
        <v>-83.668975990000007</v>
      </c>
      <c r="E44" s="5" t="s">
        <v>199</v>
      </c>
      <c r="F44" s="5" t="s">
        <v>200</v>
      </c>
      <c r="G44" s="5" t="s">
        <v>201</v>
      </c>
      <c r="H44" s="5" t="s">
        <v>202</v>
      </c>
      <c r="I44" s="5" t="s">
        <v>806</v>
      </c>
      <c r="J44" s="5" t="s">
        <v>813</v>
      </c>
      <c r="L44" s="5" t="s">
        <v>812</v>
      </c>
      <c r="M44" s="5" t="s">
        <v>1177</v>
      </c>
      <c r="N44" s="5" t="s">
        <v>1170</v>
      </c>
      <c r="O44" s="5" t="s">
        <v>477</v>
      </c>
      <c r="P44" t="s">
        <v>442</v>
      </c>
      <c r="Q44" s="5" t="s">
        <v>442</v>
      </c>
      <c r="R44" s="5" t="s">
        <v>442</v>
      </c>
    </row>
    <row r="45" spans="1:18" ht="43.5" x14ac:dyDescent="0.35">
      <c r="A45" s="5" t="s">
        <v>56</v>
      </c>
      <c r="B45" s="5">
        <v>44</v>
      </c>
      <c r="C45" s="5">
        <v>42.531016090000001</v>
      </c>
      <c r="D45" s="5">
        <v>-83.669441109999994</v>
      </c>
      <c r="E45" s="5" t="s">
        <v>199</v>
      </c>
      <c r="F45" s="5" t="s">
        <v>203</v>
      </c>
      <c r="G45" s="5" t="s">
        <v>204</v>
      </c>
      <c r="H45" s="5" t="s">
        <v>205</v>
      </c>
      <c r="I45" s="5" t="s">
        <v>472</v>
      </c>
      <c r="K45" s="1" t="s">
        <v>814</v>
      </c>
      <c r="L45" s="5" t="s">
        <v>1098</v>
      </c>
      <c r="M45" s="5" t="s">
        <v>1175</v>
      </c>
      <c r="N45" s="5">
        <f>9.1+8.9+11.6</f>
        <v>29.6</v>
      </c>
      <c r="O45" s="5">
        <v>3</v>
      </c>
      <c r="P45" t="s">
        <v>442</v>
      </c>
      <c r="Q45" t="s">
        <v>442</v>
      </c>
      <c r="R45" t="s">
        <v>442</v>
      </c>
    </row>
    <row r="46" spans="1:18" ht="43.5" x14ac:dyDescent="0.35">
      <c r="A46" s="5" t="s">
        <v>56</v>
      </c>
      <c r="B46" s="5">
        <v>45</v>
      </c>
      <c r="C46" s="5">
        <v>42.531465339999997</v>
      </c>
      <c r="D46" s="5">
        <v>-83.668518800000001</v>
      </c>
      <c r="E46" s="5" t="s">
        <v>199</v>
      </c>
      <c r="F46" s="5" t="s">
        <v>206</v>
      </c>
      <c r="G46" s="5" t="s">
        <v>207</v>
      </c>
      <c r="H46" s="5" t="s">
        <v>208</v>
      </c>
      <c r="I46" s="5" t="s">
        <v>472</v>
      </c>
      <c r="K46" s="1" t="s">
        <v>816</v>
      </c>
      <c r="L46" s="5" t="s">
        <v>815</v>
      </c>
      <c r="M46" s="5" t="s">
        <v>1182</v>
      </c>
      <c r="N46" s="5">
        <v>10.9</v>
      </c>
      <c r="O46" s="5">
        <v>1</v>
      </c>
      <c r="P46" t="s">
        <v>442</v>
      </c>
      <c r="Q46" t="s">
        <v>442</v>
      </c>
      <c r="R46" t="s">
        <v>442</v>
      </c>
    </row>
    <row r="47" spans="1:18"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s="5" t="s">
        <v>1176</v>
      </c>
      <c r="N47" s="5">
        <v>15.9</v>
      </c>
      <c r="O47" s="5">
        <v>1</v>
      </c>
      <c r="P47" t="s">
        <v>442</v>
      </c>
      <c r="Q47" s="5" t="s">
        <v>442</v>
      </c>
      <c r="R47" s="5" t="s">
        <v>442</v>
      </c>
    </row>
    <row r="48" spans="1:18" ht="72.5" x14ac:dyDescent="0.35">
      <c r="A48" s="5" t="s">
        <v>209</v>
      </c>
      <c r="B48" s="5">
        <v>50</v>
      </c>
      <c r="C48" s="5">
        <v>42.676395339999999</v>
      </c>
      <c r="D48" s="5">
        <v>-83.483365610000007</v>
      </c>
      <c r="E48" s="5" t="s">
        <v>210</v>
      </c>
      <c r="F48" s="5" t="s">
        <v>214</v>
      </c>
      <c r="G48" s="5" t="s">
        <v>215</v>
      </c>
      <c r="H48" s="5" t="s">
        <v>216</v>
      </c>
      <c r="I48" s="5" t="s">
        <v>470</v>
      </c>
      <c r="J48" s="5"/>
      <c r="L48" s="5" t="s">
        <v>434</v>
      </c>
      <c r="M48" s="5" t="s">
        <v>1176</v>
      </c>
      <c r="N48" s="5">
        <v>40</v>
      </c>
      <c r="O48" s="5">
        <v>1</v>
      </c>
      <c r="P48" t="s">
        <v>442</v>
      </c>
      <c r="Q48" t="s">
        <v>442</v>
      </c>
      <c r="R48" t="s">
        <v>442</v>
      </c>
    </row>
    <row r="49" spans="1:18" ht="72.5" x14ac:dyDescent="0.35">
      <c r="A49" s="5" t="s">
        <v>209</v>
      </c>
      <c r="B49" s="5">
        <v>51</v>
      </c>
      <c r="C49" s="5">
        <v>42.676951809999998</v>
      </c>
      <c r="D49" s="5">
        <v>-83.483544170000002</v>
      </c>
      <c r="E49" s="5" t="s">
        <v>210</v>
      </c>
      <c r="F49" s="5" t="s">
        <v>217</v>
      </c>
      <c r="G49" s="5" t="s">
        <v>218</v>
      </c>
      <c r="H49" s="5" t="s">
        <v>219</v>
      </c>
      <c r="I49" s="5" t="s">
        <v>503</v>
      </c>
      <c r="J49" s="5"/>
      <c r="L49" s="5" t="s">
        <v>504</v>
      </c>
      <c r="M49" s="5" t="s">
        <v>1174</v>
      </c>
      <c r="N49" s="5">
        <v>31.8</v>
      </c>
      <c r="O49" s="5">
        <v>1</v>
      </c>
      <c r="P49" t="s">
        <v>442</v>
      </c>
      <c r="Q49" t="s">
        <v>442</v>
      </c>
      <c r="R49" t="s">
        <v>442</v>
      </c>
    </row>
    <row r="50" spans="1:18"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s="5" t="s">
        <v>1172</v>
      </c>
      <c r="N50" s="5">
        <v>35</v>
      </c>
      <c r="O50" s="5">
        <v>1</v>
      </c>
      <c r="P50" t="s">
        <v>442</v>
      </c>
      <c r="Q50" s="5" t="s">
        <v>442</v>
      </c>
      <c r="R50" s="5" t="s">
        <v>442</v>
      </c>
    </row>
    <row r="51" spans="1:18"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s="5" t="s">
        <v>1172</v>
      </c>
      <c r="N51" s="5">
        <v>28.1</v>
      </c>
      <c r="O51" s="5">
        <v>1</v>
      </c>
      <c r="P51" t="s">
        <v>442</v>
      </c>
      <c r="Q51" s="5" t="s">
        <v>442</v>
      </c>
      <c r="R51" s="5" t="s">
        <v>442</v>
      </c>
    </row>
    <row r="52" spans="1:18" ht="43.5" x14ac:dyDescent="0.35">
      <c r="A52" s="5" t="s">
        <v>209</v>
      </c>
      <c r="B52" s="5">
        <v>54</v>
      </c>
      <c r="C52" s="5">
        <v>42.676193439999999</v>
      </c>
      <c r="D52" s="5">
        <v>-83.484580829999999</v>
      </c>
      <c r="E52" s="5" t="s">
        <v>220</v>
      </c>
      <c r="F52" s="5" t="s">
        <v>227</v>
      </c>
      <c r="G52" s="5" t="s">
        <v>228</v>
      </c>
      <c r="H52" s="5" t="s">
        <v>229</v>
      </c>
      <c r="I52" s="5" t="s">
        <v>505</v>
      </c>
      <c r="J52" s="5"/>
      <c r="L52" s="5" t="s">
        <v>508</v>
      </c>
      <c r="M52" s="5" t="s">
        <v>1191</v>
      </c>
      <c r="N52" s="5">
        <v>34.700000000000003</v>
      </c>
      <c r="O52" s="5">
        <v>1</v>
      </c>
      <c r="P52" t="s">
        <v>442</v>
      </c>
      <c r="Q52" s="5" t="s">
        <v>442</v>
      </c>
      <c r="R52" s="5" t="s">
        <v>442</v>
      </c>
    </row>
    <row r="53" spans="1:18" ht="58" x14ac:dyDescent="0.35">
      <c r="A53" s="5" t="s">
        <v>209</v>
      </c>
      <c r="B53" s="5">
        <v>55</v>
      </c>
      <c r="C53" s="5">
        <v>42.67628637</v>
      </c>
      <c r="D53" s="5">
        <v>-83.481618019999999</v>
      </c>
      <c r="E53" s="5" t="s">
        <v>36</v>
      </c>
      <c r="F53" s="5" t="s">
        <v>230</v>
      </c>
      <c r="G53" s="5" t="s">
        <v>231</v>
      </c>
      <c r="H53" s="5" t="s">
        <v>232</v>
      </c>
      <c r="I53" s="5" t="s">
        <v>684</v>
      </c>
      <c r="J53" s="5"/>
      <c r="K53" s="1" t="s">
        <v>719</v>
      </c>
      <c r="L53" s="5" t="s">
        <v>718</v>
      </c>
      <c r="M53" s="5" t="s">
        <v>1173</v>
      </c>
      <c r="N53" s="5">
        <v>38.1</v>
      </c>
      <c r="O53" s="5">
        <v>1</v>
      </c>
      <c r="P53" t="s">
        <v>442</v>
      </c>
      <c r="Q53" s="5" t="s">
        <v>442</v>
      </c>
      <c r="R53" s="5" t="s">
        <v>442</v>
      </c>
    </row>
    <row r="54" spans="1:18" ht="43.5" x14ac:dyDescent="0.35">
      <c r="A54" s="5" t="s">
        <v>209</v>
      </c>
      <c r="B54" s="5">
        <v>56</v>
      </c>
      <c r="C54" s="5">
        <v>42.676440030000002</v>
      </c>
      <c r="D54" s="5">
        <v>-83.482231330000005</v>
      </c>
      <c r="E54" s="5" t="s">
        <v>36</v>
      </c>
      <c r="F54" s="5" t="s">
        <v>233</v>
      </c>
      <c r="G54" s="5" t="s">
        <v>234</v>
      </c>
      <c r="H54" s="5" t="s">
        <v>235</v>
      </c>
      <c r="I54" s="5" t="s">
        <v>609</v>
      </c>
      <c r="J54" s="5"/>
      <c r="L54" s="5" t="s">
        <v>610</v>
      </c>
      <c r="M54" s="5" t="s">
        <v>1190</v>
      </c>
      <c r="N54" s="5">
        <v>16.8</v>
      </c>
      <c r="O54" s="5">
        <v>1</v>
      </c>
      <c r="P54" t="s">
        <v>442</v>
      </c>
      <c r="Q54" s="5" t="s">
        <v>442</v>
      </c>
      <c r="R54" s="5" t="s">
        <v>442</v>
      </c>
    </row>
    <row r="55" spans="1:18" ht="43.5" x14ac:dyDescent="0.35">
      <c r="A55" s="5" t="s">
        <v>209</v>
      </c>
      <c r="B55" s="5">
        <v>57</v>
      </c>
      <c r="C55" s="5">
        <v>42.676555270000001</v>
      </c>
      <c r="D55" s="5">
        <v>-83.482769300000001</v>
      </c>
      <c r="E55" s="5" t="s">
        <v>36</v>
      </c>
      <c r="F55" s="5" t="s">
        <v>236</v>
      </c>
      <c r="G55" s="5" t="s">
        <v>237</v>
      </c>
      <c r="H55" s="5" t="s">
        <v>238</v>
      </c>
      <c r="I55" s="5" t="s">
        <v>559</v>
      </c>
      <c r="J55" s="5"/>
      <c r="L55" s="5" t="s">
        <v>645</v>
      </c>
      <c r="M55" s="5" t="s">
        <v>1172</v>
      </c>
      <c r="N55" s="5">
        <v>39.700000000000003</v>
      </c>
      <c r="O55" s="5">
        <v>1</v>
      </c>
      <c r="P55" t="s">
        <v>442</v>
      </c>
      <c r="Q55" s="5" t="s">
        <v>442</v>
      </c>
      <c r="R55" s="5" t="s">
        <v>442</v>
      </c>
    </row>
    <row r="56" spans="1:18" ht="87" x14ac:dyDescent="0.35">
      <c r="A56" s="5" t="s">
        <v>209</v>
      </c>
      <c r="B56" s="5">
        <v>58</v>
      </c>
      <c r="C56" s="5">
        <v>42.676976439999997</v>
      </c>
      <c r="D56" s="5">
        <v>-83.482257930000003</v>
      </c>
      <c r="E56" s="5" t="s">
        <v>239</v>
      </c>
      <c r="F56" s="5" t="s">
        <v>240</v>
      </c>
      <c r="G56" s="5" t="s">
        <v>241</v>
      </c>
      <c r="H56" s="5" t="s">
        <v>242</v>
      </c>
      <c r="I56" s="5" t="s">
        <v>684</v>
      </c>
      <c r="J56" s="5"/>
      <c r="L56" s="5" t="s">
        <v>720</v>
      </c>
      <c r="M56" s="5" t="s">
        <v>1172</v>
      </c>
      <c r="N56" s="5">
        <v>34.5</v>
      </c>
      <c r="O56" s="5">
        <v>1</v>
      </c>
      <c r="P56" t="s">
        <v>442</v>
      </c>
      <c r="Q56" s="5" t="s">
        <v>442</v>
      </c>
      <c r="R56" s="5" t="s">
        <v>442</v>
      </c>
    </row>
    <row r="57" spans="1:18" ht="87" x14ac:dyDescent="0.35">
      <c r="A57" s="5" t="s">
        <v>209</v>
      </c>
      <c r="B57" s="5">
        <v>59</v>
      </c>
      <c r="C57" s="5">
        <v>42.678471610000003</v>
      </c>
      <c r="D57" s="5">
        <v>-83.482157099999995</v>
      </c>
      <c r="E57" s="5" t="s">
        <v>239</v>
      </c>
      <c r="F57" s="5" t="s">
        <v>243</v>
      </c>
      <c r="G57" s="5" t="s">
        <v>244</v>
      </c>
      <c r="H57" s="5" t="s">
        <v>245</v>
      </c>
      <c r="I57" s="5" t="s">
        <v>904</v>
      </c>
      <c r="J57" s="5"/>
      <c r="K57" s="1" t="s">
        <v>906</v>
      </c>
      <c r="L57" s="5" t="s">
        <v>905</v>
      </c>
      <c r="M57" s="5" t="s">
        <v>1176</v>
      </c>
      <c r="N57" s="5">
        <v>24.7</v>
      </c>
      <c r="O57" s="5">
        <v>2</v>
      </c>
      <c r="P57" t="s">
        <v>442</v>
      </c>
      <c r="Q57" s="5" t="s">
        <v>442</v>
      </c>
      <c r="R57" s="5" t="s">
        <v>442</v>
      </c>
    </row>
    <row r="58" spans="1:18" ht="58" x14ac:dyDescent="0.35">
      <c r="A58" s="5" t="s">
        <v>209</v>
      </c>
      <c r="B58" s="5">
        <v>60</v>
      </c>
      <c r="C58" s="5">
        <v>42.677967789999997</v>
      </c>
      <c r="D58" s="5">
        <v>-83.483378310000006</v>
      </c>
      <c r="E58" s="5" t="s">
        <v>239</v>
      </c>
      <c r="F58" s="5" t="s">
        <v>246</v>
      </c>
      <c r="G58" s="5" t="s">
        <v>247</v>
      </c>
      <c r="H58" s="5" t="s">
        <v>248</v>
      </c>
      <c r="I58" s="5" t="s">
        <v>803</v>
      </c>
      <c r="J58" s="5"/>
      <c r="K58" s="1" t="s">
        <v>805</v>
      </c>
      <c r="L58" s="5" t="s">
        <v>804</v>
      </c>
      <c r="M58" s="5" t="s">
        <v>1173</v>
      </c>
      <c r="N58" s="5">
        <v>29.9</v>
      </c>
      <c r="O58" s="5">
        <v>1</v>
      </c>
      <c r="P58" t="s">
        <v>442</v>
      </c>
      <c r="Q58" s="5" t="s">
        <v>442</v>
      </c>
      <c r="R58" s="5" t="s">
        <v>442</v>
      </c>
    </row>
    <row r="59" spans="1:18" ht="87" x14ac:dyDescent="0.35">
      <c r="A59" s="5" t="s">
        <v>108</v>
      </c>
      <c r="B59" s="5">
        <v>61</v>
      </c>
      <c r="C59" s="5">
        <v>42.505113870000002</v>
      </c>
      <c r="D59" s="5">
        <v>-83.711562999999998</v>
      </c>
      <c r="E59" s="5" t="s">
        <v>249</v>
      </c>
      <c r="F59" s="5" t="s">
        <v>250</v>
      </c>
      <c r="G59" s="5" t="s">
        <v>251</v>
      </c>
      <c r="H59" s="5" t="s">
        <v>252</v>
      </c>
      <c r="I59" s="5"/>
      <c r="J59" s="5"/>
      <c r="L59" s="5"/>
      <c r="M59" s="5"/>
      <c r="N59" s="5"/>
      <c r="O59" s="5"/>
      <c r="P59" t="s">
        <v>441</v>
      </c>
      <c r="Q59" s="5" t="s">
        <v>441</v>
      </c>
      <c r="R59" s="5" t="s">
        <v>441</v>
      </c>
    </row>
    <row r="60" spans="1:18" ht="72.5" x14ac:dyDescent="0.35">
      <c r="A60" s="5" t="s">
        <v>108</v>
      </c>
      <c r="B60" s="5">
        <v>62</v>
      </c>
      <c r="C60" s="5">
        <v>42.505480149999997</v>
      </c>
      <c r="D60" s="5">
        <v>-83.711303970000003</v>
      </c>
      <c r="E60" s="5" t="s">
        <v>249</v>
      </c>
      <c r="F60" s="5" t="s">
        <v>253</v>
      </c>
      <c r="G60" s="5" t="s">
        <v>254</v>
      </c>
      <c r="H60" s="5" t="s">
        <v>255</v>
      </c>
      <c r="I60" s="5" t="s">
        <v>925</v>
      </c>
      <c r="J60" s="5"/>
      <c r="K60" s="1" t="s">
        <v>924</v>
      </c>
      <c r="L60" s="5" t="s">
        <v>923</v>
      </c>
      <c r="M60" s="5" t="s">
        <v>1182</v>
      </c>
      <c r="N60" s="5">
        <f>16.8+9.2</f>
        <v>26</v>
      </c>
      <c r="O60" s="5">
        <v>2</v>
      </c>
      <c r="P60" t="s">
        <v>442</v>
      </c>
      <c r="Q60" s="5" t="s">
        <v>442</v>
      </c>
      <c r="R60" s="5" t="s">
        <v>442</v>
      </c>
    </row>
    <row r="61" spans="1:18" ht="43.5" x14ac:dyDescent="0.35">
      <c r="A61" s="5" t="s">
        <v>108</v>
      </c>
      <c r="B61" s="5">
        <v>63</v>
      </c>
      <c r="C61" s="5">
        <v>42.505065430000002</v>
      </c>
      <c r="D61" s="5">
        <v>-83.711056709999994</v>
      </c>
      <c r="E61" s="5" t="s">
        <v>249</v>
      </c>
      <c r="F61" s="5" t="s">
        <v>256</v>
      </c>
      <c r="G61" s="5" t="s">
        <v>257</v>
      </c>
      <c r="H61" s="5" t="s">
        <v>258</v>
      </c>
      <c r="I61" s="5" t="s">
        <v>607</v>
      </c>
      <c r="J61" s="5"/>
      <c r="L61" s="5" t="s">
        <v>608</v>
      </c>
      <c r="M61" s="5" t="s">
        <v>1182</v>
      </c>
      <c r="N61" s="5">
        <v>30.2</v>
      </c>
      <c r="O61" s="5">
        <v>1</v>
      </c>
      <c r="P61" t="s">
        <v>442</v>
      </c>
      <c r="Q61" t="s">
        <v>442</v>
      </c>
      <c r="R61" t="s">
        <v>442</v>
      </c>
    </row>
    <row r="62" spans="1:18" ht="87" x14ac:dyDescent="0.35">
      <c r="A62" s="5" t="s">
        <v>108</v>
      </c>
      <c r="B62" s="5">
        <v>64</v>
      </c>
      <c r="C62" s="5">
        <v>42.498714579999998</v>
      </c>
      <c r="D62" s="5">
        <v>-83.718800340000001</v>
      </c>
      <c r="E62" s="5" t="s">
        <v>259</v>
      </c>
      <c r="F62" s="5" t="s">
        <v>260</v>
      </c>
      <c r="G62" s="5" t="s">
        <v>261</v>
      </c>
      <c r="H62" s="5" t="s">
        <v>262</v>
      </c>
      <c r="I62" s="5" t="s">
        <v>918</v>
      </c>
      <c r="J62" s="5"/>
      <c r="K62" s="1" t="s">
        <v>926</v>
      </c>
      <c r="L62" s="5" t="s">
        <v>927</v>
      </c>
      <c r="M62" s="5" t="s">
        <v>1180</v>
      </c>
      <c r="N62" s="5">
        <v>16.8</v>
      </c>
      <c r="O62" s="5">
        <v>1</v>
      </c>
      <c r="P62" t="s">
        <v>442</v>
      </c>
      <c r="Q62" s="5" t="s">
        <v>442</v>
      </c>
      <c r="R62" s="5" t="s">
        <v>442</v>
      </c>
    </row>
    <row r="63" spans="1:18" ht="72.5" x14ac:dyDescent="0.35">
      <c r="A63" s="5" t="s">
        <v>108</v>
      </c>
      <c r="B63" s="5">
        <v>65</v>
      </c>
      <c r="C63" s="5">
        <v>42.498261640000003</v>
      </c>
      <c r="D63" s="5">
        <v>-83.719115880000004</v>
      </c>
      <c r="E63" s="5" t="s">
        <v>259</v>
      </c>
      <c r="F63" s="5" t="s">
        <v>263</v>
      </c>
      <c r="G63" s="5" t="s">
        <v>264</v>
      </c>
      <c r="H63" s="5" t="s">
        <v>265</v>
      </c>
      <c r="I63" s="5" t="s">
        <v>918</v>
      </c>
      <c r="J63" s="5"/>
      <c r="K63" s="1" t="s">
        <v>928</v>
      </c>
      <c r="L63" s="5" t="s">
        <v>929</v>
      </c>
      <c r="M63" s="5" t="s">
        <v>1180</v>
      </c>
      <c r="N63" s="5">
        <v>34.5</v>
      </c>
      <c r="O63" s="5">
        <v>1</v>
      </c>
      <c r="P63" t="s">
        <v>442</v>
      </c>
      <c r="Q63" s="5" t="s">
        <v>442</v>
      </c>
      <c r="R63" s="5" t="s">
        <v>442</v>
      </c>
    </row>
    <row r="64" spans="1:18" ht="87" x14ac:dyDescent="0.35">
      <c r="A64" s="5" t="s">
        <v>108</v>
      </c>
      <c r="B64" s="5">
        <v>66</v>
      </c>
      <c r="C64" s="5">
        <v>42.497555439999999</v>
      </c>
      <c r="D64" s="5">
        <v>-83.719402799999997</v>
      </c>
      <c r="E64" s="5" t="s">
        <v>259</v>
      </c>
      <c r="F64" s="5" t="s">
        <v>266</v>
      </c>
      <c r="G64" s="5" t="s">
        <v>267</v>
      </c>
      <c r="H64" s="5" t="s">
        <v>268</v>
      </c>
      <c r="I64" s="5" t="s">
        <v>918</v>
      </c>
      <c r="J64" s="5" t="s">
        <v>933</v>
      </c>
      <c r="K64" s="5" t="s">
        <v>931</v>
      </c>
      <c r="L64" s="5" t="s">
        <v>930</v>
      </c>
      <c r="M64" s="5" t="s">
        <v>1177</v>
      </c>
      <c r="N64" s="5" t="s">
        <v>1170</v>
      </c>
      <c r="O64" s="5" t="s">
        <v>477</v>
      </c>
      <c r="P64" s="5" t="s">
        <v>441</v>
      </c>
      <c r="Q64" s="5" t="s">
        <v>441</v>
      </c>
      <c r="R64" s="5" t="s">
        <v>441</v>
      </c>
    </row>
    <row r="65" spans="1:18" ht="72.5" x14ac:dyDescent="0.35">
      <c r="A65" s="5" t="s">
        <v>269</v>
      </c>
      <c r="B65" s="5">
        <v>67</v>
      </c>
      <c r="C65" s="5">
        <v>42.702597859999997</v>
      </c>
      <c r="D65" s="5">
        <v>-83.496523370000006</v>
      </c>
      <c r="E65" s="5" t="s">
        <v>270</v>
      </c>
      <c r="F65" s="5" t="s">
        <v>271</v>
      </c>
      <c r="G65" s="5" t="s">
        <v>272</v>
      </c>
      <c r="H65" s="5" t="s">
        <v>273</v>
      </c>
      <c r="I65" s="5" t="s">
        <v>683</v>
      </c>
      <c r="J65" s="5"/>
      <c r="L65" s="5" t="s">
        <v>685</v>
      </c>
      <c r="M65" s="5" t="s">
        <v>1179</v>
      </c>
      <c r="N65" s="5">
        <f>24.7+23.7</f>
        <v>48.4</v>
      </c>
      <c r="O65" s="5">
        <v>2</v>
      </c>
      <c r="P65" t="s">
        <v>442</v>
      </c>
      <c r="Q65" t="s">
        <v>442</v>
      </c>
      <c r="R65" t="s">
        <v>442</v>
      </c>
    </row>
    <row r="66" spans="1:18" ht="29" x14ac:dyDescent="0.35">
      <c r="A66" s="5" t="s">
        <v>269</v>
      </c>
      <c r="B66" s="5">
        <v>68</v>
      </c>
      <c r="C66" s="5">
        <v>42.702138249999997</v>
      </c>
      <c r="D66" s="5">
        <v>-83.496488479999996</v>
      </c>
      <c r="E66" s="5" t="s">
        <v>270</v>
      </c>
      <c r="F66" s="5" t="s">
        <v>274</v>
      </c>
      <c r="G66" s="5" t="s">
        <v>275</v>
      </c>
      <c r="H66" s="5" t="s">
        <v>276</v>
      </c>
      <c r="I66" s="5" t="s">
        <v>683</v>
      </c>
      <c r="J66" s="5"/>
      <c r="L66" s="5" t="s">
        <v>686</v>
      </c>
      <c r="M66" s="5" t="s">
        <v>1179</v>
      </c>
      <c r="N66" s="5">
        <v>9.8000000000000007</v>
      </c>
      <c r="O66" s="5">
        <v>1</v>
      </c>
      <c r="P66" t="s">
        <v>442</v>
      </c>
      <c r="Q66" t="s">
        <v>442</v>
      </c>
      <c r="R66" t="s">
        <v>442</v>
      </c>
    </row>
    <row r="67" spans="1:18" ht="72.5" x14ac:dyDescent="0.35">
      <c r="A67" s="5" t="s">
        <v>269</v>
      </c>
      <c r="B67" s="5">
        <v>69</v>
      </c>
      <c r="C67" s="5">
        <v>42.702235129999998</v>
      </c>
      <c r="D67" s="5">
        <v>-83.495847280000007</v>
      </c>
      <c r="E67" s="5" t="s">
        <v>270</v>
      </c>
      <c r="F67" s="5" t="s">
        <v>277</v>
      </c>
      <c r="G67" s="5" t="s">
        <v>278</v>
      </c>
      <c r="H67" s="5" t="s">
        <v>279</v>
      </c>
      <c r="I67" s="5" t="s">
        <v>683</v>
      </c>
      <c r="J67" s="5"/>
      <c r="K67" s="1" t="s">
        <v>688</v>
      </c>
      <c r="L67" s="5" t="s">
        <v>687</v>
      </c>
      <c r="M67" s="5" t="s">
        <v>1175</v>
      </c>
      <c r="N67" s="5">
        <f>10.1+22.8</f>
        <v>32.9</v>
      </c>
      <c r="O67" s="5">
        <v>2</v>
      </c>
      <c r="P67" t="s">
        <v>442</v>
      </c>
      <c r="Q67" t="s">
        <v>442</v>
      </c>
      <c r="R67" t="s">
        <v>442</v>
      </c>
    </row>
    <row r="68" spans="1:18" ht="87" x14ac:dyDescent="0.35">
      <c r="A68" s="5" t="s">
        <v>269</v>
      </c>
      <c r="B68" s="5">
        <v>70</v>
      </c>
      <c r="C68" s="5">
        <v>42.701692199999997</v>
      </c>
      <c r="D68" s="5">
        <v>-83.497415970000006</v>
      </c>
      <c r="E68" s="5" t="s">
        <v>39</v>
      </c>
      <c r="F68" s="5" t="s">
        <v>280</v>
      </c>
      <c r="G68" s="5" t="s">
        <v>281</v>
      </c>
      <c r="H68" s="5" t="s">
        <v>282</v>
      </c>
      <c r="I68" s="5" t="s">
        <v>683</v>
      </c>
      <c r="J68" s="5" t="s">
        <v>689</v>
      </c>
      <c r="K68" s="5" t="s">
        <v>691</v>
      </c>
      <c r="L68" s="5" t="s">
        <v>690</v>
      </c>
      <c r="M68" s="5" t="s">
        <v>1188</v>
      </c>
      <c r="N68" s="5">
        <f>4.7+3+5.4+10.8</f>
        <v>23.900000000000002</v>
      </c>
      <c r="O68" s="5">
        <v>4</v>
      </c>
      <c r="P68" s="5" t="s">
        <v>442</v>
      </c>
      <c r="Q68" s="5" t="s">
        <v>442</v>
      </c>
      <c r="R68" s="5" t="s">
        <v>442</v>
      </c>
    </row>
    <row r="69" spans="1:18" ht="72.5" x14ac:dyDescent="0.35">
      <c r="A69" s="5" t="s">
        <v>269</v>
      </c>
      <c r="B69" s="5">
        <v>71</v>
      </c>
      <c r="C69" s="5">
        <v>42.701292430000002</v>
      </c>
      <c r="D69" s="5">
        <v>-83.497406979999994</v>
      </c>
      <c r="E69" s="5" t="s">
        <v>39</v>
      </c>
      <c r="F69" s="5" t="s">
        <v>283</v>
      </c>
      <c r="G69" s="5" t="s">
        <v>284</v>
      </c>
      <c r="H69" s="5" t="s">
        <v>285</v>
      </c>
      <c r="I69" s="5" t="s">
        <v>683</v>
      </c>
      <c r="J69" s="5"/>
      <c r="K69" s="1" t="s">
        <v>693</v>
      </c>
      <c r="L69" s="5" t="s">
        <v>692</v>
      </c>
      <c r="M69" s="5" t="s">
        <v>1183</v>
      </c>
      <c r="N69" s="5">
        <v>18.899999999999999</v>
      </c>
      <c r="O69" s="5">
        <v>1</v>
      </c>
      <c r="P69" t="s">
        <v>442</v>
      </c>
      <c r="Q69" s="5" t="s">
        <v>442</v>
      </c>
      <c r="R69" s="5" t="s">
        <v>442</v>
      </c>
    </row>
    <row r="70" spans="1:18" ht="43.5" x14ac:dyDescent="0.35">
      <c r="A70" s="5" t="s">
        <v>269</v>
      </c>
      <c r="B70" s="5">
        <v>72</v>
      </c>
      <c r="C70" s="5">
        <v>42.701428489999998</v>
      </c>
      <c r="D70" s="5">
        <v>-83.497799670000006</v>
      </c>
      <c r="E70" s="5" t="s">
        <v>39</v>
      </c>
      <c r="F70" s="5" t="s">
        <v>286</v>
      </c>
      <c r="G70" s="5" t="s">
        <v>287</v>
      </c>
      <c r="H70" s="5" t="s">
        <v>288</v>
      </c>
      <c r="I70" s="5" t="s">
        <v>770</v>
      </c>
      <c r="J70" s="5"/>
      <c r="L70" s="5" t="s">
        <v>802</v>
      </c>
      <c r="M70" s="5" t="s">
        <v>1189</v>
      </c>
      <c r="N70" s="5">
        <v>38.1</v>
      </c>
      <c r="O70" s="5">
        <v>1</v>
      </c>
      <c r="P70" t="s">
        <v>442</v>
      </c>
      <c r="Q70" t="s">
        <v>442</v>
      </c>
      <c r="R70" t="s">
        <v>442</v>
      </c>
    </row>
    <row r="71" spans="1:18" ht="72.5" x14ac:dyDescent="0.35">
      <c r="A71" s="5" t="s">
        <v>269</v>
      </c>
      <c r="B71" s="5">
        <v>73</v>
      </c>
      <c r="C71" s="5">
        <v>42.703543699999997</v>
      </c>
      <c r="D71" s="5">
        <v>-83.494639359999994</v>
      </c>
      <c r="E71" s="5" t="s">
        <v>289</v>
      </c>
      <c r="F71" s="5" t="s">
        <v>290</v>
      </c>
      <c r="G71" s="5" t="s">
        <v>291</v>
      </c>
      <c r="H71" s="5" t="s">
        <v>292</v>
      </c>
      <c r="I71" s="5" t="s">
        <v>694</v>
      </c>
      <c r="J71" s="5"/>
      <c r="K71" s="1" t="s">
        <v>696</v>
      </c>
      <c r="L71" s="5" t="s">
        <v>695</v>
      </c>
      <c r="M71" s="5" t="s">
        <v>1172</v>
      </c>
      <c r="N71" s="5">
        <v>29.8</v>
      </c>
      <c r="O71" s="5">
        <v>1</v>
      </c>
      <c r="P71" t="s">
        <v>442</v>
      </c>
      <c r="Q71" s="5" t="s">
        <v>442</v>
      </c>
      <c r="R71" s="5" t="s">
        <v>442</v>
      </c>
    </row>
    <row r="72" spans="1:18" ht="58" x14ac:dyDescent="0.35">
      <c r="A72" s="5" t="s">
        <v>269</v>
      </c>
      <c r="B72" s="5">
        <v>74</v>
      </c>
      <c r="C72" s="5">
        <v>42.703753079999998</v>
      </c>
      <c r="D72" s="5">
        <v>-83.494151380000005</v>
      </c>
      <c r="E72" s="5" t="s">
        <v>289</v>
      </c>
      <c r="F72" s="5" t="s">
        <v>293</v>
      </c>
      <c r="G72" s="5" t="s">
        <v>294</v>
      </c>
      <c r="H72" s="5" t="s">
        <v>295</v>
      </c>
      <c r="I72" s="5" t="s">
        <v>694</v>
      </c>
      <c r="J72" s="5"/>
      <c r="K72" s="1" t="s">
        <v>698</v>
      </c>
      <c r="L72" s="5" t="s">
        <v>697</v>
      </c>
      <c r="M72" s="5" t="s">
        <v>1180</v>
      </c>
      <c r="N72" s="5">
        <v>55.2</v>
      </c>
      <c r="O72" s="5">
        <v>1</v>
      </c>
      <c r="P72" t="s">
        <v>442</v>
      </c>
      <c r="Q72" s="5" t="s">
        <v>442</v>
      </c>
      <c r="R72" s="5" t="s">
        <v>442</v>
      </c>
    </row>
    <row r="73" spans="1:18" ht="58" x14ac:dyDescent="0.35">
      <c r="A73" s="5" t="s">
        <v>269</v>
      </c>
      <c r="B73" s="5">
        <v>75</v>
      </c>
      <c r="C73" s="5">
        <v>42.702789209999999</v>
      </c>
      <c r="D73" s="5">
        <v>-83.493605619999997</v>
      </c>
      <c r="E73" s="5" t="s">
        <v>289</v>
      </c>
      <c r="F73" s="5" t="s">
        <v>296</v>
      </c>
      <c r="G73" s="5" t="s">
        <v>297</v>
      </c>
      <c r="H73" s="5" t="s">
        <v>298</v>
      </c>
      <c r="I73" s="5" t="s">
        <v>694</v>
      </c>
      <c r="J73" s="5"/>
      <c r="K73" s="1" t="s">
        <v>699</v>
      </c>
      <c r="L73" s="5" t="s">
        <v>1107</v>
      </c>
      <c r="M73" s="5"/>
      <c r="N73" s="5"/>
      <c r="O73" s="5"/>
      <c r="P73" t="s">
        <v>442</v>
      </c>
      <c r="Q73" s="5" t="s">
        <v>442</v>
      </c>
      <c r="R73" s="5" t="s">
        <v>442</v>
      </c>
    </row>
    <row r="74" spans="1:18" ht="58" x14ac:dyDescent="0.35">
      <c r="A74" s="5" t="s">
        <v>269</v>
      </c>
      <c r="B74" s="5" t="s">
        <v>661</v>
      </c>
      <c r="C74" s="5"/>
      <c r="D74" s="5"/>
      <c r="E74" s="5" t="s">
        <v>289</v>
      </c>
      <c r="F74" s="5"/>
      <c r="G74" s="5"/>
      <c r="H74" s="5"/>
      <c r="I74" s="5" t="s">
        <v>694</v>
      </c>
      <c r="J74" s="5"/>
      <c r="K74" s="1" t="s">
        <v>701</v>
      </c>
      <c r="L74" s="5" t="s">
        <v>700</v>
      </c>
      <c r="M74" s="5" t="s">
        <v>1166</v>
      </c>
      <c r="N74" s="5">
        <f>25.5+26.7</f>
        <v>52.2</v>
      </c>
      <c r="O74" s="5">
        <v>2</v>
      </c>
      <c r="P74" t="s">
        <v>442</v>
      </c>
      <c r="Q74" s="5" t="s">
        <v>442</v>
      </c>
      <c r="R74" s="5" t="s">
        <v>442</v>
      </c>
    </row>
    <row r="75" spans="1:18" ht="43.5" x14ac:dyDescent="0.35">
      <c r="A75" s="5" t="s">
        <v>269</v>
      </c>
      <c r="B75" s="5" t="s">
        <v>662</v>
      </c>
      <c r="C75" s="5"/>
      <c r="D75" s="5"/>
      <c r="E75" s="5" t="s">
        <v>289</v>
      </c>
      <c r="F75" s="5"/>
      <c r="G75" s="5"/>
      <c r="H75" s="5"/>
      <c r="I75" s="5" t="s">
        <v>694</v>
      </c>
      <c r="J75" s="5" t="s">
        <v>702</v>
      </c>
      <c r="L75" s="5" t="s">
        <v>703</v>
      </c>
      <c r="M75" s="5" t="s">
        <v>1177</v>
      </c>
      <c r="N75" s="5" t="s">
        <v>1170</v>
      </c>
      <c r="O75" s="5" t="s">
        <v>477</v>
      </c>
      <c r="P75" t="s">
        <v>442</v>
      </c>
      <c r="Q75" s="5" t="s">
        <v>442</v>
      </c>
      <c r="R75" s="5" t="s">
        <v>442</v>
      </c>
    </row>
    <row r="76" spans="1:18" ht="87" x14ac:dyDescent="0.35">
      <c r="A76" s="5" t="s">
        <v>269</v>
      </c>
      <c r="B76" s="5">
        <v>76</v>
      </c>
      <c r="C76" s="5">
        <v>42.704633029999997</v>
      </c>
      <c r="D76" s="5">
        <v>-83.495708969999995</v>
      </c>
      <c r="E76" s="5" t="s">
        <v>299</v>
      </c>
      <c r="F76" s="5" t="s">
        <v>300</v>
      </c>
      <c r="G76" s="5" t="s">
        <v>301</v>
      </c>
      <c r="H76" s="5" t="s">
        <v>302</v>
      </c>
      <c r="I76" s="5" t="s">
        <v>694</v>
      </c>
      <c r="J76" s="5"/>
      <c r="K76" s="1" t="s">
        <v>707</v>
      </c>
      <c r="L76" s="5" t="s">
        <v>704</v>
      </c>
      <c r="M76" s="5" t="s">
        <v>1182</v>
      </c>
      <c r="N76" s="5">
        <f>17.5+8.2</f>
        <v>25.7</v>
      </c>
      <c r="O76" s="5">
        <v>2</v>
      </c>
      <c r="P76" t="s">
        <v>442</v>
      </c>
      <c r="Q76" s="5" t="s">
        <v>442</v>
      </c>
      <c r="R76" s="5" t="s">
        <v>442</v>
      </c>
    </row>
    <row r="77" spans="1:18" ht="43.5" x14ac:dyDescent="0.35">
      <c r="A77" s="5" t="s">
        <v>269</v>
      </c>
      <c r="B77" s="5">
        <v>77</v>
      </c>
      <c r="C77" s="5">
        <v>42.704812189999998</v>
      </c>
      <c r="D77" s="5">
        <v>-83.494821000000002</v>
      </c>
      <c r="E77" s="5" t="s">
        <v>299</v>
      </c>
      <c r="F77" s="5" t="s">
        <v>303</v>
      </c>
      <c r="G77" s="5" t="s">
        <v>304</v>
      </c>
      <c r="H77" s="5" t="s">
        <v>305</v>
      </c>
      <c r="I77" s="5" t="s">
        <v>694</v>
      </c>
      <c r="J77" s="5" t="s">
        <v>706</v>
      </c>
      <c r="K77" s="5" t="s">
        <v>708</v>
      </c>
      <c r="L77" s="5" t="s">
        <v>705</v>
      </c>
      <c r="M77" s="5" t="s">
        <v>1183</v>
      </c>
      <c r="N77" s="5">
        <v>38.200000000000003</v>
      </c>
      <c r="O77" s="5">
        <v>1</v>
      </c>
      <c r="P77" s="5" t="s">
        <v>442</v>
      </c>
      <c r="Q77" s="5" t="s">
        <v>442</v>
      </c>
      <c r="R77" s="5" t="s">
        <v>442</v>
      </c>
    </row>
    <row r="78" spans="1:18" ht="72.5" x14ac:dyDescent="0.35">
      <c r="A78" s="5" t="s">
        <v>269</v>
      </c>
      <c r="B78" s="5">
        <v>78</v>
      </c>
      <c r="C78" s="5">
        <v>42.704878219999998</v>
      </c>
      <c r="D78" s="5">
        <v>-83.494080699999998</v>
      </c>
      <c r="E78" s="5" t="s">
        <v>299</v>
      </c>
      <c r="F78" s="5" t="s">
        <v>306</v>
      </c>
      <c r="G78" s="5" t="s">
        <v>307</v>
      </c>
      <c r="H78" s="5" t="s">
        <v>308</v>
      </c>
      <c r="I78" s="5" t="s">
        <v>484</v>
      </c>
      <c r="J78" s="5"/>
      <c r="K78" s="1" t="s">
        <v>710</v>
      </c>
      <c r="L78" s="5" t="s">
        <v>709</v>
      </c>
      <c r="M78" s="5" t="s">
        <v>1182</v>
      </c>
      <c r="N78" s="5">
        <v>24.6</v>
      </c>
      <c r="O78" s="5">
        <v>1</v>
      </c>
      <c r="P78" t="s">
        <v>442</v>
      </c>
      <c r="Q78" s="5" t="s">
        <v>442</v>
      </c>
      <c r="R78" s="5" t="s">
        <v>442</v>
      </c>
    </row>
    <row r="79" spans="1:18" ht="116" x14ac:dyDescent="0.35">
      <c r="A79" s="5" t="s">
        <v>269</v>
      </c>
      <c r="B79" s="5">
        <v>79</v>
      </c>
      <c r="C79" s="5">
        <v>42.704802620000002</v>
      </c>
      <c r="D79" s="5">
        <v>-83.497063729999994</v>
      </c>
      <c r="E79" s="5" t="s">
        <v>309</v>
      </c>
      <c r="F79" s="5" t="s">
        <v>310</v>
      </c>
      <c r="G79" s="5" t="s">
        <v>311</v>
      </c>
      <c r="H79" s="5" t="s">
        <v>312</v>
      </c>
      <c r="I79" s="5" t="s">
        <v>962</v>
      </c>
      <c r="J79" s="5"/>
      <c r="K79" s="5" t="s">
        <v>963</v>
      </c>
      <c r="L79" s="5" t="s">
        <v>964</v>
      </c>
      <c r="M79" s="5" t="s">
        <v>1172</v>
      </c>
      <c r="N79" s="5">
        <v>42.8</v>
      </c>
      <c r="O79" s="5">
        <v>1</v>
      </c>
      <c r="P79" s="5" t="s">
        <v>442</v>
      </c>
      <c r="Q79" s="5" t="s">
        <v>442</v>
      </c>
      <c r="R79" s="5" t="s">
        <v>442</v>
      </c>
    </row>
    <row r="80" spans="1:18" ht="87" x14ac:dyDescent="0.35">
      <c r="A80" s="5" t="s">
        <v>269</v>
      </c>
      <c r="B80" s="5">
        <v>80</v>
      </c>
      <c r="C80" s="5">
        <v>42.703887020000003</v>
      </c>
      <c r="D80" s="5">
        <v>-83.49893342</v>
      </c>
      <c r="E80" s="5" t="s">
        <v>309</v>
      </c>
      <c r="F80" s="5" t="s">
        <v>313</v>
      </c>
      <c r="G80" s="5" t="s">
        <v>314</v>
      </c>
      <c r="H80" s="5" t="s">
        <v>315</v>
      </c>
      <c r="I80" s="5" t="s">
        <v>962</v>
      </c>
      <c r="J80" s="5"/>
      <c r="K80" s="5" t="s">
        <v>965</v>
      </c>
      <c r="L80" s="5" t="s">
        <v>966</v>
      </c>
      <c r="M80" s="5" t="s">
        <v>1172</v>
      </c>
      <c r="N80" s="5">
        <v>17.399999999999999</v>
      </c>
      <c r="O80" s="5">
        <v>1</v>
      </c>
      <c r="P80" s="5" t="s">
        <v>442</v>
      </c>
      <c r="Q80" s="5" t="s">
        <v>442</v>
      </c>
      <c r="R80" s="5" t="s">
        <v>442</v>
      </c>
    </row>
    <row r="81" spans="1:18" ht="101.5" x14ac:dyDescent="0.35">
      <c r="A81" s="5" t="s">
        <v>269</v>
      </c>
      <c r="B81" s="5">
        <v>81</v>
      </c>
      <c r="C81" s="5">
        <v>42.704519599999998</v>
      </c>
      <c r="D81" s="5">
        <v>-83.498038410000007</v>
      </c>
      <c r="E81" s="5" t="s">
        <v>309</v>
      </c>
      <c r="F81" s="5" t="s">
        <v>316</v>
      </c>
      <c r="G81" s="5" t="s">
        <v>317</v>
      </c>
      <c r="H81" s="5" t="s">
        <v>318</v>
      </c>
      <c r="I81" s="5" t="s">
        <v>962</v>
      </c>
      <c r="J81" s="5" t="s">
        <v>967</v>
      </c>
      <c r="L81" s="5" t="s">
        <v>939</v>
      </c>
      <c r="M81" s="5" t="s">
        <v>1177</v>
      </c>
      <c r="N81" s="5" t="s">
        <v>1170</v>
      </c>
      <c r="O81" s="5" t="s">
        <v>477</v>
      </c>
      <c r="P81" s="5" t="s">
        <v>442</v>
      </c>
      <c r="Q81" s="5" t="s">
        <v>442</v>
      </c>
      <c r="R81" s="5" t="s">
        <v>442</v>
      </c>
    </row>
    <row r="82" spans="1:18" ht="145" x14ac:dyDescent="0.35">
      <c r="A82" s="5" t="s">
        <v>148</v>
      </c>
      <c r="B82" s="5">
        <v>82</v>
      </c>
      <c r="C82" s="5">
        <v>42.648929099999997</v>
      </c>
      <c r="D82" s="5">
        <v>-83.556360560000002</v>
      </c>
      <c r="E82" s="5" t="s">
        <v>40</v>
      </c>
      <c r="F82" s="5" t="s">
        <v>319</v>
      </c>
      <c r="G82" s="5" t="s">
        <v>320</v>
      </c>
      <c r="H82" s="5" t="s">
        <v>321</v>
      </c>
      <c r="I82" s="5" t="s">
        <v>783</v>
      </c>
      <c r="J82" s="5" t="s">
        <v>784</v>
      </c>
      <c r="L82" s="5" t="s">
        <v>785</v>
      </c>
      <c r="M82" s="5" t="s">
        <v>1177</v>
      </c>
      <c r="N82" s="5" t="s">
        <v>1170</v>
      </c>
      <c r="O82" s="5" t="s">
        <v>477</v>
      </c>
      <c r="P82" t="s">
        <v>442</v>
      </c>
      <c r="Q82" s="5" t="s">
        <v>442</v>
      </c>
      <c r="R82" s="5" t="s">
        <v>442</v>
      </c>
    </row>
    <row r="83" spans="1:18" ht="29" x14ac:dyDescent="0.35">
      <c r="A83" s="5" t="s">
        <v>148</v>
      </c>
      <c r="B83" s="5">
        <v>83</v>
      </c>
      <c r="C83" s="5">
        <v>42.648585609999998</v>
      </c>
      <c r="D83" s="5">
        <v>-83.556896170000002</v>
      </c>
      <c r="E83" s="5" t="s">
        <v>40</v>
      </c>
      <c r="F83" s="5" t="s">
        <v>322</v>
      </c>
      <c r="G83" s="5" t="s">
        <v>323</v>
      </c>
      <c r="H83" s="5" t="s">
        <v>324</v>
      </c>
      <c r="I83" s="5" t="s">
        <v>783</v>
      </c>
      <c r="J83" s="5"/>
      <c r="K83" s="5" t="s">
        <v>786</v>
      </c>
      <c r="L83" t="s">
        <v>787</v>
      </c>
      <c r="M83" s="5" t="s">
        <v>1182</v>
      </c>
      <c r="N83" s="5">
        <v>15.6</v>
      </c>
      <c r="O83" s="5">
        <v>1</v>
      </c>
      <c r="P83" t="s">
        <v>442</v>
      </c>
      <c r="Q83" s="5" t="s">
        <v>442</v>
      </c>
      <c r="R83" s="5" t="s">
        <v>442</v>
      </c>
    </row>
    <row r="84" spans="1:18" ht="72.5" x14ac:dyDescent="0.35">
      <c r="A84" s="5" t="s">
        <v>148</v>
      </c>
      <c r="B84" s="5">
        <v>84</v>
      </c>
      <c r="C84" s="5">
        <v>42.649398980000001</v>
      </c>
      <c r="D84" s="5">
        <v>-83.557614830000006</v>
      </c>
      <c r="E84" s="5" t="s">
        <v>40</v>
      </c>
      <c r="F84" s="5" t="s">
        <v>325</v>
      </c>
      <c r="G84" s="5" t="s">
        <v>326</v>
      </c>
      <c r="H84" s="5" t="s">
        <v>327</v>
      </c>
      <c r="I84" s="5" t="s">
        <v>783</v>
      </c>
      <c r="J84" s="5" t="s">
        <v>788</v>
      </c>
      <c r="K84" s="5" t="s">
        <v>790</v>
      </c>
      <c r="L84" s="5" t="s">
        <v>789</v>
      </c>
      <c r="M84" s="5" t="s">
        <v>1171</v>
      </c>
      <c r="N84" s="5" t="s">
        <v>1170</v>
      </c>
      <c r="O84" s="5">
        <v>2</v>
      </c>
      <c r="P84" t="s">
        <v>442</v>
      </c>
      <c r="Q84" s="5" t="s">
        <v>442</v>
      </c>
      <c r="R84" s="5" t="s">
        <v>442</v>
      </c>
    </row>
    <row r="85" spans="1:18" ht="101.5" x14ac:dyDescent="0.35">
      <c r="A85" s="5" t="s">
        <v>148</v>
      </c>
      <c r="B85" s="5">
        <v>85</v>
      </c>
      <c r="C85" s="5">
        <v>42.645876059999999</v>
      </c>
      <c r="D85" s="5">
        <v>-83.550938880000004</v>
      </c>
      <c r="E85" s="5" t="s">
        <v>328</v>
      </c>
      <c r="F85" s="5" t="s">
        <v>329</v>
      </c>
      <c r="G85" s="5" t="s">
        <v>330</v>
      </c>
      <c r="H85" s="5" t="s">
        <v>331</v>
      </c>
      <c r="I85" s="5" t="s">
        <v>783</v>
      </c>
      <c r="J85" s="5" t="s">
        <v>791</v>
      </c>
      <c r="K85" s="5" t="s">
        <v>793</v>
      </c>
      <c r="L85" s="5" t="s">
        <v>792</v>
      </c>
      <c r="M85" s="5" t="s">
        <v>1177</v>
      </c>
      <c r="N85" s="5" t="s">
        <v>1170</v>
      </c>
      <c r="O85" s="5" t="s">
        <v>477</v>
      </c>
      <c r="P85" s="5" t="s">
        <v>442</v>
      </c>
      <c r="Q85" s="5" t="s">
        <v>442</v>
      </c>
      <c r="R85" s="5" t="s">
        <v>442</v>
      </c>
    </row>
    <row r="86" spans="1:18" ht="145" x14ac:dyDescent="0.35">
      <c r="A86" s="5" t="s">
        <v>148</v>
      </c>
      <c r="B86" s="5">
        <v>86</v>
      </c>
      <c r="C86" s="5">
        <v>42.645143709999999</v>
      </c>
      <c r="D86" s="5">
        <v>-83.550895679999996</v>
      </c>
      <c r="E86" s="5" t="s">
        <v>328</v>
      </c>
      <c r="F86" s="5" t="s">
        <v>332</v>
      </c>
      <c r="G86" s="5" t="s">
        <v>333</v>
      </c>
      <c r="H86" s="5" t="s">
        <v>334</v>
      </c>
      <c r="I86" s="5" t="s">
        <v>484</v>
      </c>
      <c r="J86" s="5"/>
      <c r="K86" s="1" t="s">
        <v>682</v>
      </c>
      <c r="L86" s="5" t="s">
        <v>497</v>
      </c>
      <c r="M86" s="5" t="s">
        <v>1191</v>
      </c>
      <c r="N86" s="5">
        <v>37.299999999999997</v>
      </c>
      <c r="O86" s="5">
        <v>1</v>
      </c>
      <c r="P86" t="s">
        <v>442</v>
      </c>
      <c r="Q86" s="5" t="s">
        <v>442</v>
      </c>
      <c r="R86" s="5" t="s">
        <v>442</v>
      </c>
    </row>
    <row r="87" spans="1:18" ht="58" x14ac:dyDescent="0.35">
      <c r="A87" s="5" t="s">
        <v>148</v>
      </c>
      <c r="B87" s="5">
        <v>87</v>
      </c>
      <c r="C87" s="5">
        <v>42.646372110000001</v>
      </c>
      <c r="D87" s="5">
        <v>-83.55062169</v>
      </c>
      <c r="E87" s="5" t="s">
        <v>328</v>
      </c>
      <c r="F87" s="5" t="s">
        <v>335</v>
      </c>
      <c r="G87" s="5" t="s">
        <v>336</v>
      </c>
      <c r="H87" s="5" t="s">
        <v>337</v>
      </c>
      <c r="I87" s="5" t="s">
        <v>783</v>
      </c>
      <c r="J87" s="5"/>
      <c r="K87" s="5" t="s">
        <v>795</v>
      </c>
      <c r="L87" s="5" t="s">
        <v>794</v>
      </c>
      <c r="M87" s="5" t="s">
        <v>1166</v>
      </c>
      <c r="N87" s="5">
        <f>13.6+33.8</f>
        <v>47.4</v>
      </c>
      <c r="O87" s="5">
        <v>2</v>
      </c>
      <c r="P87" t="s">
        <v>442</v>
      </c>
      <c r="Q87" s="5" t="s">
        <v>442</v>
      </c>
      <c r="R87" s="5" t="s">
        <v>442</v>
      </c>
    </row>
    <row r="88" spans="1:18" ht="130.5" x14ac:dyDescent="0.35">
      <c r="A88" s="5" t="s">
        <v>148</v>
      </c>
      <c r="B88" s="5">
        <v>88</v>
      </c>
      <c r="C88" s="5">
        <v>42.647047600000001</v>
      </c>
      <c r="D88" s="5">
        <v>-83.55230573</v>
      </c>
      <c r="E88" s="5" t="s">
        <v>338</v>
      </c>
      <c r="F88" s="5" t="s">
        <v>339</v>
      </c>
      <c r="G88" s="5" t="s">
        <v>340</v>
      </c>
      <c r="H88" s="5" t="s">
        <v>341</v>
      </c>
      <c r="I88" s="5" t="s">
        <v>783</v>
      </c>
      <c r="J88" s="5"/>
      <c r="K88" s="5" t="s">
        <v>797</v>
      </c>
      <c r="L88" s="5" t="s">
        <v>796</v>
      </c>
      <c r="M88" s="5" t="s">
        <v>1182</v>
      </c>
      <c r="N88" s="5">
        <v>21.9</v>
      </c>
      <c r="O88" s="5">
        <v>1</v>
      </c>
      <c r="P88" t="s">
        <v>442</v>
      </c>
      <c r="Q88" s="5" t="s">
        <v>442</v>
      </c>
      <c r="R88" s="5" t="s">
        <v>442</v>
      </c>
    </row>
    <row r="89" spans="1:18" ht="43.5" x14ac:dyDescent="0.35">
      <c r="A89" s="5" t="s">
        <v>148</v>
      </c>
      <c r="B89" s="5">
        <v>89</v>
      </c>
      <c r="C89" s="5">
        <v>42.647055379999998</v>
      </c>
      <c r="D89" s="5">
        <v>-83.553977410000002</v>
      </c>
      <c r="E89" s="5" t="s">
        <v>338</v>
      </c>
      <c r="F89" s="5" t="s">
        <v>799</v>
      </c>
      <c r="G89" s="5" t="s">
        <v>342</v>
      </c>
      <c r="H89" s="5" t="s">
        <v>343</v>
      </c>
      <c r="I89" s="5" t="s">
        <v>783</v>
      </c>
      <c r="J89" s="5"/>
      <c r="K89" s="5" t="s">
        <v>1101</v>
      </c>
      <c r="L89" s="5" t="s">
        <v>798</v>
      </c>
      <c r="M89" s="5" t="s">
        <v>1174</v>
      </c>
      <c r="N89" s="5">
        <v>54.4</v>
      </c>
      <c r="O89" s="5">
        <v>1</v>
      </c>
      <c r="P89" t="s">
        <v>442</v>
      </c>
      <c r="Q89" s="5" t="s">
        <v>442</v>
      </c>
      <c r="R89" s="5" t="s">
        <v>442</v>
      </c>
    </row>
    <row r="90" spans="1:18" ht="43.5" x14ac:dyDescent="0.35">
      <c r="A90" s="5" t="s">
        <v>148</v>
      </c>
      <c r="B90" s="5">
        <v>90</v>
      </c>
      <c r="C90" s="5">
        <v>42.647456599999998</v>
      </c>
      <c r="D90" s="5">
        <v>-83.553657619999996</v>
      </c>
      <c r="E90" s="5" t="s">
        <v>338</v>
      </c>
      <c r="F90" s="5" t="s">
        <v>344</v>
      </c>
      <c r="G90" s="5" t="s">
        <v>345</v>
      </c>
      <c r="H90" s="5" t="s">
        <v>346</v>
      </c>
      <c r="I90" s="5" t="s">
        <v>783</v>
      </c>
      <c r="J90" s="5"/>
      <c r="K90" s="5" t="s">
        <v>801</v>
      </c>
      <c r="L90" s="5" t="s">
        <v>800</v>
      </c>
      <c r="M90" s="5" t="s">
        <v>1193</v>
      </c>
      <c r="N90" s="5">
        <v>25.6</v>
      </c>
      <c r="O90" s="5">
        <v>1</v>
      </c>
      <c r="P90" t="s">
        <v>442</v>
      </c>
      <c r="Q90" s="5" t="s">
        <v>442</v>
      </c>
      <c r="R90" s="5" t="s">
        <v>442</v>
      </c>
    </row>
    <row r="91" spans="1:18" ht="101.5" x14ac:dyDescent="0.35">
      <c r="A91" s="5" t="s">
        <v>67</v>
      </c>
      <c r="B91" s="5">
        <v>91</v>
      </c>
      <c r="C91" s="5">
        <v>42.378244989999999</v>
      </c>
      <c r="D91" s="5">
        <v>-83.911661679999995</v>
      </c>
      <c r="E91" s="5" t="s">
        <v>347</v>
      </c>
      <c r="F91" s="5" t="s">
        <v>348</v>
      </c>
      <c r="G91" s="5" t="s">
        <v>349</v>
      </c>
      <c r="H91" s="5" t="s">
        <v>350</v>
      </c>
      <c r="I91" s="5" t="s">
        <v>913</v>
      </c>
      <c r="J91" s="5"/>
      <c r="L91" s="5" t="s">
        <v>944</v>
      </c>
      <c r="M91" s="5" t="s">
        <v>1172</v>
      </c>
      <c r="N91" s="5">
        <f>57.2+46.8</f>
        <v>104</v>
      </c>
      <c r="O91" s="5">
        <v>2</v>
      </c>
      <c r="P91" t="s">
        <v>442</v>
      </c>
      <c r="Q91" s="5" t="s">
        <v>442</v>
      </c>
      <c r="R91" s="5" t="s">
        <v>441</v>
      </c>
    </row>
    <row r="92" spans="1:18" ht="29" x14ac:dyDescent="0.35">
      <c r="A92" s="5" t="s">
        <v>67</v>
      </c>
      <c r="B92" s="5">
        <v>92</v>
      </c>
      <c r="C92" s="5">
        <v>42.378254740000003</v>
      </c>
      <c r="D92" s="5">
        <v>-83.912291449999998</v>
      </c>
      <c r="E92" s="5" t="s">
        <v>347</v>
      </c>
      <c r="F92" s="5" t="s">
        <v>351</v>
      </c>
      <c r="G92" s="5" t="s">
        <v>352</v>
      </c>
      <c r="H92" s="5" t="s">
        <v>353</v>
      </c>
      <c r="I92" s="5"/>
      <c r="J92" s="5"/>
      <c r="L92" s="5"/>
      <c r="M92" s="5"/>
      <c r="N92" s="5"/>
      <c r="O92" s="5"/>
      <c r="P92" t="s">
        <v>441</v>
      </c>
      <c r="Q92" s="5" t="s">
        <v>441</v>
      </c>
      <c r="R92" s="5" t="s">
        <v>441</v>
      </c>
    </row>
    <row r="93" spans="1:18" ht="43.5" x14ac:dyDescent="0.35">
      <c r="A93" s="5" t="s">
        <v>67</v>
      </c>
      <c r="B93" s="5">
        <v>93</v>
      </c>
      <c r="C93" s="5">
        <v>42.378729800000002</v>
      </c>
      <c r="D93" s="5">
        <v>-83.912675890000003</v>
      </c>
      <c r="E93" s="5" t="s">
        <v>347</v>
      </c>
      <c r="F93" s="5" t="s">
        <v>354</v>
      </c>
      <c r="G93" s="5" t="s">
        <v>355</v>
      </c>
      <c r="H93" s="5" t="s">
        <v>356</v>
      </c>
      <c r="I93" s="5"/>
      <c r="J93" s="5"/>
      <c r="L93" s="5"/>
      <c r="M93" s="5"/>
      <c r="N93" s="5"/>
      <c r="O93" s="5"/>
      <c r="P93" t="s">
        <v>441</v>
      </c>
      <c r="Q93" s="5" t="s">
        <v>441</v>
      </c>
      <c r="R93" s="5" t="s">
        <v>441</v>
      </c>
    </row>
    <row r="94" spans="1:18" ht="58" x14ac:dyDescent="0.35">
      <c r="A94" s="5" t="s">
        <v>209</v>
      </c>
      <c r="B94" s="5">
        <v>94</v>
      </c>
      <c r="C94" s="5">
        <v>42.675545409999998</v>
      </c>
      <c r="D94" s="5">
        <v>-83.482740710000002</v>
      </c>
      <c r="E94" s="5" t="s">
        <v>357</v>
      </c>
      <c r="F94" s="5" t="s">
        <v>358</v>
      </c>
      <c r="G94" s="5" t="s">
        <v>359</v>
      </c>
      <c r="H94" s="5" t="s">
        <v>360</v>
      </c>
      <c r="I94" s="5" t="s">
        <v>470</v>
      </c>
      <c r="J94" s="5"/>
      <c r="L94" s="5" t="s">
        <v>721</v>
      </c>
      <c r="M94" s="5" t="s">
        <v>1182</v>
      </c>
      <c r="N94" s="5">
        <v>15</v>
      </c>
      <c r="O94" s="5">
        <v>1</v>
      </c>
      <c r="P94" t="s">
        <v>442</v>
      </c>
      <c r="Q94" t="s">
        <v>442</v>
      </c>
      <c r="R94" t="s">
        <v>442</v>
      </c>
    </row>
    <row r="95" spans="1:18" ht="43.5" x14ac:dyDescent="0.35">
      <c r="A95" s="5" t="s">
        <v>209</v>
      </c>
      <c r="B95" s="5">
        <v>95</v>
      </c>
      <c r="C95" s="5">
        <v>42.675840280000003</v>
      </c>
      <c r="D95" s="5">
        <v>-83.483042400000002</v>
      </c>
      <c r="E95" s="5" t="s">
        <v>357</v>
      </c>
      <c r="F95" s="5" t="s">
        <v>361</v>
      </c>
      <c r="G95" s="5" t="s">
        <v>362</v>
      </c>
      <c r="H95" s="5" t="s">
        <v>363</v>
      </c>
      <c r="I95" s="5" t="s">
        <v>470</v>
      </c>
      <c r="J95" s="5"/>
      <c r="L95" s="5" t="s">
        <v>1102</v>
      </c>
      <c r="M95" s="5" t="s">
        <v>1182</v>
      </c>
      <c r="N95" s="5">
        <f>15.7+13.2</f>
        <v>28.9</v>
      </c>
      <c r="O95" s="5">
        <v>2</v>
      </c>
      <c r="P95" t="s">
        <v>442</v>
      </c>
      <c r="Q95" t="s">
        <v>442</v>
      </c>
      <c r="R95" t="s">
        <v>442</v>
      </c>
    </row>
    <row r="96" spans="1:18" ht="29" x14ac:dyDescent="0.35">
      <c r="A96" s="5" t="s">
        <v>209</v>
      </c>
      <c r="B96" s="5">
        <v>96</v>
      </c>
      <c r="C96" s="5">
        <v>42.676066640000002</v>
      </c>
      <c r="D96" s="5">
        <v>-83.482712809999995</v>
      </c>
      <c r="E96" s="5" t="s">
        <v>357</v>
      </c>
      <c r="F96" s="5" t="s">
        <v>364</v>
      </c>
      <c r="G96" s="5" t="s">
        <v>365</v>
      </c>
      <c r="H96" s="5" t="s">
        <v>366</v>
      </c>
      <c r="I96" s="5" t="s">
        <v>470</v>
      </c>
      <c r="J96" s="5"/>
      <c r="L96" s="5" t="s">
        <v>1103</v>
      </c>
      <c r="M96" s="5" t="s">
        <v>1175</v>
      </c>
      <c r="N96" s="5">
        <v>14.2</v>
      </c>
      <c r="O96" s="5">
        <v>1</v>
      </c>
      <c r="P96" t="s">
        <v>442</v>
      </c>
      <c r="Q96" t="s">
        <v>442</v>
      </c>
      <c r="R96" t="s">
        <v>442</v>
      </c>
    </row>
    <row r="97" spans="1:18" ht="43.5" x14ac:dyDescent="0.35">
      <c r="A97" s="5" t="s">
        <v>209</v>
      </c>
      <c r="B97" s="5">
        <v>97</v>
      </c>
      <c r="C97" s="5">
        <v>42.675463550000003</v>
      </c>
      <c r="D97" s="5">
        <v>-83.482106900000005</v>
      </c>
      <c r="E97" s="5" t="s">
        <v>367</v>
      </c>
      <c r="F97" s="5" t="s">
        <v>368</v>
      </c>
      <c r="G97" s="5" t="s">
        <v>369</v>
      </c>
      <c r="H97" s="5" t="s">
        <v>370</v>
      </c>
      <c r="I97" s="5" t="s">
        <v>470</v>
      </c>
      <c r="J97" s="5"/>
      <c r="L97" s="5" t="s">
        <v>1104</v>
      </c>
      <c r="M97" s="5" t="s">
        <v>1175</v>
      </c>
      <c r="N97" s="5">
        <v>26.2</v>
      </c>
      <c r="O97" s="5">
        <v>1</v>
      </c>
      <c r="P97" t="s">
        <v>442</v>
      </c>
      <c r="Q97" t="s">
        <v>442</v>
      </c>
      <c r="R97" t="s">
        <v>442</v>
      </c>
    </row>
    <row r="98" spans="1:18" ht="43.5" x14ac:dyDescent="0.35">
      <c r="A98" s="5" t="s">
        <v>209</v>
      </c>
      <c r="B98" s="5">
        <v>98</v>
      </c>
      <c r="C98" s="5">
        <v>42.675977510000003</v>
      </c>
      <c r="D98" s="5">
        <v>-83.481834570000004</v>
      </c>
      <c r="E98" s="5" t="s">
        <v>367</v>
      </c>
      <c r="F98" s="5" t="s">
        <v>371</v>
      </c>
      <c r="G98" s="5" t="s">
        <v>372</v>
      </c>
      <c r="H98" s="5" t="s">
        <v>373</v>
      </c>
      <c r="I98" s="5" t="s">
        <v>470</v>
      </c>
      <c r="J98" s="5"/>
      <c r="L98" s="5" t="s">
        <v>1105</v>
      </c>
      <c r="M98" s="5" t="s">
        <v>1175</v>
      </c>
      <c r="N98" s="5">
        <v>20.7</v>
      </c>
      <c r="O98" s="5">
        <v>1</v>
      </c>
      <c r="P98" t="s">
        <v>442</v>
      </c>
      <c r="Q98" t="s">
        <v>442</v>
      </c>
      <c r="R98" t="s">
        <v>442</v>
      </c>
    </row>
    <row r="99" spans="1:18" ht="43.5" x14ac:dyDescent="0.35">
      <c r="A99" s="5" t="s">
        <v>209</v>
      </c>
      <c r="B99" s="5">
        <v>99</v>
      </c>
      <c r="C99" s="5">
        <v>42.676114949999999</v>
      </c>
      <c r="D99" s="5">
        <v>-83.482209499999996</v>
      </c>
      <c r="E99" s="5" t="s">
        <v>367</v>
      </c>
      <c r="F99" s="5" t="s">
        <v>374</v>
      </c>
      <c r="G99" s="5" t="s">
        <v>375</v>
      </c>
      <c r="H99" s="5" t="s">
        <v>376</v>
      </c>
      <c r="I99" s="5" t="s">
        <v>470</v>
      </c>
      <c r="J99" s="5"/>
      <c r="L99" s="5" t="s">
        <v>436</v>
      </c>
      <c r="M99" s="5" t="s">
        <v>1184</v>
      </c>
      <c r="N99" s="5">
        <v>28.5</v>
      </c>
      <c r="O99" s="5">
        <v>1</v>
      </c>
      <c r="P99" t="s">
        <v>442</v>
      </c>
      <c r="Q99" t="s">
        <v>442</v>
      </c>
      <c r="R99" t="s">
        <v>442</v>
      </c>
    </row>
    <row r="100" spans="1:18" ht="29" x14ac:dyDescent="0.35">
      <c r="A100" s="5" t="s">
        <v>209</v>
      </c>
      <c r="B100" s="5">
        <v>100</v>
      </c>
      <c r="C100" s="5">
        <v>42.676572350000001</v>
      </c>
      <c r="D100" s="5">
        <v>-83.481901570000005</v>
      </c>
      <c r="E100" s="5" t="s">
        <v>377</v>
      </c>
      <c r="F100" s="5" t="s">
        <v>378</v>
      </c>
      <c r="G100" s="5" t="s">
        <v>379</v>
      </c>
      <c r="H100" s="5" t="s">
        <v>380</v>
      </c>
      <c r="I100" s="5" t="s">
        <v>722</v>
      </c>
      <c r="J100" s="5"/>
      <c r="K100" s="1" t="s">
        <v>907</v>
      </c>
      <c r="L100" s="5" t="s">
        <v>723</v>
      </c>
      <c r="M100" s="5" t="s">
        <v>1174</v>
      </c>
      <c r="N100" s="5">
        <v>34.9</v>
      </c>
      <c r="O100" s="5">
        <v>1</v>
      </c>
      <c r="P100" t="s">
        <v>442</v>
      </c>
      <c r="Q100" s="5" t="s">
        <v>442</v>
      </c>
      <c r="R100" s="5" t="s">
        <v>442</v>
      </c>
    </row>
    <row r="101" spans="1:18" ht="43.5" x14ac:dyDescent="0.35">
      <c r="A101" s="5" t="s">
        <v>209</v>
      </c>
      <c r="B101" s="5">
        <v>101</v>
      </c>
      <c r="C101" s="5">
        <v>42.676962680000003</v>
      </c>
      <c r="D101" s="5">
        <v>-83.480959240000004</v>
      </c>
      <c r="E101" s="5" t="s">
        <v>377</v>
      </c>
      <c r="F101" s="5" t="s">
        <v>381</v>
      </c>
      <c r="G101" s="5" t="s">
        <v>382</v>
      </c>
      <c r="H101" s="5" t="s">
        <v>383</v>
      </c>
      <c r="I101" s="5" t="s">
        <v>908</v>
      </c>
      <c r="J101" s="5"/>
      <c r="K101" s="1" t="s">
        <v>910</v>
      </c>
      <c r="L101" s="5" t="s">
        <v>909</v>
      </c>
      <c r="M101" s="5" t="s">
        <v>1176</v>
      </c>
      <c r="N101" s="5">
        <v>24</v>
      </c>
      <c r="O101" s="5">
        <v>1</v>
      </c>
      <c r="P101" t="s">
        <v>442</v>
      </c>
      <c r="Q101" s="5" t="s">
        <v>442</v>
      </c>
      <c r="R101" s="5" t="s">
        <v>442</v>
      </c>
    </row>
    <row r="102" spans="1:18" ht="87" x14ac:dyDescent="0.35">
      <c r="A102" s="5" t="s">
        <v>209</v>
      </c>
      <c r="B102" s="5">
        <v>102</v>
      </c>
      <c r="C102" s="5">
        <v>42.67670871</v>
      </c>
      <c r="D102" s="5">
        <v>-83.480460379999997</v>
      </c>
      <c r="E102" s="5" t="s">
        <v>377</v>
      </c>
      <c r="F102" s="5" t="s">
        <v>384</v>
      </c>
      <c r="G102" s="5" t="s">
        <v>385</v>
      </c>
      <c r="H102" s="5" t="s">
        <v>386</v>
      </c>
      <c r="I102" s="5" t="s">
        <v>908</v>
      </c>
      <c r="J102" s="5"/>
      <c r="K102" s="1" t="s">
        <v>912</v>
      </c>
      <c r="L102" s="5" t="s">
        <v>911</v>
      </c>
      <c r="M102" s="5" t="s">
        <v>1175</v>
      </c>
      <c r="N102" s="5">
        <v>40</v>
      </c>
      <c r="O102" s="5">
        <v>1</v>
      </c>
      <c r="P102" t="s">
        <v>442</v>
      </c>
      <c r="Q102" t="s">
        <v>442</v>
      </c>
      <c r="R102" t="s">
        <v>442</v>
      </c>
    </row>
    <row r="103" spans="1:18" ht="72.5" x14ac:dyDescent="0.35">
      <c r="A103" s="5" t="s">
        <v>269</v>
      </c>
      <c r="B103" s="5">
        <v>103</v>
      </c>
      <c r="C103" s="5">
        <v>42.706404030000002</v>
      </c>
      <c r="D103" s="5">
        <v>-83.493421240000004</v>
      </c>
      <c r="E103" s="5" t="s">
        <v>387</v>
      </c>
      <c r="F103" s="5" t="s">
        <v>388</v>
      </c>
      <c r="G103" s="5" t="s">
        <v>389</v>
      </c>
      <c r="H103" s="5" t="s">
        <v>390</v>
      </c>
      <c r="I103" s="5"/>
      <c r="J103" s="5"/>
      <c r="L103" s="5"/>
      <c r="M103" s="5"/>
      <c r="N103" s="5"/>
      <c r="O103" s="5"/>
      <c r="P103" t="s">
        <v>441</v>
      </c>
      <c r="Q103" t="s">
        <v>441</v>
      </c>
      <c r="R103" t="s">
        <v>441</v>
      </c>
    </row>
    <row r="104" spans="1:18" ht="43.5" x14ac:dyDescent="0.35">
      <c r="A104" s="5" t="s">
        <v>269</v>
      </c>
      <c r="B104" s="5">
        <v>104</v>
      </c>
      <c r="C104" s="5">
        <v>42.706236629999999</v>
      </c>
      <c r="D104" s="5">
        <v>-83.493822199999997</v>
      </c>
      <c r="E104" s="5" t="s">
        <v>387</v>
      </c>
      <c r="F104" s="5" t="s">
        <v>391</v>
      </c>
      <c r="G104" s="5" t="s">
        <v>392</v>
      </c>
      <c r="H104" s="5" t="s">
        <v>393</v>
      </c>
      <c r="I104" s="5"/>
      <c r="J104" s="5"/>
      <c r="L104" s="5"/>
      <c r="M104" s="5"/>
      <c r="N104" s="5"/>
      <c r="O104" s="5"/>
      <c r="P104" t="s">
        <v>441</v>
      </c>
      <c r="Q104" t="s">
        <v>441</v>
      </c>
      <c r="R104" t="s">
        <v>441</v>
      </c>
    </row>
    <row r="105" spans="1:18" ht="29" x14ac:dyDescent="0.35">
      <c r="A105" s="5" t="s">
        <v>269</v>
      </c>
      <c r="B105" s="5">
        <v>105</v>
      </c>
      <c r="C105" s="5">
        <v>42.706707729999998</v>
      </c>
      <c r="D105" s="5">
        <v>-83.49360969</v>
      </c>
      <c r="E105" s="5" t="s">
        <v>387</v>
      </c>
      <c r="F105" s="5" t="s">
        <v>394</v>
      </c>
      <c r="G105" s="5" t="s">
        <v>395</v>
      </c>
      <c r="H105" s="5" t="s">
        <v>396</v>
      </c>
      <c r="I105" s="5"/>
      <c r="J105" s="5"/>
      <c r="L105" s="5"/>
      <c r="M105" s="5"/>
      <c r="N105" s="5"/>
      <c r="O105" s="5"/>
      <c r="P105" t="s">
        <v>441</v>
      </c>
      <c r="Q105" t="s">
        <v>441</v>
      </c>
      <c r="R105" t="s">
        <v>441</v>
      </c>
    </row>
    <row r="106" spans="1:18" ht="58" x14ac:dyDescent="0.35">
      <c r="A106" s="5" t="s">
        <v>269</v>
      </c>
      <c r="B106" s="5">
        <v>106</v>
      </c>
      <c r="C106" s="5">
        <v>42.705727439999997</v>
      </c>
      <c r="D106" s="5">
        <v>-83.493866729999993</v>
      </c>
      <c r="E106" s="5" t="s">
        <v>397</v>
      </c>
      <c r="F106" s="5" t="s">
        <v>398</v>
      </c>
      <c r="G106" s="5" t="s">
        <v>399</v>
      </c>
      <c r="H106" s="5" t="s">
        <v>400</v>
      </c>
      <c r="I106" s="5"/>
      <c r="J106" s="5"/>
      <c r="L106" s="5"/>
      <c r="M106" s="5"/>
      <c r="N106" s="5"/>
      <c r="O106" s="5"/>
      <c r="P106" t="s">
        <v>441</v>
      </c>
      <c r="Q106" t="s">
        <v>441</v>
      </c>
      <c r="R106" t="s">
        <v>441</v>
      </c>
    </row>
    <row r="107" spans="1:18" ht="58" x14ac:dyDescent="0.35">
      <c r="A107" s="5" t="s">
        <v>269</v>
      </c>
      <c r="B107" s="5">
        <v>107</v>
      </c>
      <c r="C107" s="5">
        <v>42.705357370000002</v>
      </c>
      <c r="D107" s="5">
        <v>-83.494123939999994</v>
      </c>
      <c r="E107" s="5" t="s">
        <v>397</v>
      </c>
      <c r="F107" s="5" t="s">
        <v>401</v>
      </c>
      <c r="G107" s="5" t="s">
        <v>402</v>
      </c>
      <c r="H107" s="5" t="s">
        <v>403</v>
      </c>
      <c r="I107" s="5"/>
      <c r="J107" s="5"/>
      <c r="L107" s="5"/>
      <c r="M107" s="5"/>
      <c r="N107" s="5"/>
      <c r="O107" s="5"/>
      <c r="P107" t="s">
        <v>441</v>
      </c>
      <c r="Q107" t="s">
        <v>441</v>
      </c>
      <c r="R107" t="s">
        <v>441</v>
      </c>
    </row>
    <row r="108" spans="1:18" ht="87" x14ac:dyDescent="0.35">
      <c r="A108" s="5" t="s">
        <v>269</v>
      </c>
      <c r="B108" s="5">
        <v>108</v>
      </c>
      <c r="C108" s="5">
        <v>42.705142950000003</v>
      </c>
      <c r="D108" s="5">
        <v>-83.494985650000004</v>
      </c>
      <c r="E108" s="5" t="s">
        <v>397</v>
      </c>
      <c r="F108" s="5" t="s">
        <v>404</v>
      </c>
      <c r="G108" s="5" t="s">
        <v>405</v>
      </c>
      <c r="H108" s="5" t="s">
        <v>406</v>
      </c>
      <c r="I108" s="5"/>
      <c r="J108" s="5"/>
      <c r="L108" s="5"/>
      <c r="M108" s="5"/>
      <c r="N108" s="5"/>
      <c r="O108" s="5"/>
      <c r="P108" t="s">
        <v>441</v>
      </c>
      <c r="Q108" t="s">
        <v>441</v>
      </c>
      <c r="R108" t="s">
        <v>441</v>
      </c>
    </row>
    <row r="109" spans="1:18" ht="87" x14ac:dyDescent="0.35">
      <c r="A109" s="5" t="s">
        <v>269</v>
      </c>
      <c r="B109" s="5">
        <v>109</v>
      </c>
      <c r="C109" s="5">
        <v>42.702821120000003</v>
      </c>
      <c r="D109" s="5">
        <v>-83.496243629999995</v>
      </c>
      <c r="E109" s="5" t="s">
        <v>407</v>
      </c>
      <c r="F109" s="5" t="s">
        <v>408</v>
      </c>
      <c r="G109" s="5" t="s">
        <v>409</v>
      </c>
      <c r="H109" s="5" t="s">
        <v>410</v>
      </c>
      <c r="I109" s="5" t="s">
        <v>694</v>
      </c>
      <c r="J109" s="5"/>
      <c r="L109" s="5" t="s">
        <v>711</v>
      </c>
      <c r="M109" s="5"/>
      <c r="N109" s="5"/>
      <c r="O109" s="5"/>
      <c r="P109" t="s">
        <v>442</v>
      </c>
      <c r="Q109" t="s">
        <v>442</v>
      </c>
      <c r="R109" t="s">
        <v>442</v>
      </c>
    </row>
    <row r="110" spans="1:18" ht="58" x14ac:dyDescent="0.35">
      <c r="A110" s="5" t="s">
        <v>269</v>
      </c>
      <c r="B110" s="5">
        <v>110</v>
      </c>
      <c r="C110" s="5">
        <v>42.702560490000003</v>
      </c>
      <c r="D110" s="5">
        <v>-83.495794520000004</v>
      </c>
      <c r="E110" s="5" t="s">
        <v>407</v>
      </c>
      <c r="F110" s="5" t="s">
        <v>411</v>
      </c>
      <c r="G110" s="5" t="s">
        <v>412</v>
      </c>
      <c r="H110" s="5" t="s">
        <v>413</v>
      </c>
      <c r="I110" s="5" t="s">
        <v>683</v>
      </c>
      <c r="J110" s="5" t="s">
        <v>712</v>
      </c>
      <c r="K110" s="5" t="s">
        <v>714</v>
      </c>
      <c r="L110" s="5" t="s">
        <v>713</v>
      </c>
      <c r="M110" s="5" t="s">
        <v>1184</v>
      </c>
      <c r="N110" s="5">
        <v>37.700000000000003</v>
      </c>
      <c r="O110" s="5">
        <v>1</v>
      </c>
      <c r="P110" t="s">
        <v>442</v>
      </c>
      <c r="Q110" s="5" t="s">
        <v>442</v>
      </c>
      <c r="R110" s="5" t="s">
        <v>442</v>
      </c>
    </row>
    <row r="111" spans="1:18" ht="72.5" x14ac:dyDescent="0.35">
      <c r="A111" s="5" t="s">
        <v>269</v>
      </c>
      <c r="B111" s="5">
        <v>111</v>
      </c>
      <c r="C111" s="5">
        <v>42.702496060000001</v>
      </c>
      <c r="D111" s="5">
        <v>-83.495138870000005</v>
      </c>
      <c r="E111" s="5" t="s">
        <v>407</v>
      </c>
      <c r="F111" s="5" t="s">
        <v>414</v>
      </c>
      <c r="G111" s="5" t="s">
        <v>415</v>
      </c>
      <c r="H111" s="5" t="s">
        <v>416</v>
      </c>
      <c r="I111" s="5" t="s">
        <v>683</v>
      </c>
      <c r="J111" s="5" t="s">
        <v>715</v>
      </c>
      <c r="K111" s="5" t="s">
        <v>717</v>
      </c>
      <c r="L111" s="5" t="s">
        <v>716</v>
      </c>
      <c r="M111" s="5" t="s">
        <v>1182</v>
      </c>
      <c r="N111" s="5" t="s">
        <v>1170</v>
      </c>
      <c r="O111" s="5" t="s">
        <v>477</v>
      </c>
      <c r="P111" s="5" t="s">
        <v>442</v>
      </c>
      <c r="Q111" s="5" t="s">
        <v>442</v>
      </c>
      <c r="R111" s="5" t="s">
        <v>442</v>
      </c>
    </row>
    <row r="112" spans="1:18" ht="72.5" x14ac:dyDescent="0.35">
      <c r="A112" s="5" t="s">
        <v>56</v>
      </c>
      <c r="B112" s="5">
        <v>112</v>
      </c>
      <c r="C112" s="5">
        <v>42.53359794</v>
      </c>
      <c r="D112" s="5">
        <v>-83.671224730000006</v>
      </c>
      <c r="E112" s="5" t="s">
        <v>417</v>
      </c>
      <c r="F112" s="5" t="s">
        <v>418</v>
      </c>
      <c r="G112" s="5" t="s">
        <v>419</v>
      </c>
      <c r="H112" s="5" t="s">
        <v>420</v>
      </c>
      <c r="I112" s="5" t="s">
        <v>471</v>
      </c>
      <c r="J112" s="5" t="s">
        <v>1099</v>
      </c>
      <c r="L112" s="5" t="s">
        <v>1100</v>
      </c>
      <c r="M112" s="5" t="s">
        <v>1177</v>
      </c>
      <c r="N112" s="5" t="s">
        <v>1170</v>
      </c>
      <c r="O112" s="5" t="s">
        <v>477</v>
      </c>
      <c r="P112" t="s">
        <v>442</v>
      </c>
      <c r="Q112" s="5" t="s">
        <v>442</v>
      </c>
      <c r="R112" s="5" t="s">
        <v>442</v>
      </c>
    </row>
    <row r="113" spans="1:18" ht="43.5" x14ac:dyDescent="0.35">
      <c r="A113" s="5" t="s">
        <v>56</v>
      </c>
      <c r="B113" s="5">
        <v>113</v>
      </c>
      <c r="C113" s="5">
        <v>42.53386003</v>
      </c>
      <c r="D113" s="5">
        <v>-83.67146597</v>
      </c>
      <c r="E113" s="5" t="s">
        <v>417</v>
      </c>
      <c r="F113" s="5" t="s">
        <v>421</v>
      </c>
      <c r="G113" s="5" t="s">
        <v>422</v>
      </c>
      <c r="H113" s="5" t="s">
        <v>423</v>
      </c>
      <c r="I113" s="5" t="s">
        <v>678</v>
      </c>
      <c r="J113" s="5"/>
      <c r="K113" s="1" t="s">
        <v>679</v>
      </c>
      <c r="L113" s="5" t="s">
        <v>680</v>
      </c>
      <c r="M113" s="5" t="s">
        <v>1194</v>
      </c>
      <c r="N113" s="5">
        <v>57.3</v>
      </c>
      <c r="O113" s="5">
        <v>1</v>
      </c>
      <c r="P113" t="s">
        <v>442</v>
      </c>
      <c r="Q113" s="5" t="s">
        <v>442</v>
      </c>
      <c r="R113" s="5" t="s">
        <v>442</v>
      </c>
    </row>
    <row r="114" spans="1:18" x14ac:dyDescent="0.35">
      <c r="A114" s="5" t="s">
        <v>56</v>
      </c>
      <c r="B114" s="5">
        <v>114</v>
      </c>
      <c r="C114" s="5">
        <v>42.534377599999999</v>
      </c>
      <c r="D114" s="5">
        <v>-83.6712658</v>
      </c>
      <c r="E114" s="5" t="s">
        <v>417</v>
      </c>
      <c r="F114" s="5" t="s">
        <v>424</v>
      </c>
      <c r="G114" s="5" t="s">
        <v>425</v>
      </c>
      <c r="H114" s="5" t="s">
        <v>426</v>
      </c>
      <c r="I114" s="5" t="s">
        <v>678</v>
      </c>
      <c r="J114" s="5"/>
      <c r="L114" s="5" t="s">
        <v>681</v>
      </c>
      <c r="M114" s="5" t="s">
        <v>1194</v>
      </c>
      <c r="N114" s="5">
        <v>96</v>
      </c>
      <c r="O114" s="5">
        <v>1</v>
      </c>
      <c r="P114" t="s">
        <v>442</v>
      </c>
      <c r="Q114" t="s">
        <v>442</v>
      </c>
      <c r="R114" t="s">
        <v>442</v>
      </c>
    </row>
  </sheetData>
  <conditionalFormatting sqref="P1:R1048576">
    <cfRule type="cellIs" dxfId="5" priority="1" operator="equal">
      <formula>"n"</formula>
    </cfRule>
    <cfRule type="cellIs" dxfId="4" priority="2" operator="equal">
      <formula>"n"</formula>
    </cfRule>
    <cfRule type="cellIs" dxfId="3" priority="3" operator="equal">
      <formula>"y"</formula>
    </cfRule>
  </conditionalFormatting>
  <conditionalFormatting sqref="P2:R1048576">
    <cfRule type="containsText" dxfId="2" priority="4" operator="containsText" text="n">
      <formula>NOT(ISERROR(SEARCH("n",P2)))</formula>
    </cfRule>
    <cfRule type="containsText" dxfId="1"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5" activePane="bottomLeft" state="frozen"/>
      <selection pane="bottomLeft" sqref="A1:N1"/>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767</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620</v>
      </c>
    </row>
    <row r="87" spans="1:14" ht="17" customHeight="1" x14ac:dyDescent="0.35">
      <c r="A87">
        <v>35</v>
      </c>
      <c r="B87" t="s">
        <v>38</v>
      </c>
      <c r="C87">
        <v>0</v>
      </c>
      <c r="D87">
        <v>0.5</v>
      </c>
      <c r="E87">
        <v>0</v>
      </c>
      <c r="F87">
        <v>0</v>
      </c>
      <c r="G87">
        <v>0</v>
      </c>
      <c r="H87">
        <v>0</v>
      </c>
      <c r="I87">
        <v>1</v>
      </c>
      <c r="J87">
        <v>0</v>
      </c>
      <c r="K87">
        <v>0</v>
      </c>
      <c r="L87">
        <v>0</v>
      </c>
      <c r="M87">
        <v>4.0599999999999996</v>
      </c>
      <c r="N87" t="s">
        <v>621</v>
      </c>
    </row>
    <row r="88" spans="1:14" ht="17" customHeight="1" x14ac:dyDescent="0.35">
      <c r="A88">
        <v>35</v>
      </c>
      <c r="B88" t="s">
        <v>39</v>
      </c>
      <c r="C88">
        <v>0</v>
      </c>
      <c r="D88">
        <v>0.5</v>
      </c>
      <c r="E88">
        <v>0</v>
      </c>
      <c r="F88">
        <v>0</v>
      </c>
      <c r="G88">
        <v>0</v>
      </c>
      <c r="H88">
        <v>1</v>
      </c>
      <c r="I88">
        <v>0</v>
      </c>
      <c r="J88">
        <v>0</v>
      </c>
      <c r="K88">
        <v>0</v>
      </c>
      <c r="L88">
        <v>0</v>
      </c>
      <c r="M88">
        <v>4.0599999999999996</v>
      </c>
      <c r="N88" t="s">
        <v>622</v>
      </c>
    </row>
    <row r="89" spans="1:14" ht="17" customHeight="1" x14ac:dyDescent="0.35">
      <c r="A89">
        <v>35</v>
      </c>
      <c r="B89" t="s">
        <v>40</v>
      </c>
      <c r="C89">
        <v>0</v>
      </c>
      <c r="D89">
        <v>0</v>
      </c>
      <c r="E89">
        <v>0</v>
      </c>
      <c r="F89">
        <v>0</v>
      </c>
      <c r="G89">
        <v>0</v>
      </c>
      <c r="H89">
        <v>0</v>
      </c>
      <c r="I89">
        <v>0</v>
      </c>
      <c r="J89">
        <v>0</v>
      </c>
      <c r="K89">
        <v>0</v>
      </c>
      <c r="L89">
        <v>0</v>
      </c>
      <c r="M89">
        <v>4.0599999999999996</v>
      </c>
      <c r="N89" t="s">
        <v>622</v>
      </c>
    </row>
    <row r="90" spans="1:14" ht="17" customHeight="1" x14ac:dyDescent="0.35">
      <c r="A90">
        <v>34</v>
      </c>
      <c r="B90" t="s">
        <v>36</v>
      </c>
      <c r="C90">
        <v>0</v>
      </c>
      <c r="D90">
        <v>25.5</v>
      </c>
      <c r="E90">
        <v>0</v>
      </c>
      <c r="F90">
        <v>0</v>
      </c>
      <c r="G90">
        <v>0</v>
      </c>
      <c r="H90">
        <v>0</v>
      </c>
      <c r="I90">
        <v>0</v>
      </c>
      <c r="J90">
        <v>1</v>
      </c>
      <c r="K90">
        <v>0</v>
      </c>
      <c r="L90">
        <v>1</v>
      </c>
      <c r="M90">
        <v>4.0599999999999996</v>
      </c>
      <c r="N90" t="s">
        <v>623</v>
      </c>
    </row>
    <row r="91" spans="1:14" ht="17" customHeight="1" x14ac:dyDescent="0.35">
      <c r="A91">
        <v>34</v>
      </c>
      <c r="B91" t="s">
        <v>38</v>
      </c>
      <c r="C91">
        <v>0</v>
      </c>
      <c r="D91">
        <v>0</v>
      </c>
      <c r="E91">
        <v>0</v>
      </c>
      <c r="F91">
        <v>0</v>
      </c>
      <c r="G91">
        <v>0</v>
      </c>
      <c r="H91">
        <v>0</v>
      </c>
      <c r="I91">
        <v>0</v>
      </c>
      <c r="J91">
        <v>0</v>
      </c>
      <c r="K91">
        <v>0</v>
      </c>
      <c r="L91">
        <v>0</v>
      </c>
      <c r="M91">
        <v>4.0599999999999996</v>
      </c>
      <c r="N91" t="s">
        <v>624</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625</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626</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627</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628</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629</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630</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631</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632</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633</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634</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635</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648</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649</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650</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651</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652</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653</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654</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655</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656</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660</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657</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658</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659</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661</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661</v>
      </c>
      <c r="B147" t="s">
        <v>38</v>
      </c>
      <c r="C147">
        <v>0</v>
      </c>
      <c r="D147">
        <v>8</v>
      </c>
      <c r="E147">
        <v>2</v>
      </c>
      <c r="F147">
        <v>2</v>
      </c>
      <c r="G147">
        <v>1</v>
      </c>
      <c r="H147">
        <v>1</v>
      </c>
      <c r="I147">
        <v>0</v>
      </c>
      <c r="J147">
        <v>1</v>
      </c>
      <c r="K147">
        <v>0</v>
      </c>
      <c r="L147">
        <v>0</v>
      </c>
      <c r="M147">
        <v>4.0599999999999996</v>
      </c>
    </row>
    <row r="148" spans="1:14" ht="17" customHeight="1" x14ac:dyDescent="0.35">
      <c r="A148" t="s">
        <v>661</v>
      </c>
      <c r="B148" t="s">
        <v>39</v>
      </c>
      <c r="C148">
        <v>0</v>
      </c>
      <c r="D148">
        <v>8</v>
      </c>
      <c r="E148">
        <v>0</v>
      </c>
      <c r="F148">
        <v>0</v>
      </c>
      <c r="G148">
        <v>2</v>
      </c>
      <c r="H148">
        <v>1</v>
      </c>
      <c r="I148">
        <v>1</v>
      </c>
      <c r="J148">
        <v>1</v>
      </c>
      <c r="K148">
        <v>0</v>
      </c>
      <c r="L148">
        <v>1</v>
      </c>
      <c r="M148">
        <v>4.0599999999999996</v>
      </c>
    </row>
    <row r="149" spans="1:14" ht="17" customHeight="1" x14ac:dyDescent="0.35">
      <c r="A149" t="s">
        <v>661</v>
      </c>
      <c r="B149" t="s">
        <v>40</v>
      </c>
      <c r="C149">
        <v>0</v>
      </c>
      <c r="D149">
        <v>8</v>
      </c>
      <c r="E149">
        <v>1</v>
      </c>
      <c r="F149">
        <v>1</v>
      </c>
      <c r="G149">
        <v>1</v>
      </c>
      <c r="H149">
        <v>1</v>
      </c>
      <c r="I149">
        <v>1</v>
      </c>
      <c r="J149">
        <v>0</v>
      </c>
      <c r="K149">
        <v>0</v>
      </c>
      <c r="L149">
        <v>0</v>
      </c>
      <c r="M149">
        <v>4.0599999999999996</v>
      </c>
    </row>
    <row r="150" spans="1:14" ht="17" customHeight="1" x14ac:dyDescent="0.35">
      <c r="A150" t="s">
        <v>662</v>
      </c>
      <c r="B150" t="s">
        <v>36</v>
      </c>
      <c r="C150">
        <v>0</v>
      </c>
      <c r="D150">
        <v>0.5</v>
      </c>
      <c r="E150">
        <v>0</v>
      </c>
      <c r="F150">
        <v>1</v>
      </c>
      <c r="G150">
        <v>0</v>
      </c>
      <c r="H150">
        <v>0</v>
      </c>
      <c r="I150">
        <v>0</v>
      </c>
      <c r="J150">
        <v>0</v>
      </c>
      <c r="K150">
        <v>0</v>
      </c>
      <c r="L150">
        <v>0</v>
      </c>
      <c r="M150">
        <v>4.0599999999999996</v>
      </c>
    </row>
    <row r="151" spans="1:14" ht="17" customHeight="1" x14ac:dyDescent="0.35">
      <c r="A151" t="s">
        <v>662</v>
      </c>
      <c r="B151" t="s">
        <v>38</v>
      </c>
      <c r="C151">
        <v>0</v>
      </c>
      <c r="D151">
        <v>0</v>
      </c>
      <c r="E151">
        <v>0</v>
      </c>
      <c r="F151">
        <v>0</v>
      </c>
      <c r="G151">
        <v>0</v>
      </c>
      <c r="H151">
        <v>0</v>
      </c>
      <c r="I151">
        <v>0</v>
      </c>
      <c r="J151">
        <v>0</v>
      </c>
      <c r="K151">
        <v>0</v>
      </c>
      <c r="L151">
        <v>0</v>
      </c>
      <c r="M151">
        <v>4.0599999999999996</v>
      </c>
    </row>
    <row r="152" spans="1:14" ht="17" customHeight="1" x14ac:dyDescent="0.35">
      <c r="A152" t="s">
        <v>662</v>
      </c>
      <c r="B152" t="s">
        <v>39</v>
      </c>
      <c r="C152">
        <v>0</v>
      </c>
      <c r="D152">
        <v>0.5</v>
      </c>
      <c r="E152">
        <v>0</v>
      </c>
      <c r="F152">
        <v>1</v>
      </c>
      <c r="G152">
        <v>0</v>
      </c>
      <c r="H152">
        <v>0</v>
      </c>
      <c r="I152">
        <v>0</v>
      </c>
      <c r="J152">
        <v>0</v>
      </c>
      <c r="K152">
        <v>0</v>
      </c>
      <c r="L152">
        <v>0</v>
      </c>
      <c r="M152">
        <v>4.0599999999999996</v>
      </c>
    </row>
    <row r="153" spans="1:14" ht="17" customHeight="1" x14ac:dyDescent="0.35">
      <c r="A153" t="s">
        <v>662</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659</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659</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659</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659</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663</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664</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665</v>
      </c>
    </row>
    <row r="161" spans="1:14" ht="18.5" customHeight="1" x14ac:dyDescent="0.35">
      <c r="A161">
        <v>100</v>
      </c>
      <c r="B161" t="s">
        <v>40</v>
      </c>
      <c r="C161">
        <v>0</v>
      </c>
      <c r="E161">
        <v>3</v>
      </c>
      <c r="F161">
        <v>4</v>
      </c>
      <c r="G161">
        <v>7</v>
      </c>
      <c r="H161">
        <v>2</v>
      </c>
      <c r="I161">
        <v>3</v>
      </c>
      <c r="J161">
        <v>3</v>
      </c>
      <c r="K161">
        <v>3</v>
      </c>
      <c r="L161">
        <v>2</v>
      </c>
      <c r="M161">
        <v>4.0599999999999996</v>
      </c>
      <c r="N161" t="s">
        <v>666</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724</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725</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726</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727</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728</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729</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728</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734</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730</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731</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732</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733</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735</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659</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736</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737</v>
      </c>
    </row>
    <row r="190" spans="1:14" ht="17" customHeight="1" x14ac:dyDescent="0.35">
      <c r="A190">
        <v>67</v>
      </c>
      <c r="B190" t="s">
        <v>36</v>
      </c>
      <c r="C190">
        <v>0</v>
      </c>
      <c r="D190">
        <v>0</v>
      </c>
      <c r="E190">
        <v>0</v>
      </c>
      <c r="F190">
        <v>0</v>
      </c>
      <c r="G190">
        <v>0</v>
      </c>
      <c r="H190">
        <v>0</v>
      </c>
      <c r="I190">
        <v>0</v>
      </c>
      <c r="J190">
        <v>0</v>
      </c>
      <c r="K190">
        <v>0</v>
      </c>
      <c r="L190">
        <v>0</v>
      </c>
      <c r="M190">
        <v>4.0599999999999996</v>
      </c>
      <c r="N190" t="s">
        <v>659</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659</v>
      </c>
    </row>
    <row r="192" spans="1:14" ht="17" customHeight="1" x14ac:dyDescent="0.35">
      <c r="A192">
        <v>67</v>
      </c>
      <c r="B192" t="s">
        <v>39</v>
      </c>
      <c r="C192">
        <v>0</v>
      </c>
      <c r="D192">
        <v>0</v>
      </c>
      <c r="E192">
        <v>0</v>
      </c>
      <c r="F192">
        <v>0</v>
      </c>
      <c r="G192">
        <v>0</v>
      </c>
      <c r="H192">
        <v>0</v>
      </c>
      <c r="I192">
        <v>0</v>
      </c>
      <c r="J192">
        <v>0</v>
      </c>
      <c r="K192">
        <v>0</v>
      </c>
      <c r="L192">
        <v>0</v>
      </c>
      <c r="M192">
        <v>4.0599999999999996</v>
      </c>
      <c r="N192" t="s">
        <v>659</v>
      </c>
    </row>
    <row r="193" spans="1:14" ht="17" customHeight="1" x14ac:dyDescent="0.35">
      <c r="A193">
        <v>67</v>
      </c>
      <c r="B193" t="s">
        <v>40</v>
      </c>
      <c r="C193">
        <v>0</v>
      </c>
      <c r="D193">
        <v>0</v>
      </c>
      <c r="E193">
        <v>0</v>
      </c>
      <c r="F193">
        <v>0</v>
      </c>
      <c r="G193">
        <v>0</v>
      </c>
      <c r="H193">
        <v>0</v>
      </c>
      <c r="I193">
        <v>0</v>
      </c>
      <c r="J193">
        <v>0</v>
      </c>
      <c r="K193">
        <v>0</v>
      </c>
      <c r="L193">
        <v>0</v>
      </c>
      <c r="M193">
        <v>4.0599999999999996</v>
      </c>
      <c r="N193" t="s">
        <v>659</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738</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739</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740</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741</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742</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743</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744</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745</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746</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747</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748</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824</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825</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826</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827</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828</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829</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659</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830</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831</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832</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833</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659</v>
      </c>
    </row>
    <row r="218" spans="1:14" ht="17" customHeight="1" x14ac:dyDescent="0.35">
      <c r="A218">
        <v>89</v>
      </c>
      <c r="B218" t="s">
        <v>36</v>
      </c>
      <c r="C218">
        <v>0</v>
      </c>
      <c r="D218">
        <v>0</v>
      </c>
      <c r="E218">
        <v>0</v>
      </c>
      <c r="F218">
        <v>0</v>
      </c>
      <c r="G218">
        <v>0</v>
      </c>
      <c r="H218">
        <v>0</v>
      </c>
      <c r="I218">
        <v>0</v>
      </c>
      <c r="J218">
        <v>0</v>
      </c>
      <c r="K218">
        <v>0</v>
      </c>
      <c r="L218">
        <v>0</v>
      </c>
      <c r="M218">
        <v>4.0599999999999996</v>
      </c>
      <c r="N218" t="s">
        <v>659</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834</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835</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836</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837</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838</v>
      </c>
    </row>
    <row r="224" spans="1:14" ht="17" customHeight="1" x14ac:dyDescent="0.35">
      <c r="A224">
        <v>40</v>
      </c>
      <c r="B224" t="s">
        <v>39</v>
      </c>
      <c r="C224">
        <v>0</v>
      </c>
      <c r="D224">
        <v>0</v>
      </c>
      <c r="E224">
        <v>0</v>
      </c>
      <c r="F224">
        <v>0</v>
      </c>
      <c r="G224">
        <v>0</v>
      </c>
      <c r="H224">
        <v>0</v>
      </c>
      <c r="I224">
        <v>0</v>
      </c>
      <c r="J224">
        <v>0</v>
      </c>
      <c r="K224">
        <v>0</v>
      </c>
      <c r="L224">
        <v>0</v>
      </c>
      <c r="M224">
        <v>4.0599999999999996</v>
      </c>
      <c r="N224" t="s">
        <v>839</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840</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842</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841</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843</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844</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845</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846</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847</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848</v>
      </c>
    </row>
    <row r="235" spans="1:14" ht="17" customHeight="1" x14ac:dyDescent="0.35">
      <c r="A235">
        <v>45</v>
      </c>
      <c r="B235" t="s">
        <v>38</v>
      </c>
      <c r="C235">
        <v>0</v>
      </c>
      <c r="D235">
        <v>0</v>
      </c>
      <c r="E235">
        <v>0</v>
      </c>
      <c r="F235">
        <v>0</v>
      </c>
      <c r="G235">
        <v>0</v>
      </c>
      <c r="H235">
        <v>0</v>
      </c>
      <c r="I235">
        <v>0</v>
      </c>
      <c r="J235">
        <v>0</v>
      </c>
      <c r="K235">
        <v>0</v>
      </c>
      <c r="L235">
        <v>0</v>
      </c>
      <c r="M235">
        <v>4.0599999999999996</v>
      </c>
      <c r="N235" t="s">
        <v>849</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850</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851</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852</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853</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737</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854</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855</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856</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857</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858</v>
      </c>
    </row>
    <row r="248" spans="1:14" ht="17" customHeight="1" x14ac:dyDescent="0.35">
      <c r="A248">
        <v>90</v>
      </c>
      <c r="B248" t="s">
        <v>39</v>
      </c>
      <c r="C248">
        <v>0</v>
      </c>
      <c r="D248">
        <v>0</v>
      </c>
      <c r="E248">
        <v>0</v>
      </c>
      <c r="F248">
        <v>0</v>
      </c>
      <c r="G248">
        <v>0</v>
      </c>
      <c r="H248">
        <v>0</v>
      </c>
      <c r="I248">
        <v>0</v>
      </c>
      <c r="J248">
        <v>0</v>
      </c>
      <c r="K248">
        <v>0</v>
      </c>
      <c r="L248">
        <v>0</v>
      </c>
      <c r="M248">
        <v>4.0599999999999996</v>
      </c>
      <c r="N248" t="s">
        <v>859</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827</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860</v>
      </c>
    </row>
    <row r="251" spans="1:14" ht="17" customHeight="1" x14ac:dyDescent="0.35">
      <c r="A251">
        <v>82</v>
      </c>
      <c r="B251" t="s">
        <v>38</v>
      </c>
      <c r="C251">
        <v>0</v>
      </c>
      <c r="D251">
        <v>1</v>
      </c>
      <c r="E251">
        <v>1</v>
      </c>
      <c r="F251">
        <v>1</v>
      </c>
      <c r="G251">
        <v>0</v>
      </c>
      <c r="H251">
        <v>0</v>
      </c>
      <c r="I251">
        <v>1</v>
      </c>
      <c r="J251">
        <v>0</v>
      </c>
      <c r="K251">
        <v>0</v>
      </c>
      <c r="L251">
        <v>0</v>
      </c>
      <c r="M251">
        <v>4.0599999999999996</v>
      </c>
      <c r="N251" t="s">
        <v>659</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861</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862</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863</v>
      </c>
    </row>
    <row r="255" spans="1:14" ht="17" customHeight="1" x14ac:dyDescent="0.35">
      <c r="A255">
        <v>83</v>
      </c>
      <c r="B255" t="s">
        <v>38</v>
      </c>
      <c r="C255">
        <v>0</v>
      </c>
      <c r="D255">
        <v>1</v>
      </c>
      <c r="E255">
        <v>0</v>
      </c>
      <c r="F255">
        <v>1</v>
      </c>
      <c r="G255">
        <v>0</v>
      </c>
      <c r="H255">
        <v>1</v>
      </c>
      <c r="I255">
        <v>0</v>
      </c>
      <c r="J255">
        <v>0</v>
      </c>
      <c r="K255">
        <v>0</v>
      </c>
      <c r="L255">
        <v>0</v>
      </c>
      <c r="M255">
        <v>4.0599999999999996</v>
      </c>
      <c r="N255" t="s">
        <v>859</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864</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865</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866</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825</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867</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868</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869</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870</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871</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872</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884</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885</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886</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887</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888</v>
      </c>
    </row>
    <row r="276" spans="1:14" ht="17" customHeight="1" x14ac:dyDescent="0.35">
      <c r="A276">
        <v>18</v>
      </c>
      <c r="B276" t="s">
        <v>39</v>
      </c>
      <c r="C276">
        <v>0</v>
      </c>
      <c r="D276">
        <v>8</v>
      </c>
      <c r="E276">
        <v>0</v>
      </c>
      <c r="F276">
        <v>0</v>
      </c>
      <c r="G276">
        <v>0</v>
      </c>
      <c r="H276">
        <v>0</v>
      </c>
      <c r="I276">
        <v>0</v>
      </c>
      <c r="J276">
        <v>0</v>
      </c>
      <c r="K276">
        <v>0</v>
      </c>
      <c r="L276">
        <v>3</v>
      </c>
      <c r="M276">
        <v>4.0599999999999996</v>
      </c>
      <c r="N276" t="s">
        <v>889</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890</v>
      </c>
    </row>
    <row r="278" spans="1:14" ht="17" customHeight="1" x14ac:dyDescent="0.35">
      <c r="A278">
        <v>30</v>
      </c>
      <c r="B278" t="s">
        <v>36</v>
      </c>
      <c r="C278">
        <v>0</v>
      </c>
      <c r="D278">
        <v>8</v>
      </c>
      <c r="E278">
        <v>3</v>
      </c>
      <c r="F278">
        <v>1</v>
      </c>
      <c r="G278">
        <v>3</v>
      </c>
      <c r="H278">
        <v>5</v>
      </c>
      <c r="I278">
        <v>0</v>
      </c>
      <c r="J278">
        <v>0</v>
      </c>
      <c r="K278">
        <v>0</v>
      </c>
      <c r="L278">
        <v>0</v>
      </c>
      <c r="M278">
        <v>4.0599999999999996</v>
      </c>
      <c r="N278" t="s">
        <v>659</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891</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892</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893</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894</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895</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896</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897</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659</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898</v>
      </c>
    </row>
    <row r="288" spans="1:14" ht="17" customHeight="1" x14ac:dyDescent="0.35">
      <c r="A288">
        <v>28</v>
      </c>
      <c r="B288" t="s">
        <v>39</v>
      </c>
      <c r="C288">
        <v>0</v>
      </c>
      <c r="D288">
        <v>0</v>
      </c>
      <c r="E288">
        <v>0</v>
      </c>
      <c r="F288">
        <v>0</v>
      </c>
      <c r="G288">
        <v>0</v>
      </c>
      <c r="H288">
        <v>0</v>
      </c>
      <c r="I288">
        <v>0</v>
      </c>
      <c r="J288">
        <v>0</v>
      </c>
      <c r="K288">
        <v>0</v>
      </c>
      <c r="L288">
        <v>0</v>
      </c>
      <c r="M288">
        <v>4.0599999999999996</v>
      </c>
      <c r="N288" t="s">
        <v>659</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659</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899</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900</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901</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902</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659</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968</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969</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970</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733</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971</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972</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973</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974</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975</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976</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977</v>
      </c>
    </row>
    <row r="307" spans="1:14" ht="17" customHeight="1" x14ac:dyDescent="0.35">
      <c r="A307">
        <v>59</v>
      </c>
      <c r="B307" t="s">
        <v>38</v>
      </c>
      <c r="C307">
        <v>0</v>
      </c>
      <c r="D307">
        <v>1</v>
      </c>
      <c r="E307">
        <v>0</v>
      </c>
      <c r="F307">
        <v>0</v>
      </c>
      <c r="G307">
        <v>0</v>
      </c>
      <c r="H307">
        <v>1</v>
      </c>
      <c r="I307">
        <v>0</v>
      </c>
      <c r="J307">
        <v>0</v>
      </c>
      <c r="K307">
        <v>0</v>
      </c>
      <c r="L307">
        <v>0</v>
      </c>
      <c r="M307">
        <v>4.0599999999999996</v>
      </c>
      <c r="N307" t="s">
        <v>978</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979</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980</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985</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985</v>
      </c>
    </row>
    <row r="312" spans="1:14" ht="17" customHeight="1" x14ac:dyDescent="0.35">
      <c r="A312">
        <v>20</v>
      </c>
      <c r="B312" t="s">
        <v>39</v>
      </c>
      <c r="C312">
        <v>0</v>
      </c>
      <c r="D312">
        <v>1</v>
      </c>
      <c r="E312">
        <v>0</v>
      </c>
      <c r="F312">
        <v>1</v>
      </c>
      <c r="G312">
        <v>0</v>
      </c>
      <c r="H312">
        <v>0</v>
      </c>
      <c r="I312">
        <v>0</v>
      </c>
      <c r="J312">
        <v>0</v>
      </c>
      <c r="K312">
        <v>0</v>
      </c>
      <c r="L312">
        <v>0</v>
      </c>
      <c r="M312">
        <v>4.0599999999999996</v>
      </c>
      <c r="N312" t="s">
        <v>659</v>
      </c>
    </row>
    <row r="313" spans="1:14" ht="17" customHeight="1" x14ac:dyDescent="0.35">
      <c r="A313">
        <v>20</v>
      </c>
      <c r="B313" t="s">
        <v>40</v>
      </c>
      <c r="C313">
        <v>0</v>
      </c>
      <c r="D313">
        <v>0</v>
      </c>
      <c r="E313">
        <v>0</v>
      </c>
      <c r="F313">
        <v>0</v>
      </c>
      <c r="G313">
        <v>0</v>
      </c>
      <c r="H313">
        <v>0</v>
      </c>
      <c r="I313">
        <v>0</v>
      </c>
      <c r="J313">
        <v>0</v>
      </c>
      <c r="K313">
        <v>0</v>
      </c>
      <c r="L313">
        <v>0</v>
      </c>
      <c r="M313">
        <v>4.0599999999999996</v>
      </c>
      <c r="N313" t="s">
        <v>659</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986</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987</v>
      </c>
    </row>
    <row r="316" spans="1:14" ht="17" customHeight="1" x14ac:dyDescent="0.35">
      <c r="A316">
        <v>62</v>
      </c>
      <c r="B316" t="s">
        <v>39</v>
      </c>
      <c r="C316">
        <v>0</v>
      </c>
      <c r="D316">
        <v>0</v>
      </c>
      <c r="E316">
        <v>0</v>
      </c>
      <c r="F316">
        <v>0</v>
      </c>
      <c r="G316">
        <v>0</v>
      </c>
      <c r="H316">
        <v>0</v>
      </c>
      <c r="I316">
        <v>0</v>
      </c>
      <c r="J316">
        <v>0</v>
      </c>
      <c r="K316">
        <v>0</v>
      </c>
      <c r="L316">
        <v>0</v>
      </c>
      <c r="M316">
        <v>4.0599999999999996</v>
      </c>
      <c r="N316" t="s">
        <v>988</v>
      </c>
    </row>
    <row r="317" spans="1:14" ht="17" customHeight="1" x14ac:dyDescent="0.35">
      <c r="A317">
        <v>62</v>
      </c>
      <c r="B317" t="s">
        <v>40</v>
      </c>
      <c r="C317">
        <v>0</v>
      </c>
      <c r="D317">
        <v>0</v>
      </c>
      <c r="E317">
        <v>0</v>
      </c>
      <c r="F317">
        <v>0</v>
      </c>
      <c r="G317">
        <v>0</v>
      </c>
      <c r="H317">
        <v>0</v>
      </c>
      <c r="I317">
        <v>0</v>
      </c>
      <c r="J317">
        <v>0</v>
      </c>
      <c r="K317">
        <v>0</v>
      </c>
      <c r="L317">
        <v>0</v>
      </c>
      <c r="M317">
        <v>4.0599999999999996</v>
      </c>
      <c r="N317" t="s">
        <v>989</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990</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991</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992</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993</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994</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995</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996</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659</v>
      </c>
    </row>
    <row r="327" spans="1:14" ht="17" customHeight="1" x14ac:dyDescent="0.35">
      <c r="A327">
        <v>7</v>
      </c>
      <c r="B327" t="s">
        <v>38</v>
      </c>
      <c r="C327">
        <v>0</v>
      </c>
      <c r="D327">
        <v>8</v>
      </c>
      <c r="E327">
        <v>0</v>
      </c>
      <c r="F327">
        <v>2</v>
      </c>
      <c r="G327">
        <v>2</v>
      </c>
      <c r="H327">
        <v>2</v>
      </c>
      <c r="I327">
        <v>2</v>
      </c>
      <c r="J327">
        <v>0</v>
      </c>
      <c r="K327">
        <v>1</v>
      </c>
      <c r="L327">
        <v>0</v>
      </c>
      <c r="M327">
        <v>4.0599999999999996</v>
      </c>
      <c r="N327" t="s">
        <v>997</v>
      </c>
    </row>
    <row r="328" spans="1:14" ht="17" customHeight="1" x14ac:dyDescent="0.35">
      <c r="A328">
        <v>7</v>
      </c>
      <c r="B328" t="s">
        <v>39</v>
      </c>
      <c r="C328">
        <v>0</v>
      </c>
      <c r="D328">
        <v>8</v>
      </c>
      <c r="E328">
        <v>2</v>
      </c>
      <c r="F328">
        <v>0</v>
      </c>
      <c r="G328">
        <v>1</v>
      </c>
      <c r="H328">
        <v>0</v>
      </c>
      <c r="I328">
        <v>1</v>
      </c>
      <c r="J328">
        <v>1</v>
      </c>
      <c r="K328">
        <v>1</v>
      </c>
      <c r="L328">
        <v>0</v>
      </c>
      <c r="M328">
        <v>4.0599999999999996</v>
      </c>
      <c r="N328" t="s">
        <v>998</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997</v>
      </c>
    </row>
    <row r="330" spans="1:14" ht="17" customHeight="1" x14ac:dyDescent="0.35">
      <c r="A330">
        <v>9</v>
      </c>
      <c r="B330" t="s">
        <v>36</v>
      </c>
      <c r="C330">
        <v>0</v>
      </c>
      <c r="D330">
        <v>3.5</v>
      </c>
      <c r="E330">
        <v>0</v>
      </c>
      <c r="F330">
        <v>0</v>
      </c>
      <c r="G330">
        <v>0</v>
      </c>
      <c r="H330">
        <v>0</v>
      </c>
      <c r="I330">
        <v>0</v>
      </c>
      <c r="J330">
        <v>0</v>
      </c>
      <c r="K330">
        <v>1</v>
      </c>
      <c r="L330">
        <v>1</v>
      </c>
      <c r="M330">
        <v>4.0599999999999996</v>
      </c>
      <c r="N330" t="s">
        <v>999</v>
      </c>
    </row>
    <row r="331" spans="1:14" ht="17" customHeight="1" x14ac:dyDescent="0.35">
      <c r="A331">
        <v>9</v>
      </c>
      <c r="B331" t="s">
        <v>38</v>
      </c>
      <c r="C331">
        <v>0</v>
      </c>
      <c r="D331">
        <v>0</v>
      </c>
      <c r="E331">
        <v>0</v>
      </c>
      <c r="F331">
        <v>0</v>
      </c>
      <c r="G331">
        <v>0</v>
      </c>
      <c r="H331">
        <v>0</v>
      </c>
      <c r="I331">
        <v>0</v>
      </c>
      <c r="J331">
        <v>0</v>
      </c>
      <c r="K331">
        <v>0</v>
      </c>
      <c r="L331">
        <v>0</v>
      </c>
      <c r="M331">
        <v>4.0599999999999996</v>
      </c>
      <c r="N331" t="s">
        <v>659</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1000</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1001</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1002</v>
      </c>
    </row>
    <row r="335" spans="1:14" ht="17" customHeight="1" x14ac:dyDescent="0.35">
      <c r="A335">
        <v>8</v>
      </c>
      <c r="B335" t="s">
        <v>38</v>
      </c>
      <c r="C335">
        <v>0</v>
      </c>
      <c r="D335">
        <v>0</v>
      </c>
      <c r="E335">
        <v>0</v>
      </c>
      <c r="F335">
        <v>0</v>
      </c>
      <c r="G335">
        <v>0</v>
      </c>
      <c r="H335">
        <v>0</v>
      </c>
      <c r="I335">
        <v>0</v>
      </c>
      <c r="J335">
        <v>0</v>
      </c>
      <c r="K335">
        <v>0</v>
      </c>
      <c r="L335">
        <v>0</v>
      </c>
      <c r="M335">
        <v>4.0599999999999996</v>
      </c>
      <c r="N335" t="s">
        <v>659</v>
      </c>
    </row>
    <row r="336" spans="1:14" ht="17" customHeight="1" x14ac:dyDescent="0.35">
      <c r="A336">
        <v>8</v>
      </c>
      <c r="B336" t="s">
        <v>39</v>
      </c>
      <c r="C336">
        <v>0</v>
      </c>
      <c r="D336">
        <v>0</v>
      </c>
      <c r="E336">
        <v>0</v>
      </c>
      <c r="F336">
        <v>0</v>
      </c>
      <c r="G336">
        <v>0</v>
      </c>
      <c r="H336">
        <v>0</v>
      </c>
      <c r="I336">
        <v>0</v>
      </c>
      <c r="J336">
        <v>0</v>
      </c>
      <c r="K336">
        <v>0</v>
      </c>
      <c r="L336">
        <v>0</v>
      </c>
      <c r="M336">
        <v>4.0599999999999996</v>
      </c>
      <c r="N336" t="s">
        <v>659</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1003</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997</v>
      </c>
    </row>
    <row r="339" spans="1:14" ht="17" customHeight="1" x14ac:dyDescent="0.35">
      <c r="A339">
        <v>21</v>
      </c>
      <c r="B339" t="s">
        <v>38</v>
      </c>
      <c r="C339">
        <v>0</v>
      </c>
      <c r="D339">
        <v>0</v>
      </c>
      <c r="E339">
        <v>0</v>
      </c>
      <c r="F339">
        <v>0</v>
      </c>
      <c r="G339">
        <v>0</v>
      </c>
      <c r="H339">
        <v>0</v>
      </c>
      <c r="I339">
        <v>0</v>
      </c>
      <c r="J339">
        <v>0</v>
      </c>
      <c r="K339">
        <v>0</v>
      </c>
      <c r="L339">
        <v>0</v>
      </c>
      <c r="M339">
        <v>4.0599999999999996</v>
      </c>
      <c r="N339" t="s">
        <v>659</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1003</v>
      </c>
    </row>
    <row r="341" spans="1:14" ht="17" customHeight="1" x14ac:dyDescent="0.35">
      <c r="A341">
        <v>21</v>
      </c>
      <c r="B341" t="s">
        <v>40</v>
      </c>
      <c r="C341">
        <v>0</v>
      </c>
      <c r="D341">
        <v>0</v>
      </c>
      <c r="E341">
        <v>0</v>
      </c>
      <c r="F341">
        <v>0</v>
      </c>
      <c r="G341">
        <v>0</v>
      </c>
      <c r="H341">
        <v>0</v>
      </c>
      <c r="I341">
        <v>0</v>
      </c>
      <c r="J341">
        <v>0</v>
      </c>
      <c r="K341">
        <v>0</v>
      </c>
      <c r="L341">
        <v>0</v>
      </c>
      <c r="M341">
        <v>4.0599999999999996</v>
      </c>
      <c r="N341" t="s">
        <v>659</v>
      </c>
    </row>
    <row r="342" spans="1:14" ht="17" customHeight="1" x14ac:dyDescent="0.35">
      <c r="A342">
        <v>19</v>
      </c>
      <c r="B342" t="s">
        <v>36</v>
      </c>
      <c r="C342">
        <v>0</v>
      </c>
      <c r="D342">
        <v>1</v>
      </c>
      <c r="E342">
        <v>0</v>
      </c>
      <c r="F342">
        <v>0</v>
      </c>
      <c r="G342">
        <v>1</v>
      </c>
      <c r="H342">
        <v>0</v>
      </c>
      <c r="I342">
        <v>0</v>
      </c>
      <c r="J342">
        <v>0</v>
      </c>
      <c r="K342">
        <v>0</v>
      </c>
      <c r="L342">
        <v>0</v>
      </c>
      <c r="M342">
        <v>4.0599999999999996</v>
      </c>
      <c r="N342" t="s">
        <v>659</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1004</v>
      </c>
    </row>
    <row r="344" spans="1:14" ht="17" customHeight="1" x14ac:dyDescent="0.35">
      <c r="A344">
        <v>19</v>
      </c>
      <c r="B344" t="s">
        <v>39</v>
      </c>
      <c r="C344">
        <v>0</v>
      </c>
      <c r="D344">
        <v>0</v>
      </c>
      <c r="E344">
        <v>0</v>
      </c>
      <c r="F344">
        <v>0</v>
      </c>
      <c r="G344">
        <v>0</v>
      </c>
      <c r="H344">
        <v>0</v>
      </c>
      <c r="I344">
        <v>0</v>
      </c>
      <c r="J344">
        <v>0</v>
      </c>
      <c r="K344">
        <v>0</v>
      </c>
      <c r="L344">
        <v>0</v>
      </c>
      <c r="M344">
        <v>4.0599999999999996</v>
      </c>
      <c r="N344" t="s">
        <v>659</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1005</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1006</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1008</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1009</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1007</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1010</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1011</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1012</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1013</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1014</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1015</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1016</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1017</v>
      </c>
    </row>
    <row r="358" spans="1:14" ht="17" customHeight="1" x14ac:dyDescent="0.35">
      <c r="A358">
        <v>5</v>
      </c>
      <c r="B358" t="s">
        <v>36</v>
      </c>
      <c r="C358">
        <v>0</v>
      </c>
      <c r="D358">
        <v>0</v>
      </c>
      <c r="E358">
        <v>0</v>
      </c>
      <c r="F358">
        <v>0</v>
      </c>
      <c r="G358">
        <v>0</v>
      </c>
      <c r="H358">
        <v>0</v>
      </c>
      <c r="I358">
        <v>0</v>
      </c>
      <c r="J358">
        <v>0</v>
      </c>
      <c r="K358">
        <v>0</v>
      </c>
      <c r="L358">
        <v>0</v>
      </c>
      <c r="M358">
        <v>4.0599999999999996</v>
      </c>
      <c r="N358" t="s">
        <v>1018</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1019</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1020</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1021</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1022</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1023</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659</v>
      </c>
    </row>
    <row r="365" spans="1:14" ht="17" customHeight="1" x14ac:dyDescent="0.35">
      <c r="A365">
        <v>15</v>
      </c>
      <c r="B365" t="s">
        <v>40</v>
      </c>
      <c r="C365">
        <v>0</v>
      </c>
      <c r="D365">
        <v>0</v>
      </c>
      <c r="E365">
        <v>0</v>
      </c>
      <c r="F365">
        <v>0</v>
      </c>
      <c r="G365">
        <v>0</v>
      </c>
      <c r="H365">
        <v>0</v>
      </c>
      <c r="I365">
        <v>0</v>
      </c>
      <c r="J365">
        <v>0</v>
      </c>
      <c r="K365">
        <v>0</v>
      </c>
      <c r="L365">
        <v>0</v>
      </c>
      <c r="M365">
        <v>4.0599999999999996</v>
      </c>
      <c r="N365" t="s">
        <v>659</v>
      </c>
    </row>
    <row r="366" spans="1:14" ht="17" customHeight="1" x14ac:dyDescent="0.35">
      <c r="A366">
        <v>13</v>
      </c>
      <c r="B366" t="s">
        <v>36</v>
      </c>
      <c r="C366">
        <v>0</v>
      </c>
      <c r="D366">
        <v>8</v>
      </c>
      <c r="E366">
        <v>1</v>
      </c>
      <c r="F366">
        <v>0</v>
      </c>
      <c r="G366">
        <v>3</v>
      </c>
      <c r="H366">
        <v>1</v>
      </c>
      <c r="I366">
        <v>1</v>
      </c>
      <c r="J366">
        <v>0</v>
      </c>
      <c r="K366">
        <v>0</v>
      </c>
      <c r="L366">
        <v>0</v>
      </c>
      <c r="M366">
        <v>4.0599999999999996</v>
      </c>
      <c r="N366" t="s">
        <v>659</v>
      </c>
    </row>
    <row r="367" spans="1:14" ht="17" customHeight="1" x14ac:dyDescent="0.35">
      <c r="A367">
        <v>13</v>
      </c>
      <c r="B367" t="s">
        <v>38</v>
      </c>
      <c r="C367">
        <v>0</v>
      </c>
      <c r="D367">
        <v>8</v>
      </c>
      <c r="E367">
        <v>2</v>
      </c>
      <c r="F367">
        <v>1</v>
      </c>
      <c r="G367">
        <v>4</v>
      </c>
      <c r="H367">
        <v>0</v>
      </c>
      <c r="I367">
        <v>1</v>
      </c>
      <c r="J367">
        <v>2</v>
      </c>
      <c r="K367">
        <v>0</v>
      </c>
      <c r="L367">
        <v>0</v>
      </c>
      <c r="M367">
        <v>4.0599999999999996</v>
      </c>
      <c r="N367" t="s">
        <v>659</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1024</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1025</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1034</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1035</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1036</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1037</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1038</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1039</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1040</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1041</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622</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1042</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1043</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1044</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1045</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970</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1046</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1047</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1048</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1049</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622</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1050</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1051</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1052</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1053</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1053</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1054</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1055</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1056</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2" activePane="bottomLeft" state="frozen"/>
      <selection pane="bottomLeft" sqref="A1:M1"/>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1113</v>
      </c>
      <c r="E1" s="1" t="s">
        <v>1114</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667</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661</v>
      </c>
      <c r="B146" t="s">
        <v>437</v>
      </c>
      <c r="C146" t="s">
        <v>477</v>
      </c>
      <c r="F146">
        <v>0</v>
      </c>
      <c r="G146" t="s">
        <v>477</v>
      </c>
      <c r="H146" t="s">
        <v>477</v>
      </c>
      <c r="I146" t="s">
        <v>477</v>
      </c>
      <c r="J146" t="s">
        <v>477</v>
      </c>
      <c r="K146" t="s">
        <v>477</v>
      </c>
      <c r="L146" t="s">
        <v>477</v>
      </c>
    </row>
    <row r="147" spans="1:12" x14ac:dyDescent="0.35">
      <c r="A147" t="s">
        <v>661</v>
      </c>
      <c r="B147" t="s">
        <v>439</v>
      </c>
      <c r="C147" t="s">
        <v>477</v>
      </c>
      <c r="F147">
        <v>0</v>
      </c>
      <c r="G147" t="s">
        <v>477</v>
      </c>
      <c r="H147" t="s">
        <v>477</v>
      </c>
      <c r="I147" t="s">
        <v>477</v>
      </c>
      <c r="J147" t="s">
        <v>477</v>
      </c>
      <c r="K147" t="s">
        <v>477</v>
      </c>
      <c r="L147" t="s">
        <v>477</v>
      </c>
    </row>
    <row r="148" spans="1:12" x14ac:dyDescent="0.35">
      <c r="A148" t="s">
        <v>661</v>
      </c>
      <c r="B148" t="s">
        <v>440</v>
      </c>
      <c r="C148" t="s">
        <v>477</v>
      </c>
      <c r="F148">
        <v>0</v>
      </c>
      <c r="G148" t="s">
        <v>477</v>
      </c>
      <c r="H148" t="s">
        <v>477</v>
      </c>
      <c r="I148" t="s">
        <v>477</v>
      </c>
      <c r="J148" t="s">
        <v>477</v>
      </c>
      <c r="K148" t="s">
        <v>477</v>
      </c>
      <c r="L148" t="s">
        <v>477</v>
      </c>
    </row>
    <row r="149" spans="1:12" x14ac:dyDescent="0.35">
      <c r="A149" t="s">
        <v>661</v>
      </c>
      <c r="B149" t="s">
        <v>438</v>
      </c>
      <c r="C149" t="s">
        <v>477</v>
      </c>
      <c r="F149">
        <v>0</v>
      </c>
      <c r="G149" t="s">
        <v>477</v>
      </c>
      <c r="H149" t="s">
        <v>477</v>
      </c>
      <c r="I149" t="s">
        <v>477</v>
      </c>
      <c r="J149" t="s">
        <v>477</v>
      </c>
      <c r="K149" t="s">
        <v>477</v>
      </c>
      <c r="L149" t="s">
        <v>477</v>
      </c>
    </row>
    <row r="150" spans="1:12" x14ac:dyDescent="0.35">
      <c r="A150" t="s">
        <v>662</v>
      </c>
      <c r="B150" t="s">
        <v>437</v>
      </c>
      <c r="C150" t="s">
        <v>477</v>
      </c>
      <c r="F150">
        <v>0</v>
      </c>
      <c r="G150" t="s">
        <v>477</v>
      </c>
      <c r="H150" t="s">
        <v>477</v>
      </c>
      <c r="I150" t="s">
        <v>477</v>
      </c>
      <c r="J150" t="s">
        <v>477</v>
      </c>
      <c r="K150" t="s">
        <v>477</v>
      </c>
      <c r="L150" t="s">
        <v>477</v>
      </c>
    </row>
    <row r="151" spans="1:12" x14ac:dyDescent="0.35">
      <c r="A151" t="s">
        <v>662</v>
      </c>
      <c r="B151" t="s">
        <v>439</v>
      </c>
      <c r="C151" t="s">
        <v>477</v>
      </c>
      <c r="F151">
        <v>0</v>
      </c>
      <c r="G151" t="s">
        <v>477</v>
      </c>
      <c r="H151" t="s">
        <v>477</v>
      </c>
      <c r="I151" t="s">
        <v>477</v>
      </c>
      <c r="J151" t="s">
        <v>477</v>
      </c>
      <c r="K151" t="s">
        <v>477</v>
      </c>
      <c r="L151" t="s">
        <v>477</v>
      </c>
    </row>
    <row r="152" spans="1:12" x14ac:dyDescent="0.35">
      <c r="A152" t="s">
        <v>662</v>
      </c>
      <c r="B152" t="s">
        <v>440</v>
      </c>
      <c r="C152" t="s">
        <v>477</v>
      </c>
      <c r="F152">
        <v>0</v>
      </c>
      <c r="G152" t="s">
        <v>477</v>
      </c>
      <c r="H152" t="s">
        <v>477</v>
      </c>
      <c r="I152" t="s">
        <v>477</v>
      </c>
      <c r="J152" t="s">
        <v>477</v>
      </c>
      <c r="K152" t="s">
        <v>477</v>
      </c>
      <c r="L152" t="s">
        <v>477</v>
      </c>
    </row>
    <row r="153" spans="1:12" x14ac:dyDescent="0.35">
      <c r="A153" t="s">
        <v>662</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749</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750</v>
      </c>
      <c r="D186" t="s">
        <v>441</v>
      </c>
      <c r="E186" t="s">
        <v>442</v>
      </c>
      <c r="F186">
        <v>4</v>
      </c>
      <c r="G186" t="s">
        <v>441</v>
      </c>
      <c r="H186" t="s">
        <v>441</v>
      </c>
      <c r="I186" t="s">
        <v>441</v>
      </c>
      <c r="J186" t="s">
        <v>441</v>
      </c>
      <c r="K186" t="s">
        <v>441</v>
      </c>
      <c r="L186">
        <v>0</v>
      </c>
      <c r="M186" t="s">
        <v>751</v>
      </c>
    </row>
    <row r="187" spans="1:13" x14ac:dyDescent="0.35">
      <c r="A187">
        <v>68</v>
      </c>
      <c r="B187" t="s">
        <v>439</v>
      </c>
      <c r="C187" t="s">
        <v>752</v>
      </c>
      <c r="D187" t="s">
        <v>442</v>
      </c>
      <c r="E187" t="s">
        <v>442</v>
      </c>
      <c r="F187">
        <v>13</v>
      </c>
      <c r="G187" t="s">
        <v>441</v>
      </c>
      <c r="H187" t="s">
        <v>441</v>
      </c>
      <c r="I187" t="s">
        <v>441</v>
      </c>
      <c r="J187" t="s">
        <v>441</v>
      </c>
      <c r="K187" t="s">
        <v>441</v>
      </c>
      <c r="L187">
        <v>0</v>
      </c>
    </row>
    <row r="188" spans="1:13" x14ac:dyDescent="0.35">
      <c r="A188">
        <v>68</v>
      </c>
      <c r="B188" t="s">
        <v>440</v>
      </c>
      <c r="C188" t="s">
        <v>750</v>
      </c>
      <c r="D188" t="s">
        <v>441</v>
      </c>
      <c r="E188" t="s">
        <v>442</v>
      </c>
      <c r="F188">
        <v>9</v>
      </c>
      <c r="G188" t="s">
        <v>441</v>
      </c>
      <c r="H188" t="s">
        <v>441</v>
      </c>
      <c r="I188" t="s">
        <v>441</v>
      </c>
      <c r="J188" t="s">
        <v>441</v>
      </c>
      <c r="K188" t="s">
        <v>441</v>
      </c>
      <c r="L188">
        <v>0</v>
      </c>
    </row>
    <row r="189" spans="1:13" x14ac:dyDescent="0.35">
      <c r="A189">
        <v>68</v>
      </c>
      <c r="B189" t="s">
        <v>438</v>
      </c>
      <c r="C189" t="s">
        <v>750</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753</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883</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1033</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753</v>
      </c>
      <c r="D383" t="s">
        <v>442</v>
      </c>
      <c r="E383" t="s">
        <v>442</v>
      </c>
      <c r="F383">
        <v>3</v>
      </c>
      <c r="G383" t="s">
        <v>441</v>
      </c>
      <c r="H383" t="s">
        <v>441</v>
      </c>
      <c r="I383" t="s">
        <v>441</v>
      </c>
      <c r="J383" t="s">
        <v>441</v>
      </c>
      <c r="K383" t="s">
        <v>441</v>
      </c>
      <c r="L383">
        <v>0</v>
      </c>
    </row>
    <row r="384" spans="1:12" x14ac:dyDescent="0.35">
      <c r="A384">
        <v>64</v>
      </c>
      <c r="B384" t="s">
        <v>440</v>
      </c>
      <c r="C384" t="s">
        <v>753</v>
      </c>
      <c r="D384" t="s">
        <v>442</v>
      </c>
      <c r="E384" t="s">
        <v>442</v>
      </c>
      <c r="F384">
        <v>5</v>
      </c>
      <c r="G384" t="s">
        <v>441</v>
      </c>
      <c r="H384" t="s">
        <v>441</v>
      </c>
      <c r="I384" t="s">
        <v>441</v>
      </c>
      <c r="J384" t="s">
        <v>441</v>
      </c>
      <c r="K384" t="s">
        <v>441</v>
      </c>
      <c r="L384">
        <v>0</v>
      </c>
    </row>
    <row r="385" spans="1:12" x14ac:dyDescent="0.35">
      <c r="A385">
        <v>64</v>
      </c>
      <c r="B385" t="s">
        <v>438</v>
      </c>
      <c r="C385" t="s">
        <v>1057</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753</v>
      </c>
      <c r="D390" t="s">
        <v>442</v>
      </c>
      <c r="E390" t="s">
        <v>442</v>
      </c>
      <c r="F390">
        <v>9</v>
      </c>
      <c r="G390" t="s">
        <v>441</v>
      </c>
      <c r="H390" t="s">
        <v>441</v>
      </c>
      <c r="I390" t="s">
        <v>441</v>
      </c>
      <c r="J390" t="s">
        <v>441</v>
      </c>
      <c r="K390" t="s">
        <v>441</v>
      </c>
      <c r="L390">
        <v>0</v>
      </c>
    </row>
    <row r="391" spans="1:12" x14ac:dyDescent="0.35">
      <c r="A391">
        <v>24</v>
      </c>
      <c r="B391" t="s">
        <v>439</v>
      </c>
      <c r="C391" t="s">
        <v>883</v>
      </c>
      <c r="D391" t="s">
        <v>442</v>
      </c>
      <c r="E391" t="s">
        <v>442</v>
      </c>
      <c r="F391">
        <v>10</v>
      </c>
      <c r="G391" t="s">
        <v>441</v>
      </c>
      <c r="H391" t="s">
        <v>441</v>
      </c>
      <c r="I391" t="s">
        <v>442</v>
      </c>
      <c r="J391" t="s">
        <v>441</v>
      </c>
      <c r="K391" t="s">
        <v>441</v>
      </c>
      <c r="L391">
        <v>10</v>
      </c>
    </row>
    <row r="392" spans="1:12" x14ac:dyDescent="0.35">
      <c r="A392">
        <v>24</v>
      </c>
      <c r="B392" t="s">
        <v>440</v>
      </c>
      <c r="C392" t="s">
        <v>753</v>
      </c>
      <c r="D392" t="s">
        <v>442</v>
      </c>
      <c r="E392" t="s">
        <v>442</v>
      </c>
      <c r="F392">
        <v>2</v>
      </c>
      <c r="G392" t="s">
        <v>441</v>
      </c>
      <c r="H392" t="s">
        <v>441</v>
      </c>
      <c r="I392" t="s">
        <v>442</v>
      </c>
      <c r="J392" t="s">
        <v>441</v>
      </c>
      <c r="K392" t="s">
        <v>441</v>
      </c>
      <c r="L392">
        <v>50</v>
      </c>
    </row>
    <row r="393" spans="1:12" x14ac:dyDescent="0.35">
      <c r="A393">
        <v>24</v>
      </c>
      <c r="B393" t="s">
        <v>438</v>
      </c>
      <c r="C393" t="s">
        <v>753</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D1" zoomScale="90" zoomScaleNormal="90" workbookViewId="0">
      <pane ySplit="1" topLeftCell="A47" activePane="bottomLeft" state="frozen"/>
      <selection pane="bottomLeft" activeCell="D1" sqref="A1:XFD1"/>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1108</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644</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903</v>
      </c>
      <c r="T4" t="s">
        <v>1109</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1109</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1109</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1109</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1109</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1109</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1109</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1109</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1109</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1109</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1109</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1109</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1109</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1109</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1109</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1109</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1109</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1109</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1109</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1109</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1110</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1109</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1109</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1109</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1109</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1109</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1110</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1109</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646</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1111</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1109</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1109</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1109</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1109</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1109</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1109</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1109</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1109</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1144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1109</v>
      </c>
    </row>
    <row r="94" spans="1:20" x14ac:dyDescent="0.35">
      <c r="A94">
        <v>38</v>
      </c>
      <c r="B94" t="s">
        <v>438</v>
      </c>
      <c r="C94">
        <v>358</v>
      </c>
      <c r="D94">
        <v>2.38</v>
      </c>
      <c r="E94" t="s">
        <v>584</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1109</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1109</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586</v>
      </c>
      <c r="T97" t="s">
        <v>1111</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1109</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1109</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1109</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585</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585</v>
      </c>
      <c r="E105" t="s">
        <v>493</v>
      </c>
      <c r="F105">
        <v>6.9</v>
      </c>
      <c r="G105">
        <v>1</v>
      </c>
      <c r="H105" t="s">
        <v>189</v>
      </c>
      <c r="I105" t="s">
        <v>441</v>
      </c>
      <c r="J105" t="s">
        <v>441</v>
      </c>
      <c r="K105" t="s">
        <v>441</v>
      </c>
      <c r="L105" t="s">
        <v>441</v>
      </c>
      <c r="M105" t="s">
        <v>441</v>
      </c>
      <c r="T105" t="s">
        <v>477</v>
      </c>
    </row>
    <row r="106" spans="1:20" x14ac:dyDescent="0.35">
      <c r="A106">
        <v>38</v>
      </c>
      <c r="B106" t="s">
        <v>440</v>
      </c>
      <c r="D106" t="s">
        <v>585</v>
      </c>
      <c r="E106" t="s">
        <v>493</v>
      </c>
      <c r="F106">
        <v>4</v>
      </c>
      <c r="G106">
        <v>1</v>
      </c>
      <c r="H106" t="s">
        <v>189</v>
      </c>
      <c r="I106" t="s">
        <v>441</v>
      </c>
      <c r="J106" t="s">
        <v>441</v>
      </c>
      <c r="K106" t="s">
        <v>441</v>
      </c>
      <c r="L106" t="s">
        <v>441</v>
      </c>
      <c r="M106" t="s">
        <v>441</v>
      </c>
      <c r="T106" t="s">
        <v>477</v>
      </c>
    </row>
    <row r="107" spans="1:20" x14ac:dyDescent="0.35">
      <c r="A107">
        <v>38</v>
      </c>
      <c r="B107" t="s">
        <v>440</v>
      </c>
      <c r="D107" t="s">
        <v>585</v>
      </c>
      <c r="E107" t="s">
        <v>493</v>
      </c>
      <c r="F107">
        <v>4.8</v>
      </c>
      <c r="G107">
        <v>1</v>
      </c>
      <c r="H107" t="s">
        <v>189</v>
      </c>
      <c r="I107" t="s">
        <v>441</v>
      </c>
      <c r="J107" t="s">
        <v>441</v>
      </c>
      <c r="K107" t="s">
        <v>441</v>
      </c>
      <c r="L107" t="s">
        <v>441</v>
      </c>
      <c r="M107" t="s">
        <v>441</v>
      </c>
      <c r="T107" t="s">
        <v>477</v>
      </c>
    </row>
    <row r="108" spans="1:20" x14ac:dyDescent="0.35">
      <c r="A108">
        <v>38</v>
      </c>
      <c r="B108" t="s">
        <v>440</v>
      </c>
      <c r="D108" t="s">
        <v>585</v>
      </c>
      <c r="E108" t="s">
        <v>493</v>
      </c>
      <c r="F108">
        <v>2.7</v>
      </c>
      <c r="G108">
        <v>1</v>
      </c>
      <c r="H108" t="s">
        <v>189</v>
      </c>
      <c r="I108" t="s">
        <v>441</v>
      </c>
      <c r="J108" t="s">
        <v>441</v>
      </c>
      <c r="K108" t="s">
        <v>441</v>
      </c>
      <c r="L108" t="s">
        <v>441</v>
      </c>
      <c r="M108" t="s">
        <v>441</v>
      </c>
      <c r="T108" t="s">
        <v>477</v>
      </c>
    </row>
    <row r="109" spans="1:20" x14ac:dyDescent="0.35">
      <c r="A109">
        <v>38</v>
      </c>
      <c r="B109" t="s">
        <v>440</v>
      </c>
      <c r="D109" t="s">
        <v>585</v>
      </c>
      <c r="E109" t="s">
        <v>475</v>
      </c>
      <c r="F109">
        <v>10.3</v>
      </c>
      <c r="G109">
        <v>1</v>
      </c>
      <c r="H109" t="s">
        <v>98</v>
      </c>
      <c r="I109" t="s">
        <v>441</v>
      </c>
      <c r="J109" t="s">
        <v>441</v>
      </c>
      <c r="K109" t="s">
        <v>442</v>
      </c>
      <c r="L109" t="s">
        <v>441</v>
      </c>
      <c r="M109" t="s">
        <v>441</v>
      </c>
      <c r="T109" t="s">
        <v>477</v>
      </c>
    </row>
    <row r="110" spans="1:20" x14ac:dyDescent="0.35">
      <c r="A110">
        <v>38</v>
      </c>
      <c r="B110" t="s">
        <v>440</v>
      </c>
      <c r="D110" t="s">
        <v>585</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585</v>
      </c>
      <c r="E111" t="s">
        <v>493</v>
      </c>
      <c r="F111">
        <v>3.6</v>
      </c>
      <c r="G111">
        <v>1</v>
      </c>
      <c r="H111" t="s">
        <v>189</v>
      </c>
      <c r="I111" t="s">
        <v>441</v>
      </c>
      <c r="J111" t="s">
        <v>441</v>
      </c>
      <c r="K111" t="s">
        <v>441</v>
      </c>
      <c r="L111" t="s">
        <v>441</v>
      </c>
      <c r="M111" t="s">
        <v>441</v>
      </c>
      <c r="T111" t="s">
        <v>477</v>
      </c>
    </row>
    <row r="112" spans="1:20" x14ac:dyDescent="0.35">
      <c r="A112">
        <v>38</v>
      </c>
      <c r="B112" t="s">
        <v>440</v>
      </c>
      <c r="D112" t="s">
        <v>585</v>
      </c>
      <c r="E112" t="s">
        <v>493</v>
      </c>
      <c r="F112">
        <v>5.5</v>
      </c>
      <c r="G112">
        <v>1</v>
      </c>
      <c r="H112" t="s">
        <v>189</v>
      </c>
      <c r="I112" t="s">
        <v>441</v>
      </c>
      <c r="J112" t="s">
        <v>441</v>
      </c>
      <c r="K112" t="s">
        <v>442</v>
      </c>
      <c r="L112" t="s">
        <v>441</v>
      </c>
      <c r="M112" t="s">
        <v>441</v>
      </c>
      <c r="T112" t="s">
        <v>477</v>
      </c>
    </row>
    <row r="113" spans="1:20" x14ac:dyDescent="0.35">
      <c r="A113">
        <v>38</v>
      </c>
      <c r="B113" t="s">
        <v>440</v>
      </c>
      <c r="D113" t="s">
        <v>585</v>
      </c>
      <c r="E113" t="s">
        <v>493</v>
      </c>
      <c r="F113">
        <v>5.5</v>
      </c>
      <c r="G113">
        <v>2</v>
      </c>
      <c r="H113" t="s">
        <v>189</v>
      </c>
      <c r="I113" t="s">
        <v>441</v>
      </c>
      <c r="J113" t="s">
        <v>441</v>
      </c>
      <c r="K113" t="s">
        <v>442</v>
      </c>
      <c r="L113" t="s">
        <v>442</v>
      </c>
      <c r="M113" t="s">
        <v>441</v>
      </c>
      <c r="T113" t="s">
        <v>1109</v>
      </c>
    </row>
    <row r="114" spans="1:20" s="6" customFormat="1" x14ac:dyDescent="0.35">
      <c r="A114" s="6">
        <v>38</v>
      </c>
      <c r="B114" s="6" t="s">
        <v>440</v>
      </c>
      <c r="D114" s="6" t="s">
        <v>585</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585</v>
      </c>
      <c r="E115" t="s">
        <v>493</v>
      </c>
      <c r="F115">
        <v>3.2</v>
      </c>
      <c r="G115">
        <v>1</v>
      </c>
      <c r="H115" t="s">
        <v>189</v>
      </c>
      <c r="I115" t="s">
        <v>441</v>
      </c>
      <c r="J115" t="s">
        <v>441</v>
      </c>
      <c r="K115" t="s">
        <v>442</v>
      </c>
      <c r="L115" t="s">
        <v>442</v>
      </c>
      <c r="M115" t="s">
        <v>441</v>
      </c>
      <c r="T115" t="s">
        <v>1109</v>
      </c>
    </row>
    <row r="116" spans="1:20" x14ac:dyDescent="0.35">
      <c r="A116">
        <v>38</v>
      </c>
      <c r="B116" t="s">
        <v>440</v>
      </c>
      <c r="D116" t="s">
        <v>585</v>
      </c>
      <c r="E116" t="s">
        <v>493</v>
      </c>
      <c r="F116">
        <v>2.6</v>
      </c>
      <c r="G116">
        <v>1</v>
      </c>
      <c r="H116" t="s">
        <v>189</v>
      </c>
      <c r="I116" t="s">
        <v>441</v>
      </c>
      <c r="J116" t="s">
        <v>441</v>
      </c>
      <c r="K116" t="s">
        <v>441</v>
      </c>
      <c r="L116" t="s">
        <v>441</v>
      </c>
      <c r="M116" t="s">
        <v>441</v>
      </c>
      <c r="T116" t="s">
        <v>477</v>
      </c>
    </row>
    <row r="117" spans="1:20" x14ac:dyDescent="0.35">
      <c r="A117">
        <v>38</v>
      </c>
      <c r="B117" t="s">
        <v>440</v>
      </c>
      <c r="D117" t="s">
        <v>585</v>
      </c>
      <c r="E117" t="s">
        <v>493</v>
      </c>
      <c r="F117">
        <v>5</v>
      </c>
      <c r="G117">
        <v>1</v>
      </c>
      <c r="H117" t="s">
        <v>189</v>
      </c>
      <c r="I117" t="s">
        <v>441</v>
      </c>
      <c r="J117" t="s">
        <v>441</v>
      </c>
      <c r="K117" t="s">
        <v>442</v>
      </c>
      <c r="L117" t="s">
        <v>442</v>
      </c>
      <c r="M117" t="s">
        <v>441</v>
      </c>
      <c r="T117" t="s">
        <v>1109</v>
      </c>
    </row>
    <row r="118" spans="1:20" x14ac:dyDescent="0.35">
      <c r="A118">
        <v>38</v>
      </c>
      <c r="B118" t="s">
        <v>438</v>
      </c>
      <c r="D118" t="s">
        <v>585</v>
      </c>
      <c r="E118" t="s">
        <v>493</v>
      </c>
      <c r="F118">
        <v>6.3</v>
      </c>
      <c r="G118">
        <v>5</v>
      </c>
      <c r="H118" t="s">
        <v>189</v>
      </c>
      <c r="I118" t="s">
        <v>441</v>
      </c>
      <c r="J118" t="s">
        <v>442</v>
      </c>
      <c r="K118" t="s">
        <v>442</v>
      </c>
      <c r="L118" t="s">
        <v>442</v>
      </c>
      <c r="M118" t="s">
        <v>442</v>
      </c>
      <c r="T118" t="s">
        <v>1109</v>
      </c>
    </row>
    <row r="119" spans="1:20" x14ac:dyDescent="0.35">
      <c r="A119">
        <v>38</v>
      </c>
      <c r="B119" t="s">
        <v>438</v>
      </c>
      <c r="D119" t="s">
        <v>585</v>
      </c>
      <c r="E119" t="s">
        <v>475</v>
      </c>
      <c r="F119">
        <v>5</v>
      </c>
      <c r="G119">
        <v>1</v>
      </c>
      <c r="H119" t="s">
        <v>189</v>
      </c>
      <c r="I119" t="s">
        <v>441</v>
      </c>
      <c r="J119" t="s">
        <v>441</v>
      </c>
      <c r="K119" t="s">
        <v>442</v>
      </c>
      <c r="L119" t="s">
        <v>441</v>
      </c>
      <c r="M119" t="s">
        <v>441</v>
      </c>
      <c r="T119" t="s">
        <v>477</v>
      </c>
    </row>
    <row r="120" spans="1:20" x14ac:dyDescent="0.35">
      <c r="A120">
        <v>38</v>
      </c>
      <c r="B120" t="s">
        <v>438</v>
      </c>
      <c r="D120" t="s">
        <v>585</v>
      </c>
      <c r="E120" t="s">
        <v>493</v>
      </c>
      <c r="F120">
        <v>6.4</v>
      </c>
      <c r="G120">
        <v>2</v>
      </c>
      <c r="H120" t="s">
        <v>189</v>
      </c>
      <c r="I120" t="s">
        <v>441</v>
      </c>
      <c r="J120" t="s">
        <v>441</v>
      </c>
      <c r="K120" t="s">
        <v>441</v>
      </c>
      <c r="L120" t="s">
        <v>442</v>
      </c>
      <c r="M120" t="s">
        <v>441</v>
      </c>
      <c r="T120" t="s">
        <v>1109</v>
      </c>
    </row>
    <row r="121" spans="1:20" x14ac:dyDescent="0.35">
      <c r="A121">
        <v>38</v>
      </c>
      <c r="B121" t="s">
        <v>438</v>
      </c>
      <c r="D121" t="s">
        <v>585</v>
      </c>
      <c r="E121" t="s">
        <v>493</v>
      </c>
      <c r="F121">
        <v>6.3</v>
      </c>
      <c r="H121" t="s">
        <v>189</v>
      </c>
      <c r="I121" t="s">
        <v>441</v>
      </c>
      <c r="J121" t="s">
        <v>441</v>
      </c>
      <c r="K121" t="s">
        <v>441</v>
      </c>
      <c r="L121" t="s">
        <v>442</v>
      </c>
      <c r="R121" t="s">
        <v>587</v>
      </c>
      <c r="T121" t="s">
        <v>1109</v>
      </c>
    </row>
    <row r="122" spans="1:20" s="6" customFormat="1" x14ac:dyDescent="0.35">
      <c r="A122">
        <v>37</v>
      </c>
      <c r="B122" s="6" t="s">
        <v>437</v>
      </c>
      <c r="D122" s="6" t="s">
        <v>585</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585</v>
      </c>
      <c r="E123" t="s">
        <v>517</v>
      </c>
      <c r="F123">
        <v>2.9</v>
      </c>
      <c r="G123">
        <v>5</v>
      </c>
      <c r="H123" t="s">
        <v>39</v>
      </c>
      <c r="I123" t="s">
        <v>441</v>
      </c>
      <c r="J123" t="s">
        <v>442</v>
      </c>
      <c r="K123" t="s">
        <v>442</v>
      </c>
      <c r="L123" t="s">
        <v>441</v>
      </c>
      <c r="M123" t="s">
        <v>441</v>
      </c>
      <c r="T123" t="s">
        <v>477</v>
      </c>
    </row>
    <row r="124" spans="1:20" x14ac:dyDescent="0.35">
      <c r="A124">
        <v>37</v>
      </c>
      <c r="B124" t="s">
        <v>437</v>
      </c>
      <c r="D124" t="s">
        <v>585</v>
      </c>
      <c r="E124" t="s">
        <v>493</v>
      </c>
      <c r="F124">
        <v>4.5</v>
      </c>
      <c r="G124">
        <v>1</v>
      </c>
      <c r="H124" t="s">
        <v>189</v>
      </c>
      <c r="I124" t="s">
        <v>441</v>
      </c>
      <c r="J124" t="s">
        <v>441</v>
      </c>
      <c r="K124" t="s">
        <v>441</v>
      </c>
      <c r="L124" t="s">
        <v>442</v>
      </c>
      <c r="M124" t="s">
        <v>441</v>
      </c>
      <c r="T124" t="s">
        <v>1109</v>
      </c>
    </row>
    <row r="125" spans="1:20" x14ac:dyDescent="0.35">
      <c r="A125">
        <v>37</v>
      </c>
      <c r="B125" t="s">
        <v>437</v>
      </c>
      <c r="D125" t="s">
        <v>585</v>
      </c>
      <c r="E125" t="s">
        <v>493</v>
      </c>
      <c r="F125">
        <v>5.3</v>
      </c>
      <c r="G125">
        <v>1</v>
      </c>
      <c r="H125" t="s">
        <v>189</v>
      </c>
      <c r="I125" t="s">
        <v>441</v>
      </c>
      <c r="J125" t="s">
        <v>441</v>
      </c>
      <c r="K125" t="s">
        <v>441</v>
      </c>
      <c r="L125" t="s">
        <v>441</v>
      </c>
      <c r="M125" t="s">
        <v>441</v>
      </c>
      <c r="T125" t="s">
        <v>477</v>
      </c>
    </row>
    <row r="126" spans="1:20" x14ac:dyDescent="0.35">
      <c r="A126">
        <v>37</v>
      </c>
      <c r="B126" t="s">
        <v>439</v>
      </c>
      <c r="D126" t="s">
        <v>585</v>
      </c>
      <c r="E126" t="s">
        <v>493</v>
      </c>
      <c r="F126">
        <v>6.6</v>
      </c>
      <c r="G126">
        <v>1</v>
      </c>
      <c r="H126" t="s">
        <v>189</v>
      </c>
      <c r="I126" t="s">
        <v>441</v>
      </c>
      <c r="J126" t="s">
        <v>441</v>
      </c>
      <c r="K126" t="s">
        <v>442</v>
      </c>
      <c r="L126" t="s">
        <v>442</v>
      </c>
      <c r="M126" t="s">
        <v>441</v>
      </c>
      <c r="T126" t="s">
        <v>1109</v>
      </c>
    </row>
    <row r="127" spans="1:20" x14ac:dyDescent="0.35">
      <c r="A127">
        <v>37</v>
      </c>
      <c r="B127" t="s">
        <v>439</v>
      </c>
      <c r="D127" t="s">
        <v>585</v>
      </c>
      <c r="E127" t="s">
        <v>493</v>
      </c>
      <c r="F127">
        <v>5.0999999999999996</v>
      </c>
      <c r="G127">
        <v>5</v>
      </c>
      <c r="H127" t="s">
        <v>189</v>
      </c>
      <c r="I127" t="s">
        <v>441</v>
      </c>
      <c r="J127" t="s">
        <v>441</v>
      </c>
      <c r="K127" t="s">
        <v>442</v>
      </c>
      <c r="L127" t="s">
        <v>442</v>
      </c>
      <c r="M127" t="s">
        <v>442</v>
      </c>
      <c r="T127" t="s">
        <v>1109</v>
      </c>
    </row>
    <row r="128" spans="1:20" x14ac:dyDescent="0.35">
      <c r="A128">
        <v>37</v>
      </c>
      <c r="B128" t="s">
        <v>439</v>
      </c>
      <c r="D128" t="s">
        <v>585</v>
      </c>
      <c r="E128" t="s">
        <v>493</v>
      </c>
      <c r="F128">
        <v>8.6</v>
      </c>
      <c r="G128">
        <v>3</v>
      </c>
      <c r="H128" t="s">
        <v>98</v>
      </c>
      <c r="I128" t="s">
        <v>441</v>
      </c>
      <c r="J128" t="s">
        <v>442</v>
      </c>
      <c r="K128" t="s">
        <v>441</v>
      </c>
      <c r="L128" t="s">
        <v>442</v>
      </c>
      <c r="M128" t="s">
        <v>441</v>
      </c>
      <c r="R128" t="s">
        <v>582</v>
      </c>
      <c r="T128" t="s">
        <v>1109</v>
      </c>
    </row>
    <row r="129" spans="1:20" x14ac:dyDescent="0.35">
      <c r="A129">
        <v>37</v>
      </c>
      <c r="B129" t="s">
        <v>439</v>
      </c>
      <c r="D129" t="s">
        <v>585</v>
      </c>
      <c r="E129" t="s">
        <v>493</v>
      </c>
      <c r="F129">
        <v>8.5</v>
      </c>
      <c r="G129">
        <v>4</v>
      </c>
      <c r="H129" t="s">
        <v>98</v>
      </c>
      <c r="I129" t="s">
        <v>441</v>
      </c>
      <c r="J129" t="s">
        <v>442</v>
      </c>
      <c r="K129" t="s">
        <v>442</v>
      </c>
      <c r="L129" t="s">
        <v>442</v>
      </c>
      <c r="M129" t="s">
        <v>441</v>
      </c>
      <c r="T129" t="s">
        <v>1109</v>
      </c>
    </row>
    <row r="130" spans="1:20" x14ac:dyDescent="0.35">
      <c r="A130">
        <v>37</v>
      </c>
      <c r="B130" t="s">
        <v>439</v>
      </c>
      <c r="D130" t="s">
        <v>585</v>
      </c>
      <c r="E130" t="s">
        <v>493</v>
      </c>
      <c r="F130">
        <v>3.1</v>
      </c>
      <c r="G130">
        <v>1</v>
      </c>
      <c r="H130" t="s">
        <v>189</v>
      </c>
      <c r="I130" t="s">
        <v>441</v>
      </c>
      <c r="J130" t="s">
        <v>441</v>
      </c>
      <c r="K130" t="s">
        <v>442</v>
      </c>
      <c r="L130" t="s">
        <v>441</v>
      </c>
      <c r="M130" t="s">
        <v>441</v>
      </c>
      <c r="T130" t="s">
        <v>477</v>
      </c>
    </row>
    <row r="131" spans="1:20" x14ac:dyDescent="0.35">
      <c r="A131">
        <v>37</v>
      </c>
      <c r="B131" t="s">
        <v>439</v>
      </c>
      <c r="D131" t="s">
        <v>585</v>
      </c>
      <c r="E131" t="s">
        <v>493</v>
      </c>
      <c r="F131">
        <v>5</v>
      </c>
      <c r="G131">
        <v>5</v>
      </c>
      <c r="H131" t="s">
        <v>189</v>
      </c>
      <c r="I131" t="s">
        <v>441</v>
      </c>
      <c r="J131" t="s">
        <v>441</v>
      </c>
      <c r="K131" t="s">
        <v>442</v>
      </c>
      <c r="L131" t="s">
        <v>442</v>
      </c>
      <c r="M131" t="s">
        <v>441</v>
      </c>
      <c r="T131" t="s">
        <v>1109</v>
      </c>
    </row>
    <row r="132" spans="1:20" x14ac:dyDescent="0.35">
      <c r="A132">
        <v>37</v>
      </c>
      <c r="B132" t="s">
        <v>439</v>
      </c>
      <c r="D132" t="s">
        <v>585</v>
      </c>
      <c r="E132" t="s">
        <v>493</v>
      </c>
      <c r="F132">
        <v>7</v>
      </c>
      <c r="G132">
        <v>5</v>
      </c>
      <c r="H132" t="s">
        <v>189</v>
      </c>
      <c r="I132" t="s">
        <v>442</v>
      </c>
      <c r="J132" t="s">
        <v>442</v>
      </c>
      <c r="K132" t="s">
        <v>441</v>
      </c>
      <c r="L132" t="s">
        <v>442</v>
      </c>
      <c r="M132" t="s">
        <v>441</v>
      </c>
      <c r="T132" t="s">
        <v>1109</v>
      </c>
    </row>
    <row r="133" spans="1:20" x14ac:dyDescent="0.35">
      <c r="A133">
        <v>37</v>
      </c>
      <c r="B133" t="s">
        <v>439</v>
      </c>
      <c r="D133" t="s">
        <v>585</v>
      </c>
      <c r="E133" t="s">
        <v>493</v>
      </c>
      <c r="F133">
        <v>5.8</v>
      </c>
      <c r="G133">
        <v>3</v>
      </c>
      <c r="H133" t="s">
        <v>189</v>
      </c>
      <c r="I133" t="s">
        <v>441</v>
      </c>
      <c r="J133" t="s">
        <v>442</v>
      </c>
      <c r="K133" t="s">
        <v>442</v>
      </c>
      <c r="L133" t="s">
        <v>442</v>
      </c>
      <c r="M133" t="s">
        <v>441</v>
      </c>
      <c r="T133" t="s">
        <v>1109</v>
      </c>
    </row>
    <row r="134" spans="1:20" x14ac:dyDescent="0.35">
      <c r="A134">
        <v>37</v>
      </c>
      <c r="B134" t="s">
        <v>439</v>
      </c>
      <c r="D134" t="s">
        <v>585</v>
      </c>
      <c r="E134" t="s">
        <v>493</v>
      </c>
      <c r="F134">
        <v>5.9</v>
      </c>
      <c r="G134">
        <v>3</v>
      </c>
      <c r="H134" t="s">
        <v>189</v>
      </c>
      <c r="I134" t="s">
        <v>441</v>
      </c>
      <c r="J134" t="s">
        <v>441</v>
      </c>
      <c r="K134" t="s">
        <v>442</v>
      </c>
      <c r="L134" t="s">
        <v>442</v>
      </c>
      <c r="M134" t="s">
        <v>441</v>
      </c>
      <c r="T134" t="s">
        <v>1109</v>
      </c>
    </row>
    <row r="135" spans="1:20" x14ac:dyDescent="0.35">
      <c r="A135">
        <v>37</v>
      </c>
      <c r="B135" t="s">
        <v>439</v>
      </c>
      <c r="D135" t="s">
        <v>585</v>
      </c>
      <c r="E135" t="s">
        <v>493</v>
      </c>
      <c r="F135">
        <v>5.4</v>
      </c>
      <c r="G135">
        <v>5</v>
      </c>
      <c r="H135" t="s">
        <v>189</v>
      </c>
      <c r="I135" t="s">
        <v>441</v>
      </c>
      <c r="J135" t="s">
        <v>442</v>
      </c>
      <c r="K135" t="s">
        <v>441</v>
      </c>
      <c r="L135" t="s">
        <v>442</v>
      </c>
      <c r="M135" t="s">
        <v>442</v>
      </c>
      <c r="T135" t="s">
        <v>1109</v>
      </c>
    </row>
    <row r="136" spans="1:20" x14ac:dyDescent="0.35">
      <c r="A136">
        <v>37</v>
      </c>
      <c r="B136" t="s">
        <v>439</v>
      </c>
      <c r="D136" t="s">
        <v>585</v>
      </c>
      <c r="E136" t="s">
        <v>493</v>
      </c>
      <c r="F136">
        <v>2.9</v>
      </c>
      <c r="G136">
        <v>2</v>
      </c>
      <c r="H136" t="s">
        <v>189</v>
      </c>
      <c r="I136" t="s">
        <v>441</v>
      </c>
      <c r="J136" t="s">
        <v>441</v>
      </c>
      <c r="K136" t="s">
        <v>442</v>
      </c>
      <c r="L136" t="s">
        <v>442</v>
      </c>
      <c r="M136" t="s">
        <v>442</v>
      </c>
      <c r="T136" t="s">
        <v>1109</v>
      </c>
    </row>
    <row r="137" spans="1:20" x14ac:dyDescent="0.35">
      <c r="A137">
        <v>37</v>
      </c>
      <c r="B137" t="s">
        <v>439</v>
      </c>
      <c r="D137" t="s">
        <v>585</v>
      </c>
      <c r="E137" t="s">
        <v>493</v>
      </c>
      <c r="F137">
        <v>5.8</v>
      </c>
      <c r="G137">
        <v>5</v>
      </c>
      <c r="H137" t="s">
        <v>39</v>
      </c>
      <c r="I137" t="s">
        <v>441</v>
      </c>
      <c r="J137" t="s">
        <v>441</v>
      </c>
      <c r="K137" t="s">
        <v>442</v>
      </c>
      <c r="L137" t="s">
        <v>442</v>
      </c>
      <c r="M137" t="s">
        <v>442</v>
      </c>
      <c r="T137" t="s">
        <v>1109</v>
      </c>
    </row>
    <row r="138" spans="1:20" x14ac:dyDescent="0.35">
      <c r="A138">
        <v>37</v>
      </c>
      <c r="B138" t="s">
        <v>439</v>
      </c>
      <c r="D138" t="s">
        <v>585</v>
      </c>
      <c r="E138" t="s">
        <v>493</v>
      </c>
      <c r="F138">
        <v>3.9</v>
      </c>
      <c r="G138">
        <v>5</v>
      </c>
      <c r="H138" t="s">
        <v>189</v>
      </c>
      <c r="I138" t="s">
        <v>441</v>
      </c>
      <c r="J138" t="s">
        <v>441</v>
      </c>
      <c r="K138" t="s">
        <v>442</v>
      </c>
      <c r="L138" t="s">
        <v>442</v>
      </c>
      <c r="M138" t="s">
        <v>441</v>
      </c>
      <c r="T138" t="s">
        <v>1109</v>
      </c>
    </row>
    <row r="139" spans="1:20" x14ac:dyDescent="0.35">
      <c r="A139">
        <v>37</v>
      </c>
      <c r="B139" t="s">
        <v>439</v>
      </c>
      <c r="D139" t="s">
        <v>585</v>
      </c>
      <c r="E139" t="s">
        <v>493</v>
      </c>
      <c r="F139">
        <v>8.6999999999999993</v>
      </c>
      <c r="G139">
        <v>3</v>
      </c>
      <c r="H139" t="s">
        <v>98</v>
      </c>
      <c r="I139" t="s">
        <v>441</v>
      </c>
      <c r="J139" t="s">
        <v>441</v>
      </c>
      <c r="K139" t="s">
        <v>441</v>
      </c>
      <c r="L139" t="s">
        <v>442</v>
      </c>
      <c r="M139" t="s">
        <v>441</v>
      </c>
      <c r="R139" t="s">
        <v>582</v>
      </c>
      <c r="T139" t="s">
        <v>1109</v>
      </c>
    </row>
    <row r="140" spans="1:20" x14ac:dyDescent="0.35">
      <c r="A140">
        <v>37</v>
      </c>
      <c r="B140" t="s">
        <v>439</v>
      </c>
      <c r="D140" t="s">
        <v>585</v>
      </c>
      <c r="E140" t="s">
        <v>493</v>
      </c>
      <c r="F140">
        <v>5.3</v>
      </c>
      <c r="G140">
        <v>1</v>
      </c>
      <c r="H140" t="s">
        <v>189</v>
      </c>
      <c r="I140" t="s">
        <v>441</v>
      </c>
      <c r="J140" t="s">
        <v>441</v>
      </c>
      <c r="K140" t="s">
        <v>441</v>
      </c>
      <c r="L140" t="s">
        <v>441</v>
      </c>
      <c r="M140" t="s">
        <v>441</v>
      </c>
      <c r="T140" t="s">
        <v>477</v>
      </c>
    </row>
    <row r="141" spans="1:20" x14ac:dyDescent="0.35">
      <c r="A141">
        <v>37</v>
      </c>
      <c r="B141" t="s">
        <v>439</v>
      </c>
      <c r="D141" t="s">
        <v>585</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585</v>
      </c>
      <c r="E142" t="s">
        <v>493</v>
      </c>
      <c r="F142">
        <v>8.5</v>
      </c>
      <c r="G142">
        <v>3</v>
      </c>
      <c r="H142" t="s">
        <v>189</v>
      </c>
      <c r="I142" t="s">
        <v>441</v>
      </c>
      <c r="J142" t="s">
        <v>442</v>
      </c>
      <c r="K142" t="s">
        <v>442</v>
      </c>
      <c r="L142" t="s">
        <v>442</v>
      </c>
      <c r="M142" t="s">
        <v>441</v>
      </c>
      <c r="T142" t="s">
        <v>1109</v>
      </c>
    </row>
    <row r="143" spans="1:20" x14ac:dyDescent="0.35">
      <c r="A143">
        <v>37</v>
      </c>
      <c r="B143" t="s">
        <v>439</v>
      </c>
      <c r="D143" t="s">
        <v>585</v>
      </c>
      <c r="E143" t="s">
        <v>493</v>
      </c>
      <c r="F143">
        <v>6.2</v>
      </c>
      <c r="G143">
        <v>1</v>
      </c>
      <c r="H143" t="s">
        <v>189</v>
      </c>
      <c r="I143" t="s">
        <v>441</v>
      </c>
      <c r="J143" t="s">
        <v>441</v>
      </c>
      <c r="K143" t="s">
        <v>441</v>
      </c>
      <c r="L143" t="s">
        <v>441</v>
      </c>
      <c r="M143" t="s">
        <v>441</v>
      </c>
      <c r="T143" t="s">
        <v>477</v>
      </c>
    </row>
    <row r="144" spans="1:20" x14ac:dyDescent="0.35">
      <c r="A144">
        <v>37</v>
      </c>
      <c r="B144" t="s">
        <v>438</v>
      </c>
      <c r="D144" t="s">
        <v>585</v>
      </c>
      <c r="E144" t="s">
        <v>493</v>
      </c>
      <c r="F144">
        <v>6.6</v>
      </c>
      <c r="G144">
        <v>5</v>
      </c>
      <c r="H144" t="s">
        <v>189</v>
      </c>
      <c r="I144" t="s">
        <v>441</v>
      </c>
      <c r="J144" t="s">
        <v>442</v>
      </c>
      <c r="K144" t="s">
        <v>442</v>
      </c>
      <c r="L144" t="s">
        <v>442</v>
      </c>
      <c r="M144" t="s">
        <v>442</v>
      </c>
      <c r="T144" t="s">
        <v>1109</v>
      </c>
    </row>
    <row r="145" spans="1:20" s="6" customFormat="1" x14ac:dyDescent="0.35">
      <c r="A145" s="6">
        <v>37</v>
      </c>
      <c r="B145" s="6" t="s">
        <v>438</v>
      </c>
      <c r="D145" s="6" t="s">
        <v>585</v>
      </c>
      <c r="E145" s="6" t="s">
        <v>493</v>
      </c>
      <c r="F145" s="6">
        <v>6</v>
      </c>
      <c r="G145" s="6">
        <v>5</v>
      </c>
      <c r="H145" s="6" t="s">
        <v>189</v>
      </c>
      <c r="I145" s="6" t="s">
        <v>441</v>
      </c>
      <c r="J145" s="6" t="s">
        <v>442</v>
      </c>
      <c r="K145" s="6" t="s">
        <v>442</v>
      </c>
      <c r="L145" s="6" t="s">
        <v>442</v>
      </c>
      <c r="M145" s="6" t="s">
        <v>441</v>
      </c>
      <c r="T145" t="s">
        <v>1109</v>
      </c>
    </row>
    <row r="146" spans="1:20" x14ac:dyDescent="0.35">
      <c r="A146">
        <v>37</v>
      </c>
      <c r="B146" t="s">
        <v>438</v>
      </c>
      <c r="D146" t="s">
        <v>585</v>
      </c>
      <c r="E146" t="s">
        <v>493</v>
      </c>
      <c r="F146">
        <v>9.5</v>
      </c>
      <c r="G146">
        <v>1</v>
      </c>
      <c r="H146" t="s">
        <v>189</v>
      </c>
      <c r="I146" t="s">
        <v>441</v>
      </c>
      <c r="J146" t="s">
        <v>441</v>
      </c>
      <c r="K146" t="s">
        <v>441</v>
      </c>
      <c r="L146" t="s">
        <v>441</v>
      </c>
      <c r="M146" t="s">
        <v>442</v>
      </c>
      <c r="T146" t="s">
        <v>477</v>
      </c>
    </row>
    <row r="147" spans="1:20" x14ac:dyDescent="0.35">
      <c r="A147">
        <v>37</v>
      </c>
      <c r="B147" t="s">
        <v>438</v>
      </c>
      <c r="D147" t="s">
        <v>585</v>
      </c>
      <c r="E147" t="s">
        <v>493</v>
      </c>
      <c r="F147">
        <v>6.5</v>
      </c>
      <c r="G147">
        <v>2</v>
      </c>
      <c r="H147" t="s">
        <v>189</v>
      </c>
      <c r="I147" t="s">
        <v>441</v>
      </c>
      <c r="J147" t="s">
        <v>441</v>
      </c>
      <c r="K147" t="s">
        <v>442</v>
      </c>
      <c r="L147" t="s">
        <v>442</v>
      </c>
      <c r="M147" t="s">
        <v>441</v>
      </c>
      <c r="T147" t="s">
        <v>1109</v>
      </c>
    </row>
    <row r="148" spans="1:20" x14ac:dyDescent="0.35">
      <c r="A148">
        <v>37</v>
      </c>
      <c r="B148" t="s">
        <v>438</v>
      </c>
      <c r="D148" t="s">
        <v>585</v>
      </c>
      <c r="E148" t="s">
        <v>493</v>
      </c>
      <c r="F148">
        <v>6.1</v>
      </c>
      <c r="G148">
        <v>1</v>
      </c>
      <c r="H148" t="s">
        <v>189</v>
      </c>
      <c r="I148" t="s">
        <v>441</v>
      </c>
      <c r="J148" t="s">
        <v>441</v>
      </c>
      <c r="K148" t="s">
        <v>441</v>
      </c>
      <c r="L148" t="s">
        <v>441</v>
      </c>
      <c r="M148" t="s">
        <v>441</v>
      </c>
      <c r="T148" t="s">
        <v>477</v>
      </c>
    </row>
    <row r="149" spans="1:20" x14ac:dyDescent="0.35">
      <c r="A149">
        <v>37</v>
      </c>
      <c r="B149" t="s">
        <v>438</v>
      </c>
      <c r="D149" t="s">
        <v>585</v>
      </c>
      <c r="E149" t="s">
        <v>493</v>
      </c>
      <c r="F149">
        <v>5</v>
      </c>
      <c r="G149">
        <v>5</v>
      </c>
      <c r="H149" t="s">
        <v>189</v>
      </c>
      <c r="I149" t="s">
        <v>441</v>
      </c>
      <c r="J149" t="s">
        <v>442</v>
      </c>
      <c r="K149" t="s">
        <v>442</v>
      </c>
      <c r="L149" t="s">
        <v>442</v>
      </c>
      <c r="M149" t="s">
        <v>442</v>
      </c>
      <c r="T149" t="s">
        <v>1109</v>
      </c>
    </row>
    <row r="150" spans="1:20" x14ac:dyDescent="0.35">
      <c r="A150">
        <v>37</v>
      </c>
      <c r="B150" t="s">
        <v>438</v>
      </c>
      <c r="D150" t="s">
        <v>585</v>
      </c>
      <c r="E150" t="s">
        <v>493</v>
      </c>
      <c r="F150">
        <v>6.2</v>
      </c>
      <c r="G150">
        <v>1</v>
      </c>
      <c r="H150" t="s">
        <v>189</v>
      </c>
      <c r="I150" t="s">
        <v>441</v>
      </c>
      <c r="J150" t="s">
        <v>441</v>
      </c>
      <c r="K150" t="s">
        <v>442</v>
      </c>
      <c r="L150" t="s">
        <v>442</v>
      </c>
      <c r="M150" t="s">
        <v>441</v>
      </c>
      <c r="T150" t="s">
        <v>1109</v>
      </c>
    </row>
    <row r="151" spans="1:20" x14ac:dyDescent="0.35">
      <c r="A151">
        <v>37</v>
      </c>
      <c r="B151" t="s">
        <v>438</v>
      </c>
      <c r="D151" t="s">
        <v>585</v>
      </c>
      <c r="E151" t="s">
        <v>493</v>
      </c>
      <c r="F151">
        <v>6</v>
      </c>
      <c r="G151">
        <v>1</v>
      </c>
      <c r="H151" t="s">
        <v>189</v>
      </c>
      <c r="I151" t="s">
        <v>441</v>
      </c>
      <c r="J151" t="s">
        <v>441</v>
      </c>
      <c r="K151" t="s">
        <v>441</v>
      </c>
      <c r="L151" t="s">
        <v>441</v>
      </c>
      <c r="M151" t="s">
        <v>441</v>
      </c>
      <c r="T151" t="s">
        <v>477</v>
      </c>
    </row>
    <row r="152" spans="1:20" x14ac:dyDescent="0.35">
      <c r="A152">
        <v>37</v>
      </c>
      <c r="B152" t="s">
        <v>438</v>
      </c>
      <c r="D152" t="s">
        <v>585</v>
      </c>
      <c r="E152" t="s">
        <v>493</v>
      </c>
      <c r="F152">
        <v>4.5999999999999996</v>
      </c>
      <c r="G152">
        <v>1</v>
      </c>
      <c r="H152" t="s">
        <v>189</v>
      </c>
      <c r="I152" t="s">
        <v>441</v>
      </c>
      <c r="J152" t="s">
        <v>441</v>
      </c>
      <c r="K152" t="s">
        <v>442</v>
      </c>
      <c r="L152" t="s">
        <v>442</v>
      </c>
      <c r="M152" t="s">
        <v>441</v>
      </c>
      <c r="T152" t="s">
        <v>1109</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585</v>
      </c>
      <c r="E154" s="6" t="s">
        <v>517</v>
      </c>
      <c r="F154" s="6">
        <v>4.8</v>
      </c>
      <c r="G154" s="6">
        <v>5</v>
      </c>
      <c r="H154" s="6" t="s">
        <v>39</v>
      </c>
      <c r="I154" s="6" t="s">
        <v>441</v>
      </c>
      <c r="J154" s="6" t="s">
        <v>442</v>
      </c>
      <c r="K154" s="6" t="s">
        <v>442</v>
      </c>
      <c r="L154" s="6" t="s">
        <v>442</v>
      </c>
      <c r="M154" s="6" t="s">
        <v>441</v>
      </c>
      <c r="T154" t="s">
        <v>1109</v>
      </c>
    </row>
    <row r="155" spans="1:20" x14ac:dyDescent="0.35">
      <c r="A155">
        <v>25</v>
      </c>
      <c r="B155" t="s">
        <v>439</v>
      </c>
      <c r="D155" t="s">
        <v>585</v>
      </c>
      <c r="E155" t="s">
        <v>493</v>
      </c>
      <c r="F155">
        <v>3.4</v>
      </c>
      <c r="G155">
        <v>3</v>
      </c>
      <c r="H155" t="s">
        <v>39</v>
      </c>
      <c r="I155" t="s">
        <v>441</v>
      </c>
      <c r="J155" t="s">
        <v>441</v>
      </c>
      <c r="K155" t="s">
        <v>442</v>
      </c>
      <c r="L155" t="s">
        <v>442</v>
      </c>
      <c r="M155" t="s">
        <v>442</v>
      </c>
      <c r="T155" t="s">
        <v>1109</v>
      </c>
    </row>
    <row r="156" spans="1:20" x14ac:dyDescent="0.35">
      <c r="A156">
        <v>25</v>
      </c>
      <c r="B156" t="s">
        <v>439</v>
      </c>
      <c r="D156" t="s">
        <v>585</v>
      </c>
      <c r="E156" t="s">
        <v>493</v>
      </c>
      <c r="F156">
        <v>2.7</v>
      </c>
      <c r="G156">
        <v>5</v>
      </c>
      <c r="H156" t="s">
        <v>39</v>
      </c>
      <c r="I156" t="s">
        <v>441</v>
      </c>
      <c r="J156" t="s">
        <v>442</v>
      </c>
      <c r="K156" t="s">
        <v>442</v>
      </c>
      <c r="L156" t="s">
        <v>442</v>
      </c>
      <c r="M156" t="s">
        <v>442</v>
      </c>
      <c r="T156" t="s">
        <v>1109</v>
      </c>
    </row>
    <row r="157" spans="1:20" x14ac:dyDescent="0.35">
      <c r="A157">
        <v>25</v>
      </c>
      <c r="B157" t="s">
        <v>440</v>
      </c>
      <c r="D157" t="s">
        <v>585</v>
      </c>
      <c r="E157" t="s">
        <v>475</v>
      </c>
      <c r="F157">
        <v>3.1</v>
      </c>
      <c r="G157">
        <v>1</v>
      </c>
      <c r="H157" t="s">
        <v>189</v>
      </c>
      <c r="I157" t="s">
        <v>441</v>
      </c>
      <c r="J157" t="s">
        <v>441</v>
      </c>
      <c r="K157" t="s">
        <v>442</v>
      </c>
      <c r="L157" t="s">
        <v>441</v>
      </c>
      <c r="M157" t="s">
        <v>441</v>
      </c>
      <c r="T157" t="s">
        <v>477</v>
      </c>
    </row>
    <row r="158" spans="1:20" x14ac:dyDescent="0.35">
      <c r="A158">
        <v>25</v>
      </c>
      <c r="B158" t="s">
        <v>440</v>
      </c>
      <c r="D158" t="s">
        <v>585</v>
      </c>
      <c r="E158" t="s">
        <v>493</v>
      </c>
      <c r="F158">
        <v>3</v>
      </c>
      <c r="G158">
        <v>5</v>
      </c>
      <c r="H158" t="s">
        <v>189</v>
      </c>
      <c r="I158" t="s">
        <v>441</v>
      </c>
      <c r="J158" t="s">
        <v>441</v>
      </c>
      <c r="K158" t="s">
        <v>442</v>
      </c>
      <c r="L158" t="s">
        <v>442</v>
      </c>
      <c r="M158" t="s">
        <v>442</v>
      </c>
      <c r="T158" t="s">
        <v>1109</v>
      </c>
    </row>
    <row r="159" spans="1:20" x14ac:dyDescent="0.35">
      <c r="A159">
        <v>25</v>
      </c>
      <c r="B159" t="s">
        <v>438</v>
      </c>
      <c r="D159" t="s">
        <v>585</v>
      </c>
      <c r="E159" t="s">
        <v>493</v>
      </c>
      <c r="F159">
        <v>2.6</v>
      </c>
      <c r="G159">
        <v>2</v>
      </c>
      <c r="H159" t="s">
        <v>189</v>
      </c>
      <c r="I159" t="s">
        <v>441</v>
      </c>
      <c r="J159" t="s">
        <v>441</v>
      </c>
      <c r="K159" t="s">
        <v>441</v>
      </c>
      <c r="L159" t="s">
        <v>442</v>
      </c>
      <c r="M159" t="s">
        <v>441</v>
      </c>
      <c r="T159" t="s">
        <v>1109</v>
      </c>
    </row>
    <row r="160" spans="1:20" x14ac:dyDescent="0.35">
      <c r="A160">
        <v>25</v>
      </c>
      <c r="B160" t="s">
        <v>438</v>
      </c>
      <c r="D160" t="s">
        <v>585</v>
      </c>
      <c r="E160" t="s">
        <v>517</v>
      </c>
      <c r="F160">
        <v>5.7</v>
      </c>
      <c r="G160">
        <v>5</v>
      </c>
      <c r="H160" t="s">
        <v>189</v>
      </c>
      <c r="I160" t="s">
        <v>441</v>
      </c>
      <c r="J160" t="s">
        <v>442</v>
      </c>
      <c r="K160" t="s">
        <v>442</v>
      </c>
      <c r="L160" t="s">
        <v>442</v>
      </c>
      <c r="M160" t="s">
        <v>441</v>
      </c>
      <c r="T160" t="s">
        <v>1109</v>
      </c>
    </row>
    <row r="161" spans="1:20" x14ac:dyDescent="0.35">
      <c r="A161">
        <v>25</v>
      </c>
      <c r="B161" t="s">
        <v>438</v>
      </c>
      <c r="D161" t="s">
        <v>585</v>
      </c>
      <c r="E161" t="s">
        <v>493</v>
      </c>
      <c r="F161">
        <v>2.7</v>
      </c>
      <c r="G161">
        <v>2</v>
      </c>
      <c r="H161" t="s">
        <v>39</v>
      </c>
      <c r="I161" t="s">
        <v>441</v>
      </c>
      <c r="J161" t="s">
        <v>441</v>
      </c>
      <c r="K161" t="s">
        <v>442</v>
      </c>
      <c r="L161" t="s">
        <v>442</v>
      </c>
      <c r="M161" t="s">
        <v>441</v>
      </c>
      <c r="T161" t="s">
        <v>1109</v>
      </c>
    </row>
    <row r="162" spans="1:20" x14ac:dyDescent="0.35">
      <c r="A162">
        <v>25</v>
      </c>
      <c r="B162" t="s">
        <v>437</v>
      </c>
      <c r="D162">
        <v>17.8</v>
      </c>
      <c r="E162" t="s">
        <v>519</v>
      </c>
      <c r="F162">
        <v>2.9</v>
      </c>
      <c r="G162">
        <v>1</v>
      </c>
      <c r="H162" t="s">
        <v>189</v>
      </c>
      <c r="I162" t="s">
        <v>441</v>
      </c>
      <c r="J162" t="s">
        <v>441</v>
      </c>
      <c r="K162" t="s">
        <v>442</v>
      </c>
      <c r="L162" t="s">
        <v>442</v>
      </c>
      <c r="M162" t="s">
        <v>441</v>
      </c>
      <c r="R162" t="s">
        <v>588</v>
      </c>
      <c r="T162" t="s">
        <v>1109</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585</v>
      </c>
      <c r="E166" t="s">
        <v>475</v>
      </c>
      <c r="F166">
        <v>3.2</v>
      </c>
      <c r="G166">
        <v>1</v>
      </c>
      <c r="H166" t="s">
        <v>39</v>
      </c>
      <c r="I166" t="s">
        <v>441</v>
      </c>
      <c r="J166" t="s">
        <v>441</v>
      </c>
      <c r="K166" t="s">
        <v>441</v>
      </c>
      <c r="L166" t="s">
        <v>441</v>
      </c>
      <c r="M166" t="s">
        <v>441</v>
      </c>
      <c r="T166" t="s">
        <v>477</v>
      </c>
    </row>
    <row r="167" spans="1:20" x14ac:dyDescent="0.35">
      <c r="A167">
        <v>33</v>
      </c>
      <c r="B167" t="s">
        <v>438</v>
      </c>
      <c r="D167" t="s">
        <v>585</v>
      </c>
      <c r="E167" t="s">
        <v>475</v>
      </c>
      <c r="F167">
        <v>2.6</v>
      </c>
      <c r="G167">
        <v>1</v>
      </c>
      <c r="H167" t="s">
        <v>39</v>
      </c>
      <c r="I167" t="s">
        <v>441</v>
      </c>
      <c r="J167" t="s">
        <v>441</v>
      </c>
      <c r="K167" t="s">
        <v>441</v>
      </c>
      <c r="L167" t="s">
        <v>441</v>
      </c>
      <c r="M167" t="s">
        <v>441</v>
      </c>
      <c r="T167" t="s">
        <v>477</v>
      </c>
    </row>
    <row r="168" spans="1:20" x14ac:dyDescent="0.35">
      <c r="A168">
        <v>33</v>
      </c>
      <c r="B168" t="s">
        <v>440</v>
      </c>
      <c r="D168" t="s">
        <v>585</v>
      </c>
      <c r="E168" t="s">
        <v>493</v>
      </c>
      <c r="F168">
        <v>3.1</v>
      </c>
      <c r="G168">
        <v>5</v>
      </c>
      <c r="H168" t="s">
        <v>39</v>
      </c>
      <c r="I168" t="s">
        <v>441</v>
      </c>
      <c r="J168" t="s">
        <v>442</v>
      </c>
      <c r="K168" t="s">
        <v>442</v>
      </c>
      <c r="L168" t="s">
        <v>442</v>
      </c>
      <c r="M168" t="s">
        <v>441</v>
      </c>
      <c r="T168" t="s">
        <v>1109</v>
      </c>
    </row>
    <row r="169" spans="1:20" x14ac:dyDescent="0.35">
      <c r="A169">
        <v>33</v>
      </c>
      <c r="B169" t="s">
        <v>440</v>
      </c>
      <c r="D169" t="s">
        <v>585</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585</v>
      </c>
      <c r="E175" t="s">
        <v>519</v>
      </c>
      <c r="F175">
        <v>4.5999999999999996</v>
      </c>
      <c r="G175">
        <v>1</v>
      </c>
      <c r="H175" t="s">
        <v>189</v>
      </c>
      <c r="I175" t="s">
        <v>441</v>
      </c>
      <c r="J175" t="s">
        <v>441</v>
      </c>
      <c r="K175" t="s">
        <v>441</v>
      </c>
      <c r="L175" t="s">
        <v>441</v>
      </c>
      <c r="M175" t="s">
        <v>441</v>
      </c>
      <c r="Q175" t="s">
        <v>639</v>
      </c>
      <c r="T175" t="s">
        <v>477</v>
      </c>
    </row>
    <row r="176" spans="1:20" x14ac:dyDescent="0.35">
      <c r="A176">
        <v>63</v>
      </c>
      <c r="B176" t="s">
        <v>437</v>
      </c>
      <c r="D176" t="s">
        <v>585</v>
      </c>
      <c r="E176" t="s">
        <v>475</v>
      </c>
      <c r="F176">
        <v>4</v>
      </c>
      <c r="G176">
        <v>1</v>
      </c>
      <c r="H176" t="s">
        <v>189</v>
      </c>
      <c r="I176" t="s">
        <v>441</v>
      </c>
      <c r="J176" t="s">
        <v>441</v>
      </c>
      <c r="K176" t="s">
        <v>441</v>
      </c>
      <c r="L176" t="s">
        <v>441</v>
      </c>
      <c r="M176" t="s">
        <v>441</v>
      </c>
      <c r="T176" t="s">
        <v>477</v>
      </c>
    </row>
    <row r="177" spans="1:20" x14ac:dyDescent="0.35">
      <c r="A177">
        <v>63</v>
      </c>
      <c r="B177" t="s">
        <v>437</v>
      </c>
      <c r="D177" t="s">
        <v>585</v>
      </c>
      <c r="E177" t="s">
        <v>475</v>
      </c>
      <c r="F177">
        <v>6</v>
      </c>
      <c r="G177">
        <v>1</v>
      </c>
      <c r="H177" t="s">
        <v>189</v>
      </c>
      <c r="I177" t="s">
        <v>441</v>
      </c>
      <c r="J177" t="s">
        <v>441</v>
      </c>
      <c r="K177" t="s">
        <v>441</v>
      </c>
      <c r="L177" t="s">
        <v>441</v>
      </c>
      <c r="M177" t="s">
        <v>441</v>
      </c>
      <c r="T177" t="s">
        <v>477</v>
      </c>
    </row>
    <row r="178" spans="1:20" x14ac:dyDescent="0.35">
      <c r="A178">
        <v>63</v>
      </c>
      <c r="B178" t="s">
        <v>437</v>
      </c>
      <c r="D178" t="s">
        <v>585</v>
      </c>
      <c r="E178" t="s">
        <v>475</v>
      </c>
      <c r="F178">
        <v>3.5</v>
      </c>
      <c r="G178">
        <v>1</v>
      </c>
      <c r="H178" t="s">
        <v>189</v>
      </c>
      <c r="I178" t="s">
        <v>441</v>
      </c>
      <c r="J178" t="s">
        <v>441</v>
      </c>
      <c r="K178" t="s">
        <v>441</v>
      </c>
      <c r="L178" t="s">
        <v>441</v>
      </c>
      <c r="M178" t="s">
        <v>441</v>
      </c>
      <c r="T178" t="s">
        <v>477</v>
      </c>
    </row>
    <row r="179" spans="1:20" x14ac:dyDescent="0.35">
      <c r="A179">
        <v>63</v>
      </c>
      <c r="B179" t="s">
        <v>437</v>
      </c>
      <c r="D179" t="s">
        <v>585</v>
      </c>
      <c r="E179" t="s">
        <v>475</v>
      </c>
      <c r="F179">
        <v>2.7</v>
      </c>
      <c r="G179">
        <v>1</v>
      </c>
      <c r="H179" t="s">
        <v>189</v>
      </c>
      <c r="I179" t="s">
        <v>441</v>
      </c>
      <c r="J179" t="s">
        <v>441</v>
      </c>
      <c r="K179" t="s">
        <v>441</v>
      </c>
      <c r="L179" t="s">
        <v>441</v>
      </c>
      <c r="M179" t="s">
        <v>441</v>
      </c>
      <c r="T179" t="s">
        <v>477</v>
      </c>
    </row>
    <row r="180" spans="1:20" x14ac:dyDescent="0.35">
      <c r="A180">
        <v>63</v>
      </c>
      <c r="B180" t="s">
        <v>437</v>
      </c>
      <c r="D180" t="s">
        <v>585</v>
      </c>
      <c r="E180" t="s">
        <v>475</v>
      </c>
      <c r="F180">
        <v>3</v>
      </c>
      <c r="G180">
        <v>1</v>
      </c>
      <c r="H180" t="s">
        <v>39</v>
      </c>
      <c r="I180" t="s">
        <v>441</v>
      </c>
      <c r="J180" t="s">
        <v>441</v>
      </c>
      <c r="K180" t="s">
        <v>441</v>
      </c>
      <c r="L180" t="s">
        <v>441</v>
      </c>
      <c r="M180" t="s">
        <v>441</v>
      </c>
      <c r="T180" t="s">
        <v>477</v>
      </c>
    </row>
    <row r="181" spans="1:20" x14ac:dyDescent="0.35">
      <c r="A181">
        <v>63</v>
      </c>
      <c r="B181" t="s">
        <v>438</v>
      </c>
      <c r="D181" t="s">
        <v>585</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585</v>
      </c>
      <c r="E182" t="s">
        <v>475</v>
      </c>
      <c r="F182">
        <v>4.2</v>
      </c>
      <c r="G182">
        <v>1</v>
      </c>
      <c r="H182" t="s">
        <v>189</v>
      </c>
      <c r="I182" t="s">
        <v>441</v>
      </c>
      <c r="J182" t="s">
        <v>441</v>
      </c>
      <c r="K182" t="s">
        <v>442</v>
      </c>
      <c r="L182" t="s">
        <v>441</v>
      </c>
      <c r="M182" t="s">
        <v>441</v>
      </c>
      <c r="T182" t="s">
        <v>477</v>
      </c>
    </row>
    <row r="183" spans="1:20" x14ac:dyDescent="0.35">
      <c r="A183">
        <v>63</v>
      </c>
      <c r="B183" t="s">
        <v>438</v>
      </c>
      <c r="D183" t="s">
        <v>585</v>
      </c>
      <c r="E183" t="s">
        <v>475</v>
      </c>
      <c r="F183">
        <v>2.5</v>
      </c>
      <c r="G183">
        <v>1</v>
      </c>
      <c r="H183" t="s">
        <v>39</v>
      </c>
      <c r="I183" t="s">
        <v>441</v>
      </c>
      <c r="J183" t="s">
        <v>441</v>
      </c>
      <c r="K183" t="s">
        <v>442</v>
      </c>
      <c r="L183" t="s">
        <v>441</v>
      </c>
      <c r="M183" t="s">
        <v>441</v>
      </c>
      <c r="T183" t="s">
        <v>477</v>
      </c>
    </row>
    <row r="184" spans="1:20" x14ac:dyDescent="0.35">
      <c r="A184">
        <v>63</v>
      </c>
      <c r="B184" t="s">
        <v>438</v>
      </c>
      <c r="D184" t="s">
        <v>585</v>
      </c>
      <c r="E184" t="s">
        <v>475</v>
      </c>
      <c r="F184">
        <v>4.8</v>
      </c>
      <c r="G184">
        <v>1</v>
      </c>
      <c r="H184" t="s">
        <v>189</v>
      </c>
      <c r="I184" t="s">
        <v>441</v>
      </c>
      <c r="J184" t="s">
        <v>441</v>
      </c>
      <c r="K184" t="s">
        <v>442</v>
      </c>
      <c r="L184" t="s">
        <v>441</v>
      </c>
      <c r="M184" t="s">
        <v>441</v>
      </c>
      <c r="Q184" t="s">
        <v>640</v>
      </c>
      <c r="T184" t="s">
        <v>477</v>
      </c>
    </row>
    <row r="185" spans="1:20" x14ac:dyDescent="0.35">
      <c r="A185">
        <v>63</v>
      </c>
      <c r="B185" t="s">
        <v>437</v>
      </c>
      <c r="D185" t="s">
        <v>585</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585</v>
      </c>
      <c r="E186" t="s">
        <v>475</v>
      </c>
      <c r="F186">
        <v>2.6</v>
      </c>
      <c r="G186">
        <v>2</v>
      </c>
      <c r="H186" t="s">
        <v>189</v>
      </c>
      <c r="I186" t="s">
        <v>441</v>
      </c>
      <c r="J186" t="s">
        <v>441</v>
      </c>
      <c r="K186" t="s">
        <v>441</v>
      </c>
      <c r="L186" t="s">
        <v>441</v>
      </c>
      <c r="M186" t="s">
        <v>441</v>
      </c>
      <c r="T186" t="s">
        <v>477</v>
      </c>
    </row>
    <row r="187" spans="1:20" x14ac:dyDescent="0.35">
      <c r="A187">
        <v>63</v>
      </c>
      <c r="B187" t="s">
        <v>438</v>
      </c>
      <c r="D187" t="s">
        <v>585</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585</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585</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585</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585</v>
      </c>
      <c r="E191" t="s">
        <v>482</v>
      </c>
      <c r="F191">
        <v>6.5</v>
      </c>
      <c r="G191">
        <v>2</v>
      </c>
      <c r="H191" t="s">
        <v>189</v>
      </c>
      <c r="I191" t="s">
        <v>441</v>
      </c>
      <c r="J191" t="s">
        <v>441</v>
      </c>
      <c r="K191" t="s">
        <v>442</v>
      </c>
      <c r="L191" t="s">
        <v>441</v>
      </c>
      <c r="M191" t="s">
        <v>441</v>
      </c>
      <c r="T191" t="s">
        <v>477</v>
      </c>
    </row>
    <row r="192" spans="1:20" x14ac:dyDescent="0.35">
      <c r="A192">
        <v>63</v>
      </c>
      <c r="B192" t="s">
        <v>438</v>
      </c>
      <c r="D192" t="s">
        <v>585</v>
      </c>
      <c r="E192" t="s">
        <v>482</v>
      </c>
      <c r="F192">
        <v>2.6</v>
      </c>
      <c r="G192">
        <v>1</v>
      </c>
      <c r="H192" t="s">
        <v>189</v>
      </c>
      <c r="I192" t="s">
        <v>441</v>
      </c>
      <c r="J192" t="s">
        <v>441</v>
      </c>
      <c r="K192" t="s">
        <v>442</v>
      </c>
      <c r="L192" t="s">
        <v>441</v>
      </c>
      <c r="M192" t="s">
        <v>441</v>
      </c>
      <c r="T192" t="s">
        <v>477</v>
      </c>
    </row>
    <row r="193" spans="1:20" x14ac:dyDescent="0.35">
      <c r="A193">
        <v>63</v>
      </c>
      <c r="B193" t="s">
        <v>438</v>
      </c>
      <c r="D193" t="s">
        <v>585</v>
      </c>
      <c r="E193" t="s">
        <v>482</v>
      </c>
      <c r="F193">
        <v>7.4</v>
      </c>
      <c r="G193">
        <v>5</v>
      </c>
      <c r="H193" t="s">
        <v>189</v>
      </c>
      <c r="I193" t="s">
        <v>441</v>
      </c>
      <c r="J193" t="s">
        <v>442</v>
      </c>
      <c r="K193" t="s">
        <v>442</v>
      </c>
      <c r="L193" t="s">
        <v>442</v>
      </c>
      <c r="M193" t="s">
        <v>442</v>
      </c>
      <c r="T193" t="s">
        <v>1109</v>
      </c>
    </row>
    <row r="194" spans="1:20" x14ac:dyDescent="0.35">
      <c r="A194">
        <v>63</v>
      </c>
      <c r="B194" t="s">
        <v>438</v>
      </c>
      <c r="D194" t="s">
        <v>585</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585</v>
      </c>
      <c r="E195" t="s">
        <v>482</v>
      </c>
      <c r="F195">
        <v>3</v>
      </c>
      <c r="G195">
        <v>1</v>
      </c>
      <c r="H195" t="s">
        <v>39</v>
      </c>
      <c r="I195" t="s">
        <v>441</v>
      </c>
      <c r="J195" t="s">
        <v>441</v>
      </c>
      <c r="K195" t="s">
        <v>442</v>
      </c>
      <c r="L195" t="s">
        <v>441</v>
      </c>
      <c r="M195" t="s">
        <v>442</v>
      </c>
      <c r="T195" t="s">
        <v>477</v>
      </c>
    </row>
    <row r="196" spans="1:20" x14ac:dyDescent="0.35">
      <c r="A196">
        <v>63</v>
      </c>
      <c r="B196" t="s">
        <v>437</v>
      </c>
      <c r="D196" t="s">
        <v>585</v>
      </c>
      <c r="E196" t="s">
        <v>519</v>
      </c>
      <c r="F196">
        <v>2.8</v>
      </c>
      <c r="G196">
        <v>1</v>
      </c>
      <c r="H196" t="s">
        <v>39</v>
      </c>
      <c r="I196" t="s">
        <v>441</v>
      </c>
      <c r="J196" t="s">
        <v>441</v>
      </c>
      <c r="K196" t="s">
        <v>441</v>
      </c>
      <c r="L196" t="s">
        <v>441</v>
      </c>
      <c r="M196" t="s">
        <v>441</v>
      </c>
      <c r="T196" t="s">
        <v>477</v>
      </c>
    </row>
    <row r="197" spans="1:20" x14ac:dyDescent="0.35">
      <c r="A197">
        <v>63</v>
      </c>
      <c r="B197" t="s">
        <v>437</v>
      </c>
      <c r="D197" t="s">
        <v>585</v>
      </c>
      <c r="E197" t="s">
        <v>519</v>
      </c>
      <c r="F197">
        <v>4</v>
      </c>
      <c r="G197">
        <v>1</v>
      </c>
      <c r="H197" t="s">
        <v>189</v>
      </c>
      <c r="I197" t="s">
        <v>442</v>
      </c>
      <c r="J197" t="s">
        <v>441</v>
      </c>
      <c r="K197" t="s">
        <v>442</v>
      </c>
      <c r="L197" t="s">
        <v>441</v>
      </c>
      <c r="M197" t="s">
        <v>441</v>
      </c>
      <c r="T197" t="s">
        <v>477</v>
      </c>
    </row>
    <row r="198" spans="1:20" x14ac:dyDescent="0.35">
      <c r="A198">
        <v>63</v>
      </c>
      <c r="B198" t="s">
        <v>438</v>
      </c>
      <c r="D198" t="s">
        <v>585</v>
      </c>
      <c r="E198" t="s">
        <v>475</v>
      </c>
      <c r="F198">
        <v>2.9</v>
      </c>
      <c r="G198">
        <v>1</v>
      </c>
      <c r="H198" t="s">
        <v>189</v>
      </c>
      <c r="I198" t="s">
        <v>441</v>
      </c>
      <c r="J198" t="s">
        <v>441</v>
      </c>
      <c r="K198" t="s">
        <v>441</v>
      </c>
      <c r="L198" t="s">
        <v>441</v>
      </c>
      <c r="M198" t="s">
        <v>441</v>
      </c>
      <c r="T198" t="s">
        <v>477</v>
      </c>
    </row>
    <row r="199" spans="1:20" x14ac:dyDescent="0.35">
      <c r="A199">
        <v>63</v>
      </c>
      <c r="B199" t="s">
        <v>438</v>
      </c>
      <c r="D199" t="s">
        <v>585</v>
      </c>
      <c r="E199" t="s">
        <v>482</v>
      </c>
      <c r="F199">
        <v>3.5</v>
      </c>
      <c r="G199">
        <v>3</v>
      </c>
      <c r="H199" t="s">
        <v>39</v>
      </c>
      <c r="I199" t="s">
        <v>441</v>
      </c>
      <c r="J199" t="s">
        <v>441</v>
      </c>
      <c r="K199" t="s">
        <v>442</v>
      </c>
      <c r="L199" t="s">
        <v>441</v>
      </c>
      <c r="M199" t="s">
        <v>442</v>
      </c>
      <c r="Q199" t="s">
        <v>647</v>
      </c>
      <c r="T199" t="s">
        <v>477</v>
      </c>
    </row>
    <row r="200" spans="1:20" x14ac:dyDescent="0.35">
      <c r="A200">
        <v>63</v>
      </c>
      <c r="B200" t="s">
        <v>438</v>
      </c>
      <c r="D200" t="s">
        <v>585</v>
      </c>
      <c r="E200" t="s">
        <v>519</v>
      </c>
      <c r="F200">
        <v>8.5</v>
      </c>
      <c r="G200">
        <v>4</v>
      </c>
      <c r="H200" t="s">
        <v>98</v>
      </c>
      <c r="I200" t="s">
        <v>441</v>
      </c>
      <c r="J200" t="s">
        <v>441</v>
      </c>
      <c r="K200" t="s">
        <v>442</v>
      </c>
      <c r="L200" t="s">
        <v>442</v>
      </c>
      <c r="M200" t="s">
        <v>442</v>
      </c>
      <c r="T200" t="s">
        <v>1109</v>
      </c>
    </row>
    <row r="201" spans="1:20" x14ac:dyDescent="0.35">
      <c r="A201">
        <v>63</v>
      </c>
      <c r="B201" t="s">
        <v>438</v>
      </c>
      <c r="D201" t="s">
        <v>585</v>
      </c>
      <c r="E201" t="s">
        <v>519</v>
      </c>
      <c r="F201">
        <v>7.2</v>
      </c>
      <c r="G201">
        <v>2</v>
      </c>
      <c r="H201" t="s">
        <v>189</v>
      </c>
      <c r="I201" t="s">
        <v>441</v>
      </c>
      <c r="J201" t="s">
        <v>441</v>
      </c>
      <c r="K201" t="s">
        <v>442</v>
      </c>
      <c r="L201" t="s">
        <v>441</v>
      </c>
      <c r="M201" t="s">
        <v>441</v>
      </c>
      <c r="T201" t="s">
        <v>477</v>
      </c>
    </row>
    <row r="202" spans="1:20" x14ac:dyDescent="0.35">
      <c r="A202">
        <v>63</v>
      </c>
      <c r="B202" t="s">
        <v>438</v>
      </c>
      <c r="D202" t="s">
        <v>585</v>
      </c>
      <c r="E202" t="s">
        <v>519</v>
      </c>
      <c r="F202">
        <v>7.4</v>
      </c>
      <c r="G202">
        <v>1</v>
      </c>
      <c r="H202" t="s">
        <v>98</v>
      </c>
      <c r="I202" t="s">
        <v>441</v>
      </c>
      <c r="J202" t="s">
        <v>441</v>
      </c>
      <c r="K202" t="s">
        <v>442</v>
      </c>
      <c r="L202" t="s">
        <v>441</v>
      </c>
      <c r="M202" t="s">
        <v>441</v>
      </c>
      <c r="T202" t="s">
        <v>477</v>
      </c>
    </row>
    <row r="203" spans="1:20" x14ac:dyDescent="0.35">
      <c r="A203">
        <v>63</v>
      </c>
      <c r="B203" t="s">
        <v>438</v>
      </c>
      <c r="D203" t="s">
        <v>585</v>
      </c>
      <c r="E203" t="s">
        <v>519</v>
      </c>
      <c r="F203">
        <v>8.3000000000000007</v>
      </c>
      <c r="G203">
        <v>5</v>
      </c>
      <c r="H203" t="s">
        <v>98</v>
      </c>
      <c r="I203" t="s">
        <v>441</v>
      </c>
      <c r="J203" t="s">
        <v>441</v>
      </c>
      <c r="K203" t="s">
        <v>442</v>
      </c>
      <c r="L203" t="s">
        <v>442</v>
      </c>
      <c r="M203" t="s">
        <v>441</v>
      </c>
      <c r="T203" t="s">
        <v>1109</v>
      </c>
    </row>
    <row r="204" spans="1:20" x14ac:dyDescent="0.35">
      <c r="A204">
        <v>63</v>
      </c>
      <c r="B204" t="s">
        <v>438</v>
      </c>
      <c r="D204" t="s">
        <v>585</v>
      </c>
      <c r="E204" t="s">
        <v>519</v>
      </c>
      <c r="F204">
        <v>4.5</v>
      </c>
      <c r="G204">
        <v>1</v>
      </c>
      <c r="H204" t="s">
        <v>189</v>
      </c>
      <c r="I204" t="s">
        <v>441</v>
      </c>
      <c r="J204" t="s">
        <v>441</v>
      </c>
      <c r="K204" t="s">
        <v>442</v>
      </c>
      <c r="L204" t="s">
        <v>441</v>
      </c>
      <c r="M204" t="s">
        <v>441</v>
      </c>
      <c r="T204" t="s">
        <v>477</v>
      </c>
    </row>
    <row r="205" spans="1:20" x14ac:dyDescent="0.35">
      <c r="A205">
        <v>63</v>
      </c>
      <c r="B205" t="s">
        <v>438</v>
      </c>
      <c r="D205" t="s">
        <v>585</v>
      </c>
      <c r="E205" t="s">
        <v>519</v>
      </c>
      <c r="F205">
        <v>5.2</v>
      </c>
      <c r="G205">
        <v>1</v>
      </c>
      <c r="H205" t="s">
        <v>189</v>
      </c>
      <c r="I205" t="s">
        <v>441</v>
      </c>
      <c r="J205" t="s">
        <v>441</v>
      </c>
      <c r="K205" t="s">
        <v>441</v>
      </c>
      <c r="L205" t="s">
        <v>441</v>
      </c>
      <c r="M205" t="s">
        <v>441</v>
      </c>
      <c r="T205" t="s">
        <v>477</v>
      </c>
    </row>
    <row r="206" spans="1:20" x14ac:dyDescent="0.35">
      <c r="A206">
        <v>63</v>
      </c>
      <c r="B206" t="s">
        <v>438</v>
      </c>
      <c r="D206" t="s">
        <v>585</v>
      </c>
      <c r="E206" t="s">
        <v>519</v>
      </c>
      <c r="F206">
        <v>5.2</v>
      </c>
      <c r="G206">
        <v>1</v>
      </c>
      <c r="H206" t="s">
        <v>189</v>
      </c>
      <c r="I206" t="s">
        <v>441</v>
      </c>
      <c r="J206" t="s">
        <v>441</v>
      </c>
      <c r="K206" t="s">
        <v>442</v>
      </c>
      <c r="L206" t="s">
        <v>441</v>
      </c>
      <c r="M206" t="s">
        <v>441</v>
      </c>
      <c r="T206" t="s">
        <v>477</v>
      </c>
    </row>
    <row r="207" spans="1:20" x14ac:dyDescent="0.35">
      <c r="A207">
        <v>63</v>
      </c>
      <c r="B207" t="s">
        <v>438</v>
      </c>
      <c r="D207" t="s">
        <v>585</v>
      </c>
      <c r="E207" t="s">
        <v>519</v>
      </c>
      <c r="F207">
        <v>2.9</v>
      </c>
      <c r="G207">
        <v>1</v>
      </c>
      <c r="H207" t="s">
        <v>39</v>
      </c>
      <c r="I207" t="s">
        <v>441</v>
      </c>
      <c r="J207" t="s">
        <v>441</v>
      </c>
      <c r="K207" t="s">
        <v>441</v>
      </c>
      <c r="L207" t="s">
        <v>441</v>
      </c>
      <c r="M207" t="s">
        <v>441</v>
      </c>
      <c r="T207" t="s">
        <v>477</v>
      </c>
    </row>
    <row r="208" spans="1:20" x14ac:dyDescent="0.35">
      <c r="A208">
        <v>63</v>
      </c>
      <c r="B208" t="s">
        <v>438</v>
      </c>
      <c r="D208" t="s">
        <v>585</v>
      </c>
      <c r="E208" t="s">
        <v>519</v>
      </c>
      <c r="F208">
        <v>7.9</v>
      </c>
      <c r="G208">
        <v>4</v>
      </c>
      <c r="H208" t="s">
        <v>189</v>
      </c>
      <c r="I208" t="s">
        <v>441</v>
      </c>
      <c r="J208" t="s">
        <v>442</v>
      </c>
      <c r="K208" t="s">
        <v>442</v>
      </c>
      <c r="L208" t="s">
        <v>442</v>
      </c>
      <c r="M208" t="s">
        <v>442</v>
      </c>
      <c r="T208" t="s">
        <v>1109</v>
      </c>
    </row>
    <row r="209" spans="1:20" x14ac:dyDescent="0.35">
      <c r="A209">
        <v>63</v>
      </c>
      <c r="B209" t="s">
        <v>438</v>
      </c>
      <c r="D209" t="s">
        <v>585</v>
      </c>
      <c r="E209" t="s">
        <v>519</v>
      </c>
      <c r="F209">
        <v>6.4</v>
      </c>
      <c r="G209">
        <v>1</v>
      </c>
      <c r="H209" t="s">
        <v>189</v>
      </c>
      <c r="I209" t="s">
        <v>441</v>
      </c>
      <c r="J209" t="s">
        <v>441</v>
      </c>
      <c r="K209" t="s">
        <v>442</v>
      </c>
      <c r="L209" t="s">
        <v>441</v>
      </c>
      <c r="M209" t="s">
        <v>441</v>
      </c>
      <c r="T209" t="s">
        <v>477</v>
      </c>
    </row>
    <row r="210" spans="1:20" x14ac:dyDescent="0.35">
      <c r="A210">
        <v>63</v>
      </c>
      <c r="B210" t="s">
        <v>438</v>
      </c>
      <c r="D210" t="s">
        <v>585</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585</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585</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585</v>
      </c>
      <c r="E213" t="s">
        <v>519</v>
      </c>
      <c r="F213">
        <v>5.5</v>
      </c>
      <c r="G213">
        <v>1</v>
      </c>
      <c r="H213" t="s">
        <v>98</v>
      </c>
      <c r="I213" t="s">
        <v>441</v>
      </c>
      <c r="J213" t="s">
        <v>441</v>
      </c>
      <c r="K213" t="s">
        <v>441</v>
      </c>
      <c r="L213" t="s">
        <v>441</v>
      </c>
      <c r="M213" t="s">
        <v>441</v>
      </c>
      <c r="T213" t="s">
        <v>477</v>
      </c>
    </row>
    <row r="214" spans="1:20" x14ac:dyDescent="0.35">
      <c r="A214">
        <v>63</v>
      </c>
      <c r="B214" t="s">
        <v>440</v>
      </c>
      <c r="D214" t="s">
        <v>585</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585</v>
      </c>
      <c r="E215" t="s">
        <v>519</v>
      </c>
      <c r="F215">
        <v>2.9</v>
      </c>
      <c r="G215">
        <v>1</v>
      </c>
      <c r="H215" t="s">
        <v>189</v>
      </c>
      <c r="I215" t="s">
        <v>441</v>
      </c>
      <c r="J215" t="s">
        <v>441</v>
      </c>
      <c r="K215" t="s">
        <v>441</v>
      </c>
      <c r="L215" t="s">
        <v>441</v>
      </c>
      <c r="M215" t="s">
        <v>441</v>
      </c>
      <c r="T215" t="s">
        <v>477</v>
      </c>
    </row>
    <row r="216" spans="1:20" x14ac:dyDescent="0.35">
      <c r="A216">
        <v>63</v>
      </c>
      <c r="B216" t="s">
        <v>440</v>
      </c>
      <c r="D216" t="s">
        <v>585</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585</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585</v>
      </c>
      <c r="E218" t="s">
        <v>519</v>
      </c>
      <c r="F218">
        <v>4.3</v>
      </c>
      <c r="G218">
        <v>1</v>
      </c>
      <c r="H218" t="s">
        <v>189</v>
      </c>
      <c r="I218" t="s">
        <v>441</v>
      </c>
      <c r="J218" t="s">
        <v>441</v>
      </c>
      <c r="K218" t="s">
        <v>442</v>
      </c>
      <c r="L218" t="s">
        <v>441</v>
      </c>
      <c r="M218" t="s">
        <v>441</v>
      </c>
      <c r="T218" t="s">
        <v>477</v>
      </c>
    </row>
    <row r="219" spans="1:20" x14ac:dyDescent="0.35">
      <c r="A219">
        <v>63</v>
      </c>
      <c r="B219" t="s">
        <v>439</v>
      </c>
      <c r="D219" t="s">
        <v>585</v>
      </c>
      <c r="E219" t="s">
        <v>519</v>
      </c>
      <c r="F219">
        <v>2.9</v>
      </c>
      <c r="G219">
        <v>1</v>
      </c>
      <c r="H219" t="s">
        <v>39</v>
      </c>
      <c r="I219" t="s">
        <v>441</v>
      </c>
      <c r="J219" t="s">
        <v>441</v>
      </c>
      <c r="K219" t="s">
        <v>441</v>
      </c>
      <c r="L219" t="s">
        <v>441</v>
      </c>
      <c r="M219" t="s">
        <v>441</v>
      </c>
      <c r="T219" t="s">
        <v>477</v>
      </c>
    </row>
    <row r="220" spans="1:20" x14ac:dyDescent="0.35">
      <c r="A220">
        <v>63</v>
      </c>
      <c r="B220" t="s">
        <v>439</v>
      </c>
      <c r="D220" t="s">
        <v>585</v>
      </c>
      <c r="E220" t="s">
        <v>519</v>
      </c>
      <c r="F220">
        <v>2.9</v>
      </c>
      <c r="G220">
        <v>1</v>
      </c>
      <c r="H220" t="s">
        <v>189</v>
      </c>
      <c r="I220" t="s">
        <v>441</v>
      </c>
      <c r="J220" t="s">
        <v>441</v>
      </c>
      <c r="K220" t="s">
        <v>441</v>
      </c>
      <c r="L220" t="s">
        <v>441</v>
      </c>
      <c r="M220" t="s">
        <v>441</v>
      </c>
      <c r="T220" t="s">
        <v>477</v>
      </c>
    </row>
    <row r="221" spans="1:20" x14ac:dyDescent="0.35">
      <c r="A221">
        <v>63</v>
      </c>
      <c r="B221" t="s">
        <v>439</v>
      </c>
      <c r="D221" t="s">
        <v>585</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585</v>
      </c>
      <c r="E222" t="s">
        <v>519</v>
      </c>
      <c r="F222">
        <v>6.4</v>
      </c>
      <c r="G222">
        <v>1</v>
      </c>
      <c r="H222" t="s">
        <v>189</v>
      </c>
      <c r="I222" t="s">
        <v>441</v>
      </c>
      <c r="J222" t="s">
        <v>441</v>
      </c>
      <c r="K222" t="s">
        <v>442</v>
      </c>
      <c r="L222" t="s">
        <v>441</v>
      </c>
      <c r="M222" t="s">
        <v>442</v>
      </c>
      <c r="T222" t="s">
        <v>477</v>
      </c>
    </row>
    <row r="223" spans="1:20" x14ac:dyDescent="0.35">
      <c r="A223">
        <v>63</v>
      </c>
      <c r="B223" t="s">
        <v>439</v>
      </c>
      <c r="D223" t="s">
        <v>585</v>
      </c>
      <c r="E223" t="s">
        <v>519</v>
      </c>
      <c r="F223">
        <v>4.2</v>
      </c>
      <c r="G223">
        <v>1</v>
      </c>
      <c r="H223" t="s">
        <v>189</v>
      </c>
      <c r="I223" t="s">
        <v>441</v>
      </c>
      <c r="J223" t="s">
        <v>441</v>
      </c>
      <c r="K223" t="s">
        <v>442</v>
      </c>
      <c r="L223" t="s">
        <v>441</v>
      </c>
      <c r="M223" t="s">
        <v>442</v>
      </c>
      <c r="T223" t="s">
        <v>477</v>
      </c>
    </row>
    <row r="224" spans="1:20" x14ac:dyDescent="0.35">
      <c r="A224">
        <v>63</v>
      </c>
      <c r="B224" t="s">
        <v>439</v>
      </c>
      <c r="D224" t="s">
        <v>585</v>
      </c>
      <c r="E224" t="s">
        <v>519</v>
      </c>
      <c r="F224">
        <v>3.6</v>
      </c>
      <c r="G224">
        <v>1</v>
      </c>
      <c r="H224" t="s">
        <v>189</v>
      </c>
      <c r="I224" t="s">
        <v>441</v>
      </c>
      <c r="J224" t="s">
        <v>441</v>
      </c>
      <c r="K224" t="s">
        <v>442</v>
      </c>
      <c r="L224" t="s">
        <v>441</v>
      </c>
      <c r="M224" t="s">
        <v>441</v>
      </c>
      <c r="T224" t="s">
        <v>477</v>
      </c>
    </row>
    <row r="225" spans="1:20" x14ac:dyDescent="0.35">
      <c r="A225">
        <v>63</v>
      </c>
      <c r="B225" t="s">
        <v>439</v>
      </c>
      <c r="D225" t="s">
        <v>585</v>
      </c>
      <c r="E225" t="s">
        <v>519</v>
      </c>
      <c r="F225">
        <v>8.5</v>
      </c>
      <c r="G225">
        <v>5</v>
      </c>
      <c r="H225" t="s">
        <v>189</v>
      </c>
      <c r="I225" t="s">
        <v>441</v>
      </c>
      <c r="J225" t="s">
        <v>442</v>
      </c>
      <c r="K225" t="s">
        <v>442</v>
      </c>
      <c r="L225" t="s">
        <v>442</v>
      </c>
      <c r="M225" t="s">
        <v>442</v>
      </c>
      <c r="R225" t="s">
        <v>641</v>
      </c>
      <c r="T225" t="s">
        <v>1110</v>
      </c>
    </row>
    <row r="226" spans="1:20" x14ac:dyDescent="0.35">
      <c r="A226">
        <v>63</v>
      </c>
      <c r="B226" t="s">
        <v>439</v>
      </c>
      <c r="D226" t="s">
        <v>585</v>
      </c>
      <c r="E226" t="s">
        <v>519</v>
      </c>
      <c r="F226">
        <v>3.3</v>
      </c>
      <c r="G226">
        <v>1</v>
      </c>
      <c r="H226" t="s">
        <v>189</v>
      </c>
      <c r="I226" t="s">
        <v>441</v>
      </c>
      <c r="J226" t="s">
        <v>441</v>
      </c>
      <c r="K226" t="s">
        <v>441</v>
      </c>
      <c r="L226" t="s">
        <v>441</v>
      </c>
      <c r="M226" t="s">
        <v>441</v>
      </c>
      <c r="T226" t="s">
        <v>477</v>
      </c>
    </row>
    <row r="227" spans="1:20" x14ac:dyDescent="0.35">
      <c r="A227">
        <v>63</v>
      </c>
      <c r="B227" t="s">
        <v>437</v>
      </c>
      <c r="D227" t="s">
        <v>585</v>
      </c>
      <c r="E227" t="s">
        <v>519</v>
      </c>
      <c r="F227">
        <v>4</v>
      </c>
      <c r="G227">
        <v>1</v>
      </c>
      <c r="H227" t="s">
        <v>189</v>
      </c>
      <c r="I227" t="s">
        <v>441</v>
      </c>
      <c r="J227" t="s">
        <v>441</v>
      </c>
      <c r="K227" t="s">
        <v>441</v>
      </c>
      <c r="L227" t="s">
        <v>441</v>
      </c>
      <c r="M227" t="s">
        <v>441</v>
      </c>
      <c r="T227" t="s">
        <v>477</v>
      </c>
    </row>
    <row r="228" spans="1:20" x14ac:dyDescent="0.35">
      <c r="A228">
        <v>63</v>
      </c>
      <c r="B228" t="s">
        <v>439</v>
      </c>
      <c r="D228" t="s">
        <v>585</v>
      </c>
      <c r="E228" t="s">
        <v>519</v>
      </c>
      <c r="F228">
        <v>3</v>
      </c>
      <c r="G228">
        <v>2</v>
      </c>
      <c r="H228" t="s">
        <v>189</v>
      </c>
      <c r="I228" t="s">
        <v>441</v>
      </c>
      <c r="J228" t="s">
        <v>441</v>
      </c>
      <c r="K228" t="s">
        <v>442</v>
      </c>
      <c r="L228" t="s">
        <v>442</v>
      </c>
      <c r="M228" t="s">
        <v>441</v>
      </c>
      <c r="N228" t="s">
        <v>442</v>
      </c>
      <c r="Q228" t="s">
        <v>642</v>
      </c>
      <c r="T228" t="s">
        <v>1109</v>
      </c>
    </row>
    <row r="229" spans="1:20" x14ac:dyDescent="0.35">
      <c r="A229">
        <v>63</v>
      </c>
      <c r="B229" t="s">
        <v>439</v>
      </c>
      <c r="D229" t="s">
        <v>585</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585</v>
      </c>
      <c r="E230" t="s">
        <v>519</v>
      </c>
      <c r="F230">
        <v>3.9</v>
      </c>
      <c r="G230">
        <v>1</v>
      </c>
      <c r="H230" t="s">
        <v>189</v>
      </c>
      <c r="I230" t="s">
        <v>441</v>
      </c>
      <c r="J230" t="s">
        <v>441</v>
      </c>
      <c r="K230" t="s">
        <v>442</v>
      </c>
      <c r="L230" t="s">
        <v>441</v>
      </c>
      <c r="M230" t="s">
        <v>441</v>
      </c>
      <c r="T230" t="s">
        <v>477</v>
      </c>
    </row>
    <row r="231" spans="1:20" x14ac:dyDescent="0.35">
      <c r="A231">
        <v>63</v>
      </c>
      <c r="B231" t="s">
        <v>439</v>
      </c>
      <c r="D231" t="s">
        <v>585</v>
      </c>
      <c r="E231" t="s">
        <v>519</v>
      </c>
      <c r="F231">
        <v>2.8</v>
      </c>
      <c r="G231">
        <v>1</v>
      </c>
      <c r="H231" t="s">
        <v>189</v>
      </c>
      <c r="I231" t="s">
        <v>441</v>
      </c>
      <c r="J231" t="s">
        <v>441</v>
      </c>
      <c r="K231" t="s">
        <v>442</v>
      </c>
      <c r="L231" t="s">
        <v>441</v>
      </c>
      <c r="M231" t="s">
        <v>441</v>
      </c>
      <c r="T231" t="s">
        <v>477</v>
      </c>
    </row>
    <row r="232" spans="1:20" x14ac:dyDescent="0.35">
      <c r="A232">
        <v>63</v>
      </c>
      <c r="B232" t="s">
        <v>439</v>
      </c>
      <c r="D232" t="s">
        <v>585</v>
      </c>
      <c r="E232" t="s">
        <v>519</v>
      </c>
      <c r="F232">
        <v>2.7</v>
      </c>
      <c r="G232">
        <v>1</v>
      </c>
      <c r="H232" t="s">
        <v>189</v>
      </c>
      <c r="I232" t="s">
        <v>441</v>
      </c>
      <c r="J232" t="s">
        <v>441</v>
      </c>
      <c r="K232" t="s">
        <v>441</v>
      </c>
      <c r="L232" t="s">
        <v>441</v>
      </c>
      <c r="M232" t="s">
        <v>441</v>
      </c>
      <c r="T232" t="s">
        <v>477</v>
      </c>
    </row>
    <row r="233" spans="1:20" x14ac:dyDescent="0.35">
      <c r="A233">
        <v>63</v>
      </c>
      <c r="B233" t="s">
        <v>439</v>
      </c>
      <c r="D233" t="s">
        <v>585</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585</v>
      </c>
      <c r="E234" t="s">
        <v>519</v>
      </c>
      <c r="F234">
        <v>2.5</v>
      </c>
      <c r="G234">
        <v>1</v>
      </c>
      <c r="H234" t="s">
        <v>39</v>
      </c>
      <c r="I234" t="s">
        <v>441</v>
      </c>
      <c r="J234" t="s">
        <v>441</v>
      </c>
      <c r="K234" t="s">
        <v>441</v>
      </c>
      <c r="L234" t="s">
        <v>441</v>
      </c>
      <c r="M234" t="s">
        <v>441</v>
      </c>
      <c r="T234" t="s">
        <v>477</v>
      </c>
    </row>
    <row r="235" spans="1:20" x14ac:dyDescent="0.35">
      <c r="A235">
        <v>63</v>
      </c>
      <c r="B235" t="s">
        <v>439</v>
      </c>
      <c r="D235" t="s">
        <v>585</v>
      </c>
      <c r="E235" t="s">
        <v>519</v>
      </c>
      <c r="F235">
        <v>6.8</v>
      </c>
      <c r="G235">
        <v>1</v>
      </c>
      <c r="H235" t="s">
        <v>189</v>
      </c>
      <c r="I235" t="s">
        <v>441</v>
      </c>
      <c r="J235" t="s">
        <v>441</v>
      </c>
      <c r="K235" t="s">
        <v>442</v>
      </c>
      <c r="L235" t="s">
        <v>441</v>
      </c>
      <c r="M235" t="s">
        <v>441</v>
      </c>
      <c r="T235" t="s">
        <v>477</v>
      </c>
    </row>
    <row r="236" spans="1:20" x14ac:dyDescent="0.35">
      <c r="A236">
        <v>63</v>
      </c>
      <c r="B236" t="s">
        <v>439</v>
      </c>
      <c r="D236" t="s">
        <v>585</v>
      </c>
      <c r="E236" t="s">
        <v>519</v>
      </c>
      <c r="F236">
        <v>7.1</v>
      </c>
      <c r="G236">
        <v>2</v>
      </c>
      <c r="H236" t="s">
        <v>189</v>
      </c>
      <c r="I236" t="s">
        <v>441</v>
      </c>
      <c r="J236" t="s">
        <v>441</v>
      </c>
      <c r="K236" t="s">
        <v>441</v>
      </c>
      <c r="L236" t="s">
        <v>441</v>
      </c>
      <c r="M236" t="s">
        <v>441</v>
      </c>
      <c r="T236" t="s">
        <v>477</v>
      </c>
    </row>
    <row r="237" spans="1:20" x14ac:dyDescent="0.35">
      <c r="A237">
        <v>63</v>
      </c>
      <c r="B237" t="s">
        <v>438</v>
      </c>
      <c r="D237" t="s">
        <v>585</v>
      </c>
      <c r="E237" t="s">
        <v>493</v>
      </c>
      <c r="F237">
        <v>9.5</v>
      </c>
      <c r="G237">
        <v>5</v>
      </c>
      <c r="H237" t="s">
        <v>189</v>
      </c>
      <c r="I237" t="s">
        <v>441</v>
      </c>
      <c r="J237" t="s">
        <v>442</v>
      </c>
      <c r="K237" t="s">
        <v>442</v>
      </c>
      <c r="L237" t="s">
        <v>442</v>
      </c>
      <c r="M237" t="s">
        <v>441</v>
      </c>
      <c r="N237" t="s">
        <v>442</v>
      </c>
      <c r="Q237" t="s">
        <v>643</v>
      </c>
      <c r="T237" t="s">
        <v>1109</v>
      </c>
    </row>
    <row r="238" spans="1:20" x14ac:dyDescent="0.35">
      <c r="A238">
        <v>56</v>
      </c>
      <c r="B238" t="s">
        <v>438</v>
      </c>
      <c r="D238" t="s">
        <v>644</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585</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585</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585</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669</v>
      </c>
      <c r="T243" t="s">
        <v>477</v>
      </c>
    </row>
    <row r="244" spans="1:20" x14ac:dyDescent="0.35">
      <c r="A244">
        <v>78</v>
      </c>
      <c r="B244" t="s">
        <v>437</v>
      </c>
      <c r="D244" t="s">
        <v>585</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585</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585</v>
      </c>
      <c r="E246" t="s">
        <v>519</v>
      </c>
      <c r="F246">
        <v>2.4</v>
      </c>
      <c r="G246">
        <v>1</v>
      </c>
      <c r="H246" t="s">
        <v>189</v>
      </c>
      <c r="I246" t="s">
        <v>441</v>
      </c>
      <c r="J246" t="s">
        <v>441</v>
      </c>
      <c r="K246" t="s">
        <v>441</v>
      </c>
      <c r="L246" t="s">
        <v>441</v>
      </c>
      <c r="M246" t="s">
        <v>441</v>
      </c>
      <c r="N246" t="s">
        <v>441</v>
      </c>
      <c r="Q246" t="s">
        <v>670</v>
      </c>
      <c r="T246" t="s">
        <v>477</v>
      </c>
    </row>
    <row r="247" spans="1:20" x14ac:dyDescent="0.35">
      <c r="A247">
        <v>78</v>
      </c>
      <c r="B247" t="s">
        <v>439</v>
      </c>
      <c r="D247" t="s">
        <v>585</v>
      </c>
      <c r="E247" t="s">
        <v>519</v>
      </c>
      <c r="F247">
        <v>2.8</v>
      </c>
      <c r="G247">
        <v>1</v>
      </c>
      <c r="H247" t="s">
        <v>189</v>
      </c>
      <c r="I247" t="s">
        <v>441</v>
      </c>
      <c r="J247" t="s">
        <v>441</v>
      </c>
      <c r="K247" t="s">
        <v>442</v>
      </c>
      <c r="L247" t="s">
        <v>442</v>
      </c>
      <c r="M247" t="s">
        <v>441</v>
      </c>
      <c r="N247" t="s">
        <v>442</v>
      </c>
      <c r="T247" t="s">
        <v>1109</v>
      </c>
    </row>
    <row r="248" spans="1:20" x14ac:dyDescent="0.35">
      <c r="A248">
        <v>78</v>
      </c>
      <c r="B248" t="s">
        <v>439</v>
      </c>
      <c r="D248" t="s">
        <v>585</v>
      </c>
      <c r="E248" t="s">
        <v>668</v>
      </c>
      <c r="F248">
        <v>2.9</v>
      </c>
      <c r="G248">
        <v>1</v>
      </c>
      <c r="H248" t="s">
        <v>189</v>
      </c>
      <c r="I248" t="s">
        <v>441</v>
      </c>
      <c r="J248" t="s">
        <v>441</v>
      </c>
      <c r="K248" t="s">
        <v>441</v>
      </c>
      <c r="L248" t="s">
        <v>441</v>
      </c>
      <c r="M248" t="s">
        <v>441</v>
      </c>
      <c r="N248" t="s">
        <v>441</v>
      </c>
      <c r="T248" t="s">
        <v>477</v>
      </c>
    </row>
    <row r="249" spans="1:20" x14ac:dyDescent="0.35">
      <c r="A249">
        <v>78</v>
      </c>
      <c r="B249" t="s">
        <v>439</v>
      </c>
      <c r="D249" t="s">
        <v>585</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585</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585</v>
      </c>
      <c r="E251" t="s">
        <v>519</v>
      </c>
      <c r="F251">
        <v>3.6</v>
      </c>
      <c r="G251">
        <v>1</v>
      </c>
      <c r="H251" t="s">
        <v>189</v>
      </c>
      <c r="I251" t="s">
        <v>441</v>
      </c>
      <c r="J251" t="s">
        <v>441</v>
      </c>
      <c r="K251" t="s">
        <v>441</v>
      </c>
      <c r="L251" t="s">
        <v>441</v>
      </c>
      <c r="M251" t="s">
        <v>441</v>
      </c>
      <c r="N251" t="s">
        <v>441</v>
      </c>
      <c r="Q251" t="s">
        <v>671</v>
      </c>
      <c r="T251" t="s">
        <v>477</v>
      </c>
    </row>
    <row r="252" spans="1:20" x14ac:dyDescent="0.35">
      <c r="A252">
        <v>78</v>
      </c>
      <c r="B252" t="s">
        <v>439</v>
      </c>
      <c r="D252" t="s">
        <v>585</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585</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672</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585</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661</v>
      </c>
      <c r="D259">
        <v>8.07</v>
      </c>
      <c r="E259" t="s">
        <v>475</v>
      </c>
      <c r="F259">
        <v>2.7</v>
      </c>
      <c r="G259">
        <v>1</v>
      </c>
      <c r="H259" t="s">
        <v>39</v>
      </c>
      <c r="I259" t="s">
        <v>441</v>
      </c>
      <c r="J259" t="s">
        <v>441</v>
      </c>
      <c r="K259" t="s">
        <v>442</v>
      </c>
      <c r="L259" t="s">
        <v>441</v>
      </c>
      <c r="M259" t="s">
        <v>441</v>
      </c>
      <c r="N259" t="s">
        <v>441</v>
      </c>
      <c r="Q259" t="s">
        <v>673</v>
      </c>
      <c r="T259" t="s">
        <v>477</v>
      </c>
    </row>
    <row r="260" spans="1:20" x14ac:dyDescent="0.35">
      <c r="A260" t="s">
        <v>661</v>
      </c>
      <c r="D260" t="s">
        <v>585</v>
      </c>
      <c r="E260" t="s">
        <v>517</v>
      </c>
      <c r="F260">
        <v>13.7</v>
      </c>
      <c r="G260">
        <v>5</v>
      </c>
      <c r="H260" t="s">
        <v>189</v>
      </c>
      <c r="I260" t="s">
        <v>442</v>
      </c>
      <c r="J260" t="s">
        <v>442</v>
      </c>
      <c r="K260" t="s">
        <v>442</v>
      </c>
      <c r="L260" t="s">
        <v>441</v>
      </c>
      <c r="M260" t="s">
        <v>442</v>
      </c>
      <c r="N260" t="s">
        <v>442</v>
      </c>
      <c r="R260" t="s">
        <v>674</v>
      </c>
      <c r="T260" t="s">
        <v>477</v>
      </c>
    </row>
    <row r="261" spans="1:20" x14ac:dyDescent="0.35">
      <c r="A261" t="s">
        <v>661</v>
      </c>
      <c r="D261">
        <v>22.8</v>
      </c>
      <c r="E261" t="s">
        <v>475</v>
      </c>
      <c r="F261">
        <v>15.6</v>
      </c>
      <c r="G261">
        <v>5</v>
      </c>
      <c r="H261" t="s">
        <v>98</v>
      </c>
      <c r="I261" t="s">
        <v>441</v>
      </c>
      <c r="J261" t="s">
        <v>442</v>
      </c>
      <c r="K261" t="s">
        <v>442</v>
      </c>
      <c r="L261" t="s">
        <v>441</v>
      </c>
      <c r="M261" t="s">
        <v>442</v>
      </c>
      <c r="N261" t="s">
        <v>442</v>
      </c>
      <c r="T261" t="s">
        <v>477</v>
      </c>
    </row>
    <row r="262" spans="1:20" x14ac:dyDescent="0.35">
      <c r="A262" t="s">
        <v>661</v>
      </c>
      <c r="D262">
        <v>26.64</v>
      </c>
      <c r="E262" t="s">
        <v>475</v>
      </c>
      <c r="F262">
        <v>16.899999999999999</v>
      </c>
      <c r="G262">
        <v>3</v>
      </c>
      <c r="H262" t="s">
        <v>98</v>
      </c>
      <c r="I262" t="s">
        <v>441</v>
      </c>
      <c r="J262" t="s">
        <v>441</v>
      </c>
      <c r="K262" t="s">
        <v>441</v>
      </c>
      <c r="L262" t="s">
        <v>442</v>
      </c>
      <c r="M262" t="s">
        <v>442</v>
      </c>
      <c r="N262" t="s">
        <v>441</v>
      </c>
      <c r="T262" t="s">
        <v>1109</v>
      </c>
    </row>
    <row r="263" spans="1:20" x14ac:dyDescent="0.35">
      <c r="A263" t="s">
        <v>662</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585</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585</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585</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585</v>
      </c>
      <c r="E271" t="s">
        <v>475</v>
      </c>
      <c r="F271">
        <v>3</v>
      </c>
      <c r="G271">
        <v>1</v>
      </c>
      <c r="H271" t="s">
        <v>39</v>
      </c>
      <c r="I271" t="s">
        <v>441</v>
      </c>
      <c r="J271" t="s">
        <v>441</v>
      </c>
      <c r="K271" t="s">
        <v>441</v>
      </c>
      <c r="L271" t="s">
        <v>441</v>
      </c>
      <c r="M271" t="s">
        <v>441</v>
      </c>
      <c r="N271" t="s">
        <v>441</v>
      </c>
      <c r="R271" t="s">
        <v>754</v>
      </c>
      <c r="T271" t="s">
        <v>477</v>
      </c>
    </row>
    <row r="272" spans="1:20" x14ac:dyDescent="0.35">
      <c r="A272">
        <v>114</v>
      </c>
      <c r="B272" t="s">
        <v>437</v>
      </c>
      <c r="D272" t="s">
        <v>585</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585</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585</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755</v>
      </c>
      <c r="R279" t="s">
        <v>756</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757</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758</v>
      </c>
      <c r="T281" t="s">
        <v>477</v>
      </c>
    </row>
    <row r="282" spans="1:20" x14ac:dyDescent="0.35">
      <c r="A282">
        <v>71</v>
      </c>
      <c r="B282" t="s">
        <v>437</v>
      </c>
      <c r="D282" t="s">
        <v>585</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585</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585</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1109</v>
      </c>
    </row>
    <row r="287" spans="1:20" x14ac:dyDescent="0.35">
      <c r="A287">
        <v>71</v>
      </c>
      <c r="B287" t="s">
        <v>439</v>
      </c>
      <c r="D287">
        <v>17.71</v>
      </c>
      <c r="E287" t="s">
        <v>759</v>
      </c>
      <c r="F287">
        <v>12.2</v>
      </c>
      <c r="G287">
        <v>5</v>
      </c>
      <c r="H287" t="s">
        <v>189</v>
      </c>
      <c r="I287" t="s">
        <v>441</v>
      </c>
      <c r="J287" t="s">
        <v>442</v>
      </c>
      <c r="K287" t="s">
        <v>442</v>
      </c>
      <c r="L287" t="s">
        <v>442</v>
      </c>
      <c r="M287" t="s">
        <v>441</v>
      </c>
      <c r="N287" t="s">
        <v>442</v>
      </c>
      <c r="T287" t="s">
        <v>1109</v>
      </c>
    </row>
    <row r="288" spans="1:20" x14ac:dyDescent="0.35">
      <c r="A288">
        <v>71</v>
      </c>
      <c r="B288" t="s">
        <v>440</v>
      </c>
      <c r="C288">
        <v>220</v>
      </c>
      <c r="D288">
        <v>22.08</v>
      </c>
      <c r="E288" t="s">
        <v>482</v>
      </c>
      <c r="F288">
        <v>12.7</v>
      </c>
      <c r="I288" t="s">
        <v>441</v>
      </c>
      <c r="J288" t="s">
        <v>441</v>
      </c>
      <c r="K288" t="s">
        <v>442</v>
      </c>
      <c r="L288" t="s">
        <v>441</v>
      </c>
      <c r="M288" t="s">
        <v>441</v>
      </c>
      <c r="N288" t="s">
        <v>441</v>
      </c>
      <c r="R288" t="s">
        <v>760</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760</v>
      </c>
      <c r="T289" t="s">
        <v>1109</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761</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1109</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817</v>
      </c>
      <c r="T298" t="s">
        <v>1111</v>
      </c>
    </row>
    <row r="299" spans="1:20" s="11" customFormat="1" x14ac:dyDescent="0.35">
      <c r="A299" s="11">
        <v>85</v>
      </c>
      <c r="B299" s="11" t="s">
        <v>437</v>
      </c>
      <c r="D299" s="11">
        <v>11.08</v>
      </c>
      <c r="E299" s="11" t="s">
        <v>496</v>
      </c>
      <c r="Q299" s="11" t="s">
        <v>818</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585</v>
      </c>
      <c r="E301" t="s">
        <v>517</v>
      </c>
      <c r="F301">
        <v>3.5</v>
      </c>
      <c r="G301">
        <v>5</v>
      </c>
      <c r="H301" t="s">
        <v>39</v>
      </c>
      <c r="I301" t="s">
        <v>442</v>
      </c>
      <c r="J301" t="s">
        <v>441</v>
      </c>
      <c r="K301" t="s">
        <v>442</v>
      </c>
      <c r="L301" t="s">
        <v>442</v>
      </c>
      <c r="M301" t="s">
        <v>442</v>
      </c>
      <c r="N301" t="s">
        <v>441</v>
      </c>
      <c r="Q301" t="s">
        <v>819</v>
      </c>
      <c r="T301" t="s">
        <v>1109</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820</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821</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822</v>
      </c>
      <c r="E309" t="s">
        <v>493</v>
      </c>
      <c r="F309">
        <v>2.2000000000000002</v>
      </c>
      <c r="G309">
        <v>2</v>
      </c>
      <c r="H309" t="s">
        <v>189</v>
      </c>
      <c r="I309" t="s">
        <v>441</v>
      </c>
      <c r="J309" t="s">
        <v>441</v>
      </c>
      <c r="K309" t="s">
        <v>441</v>
      </c>
      <c r="L309" t="s">
        <v>442</v>
      </c>
      <c r="M309" t="s">
        <v>441</v>
      </c>
      <c r="N309" t="s">
        <v>441</v>
      </c>
      <c r="T309" t="s">
        <v>1109</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823</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874</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875</v>
      </c>
      <c r="T312" t="s">
        <v>477</v>
      </c>
    </row>
    <row r="313" spans="1:20" x14ac:dyDescent="0.35">
      <c r="A313">
        <v>18</v>
      </c>
      <c r="B313" t="s">
        <v>437</v>
      </c>
      <c r="D313" t="s">
        <v>585</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585</v>
      </c>
      <c r="E314" t="s">
        <v>493</v>
      </c>
      <c r="F314">
        <v>3.2</v>
      </c>
      <c r="G314">
        <v>1</v>
      </c>
      <c r="H314" t="s">
        <v>39</v>
      </c>
      <c r="I314" t="s">
        <v>441</v>
      </c>
      <c r="J314" t="s">
        <v>441</v>
      </c>
      <c r="K314" t="s">
        <v>442</v>
      </c>
      <c r="L314" t="s">
        <v>442</v>
      </c>
      <c r="M314" t="s">
        <v>441</v>
      </c>
      <c r="N314" t="s">
        <v>441</v>
      </c>
      <c r="T314" t="s">
        <v>1109</v>
      </c>
    </row>
    <row r="315" spans="1:20" x14ac:dyDescent="0.35">
      <c r="A315">
        <v>18</v>
      </c>
      <c r="B315" t="s">
        <v>437</v>
      </c>
      <c r="D315" t="s">
        <v>585</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585</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585</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585</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585</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585</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585</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874</v>
      </c>
      <c r="R322" t="s">
        <v>876</v>
      </c>
      <c r="T322" t="s">
        <v>477</v>
      </c>
    </row>
    <row r="323" spans="1:20" x14ac:dyDescent="0.35">
      <c r="A323">
        <v>18</v>
      </c>
      <c r="B323" t="s">
        <v>438</v>
      </c>
      <c r="D323" t="s">
        <v>585</v>
      </c>
      <c r="E323" t="s">
        <v>493</v>
      </c>
      <c r="F323">
        <v>5.7</v>
      </c>
      <c r="G323">
        <v>4</v>
      </c>
      <c r="H323" t="s">
        <v>39</v>
      </c>
      <c r="I323" t="s">
        <v>441</v>
      </c>
      <c r="J323" t="s">
        <v>442</v>
      </c>
      <c r="K323" t="s">
        <v>441</v>
      </c>
      <c r="L323" t="s">
        <v>442</v>
      </c>
      <c r="M323" t="s">
        <v>441</v>
      </c>
      <c r="N323" t="s">
        <v>441</v>
      </c>
      <c r="R323" t="s">
        <v>873</v>
      </c>
      <c r="T323" t="s">
        <v>1110</v>
      </c>
    </row>
    <row r="324" spans="1:20" x14ac:dyDescent="0.35">
      <c r="A324">
        <v>18</v>
      </c>
      <c r="B324" t="s">
        <v>438</v>
      </c>
      <c r="D324" t="s">
        <v>585</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585</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585</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585</v>
      </c>
      <c r="E327" t="s">
        <v>493</v>
      </c>
      <c r="F327">
        <v>3.4</v>
      </c>
      <c r="G327">
        <v>1</v>
      </c>
      <c r="H327" t="s">
        <v>39</v>
      </c>
      <c r="I327" t="s">
        <v>441</v>
      </c>
      <c r="J327" t="s">
        <v>441</v>
      </c>
      <c r="K327" t="s">
        <v>441</v>
      </c>
      <c r="L327" t="s">
        <v>441</v>
      </c>
      <c r="M327" t="s">
        <v>441</v>
      </c>
      <c r="N327" t="s">
        <v>441</v>
      </c>
      <c r="R327" t="s">
        <v>877</v>
      </c>
      <c r="T327" t="s">
        <v>477</v>
      </c>
    </row>
    <row r="328" spans="1:20" x14ac:dyDescent="0.35">
      <c r="A328">
        <v>18</v>
      </c>
      <c r="B328" t="s">
        <v>438</v>
      </c>
      <c r="D328" t="s">
        <v>585</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878</v>
      </c>
      <c r="R329" t="s">
        <v>873</v>
      </c>
      <c r="T329" t="s">
        <v>1110</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585</v>
      </c>
      <c r="E333" s="6" t="s">
        <v>493</v>
      </c>
      <c r="F333" s="6">
        <v>4.5999999999999996</v>
      </c>
      <c r="G333" s="6">
        <v>5</v>
      </c>
      <c r="H333" s="6" t="s">
        <v>189</v>
      </c>
      <c r="I333" s="6" t="s">
        <v>442</v>
      </c>
      <c r="J333" s="6" t="s">
        <v>442</v>
      </c>
      <c r="K333" s="6" t="s">
        <v>442</v>
      </c>
      <c r="L333" s="6" t="s">
        <v>442</v>
      </c>
      <c r="M333" s="6" t="s">
        <v>441</v>
      </c>
      <c r="N333" s="6" t="s">
        <v>442</v>
      </c>
      <c r="T333" s="6" t="s">
        <v>1109</v>
      </c>
    </row>
    <row r="334" spans="1:20" x14ac:dyDescent="0.35">
      <c r="A334">
        <v>72</v>
      </c>
      <c r="B334" t="s">
        <v>437</v>
      </c>
      <c r="D334" t="s">
        <v>585</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585</v>
      </c>
      <c r="E335" t="s">
        <v>493</v>
      </c>
      <c r="F335">
        <v>3.5</v>
      </c>
      <c r="G335">
        <v>5</v>
      </c>
      <c r="H335" t="s">
        <v>189</v>
      </c>
      <c r="I335" t="s">
        <v>441</v>
      </c>
      <c r="J335" t="s">
        <v>442</v>
      </c>
      <c r="K335" t="s">
        <v>442</v>
      </c>
      <c r="L335" t="s">
        <v>442</v>
      </c>
      <c r="M335" t="s">
        <v>442</v>
      </c>
      <c r="N335" t="s">
        <v>442</v>
      </c>
      <c r="T335" t="s">
        <v>1109</v>
      </c>
    </row>
    <row r="336" spans="1:20" x14ac:dyDescent="0.35">
      <c r="A336">
        <v>72</v>
      </c>
      <c r="B336" t="s">
        <v>437</v>
      </c>
      <c r="D336" t="s">
        <v>585</v>
      </c>
      <c r="E336" t="s">
        <v>493</v>
      </c>
      <c r="F336">
        <v>5.5</v>
      </c>
      <c r="G336">
        <v>1</v>
      </c>
      <c r="H336" t="s">
        <v>189</v>
      </c>
      <c r="I336" t="s">
        <v>441</v>
      </c>
      <c r="J336" t="s">
        <v>442</v>
      </c>
      <c r="K336" t="s">
        <v>442</v>
      </c>
      <c r="L336" t="s">
        <v>442</v>
      </c>
      <c r="M336" t="s">
        <v>441</v>
      </c>
      <c r="N336" t="s">
        <v>441</v>
      </c>
      <c r="T336" t="s">
        <v>1109</v>
      </c>
    </row>
    <row r="337" spans="1:20" x14ac:dyDescent="0.35">
      <c r="A337">
        <v>72</v>
      </c>
      <c r="B337" t="s">
        <v>437</v>
      </c>
      <c r="D337" t="s">
        <v>585</v>
      </c>
      <c r="E337" t="s">
        <v>493</v>
      </c>
      <c r="F337">
        <v>5</v>
      </c>
      <c r="G337">
        <v>1</v>
      </c>
      <c r="H337" t="s">
        <v>189</v>
      </c>
      <c r="I337" t="s">
        <v>441</v>
      </c>
      <c r="J337" t="s">
        <v>441</v>
      </c>
      <c r="K337" t="s">
        <v>442</v>
      </c>
      <c r="L337" t="s">
        <v>442</v>
      </c>
      <c r="M337" t="s">
        <v>441</v>
      </c>
      <c r="N337" t="s">
        <v>441</v>
      </c>
      <c r="T337" t="s">
        <v>1109</v>
      </c>
    </row>
    <row r="338" spans="1:20" x14ac:dyDescent="0.35">
      <c r="A338">
        <v>72</v>
      </c>
      <c r="B338" t="s">
        <v>437</v>
      </c>
      <c r="D338" t="s">
        <v>585</v>
      </c>
      <c r="E338" t="s">
        <v>493</v>
      </c>
      <c r="F338">
        <v>8</v>
      </c>
      <c r="G338">
        <v>1</v>
      </c>
      <c r="H338" t="s">
        <v>189</v>
      </c>
      <c r="I338" t="s">
        <v>441</v>
      </c>
      <c r="J338" t="s">
        <v>441</v>
      </c>
      <c r="K338" t="s">
        <v>442</v>
      </c>
      <c r="L338" t="s">
        <v>442</v>
      </c>
      <c r="M338" t="s">
        <v>441</v>
      </c>
      <c r="N338" t="s">
        <v>441</v>
      </c>
      <c r="T338" t="s">
        <v>1109</v>
      </c>
    </row>
    <row r="339" spans="1:20" x14ac:dyDescent="0.35">
      <c r="A339">
        <v>72</v>
      </c>
      <c r="B339" t="s">
        <v>437</v>
      </c>
      <c r="D339" t="s">
        <v>585</v>
      </c>
      <c r="E339" t="s">
        <v>493</v>
      </c>
      <c r="F339">
        <v>7.7</v>
      </c>
      <c r="G339">
        <v>1</v>
      </c>
      <c r="H339" t="s">
        <v>98</v>
      </c>
      <c r="I339" t="s">
        <v>441</v>
      </c>
      <c r="J339" t="s">
        <v>441</v>
      </c>
      <c r="K339" t="s">
        <v>442</v>
      </c>
      <c r="L339" t="s">
        <v>441</v>
      </c>
      <c r="M339" t="s">
        <v>441</v>
      </c>
      <c r="N339" t="s">
        <v>441</v>
      </c>
      <c r="R339" t="s">
        <v>879</v>
      </c>
      <c r="T339" t="s">
        <v>477</v>
      </c>
    </row>
    <row r="340" spans="1:20" x14ac:dyDescent="0.35">
      <c r="A340">
        <v>72</v>
      </c>
      <c r="B340" t="s">
        <v>437</v>
      </c>
      <c r="D340" t="s">
        <v>585</v>
      </c>
      <c r="E340" t="s">
        <v>493</v>
      </c>
      <c r="F340">
        <v>3.7</v>
      </c>
      <c r="G340">
        <v>5</v>
      </c>
      <c r="H340" t="s">
        <v>189</v>
      </c>
      <c r="I340" t="s">
        <v>441</v>
      </c>
      <c r="J340" t="s">
        <v>442</v>
      </c>
      <c r="K340" t="s">
        <v>442</v>
      </c>
      <c r="L340" t="s">
        <v>442</v>
      </c>
      <c r="M340" t="s">
        <v>442</v>
      </c>
      <c r="N340" t="s">
        <v>441</v>
      </c>
      <c r="T340" t="s">
        <v>1109</v>
      </c>
    </row>
    <row r="341" spans="1:20" x14ac:dyDescent="0.35">
      <c r="A341">
        <v>72</v>
      </c>
      <c r="B341" t="s">
        <v>437</v>
      </c>
      <c r="D341" t="s">
        <v>585</v>
      </c>
      <c r="E341" t="s">
        <v>493</v>
      </c>
      <c r="F341">
        <v>3.4</v>
      </c>
      <c r="G341">
        <v>1</v>
      </c>
      <c r="H341" t="s">
        <v>189</v>
      </c>
      <c r="I341" t="s">
        <v>441</v>
      </c>
      <c r="J341" t="s">
        <v>441</v>
      </c>
      <c r="K341" t="s">
        <v>441</v>
      </c>
      <c r="L341" t="s">
        <v>442</v>
      </c>
      <c r="M341" t="s">
        <v>442</v>
      </c>
      <c r="N341" t="s">
        <v>441</v>
      </c>
      <c r="T341" t="s">
        <v>1109</v>
      </c>
    </row>
    <row r="342" spans="1:20" x14ac:dyDescent="0.35">
      <c r="A342">
        <v>72</v>
      </c>
      <c r="B342" t="s">
        <v>437</v>
      </c>
      <c r="D342" t="s">
        <v>585</v>
      </c>
      <c r="E342" t="s">
        <v>493</v>
      </c>
      <c r="F342">
        <v>3.8</v>
      </c>
      <c r="G342">
        <v>1</v>
      </c>
      <c r="H342" t="s">
        <v>189</v>
      </c>
      <c r="I342" t="s">
        <v>441</v>
      </c>
      <c r="J342" t="s">
        <v>441</v>
      </c>
      <c r="K342" t="s">
        <v>441</v>
      </c>
      <c r="L342" t="s">
        <v>441</v>
      </c>
      <c r="M342" t="s">
        <v>441</v>
      </c>
      <c r="N342" t="s">
        <v>441</v>
      </c>
    </row>
    <row r="343" spans="1:20" x14ac:dyDescent="0.35">
      <c r="A343">
        <v>72</v>
      </c>
      <c r="B343" t="s">
        <v>437</v>
      </c>
      <c r="D343" t="s">
        <v>585</v>
      </c>
      <c r="E343" t="s">
        <v>493</v>
      </c>
      <c r="F343">
        <v>5.0999999999999996</v>
      </c>
      <c r="G343">
        <v>1</v>
      </c>
      <c r="H343" t="s">
        <v>98</v>
      </c>
      <c r="I343" t="s">
        <v>441</v>
      </c>
      <c r="J343" t="s">
        <v>441</v>
      </c>
      <c r="K343" t="s">
        <v>442</v>
      </c>
      <c r="L343" t="s">
        <v>442</v>
      </c>
      <c r="M343" t="s">
        <v>441</v>
      </c>
      <c r="N343" t="s">
        <v>441</v>
      </c>
      <c r="T343" t="s">
        <v>1109</v>
      </c>
    </row>
    <row r="344" spans="1:20" x14ac:dyDescent="0.35">
      <c r="A344">
        <v>72</v>
      </c>
      <c r="B344" t="s">
        <v>439</v>
      </c>
      <c r="D344" t="s">
        <v>585</v>
      </c>
      <c r="E344" t="s">
        <v>493</v>
      </c>
      <c r="F344">
        <v>8.6</v>
      </c>
      <c r="G344">
        <v>2</v>
      </c>
      <c r="H344" t="s">
        <v>98</v>
      </c>
      <c r="I344" t="s">
        <v>441</v>
      </c>
      <c r="J344" t="s">
        <v>441</v>
      </c>
      <c r="K344" t="s">
        <v>442</v>
      </c>
      <c r="L344" t="s">
        <v>442</v>
      </c>
      <c r="M344" t="s">
        <v>442</v>
      </c>
      <c r="N344" t="s">
        <v>441</v>
      </c>
      <c r="R344" t="s">
        <v>880</v>
      </c>
      <c r="T344" t="s">
        <v>1110</v>
      </c>
    </row>
    <row r="345" spans="1:20" x14ac:dyDescent="0.35">
      <c r="A345">
        <v>72</v>
      </c>
      <c r="B345" t="s">
        <v>439</v>
      </c>
      <c r="D345" t="s">
        <v>585</v>
      </c>
      <c r="E345" t="s">
        <v>493</v>
      </c>
      <c r="F345">
        <v>5</v>
      </c>
      <c r="G345">
        <v>2</v>
      </c>
      <c r="H345" t="s">
        <v>189</v>
      </c>
      <c r="I345" t="s">
        <v>441</v>
      </c>
      <c r="J345" t="s">
        <v>441</v>
      </c>
      <c r="K345" t="s">
        <v>442</v>
      </c>
      <c r="L345" t="s">
        <v>442</v>
      </c>
      <c r="M345" t="s">
        <v>441</v>
      </c>
      <c r="N345" t="s">
        <v>441</v>
      </c>
      <c r="T345" t="s">
        <v>1109</v>
      </c>
    </row>
    <row r="346" spans="1:20" x14ac:dyDescent="0.35">
      <c r="A346">
        <v>72</v>
      </c>
      <c r="B346" t="s">
        <v>439</v>
      </c>
      <c r="D346" t="s">
        <v>585</v>
      </c>
      <c r="E346" t="s">
        <v>493</v>
      </c>
      <c r="F346">
        <v>9.9</v>
      </c>
      <c r="G346">
        <v>1</v>
      </c>
      <c r="H346" t="s">
        <v>98</v>
      </c>
      <c r="I346" t="s">
        <v>441</v>
      </c>
      <c r="J346" t="s">
        <v>441</v>
      </c>
      <c r="K346" t="s">
        <v>442</v>
      </c>
      <c r="L346" t="s">
        <v>442</v>
      </c>
      <c r="M346" t="s">
        <v>441</v>
      </c>
      <c r="N346" t="s">
        <v>441</v>
      </c>
      <c r="R346" t="s">
        <v>454</v>
      </c>
      <c r="T346" t="s">
        <v>1109</v>
      </c>
    </row>
    <row r="347" spans="1:20" x14ac:dyDescent="0.35">
      <c r="A347">
        <v>72</v>
      </c>
      <c r="B347" t="s">
        <v>439</v>
      </c>
      <c r="D347" t="s">
        <v>585</v>
      </c>
      <c r="E347" t="s">
        <v>493</v>
      </c>
      <c r="F347">
        <v>4.4000000000000004</v>
      </c>
      <c r="G347">
        <v>2</v>
      </c>
      <c r="H347" t="s">
        <v>39</v>
      </c>
      <c r="I347" t="s">
        <v>441</v>
      </c>
      <c r="J347" t="s">
        <v>441</v>
      </c>
      <c r="K347" t="s">
        <v>442</v>
      </c>
      <c r="L347" t="s">
        <v>442</v>
      </c>
      <c r="M347" t="s">
        <v>442</v>
      </c>
      <c r="N347" t="s">
        <v>441</v>
      </c>
      <c r="T347" t="s">
        <v>1109</v>
      </c>
    </row>
    <row r="348" spans="1:20" x14ac:dyDescent="0.35">
      <c r="A348">
        <v>72</v>
      </c>
      <c r="B348" t="s">
        <v>439</v>
      </c>
      <c r="D348" t="s">
        <v>585</v>
      </c>
      <c r="E348" t="s">
        <v>493</v>
      </c>
      <c r="F348">
        <v>4.8</v>
      </c>
      <c r="G348">
        <v>1</v>
      </c>
      <c r="H348" t="s">
        <v>189</v>
      </c>
      <c r="I348" t="s">
        <v>441</v>
      </c>
      <c r="J348" t="s">
        <v>441</v>
      </c>
      <c r="K348" t="s">
        <v>442</v>
      </c>
      <c r="L348" t="s">
        <v>442</v>
      </c>
      <c r="M348" t="s">
        <v>441</v>
      </c>
      <c r="N348" t="s">
        <v>441</v>
      </c>
      <c r="T348" t="s">
        <v>1109</v>
      </c>
    </row>
    <row r="349" spans="1:20" x14ac:dyDescent="0.35">
      <c r="A349">
        <v>72</v>
      </c>
      <c r="B349" t="s">
        <v>439</v>
      </c>
      <c r="D349" t="s">
        <v>585</v>
      </c>
      <c r="E349" t="s">
        <v>493</v>
      </c>
      <c r="F349">
        <v>9.5</v>
      </c>
      <c r="G349">
        <v>2</v>
      </c>
      <c r="H349" t="s">
        <v>189</v>
      </c>
      <c r="I349" t="s">
        <v>441</v>
      </c>
      <c r="J349" t="s">
        <v>441</v>
      </c>
      <c r="K349" t="s">
        <v>442</v>
      </c>
      <c r="L349" t="s">
        <v>442</v>
      </c>
      <c r="M349" t="s">
        <v>441</v>
      </c>
      <c r="N349" t="s">
        <v>441</v>
      </c>
      <c r="T349" t="s">
        <v>1109</v>
      </c>
    </row>
    <row r="350" spans="1:20" x14ac:dyDescent="0.35">
      <c r="A350">
        <v>72</v>
      </c>
      <c r="B350" t="s">
        <v>439</v>
      </c>
      <c r="D350" t="s">
        <v>585</v>
      </c>
      <c r="E350" t="s">
        <v>493</v>
      </c>
      <c r="F350">
        <v>9.6999999999999993</v>
      </c>
      <c r="G350">
        <v>2</v>
      </c>
      <c r="H350" t="s">
        <v>189</v>
      </c>
      <c r="I350" t="s">
        <v>441</v>
      </c>
      <c r="J350" t="s">
        <v>441</v>
      </c>
      <c r="K350" t="s">
        <v>441</v>
      </c>
      <c r="L350" t="s">
        <v>442</v>
      </c>
      <c r="M350" t="s">
        <v>441</v>
      </c>
      <c r="N350" t="s">
        <v>441</v>
      </c>
      <c r="T350" t="s">
        <v>1109</v>
      </c>
    </row>
    <row r="351" spans="1:20" x14ac:dyDescent="0.35">
      <c r="A351">
        <v>72</v>
      </c>
      <c r="B351" t="s">
        <v>439</v>
      </c>
      <c r="D351" t="s">
        <v>585</v>
      </c>
      <c r="E351" t="s">
        <v>493</v>
      </c>
      <c r="F351">
        <v>9.3000000000000007</v>
      </c>
      <c r="G351">
        <v>1</v>
      </c>
      <c r="H351" t="s">
        <v>189</v>
      </c>
      <c r="I351" t="s">
        <v>441</v>
      </c>
      <c r="J351" t="s">
        <v>441</v>
      </c>
      <c r="K351" t="s">
        <v>442</v>
      </c>
      <c r="L351" t="s">
        <v>442</v>
      </c>
      <c r="M351" t="s">
        <v>441</v>
      </c>
      <c r="N351" t="s">
        <v>441</v>
      </c>
      <c r="T351" t="s">
        <v>1109</v>
      </c>
    </row>
    <row r="352" spans="1:20" x14ac:dyDescent="0.35">
      <c r="A352">
        <v>72</v>
      </c>
      <c r="B352" t="s">
        <v>439</v>
      </c>
      <c r="D352" t="s">
        <v>585</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585</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585</v>
      </c>
      <c r="E354" t="s">
        <v>493</v>
      </c>
      <c r="F354">
        <v>6.8</v>
      </c>
      <c r="G354">
        <v>1</v>
      </c>
      <c r="H354" t="s">
        <v>189</v>
      </c>
      <c r="I354" t="s">
        <v>441</v>
      </c>
      <c r="J354" t="s">
        <v>441</v>
      </c>
      <c r="K354" t="s">
        <v>442</v>
      </c>
      <c r="L354" t="s">
        <v>442</v>
      </c>
      <c r="M354" t="s">
        <v>441</v>
      </c>
      <c r="N354" t="s">
        <v>441</v>
      </c>
      <c r="T354" t="s">
        <v>1109</v>
      </c>
    </row>
    <row r="355" spans="1:20" x14ac:dyDescent="0.35">
      <c r="A355">
        <v>72</v>
      </c>
      <c r="B355" t="s">
        <v>439</v>
      </c>
      <c r="D355" t="s">
        <v>585</v>
      </c>
      <c r="E355" t="s">
        <v>493</v>
      </c>
      <c r="F355">
        <v>5.2</v>
      </c>
      <c r="G355">
        <v>1</v>
      </c>
      <c r="H355" t="s">
        <v>189</v>
      </c>
      <c r="I355" t="s">
        <v>441</v>
      </c>
      <c r="J355" t="s">
        <v>441</v>
      </c>
      <c r="K355" t="s">
        <v>442</v>
      </c>
      <c r="L355" t="s">
        <v>442</v>
      </c>
      <c r="M355" t="s">
        <v>441</v>
      </c>
      <c r="N355" t="s">
        <v>441</v>
      </c>
      <c r="R355" t="s">
        <v>881</v>
      </c>
      <c r="T355" t="s">
        <v>1109</v>
      </c>
    </row>
    <row r="356" spans="1:20" x14ac:dyDescent="0.35">
      <c r="A356">
        <v>72</v>
      </c>
      <c r="B356" t="s">
        <v>439</v>
      </c>
      <c r="D356" t="s">
        <v>585</v>
      </c>
      <c r="E356" t="s">
        <v>493</v>
      </c>
      <c r="F356">
        <v>9.5</v>
      </c>
      <c r="G356">
        <v>1</v>
      </c>
      <c r="H356" t="s">
        <v>189</v>
      </c>
      <c r="I356" t="s">
        <v>441</v>
      </c>
      <c r="J356" t="s">
        <v>441</v>
      </c>
      <c r="K356" t="s">
        <v>442</v>
      </c>
      <c r="L356" t="s">
        <v>442</v>
      </c>
      <c r="M356" t="s">
        <v>441</v>
      </c>
      <c r="N356" t="s">
        <v>441</v>
      </c>
      <c r="T356" t="s">
        <v>1109</v>
      </c>
    </row>
    <row r="357" spans="1:20" x14ac:dyDescent="0.35">
      <c r="A357">
        <v>72</v>
      </c>
      <c r="B357" t="s">
        <v>439</v>
      </c>
      <c r="D357" t="s">
        <v>585</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585</v>
      </c>
      <c r="E358" s="6" t="s">
        <v>493</v>
      </c>
      <c r="F358" s="6">
        <v>6.8</v>
      </c>
      <c r="G358" s="6">
        <v>1</v>
      </c>
      <c r="H358" s="6" t="s">
        <v>189</v>
      </c>
      <c r="I358" s="6" t="s">
        <v>441</v>
      </c>
      <c r="J358" s="6" t="s">
        <v>441</v>
      </c>
      <c r="K358" s="6" t="s">
        <v>442</v>
      </c>
      <c r="L358" s="6" t="s">
        <v>442</v>
      </c>
      <c r="M358" s="6" t="s">
        <v>441</v>
      </c>
      <c r="N358" s="6" t="s">
        <v>441</v>
      </c>
      <c r="R358" s="6" t="s">
        <v>873</v>
      </c>
      <c r="T358" s="6" t="s">
        <v>1110</v>
      </c>
    </row>
    <row r="359" spans="1:20" x14ac:dyDescent="0.35">
      <c r="A359">
        <v>72</v>
      </c>
      <c r="B359" t="s">
        <v>439</v>
      </c>
      <c r="D359" t="s">
        <v>585</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585</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585</v>
      </c>
      <c r="E361" t="s">
        <v>493</v>
      </c>
      <c r="F361">
        <v>4.5999999999999996</v>
      </c>
      <c r="G361">
        <v>5</v>
      </c>
      <c r="H361" t="s">
        <v>189</v>
      </c>
      <c r="I361" t="s">
        <v>441</v>
      </c>
      <c r="J361" t="s">
        <v>441</v>
      </c>
      <c r="K361" t="s">
        <v>442</v>
      </c>
      <c r="L361" t="s">
        <v>442</v>
      </c>
      <c r="M361" t="s">
        <v>442</v>
      </c>
      <c r="N361" t="s">
        <v>441</v>
      </c>
      <c r="T361" t="s">
        <v>1109</v>
      </c>
    </row>
    <row r="362" spans="1:20" x14ac:dyDescent="0.35">
      <c r="A362">
        <v>72</v>
      </c>
      <c r="B362" t="s">
        <v>440</v>
      </c>
      <c r="D362" t="s">
        <v>585</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585</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585</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585</v>
      </c>
      <c r="E365" t="s">
        <v>493</v>
      </c>
      <c r="F365">
        <v>8.6</v>
      </c>
      <c r="G365">
        <v>5</v>
      </c>
      <c r="H365" t="s">
        <v>189</v>
      </c>
      <c r="I365" t="s">
        <v>441</v>
      </c>
      <c r="J365" t="s">
        <v>442</v>
      </c>
      <c r="K365" t="s">
        <v>442</v>
      </c>
      <c r="L365" t="s">
        <v>442</v>
      </c>
      <c r="M365" t="s">
        <v>442</v>
      </c>
      <c r="N365" t="s">
        <v>441</v>
      </c>
      <c r="T365" t="s">
        <v>1109</v>
      </c>
    </row>
    <row r="366" spans="1:20" x14ac:dyDescent="0.35">
      <c r="A366">
        <v>72</v>
      </c>
      <c r="B366" t="s">
        <v>440</v>
      </c>
      <c r="D366" t="s">
        <v>585</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585</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585</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585</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585</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585</v>
      </c>
      <c r="E371" t="s">
        <v>493</v>
      </c>
      <c r="F371">
        <v>5.5</v>
      </c>
      <c r="G371">
        <v>1</v>
      </c>
      <c r="H371" t="s">
        <v>189</v>
      </c>
      <c r="I371" t="s">
        <v>441</v>
      </c>
      <c r="J371" t="s">
        <v>441</v>
      </c>
      <c r="K371" t="s">
        <v>442</v>
      </c>
      <c r="L371" t="s">
        <v>442</v>
      </c>
      <c r="M371" t="s">
        <v>441</v>
      </c>
      <c r="N371" t="s">
        <v>441</v>
      </c>
      <c r="T371" t="s">
        <v>1109</v>
      </c>
    </row>
    <row r="372" spans="1:20" x14ac:dyDescent="0.35">
      <c r="A372">
        <v>72</v>
      </c>
      <c r="B372" t="s">
        <v>440</v>
      </c>
      <c r="D372" t="s">
        <v>585</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585</v>
      </c>
      <c r="E373" t="s">
        <v>493</v>
      </c>
      <c r="F373">
        <v>4.4000000000000004</v>
      </c>
      <c r="G373">
        <v>5</v>
      </c>
      <c r="H373" t="s">
        <v>39</v>
      </c>
      <c r="I373" t="s">
        <v>441</v>
      </c>
      <c r="J373" t="s">
        <v>441</v>
      </c>
      <c r="K373" t="s">
        <v>442</v>
      </c>
      <c r="L373" t="s">
        <v>442</v>
      </c>
      <c r="M373" t="s">
        <v>441</v>
      </c>
      <c r="N373" t="s">
        <v>441</v>
      </c>
      <c r="T373" t="s">
        <v>1109</v>
      </c>
    </row>
    <row r="374" spans="1:20" x14ac:dyDescent="0.35">
      <c r="A374">
        <v>72</v>
      </c>
      <c r="B374" t="s">
        <v>440</v>
      </c>
      <c r="D374" t="s">
        <v>585</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585</v>
      </c>
      <c r="E375" t="s">
        <v>493</v>
      </c>
      <c r="F375">
        <v>5.5</v>
      </c>
      <c r="G375">
        <v>2</v>
      </c>
      <c r="H375" t="s">
        <v>189</v>
      </c>
      <c r="I375" t="s">
        <v>441</v>
      </c>
      <c r="J375" t="s">
        <v>441</v>
      </c>
      <c r="K375" t="s">
        <v>441</v>
      </c>
      <c r="L375" t="s">
        <v>442</v>
      </c>
      <c r="M375" t="s">
        <v>441</v>
      </c>
      <c r="N375" t="s">
        <v>441</v>
      </c>
      <c r="T375" t="s">
        <v>1109</v>
      </c>
    </row>
    <row r="376" spans="1:20" x14ac:dyDescent="0.35">
      <c r="A376">
        <v>72</v>
      </c>
      <c r="B376" t="s">
        <v>440</v>
      </c>
      <c r="D376" t="s">
        <v>585</v>
      </c>
      <c r="E376" t="s">
        <v>517</v>
      </c>
      <c r="F376">
        <v>2.8</v>
      </c>
      <c r="G376">
        <v>5</v>
      </c>
      <c r="H376" t="s">
        <v>39</v>
      </c>
      <c r="I376" t="s">
        <v>441</v>
      </c>
      <c r="J376" t="s">
        <v>441</v>
      </c>
      <c r="K376" t="s">
        <v>442</v>
      </c>
      <c r="L376" t="s">
        <v>442</v>
      </c>
      <c r="M376" t="s">
        <v>441</v>
      </c>
      <c r="N376" t="s">
        <v>441</v>
      </c>
      <c r="T376" t="s">
        <v>1109</v>
      </c>
    </row>
    <row r="377" spans="1:20" x14ac:dyDescent="0.35">
      <c r="A377">
        <v>72</v>
      </c>
      <c r="B377" t="s">
        <v>440</v>
      </c>
      <c r="D377" t="s">
        <v>585</v>
      </c>
      <c r="E377" t="s">
        <v>493</v>
      </c>
      <c r="F377">
        <v>7.2</v>
      </c>
      <c r="G377">
        <v>2</v>
      </c>
      <c r="H377" t="s">
        <v>189</v>
      </c>
      <c r="I377" t="s">
        <v>441</v>
      </c>
      <c r="J377" t="s">
        <v>441</v>
      </c>
      <c r="K377" t="s">
        <v>442</v>
      </c>
      <c r="L377" t="s">
        <v>442</v>
      </c>
      <c r="M377" t="s">
        <v>441</v>
      </c>
      <c r="N377" t="s">
        <v>441</v>
      </c>
      <c r="T377" t="s">
        <v>1109</v>
      </c>
    </row>
    <row r="378" spans="1:20" x14ac:dyDescent="0.35">
      <c r="A378">
        <v>72</v>
      </c>
      <c r="B378" t="s">
        <v>440</v>
      </c>
      <c r="D378" t="s">
        <v>585</v>
      </c>
      <c r="E378" t="s">
        <v>493</v>
      </c>
      <c r="F378">
        <v>6.6</v>
      </c>
      <c r="G378">
        <v>4</v>
      </c>
      <c r="H378" t="s">
        <v>39</v>
      </c>
      <c r="I378" t="s">
        <v>441</v>
      </c>
      <c r="J378" t="s">
        <v>442</v>
      </c>
      <c r="K378" t="s">
        <v>442</v>
      </c>
      <c r="L378" t="s">
        <v>442</v>
      </c>
      <c r="M378" t="s">
        <v>441</v>
      </c>
      <c r="N378" t="s">
        <v>442</v>
      </c>
      <c r="T378" t="s">
        <v>1109</v>
      </c>
    </row>
    <row r="379" spans="1:20" x14ac:dyDescent="0.35">
      <c r="A379">
        <v>72</v>
      </c>
      <c r="B379" t="s">
        <v>438</v>
      </c>
      <c r="D379" t="s">
        <v>585</v>
      </c>
      <c r="E379" t="s">
        <v>493</v>
      </c>
      <c r="F379">
        <v>5.5</v>
      </c>
      <c r="G379">
        <v>5</v>
      </c>
      <c r="H379" t="s">
        <v>189</v>
      </c>
      <c r="I379" t="s">
        <v>441</v>
      </c>
      <c r="J379" t="s">
        <v>442</v>
      </c>
      <c r="K379" t="s">
        <v>441</v>
      </c>
      <c r="L379" t="s">
        <v>442</v>
      </c>
      <c r="M379" t="s">
        <v>442</v>
      </c>
      <c r="N379" t="s">
        <v>441</v>
      </c>
      <c r="R379" t="s">
        <v>1106</v>
      </c>
      <c r="T379" t="s">
        <v>1111</v>
      </c>
    </row>
    <row r="380" spans="1:20" x14ac:dyDescent="0.35">
      <c r="A380">
        <v>72</v>
      </c>
      <c r="B380" t="s">
        <v>437</v>
      </c>
      <c r="D380" t="s">
        <v>585</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585</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585</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585</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585</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644</v>
      </c>
      <c r="E385" t="s">
        <v>475</v>
      </c>
      <c r="F385">
        <v>2.6</v>
      </c>
      <c r="G385">
        <v>1</v>
      </c>
      <c r="H385" t="s">
        <v>39</v>
      </c>
      <c r="I385" t="s">
        <v>441</v>
      </c>
      <c r="J385" t="s">
        <v>441</v>
      </c>
      <c r="K385" t="s">
        <v>441</v>
      </c>
      <c r="L385" t="s">
        <v>441</v>
      </c>
      <c r="M385" t="s">
        <v>441</v>
      </c>
      <c r="N385" t="s">
        <v>441</v>
      </c>
      <c r="Q385" t="s">
        <v>882</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981</v>
      </c>
      <c r="T386" s="6" t="s">
        <v>1109</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982</v>
      </c>
      <c r="T387" t="s">
        <v>1111</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983</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984</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1026</v>
      </c>
      <c r="D397" t="s">
        <v>1027</v>
      </c>
      <c r="E397" t="s">
        <v>518</v>
      </c>
      <c r="F397">
        <v>2.9</v>
      </c>
      <c r="G397">
        <v>1</v>
      </c>
      <c r="H397" t="s">
        <v>39</v>
      </c>
      <c r="I397" t="s">
        <v>441</v>
      </c>
      <c r="J397" t="s">
        <v>441</v>
      </c>
      <c r="K397" t="s">
        <v>442</v>
      </c>
      <c r="L397" t="s">
        <v>441</v>
      </c>
      <c r="M397" t="s">
        <v>441</v>
      </c>
      <c r="N397" t="s">
        <v>441</v>
      </c>
      <c r="R397" t="s">
        <v>1028</v>
      </c>
      <c r="T397" t="s">
        <v>477</v>
      </c>
    </row>
    <row r="398" spans="1:20" x14ac:dyDescent="0.35">
      <c r="A398">
        <v>5</v>
      </c>
      <c r="B398" t="s">
        <v>517</v>
      </c>
      <c r="C398" t="s">
        <v>1026</v>
      </c>
      <c r="D398" t="s">
        <v>1027</v>
      </c>
      <c r="E398" t="s">
        <v>518</v>
      </c>
      <c r="F398">
        <v>8.6999999999999993</v>
      </c>
      <c r="G398">
        <v>3</v>
      </c>
      <c r="H398" t="s">
        <v>189</v>
      </c>
      <c r="I398" t="s">
        <v>441</v>
      </c>
      <c r="J398" t="s">
        <v>441</v>
      </c>
      <c r="K398" t="s">
        <v>442</v>
      </c>
      <c r="L398" t="s">
        <v>441</v>
      </c>
      <c r="M398" t="s">
        <v>441</v>
      </c>
      <c r="N398" t="s">
        <v>441</v>
      </c>
      <c r="R398" t="s">
        <v>1029</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585</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585</v>
      </c>
      <c r="E409" t="s">
        <v>519</v>
      </c>
      <c r="F409">
        <v>4.5999999999999996</v>
      </c>
      <c r="G409">
        <v>2</v>
      </c>
      <c r="H409" t="s">
        <v>39</v>
      </c>
      <c r="I409" t="s">
        <v>441</v>
      </c>
      <c r="J409" t="s">
        <v>441</v>
      </c>
      <c r="K409" t="s">
        <v>442</v>
      </c>
      <c r="L409" t="s">
        <v>442</v>
      </c>
      <c r="M409" t="s">
        <v>442</v>
      </c>
      <c r="N409" t="s">
        <v>442</v>
      </c>
      <c r="T409" t="s">
        <v>1109</v>
      </c>
    </row>
    <row r="410" spans="1:20" x14ac:dyDescent="0.35">
      <c r="A410">
        <v>62</v>
      </c>
      <c r="B410" t="s">
        <v>437</v>
      </c>
      <c r="D410" t="s">
        <v>585</v>
      </c>
      <c r="E410" t="s">
        <v>519</v>
      </c>
      <c r="F410">
        <v>2.9</v>
      </c>
      <c r="G410">
        <v>1</v>
      </c>
      <c r="H410" t="s">
        <v>39</v>
      </c>
      <c r="I410" t="s">
        <v>441</v>
      </c>
      <c r="J410" t="s">
        <v>441</v>
      </c>
      <c r="K410" t="s">
        <v>442</v>
      </c>
      <c r="L410" t="s">
        <v>442</v>
      </c>
      <c r="M410" t="s">
        <v>441</v>
      </c>
      <c r="N410" t="s">
        <v>441</v>
      </c>
      <c r="R410" t="s">
        <v>1030</v>
      </c>
      <c r="T410" t="s">
        <v>1109</v>
      </c>
    </row>
    <row r="411" spans="1:20" x14ac:dyDescent="0.35">
      <c r="A411">
        <v>62</v>
      </c>
      <c r="B411" t="s">
        <v>437</v>
      </c>
      <c r="D411" t="s">
        <v>585</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585</v>
      </c>
      <c r="E412" t="s">
        <v>519</v>
      </c>
      <c r="F412">
        <v>3.7</v>
      </c>
      <c r="G412">
        <v>1</v>
      </c>
      <c r="H412" t="s">
        <v>39</v>
      </c>
      <c r="I412" t="s">
        <v>441</v>
      </c>
      <c r="J412" t="s">
        <v>441</v>
      </c>
      <c r="K412" t="s">
        <v>442</v>
      </c>
      <c r="L412" t="s">
        <v>442</v>
      </c>
      <c r="M412" t="s">
        <v>442</v>
      </c>
      <c r="N412" t="s">
        <v>441</v>
      </c>
      <c r="T412" t="s">
        <v>1109</v>
      </c>
    </row>
    <row r="413" spans="1:20" x14ac:dyDescent="0.35">
      <c r="A413">
        <v>62</v>
      </c>
      <c r="B413" t="s">
        <v>439</v>
      </c>
      <c r="D413" t="s">
        <v>585</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585</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585</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1031</v>
      </c>
      <c r="R416" t="s">
        <v>1032</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1062</v>
      </c>
      <c r="R418" s="6" t="s">
        <v>1060</v>
      </c>
      <c r="T418" s="6" t="s">
        <v>1109</v>
      </c>
    </row>
    <row r="419" spans="1:20" x14ac:dyDescent="0.35">
      <c r="A419">
        <v>22</v>
      </c>
      <c r="B419" t="s">
        <v>437</v>
      </c>
      <c r="D419" t="s">
        <v>585</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585</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585</v>
      </c>
      <c r="E421" t="s">
        <v>518</v>
      </c>
      <c r="F421">
        <v>4.8</v>
      </c>
      <c r="G421">
        <v>3</v>
      </c>
      <c r="H421" t="s">
        <v>189</v>
      </c>
      <c r="I421" t="s">
        <v>441</v>
      </c>
      <c r="J421" t="s">
        <v>441</v>
      </c>
      <c r="K421" t="s">
        <v>442</v>
      </c>
      <c r="L421" t="s">
        <v>441</v>
      </c>
      <c r="M421" t="s">
        <v>442</v>
      </c>
      <c r="N421" t="s">
        <v>441</v>
      </c>
      <c r="R421" t="s">
        <v>1061</v>
      </c>
      <c r="T421" t="s">
        <v>477</v>
      </c>
    </row>
    <row r="422" spans="1:20" x14ac:dyDescent="0.35">
      <c r="A422">
        <v>22</v>
      </c>
      <c r="B422" t="s">
        <v>439</v>
      </c>
      <c r="D422" t="s">
        <v>585</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585</v>
      </c>
      <c r="E423" t="s">
        <v>518</v>
      </c>
      <c r="F423">
        <v>2.5</v>
      </c>
      <c r="G423">
        <v>5</v>
      </c>
      <c r="H423" t="s">
        <v>189</v>
      </c>
      <c r="I423" t="s">
        <v>441</v>
      </c>
      <c r="J423" t="s">
        <v>441</v>
      </c>
      <c r="K423" t="s">
        <v>442</v>
      </c>
      <c r="L423" t="s">
        <v>442</v>
      </c>
      <c r="M423" t="s">
        <v>442</v>
      </c>
      <c r="N423" t="s">
        <v>441</v>
      </c>
      <c r="R423" t="s">
        <v>1058</v>
      </c>
      <c r="T423" t="s">
        <v>1110</v>
      </c>
    </row>
    <row r="424" spans="1:20" x14ac:dyDescent="0.35">
      <c r="A424">
        <v>22</v>
      </c>
      <c r="B424" t="s">
        <v>439</v>
      </c>
      <c r="D424" t="s">
        <v>585</v>
      </c>
      <c r="E424" t="s">
        <v>493</v>
      </c>
      <c r="F424">
        <v>5.0999999999999996</v>
      </c>
      <c r="G424">
        <v>3</v>
      </c>
      <c r="H424" t="s">
        <v>39</v>
      </c>
      <c r="I424" t="s">
        <v>441</v>
      </c>
      <c r="J424" t="s">
        <v>441</v>
      </c>
      <c r="K424" t="s">
        <v>441</v>
      </c>
      <c r="L424" t="s">
        <v>442</v>
      </c>
      <c r="M424" t="s">
        <v>441</v>
      </c>
      <c r="N424" t="s">
        <v>441</v>
      </c>
      <c r="Q424" t="s">
        <v>1063</v>
      </c>
      <c r="R424" t="s">
        <v>1060</v>
      </c>
      <c r="T424" t="s">
        <v>1109</v>
      </c>
    </row>
    <row r="425" spans="1:20" x14ac:dyDescent="0.35">
      <c r="A425">
        <v>22</v>
      </c>
      <c r="B425" t="s">
        <v>439</v>
      </c>
      <c r="D425" t="s">
        <v>585</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585</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1064</v>
      </c>
      <c r="R427" t="s">
        <v>1058</v>
      </c>
      <c r="T427" t="s">
        <v>1110</v>
      </c>
    </row>
    <row r="428" spans="1:20" x14ac:dyDescent="0.35">
      <c r="A428">
        <v>22</v>
      </c>
      <c r="B428" t="s">
        <v>440</v>
      </c>
      <c r="D428" t="s">
        <v>585</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585</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1065</v>
      </c>
      <c r="R430" t="s">
        <v>1066</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585</v>
      </c>
      <c r="E432" t="s">
        <v>493</v>
      </c>
      <c r="F432">
        <v>3.8</v>
      </c>
      <c r="G432">
        <v>1</v>
      </c>
      <c r="H432" t="s">
        <v>39</v>
      </c>
      <c r="I432" t="s">
        <v>441</v>
      </c>
      <c r="J432" t="s">
        <v>441</v>
      </c>
      <c r="K432" t="s">
        <v>442</v>
      </c>
      <c r="L432" t="s">
        <v>441</v>
      </c>
      <c r="M432" t="s">
        <v>441</v>
      </c>
      <c r="N432" t="s">
        <v>441</v>
      </c>
      <c r="R432" t="s">
        <v>1067</v>
      </c>
      <c r="T432" t="s">
        <v>477</v>
      </c>
    </row>
    <row r="433" spans="1:20" x14ac:dyDescent="0.35">
      <c r="A433">
        <v>64</v>
      </c>
      <c r="B433" t="s">
        <v>438</v>
      </c>
      <c r="D433" t="s">
        <v>585</v>
      </c>
      <c r="E433" t="s">
        <v>493</v>
      </c>
      <c r="F433">
        <v>4.9000000000000004</v>
      </c>
      <c r="G433">
        <v>5</v>
      </c>
      <c r="H433" t="s">
        <v>39</v>
      </c>
      <c r="I433" t="s">
        <v>441</v>
      </c>
      <c r="J433" t="s">
        <v>441</v>
      </c>
      <c r="K433" t="s">
        <v>442</v>
      </c>
      <c r="L433" t="s">
        <v>442</v>
      </c>
      <c r="M433" t="s">
        <v>441</v>
      </c>
      <c r="N433" t="s">
        <v>441</v>
      </c>
      <c r="R433" t="s">
        <v>1058</v>
      </c>
      <c r="T433" t="s">
        <v>1110</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1068</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1069</v>
      </c>
      <c r="T435" t="s">
        <v>477</v>
      </c>
    </row>
    <row r="436" spans="1:20" x14ac:dyDescent="0.35">
      <c r="A436">
        <v>65</v>
      </c>
      <c r="B436" t="s">
        <v>439</v>
      </c>
      <c r="D436" t="s">
        <v>585</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585</v>
      </c>
      <c r="E437" t="s">
        <v>475</v>
      </c>
      <c r="F437">
        <v>5.5</v>
      </c>
      <c r="G437">
        <v>1</v>
      </c>
      <c r="H437" t="s">
        <v>39</v>
      </c>
      <c r="I437" t="s">
        <v>441</v>
      </c>
      <c r="J437" t="s">
        <v>441</v>
      </c>
      <c r="K437" t="s">
        <v>442</v>
      </c>
      <c r="L437" t="s">
        <v>442</v>
      </c>
      <c r="M437" t="s">
        <v>442</v>
      </c>
      <c r="N437" t="s">
        <v>441</v>
      </c>
      <c r="R437" t="s">
        <v>1059</v>
      </c>
      <c r="T437" t="s">
        <v>1111</v>
      </c>
    </row>
    <row r="438" spans="1:20" x14ac:dyDescent="0.35">
      <c r="A438">
        <v>65</v>
      </c>
      <c r="B438" t="s">
        <v>439</v>
      </c>
      <c r="D438" t="s">
        <v>585</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585</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585</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585</v>
      </c>
      <c r="E441" t="s">
        <v>493</v>
      </c>
      <c r="F441">
        <v>3.1</v>
      </c>
      <c r="G441">
        <v>5</v>
      </c>
      <c r="H441" t="s">
        <v>39</v>
      </c>
      <c r="I441" t="s">
        <v>441</v>
      </c>
      <c r="J441" t="s">
        <v>442</v>
      </c>
      <c r="K441" t="s">
        <v>442</v>
      </c>
      <c r="L441" t="s">
        <v>442</v>
      </c>
      <c r="M441" t="s">
        <v>441</v>
      </c>
      <c r="N441" t="s">
        <v>441</v>
      </c>
      <c r="T441" t="s">
        <v>1109</v>
      </c>
    </row>
    <row r="442" spans="1:20" x14ac:dyDescent="0.35">
      <c r="A442">
        <v>24</v>
      </c>
      <c r="B442" t="s">
        <v>437</v>
      </c>
      <c r="D442" t="s">
        <v>585</v>
      </c>
      <c r="E442" t="s">
        <v>518</v>
      </c>
      <c r="F442">
        <v>5.3</v>
      </c>
      <c r="G442">
        <v>4</v>
      </c>
      <c r="H442" t="s">
        <v>39</v>
      </c>
      <c r="I442" t="s">
        <v>441</v>
      </c>
      <c r="J442" t="s">
        <v>441</v>
      </c>
      <c r="K442" t="s">
        <v>442</v>
      </c>
      <c r="L442" t="s">
        <v>442</v>
      </c>
      <c r="M442" t="s">
        <v>441</v>
      </c>
      <c r="N442" t="s">
        <v>441</v>
      </c>
      <c r="T442" t="s">
        <v>1109</v>
      </c>
    </row>
    <row r="443" spans="1:20" s="6" customFormat="1" x14ac:dyDescent="0.35">
      <c r="A443" s="6">
        <v>24</v>
      </c>
      <c r="B443" s="6" t="s">
        <v>437</v>
      </c>
      <c r="D443" s="6" t="s">
        <v>585</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585</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585</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585</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585</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585</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585</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585</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585</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585</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585</v>
      </c>
      <c r="E453" t="s">
        <v>493</v>
      </c>
      <c r="F453">
        <v>4.8</v>
      </c>
      <c r="G453">
        <v>5</v>
      </c>
      <c r="H453" t="s">
        <v>39</v>
      </c>
      <c r="I453" t="s">
        <v>441</v>
      </c>
      <c r="J453" t="s">
        <v>442</v>
      </c>
      <c r="K453" t="s">
        <v>442</v>
      </c>
      <c r="L453" t="s">
        <v>442</v>
      </c>
      <c r="M453" t="s">
        <v>441</v>
      </c>
      <c r="N453" t="s">
        <v>442</v>
      </c>
      <c r="T453" t="s">
        <v>1109</v>
      </c>
    </row>
    <row r="454" spans="1:20" x14ac:dyDescent="0.35">
      <c r="A454">
        <v>24</v>
      </c>
      <c r="B454" t="s">
        <v>439</v>
      </c>
      <c r="D454" t="s">
        <v>585</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585</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585</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585</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585</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585</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585</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585</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585</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585</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585</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585</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585</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585</v>
      </c>
      <c r="E467" t="s">
        <v>493</v>
      </c>
      <c r="F467">
        <v>3.4</v>
      </c>
      <c r="G467">
        <v>2</v>
      </c>
      <c r="H467" t="s">
        <v>39</v>
      </c>
      <c r="I467" t="s">
        <v>441</v>
      </c>
      <c r="J467" t="s">
        <v>441</v>
      </c>
      <c r="K467" t="s">
        <v>442</v>
      </c>
      <c r="L467" t="s">
        <v>441</v>
      </c>
      <c r="M467" t="s">
        <v>441</v>
      </c>
      <c r="N467" t="s">
        <v>441</v>
      </c>
      <c r="R467" t="s">
        <v>1070</v>
      </c>
      <c r="T467" t="s">
        <v>477</v>
      </c>
    </row>
    <row r="468" spans="1:20" s="6" customFormat="1" x14ac:dyDescent="0.35">
      <c r="A468" s="6">
        <v>24</v>
      </c>
      <c r="B468" s="6" t="s">
        <v>438</v>
      </c>
      <c r="D468" s="6" t="s">
        <v>585</v>
      </c>
      <c r="E468" s="6" t="s">
        <v>493</v>
      </c>
      <c r="F468" s="6">
        <v>6.3</v>
      </c>
      <c r="G468" s="6">
        <v>2</v>
      </c>
      <c r="H468" s="6" t="s">
        <v>39</v>
      </c>
      <c r="I468" s="6" t="s">
        <v>441</v>
      </c>
      <c r="J468" s="6" t="s">
        <v>441</v>
      </c>
      <c r="K468" s="6" t="s">
        <v>442</v>
      </c>
      <c r="L468" s="6" t="s">
        <v>442</v>
      </c>
      <c r="M468" s="6" t="s">
        <v>441</v>
      </c>
      <c r="N468" s="6" t="s">
        <v>441</v>
      </c>
      <c r="T468" s="6" t="s">
        <v>1109</v>
      </c>
    </row>
    <row r="469" spans="1:20" x14ac:dyDescent="0.35">
      <c r="A469">
        <v>24</v>
      </c>
      <c r="B469" t="s">
        <v>438</v>
      </c>
      <c r="D469" t="s">
        <v>585</v>
      </c>
      <c r="E469" t="s">
        <v>493</v>
      </c>
      <c r="F469">
        <v>3.6</v>
      </c>
      <c r="G469">
        <v>1</v>
      </c>
      <c r="H469" t="s">
        <v>189</v>
      </c>
      <c r="I469" t="s">
        <v>441</v>
      </c>
      <c r="J469" t="s">
        <v>441</v>
      </c>
      <c r="K469" t="s">
        <v>441</v>
      </c>
      <c r="L469" t="s">
        <v>441</v>
      </c>
      <c r="M469" t="s">
        <v>441</v>
      </c>
      <c r="N469" t="s">
        <v>441</v>
      </c>
      <c r="R469" t="s">
        <v>1071</v>
      </c>
      <c r="T469" t="s">
        <v>477</v>
      </c>
    </row>
    <row r="470" spans="1:20" x14ac:dyDescent="0.35">
      <c r="A470">
        <v>24</v>
      </c>
      <c r="B470" t="s">
        <v>438</v>
      </c>
      <c r="D470" t="s">
        <v>585</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585</v>
      </c>
      <c r="E471" t="s">
        <v>493</v>
      </c>
      <c r="F471">
        <v>3.2</v>
      </c>
      <c r="G471">
        <v>5</v>
      </c>
      <c r="H471" t="s">
        <v>39</v>
      </c>
      <c r="I471" t="s">
        <v>441</v>
      </c>
      <c r="J471" t="s">
        <v>442</v>
      </c>
      <c r="K471" t="s">
        <v>442</v>
      </c>
      <c r="L471" t="s">
        <v>442</v>
      </c>
      <c r="M471" t="s">
        <v>441</v>
      </c>
      <c r="N471" t="s">
        <v>441</v>
      </c>
      <c r="T471" t="s">
        <v>1109</v>
      </c>
    </row>
    <row r="472" spans="1:20" x14ac:dyDescent="0.35">
      <c r="A472">
        <v>24</v>
      </c>
      <c r="B472" t="s">
        <v>438</v>
      </c>
      <c r="D472" t="s">
        <v>585</v>
      </c>
      <c r="E472" t="s">
        <v>493</v>
      </c>
      <c r="F472">
        <v>4</v>
      </c>
      <c r="G472">
        <v>3</v>
      </c>
      <c r="H472" t="s">
        <v>39</v>
      </c>
      <c r="I472" t="s">
        <v>441</v>
      </c>
      <c r="J472" t="s">
        <v>441</v>
      </c>
      <c r="K472" t="s">
        <v>442</v>
      </c>
      <c r="L472" t="s">
        <v>442</v>
      </c>
      <c r="M472" t="s">
        <v>441</v>
      </c>
      <c r="N472" t="s">
        <v>441</v>
      </c>
      <c r="T472" t="s">
        <v>1109</v>
      </c>
    </row>
    <row r="473" spans="1:20" x14ac:dyDescent="0.35">
      <c r="A473">
        <v>24</v>
      </c>
      <c r="B473" t="s">
        <v>438</v>
      </c>
      <c r="D473" t="s">
        <v>585</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585</v>
      </c>
      <c r="E474" t="s">
        <v>493</v>
      </c>
      <c r="F474">
        <v>4.8</v>
      </c>
      <c r="G474">
        <v>1</v>
      </c>
      <c r="H474" t="s">
        <v>39</v>
      </c>
      <c r="I474" t="s">
        <v>441</v>
      </c>
      <c r="J474" t="s">
        <v>441</v>
      </c>
      <c r="K474" t="s">
        <v>441</v>
      </c>
      <c r="L474" t="s">
        <v>442</v>
      </c>
      <c r="M474" t="s">
        <v>441</v>
      </c>
      <c r="N474" t="s">
        <v>441</v>
      </c>
      <c r="T474" t="s">
        <v>1109</v>
      </c>
    </row>
    <row r="475" spans="1:20" x14ac:dyDescent="0.35">
      <c r="A475">
        <v>24</v>
      </c>
      <c r="B475" t="s">
        <v>438</v>
      </c>
      <c r="D475" t="s">
        <v>585</v>
      </c>
      <c r="E475" t="s">
        <v>518</v>
      </c>
      <c r="F475">
        <v>4.5</v>
      </c>
      <c r="G475">
        <v>1</v>
      </c>
      <c r="H475" t="s">
        <v>39</v>
      </c>
      <c r="I475" t="s">
        <v>441</v>
      </c>
      <c r="J475" t="s">
        <v>441</v>
      </c>
      <c r="K475" t="s">
        <v>442</v>
      </c>
      <c r="L475" t="s">
        <v>442</v>
      </c>
      <c r="M475" t="s">
        <v>441</v>
      </c>
      <c r="N475" t="s">
        <v>441</v>
      </c>
      <c r="T475" t="s">
        <v>1109</v>
      </c>
    </row>
    <row r="476" spans="1:20" x14ac:dyDescent="0.35">
      <c r="A476">
        <v>24</v>
      </c>
      <c r="B476" t="s">
        <v>438</v>
      </c>
      <c r="D476" t="s">
        <v>585</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O7" sqref="O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591</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4" zoomScale="90" zoomScaleNormal="90" workbookViewId="0">
      <selection activeCell="I64" sqref="I6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589</v>
      </c>
      <c r="G1" s="1" t="s">
        <v>597</v>
      </c>
      <c r="H1" s="1" t="s">
        <v>598</v>
      </c>
      <c r="I1" s="1" t="s">
        <v>599</v>
      </c>
      <c r="J1" s="1" t="s">
        <v>600</v>
      </c>
    </row>
    <row r="2" spans="1:10" s="2" customFormat="1" ht="17" customHeight="1" x14ac:dyDescent="0.35">
      <c r="A2" s="2" t="s">
        <v>56</v>
      </c>
      <c r="B2" s="2">
        <v>3</v>
      </c>
      <c r="C2" s="2" t="s">
        <v>473</v>
      </c>
      <c r="D2" s="2">
        <v>1</v>
      </c>
      <c r="E2" s="2" t="s">
        <v>472</v>
      </c>
      <c r="F2" s="2" t="s">
        <v>763</v>
      </c>
      <c r="G2" s="2" t="s">
        <v>764</v>
      </c>
      <c r="H2" s="2">
        <v>9</v>
      </c>
      <c r="I2" s="2">
        <v>3</v>
      </c>
      <c r="J2" s="2" t="s">
        <v>1079</v>
      </c>
    </row>
    <row r="3" spans="1:10" s="1" customFormat="1" x14ac:dyDescent="0.35">
      <c r="A3" s="1" t="s">
        <v>56</v>
      </c>
      <c r="B3" s="1">
        <v>3</v>
      </c>
      <c r="C3" s="1" t="s">
        <v>473</v>
      </c>
      <c r="D3" s="1">
        <v>1</v>
      </c>
      <c r="E3" s="1" t="s">
        <v>763</v>
      </c>
      <c r="F3" s="1" t="s">
        <v>1078</v>
      </c>
      <c r="G3" s="1" t="s">
        <v>1077</v>
      </c>
      <c r="H3" s="1">
        <v>2</v>
      </c>
      <c r="I3" s="1">
        <v>0</v>
      </c>
      <c r="J3" s="1" t="s">
        <v>1080</v>
      </c>
    </row>
    <row r="4" spans="1:10" s="1" customFormat="1" x14ac:dyDescent="0.35"/>
    <row r="5" spans="1:10" s="2" customFormat="1" x14ac:dyDescent="0.35">
      <c r="A5" s="2" t="s">
        <v>56</v>
      </c>
      <c r="B5" s="2">
        <v>45</v>
      </c>
      <c r="C5" s="2" t="s">
        <v>473</v>
      </c>
      <c r="D5" s="2">
        <v>2</v>
      </c>
      <c r="E5" s="2" t="s">
        <v>472</v>
      </c>
      <c r="F5" s="2" t="s">
        <v>763</v>
      </c>
      <c r="G5" s="2" t="s">
        <v>764</v>
      </c>
      <c r="H5" s="2">
        <v>2</v>
      </c>
      <c r="I5" s="2">
        <v>3</v>
      </c>
      <c r="J5" s="2" t="s">
        <v>1081</v>
      </c>
    </row>
    <row r="6" spans="1:10" s="1" customFormat="1" x14ac:dyDescent="0.35">
      <c r="A6" s="1" t="s">
        <v>56</v>
      </c>
      <c r="B6" s="1">
        <v>45</v>
      </c>
      <c r="C6" s="1" t="s">
        <v>473</v>
      </c>
      <c r="D6" s="1">
        <v>2</v>
      </c>
      <c r="E6" s="1" t="s">
        <v>763</v>
      </c>
      <c r="F6" s="1" t="s">
        <v>1078</v>
      </c>
      <c r="G6" s="1" t="s">
        <v>1077</v>
      </c>
      <c r="H6" s="1">
        <v>0</v>
      </c>
      <c r="I6" s="1">
        <v>0</v>
      </c>
      <c r="J6" s="1" t="s">
        <v>1082</v>
      </c>
    </row>
    <row r="7" spans="1:10" s="1" customFormat="1" x14ac:dyDescent="0.35"/>
    <row r="8" spans="1:10" s="2" customFormat="1" ht="29" x14ac:dyDescent="0.35">
      <c r="A8" s="2" t="s">
        <v>108</v>
      </c>
      <c r="B8" s="2">
        <v>63</v>
      </c>
      <c r="C8" s="2" t="s">
        <v>473</v>
      </c>
      <c r="D8" s="2">
        <v>3</v>
      </c>
      <c r="E8" s="2" t="s">
        <v>472</v>
      </c>
      <c r="F8" s="2" t="s">
        <v>763</v>
      </c>
      <c r="G8" s="2" t="s">
        <v>765</v>
      </c>
      <c r="H8" s="2">
        <v>0</v>
      </c>
      <c r="I8" s="2">
        <v>0</v>
      </c>
    </row>
    <row r="9" spans="1:10" s="1" customFormat="1" x14ac:dyDescent="0.35">
      <c r="A9" s="1" t="s">
        <v>108</v>
      </c>
      <c r="B9" s="1">
        <v>63</v>
      </c>
      <c r="C9" s="1" t="s">
        <v>473</v>
      </c>
      <c r="D9" s="1">
        <v>3</v>
      </c>
      <c r="E9" s="1" t="s">
        <v>763</v>
      </c>
      <c r="F9" s="1" t="s">
        <v>1078</v>
      </c>
      <c r="G9" s="1" t="s">
        <v>1077</v>
      </c>
      <c r="H9" s="1">
        <v>0</v>
      </c>
      <c r="I9" s="1">
        <v>0</v>
      </c>
    </row>
    <row r="10" spans="1:10" s="1" customFormat="1" x14ac:dyDescent="0.35"/>
    <row r="11" spans="1:10" s="2" customFormat="1" ht="29" x14ac:dyDescent="0.35">
      <c r="A11" s="2" t="s">
        <v>108</v>
      </c>
      <c r="B11" s="2">
        <v>63</v>
      </c>
      <c r="C11" s="2" t="s">
        <v>473</v>
      </c>
      <c r="D11" s="2">
        <v>4</v>
      </c>
      <c r="E11" s="2" t="s">
        <v>472</v>
      </c>
      <c r="F11" s="2" t="s">
        <v>763</v>
      </c>
      <c r="G11" s="2" t="s">
        <v>765</v>
      </c>
      <c r="H11" s="2">
        <v>1</v>
      </c>
      <c r="I11" s="2">
        <v>0</v>
      </c>
    </row>
    <row r="12" spans="1:10" s="1" customFormat="1" x14ac:dyDescent="0.35">
      <c r="A12" s="1" t="s">
        <v>108</v>
      </c>
      <c r="B12" s="1">
        <v>63</v>
      </c>
      <c r="C12" s="1" t="s">
        <v>473</v>
      </c>
      <c r="D12" s="1">
        <v>4</v>
      </c>
      <c r="E12" s="1" t="s">
        <v>763</v>
      </c>
      <c r="F12" s="1" t="s">
        <v>1078</v>
      </c>
      <c r="G12" s="1" t="s">
        <v>1077</v>
      </c>
      <c r="H12" s="1">
        <v>0</v>
      </c>
      <c r="I12" s="1">
        <v>0</v>
      </c>
    </row>
    <row r="13" spans="1:10" s="1" customFormat="1" x14ac:dyDescent="0.35"/>
    <row r="14" spans="1:10" s="2" customFormat="1" x14ac:dyDescent="0.35">
      <c r="A14" s="2" t="s">
        <v>138</v>
      </c>
      <c r="B14" s="2">
        <v>39</v>
      </c>
      <c r="C14" s="2" t="s">
        <v>473</v>
      </c>
      <c r="D14" s="2">
        <v>5</v>
      </c>
      <c r="E14" s="2" t="s">
        <v>503</v>
      </c>
      <c r="F14" s="2" t="s">
        <v>763</v>
      </c>
      <c r="G14" s="2" t="s">
        <v>764</v>
      </c>
      <c r="H14" s="2">
        <v>0</v>
      </c>
      <c r="I14" s="2">
        <v>0</v>
      </c>
    </row>
    <row r="15" spans="1:10" s="1" customFormat="1" x14ac:dyDescent="0.35">
      <c r="A15" s="1" t="s">
        <v>138</v>
      </c>
      <c r="B15" s="1">
        <v>39</v>
      </c>
      <c r="C15" s="1" t="s">
        <v>473</v>
      </c>
      <c r="D15" s="1">
        <v>5</v>
      </c>
      <c r="E15" s="1" t="s">
        <v>763</v>
      </c>
      <c r="F15" s="1" t="s">
        <v>1078</v>
      </c>
      <c r="G15" s="1" t="s">
        <v>1077</v>
      </c>
      <c r="H15" s="1">
        <v>0</v>
      </c>
      <c r="I15" s="1">
        <v>0</v>
      </c>
    </row>
    <row r="16" spans="1:10" s="1" customFormat="1" x14ac:dyDescent="0.35"/>
    <row r="17" spans="1:10" s="2" customFormat="1" x14ac:dyDescent="0.35">
      <c r="A17" s="2" t="s">
        <v>138</v>
      </c>
      <c r="B17" s="2">
        <v>39</v>
      </c>
      <c r="C17" s="2" t="s">
        <v>473</v>
      </c>
      <c r="D17" s="2">
        <v>6</v>
      </c>
      <c r="E17" s="2" t="s">
        <v>503</v>
      </c>
      <c r="F17" s="2" t="s">
        <v>763</v>
      </c>
      <c r="G17" s="2" t="s">
        <v>764</v>
      </c>
      <c r="H17" s="2">
        <v>0</v>
      </c>
      <c r="I17" s="2">
        <v>0</v>
      </c>
    </row>
    <row r="18" spans="1:10" s="1" customFormat="1" x14ac:dyDescent="0.35">
      <c r="A18" s="1" t="s">
        <v>138</v>
      </c>
      <c r="B18" s="1">
        <v>39</v>
      </c>
      <c r="C18" s="1" t="s">
        <v>473</v>
      </c>
      <c r="D18" s="1">
        <v>6</v>
      </c>
      <c r="E18" s="1" t="s">
        <v>763</v>
      </c>
      <c r="F18" s="1" t="s">
        <v>1078</v>
      </c>
      <c r="G18" s="1" t="s">
        <v>1077</v>
      </c>
      <c r="H18" s="1">
        <v>0</v>
      </c>
      <c r="I18" s="1">
        <v>0</v>
      </c>
      <c r="J18" s="1" t="s">
        <v>1083</v>
      </c>
    </row>
    <row r="19" spans="1:10" s="1" customFormat="1" x14ac:dyDescent="0.35"/>
    <row r="20" spans="1:10" s="2" customFormat="1" x14ac:dyDescent="0.35">
      <c r="A20" s="2" t="s">
        <v>148</v>
      </c>
      <c r="B20" s="2">
        <v>86</v>
      </c>
      <c r="C20" s="2" t="s">
        <v>473</v>
      </c>
      <c r="D20" s="2">
        <v>7</v>
      </c>
      <c r="E20" s="2" t="s">
        <v>484</v>
      </c>
      <c r="F20" s="2" t="s">
        <v>763</v>
      </c>
      <c r="G20" s="2" t="s">
        <v>764</v>
      </c>
      <c r="H20" s="2">
        <v>0</v>
      </c>
      <c r="I20" s="2">
        <v>0</v>
      </c>
    </row>
    <row r="21" spans="1:10" s="1" customFormat="1" x14ac:dyDescent="0.35">
      <c r="A21" s="1" t="s">
        <v>148</v>
      </c>
      <c r="B21" s="1">
        <v>86</v>
      </c>
      <c r="C21" s="1" t="s">
        <v>473</v>
      </c>
      <c r="D21" s="1">
        <v>7</v>
      </c>
      <c r="E21" s="1" t="s">
        <v>763</v>
      </c>
      <c r="F21" s="1" t="s">
        <v>1078</v>
      </c>
      <c r="G21" s="1" t="s">
        <v>1077</v>
      </c>
      <c r="H21" s="1">
        <v>0</v>
      </c>
      <c r="I21" s="1">
        <v>0</v>
      </c>
      <c r="J21" s="1" t="s">
        <v>1084</v>
      </c>
    </row>
    <row r="22" spans="1:10" s="1" customFormat="1" x14ac:dyDescent="0.35"/>
    <row r="23" spans="1:10" s="2" customFormat="1" x14ac:dyDescent="0.35">
      <c r="A23" s="2" t="s">
        <v>148</v>
      </c>
      <c r="B23" s="2">
        <v>86</v>
      </c>
      <c r="C23" s="2" t="s">
        <v>473</v>
      </c>
      <c r="D23" s="2">
        <v>8</v>
      </c>
      <c r="E23" s="2" t="s">
        <v>484</v>
      </c>
      <c r="F23" s="2" t="s">
        <v>763</v>
      </c>
      <c r="G23" s="2" t="s">
        <v>764</v>
      </c>
      <c r="H23" s="2">
        <v>0</v>
      </c>
      <c r="I23" s="2">
        <v>0</v>
      </c>
      <c r="J23" s="2" t="s">
        <v>1085</v>
      </c>
    </row>
    <row r="24" spans="1:10" s="1" customFormat="1" x14ac:dyDescent="0.35">
      <c r="A24" s="1" t="s">
        <v>148</v>
      </c>
      <c r="B24" s="1">
        <v>86</v>
      </c>
      <c r="C24" s="1" t="s">
        <v>473</v>
      </c>
      <c r="D24" s="1">
        <v>8</v>
      </c>
      <c r="E24" s="1" t="s">
        <v>763</v>
      </c>
      <c r="F24" s="1" t="s">
        <v>1078</v>
      </c>
      <c r="G24" s="1" t="s">
        <v>1077</v>
      </c>
      <c r="H24" s="1">
        <v>1</v>
      </c>
      <c r="I24" s="1">
        <v>0</v>
      </c>
    </row>
    <row r="25" spans="1:10" s="1" customFormat="1" x14ac:dyDescent="0.35"/>
    <row r="26" spans="1:10" s="2" customFormat="1" ht="29" x14ac:dyDescent="0.35">
      <c r="A26" s="2" t="s">
        <v>487</v>
      </c>
      <c r="B26" s="2">
        <v>53</v>
      </c>
      <c r="C26" s="2" t="s">
        <v>473</v>
      </c>
      <c r="D26" s="2">
        <v>9</v>
      </c>
      <c r="E26" s="2" t="s">
        <v>488</v>
      </c>
      <c r="F26" s="2" t="s">
        <v>722</v>
      </c>
      <c r="G26" s="2" t="s">
        <v>765</v>
      </c>
      <c r="H26" s="2">
        <v>0</v>
      </c>
      <c r="I26" s="2">
        <v>0</v>
      </c>
      <c r="J26" s="2" t="s">
        <v>1086</v>
      </c>
    </row>
    <row r="27" spans="1:10" s="1" customFormat="1" x14ac:dyDescent="0.35">
      <c r="A27" s="1" t="s">
        <v>487</v>
      </c>
      <c r="B27" s="1">
        <v>53</v>
      </c>
      <c r="C27" s="1" t="s">
        <v>473</v>
      </c>
      <c r="D27" s="1">
        <v>9</v>
      </c>
      <c r="E27" s="1" t="s">
        <v>722</v>
      </c>
      <c r="F27" s="1" t="s">
        <v>904</v>
      </c>
      <c r="G27" s="1" t="s">
        <v>1077</v>
      </c>
      <c r="H27" s="1">
        <v>0</v>
      </c>
      <c r="I27" s="1">
        <v>0</v>
      </c>
    </row>
    <row r="28" spans="1:10" s="1" customFormat="1" x14ac:dyDescent="0.35"/>
    <row r="29" spans="1:10" s="2" customFormat="1" ht="29" x14ac:dyDescent="0.35">
      <c r="A29" s="2" t="s">
        <v>487</v>
      </c>
      <c r="B29" s="2">
        <v>53</v>
      </c>
      <c r="C29" s="2" t="s">
        <v>473</v>
      </c>
      <c r="D29" s="2">
        <v>10</v>
      </c>
      <c r="E29" s="2" t="s">
        <v>488</v>
      </c>
      <c r="F29" s="2" t="s">
        <v>722</v>
      </c>
      <c r="G29" s="2" t="s">
        <v>765</v>
      </c>
      <c r="H29" s="2">
        <v>1</v>
      </c>
      <c r="I29" s="2">
        <v>0</v>
      </c>
      <c r="J29" s="2" t="s">
        <v>1087</v>
      </c>
    </row>
    <row r="30" spans="1:10" s="1" customFormat="1" x14ac:dyDescent="0.35">
      <c r="A30" s="1" t="s">
        <v>487</v>
      </c>
      <c r="B30" s="1">
        <v>53</v>
      </c>
      <c r="C30" s="1" t="s">
        <v>473</v>
      </c>
      <c r="D30" s="1">
        <v>10</v>
      </c>
      <c r="E30" s="1" t="s">
        <v>722</v>
      </c>
      <c r="F30" s="1" t="s">
        <v>904</v>
      </c>
      <c r="G30" s="1" t="s">
        <v>1077</v>
      </c>
      <c r="H30" s="1">
        <v>0</v>
      </c>
      <c r="I30" s="1">
        <v>0</v>
      </c>
    </row>
    <row r="31" spans="1:10" s="1" customFormat="1" x14ac:dyDescent="0.35"/>
    <row r="32" spans="1:10" s="2" customFormat="1" ht="28" customHeight="1" x14ac:dyDescent="0.35">
      <c r="A32" s="2" t="s">
        <v>269</v>
      </c>
      <c r="B32" s="2">
        <v>78</v>
      </c>
      <c r="C32" s="2" t="s">
        <v>473</v>
      </c>
      <c r="D32" s="2">
        <v>11</v>
      </c>
      <c r="E32" s="2" t="s">
        <v>484</v>
      </c>
      <c r="F32" s="2" t="s">
        <v>694</v>
      </c>
      <c r="G32" s="2" t="s">
        <v>765</v>
      </c>
      <c r="H32" s="2">
        <v>0</v>
      </c>
      <c r="I32" s="2">
        <v>0</v>
      </c>
      <c r="J32" s="2" t="s">
        <v>1088</v>
      </c>
    </row>
    <row r="33" spans="1:9" s="1" customFormat="1" x14ac:dyDescent="0.35">
      <c r="A33" s="1" t="s">
        <v>269</v>
      </c>
      <c r="B33" s="1">
        <v>78</v>
      </c>
      <c r="C33" s="1" t="s">
        <v>473</v>
      </c>
      <c r="D33" s="1">
        <v>11</v>
      </c>
      <c r="E33" s="1" t="s">
        <v>694</v>
      </c>
      <c r="F33" s="1" t="s">
        <v>962</v>
      </c>
      <c r="G33" s="1" t="s">
        <v>1077</v>
      </c>
      <c r="H33" s="1">
        <v>0</v>
      </c>
      <c r="I33" s="1">
        <v>0</v>
      </c>
    </row>
    <row r="34" spans="1:9" s="1" customFormat="1" x14ac:dyDescent="0.35"/>
    <row r="35" spans="1:9" s="2" customFormat="1" ht="29" x14ac:dyDescent="0.35">
      <c r="A35" s="2" t="s">
        <v>269</v>
      </c>
      <c r="B35" s="2">
        <v>78</v>
      </c>
      <c r="C35" s="2" t="s">
        <v>473</v>
      </c>
      <c r="D35" s="2">
        <v>12</v>
      </c>
      <c r="E35" s="2" t="s">
        <v>484</v>
      </c>
      <c r="F35" s="2" t="s">
        <v>694</v>
      </c>
      <c r="G35" s="2" t="s">
        <v>765</v>
      </c>
      <c r="H35" s="2">
        <v>0</v>
      </c>
      <c r="I35" s="2">
        <v>1</v>
      </c>
    </row>
    <row r="36" spans="1:9" s="1" customFormat="1" x14ac:dyDescent="0.35">
      <c r="A36" s="1" t="s">
        <v>269</v>
      </c>
      <c r="B36" s="1">
        <v>78</v>
      </c>
      <c r="C36" s="1" t="s">
        <v>473</v>
      </c>
      <c r="D36" s="1">
        <v>12</v>
      </c>
      <c r="E36" s="1" t="s">
        <v>694</v>
      </c>
      <c r="F36" s="1" t="s">
        <v>962</v>
      </c>
      <c r="G36" s="1" t="s">
        <v>1077</v>
      </c>
      <c r="H36" s="1">
        <v>0</v>
      </c>
      <c r="I36" s="1">
        <v>0</v>
      </c>
    </row>
    <row r="37" spans="1:9" s="1" customFormat="1" x14ac:dyDescent="0.35"/>
    <row r="38" spans="1:9" s="9" customFormat="1" x14ac:dyDescent="0.35">
      <c r="A38" s="9" t="s">
        <v>487</v>
      </c>
      <c r="B38" s="9">
        <v>53</v>
      </c>
      <c r="C38" s="9" t="s">
        <v>495</v>
      </c>
      <c r="D38" s="2">
        <v>13</v>
      </c>
      <c r="E38" s="9" t="s">
        <v>488</v>
      </c>
      <c r="F38" s="9" t="s">
        <v>513</v>
      </c>
      <c r="H38" s="9">
        <v>0</v>
      </c>
      <c r="I38" s="9">
        <v>0</v>
      </c>
    </row>
    <row r="39" spans="1:9" x14ac:dyDescent="0.35">
      <c r="A39" t="s">
        <v>487</v>
      </c>
      <c r="B39">
        <v>53</v>
      </c>
      <c r="C39" t="s">
        <v>495</v>
      </c>
      <c r="D39" s="1">
        <v>13</v>
      </c>
      <c r="E39" t="s">
        <v>513</v>
      </c>
      <c r="F39" t="s">
        <v>559</v>
      </c>
      <c r="H39" s="1">
        <v>1</v>
      </c>
      <c r="I39" s="1">
        <v>0</v>
      </c>
    </row>
    <row r="40" spans="1:9" x14ac:dyDescent="0.35">
      <c r="A40" t="s">
        <v>487</v>
      </c>
      <c r="B40">
        <v>53</v>
      </c>
      <c r="C40" t="s">
        <v>495</v>
      </c>
      <c r="D40" s="1">
        <v>13</v>
      </c>
      <c r="E40" t="s">
        <v>559</v>
      </c>
      <c r="F40" t="s">
        <v>609</v>
      </c>
      <c r="H40" s="1">
        <v>2</v>
      </c>
      <c r="I40" s="1">
        <v>0</v>
      </c>
    </row>
    <row r="41" spans="1:9" x14ac:dyDescent="0.35">
      <c r="A41" t="s">
        <v>487</v>
      </c>
      <c r="B41">
        <v>53</v>
      </c>
      <c r="C41" t="s">
        <v>495</v>
      </c>
      <c r="D41" s="1">
        <v>13</v>
      </c>
      <c r="E41" t="s">
        <v>609</v>
      </c>
      <c r="F41" t="s">
        <v>722</v>
      </c>
      <c r="H41" s="1">
        <v>0</v>
      </c>
      <c r="I41" s="1">
        <v>0</v>
      </c>
    </row>
    <row r="42" spans="1:9" x14ac:dyDescent="0.35">
      <c r="A42" t="s">
        <v>487</v>
      </c>
      <c r="B42">
        <v>53</v>
      </c>
      <c r="C42" t="s">
        <v>495</v>
      </c>
      <c r="D42" s="1">
        <v>13</v>
      </c>
      <c r="E42" t="s">
        <v>722</v>
      </c>
      <c r="F42" t="s">
        <v>684</v>
      </c>
      <c r="G42" t="s">
        <v>762</v>
      </c>
      <c r="H42" s="1">
        <v>0</v>
      </c>
      <c r="I42" s="1">
        <v>0</v>
      </c>
    </row>
    <row r="43" spans="1:9" x14ac:dyDescent="0.35">
      <c r="A43" t="s">
        <v>487</v>
      </c>
      <c r="B43">
        <v>53</v>
      </c>
      <c r="C43" t="s">
        <v>495</v>
      </c>
      <c r="D43" s="1">
        <v>13</v>
      </c>
      <c r="E43" t="s">
        <v>684</v>
      </c>
      <c r="F43" t="s">
        <v>803</v>
      </c>
      <c r="H43" s="1">
        <v>0</v>
      </c>
      <c r="I43" s="1">
        <v>0</v>
      </c>
    </row>
    <row r="44" spans="1:9" x14ac:dyDescent="0.35">
      <c r="A44" t="s">
        <v>487</v>
      </c>
      <c r="B44">
        <v>53</v>
      </c>
      <c r="C44" t="s">
        <v>495</v>
      </c>
      <c r="D44" s="1">
        <v>13</v>
      </c>
      <c r="E44" t="s">
        <v>803</v>
      </c>
      <c r="F44" t="s">
        <v>1072</v>
      </c>
      <c r="H44" s="1">
        <v>0</v>
      </c>
      <c r="I44" s="1">
        <v>0</v>
      </c>
    </row>
    <row r="45" spans="1:9" x14ac:dyDescent="0.35">
      <c r="A45" t="s">
        <v>487</v>
      </c>
      <c r="B45">
        <v>53</v>
      </c>
      <c r="C45" t="s">
        <v>495</v>
      </c>
      <c r="D45" s="1">
        <v>13</v>
      </c>
      <c r="E45" t="s">
        <v>1072</v>
      </c>
      <c r="F45" t="s">
        <v>904</v>
      </c>
      <c r="G45" t="s">
        <v>1077</v>
      </c>
      <c r="H45" s="1">
        <v>1</v>
      </c>
      <c r="I45" s="1">
        <v>0</v>
      </c>
    </row>
    <row r="47" spans="1:9" s="9" customFormat="1" x14ac:dyDescent="0.35">
      <c r="A47" s="9" t="s">
        <v>487</v>
      </c>
      <c r="B47" s="9">
        <v>53</v>
      </c>
      <c r="C47" s="9" t="s">
        <v>495</v>
      </c>
      <c r="D47" s="2">
        <v>14</v>
      </c>
      <c r="E47" s="9" t="s">
        <v>488</v>
      </c>
      <c r="F47" s="9" t="s">
        <v>513</v>
      </c>
      <c r="H47" s="9">
        <v>0</v>
      </c>
      <c r="I47" s="9">
        <v>0</v>
      </c>
    </row>
    <row r="48" spans="1:9" x14ac:dyDescent="0.35">
      <c r="A48" t="s">
        <v>487</v>
      </c>
      <c r="B48">
        <v>53</v>
      </c>
      <c r="C48" t="s">
        <v>495</v>
      </c>
      <c r="D48" s="1">
        <v>14</v>
      </c>
      <c r="E48" t="s">
        <v>513</v>
      </c>
      <c r="F48" t="s">
        <v>559</v>
      </c>
      <c r="G48" t="s">
        <v>601</v>
      </c>
      <c r="H48" s="1">
        <v>0</v>
      </c>
      <c r="I48" s="1">
        <v>0</v>
      </c>
    </row>
    <row r="49" spans="1:9" x14ac:dyDescent="0.35">
      <c r="A49" t="s">
        <v>487</v>
      </c>
      <c r="B49">
        <v>53</v>
      </c>
      <c r="C49" t="s">
        <v>495</v>
      </c>
      <c r="D49" s="1">
        <v>14</v>
      </c>
      <c r="E49" t="s">
        <v>559</v>
      </c>
      <c r="F49" t="s">
        <v>609</v>
      </c>
      <c r="H49" s="1">
        <v>0</v>
      </c>
      <c r="I49" s="1">
        <v>0</v>
      </c>
    </row>
    <row r="50" spans="1:9" x14ac:dyDescent="0.35">
      <c r="A50" t="s">
        <v>487</v>
      </c>
      <c r="B50">
        <v>53</v>
      </c>
      <c r="C50" t="s">
        <v>495</v>
      </c>
      <c r="D50" s="1">
        <v>14</v>
      </c>
      <c r="E50" t="s">
        <v>609</v>
      </c>
      <c r="F50" t="s">
        <v>722</v>
      </c>
      <c r="H50" s="1">
        <v>0</v>
      </c>
      <c r="I50" s="1">
        <v>0</v>
      </c>
    </row>
    <row r="51" spans="1:9" x14ac:dyDescent="0.35">
      <c r="A51" t="s">
        <v>487</v>
      </c>
      <c r="B51">
        <v>53</v>
      </c>
      <c r="C51" t="s">
        <v>495</v>
      </c>
      <c r="D51" s="1">
        <v>14</v>
      </c>
      <c r="E51" t="s">
        <v>722</v>
      </c>
      <c r="F51" t="s">
        <v>684</v>
      </c>
      <c r="G51" t="s">
        <v>762</v>
      </c>
      <c r="H51" s="1">
        <v>0</v>
      </c>
      <c r="I51" s="1">
        <v>0</v>
      </c>
    </row>
    <row r="52" spans="1:9" x14ac:dyDescent="0.35">
      <c r="A52" t="s">
        <v>487</v>
      </c>
      <c r="B52">
        <v>53</v>
      </c>
      <c r="C52" t="s">
        <v>495</v>
      </c>
      <c r="D52" s="1">
        <v>14</v>
      </c>
      <c r="E52" t="s">
        <v>684</v>
      </c>
      <c r="F52" t="s">
        <v>803</v>
      </c>
      <c r="H52" s="1">
        <v>0</v>
      </c>
      <c r="I52" s="1">
        <v>0</v>
      </c>
    </row>
    <row r="53" spans="1:9" x14ac:dyDescent="0.35">
      <c r="A53" t="s">
        <v>487</v>
      </c>
      <c r="B53">
        <v>53</v>
      </c>
      <c r="C53" t="s">
        <v>495</v>
      </c>
      <c r="D53" s="1">
        <v>14</v>
      </c>
      <c r="E53" t="s">
        <v>803</v>
      </c>
      <c r="F53" t="s">
        <v>1072</v>
      </c>
      <c r="H53" s="1">
        <v>0</v>
      </c>
      <c r="I53" s="1">
        <v>0</v>
      </c>
    </row>
    <row r="54" spans="1:9" x14ac:dyDescent="0.35">
      <c r="A54" t="s">
        <v>487</v>
      </c>
      <c r="B54">
        <v>53</v>
      </c>
      <c r="C54" t="s">
        <v>495</v>
      </c>
      <c r="D54" s="1">
        <v>14</v>
      </c>
      <c r="E54" t="s">
        <v>1072</v>
      </c>
      <c r="F54" t="s">
        <v>904</v>
      </c>
      <c r="G54" t="s">
        <v>1077</v>
      </c>
      <c r="H54" s="1">
        <v>0</v>
      </c>
      <c r="I54" s="1">
        <v>0</v>
      </c>
    </row>
    <row r="56" spans="1:9" s="9" customFormat="1" x14ac:dyDescent="0.35">
      <c r="A56" s="9" t="s">
        <v>487</v>
      </c>
      <c r="B56" s="9">
        <v>53</v>
      </c>
      <c r="C56" s="9" t="s">
        <v>495</v>
      </c>
      <c r="D56" s="2">
        <v>15</v>
      </c>
      <c r="E56" s="9" t="s">
        <v>488</v>
      </c>
      <c r="F56" s="9" t="s">
        <v>513</v>
      </c>
      <c r="H56" s="9">
        <v>0</v>
      </c>
      <c r="I56" s="9">
        <v>0</v>
      </c>
    </row>
    <row r="57" spans="1:9" x14ac:dyDescent="0.35">
      <c r="A57" t="s">
        <v>487</v>
      </c>
      <c r="B57">
        <v>53</v>
      </c>
      <c r="C57" t="s">
        <v>495</v>
      </c>
      <c r="D57" s="1">
        <v>15</v>
      </c>
      <c r="E57" t="s">
        <v>513</v>
      </c>
      <c r="F57" t="s">
        <v>559</v>
      </c>
      <c r="G57" t="s">
        <v>601</v>
      </c>
      <c r="H57" s="1">
        <v>1</v>
      </c>
      <c r="I57" s="1">
        <v>0</v>
      </c>
    </row>
    <row r="58" spans="1:9" x14ac:dyDescent="0.35">
      <c r="A58" t="s">
        <v>487</v>
      </c>
      <c r="B58">
        <v>53</v>
      </c>
      <c r="C58" t="s">
        <v>495</v>
      </c>
      <c r="D58" s="1">
        <v>15</v>
      </c>
      <c r="E58" t="s">
        <v>559</v>
      </c>
      <c r="F58" t="s">
        <v>609</v>
      </c>
      <c r="H58" s="1">
        <v>1</v>
      </c>
      <c r="I58" s="1">
        <v>0</v>
      </c>
    </row>
    <row r="59" spans="1:9" x14ac:dyDescent="0.35">
      <c r="A59" t="s">
        <v>487</v>
      </c>
      <c r="B59">
        <v>53</v>
      </c>
      <c r="C59" t="s">
        <v>495</v>
      </c>
      <c r="D59" s="1">
        <v>15</v>
      </c>
      <c r="E59" t="s">
        <v>609</v>
      </c>
      <c r="F59" t="s">
        <v>722</v>
      </c>
      <c r="H59" s="1">
        <v>0</v>
      </c>
      <c r="I59" s="1">
        <v>0</v>
      </c>
    </row>
    <row r="60" spans="1:9" x14ac:dyDescent="0.35">
      <c r="A60" t="s">
        <v>487</v>
      </c>
      <c r="B60">
        <v>53</v>
      </c>
      <c r="C60" t="s">
        <v>495</v>
      </c>
      <c r="D60" s="1">
        <v>15</v>
      </c>
      <c r="E60" t="s">
        <v>722</v>
      </c>
      <c r="F60" t="s">
        <v>684</v>
      </c>
      <c r="G60" t="s">
        <v>762</v>
      </c>
      <c r="H60" s="1">
        <v>0</v>
      </c>
      <c r="I60" s="1">
        <v>0</v>
      </c>
    </row>
    <row r="61" spans="1:9" x14ac:dyDescent="0.35">
      <c r="A61" t="s">
        <v>487</v>
      </c>
      <c r="B61">
        <v>53</v>
      </c>
      <c r="C61" t="s">
        <v>495</v>
      </c>
      <c r="D61" s="1">
        <v>15</v>
      </c>
      <c r="E61" t="s">
        <v>684</v>
      </c>
      <c r="F61" t="s">
        <v>803</v>
      </c>
      <c r="H61" s="1">
        <v>0</v>
      </c>
      <c r="I61" s="1">
        <v>0</v>
      </c>
    </row>
    <row r="62" spans="1:9" x14ac:dyDescent="0.35">
      <c r="A62" t="s">
        <v>487</v>
      </c>
      <c r="B62">
        <v>53</v>
      </c>
      <c r="C62" t="s">
        <v>495</v>
      </c>
      <c r="D62" s="1">
        <v>15</v>
      </c>
      <c r="E62" t="s">
        <v>803</v>
      </c>
      <c r="F62" t="s">
        <v>1072</v>
      </c>
      <c r="H62" s="1">
        <v>0</v>
      </c>
      <c r="I62" s="1">
        <v>0</v>
      </c>
    </row>
    <row r="63" spans="1:9" x14ac:dyDescent="0.35">
      <c r="A63" t="s">
        <v>487</v>
      </c>
      <c r="B63">
        <v>53</v>
      </c>
      <c r="C63" t="s">
        <v>495</v>
      </c>
      <c r="D63" s="1">
        <v>15</v>
      </c>
      <c r="E63" t="s">
        <v>1072</v>
      </c>
      <c r="F63" t="s">
        <v>904</v>
      </c>
      <c r="G63" t="s">
        <v>1077</v>
      </c>
      <c r="H63" s="1">
        <v>0</v>
      </c>
      <c r="I63" s="1">
        <v>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U136"/>
  <sheetViews>
    <sheetView zoomScale="90" zoomScaleNormal="90" workbookViewId="0">
      <pane xSplit="2" ySplit="1" topLeftCell="C2" activePane="bottomRight" state="frozen"/>
      <selection pane="topRight" activeCell="C1" sqref="C1"/>
      <selection pane="bottomLeft" activeCell="A2" sqref="A2"/>
      <selection pane="bottomRight" activeCell="AJ135" sqref="AJ135"/>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4" max="14" width="8.726562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1" t="s">
        <v>458</v>
      </c>
      <c r="B1" s="1" t="s">
        <v>457</v>
      </c>
      <c r="C1" s="1" t="s">
        <v>589</v>
      </c>
      <c r="D1" s="1" t="s">
        <v>1141</v>
      </c>
      <c r="E1" s="1" t="s">
        <v>1131</v>
      </c>
      <c r="F1" s="1" t="s">
        <v>1139</v>
      </c>
      <c r="G1" s="1" t="s">
        <v>1201</v>
      </c>
      <c r="H1" s="1" t="s">
        <v>1118</v>
      </c>
      <c r="I1" s="1" t="s">
        <v>1119</v>
      </c>
      <c r="J1" s="1" t="s">
        <v>1120</v>
      </c>
      <c r="K1" s="1" t="s">
        <v>1121</v>
      </c>
      <c r="L1" s="1" t="s">
        <v>1122</v>
      </c>
      <c r="M1" s="1" t="s">
        <v>1123</v>
      </c>
      <c r="N1" s="1" t="s">
        <v>1197</v>
      </c>
      <c r="O1" s="1" t="s">
        <v>1124</v>
      </c>
      <c r="P1" s="1" t="s">
        <v>1202</v>
      </c>
      <c r="Q1" s="1" t="s">
        <v>1127</v>
      </c>
      <c r="R1" s="1" t="s">
        <v>1142</v>
      </c>
      <c r="S1" s="1" t="s">
        <v>1128</v>
      </c>
      <c r="T1" s="1" t="s">
        <v>1129</v>
      </c>
      <c r="U1" s="1" t="s">
        <v>1195</v>
      </c>
      <c r="V1" s="1" t="s">
        <v>1130</v>
      </c>
      <c r="W1" s="1" t="s">
        <v>1196</v>
      </c>
      <c r="X1" s="1" t="s">
        <v>1126</v>
      </c>
      <c r="Y1" s="1" t="s">
        <v>1132</v>
      </c>
      <c r="Z1" s="1" t="s">
        <v>1133</v>
      </c>
      <c r="AA1" s="1" t="s">
        <v>1134</v>
      </c>
      <c r="AB1" s="1" t="s">
        <v>1135</v>
      </c>
      <c r="AC1" s="1" t="s">
        <v>1136</v>
      </c>
      <c r="AD1" s="1" t="s">
        <v>1137</v>
      </c>
      <c r="AE1" s="1" t="s">
        <v>1138</v>
      </c>
      <c r="AF1" s="1" t="s">
        <v>1140</v>
      </c>
      <c r="AG1" s="1"/>
      <c r="AH1" s="1"/>
      <c r="AI1" s="1"/>
      <c r="AJ1" s="1"/>
      <c r="AK1" s="1"/>
      <c r="AL1" s="1"/>
      <c r="AM1" s="1"/>
      <c r="AN1" s="1"/>
      <c r="AO1" s="1"/>
      <c r="AP1" s="1"/>
      <c r="AQ1" s="1"/>
      <c r="AR1" s="1"/>
      <c r="AS1" s="1"/>
      <c r="AT1" s="1"/>
      <c r="AU1" s="1"/>
    </row>
    <row r="2" spans="1:47" x14ac:dyDescent="0.35">
      <c r="A2" s="14">
        <v>101</v>
      </c>
      <c r="B2" s="14" t="s">
        <v>513</v>
      </c>
      <c r="C2" s="14" t="s">
        <v>559</v>
      </c>
      <c r="D2" t="s">
        <v>441</v>
      </c>
      <c r="E2">
        <v>14</v>
      </c>
      <c r="N2">
        <v>0</v>
      </c>
      <c r="U2">
        <v>0</v>
      </c>
      <c r="W2">
        <v>0</v>
      </c>
      <c r="Y2">
        <v>14</v>
      </c>
      <c r="Z2">
        <v>19</v>
      </c>
      <c r="AF2" t="s">
        <v>1214</v>
      </c>
    </row>
    <row r="3" spans="1:47" x14ac:dyDescent="0.35">
      <c r="A3" s="14">
        <v>102</v>
      </c>
      <c r="B3" s="14" t="s">
        <v>513</v>
      </c>
      <c r="C3" s="14" t="s">
        <v>559</v>
      </c>
      <c r="D3" t="s">
        <v>441</v>
      </c>
      <c r="E3">
        <v>16</v>
      </c>
      <c r="N3">
        <v>0</v>
      </c>
      <c r="U3">
        <v>0</v>
      </c>
      <c r="W3">
        <v>0</v>
      </c>
      <c r="Y3">
        <v>16</v>
      </c>
      <c r="Z3">
        <v>15</v>
      </c>
      <c r="AF3" t="s">
        <v>1215</v>
      </c>
    </row>
    <row r="4" spans="1:47" x14ac:dyDescent="0.35">
      <c r="A4" s="14">
        <v>103</v>
      </c>
      <c r="B4" s="14" t="s">
        <v>513</v>
      </c>
      <c r="C4" s="14" t="s">
        <v>559</v>
      </c>
      <c r="D4" t="s">
        <v>441</v>
      </c>
      <c r="E4">
        <v>12</v>
      </c>
      <c r="N4">
        <v>0</v>
      </c>
      <c r="U4">
        <v>0</v>
      </c>
      <c r="W4">
        <v>0</v>
      </c>
      <c r="Y4">
        <v>12</v>
      </c>
      <c r="Z4">
        <v>15</v>
      </c>
    </row>
    <row r="5" spans="1:47" x14ac:dyDescent="0.35">
      <c r="A5" s="14">
        <v>104</v>
      </c>
      <c r="B5" s="14" t="s">
        <v>513</v>
      </c>
      <c r="C5" s="14" t="s">
        <v>559</v>
      </c>
      <c r="D5" t="s">
        <v>441</v>
      </c>
      <c r="E5">
        <v>9</v>
      </c>
      <c r="N5">
        <v>0</v>
      </c>
      <c r="U5">
        <v>0</v>
      </c>
      <c r="W5">
        <v>0</v>
      </c>
      <c r="Y5">
        <v>9</v>
      </c>
      <c r="Z5">
        <v>20</v>
      </c>
      <c r="AF5" t="s">
        <v>1216</v>
      </c>
    </row>
    <row r="6" spans="1:47" x14ac:dyDescent="0.35">
      <c r="A6" s="14">
        <v>105</v>
      </c>
      <c r="B6" s="14" t="s">
        <v>513</v>
      </c>
      <c r="C6" s="14" t="s">
        <v>559</v>
      </c>
      <c r="D6" t="s">
        <v>441</v>
      </c>
      <c r="E6">
        <v>14</v>
      </c>
      <c r="N6">
        <v>0</v>
      </c>
      <c r="U6">
        <v>0</v>
      </c>
      <c r="W6">
        <v>0</v>
      </c>
      <c r="Y6">
        <v>14</v>
      </c>
      <c r="Z6">
        <v>13</v>
      </c>
    </row>
    <row r="7" spans="1:47" x14ac:dyDescent="0.35">
      <c r="A7" s="14">
        <v>106</v>
      </c>
      <c r="B7" s="14" t="s">
        <v>513</v>
      </c>
      <c r="C7" s="14" t="s">
        <v>559</v>
      </c>
      <c r="D7" t="s">
        <v>441</v>
      </c>
      <c r="E7" t="s">
        <v>477</v>
      </c>
      <c r="N7" t="s">
        <v>477</v>
      </c>
      <c r="U7" t="s">
        <v>477</v>
      </c>
      <c r="W7" t="s">
        <v>477</v>
      </c>
      <c r="Y7" t="s">
        <v>477</v>
      </c>
      <c r="Z7" t="s">
        <v>477</v>
      </c>
      <c r="AF7" t="s">
        <v>1217</v>
      </c>
    </row>
    <row r="8" spans="1:47" x14ac:dyDescent="0.35">
      <c r="A8" s="14">
        <v>107</v>
      </c>
      <c r="B8" s="14" t="s">
        <v>513</v>
      </c>
      <c r="C8" s="14" t="s">
        <v>559</v>
      </c>
      <c r="D8" t="s">
        <v>441</v>
      </c>
      <c r="E8">
        <v>6</v>
      </c>
      <c r="N8">
        <v>0</v>
      </c>
      <c r="U8">
        <v>0</v>
      </c>
      <c r="W8">
        <v>0</v>
      </c>
      <c r="Y8">
        <v>6</v>
      </c>
      <c r="Z8">
        <v>6</v>
      </c>
      <c r="AF8" t="s">
        <v>1218</v>
      </c>
    </row>
    <row r="9" spans="1:47" x14ac:dyDescent="0.35">
      <c r="A9" s="14">
        <v>108</v>
      </c>
      <c r="B9" s="14" t="s">
        <v>513</v>
      </c>
      <c r="C9" s="14" t="s">
        <v>559</v>
      </c>
      <c r="D9" t="s">
        <v>441</v>
      </c>
      <c r="E9">
        <v>1</v>
      </c>
      <c r="N9">
        <v>0</v>
      </c>
      <c r="U9">
        <v>0</v>
      </c>
      <c r="W9">
        <v>0</v>
      </c>
      <c r="Y9">
        <v>1</v>
      </c>
      <c r="Z9">
        <v>1</v>
      </c>
      <c r="AF9" t="s">
        <v>1218</v>
      </c>
    </row>
    <row r="10" spans="1:47" x14ac:dyDescent="0.35">
      <c r="A10" s="14">
        <v>109</v>
      </c>
      <c r="B10" s="14" t="s">
        <v>513</v>
      </c>
      <c r="C10" s="14" t="s">
        <v>559</v>
      </c>
      <c r="D10" t="s">
        <v>441</v>
      </c>
      <c r="E10" t="s">
        <v>477</v>
      </c>
      <c r="N10" t="s">
        <v>477</v>
      </c>
      <c r="U10" t="s">
        <v>477</v>
      </c>
      <c r="W10" t="s">
        <v>477</v>
      </c>
      <c r="Y10" t="s">
        <v>477</v>
      </c>
      <c r="Z10" t="s">
        <v>477</v>
      </c>
      <c r="AF10" t="s">
        <v>1219</v>
      </c>
    </row>
    <row r="11" spans="1:47" x14ac:dyDescent="0.35">
      <c r="A11" s="14">
        <v>110</v>
      </c>
      <c r="B11" s="14" t="s">
        <v>513</v>
      </c>
      <c r="C11" s="14" t="s">
        <v>559</v>
      </c>
      <c r="D11" t="s">
        <v>441</v>
      </c>
      <c r="E11">
        <v>3</v>
      </c>
      <c r="N11">
        <v>0</v>
      </c>
      <c r="U11">
        <v>0</v>
      </c>
      <c r="W11">
        <v>0</v>
      </c>
      <c r="Y11">
        <v>3</v>
      </c>
      <c r="Z11">
        <v>2</v>
      </c>
      <c r="AF11" t="s">
        <v>1220</v>
      </c>
    </row>
    <row r="12" spans="1:47" x14ac:dyDescent="0.35">
      <c r="A12" s="14">
        <v>111</v>
      </c>
      <c r="B12" s="14" t="s">
        <v>513</v>
      </c>
      <c r="C12" s="14" t="s">
        <v>559</v>
      </c>
      <c r="D12" t="s">
        <v>441</v>
      </c>
      <c r="E12">
        <v>23</v>
      </c>
      <c r="N12">
        <v>0</v>
      </c>
      <c r="U12">
        <v>0</v>
      </c>
      <c r="W12">
        <v>0</v>
      </c>
      <c r="Y12">
        <v>23</v>
      </c>
      <c r="Z12">
        <v>30</v>
      </c>
    </row>
    <row r="13" spans="1:47" x14ac:dyDescent="0.35">
      <c r="A13" s="14">
        <v>112</v>
      </c>
      <c r="B13" s="14" t="s">
        <v>513</v>
      </c>
      <c r="C13" s="14" t="s">
        <v>559</v>
      </c>
      <c r="D13" t="s">
        <v>441</v>
      </c>
      <c r="E13">
        <v>1</v>
      </c>
      <c r="N13">
        <v>0</v>
      </c>
      <c r="U13">
        <v>0</v>
      </c>
      <c r="W13">
        <v>0</v>
      </c>
      <c r="Y13">
        <v>1</v>
      </c>
      <c r="Z13">
        <v>2</v>
      </c>
      <c r="AF13" t="s">
        <v>1221</v>
      </c>
    </row>
    <row r="14" spans="1:47" x14ac:dyDescent="0.35">
      <c r="A14" s="14">
        <v>113</v>
      </c>
      <c r="B14" s="14" t="s">
        <v>513</v>
      </c>
      <c r="C14" s="14" t="s">
        <v>559</v>
      </c>
      <c r="D14" t="s">
        <v>441</v>
      </c>
      <c r="E14">
        <v>8</v>
      </c>
      <c r="N14">
        <v>0</v>
      </c>
      <c r="U14">
        <v>0</v>
      </c>
      <c r="W14">
        <v>0</v>
      </c>
      <c r="Y14">
        <v>8</v>
      </c>
      <c r="Z14">
        <v>16</v>
      </c>
      <c r="AF14" t="s">
        <v>1222</v>
      </c>
    </row>
    <row r="15" spans="1:47" x14ac:dyDescent="0.35">
      <c r="A15" s="14">
        <v>114</v>
      </c>
      <c r="B15" s="14" t="s">
        <v>513</v>
      </c>
      <c r="C15" s="14" t="s">
        <v>559</v>
      </c>
      <c r="D15" t="s">
        <v>441</v>
      </c>
      <c r="E15">
        <v>11</v>
      </c>
      <c r="N15">
        <v>0</v>
      </c>
      <c r="U15">
        <v>0</v>
      </c>
      <c r="W15">
        <v>0</v>
      </c>
      <c r="Y15">
        <v>11</v>
      </c>
      <c r="Z15">
        <v>15</v>
      </c>
      <c r="AF15" t="s">
        <v>1223</v>
      </c>
    </row>
    <row r="16" spans="1:47" x14ac:dyDescent="0.35">
      <c r="A16" s="14">
        <v>115</v>
      </c>
      <c r="B16" s="14" t="s">
        <v>513</v>
      </c>
      <c r="C16" s="14" t="s">
        <v>559</v>
      </c>
      <c r="D16" t="s">
        <v>441</v>
      </c>
      <c r="E16">
        <v>11</v>
      </c>
      <c r="N16">
        <v>0</v>
      </c>
      <c r="U16">
        <v>0</v>
      </c>
      <c r="W16">
        <v>0</v>
      </c>
      <c r="Y16">
        <v>11</v>
      </c>
      <c r="Z16">
        <v>13</v>
      </c>
      <c r="AF16" t="s">
        <v>1224</v>
      </c>
    </row>
    <row r="17" spans="1:32" x14ac:dyDescent="0.35">
      <c r="A17">
        <v>101</v>
      </c>
      <c r="B17" t="s">
        <v>559</v>
      </c>
      <c r="C17" t="s">
        <v>609</v>
      </c>
      <c r="D17" t="s">
        <v>441</v>
      </c>
      <c r="E17">
        <v>16</v>
      </c>
      <c r="F17">
        <v>2</v>
      </c>
      <c r="G17">
        <v>0</v>
      </c>
      <c r="H17">
        <v>0</v>
      </c>
      <c r="I17">
        <v>0</v>
      </c>
      <c r="J17" t="s">
        <v>477</v>
      </c>
      <c r="K17">
        <v>0</v>
      </c>
      <c r="L17">
        <v>3</v>
      </c>
      <c r="M17">
        <v>1</v>
      </c>
      <c r="N17">
        <v>0</v>
      </c>
      <c r="O17" t="s">
        <v>477</v>
      </c>
      <c r="P17">
        <v>3</v>
      </c>
      <c r="Q17">
        <v>1</v>
      </c>
      <c r="R17">
        <v>1</v>
      </c>
      <c r="S17" t="s">
        <v>477</v>
      </c>
      <c r="T17" t="s">
        <v>477</v>
      </c>
      <c r="U17">
        <v>0</v>
      </c>
      <c r="V17" t="s">
        <v>477</v>
      </c>
      <c r="W17">
        <v>0</v>
      </c>
      <c r="X17" t="s">
        <v>477</v>
      </c>
      <c r="Y17">
        <v>0</v>
      </c>
      <c r="Z17">
        <v>31</v>
      </c>
      <c r="AA17">
        <v>19</v>
      </c>
      <c r="AB17">
        <v>4</v>
      </c>
      <c r="AC17">
        <v>0</v>
      </c>
      <c r="AD17">
        <v>5</v>
      </c>
      <c r="AE17">
        <v>3</v>
      </c>
    </row>
    <row r="18" spans="1:32" x14ac:dyDescent="0.35">
      <c r="A18">
        <v>102</v>
      </c>
      <c r="B18" t="s">
        <v>559</v>
      </c>
      <c r="C18" t="s">
        <v>609</v>
      </c>
      <c r="D18" t="s">
        <v>441</v>
      </c>
      <c r="E18">
        <v>11</v>
      </c>
      <c r="F18">
        <v>0</v>
      </c>
      <c r="G18">
        <v>0</v>
      </c>
      <c r="H18">
        <v>1</v>
      </c>
      <c r="I18">
        <v>0</v>
      </c>
      <c r="J18" t="s">
        <v>477</v>
      </c>
      <c r="K18">
        <v>0</v>
      </c>
      <c r="L18">
        <v>4</v>
      </c>
      <c r="M18">
        <v>1</v>
      </c>
      <c r="N18">
        <v>0</v>
      </c>
      <c r="O18" t="s">
        <v>477</v>
      </c>
      <c r="P18">
        <v>2</v>
      </c>
      <c r="Q18">
        <v>0</v>
      </c>
      <c r="R18">
        <v>1</v>
      </c>
      <c r="S18" t="s">
        <v>477</v>
      </c>
      <c r="T18" t="s">
        <v>477</v>
      </c>
      <c r="U18">
        <v>0</v>
      </c>
      <c r="V18" t="s">
        <v>477</v>
      </c>
      <c r="W18">
        <v>0</v>
      </c>
      <c r="X18" t="s">
        <v>477</v>
      </c>
      <c r="Y18">
        <v>2</v>
      </c>
      <c r="Z18">
        <v>28</v>
      </c>
      <c r="AA18">
        <v>11</v>
      </c>
      <c r="AB18">
        <v>10</v>
      </c>
      <c r="AC18">
        <v>1</v>
      </c>
      <c r="AD18">
        <v>4</v>
      </c>
      <c r="AE18">
        <v>1</v>
      </c>
    </row>
    <row r="19" spans="1:32" x14ac:dyDescent="0.35">
      <c r="A19">
        <v>103</v>
      </c>
      <c r="B19" t="s">
        <v>559</v>
      </c>
      <c r="C19" t="s">
        <v>609</v>
      </c>
      <c r="D19" t="s">
        <v>441</v>
      </c>
      <c r="E19">
        <v>24</v>
      </c>
      <c r="F19">
        <v>0</v>
      </c>
      <c r="G19">
        <v>1</v>
      </c>
      <c r="H19">
        <v>1</v>
      </c>
      <c r="I19">
        <v>1</v>
      </c>
      <c r="J19" t="s">
        <v>477</v>
      </c>
      <c r="K19">
        <v>0</v>
      </c>
      <c r="L19">
        <v>3</v>
      </c>
      <c r="M19">
        <v>0</v>
      </c>
      <c r="N19">
        <v>0</v>
      </c>
      <c r="O19" t="s">
        <v>477</v>
      </c>
      <c r="P19">
        <v>6</v>
      </c>
      <c r="Q19">
        <v>0</v>
      </c>
      <c r="R19">
        <v>5</v>
      </c>
      <c r="S19" t="s">
        <v>477</v>
      </c>
      <c r="T19" t="s">
        <v>477</v>
      </c>
      <c r="U19">
        <v>0</v>
      </c>
      <c r="V19" t="s">
        <v>477</v>
      </c>
      <c r="W19">
        <v>0</v>
      </c>
      <c r="X19" t="s">
        <v>477</v>
      </c>
      <c r="Y19">
        <v>11</v>
      </c>
      <c r="Z19">
        <v>24</v>
      </c>
      <c r="AA19">
        <v>10</v>
      </c>
      <c r="AB19">
        <v>8</v>
      </c>
      <c r="AC19">
        <v>3</v>
      </c>
      <c r="AD19">
        <v>1</v>
      </c>
      <c r="AE19">
        <v>1</v>
      </c>
    </row>
    <row r="20" spans="1:32" x14ac:dyDescent="0.35">
      <c r="A20">
        <v>104</v>
      </c>
      <c r="B20" t="s">
        <v>559</v>
      </c>
      <c r="C20" t="s">
        <v>609</v>
      </c>
      <c r="D20" t="s">
        <v>441</v>
      </c>
      <c r="E20">
        <v>18</v>
      </c>
      <c r="F20">
        <v>0</v>
      </c>
      <c r="G20">
        <v>0</v>
      </c>
      <c r="H20">
        <v>0</v>
      </c>
      <c r="I20">
        <v>0</v>
      </c>
      <c r="J20" t="s">
        <v>477</v>
      </c>
      <c r="K20">
        <v>0</v>
      </c>
      <c r="L20">
        <v>0</v>
      </c>
      <c r="M20">
        <v>0</v>
      </c>
      <c r="N20">
        <v>0</v>
      </c>
      <c r="O20" t="s">
        <v>477</v>
      </c>
      <c r="P20">
        <v>0</v>
      </c>
      <c r="Q20">
        <v>0</v>
      </c>
      <c r="R20">
        <v>1</v>
      </c>
      <c r="S20" t="s">
        <v>477</v>
      </c>
      <c r="T20" t="s">
        <v>477</v>
      </c>
      <c r="U20">
        <v>0</v>
      </c>
      <c r="V20" t="s">
        <v>477</v>
      </c>
      <c r="W20">
        <v>0</v>
      </c>
      <c r="X20" t="s">
        <v>477</v>
      </c>
      <c r="Y20">
        <v>17</v>
      </c>
      <c r="Z20">
        <v>43</v>
      </c>
      <c r="AA20">
        <v>14</v>
      </c>
      <c r="AB20">
        <v>18</v>
      </c>
      <c r="AC20">
        <v>1</v>
      </c>
      <c r="AD20">
        <v>8</v>
      </c>
      <c r="AE20">
        <v>2</v>
      </c>
    </row>
    <row r="21" spans="1:32" x14ac:dyDescent="0.35">
      <c r="A21">
        <v>105</v>
      </c>
      <c r="B21" t="s">
        <v>559</v>
      </c>
      <c r="C21" t="s">
        <v>609</v>
      </c>
      <c r="D21" t="s">
        <v>441</v>
      </c>
      <c r="E21">
        <v>32</v>
      </c>
      <c r="F21">
        <v>1</v>
      </c>
      <c r="G21">
        <v>0</v>
      </c>
      <c r="H21">
        <v>5</v>
      </c>
      <c r="I21">
        <v>0</v>
      </c>
      <c r="J21" t="s">
        <v>477</v>
      </c>
      <c r="K21">
        <v>0</v>
      </c>
      <c r="L21">
        <v>1</v>
      </c>
      <c r="M21">
        <v>1</v>
      </c>
      <c r="N21">
        <v>0</v>
      </c>
      <c r="O21" t="s">
        <v>477</v>
      </c>
      <c r="P21">
        <v>2</v>
      </c>
      <c r="Q21">
        <v>1</v>
      </c>
      <c r="R21">
        <v>15</v>
      </c>
      <c r="S21" t="s">
        <v>477</v>
      </c>
      <c r="T21" t="s">
        <v>477</v>
      </c>
      <c r="U21">
        <v>0</v>
      </c>
      <c r="V21" t="s">
        <v>477</v>
      </c>
      <c r="W21">
        <v>0</v>
      </c>
      <c r="X21" t="s">
        <v>477</v>
      </c>
      <c r="Y21">
        <v>6</v>
      </c>
      <c r="Z21">
        <v>29</v>
      </c>
      <c r="AA21">
        <v>15</v>
      </c>
      <c r="AB21">
        <v>7</v>
      </c>
      <c r="AC21">
        <v>1</v>
      </c>
      <c r="AD21">
        <v>4</v>
      </c>
      <c r="AE21">
        <v>2</v>
      </c>
      <c r="AF21" t="s">
        <v>1225</v>
      </c>
    </row>
    <row r="22" spans="1:32" x14ac:dyDescent="0.35">
      <c r="A22">
        <v>106</v>
      </c>
      <c r="B22" t="s">
        <v>559</v>
      </c>
      <c r="C22" t="s">
        <v>609</v>
      </c>
      <c r="D22" t="s">
        <v>441</v>
      </c>
      <c r="E22">
        <v>10</v>
      </c>
      <c r="F22">
        <v>0</v>
      </c>
      <c r="G22">
        <v>0</v>
      </c>
      <c r="H22">
        <v>0</v>
      </c>
      <c r="I22">
        <v>0</v>
      </c>
      <c r="J22" t="s">
        <v>477</v>
      </c>
      <c r="K22">
        <v>0</v>
      </c>
      <c r="L22">
        <v>1</v>
      </c>
      <c r="M22">
        <v>1</v>
      </c>
      <c r="N22">
        <v>0</v>
      </c>
      <c r="O22" t="s">
        <v>477</v>
      </c>
      <c r="P22">
        <v>2</v>
      </c>
      <c r="Q22">
        <v>0</v>
      </c>
      <c r="R22">
        <v>1</v>
      </c>
      <c r="S22" t="s">
        <v>477</v>
      </c>
      <c r="T22" t="s">
        <v>477</v>
      </c>
      <c r="U22">
        <v>0</v>
      </c>
      <c r="V22" t="s">
        <v>477</v>
      </c>
      <c r="W22">
        <v>0</v>
      </c>
      <c r="X22" t="s">
        <v>477</v>
      </c>
      <c r="Y22">
        <v>5</v>
      </c>
      <c r="Z22">
        <v>10</v>
      </c>
      <c r="AA22">
        <v>1</v>
      </c>
      <c r="AB22">
        <v>5</v>
      </c>
      <c r="AC22">
        <v>0</v>
      </c>
      <c r="AD22">
        <v>3</v>
      </c>
      <c r="AE22">
        <v>1</v>
      </c>
    </row>
    <row r="23" spans="1:32" x14ac:dyDescent="0.35">
      <c r="A23">
        <v>107</v>
      </c>
      <c r="B23" t="s">
        <v>559</v>
      </c>
      <c r="C23" t="s">
        <v>609</v>
      </c>
      <c r="D23" t="s">
        <v>441</v>
      </c>
      <c r="E23">
        <v>10</v>
      </c>
      <c r="F23">
        <v>1</v>
      </c>
      <c r="G23">
        <v>0</v>
      </c>
      <c r="H23">
        <v>2</v>
      </c>
      <c r="I23">
        <v>0</v>
      </c>
      <c r="J23" t="s">
        <v>477</v>
      </c>
      <c r="K23">
        <v>0</v>
      </c>
      <c r="L23">
        <v>1</v>
      </c>
      <c r="M23">
        <v>1</v>
      </c>
      <c r="N23">
        <v>0</v>
      </c>
      <c r="O23" t="s">
        <v>477</v>
      </c>
      <c r="P23">
        <v>1</v>
      </c>
      <c r="Q23">
        <v>0</v>
      </c>
      <c r="R23">
        <v>2</v>
      </c>
      <c r="S23" t="s">
        <v>477</v>
      </c>
      <c r="T23" t="s">
        <v>477</v>
      </c>
      <c r="U23">
        <v>0</v>
      </c>
      <c r="V23" t="s">
        <v>477</v>
      </c>
      <c r="W23">
        <v>0</v>
      </c>
      <c r="X23" t="s">
        <v>477</v>
      </c>
      <c r="Y23">
        <v>0</v>
      </c>
      <c r="Z23">
        <v>17</v>
      </c>
      <c r="AA23">
        <v>6</v>
      </c>
      <c r="AB23">
        <v>6</v>
      </c>
      <c r="AC23">
        <v>0</v>
      </c>
      <c r="AD23">
        <v>5</v>
      </c>
      <c r="AE23">
        <v>1</v>
      </c>
    </row>
    <row r="24" spans="1:32" x14ac:dyDescent="0.35">
      <c r="A24">
        <v>108</v>
      </c>
      <c r="B24" t="s">
        <v>559</v>
      </c>
      <c r="C24" t="s">
        <v>609</v>
      </c>
      <c r="D24" t="s">
        <v>441</v>
      </c>
      <c r="E24">
        <v>10</v>
      </c>
      <c r="F24">
        <v>1</v>
      </c>
      <c r="G24">
        <v>0</v>
      </c>
      <c r="H24">
        <v>1</v>
      </c>
      <c r="I24">
        <v>0</v>
      </c>
      <c r="J24" t="s">
        <v>477</v>
      </c>
      <c r="K24">
        <v>0</v>
      </c>
      <c r="L24">
        <v>1</v>
      </c>
      <c r="M24">
        <v>0</v>
      </c>
      <c r="N24">
        <v>0</v>
      </c>
      <c r="O24" t="s">
        <v>477</v>
      </c>
      <c r="P24">
        <v>1</v>
      </c>
      <c r="Q24">
        <v>0</v>
      </c>
      <c r="R24">
        <v>1</v>
      </c>
      <c r="S24" t="s">
        <v>477</v>
      </c>
      <c r="T24" t="s">
        <v>477</v>
      </c>
      <c r="U24">
        <v>0</v>
      </c>
      <c r="V24" t="s">
        <v>477</v>
      </c>
      <c r="W24">
        <v>0</v>
      </c>
      <c r="X24" t="s">
        <v>477</v>
      </c>
      <c r="Y24">
        <v>1</v>
      </c>
      <c r="Z24">
        <v>11</v>
      </c>
      <c r="AA24">
        <v>4</v>
      </c>
      <c r="AB24">
        <v>3</v>
      </c>
      <c r="AC24">
        <v>0</v>
      </c>
      <c r="AD24">
        <v>3</v>
      </c>
      <c r="AE24">
        <v>1</v>
      </c>
      <c r="AF24" t="s">
        <v>1143</v>
      </c>
    </row>
    <row r="25" spans="1:32" x14ac:dyDescent="0.35">
      <c r="A25">
        <v>109</v>
      </c>
      <c r="B25" t="s">
        <v>559</v>
      </c>
      <c r="C25" t="s">
        <v>609</v>
      </c>
      <c r="D25" t="s">
        <v>441</v>
      </c>
      <c r="E25">
        <v>1</v>
      </c>
      <c r="F25">
        <v>0</v>
      </c>
      <c r="G25">
        <v>0</v>
      </c>
      <c r="H25">
        <v>0</v>
      </c>
      <c r="I25">
        <v>0</v>
      </c>
      <c r="J25" t="s">
        <v>477</v>
      </c>
      <c r="K25">
        <v>0</v>
      </c>
      <c r="L25">
        <v>0</v>
      </c>
      <c r="M25">
        <v>0</v>
      </c>
      <c r="N25">
        <v>0</v>
      </c>
      <c r="O25" t="s">
        <v>477</v>
      </c>
      <c r="P25">
        <v>0</v>
      </c>
      <c r="Q25">
        <v>0</v>
      </c>
      <c r="R25">
        <v>0</v>
      </c>
      <c r="S25" t="s">
        <v>477</v>
      </c>
      <c r="T25" t="s">
        <v>477</v>
      </c>
      <c r="U25">
        <v>0</v>
      </c>
      <c r="V25" t="s">
        <v>477</v>
      </c>
      <c r="W25">
        <v>0</v>
      </c>
      <c r="X25" t="s">
        <v>477</v>
      </c>
      <c r="Y25">
        <v>0</v>
      </c>
      <c r="Z25">
        <v>1</v>
      </c>
      <c r="AA25">
        <v>0</v>
      </c>
      <c r="AB25">
        <v>1</v>
      </c>
      <c r="AC25">
        <v>0</v>
      </c>
      <c r="AD25">
        <v>0</v>
      </c>
      <c r="AE25">
        <v>0</v>
      </c>
      <c r="AF25" t="s">
        <v>1226</v>
      </c>
    </row>
    <row r="26" spans="1:32" x14ac:dyDescent="0.35">
      <c r="A26">
        <v>110</v>
      </c>
      <c r="B26" t="s">
        <v>559</v>
      </c>
      <c r="C26" t="s">
        <v>609</v>
      </c>
      <c r="D26" t="s">
        <v>441</v>
      </c>
      <c r="E26">
        <v>11</v>
      </c>
      <c r="F26">
        <v>1</v>
      </c>
      <c r="G26">
        <v>0</v>
      </c>
      <c r="H26">
        <v>0</v>
      </c>
      <c r="I26">
        <v>0</v>
      </c>
      <c r="J26" t="s">
        <v>477</v>
      </c>
      <c r="K26">
        <v>0</v>
      </c>
      <c r="L26">
        <v>0</v>
      </c>
      <c r="M26">
        <v>0</v>
      </c>
      <c r="N26">
        <v>0</v>
      </c>
      <c r="O26" t="s">
        <v>477</v>
      </c>
      <c r="P26">
        <v>4</v>
      </c>
      <c r="Q26">
        <v>1</v>
      </c>
      <c r="R26">
        <v>1</v>
      </c>
      <c r="S26" t="s">
        <v>477</v>
      </c>
      <c r="T26" t="s">
        <v>477</v>
      </c>
      <c r="U26">
        <v>0</v>
      </c>
      <c r="V26" t="s">
        <v>477</v>
      </c>
      <c r="W26">
        <v>0</v>
      </c>
      <c r="X26" t="s">
        <v>477</v>
      </c>
      <c r="Y26">
        <v>4</v>
      </c>
      <c r="Z26">
        <v>25</v>
      </c>
      <c r="AA26">
        <v>14</v>
      </c>
      <c r="AB26">
        <v>3</v>
      </c>
      <c r="AC26">
        <v>2</v>
      </c>
      <c r="AD26">
        <v>7</v>
      </c>
      <c r="AE26">
        <v>0</v>
      </c>
    </row>
    <row r="27" spans="1:32" x14ac:dyDescent="0.35">
      <c r="A27">
        <v>111</v>
      </c>
      <c r="B27" t="s">
        <v>559</v>
      </c>
      <c r="C27" t="s">
        <v>609</v>
      </c>
      <c r="D27" t="s">
        <v>441</v>
      </c>
      <c r="E27">
        <v>26</v>
      </c>
      <c r="F27">
        <v>2</v>
      </c>
      <c r="G27">
        <v>0</v>
      </c>
      <c r="H27">
        <v>3</v>
      </c>
      <c r="I27">
        <v>0</v>
      </c>
      <c r="J27" t="s">
        <v>477</v>
      </c>
      <c r="K27">
        <v>0</v>
      </c>
      <c r="L27">
        <v>2</v>
      </c>
      <c r="M27">
        <v>1</v>
      </c>
      <c r="N27">
        <v>0</v>
      </c>
      <c r="O27" t="s">
        <v>477</v>
      </c>
      <c r="P27">
        <v>4</v>
      </c>
      <c r="Q27">
        <v>0</v>
      </c>
      <c r="R27">
        <v>2</v>
      </c>
      <c r="S27" t="s">
        <v>477</v>
      </c>
      <c r="T27" t="s">
        <v>477</v>
      </c>
      <c r="U27">
        <v>0</v>
      </c>
      <c r="V27" t="s">
        <v>477</v>
      </c>
      <c r="W27">
        <v>0</v>
      </c>
      <c r="X27" t="s">
        <v>477</v>
      </c>
      <c r="Y27">
        <v>13</v>
      </c>
      <c r="Z27">
        <v>24</v>
      </c>
      <c r="AA27">
        <v>4</v>
      </c>
      <c r="AB27">
        <v>7</v>
      </c>
      <c r="AC27">
        <v>2</v>
      </c>
      <c r="AD27">
        <v>12</v>
      </c>
      <c r="AE27">
        <v>0</v>
      </c>
    </row>
    <row r="28" spans="1:32" x14ac:dyDescent="0.35">
      <c r="A28">
        <v>112</v>
      </c>
      <c r="B28" t="s">
        <v>559</v>
      </c>
      <c r="C28" t="s">
        <v>609</v>
      </c>
      <c r="D28" t="s">
        <v>441</v>
      </c>
      <c r="E28">
        <v>73</v>
      </c>
      <c r="F28">
        <v>2</v>
      </c>
      <c r="G28">
        <v>0</v>
      </c>
      <c r="H28">
        <v>2</v>
      </c>
      <c r="I28">
        <v>0</v>
      </c>
      <c r="J28" t="s">
        <v>477</v>
      </c>
      <c r="K28">
        <v>0</v>
      </c>
      <c r="L28">
        <v>4</v>
      </c>
      <c r="M28">
        <v>5</v>
      </c>
      <c r="N28">
        <v>1</v>
      </c>
      <c r="O28" t="s">
        <v>477</v>
      </c>
      <c r="P28">
        <v>2</v>
      </c>
      <c r="Q28">
        <v>0</v>
      </c>
      <c r="R28">
        <v>7</v>
      </c>
      <c r="S28" t="s">
        <v>477</v>
      </c>
      <c r="T28" t="s">
        <v>477</v>
      </c>
      <c r="U28">
        <v>1</v>
      </c>
      <c r="V28" t="s">
        <v>477</v>
      </c>
      <c r="W28">
        <v>0</v>
      </c>
      <c r="X28" t="s">
        <v>477</v>
      </c>
      <c r="Y28">
        <v>51</v>
      </c>
      <c r="Z28">
        <v>62</v>
      </c>
      <c r="AA28">
        <v>24</v>
      </c>
      <c r="AB28">
        <v>20</v>
      </c>
      <c r="AC28">
        <v>1</v>
      </c>
      <c r="AD28">
        <v>16</v>
      </c>
      <c r="AE28">
        <v>1</v>
      </c>
      <c r="AF28" t="s">
        <v>1232</v>
      </c>
    </row>
    <row r="29" spans="1:32" x14ac:dyDescent="0.35">
      <c r="A29">
        <v>113</v>
      </c>
      <c r="B29" t="s">
        <v>559</v>
      </c>
      <c r="C29" t="s">
        <v>609</v>
      </c>
      <c r="D29" t="s">
        <v>441</v>
      </c>
      <c r="E29">
        <v>12</v>
      </c>
      <c r="F29">
        <v>1</v>
      </c>
      <c r="G29">
        <v>0</v>
      </c>
      <c r="H29">
        <v>0</v>
      </c>
      <c r="I29">
        <v>0</v>
      </c>
      <c r="J29" t="s">
        <v>477</v>
      </c>
      <c r="K29">
        <v>1</v>
      </c>
      <c r="L29">
        <v>1</v>
      </c>
      <c r="M29">
        <v>1</v>
      </c>
      <c r="N29">
        <v>0</v>
      </c>
      <c r="O29" t="s">
        <v>477</v>
      </c>
      <c r="P29">
        <v>0</v>
      </c>
      <c r="Q29">
        <v>0</v>
      </c>
      <c r="R29">
        <v>0</v>
      </c>
      <c r="S29" t="s">
        <v>477</v>
      </c>
      <c r="T29" t="s">
        <v>477</v>
      </c>
      <c r="U29">
        <v>0</v>
      </c>
      <c r="V29" t="s">
        <v>477</v>
      </c>
      <c r="W29">
        <v>0</v>
      </c>
      <c r="X29" t="s">
        <v>477</v>
      </c>
      <c r="Y29">
        <v>8</v>
      </c>
      <c r="Z29">
        <v>23</v>
      </c>
      <c r="AA29">
        <v>6</v>
      </c>
      <c r="AB29">
        <v>5</v>
      </c>
      <c r="AC29">
        <v>4</v>
      </c>
      <c r="AD29">
        <v>8</v>
      </c>
      <c r="AE29">
        <v>0</v>
      </c>
    </row>
    <row r="30" spans="1:32" x14ac:dyDescent="0.35">
      <c r="A30">
        <v>114</v>
      </c>
      <c r="B30" t="s">
        <v>559</v>
      </c>
      <c r="C30" t="s">
        <v>609</v>
      </c>
      <c r="D30" t="s">
        <v>441</v>
      </c>
      <c r="E30">
        <v>16</v>
      </c>
      <c r="F30">
        <v>1</v>
      </c>
      <c r="G30">
        <v>1</v>
      </c>
      <c r="H30">
        <v>0</v>
      </c>
      <c r="I30">
        <v>0</v>
      </c>
      <c r="J30" t="s">
        <v>477</v>
      </c>
      <c r="K30">
        <v>0</v>
      </c>
      <c r="L30">
        <v>0</v>
      </c>
      <c r="M30">
        <v>3</v>
      </c>
      <c r="N30">
        <v>0</v>
      </c>
      <c r="O30" t="s">
        <v>477</v>
      </c>
      <c r="P30">
        <v>2</v>
      </c>
      <c r="Q30">
        <v>0</v>
      </c>
      <c r="R30">
        <v>4</v>
      </c>
      <c r="S30" t="s">
        <v>477</v>
      </c>
      <c r="T30" t="s">
        <v>477</v>
      </c>
      <c r="U30">
        <v>0</v>
      </c>
      <c r="V30" t="s">
        <v>477</v>
      </c>
      <c r="W30">
        <v>0</v>
      </c>
      <c r="X30" t="s">
        <v>477</v>
      </c>
      <c r="Y30">
        <v>5</v>
      </c>
      <c r="Z30">
        <v>34</v>
      </c>
      <c r="AA30">
        <v>13</v>
      </c>
      <c r="AB30">
        <v>16</v>
      </c>
      <c r="AC30">
        <v>0</v>
      </c>
      <c r="AD30">
        <v>5</v>
      </c>
      <c r="AE30">
        <v>0</v>
      </c>
    </row>
    <row r="31" spans="1:32" x14ac:dyDescent="0.35">
      <c r="A31">
        <v>115</v>
      </c>
      <c r="B31" t="s">
        <v>559</v>
      </c>
      <c r="C31" t="s">
        <v>609</v>
      </c>
      <c r="D31" t="s">
        <v>441</v>
      </c>
      <c r="E31">
        <v>12</v>
      </c>
      <c r="F31">
        <v>0</v>
      </c>
      <c r="G31">
        <v>0</v>
      </c>
      <c r="H31">
        <v>2</v>
      </c>
      <c r="I31">
        <v>0</v>
      </c>
      <c r="J31" t="s">
        <v>477</v>
      </c>
      <c r="K31">
        <v>0</v>
      </c>
      <c r="L31">
        <v>0</v>
      </c>
      <c r="M31">
        <v>0</v>
      </c>
      <c r="N31">
        <v>0</v>
      </c>
      <c r="O31" t="s">
        <v>477</v>
      </c>
      <c r="P31">
        <v>0</v>
      </c>
      <c r="Q31">
        <v>0</v>
      </c>
      <c r="R31">
        <v>4</v>
      </c>
      <c r="S31" t="s">
        <v>477</v>
      </c>
      <c r="T31" t="s">
        <v>477</v>
      </c>
      <c r="U31">
        <v>0</v>
      </c>
      <c r="V31" t="s">
        <v>477</v>
      </c>
      <c r="W31">
        <v>0</v>
      </c>
      <c r="X31" t="s">
        <v>477</v>
      </c>
      <c r="Y31">
        <v>6</v>
      </c>
      <c r="Z31">
        <v>18</v>
      </c>
      <c r="AA31">
        <v>8</v>
      </c>
      <c r="AB31">
        <v>6</v>
      </c>
      <c r="AC31">
        <v>0</v>
      </c>
      <c r="AD31">
        <v>2</v>
      </c>
      <c r="AE31">
        <v>2</v>
      </c>
    </row>
    <row r="32" spans="1:32" x14ac:dyDescent="0.35">
      <c r="A32" s="14">
        <v>101</v>
      </c>
      <c r="B32" s="14" t="s">
        <v>609</v>
      </c>
      <c r="C32" s="14" t="s">
        <v>722</v>
      </c>
      <c r="D32" t="s">
        <v>441</v>
      </c>
      <c r="E32" s="9">
        <f>F32+G32+H32+I32+K32+L32+M32+P32+Q32+R32+Y32</f>
        <v>4</v>
      </c>
      <c r="F32">
        <v>1</v>
      </c>
      <c r="G32">
        <v>0</v>
      </c>
      <c r="H32">
        <v>0</v>
      </c>
      <c r="I32">
        <v>0</v>
      </c>
      <c r="J32" t="s">
        <v>477</v>
      </c>
      <c r="K32">
        <v>0</v>
      </c>
      <c r="L32">
        <v>0</v>
      </c>
      <c r="M32">
        <v>1</v>
      </c>
      <c r="N32">
        <v>0</v>
      </c>
      <c r="O32" t="s">
        <v>477</v>
      </c>
      <c r="P32">
        <v>1</v>
      </c>
      <c r="Q32">
        <v>0</v>
      </c>
      <c r="R32" s="9">
        <f>S32+T32+V32</f>
        <v>0</v>
      </c>
      <c r="S32">
        <v>0</v>
      </c>
      <c r="T32">
        <v>0</v>
      </c>
      <c r="U32">
        <v>0</v>
      </c>
      <c r="V32">
        <v>0</v>
      </c>
      <c r="W32">
        <v>0</v>
      </c>
      <c r="X32" t="s">
        <v>477</v>
      </c>
      <c r="Y32">
        <v>1</v>
      </c>
      <c r="Z32" s="9">
        <f>AA32+AB32+AC32+AD32+AE32</f>
        <v>7</v>
      </c>
      <c r="AA32">
        <v>2</v>
      </c>
      <c r="AB32">
        <v>2</v>
      </c>
      <c r="AC32">
        <v>0</v>
      </c>
      <c r="AD32">
        <v>2</v>
      </c>
      <c r="AE32">
        <v>1</v>
      </c>
    </row>
    <row r="33" spans="1:31" x14ac:dyDescent="0.35">
      <c r="A33" s="14">
        <v>102</v>
      </c>
      <c r="B33" s="14" t="s">
        <v>609</v>
      </c>
      <c r="C33" s="14" t="s">
        <v>722</v>
      </c>
      <c r="D33" t="s">
        <v>441</v>
      </c>
      <c r="E33" s="9">
        <f>F33+G33+H33+I33+K33+L33+M33+P33+Q33+R33+Y33</f>
        <v>24</v>
      </c>
      <c r="F33">
        <v>0</v>
      </c>
      <c r="G33">
        <v>4</v>
      </c>
      <c r="H33">
        <v>0</v>
      </c>
      <c r="I33">
        <v>0</v>
      </c>
      <c r="J33" t="s">
        <v>477</v>
      </c>
      <c r="K33">
        <v>0</v>
      </c>
      <c r="L33">
        <v>2</v>
      </c>
      <c r="M33">
        <v>3</v>
      </c>
      <c r="N33">
        <v>0</v>
      </c>
      <c r="O33" t="s">
        <v>477</v>
      </c>
      <c r="P33">
        <v>3</v>
      </c>
      <c r="Q33">
        <v>1</v>
      </c>
      <c r="R33" s="9">
        <f t="shared" ref="R33:R121" si="0">S33+T33+V33</f>
        <v>3</v>
      </c>
      <c r="S33">
        <v>1</v>
      </c>
      <c r="T33">
        <v>1</v>
      </c>
      <c r="U33">
        <v>0</v>
      </c>
      <c r="V33">
        <v>1</v>
      </c>
      <c r="W33">
        <v>0</v>
      </c>
      <c r="X33" t="s">
        <v>477</v>
      </c>
      <c r="Y33">
        <v>8</v>
      </c>
      <c r="Z33" s="9">
        <f>AA33+AB33+AC33+AD33+AE33</f>
        <v>27</v>
      </c>
      <c r="AA33">
        <v>8</v>
      </c>
      <c r="AB33">
        <v>11</v>
      </c>
      <c r="AC33">
        <v>0</v>
      </c>
      <c r="AD33">
        <v>6</v>
      </c>
      <c r="AE33">
        <v>2</v>
      </c>
    </row>
    <row r="34" spans="1:31" x14ac:dyDescent="0.35">
      <c r="A34" s="14">
        <v>103</v>
      </c>
      <c r="B34" s="14" t="s">
        <v>609</v>
      </c>
      <c r="C34" s="14" t="s">
        <v>722</v>
      </c>
      <c r="D34" t="s">
        <v>441</v>
      </c>
      <c r="E34" s="9">
        <f t="shared" ref="E34:E46" si="1">F34+G34+H34+I34+K34+L34+M34+P34+Q34+R34+Y34</f>
        <v>12</v>
      </c>
      <c r="F34">
        <v>1</v>
      </c>
      <c r="G34">
        <v>0</v>
      </c>
      <c r="H34">
        <v>1</v>
      </c>
      <c r="I34">
        <v>0</v>
      </c>
      <c r="J34" t="s">
        <v>477</v>
      </c>
      <c r="K34">
        <v>0</v>
      </c>
      <c r="L34">
        <v>1</v>
      </c>
      <c r="M34">
        <v>1</v>
      </c>
      <c r="N34">
        <v>0</v>
      </c>
      <c r="O34" t="s">
        <v>477</v>
      </c>
      <c r="P34">
        <v>0</v>
      </c>
      <c r="Q34">
        <v>1</v>
      </c>
      <c r="R34" s="9">
        <f t="shared" si="0"/>
        <v>0</v>
      </c>
      <c r="S34">
        <v>0</v>
      </c>
      <c r="T34">
        <v>0</v>
      </c>
      <c r="U34">
        <v>0</v>
      </c>
      <c r="V34">
        <v>0</v>
      </c>
      <c r="W34">
        <v>0</v>
      </c>
      <c r="X34" t="s">
        <v>477</v>
      </c>
      <c r="Y34">
        <v>7</v>
      </c>
      <c r="Z34" s="9">
        <f t="shared" ref="Z34:Z121" si="2">AA34+AB34+AC34+AD34+AE34</f>
        <v>30</v>
      </c>
      <c r="AA34">
        <v>14</v>
      </c>
      <c r="AB34">
        <v>9</v>
      </c>
      <c r="AC34">
        <v>0</v>
      </c>
      <c r="AD34">
        <v>7</v>
      </c>
      <c r="AE34">
        <v>0</v>
      </c>
    </row>
    <row r="35" spans="1:31" x14ac:dyDescent="0.35">
      <c r="A35" s="14">
        <v>104</v>
      </c>
      <c r="B35" s="14" t="s">
        <v>609</v>
      </c>
      <c r="C35" s="14" t="s">
        <v>722</v>
      </c>
      <c r="D35" t="s">
        <v>441</v>
      </c>
      <c r="E35" s="9">
        <f t="shared" si="1"/>
        <v>24</v>
      </c>
      <c r="F35">
        <v>0</v>
      </c>
      <c r="G35">
        <v>1</v>
      </c>
      <c r="H35">
        <v>2</v>
      </c>
      <c r="I35">
        <v>0</v>
      </c>
      <c r="J35" t="s">
        <v>477</v>
      </c>
      <c r="K35">
        <v>0</v>
      </c>
      <c r="L35">
        <v>4</v>
      </c>
      <c r="M35">
        <v>3</v>
      </c>
      <c r="N35">
        <v>0</v>
      </c>
      <c r="O35" t="s">
        <v>477</v>
      </c>
      <c r="P35">
        <v>2</v>
      </c>
      <c r="Q35">
        <v>0</v>
      </c>
      <c r="R35" s="9">
        <f t="shared" si="0"/>
        <v>4</v>
      </c>
      <c r="S35">
        <v>2</v>
      </c>
      <c r="T35">
        <v>1</v>
      </c>
      <c r="U35">
        <v>0</v>
      </c>
      <c r="V35">
        <v>1</v>
      </c>
      <c r="W35">
        <v>0</v>
      </c>
      <c r="X35" t="s">
        <v>477</v>
      </c>
      <c r="Y35">
        <v>8</v>
      </c>
      <c r="Z35" s="9">
        <f t="shared" si="2"/>
        <v>43</v>
      </c>
      <c r="AA35">
        <v>13</v>
      </c>
      <c r="AB35">
        <v>11</v>
      </c>
      <c r="AC35">
        <v>2</v>
      </c>
      <c r="AD35">
        <v>17</v>
      </c>
      <c r="AE35">
        <v>0</v>
      </c>
    </row>
    <row r="36" spans="1:31" x14ac:dyDescent="0.35">
      <c r="A36" s="14">
        <v>105</v>
      </c>
      <c r="B36" s="14" t="s">
        <v>609</v>
      </c>
      <c r="C36" s="14" t="s">
        <v>722</v>
      </c>
      <c r="D36" t="s">
        <v>441</v>
      </c>
      <c r="E36" s="9">
        <f t="shared" si="1"/>
        <v>25</v>
      </c>
      <c r="F36">
        <v>0</v>
      </c>
      <c r="G36">
        <v>2</v>
      </c>
      <c r="H36">
        <v>0</v>
      </c>
      <c r="I36">
        <v>0</v>
      </c>
      <c r="J36" t="s">
        <v>477</v>
      </c>
      <c r="K36">
        <v>0</v>
      </c>
      <c r="L36">
        <v>2</v>
      </c>
      <c r="M36">
        <v>2</v>
      </c>
      <c r="N36">
        <v>0</v>
      </c>
      <c r="O36" t="s">
        <v>477</v>
      </c>
      <c r="P36">
        <v>4</v>
      </c>
      <c r="Q36">
        <v>0</v>
      </c>
      <c r="R36" s="9">
        <f t="shared" si="0"/>
        <v>5</v>
      </c>
      <c r="S36">
        <v>1</v>
      </c>
      <c r="T36">
        <v>2</v>
      </c>
      <c r="U36">
        <v>0</v>
      </c>
      <c r="V36">
        <v>2</v>
      </c>
      <c r="W36">
        <v>0</v>
      </c>
      <c r="X36" t="s">
        <v>477</v>
      </c>
      <c r="Y36">
        <v>10</v>
      </c>
      <c r="Z36" s="9">
        <f t="shared" si="2"/>
        <v>32</v>
      </c>
      <c r="AA36">
        <v>16</v>
      </c>
      <c r="AB36">
        <v>9</v>
      </c>
      <c r="AC36">
        <v>3</v>
      </c>
      <c r="AD36">
        <v>4</v>
      </c>
      <c r="AE36">
        <v>0</v>
      </c>
    </row>
    <row r="37" spans="1:31" x14ac:dyDescent="0.35">
      <c r="A37" s="14">
        <v>106</v>
      </c>
      <c r="B37" s="14" t="s">
        <v>609</v>
      </c>
      <c r="C37" s="14" t="s">
        <v>722</v>
      </c>
      <c r="D37" t="s">
        <v>441</v>
      </c>
      <c r="E37" s="9">
        <f t="shared" si="1"/>
        <v>6</v>
      </c>
      <c r="F37">
        <v>1</v>
      </c>
      <c r="G37">
        <v>3</v>
      </c>
      <c r="H37">
        <v>1</v>
      </c>
      <c r="I37">
        <v>0</v>
      </c>
      <c r="J37" t="s">
        <v>477</v>
      </c>
      <c r="K37">
        <v>0</v>
      </c>
      <c r="L37">
        <v>0</v>
      </c>
      <c r="M37">
        <v>0</v>
      </c>
      <c r="N37">
        <v>0</v>
      </c>
      <c r="O37" t="s">
        <v>477</v>
      </c>
      <c r="P37">
        <v>0</v>
      </c>
      <c r="Q37">
        <v>0</v>
      </c>
      <c r="R37" s="9">
        <f t="shared" si="0"/>
        <v>1</v>
      </c>
      <c r="S37">
        <v>1</v>
      </c>
      <c r="T37">
        <v>0</v>
      </c>
      <c r="U37">
        <v>0</v>
      </c>
      <c r="V37">
        <v>0</v>
      </c>
      <c r="W37">
        <v>0</v>
      </c>
      <c r="X37" t="s">
        <v>477</v>
      </c>
      <c r="Y37">
        <v>0</v>
      </c>
      <c r="Z37" s="9">
        <f t="shared" si="2"/>
        <v>21</v>
      </c>
      <c r="AA37">
        <v>7</v>
      </c>
      <c r="AB37">
        <v>11</v>
      </c>
      <c r="AC37">
        <v>0</v>
      </c>
      <c r="AD37">
        <v>3</v>
      </c>
      <c r="AE37">
        <v>0</v>
      </c>
    </row>
    <row r="38" spans="1:31" x14ac:dyDescent="0.35">
      <c r="A38" s="14">
        <v>107</v>
      </c>
      <c r="B38" s="14" t="s">
        <v>609</v>
      </c>
      <c r="C38" s="14" t="s">
        <v>722</v>
      </c>
      <c r="D38" t="s">
        <v>441</v>
      </c>
      <c r="E38" s="9">
        <f t="shared" si="1"/>
        <v>7</v>
      </c>
      <c r="F38">
        <v>1</v>
      </c>
      <c r="G38">
        <v>0</v>
      </c>
      <c r="H38">
        <v>0</v>
      </c>
      <c r="I38">
        <v>0</v>
      </c>
      <c r="J38" t="s">
        <v>477</v>
      </c>
      <c r="K38">
        <v>0</v>
      </c>
      <c r="L38">
        <v>0</v>
      </c>
      <c r="M38">
        <v>0</v>
      </c>
      <c r="N38">
        <v>0</v>
      </c>
      <c r="O38" t="s">
        <v>477</v>
      </c>
      <c r="P38">
        <v>1</v>
      </c>
      <c r="Q38">
        <v>1</v>
      </c>
      <c r="R38" s="9">
        <f t="shared" si="0"/>
        <v>0</v>
      </c>
      <c r="S38">
        <v>0</v>
      </c>
      <c r="T38">
        <v>0</v>
      </c>
      <c r="U38">
        <v>0</v>
      </c>
      <c r="V38">
        <v>0</v>
      </c>
      <c r="W38">
        <v>0</v>
      </c>
      <c r="X38" t="s">
        <v>477</v>
      </c>
      <c r="Y38">
        <v>4</v>
      </c>
      <c r="Z38" s="9">
        <f t="shared" si="2"/>
        <v>9</v>
      </c>
      <c r="AA38">
        <v>4</v>
      </c>
      <c r="AB38">
        <v>3</v>
      </c>
      <c r="AC38">
        <v>0</v>
      </c>
      <c r="AD38">
        <v>2</v>
      </c>
      <c r="AE38">
        <v>0</v>
      </c>
    </row>
    <row r="39" spans="1:31" x14ac:dyDescent="0.35">
      <c r="A39" s="14">
        <v>108</v>
      </c>
      <c r="B39" s="14" t="s">
        <v>609</v>
      </c>
      <c r="C39" s="14" t="s">
        <v>722</v>
      </c>
      <c r="D39" t="s">
        <v>441</v>
      </c>
      <c r="E39" s="9">
        <f t="shared" si="1"/>
        <v>7</v>
      </c>
      <c r="F39">
        <v>0</v>
      </c>
      <c r="G39">
        <v>0</v>
      </c>
      <c r="H39">
        <v>0</v>
      </c>
      <c r="I39">
        <v>0</v>
      </c>
      <c r="J39" t="s">
        <v>477</v>
      </c>
      <c r="K39">
        <v>0</v>
      </c>
      <c r="L39">
        <v>0</v>
      </c>
      <c r="M39">
        <v>3</v>
      </c>
      <c r="N39">
        <v>0</v>
      </c>
      <c r="O39" t="s">
        <v>477</v>
      </c>
      <c r="P39">
        <v>1</v>
      </c>
      <c r="Q39">
        <v>0</v>
      </c>
      <c r="R39" s="9">
        <f t="shared" si="0"/>
        <v>0</v>
      </c>
      <c r="S39">
        <v>0</v>
      </c>
      <c r="T39">
        <v>0</v>
      </c>
      <c r="U39">
        <v>0</v>
      </c>
      <c r="V39">
        <v>0</v>
      </c>
      <c r="W39">
        <v>0</v>
      </c>
      <c r="X39" t="s">
        <v>477</v>
      </c>
      <c r="Y39">
        <v>3</v>
      </c>
      <c r="Z39" s="9">
        <f t="shared" si="2"/>
        <v>28</v>
      </c>
      <c r="AA39">
        <v>7</v>
      </c>
      <c r="AB39">
        <v>19</v>
      </c>
      <c r="AC39">
        <v>2</v>
      </c>
      <c r="AD39">
        <v>0</v>
      </c>
      <c r="AE39">
        <v>0</v>
      </c>
    </row>
    <row r="40" spans="1:31" x14ac:dyDescent="0.35">
      <c r="A40" s="14">
        <v>109</v>
      </c>
      <c r="B40" s="14" t="s">
        <v>609</v>
      </c>
      <c r="C40" s="14" t="s">
        <v>722</v>
      </c>
      <c r="D40" t="s">
        <v>441</v>
      </c>
      <c r="E40" s="9">
        <f t="shared" si="1"/>
        <v>9</v>
      </c>
      <c r="F40">
        <v>0</v>
      </c>
      <c r="G40">
        <v>0</v>
      </c>
      <c r="H40">
        <v>0</v>
      </c>
      <c r="I40">
        <v>0</v>
      </c>
      <c r="J40" t="s">
        <v>477</v>
      </c>
      <c r="K40">
        <v>0</v>
      </c>
      <c r="L40">
        <v>4</v>
      </c>
      <c r="M40">
        <v>0</v>
      </c>
      <c r="N40">
        <v>0</v>
      </c>
      <c r="O40" t="s">
        <v>477</v>
      </c>
      <c r="P40">
        <v>0</v>
      </c>
      <c r="Q40">
        <v>1</v>
      </c>
      <c r="R40" s="9">
        <f t="shared" si="0"/>
        <v>2</v>
      </c>
      <c r="S40">
        <v>2</v>
      </c>
      <c r="T40">
        <v>0</v>
      </c>
      <c r="U40">
        <v>0</v>
      </c>
      <c r="V40">
        <v>0</v>
      </c>
      <c r="W40">
        <v>0</v>
      </c>
      <c r="X40" t="s">
        <v>477</v>
      </c>
      <c r="Y40">
        <v>2</v>
      </c>
      <c r="Z40" s="9">
        <f t="shared" si="2"/>
        <v>14</v>
      </c>
      <c r="AA40">
        <v>6</v>
      </c>
      <c r="AB40">
        <v>7</v>
      </c>
      <c r="AC40">
        <v>0</v>
      </c>
      <c r="AD40">
        <v>0</v>
      </c>
      <c r="AE40">
        <v>1</v>
      </c>
    </row>
    <row r="41" spans="1:31" x14ac:dyDescent="0.35">
      <c r="A41" s="14">
        <v>110</v>
      </c>
      <c r="B41" s="14" t="s">
        <v>609</v>
      </c>
      <c r="C41" s="14" t="s">
        <v>722</v>
      </c>
      <c r="D41" t="s">
        <v>441</v>
      </c>
      <c r="E41" s="9">
        <f t="shared" si="1"/>
        <v>7</v>
      </c>
      <c r="F41">
        <v>0</v>
      </c>
      <c r="G41">
        <v>0</v>
      </c>
      <c r="H41">
        <v>0</v>
      </c>
      <c r="I41">
        <v>0</v>
      </c>
      <c r="J41" t="s">
        <v>477</v>
      </c>
      <c r="K41">
        <v>0</v>
      </c>
      <c r="L41">
        <v>0</v>
      </c>
      <c r="M41">
        <v>1</v>
      </c>
      <c r="N41">
        <v>0</v>
      </c>
      <c r="O41" t="s">
        <v>477</v>
      </c>
      <c r="P41">
        <v>0</v>
      </c>
      <c r="Q41">
        <v>0</v>
      </c>
      <c r="R41" s="9">
        <f t="shared" si="0"/>
        <v>1</v>
      </c>
      <c r="S41">
        <v>0</v>
      </c>
      <c r="T41">
        <v>0</v>
      </c>
      <c r="U41">
        <v>0</v>
      </c>
      <c r="V41">
        <v>1</v>
      </c>
      <c r="W41">
        <v>0</v>
      </c>
      <c r="X41" t="s">
        <v>477</v>
      </c>
      <c r="Y41">
        <v>5</v>
      </c>
      <c r="Z41" s="9">
        <f t="shared" si="2"/>
        <v>24</v>
      </c>
      <c r="AA41">
        <v>6</v>
      </c>
      <c r="AB41">
        <v>13</v>
      </c>
      <c r="AC41">
        <v>0</v>
      </c>
      <c r="AD41">
        <v>3</v>
      </c>
      <c r="AE41">
        <v>2</v>
      </c>
    </row>
    <row r="42" spans="1:31" x14ac:dyDescent="0.35">
      <c r="A42" s="14">
        <v>111</v>
      </c>
      <c r="B42" s="14" t="s">
        <v>609</v>
      </c>
      <c r="C42" s="14" t="s">
        <v>722</v>
      </c>
      <c r="D42" t="s">
        <v>441</v>
      </c>
      <c r="E42" s="9">
        <f t="shared" si="1"/>
        <v>19</v>
      </c>
      <c r="F42">
        <v>0</v>
      </c>
      <c r="G42">
        <v>0</v>
      </c>
      <c r="H42">
        <v>0</v>
      </c>
      <c r="I42">
        <v>0</v>
      </c>
      <c r="J42" t="s">
        <v>477</v>
      </c>
      <c r="K42">
        <v>0</v>
      </c>
      <c r="L42">
        <v>3</v>
      </c>
      <c r="M42">
        <v>3</v>
      </c>
      <c r="N42">
        <v>0</v>
      </c>
      <c r="O42" t="s">
        <v>477</v>
      </c>
      <c r="P42">
        <v>0</v>
      </c>
      <c r="Q42">
        <v>1</v>
      </c>
      <c r="R42" s="9">
        <f t="shared" si="0"/>
        <v>4</v>
      </c>
      <c r="S42">
        <v>2</v>
      </c>
      <c r="T42">
        <v>0</v>
      </c>
      <c r="U42">
        <v>0</v>
      </c>
      <c r="V42">
        <v>2</v>
      </c>
      <c r="W42">
        <v>0</v>
      </c>
      <c r="X42" t="s">
        <v>477</v>
      </c>
      <c r="Y42">
        <v>8</v>
      </c>
      <c r="Z42" s="9">
        <f t="shared" si="2"/>
        <v>47</v>
      </c>
      <c r="AA42">
        <v>20</v>
      </c>
      <c r="AB42">
        <v>20</v>
      </c>
      <c r="AC42">
        <v>1</v>
      </c>
      <c r="AD42">
        <v>4</v>
      </c>
      <c r="AE42">
        <v>2</v>
      </c>
    </row>
    <row r="43" spans="1:31" x14ac:dyDescent="0.35">
      <c r="A43" s="14">
        <v>112</v>
      </c>
      <c r="B43" s="14" t="s">
        <v>609</v>
      </c>
      <c r="C43" s="14" t="s">
        <v>722</v>
      </c>
      <c r="D43" t="s">
        <v>441</v>
      </c>
      <c r="E43" s="9">
        <f t="shared" si="1"/>
        <v>24</v>
      </c>
      <c r="F43">
        <v>0</v>
      </c>
      <c r="G43">
        <v>1</v>
      </c>
      <c r="H43">
        <v>0</v>
      </c>
      <c r="I43">
        <v>0</v>
      </c>
      <c r="J43" t="s">
        <v>477</v>
      </c>
      <c r="K43">
        <v>0</v>
      </c>
      <c r="L43">
        <v>4</v>
      </c>
      <c r="M43">
        <v>2</v>
      </c>
      <c r="N43">
        <v>0</v>
      </c>
      <c r="O43" t="s">
        <v>477</v>
      </c>
      <c r="P43">
        <v>2</v>
      </c>
      <c r="Q43">
        <v>1</v>
      </c>
      <c r="R43" s="9">
        <f t="shared" si="0"/>
        <v>1</v>
      </c>
      <c r="S43">
        <v>0</v>
      </c>
      <c r="T43">
        <v>1</v>
      </c>
      <c r="U43">
        <v>0</v>
      </c>
      <c r="V43">
        <v>0</v>
      </c>
      <c r="W43">
        <v>0</v>
      </c>
      <c r="X43" t="s">
        <v>477</v>
      </c>
      <c r="Y43">
        <v>13</v>
      </c>
      <c r="Z43" s="9">
        <f t="shared" si="2"/>
        <v>74</v>
      </c>
      <c r="AA43">
        <v>30</v>
      </c>
      <c r="AB43">
        <v>22</v>
      </c>
      <c r="AC43">
        <v>0</v>
      </c>
      <c r="AD43">
        <v>20</v>
      </c>
      <c r="AE43">
        <v>2</v>
      </c>
    </row>
    <row r="44" spans="1:31" x14ac:dyDescent="0.35">
      <c r="A44" s="14">
        <v>113</v>
      </c>
      <c r="B44" s="14" t="s">
        <v>609</v>
      </c>
      <c r="C44" s="14" t="s">
        <v>722</v>
      </c>
      <c r="D44" t="s">
        <v>441</v>
      </c>
      <c r="E44" s="9">
        <f t="shared" si="1"/>
        <v>44</v>
      </c>
      <c r="F44">
        <v>1</v>
      </c>
      <c r="G44">
        <v>2</v>
      </c>
      <c r="H44">
        <v>0</v>
      </c>
      <c r="I44">
        <v>0</v>
      </c>
      <c r="J44" t="s">
        <v>477</v>
      </c>
      <c r="K44">
        <v>0</v>
      </c>
      <c r="L44">
        <v>6</v>
      </c>
      <c r="M44">
        <v>0</v>
      </c>
      <c r="N44">
        <v>0</v>
      </c>
      <c r="O44" t="s">
        <v>477</v>
      </c>
      <c r="P44">
        <v>0</v>
      </c>
      <c r="Q44">
        <v>0</v>
      </c>
      <c r="R44" s="9">
        <f t="shared" si="0"/>
        <v>4</v>
      </c>
      <c r="S44">
        <v>3</v>
      </c>
      <c r="T44">
        <v>1</v>
      </c>
      <c r="U44">
        <v>0</v>
      </c>
      <c r="V44">
        <v>0</v>
      </c>
      <c r="W44">
        <v>0</v>
      </c>
      <c r="X44" t="s">
        <v>477</v>
      </c>
      <c r="Y44">
        <v>31</v>
      </c>
      <c r="Z44" s="9">
        <f t="shared" si="2"/>
        <v>46</v>
      </c>
      <c r="AA44">
        <v>16</v>
      </c>
      <c r="AB44">
        <v>17</v>
      </c>
      <c r="AC44">
        <v>0</v>
      </c>
      <c r="AD44">
        <v>12</v>
      </c>
      <c r="AE44">
        <v>1</v>
      </c>
    </row>
    <row r="45" spans="1:31" x14ac:dyDescent="0.35">
      <c r="A45" s="14">
        <v>114</v>
      </c>
      <c r="B45" s="14" t="s">
        <v>609</v>
      </c>
      <c r="C45" s="14" t="s">
        <v>722</v>
      </c>
      <c r="D45" t="s">
        <v>441</v>
      </c>
      <c r="E45" s="9">
        <f t="shared" si="1"/>
        <v>14</v>
      </c>
      <c r="F45">
        <v>0</v>
      </c>
      <c r="G45">
        <v>0</v>
      </c>
      <c r="H45">
        <v>0</v>
      </c>
      <c r="I45">
        <v>0</v>
      </c>
      <c r="J45" t="s">
        <v>477</v>
      </c>
      <c r="K45">
        <v>0</v>
      </c>
      <c r="L45">
        <v>1</v>
      </c>
      <c r="M45">
        <v>1</v>
      </c>
      <c r="N45">
        <v>0</v>
      </c>
      <c r="O45" t="s">
        <v>477</v>
      </c>
      <c r="P45">
        <v>2</v>
      </c>
      <c r="Q45">
        <v>0</v>
      </c>
      <c r="R45" s="9">
        <f t="shared" si="0"/>
        <v>3</v>
      </c>
      <c r="S45">
        <v>2</v>
      </c>
      <c r="T45">
        <v>0</v>
      </c>
      <c r="U45">
        <v>0</v>
      </c>
      <c r="V45">
        <v>1</v>
      </c>
      <c r="W45">
        <v>0</v>
      </c>
      <c r="X45" t="s">
        <v>477</v>
      </c>
      <c r="Y45">
        <v>7</v>
      </c>
      <c r="Z45" s="9">
        <f t="shared" si="2"/>
        <v>19</v>
      </c>
      <c r="AA45">
        <v>5</v>
      </c>
      <c r="AB45">
        <v>10</v>
      </c>
      <c r="AC45">
        <v>0</v>
      </c>
      <c r="AD45">
        <v>4</v>
      </c>
      <c r="AE45">
        <v>0</v>
      </c>
    </row>
    <row r="46" spans="1:31" x14ac:dyDescent="0.35">
      <c r="A46" s="14">
        <v>115</v>
      </c>
      <c r="B46" s="14" t="s">
        <v>609</v>
      </c>
      <c r="C46" s="14" t="s">
        <v>722</v>
      </c>
      <c r="D46" t="s">
        <v>441</v>
      </c>
      <c r="E46" s="9">
        <f t="shared" si="1"/>
        <v>9</v>
      </c>
      <c r="F46">
        <v>0</v>
      </c>
      <c r="G46">
        <v>1</v>
      </c>
      <c r="H46">
        <v>0</v>
      </c>
      <c r="I46">
        <v>0</v>
      </c>
      <c r="J46" t="s">
        <v>477</v>
      </c>
      <c r="K46">
        <v>0</v>
      </c>
      <c r="L46">
        <v>1</v>
      </c>
      <c r="M46">
        <v>1</v>
      </c>
      <c r="N46">
        <v>0</v>
      </c>
      <c r="O46" t="s">
        <v>477</v>
      </c>
      <c r="P46">
        <v>1</v>
      </c>
      <c r="Q46">
        <v>0</v>
      </c>
      <c r="R46" s="9">
        <f t="shared" si="0"/>
        <v>3</v>
      </c>
      <c r="S46">
        <v>2</v>
      </c>
      <c r="T46">
        <v>1</v>
      </c>
      <c r="U46">
        <v>0</v>
      </c>
      <c r="V46">
        <v>0</v>
      </c>
      <c r="W46">
        <v>0</v>
      </c>
      <c r="X46" t="s">
        <v>477</v>
      </c>
      <c r="Y46">
        <v>2</v>
      </c>
      <c r="Z46" s="9">
        <f t="shared" si="2"/>
        <v>21</v>
      </c>
      <c r="AA46">
        <v>10</v>
      </c>
      <c r="AB46">
        <v>8</v>
      </c>
      <c r="AC46">
        <v>0</v>
      </c>
      <c r="AD46">
        <v>0</v>
      </c>
      <c r="AE46">
        <v>3</v>
      </c>
    </row>
    <row r="47" spans="1:31" x14ac:dyDescent="0.35">
      <c r="A47">
        <v>101</v>
      </c>
      <c r="B47" t="s">
        <v>722</v>
      </c>
      <c r="C47" t="s">
        <v>684</v>
      </c>
      <c r="D47" t="s">
        <v>442</v>
      </c>
      <c r="E47" s="13">
        <f>F47+G47+H47+I47+J47+K47+L47+M47+O47+P47+Q47+R47+X47+Y47</f>
        <v>7</v>
      </c>
      <c r="F47">
        <v>0</v>
      </c>
      <c r="G47">
        <v>0</v>
      </c>
      <c r="H47">
        <v>0</v>
      </c>
      <c r="I47">
        <v>0</v>
      </c>
      <c r="J47">
        <v>1</v>
      </c>
      <c r="K47">
        <v>0</v>
      </c>
      <c r="L47">
        <v>2</v>
      </c>
      <c r="M47">
        <v>1</v>
      </c>
      <c r="N47">
        <v>0</v>
      </c>
      <c r="O47">
        <v>0</v>
      </c>
      <c r="P47">
        <v>0</v>
      </c>
      <c r="Q47">
        <v>0</v>
      </c>
      <c r="R47" s="9">
        <f t="shared" si="0"/>
        <v>1</v>
      </c>
      <c r="S47">
        <v>1</v>
      </c>
      <c r="T47">
        <v>0</v>
      </c>
      <c r="U47">
        <v>0</v>
      </c>
      <c r="V47">
        <v>0</v>
      </c>
      <c r="W47">
        <v>0</v>
      </c>
      <c r="X47">
        <v>2</v>
      </c>
      <c r="Y47">
        <v>0</v>
      </c>
      <c r="Z47" s="9">
        <f t="shared" si="2"/>
        <v>3</v>
      </c>
      <c r="AA47">
        <v>2</v>
      </c>
      <c r="AB47">
        <v>1</v>
      </c>
      <c r="AC47">
        <v>0</v>
      </c>
      <c r="AD47">
        <v>0</v>
      </c>
      <c r="AE47">
        <v>0</v>
      </c>
    </row>
    <row r="48" spans="1:31" x14ac:dyDescent="0.35">
      <c r="A48">
        <v>102</v>
      </c>
      <c r="B48" t="s">
        <v>722</v>
      </c>
      <c r="C48" t="s">
        <v>684</v>
      </c>
      <c r="D48" t="s">
        <v>442</v>
      </c>
      <c r="E48" s="13">
        <f t="shared" ref="E48:E121" si="3">F48+G48+H48+I48+J48+K48+L48+M48+O48+P48+Q48+R48+X48+Y48</f>
        <v>22</v>
      </c>
      <c r="F48">
        <v>0</v>
      </c>
      <c r="G48">
        <v>7</v>
      </c>
      <c r="H48">
        <v>1</v>
      </c>
      <c r="I48">
        <v>0</v>
      </c>
      <c r="J48">
        <v>0</v>
      </c>
      <c r="K48">
        <v>0</v>
      </c>
      <c r="L48">
        <v>2</v>
      </c>
      <c r="M48">
        <v>2</v>
      </c>
      <c r="N48">
        <v>0</v>
      </c>
      <c r="O48">
        <v>0</v>
      </c>
      <c r="P48">
        <v>1</v>
      </c>
      <c r="Q48">
        <v>1</v>
      </c>
      <c r="R48" s="9">
        <f t="shared" si="0"/>
        <v>4</v>
      </c>
      <c r="S48">
        <v>1</v>
      </c>
      <c r="T48">
        <v>1</v>
      </c>
      <c r="U48">
        <v>0</v>
      </c>
      <c r="V48">
        <v>2</v>
      </c>
      <c r="W48">
        <v>0</v>
      </c>
      <c r="X48">
        <v>4</v>
      </c>
      <c r="Y48">
        <v>0</v>
      </c>
      <c r="Z48" s="9">
        <f t="shared" si="2"/>
        <v>9</v>
      </c>
      <c r="AA48">
        <v>4</v>
      </c>
      <c r="AB48">
        <v>3</v>
      </c>
      <c r="AC48">
        <v>1</v>
      </c>
      <c r="AD48">
        <v>0</v>
      </c>
      <c r="AE48">
        <v>1</v>
      </c>
    </row>
    <row r="49" spans="1:32" x14ac:dyDescent="0.35">
      <c r="A49">
        <v>103</v>
      </c>
      <c r="B49" t="s">
        <v>722</v>
      </c>
      <c r="C49" t="s">
        <v>684</v>
      </c>
      <c r="D49" t="s">
        <v>442</v>
      </c>
      <c r="E49" s="13">
        <f t="shared" si="3"/>
        <v>31</v>
      </c>
      <c r="F49">
        <v>0</v>
      </c>
      <c r="G49">
        <v>0</v>
      </c>
      <c r="H49">
        <v>1</v>
      </c>
      <c r="I49">
        <v>0</v>
      </c>
      <c r="J49">
        <v>1</v>
      </c>
      <c r="K49">
        <v>2</v>
      </c>
      <c r="L49">
        <v>6</v>
      </c>
      <c r="M49">
        <v>0</v>
      </c>
      <c r="N49">
        <v>0</v>
      </c>
      <c r="O49">
        <v>0</v>
      </c>
      <c r="P49">
        <v>3</v>
      </c>
      <c r="Q49">
        <v>1</v>
      </c>
      <c r="R49" s="9">
        <f t="shared" si="0"/>
        <v>7</v>
      </c>
      <c r="S49">
        <v>1</v>
      </c>
      <c r="T49">
        <v>2</v>
      </c>
      <c r="U49">
        <v>0</v>
      </c>
      <c r="V49">
        <v>4</v>
      </c>
      <c r="W49">
        <v>0</v>
      </c>
      <c r="X49">
        <v>10</v>
      </c>
      <c r="Y49">
        <v>0</v>
      </c>
      <c r="Z49" s="9">
        <f t="shared" si="2"/>
        <v>26</v>
      </c>
      <c r="AA49">
        <v>19</v>
      </c>
      <c r="AB49">
        <v>6</v>
      </c>
      <c r="AC49">
        <v>1</v>
      </c>
      <c r="AD49">
        <v>0</v>
      </c>
      <c r="AE49">
        <v>0</v>
      </c>
    </row>
    <row r="50" spans="1:32" x14ac:dyDescent="0.35">
      <c r="A50">
        <v>104</v>
      </c>
      <c r="B50" t="s">
        <v>722</v>
      </c>
      <c r="C50" t="s">
        <v>684</v>
      </c>
      <c r="D50" t="s">
        <v>442</v>
      </c>
      <c r="E50" s="13">
        <f t="shared" si="3"/>
        <v>24</v>
      </c>
      <c r="F50">
        <v>0</v>
      </c>
      <c r="G50">
        <v>2</v>
      </c>
      <c r="H50">
        <v>2</v>
      </c>
      <c r="I50">
        <v>0</v>
      </c>
      <c r="J50">
        <v>0</v>
      </c>
      <c r="K50">
        <v>0</v>
      </c>
      <c r="L50">
        <v>3</v>
      </c>
      <c r="M50">
        <v>1</v>
      </c>
      <c r="N50">
        <v>0</v>
      </c>
      <c r="O50">
        <v>1</v>
      </c>
      <c r="P50">
        <v>2</v>
      </c>
      <c r="Q50">
        <v>0</v>
      </c>
      <c r="R50" s="9">
        <f t="shared" si="0"/>
        <v>9</v>
      </c>
      <c r="S50">
        <v>5</v>
      </c>
      <c r="T50">
        <v>1</v>
      </c>
      <c r="U50">
        <v>0</v>
      </c>
      <c r="V50">
        <v>3</v>
      </c>
      <c r="W50">
        <v>0</v>
      </c>
      <c r="X50">
        <v>4</v>
      </c>
      <c r="Y50">
        <v>0</v>
      </c>
      <c r="Z50" s="9">
        <f t="shared" si="2"/>
        <v>63</v>
      </c>
      <c r="AA50">
        <v>31</v>
      </c>
      <c r="AB50">
        <v>25</v>
      </c>
      <c r="AC50">
        <v>2</v>
      </c>
      <c r="AD50">
        <v>3</v>
      </c>
      <c r="AE50">
        <v>2</v>
      </c>
    </row>
    <row r="51" spans="1:32" x14ac:dyDescent="0.35">
      <c r="A51">
        <v>105</v>
      </c>
      <c r="B51" t="s">
        <v>722</v>
      </c>
      <c r="C51" t="s">
        <v>684</v>
      </c>
      <c r="D51" t="s">
        <v>442</v>
      </c>
      <c r="E51" s="13">
        <f t="shared" si="3"/>
        <v>30</v>
      </c>
      <c r="F51">
        <v>0</v>
      </c>
      <c r="G51">
        <v>3</v>
      </c>
      <c r="H51">
        <v>1</v>
      </c>
      <c r="I51">
        <v>0</v>
      </c>
      <c r="J51">
        <v>0</v>
      </c>
      <c r="K51">
        <v>0</v>
      </c>
      <c r="L51">
        <v>4</v>
      </c>
      <c r="M51">
        <v>0</v>
      </c>
      <c r="N51">
        <v>0</v>
      </c>
      <c r="O51">
        <v>0</v>
      </c>
      <c r="P51">
        <v>1</v>
      </c>
      <c r="Q51">
        <v>3</v>
      </c>
      <c r="R51" s="9">
        <f t="shared" si="0"/>
        <v>13</v>
      </c>
      <c r="S51">
        <v>7</v>
      </c>
      <c r="T51">
        <v>0</v>
      </c>
      <c r="U51">
        <v>0</v>
      </c>
      <c r="V51">
        <v>6</v>
      </c>
      <c r="W51">
        <v>0</v>
      </c>
      <c r="X51">
        <v>4</v>
      </c>
      <c r="Y51">
        <v>1</v>
      </c>
      <c r="Z51" s="9">
        <f t="shared" si="2"/>
        <v>28</v>
      </c>
      <c r="AA51">
        <v>16</v>
      </c>
      <c r="AB51">
        <v>11</v>
      </c>
      <c r="AC51">
        <v>0</v>
      </c>
      <c r="AD51">
        <v>0</v>
      </c>
      <c r="AE51">
        <v>1</v>
      </c>
    </row>
    <row r="52" spans="1:32" x14ac:dyDescent="0.35">
      <c r="A52">
        <v>106</v>
      </c>
      <c r="B52" t="s">
        <v>722</v>
      </c>
      <c r="C52" t="s">
        <v>684</v>
      </c>
      <c r="D52" t="s">
        <v>442</v>
      </c>
      <c r="E52" s="13">
        <f t="shared" si="3"/>
        <v>11</v>
      </c>
      <c r="F52">
        <v>0</v>
      </c>
      <c r="G52">
        <v>1</v>
      </c>
      <c r="H52">
        <v>0</v>
      </c>
      <c r="I52">
        <v>0</v>
      </c>
      <c r="J52">
        <v>0</v>
      </c>
      <c r="K52">
        <v>0</v>
      </c>
      <c r="L52">
        <v>2</v>
      </c>
      <c r="M52">
        <v>1</v>
      </c>
      <c r="N52">
        <v>0</v>
      </c>
      <c r="O52">
        <v>0</v>
      </c>
      <c r="P52">
        <v>1</v>
      </c>
      <c r="Q52">
        <v>0</v>
      </c>
      <c r="R52" s="9">
        <f t="shared" si="0"/>
        <v>3</v>
      </c>
      <c r="S52">
        <v>2</v>
      </c>
      <c r="T52">
        <v>0</v>
      </c>
      <c r="U52">
        <v>0</v>
      </c>
      <c r="V52">
        <v>1</v>
      </c>
      <c r="W52">
        <v>0</v>
      </c>
      <c r="X52">
        <v>3</v>
      </c>
      <c r="Y52">
        <v>0</v>
      </c>
      <c r="Z52" s="9">
        <f t="shared" si="2"/>
        <v>16</v>
      </c>
      <c r="AA52">
        <v>3</v>
      </c>
      <c r="AB52">
        <v>8</v>
      </c>
      <c r="AC52">
        <v>2</v>
      </c>
      <c r="AD52">
        <v>2</v>
      </c>
      <c r="AE52">
        <v>1</v>
      </c>
    </row>
    <row r="53" spans="1:32" x14ac:dyDescent="0.35">
      <c r="A53">
        <v>107</v>
      </c>
      <c r="B53" t="s">
        <v>722</v>
      </c>
      <c r="C53" t="s">
        <v>684</v>
      </c>
      <c r="D53" t="s">
        <v>442</v>
      </c>
      <c r="E53" s="13">
        <f t="shared" si="3"/>
        <v>16</v>
      </c>
      <c r="F53">
        <v>0</v>
      </c>
      <c r="G53">
        <v>1</v>
      </c>
      <c r="H53">
        <v>0</v>
      </c>
      <c r="I53">
        <v>0</v>
      </c>
      <c r="J53">
        <v>0</v>
      </c>
      <c r="K53">
        <v>0</v>
      </c>
      <c r="L53">
        <v>2</v>
      </c>
      <c r="M53">
        <v>0</v>
      </c>
      <c r="N53">
        <v>0</v>
      </c>
      <c r="O53">
        <v>0</v>
      </c>
      <c r="P53">
        <v>0</v>
      </c>
      <c r="Q53">
        <v>1</v>
      </c>
      <c r="R53" s="9">
        <f t="shared" si="0"/>
        <v>3</v>
      </c>
      <c r="S53">
        <v>1</v>
      </c>
      <c r="T53">
        <v>0</v>
      </c>
      <c r="U53">
        <v>0</v>
      </c>
      <c r="V53">
        <v>2</v>
      </c>
      <c r="W53">
        <v>0</v>
      </c>
      <c r="X53">
        <v>7</v>
      </c>
      <c r="Y53">
        <v>2</v>
      </c>
      <c r="Z53" s="9">
        <f t="shared" si="2"/>
        <v>44</v>
      </c>
      <c r="AA53">
        <v>16</v>
      </c>
      <c r="AB53">
        <v>25</v>
      </c>
      <c r="AC53">
        <v>0</v>
      </c>
      <c r="AD53">
        <v>2</v>
      </c>
      <c r="AE53">
        <v>1</v>
      </c>
      <c r="AF53" t="s">
        <v>1227</v>
      </c>
    </row>
    <row r="54" spans="1:32" x14ac:dyDescent="0.35">
      <c r="A54">
        <v>108</v>
      </c>
      <c r="B54" t="s">
        <v>722</v>
      </c>
      <c r="C54" t="s">
        <v>684</v>
      </c>
      <c r="D54" t="s">
        <v>442</v>
      </c>
      <c r="E54" s="13">
        <f t="shared" si="3"/>
        <v>14</v>
      </c>
      <c r="F54">
        <v>0</v>
      </c>
      <c r="G54">
        <v>1</v>
      </c>
      <c r="H54">
        <v>0</v>
      </c>
      <c r="I54">
        <v>0</v>
      </c>
      <c r="J54">
        <v>0</v>
      </c>
      <c r="K54">
        <v>0</v>
      </c>
      <c r="L54">
        <v>3</v>
      </c>
      <c r="M54">
        <v>0</v>
      </c>
      <c r="N54">
        <v>0</v>
      </c>
      <c r="O54">
        <v>1</v>
      </c>
      <c r="P54">
        <v>2</v>
      </c>
      <c r="Q54">
        <v>2</v>
      </c>
      <c r="R54" s="9">
        <f t="shared" si="0"/>
        <v>1</v>
      </c>
      <c r="S54">
        <v>1</v>
      </c>
      <c r="T54">
        <v>0</v>
      </c>
      <c r="U54">
        <v>0</v>
      </c>
      <c r="V54">
        <v>0</v>
      </c>
      <c r="W54">
        <v>0</v>
      </c>
      <c r="X54">
        <v>3</v>
      </c>
      <c r="Y54">
        <v>1</v>
      </c>
      <c r="Z54" s="9">
        <f t="shared" si="2"/>
        <v>35</v>
      </c>
      <c r="AA54">
        <v>14</v>
      </c>
      <c r="AB54">
        <v>14</v>
      </c>
      <c r="AC54">
        <v>1</v>
      </c>
      <c r="AD54">
        <v>4</v>
      </c>
      <c r="AE54">
        <v>2</v>
      </c>
    </row>
    <row r="55" spans="1:32" x14ac:dyDescent="0.35">
      <c r="A55">
        <v>109</v>
      </c>
      <c r="B55" t="s">
        <v>722</v>
      </c>
      <c r="C55" t="s">
        <v>684</v>
      </c>
      <c r="D55" t="s">
        <v>442</v>
      </c>
      <c r="E55" s="13">
        <f t="shared" si="3"/>
        <v>1</v>
      </c>
      <c r="F55">
        <v>0</v>
      </c>
      <c r="G55">
        <v>0</v>
      </c>
      <c r="H55">
        <v>0</v>
      </c>
      <c r="I55">
        <v>0</v>
      </c>
      <c r="J55">
        <v>0</v>
      </c>
      <c r="K55">
        <v>0</v>
      </c>
      <c r="L55">
        <v>0</v>
      </c>
      <c r="M55">
        <v>0</v>
      </c>
      <c r="N55">
        <v>0</v>
      </c>
      <c r="O55">
        <v>0</v>
      </c>
      <c r="P55">
        <v>0</v>
      </c>
      <c r="Q55">
        <v>0</v>
      </c>
      <c r="R55" s="9">
        <f t="shared" si="0"/>
        <v>0</v>
      </c>
      <c r="S55">
        <v>0</v>
      </c>
      <c r="T55">
        <v>0</v>
      </c>
      <c r="U55">
        <v>0</v>
      </c>
      <c r="V55">
        <v>0</v>
      </c>
      <c r="W55">
        <v>0</v>
      </c>
      <c r="X55">
        <v>1</v>
      </c>
      <c r="Y55">
        <v>0</v>
      </c>
      <c r="Z55" s="9">
        <f t="shared" si="2"/>
        <v>8</v>
      </c>
      <c r="AA55">
        <v>4</v>
      </c>
      <c r="AB55">
        <v>3</v>
      </c>
      <c r="AC55">
        <v>1</v>
      </c>
      <c r="AD55">
        <v>0</v>
      </c>
      <c r="AE55">
        <v>0</v>
      </c>
    </row>
    <row r="56" spans="1:32" x14ac:dyDescent="0.35">
      <c r="A56">
        <v>110</v>
      </c>
      <c r="B56" t="s">
        <v>722</v>
      </c>
      <c r="C56" t="s">
        <v>684</v>
      </c>
      <c r="D56" t="s">
        <v>442</v>
      </c>
      <c r="E56" s="13">
        <f t="shared" si="3"/>
        <v>12</v>
      </c>
      <c r="F56">
        <v>0</v>
      </c>
      <c r="G56">
        <v>0</v>
      </c>
      <c r="H56">
        <v>0</v>
      </c>
      <c r="I56">
        <v>0</v>
      </c>
      <c r="J56">
        <v>1</v>
      </c>
      <c r="K56">
        <v>2</v>
      </c>
      <c r="L56">
        <v>0</v>
      </c>
      <c r="M56">
        <v>1</v>
      </c>
      <c r="N56">
        <v>0</v>
      </c>
      <c r="O56">
        <v>0</v>
      </c>
      <c r="P56">
        <v>0</v>
      </c>
      <c r="Q56">
        <v>2</v>
      </c>
      <c r="R56" s="9">
        <f t="shared" si="0"/>
        <v>4</v>
      </c>
      <c r="S56">
        <v>3</v>
      </c>
      <c r="T56">
        <v>1</v>
      </c>
      <c r="U56">
        <v>0</v>
      </c>
      <c r="V56">
        <v>0</v>
      </c>
      <c r="W56">
        <v>0</v>
      </c>
      <c r="X56">
        <v>1</v>
      </c>
      <c r="Y56">
        <v>1</v>
      </c>
      <c r="Z56" s="9">
        <f t="shared" si="2"/>
        <v>13</v>
      </c>
      <c r="AA56">
        <v>4</v>
      </c>
      <c r="AB56">
        <v>5</v>
      </c>
      <c r="AC56">
        <v>2</v>
      </c>
      <c r="AD56">
        <v>0</v>
      </c>
      <c r="AE56">
        <v>2</v>
      </c>
      <c r="AF56" t="s">
        <v>1228</v>
      </c>
    </row>
    <row r="57" spans="1:32" x14ac:dyDescent="0.35">
      <c r="A57">
        <v>111</v>
      </c>
      <c r="B57" t="s">
        <v>722</v>
      </c>
      <c r="C57" t="s">
        <v>684</v>
      </c>
      <c r="D57" t="s">
        <v>442</v>
      </c>
      <c r="E57" s="13">
        <f t="shared" si="3"/>
        <v>13</v>
      </c>
      <c r="F57">
        <v>0</v>
      </c>
      <c r="G57">
        <v>0</v>
      </c>
      <c r="H57">
        <v>1</v>
      </c>
      <c r="I57">
        <v>0</v>
      </c>
      <c r="J57">
        <v>0</v>
      </c>
      <c r="K57">
        <v>0</v>
      </c>
      <c r="L57">
        <v>1</v>
      </c>
      <c r="M57">
        <v>0</v>
      </c>
      <c r="N57">
        <v>0</v>
      </c>
      <c r="O57">
        <v>0</v>
      </c>
      <c r="P57">
        <v>0</v>
      </c>
      <c r="Q57">
        <v>3</v>
      </c>
      <c r="R57" s="9">
        <f t="shared" si="0"/>
        <v>4</v>
      </c>
      <c r="S57">
        <v>1</v>
      </c>
      <c r="T57">
        <v>1</v>
      </c>
      <c r="U57">
        <v>0</v>
      </c>
      <c r="V57">
        <v>2</v>
      </c>
      <c r="W57">
        <v>0</v>
      </c>
      <c r="X57">
        <v>4</v>
      </c>
      <c r="Y57">
        <v>0</v>
      </c>
      <c r="Z57" s="9">
        <f t="shared" si="2"/>
        <v>12</v>
      </c>
      <c r="AA57">
        <v>7</v>
      </c>
      <c r="AB57">
        <v>3</v>
      </c>
      <c r="AC57">
        <v>1</v>
      </c>
      <c r="AD57">
        <v>1</v>
      </c>
      <c r="AE57">
        <v>0</v>
      </c>
    </row>
    <row r="58" spans="1:32" x14ac:dyDescent="0.35">
      <c r="A58">
        <v>112</v>
      </c>
      <c r="B58" t="s">
        <v>722</v>
      </c>
      <c r="C58" t="s">
        <v>684</v>
      </c>
      <c r="D58" t="s">
        <v>442</v>
      </c>
      <c r="E58" s="13">
        <f t="shared" si="3"/>
        <v>21</v>
      </c>
      <c r="F58">
        <v>0</v>
      </c>
      <c r="G58">
        <v>0</v>
      </c>
      <c r="H58">
        <v>0</v>
      </c>
      <c r="I58">
        <v>0</v>
      </c>
      <c r="J58">
        <v>0</v>
      </c>
      <c r="K58">
        <v>0</v>
      </c>
      <c r="L58">
        <v>4</v>
      </c>
      <c r="M58">
        <v>0</v>
      </c>
      <c r="N58">
        <v>0</v>
      </c>
      <c r="O58">
        <v>0</v>
      </c>
      <c r="P58">
        <v>0</v>
      </c>
      <c r="Q58">
        <v>1</v>
      </c>
      <c r="R58" s="9">
        <f t="shared" si="0"/>
        <v>5</v>
      </c>
      <c r="S58">
        <v>3</v>
      </c>
      <c r="T58">
        <v>1</v>
      </c>
      <c r="U58">
        <v>0</v>
      </c>
      <c r="V58">
        <v>1</v>
      </c>
      <c r="W58">
        <v>0</v>
      </c>
      <c r="X58">
        <v>10</v>
      </c>
      <c r="Y58">
        <v>1</v>
      </c>
      <c r="Z58" s="9">
        <f t="shared" si="2"/>
        <v>17</v>
      </c>
      <c r="AA58">
        <v>4</v>
      </c>
      <c r="AB58">
        <v>11</v>
      </c>
      <c r="AC58">
        <v>0</v>
      </c>
      <c r="AD58">
        <v>2</v>
      </c>
      <c r="AE58">
        <v>0</v>
      </c>
    </row>
    <row r="59" spans="1:32" x14ac:dyDescent="0.35">
      <c r="A59">
        <v>113</v>
      </c>
      <c r="B59" t="s">
        <v>722</v>
      </c>
      <c r="C59" t="s">
        <v>684</v>
      </c>
      <c r="D59" t="s">
        <v>442</v>
      </c>
      <c r="E59" s="13">
        <f t="shared" si="3"/>
        <v>22</v>
      </c>
      <c r="F59">
        <v>0</v>
      </c>
      <c r="G59">
        <v>1</v>
      </c>
      <c r="H59">
        <v>1</v>
      </c>
      <c r="I59">
        <v>0</v>
      </c>
      <c r="J59">
        <v>0</v>
      </c>
      <c r="K59">
        <v>0</v>
      </c>
      <c r="L59">
        <v>2</v>
      </c>
      <c r="M59">
        <v>0</v>
      </c>
      <c r="N59">
        <v>0</v>
      </c>
      <c r="O59">
        <v>0</v>
      </c>
      <c r="P59">
        <v>0</v>
      </c>
      <c r="Q59">
        <v>2</v>
      </c>
      <c r="R59" s="9">
        <f t="shared" si="0"/>
        <v>4</v>
      </c>
      <c r="S59">
        <v>3</v>
      </c>
      <c r="T59">
        <v>0</v>
      </c>
      <c r="U59">
        <v>0</v>
      </c>
      <c r="V59">
        <v>1</v>
      </c>
      <c r="W59">
        <v>0</v>
      </c>
      <c r="X59">
        <v>11</v>
      </c>
      <c r="Y59">
        <v>1</v>
      </c>
      <c r="Z59" s="9">
        <f t="shared" si="2"/>
        <v>15</v>
      </c>
      <c r="AA59">
        <v>12</v>
      </c>
      <c r="AB59">
        <v>1</v>
      </c>
      <c r="AC59">
        <v>1</v>
      </c>
      <c r="AD59">
        <v>0</v>
      </c>
      <c r="AE59">
        <v>1</v>
      </c>
    </row>
    <row r="60" spans="1:32" x14ac:dyDescent="0.35">
      <c r="A60">
        <v>114</v>
      </c>
      <c r="B60" t="s">
        <v>722</v>
      </c>
      <c r="C60" t="s">
        <v>684</v>
      </c>
      <c r="D60" t="s">
        <v>442</v>
      </c>
      <c r="E60" s="13">
        <f t="shared" si="3"/>
        <v>19</v>
      </c>
      <c r="F60">
        <v>0</v>
      </c>
      <c r="G60">
        <v>1</v>
      </c>
      <c r="H60">
        <v>0</v>
      </c>
      <c r="I60">
        <v>0</v>
      </c>
      <c r="J60">
        <v>0</v>
      </c>
      <c r="K60">
        <v>0</v>
      </c>
      <c r="L60">
        <v>0</v>
      </c>
      <c r="M60">
        <v>1</v>
      </c>
      <c r="N60">
        <v>0</v>
      </c>
      <c r="O60">
        <v>1</v>
      </c>
      <c r="P60">
        <v>3</v>
      </c>
      <c r="Q60">
        <v>2</v>
      </c>
      <c r="R60" s="9">
        <f t="shared" si="0"/>
        <v>2</v>
      </c>
      <c r="S60">
        <v>1</v>
      </c>
      <c r="T60">
        <v>0</v>
      </c>
      <c r="U60">
        <v>0</v>
      </c>
      <c r="V60">
        <v>1</v>
      </c>
      <c r="W60">
        <v>0</v>
      </c>
      <c r="X60">
        <v>9</v>
      </c>
      <c r="Y60">
        <v>0</v>
      </c>
      <c r="Z60" s="9">
        <f t="shared" si="2"/>
        <v>18</v>
      </c>
      <c r="AA60">
        <v>7</v>
      </c>
      <c r="AB60">
        <v>6</v>
      </c>
      <c r="AC60">
        <v>2</v>
      </c>
      <c r="AD60">
        <v>1</v>
      </c>
      <c r="AE60">
        <v>2</v>
      </c>
    </row>
    <row r="61" spans="1:32" x14ac:dyDescent="0.35">
      <c r="A61">
        <v>115</v>
      </c>
      <c r="B61" t="s">
        <v>722</v>
      </c>
      <c r="C61" t="s">
        <v>684</v>
      </c>
      <c r="D61" t="s">
        <v>442</v>
      </c>
      <c r="E61" s="13">
        <f t="shared" si="3"/>
        <v>18</v>
      </c>
      <c r="F61">
        <v>0</v>
      </c>
      <c r="G61">
        <v>3</v>
      </c>
      <c r="H61">
        <v>1</v>
      </c>
      <c r="I61">
        <v>0</v>
      </c>
      <c r="J61">
        <v>2</v>
      </c>
      <c r="K61">
        <v>1</v>
      </c>
      <c r="L61">
        <v>1</v>
      </c>
      <c r="M61">
        <v>2</v>
      </c>
      <c r="N61">
        <v>0</v>
      </c>
      <c r="O61">
        <v>0</v>
      </c>
      <c r="P61">
        <v>0</v>
      </c>
      <c r="Q61">
        <v>2</v>
      </c>
      <c r="R61" s="9">
        <f t="shared" si="0"/>
        <v>1</v>
      </c>
      <c r="S61">
        <v>1</v>
      </c>
      <c r="T61">
        <v>0</v>
      </c>
      <c r="U61">
        <v>0</v>
      </c>
      <c r="V61">
        <v>0</v>
      </c>
      <c r="W61">
        <v>0</v>
      </c>
      <c r="X61">
        <v>4</v>
      </c>
      <c r="Y61">
        <v>1</v>
      </c>
      <c r="Z61" s="9">
        <f t="shared" si="2"/>
        <v>26</v>
      </c>
      <c r="AA61">
        <v>8</v>
      </c>
      <c r="AB61">
        <v>18</v>
      </c>
      <c r="AC61">
        <v>0</v>
      </c>
      <c r="AD61">
        <v>0</v>
      </c>
      <c r="AE61">
        <v>0</v>
      </c>
    </row>
    <row r="62" spans="1:32" x14ac:dyDescent="0.35">
      <c r="A62" s="14">
        <v>101</v>
      </c>
      <c r="B62" s="14" t="s">
        <v>684</v>
      </c>
      <c r="C62" s="14" t="s">
        <v>803</v>
      </c>
      <c r="D62" t="s">
        <v>442</v>
      </c>
      <c r="E62" s="13">
        <f>F62+G62+H62+I62+J62+K62+L62+M62+O62+P62+Q62+R62+X62+Y62</f>
        <v>2</v>
      </c>
      <c r="F62">
        <v>0</v>
      </c>
      <c r="G62">
        <v>1</v>
      </c>
      <c r="H62">
        <v>0</v>
      </c>
      <c r="I62">
        <v>0</v>
      </c>
      <c r="J62">
        <v>0</v>
      </c>
      <c r="K62">
        <v>0</v>
      </c>
      <c r="L62">
        <v>0</v>
      </c>
      <c r="M62">
        <v>1</v>
      </c>
      <c r="N62">
        <v>0</v>
      </c>
      <c r="O62">
        <v>0</v>
      </c>
      <c r="P62">
        <v>0</v>
      </c>
      <c r="Q62">
        <v>0</v>
      </c>
      <c r="R62" s="9">
        <f t="shared" si="0"/>
        <v>0</v>
      </c>
      <c r="S62">
        <v>0</v>
      </c>
      <c r="T62">
        <v>0</v>
      </c>
      <c r="U62">
        <v>0</v>
      </c>
      <c r="V62">
        <v>0</v>
      </c>
      <c r="W62">
        <v>0</v>
      </c>
      <c r="X62">
        <v>0</v>
      </c>
      <c r="Y62">
        <v>0</v>
      </c>
      <c r="Z62" s="9">
        <f t="shared" si="2"/>
        <v>8</v>
      </c>
      <c r="AA62">
        <v>2</v>
      </c>
      <c r="AB62">
        <v>4</v>
      </c>
      <c r="AC62">
        <v>0</v>
      </c>
      <c r="AD62">
        <v>1</v>
      </c>
      <c r="AE62">
        <v>1</v>
      </c>
    </row>
    <row r="63" spans="1:32" x14ac:dyDescent="0.35">
      <c r="A63" s="14">
        <v>102</v>
      </c>
      <c r="B63" s="14" t="s">
        <v>684</v>
      </c>
      <c r="C63" s="14" t="s">
        <v>803</v>
      </c>
      <c r="D63" t="s">
        <v>442</v>
      </c>
      <c r="E63" s="13">
        <f t="shared" si="3"/>
        <v>6</v>
      </c>
      <c r="F63">
        <v>0</v>
      </c>
      <c r="G63">
        <v>0</v>
      </c>
      <c r="H63">
        <v>1</v>
      </c>
      <c r="I63">
        <v>0</v>
      </c>
      <c r="J63">
        <v>0</v>
      </c>
      <c r="K63">
        <v>0</v>
      </c>
      <c r="L63">
        <v>3</v>
      </c>
      <c r="M63">
        <v>0</v>
      </c>
      <c r="N63">
        <v>0</v>
      </c>
      <c r="O63">
        <v>0</v>
      </c>
      <c r="P63">
        <v>0</v>
      </c>
      <c r="Q63">
        <v>1</v>
      </c>
      <c r="R63" s="9">
        <f t="shared" si="0"/>
        <v>0</v>
      </c>
      <c r="S63">
        <v>0</v>
      </c>
      <c r="T63">
        <v>0</v>
      </c>
      <c r="U63">
        <v>0</v>
      </c>
      <c r="V63">
        <v>0</v>
      </c>
      <c r="W63">
        <v>0</v>
      </c>
      <c r="X63">
        <v>1</v>
      </c>
      <c r="Y63">
        <v>0</v>
      </c>
      <c r="Z63" s="9">
        <f t="shared" si="2"/>
        <v>69</v>
      </c>
      <c r="AA63">
        <v>50</v>
      </c>
      <c r="AB63">
        <v>17</v>
      </c>
      <c r="AC63">
        <v>1</v>
      </c>
      <c r="AD63">
        <v>0</v>
      </c>
      <c r="AE63">
        <v>1</v>
      </c>
      <c r="AF63" t="s">
        <v>1198</v>
      </c>
    </row>
    <row r="64" spans="1:32" x14ac:dyDescent="0.35">
      <c r="A64" s="14">
        <v>103</v>
      </c>
      <c r="B64" s="14" t="s">
        <v>684</v>
      </c>
      <c r="C64" s="14" t="s">
        <v>803</v>
      </c>
      <c r="D64" t="s">
        <v>442</v>
      </c>
      <c r="E64" s="13">
        <f t="shared" si="3"/>
        <v>6</v>
      </c>
      <c r="F64">
        <v>0</v>
      </c>
      <c r="G64">
        <v>0</v>
      </c>
      <c r="H64">
        <v>0</v>
      </c>
      <c r="I64">
        <v>0</v>
      </c>
      <c r="J64">
        <v>2</v>
      </c>
      <c r="K64">
        <v>0</v>
      </c>
      <c r="L64">
        <v>1</v>
      </c>
      <c r="M64">
        <v>1</v>
      </c>
      <c r="N64">
        <v>0</v>
      </c>
      <c r="O64">
        <v>0</v>
      </c>
      <c r="P64">
        <v>2</v>
      </c>
      <c r="Q64">
        <v>0</v>
      </c>
      <c r="R64" s="9">
        <f t="shared" si="0"/>
        <v>0</v>
      </c>
      <c r="S64">
        <v>0</v>
      </c>
      <c r="T64">
        <v>0</v>
      </c>
      <c r="U64">
        <v>0</v>
      </c>
      <c r="V64">
        <v>0</v>
      </c>
      <c r="W64">
        <v>0</v>
      </c>
      <c r="X64">
        <v>0</v>
      </c>
      <c r="Y64">
        <v>0</v>
      </c>
      <c r="Z64" s="9">
        <f t="shared" si="2"/>
        <v>23</v>
      </c>
      <c r="AA64">
        <v>9</v>
      </c>
      <c r="AB64">
        <v>11</v>
      </c>
      <c r="AC64">
        <v>2</v>
      </c>
      <c r="AD64">
        <v>0</v>
      </c>
      <c r="AE64">
        <v>1</v>
      </c>
    </row>
    <row r="65" spans="1:32" x14ac:dyDescent="0.35">
      <c r="A65" s="14">
        <v>104</v>
      </c>
      <c r="B65" s="14" t="s">
        <v>684</v>
      </c>
      <c r="C65" s="14" t="s">
        <v>803</v>
      </c>
      <c r="D65" t="s">
        <v>442</v>
      </c>
      <c r="E65" s="13">
        <f t="shared" si="3"/>
        <v>25</v>
      </c>
      <c r="F65">
        <v>0</v>
      </c>
      <c r="G65">
        <v>3</v>
      </c>
      <c r="H65">
        <v>4</v>
      </c>
      <c r="I65">
        <v>0</v>
      </c>
      <c r="J65">
        <v>0</v>
      </c>
      <c r="K65">
        <v>0</v>
      </c>
      <c r="L65">
        <v>2</v>
      </c>
      <c r="M65">
        <v>1</v>
      </c>
      <c r="N65">
        <v>0</v>
      </c>
      <c r="O65">
        <v>0</v>
      </c>
      <c r="P65">
        <v>0</v>
      </c>
      <c r="Q65">
        <v>3</v>
      </c>
      <c r="R65" s="9">
        <f t="shared" si="0"/>
        <v>4</v>
      </c>
      <c r="S65">
        <v>1</v>
      </c>
      <c r="T65">
        <v>3</v>
      </c>
      <c r="U65">
        <v>0</v>
      </c>
      <c r="V65">
        <v>0</v>
      </c>
      <c r="W65">
        <v>0</v>
      </c>
      <c r="X65">
        <v>8</v>
      </c>
      <c r="Y65">
        <v>0</v>
      </c>
      <c r="Z65" s="9">
        <f t="shared" si="2"/>
        <v>21</v>
      </c>
      <c r="AA65">
        <v>4</v>
      </c>
      <c r="AB65">
        <v>11</v>
      </c>
      <c r="AC65">
        <v>2</v>
      </c>
      <c r="AD65">
        <v>2</v>
      </c>
      <c r="AE65">
        <v>2</v>
      </c>
    </row>
    <row r="66" spans="1:32" x14ac:dyDescent="0.35">
      <c r="A66" s="14">
        <v>105</v>
      </c>
      <c r="B66" s="14" t="s">
        <v>684</v>
      </c>
      <c r="C66" s="14" t="s">
        <v>803</v>
      </c>
      <c r="D66" t="s">
        <v>442</v>
      </c>
      <c r="E66" s="13">
        <f t="shared" si="3"/>
        <v>19</v>
      </c>
      <c r="F66">
        <v>0</v>
      </c>
      <c r="G66">
        <v>2</v>
      </c>
      <c r="H66">
        <v>2</v>
      </c>
      <c r="I66">
        <v>0</v>
      </c>
      <c r="J66">
        <v>1</v>
      </c>
      <c r="K66">
        <v>3</v>
      </c>
      <c r="L66">
        <v>1</v>
      </c>
      <c r="M66">
        <v>1</v>
      </c>
      <c r="N66">
        <v>0</v>
      </c>
      <c r="O66">
        <v>1</v>
      </c>
      <c r="P66">
        <v>1</v>
      </c>
      <c r="Q66">
        <v>2</v>
      </c>
      <c r="R66" s="9">
        <f t="shared" si="0"/>
        <v>2</v>
      </c>
      <c r="S66">
        <v>1</v>
      </c>
      <c r="T66">
        <v>0</v>
      </c>
      <c r="U66">
        <v>0</v>
      </c>
      <c r="V66">
        <v>1</v>
      </c>
      <c r="W66">
        <v>0</v>
      </c>
      <c r="X66">
        <v>2</v>
      </c>
      <c r="Y66">
        <v>1</v>
      </c>
      <c r="Z66" s="9">
        <f t="shared" si="2"/>
        <v>25</v>
      </c>
      <c r="AA66">
        <v>5</v>
      </c>
      <c r="AB66">
        <v>19</v>
      </c>
      <c r="AC66">
        <v>1</v>
      </c>
      <c r="AD66">
        <v>0</v>
      </c>
      <c r="AE66">
        <v>0</v>
      </c>
    </row>
    <row r="67" spans="1:32" x14ac:dyDescent="0.35">
      <c r="A67" s="14">
        <v>106</v>
      </c>
      <c r="B67" s="14" t="s">
        <v>684</v>
      </c>
      <c r="C67" s="14" t="s">
        <v>803</v>
      </c>
      <c r="D67" t="s">
        <v>442</v>
      </c>
      <c r="E67" s="13">
        <f t="shared" si="3"/>
        <v>2</v>
      </c>
      <c r="F67">
        <v>0</v>
      </c>
      <c r="G67">
        <v>0</v>
      </c>
      <c r="H67">
        <v>0</v>
      </c>
      <c r="I67">
        <v>0</v>
      </c>
      <c r="J67">
        <v>0</v>
      </c>
      <c r="K67">
        <v>0</v>
      </c>
      <c r="L67">
        <v>0</v>
      </c>
      <c r="M67">
        <v>0</v>
      </c>
      <c r="N67">
        <v>0</v>
      </c>
      <c r="O67">
        <v>0</v>
      </c>
      <c r="P67">
        <v>0</v>
      </c>
      <c r="Q67">
        <v>1</v>
      </c>
      <c r="R67" s="9">
        <f t="shared" si="0"/>
        <v>0</v>
      </c>
      <c r="S67">
        <v>0</v>
      </c>
      <c r="T67">
        <v>0</v>
      </c>
      <c r="U67">
        <v>0</v>
      </c>
      <c r="V67">
        <v>0</v>
      </c>
      <c r="W67">
        <v>0</v>
      </c>
      <c r="X67">
        <v>1</v>
      </c>
      <c r="Y67">
        <v>0</v>
      </c>
      <c r="Z67" s="9">
        <f t="shared" si="2"/>
        <v>18</v>
      </c>
      <c r="AA67">
        <v>4</v>
      </c>
      <c r="AB67">
        <v>12</v>
      </c>
      <c r="AC67">
        <v>1</v>
      </c>
      <c r="AD67">
        <v>1</v>
      </c>
      <c r="AE67">
        <v>0</v>
      </c>
    </row>
    <row r="68" spans="1:32" x14ac:dyDescent="0.35">
      <c r="A68" s="14">
        <v>107</v>
      </c>
      <c r="B68" s="14" t="s">
        <v>684</v>
      </c>
      <c r="C68" s="14" t="s">
        <v>803</v>
      </c>
      <c r="D68" t="s">
        <v>442</v>
      </c>
      <c r="E68" s="13">
        <f t="shared" si="3"/>
        <v>11</v>
      </c>
      <c r="F68">
        <v>2</v>
      </c>
      <c r="G68">
        <v>2</v>
      </c>
      <c r="H68">
        <v>0</v>
      </c>
      <c r="I68">
        <v>0</v>
      </c>
      <c r="J68">
        <v>0</v>
      </c>
      <c r="K68">
        <v>0</v>
      </c>
      <c r="L68">
        <v>1</v>
      </c>
      <c r="M68">
        <v>0</v>
      </c>
      <c r="N68">
        <v>0</v>
      </c>
      <c r="O68">
        <v>1</v>
      </c>
      <c r="P68">
        <v>1</v>
      </c>
      <c r="Q68">
        <v>1</v>
      </c>
      <c r="R68" s="9">
        <f t="shared" si="0"/>
        <v>1</v>
      </c>
      <c r="S68">
        <v>0</v>
      </c>
      <c r="T68">
        <v>0</v>
      </c>
      <c r="U68">
        <v>0</v>
      </c>
      <c r="V68">
        <v>1</v>
      </c>
      <c r="W68">
        <v>0</v>
      </c>
      <c r="X68">
        <v>2</v>
      </c>
      <c r="Y68">
        <v>0</v>
      </c>
      <c r="Z68" s="9">
        <f t="shared" si="2"/>
        <v>36</v>
      </c>
      <c r="AA68">
        <v>15</v>
      </c>
      <c r="AB68">
        <v>14</v>
      </c>
      <c r="AC68">
        <v>0</v>
      </c>
      <c r="AD68">
        <v>4</v>
      </c>
      <c r="AE68">
        <v>3</v>
      </c>
      <c r="AF68" t="s">
        <v>1199</v>
      </c>
    </row>
    <row r="69" spans="1:32" x14ac:dyDescent="0.35">
      <c r="A69" s="14">
        <v>108</v>
      </c>
      <c r="B69" s="14" t="s">
        <v>684</v>
      </c>
      <c r="C69" s="14" t="s">
        <v>803</v>
      </c>
      <c r="D69" t="s">
        <v>442</v>
      </c>
      <c r="E69" s="13">
        <f t="shared" si="3"/>
        <v>9</v>
      </c>
      <c r="F69">
        <v>0</v>
      </c>
      <c r="G69">
        <v>4</v>
      </c>
      <c r="H69">
        <v>0</v>
      </c>
      <c r="I69">
        <v>0</v>
      </c>
      <c r="J69">
        <v>1</v>
      </c>
      <c r="K69">
        <v>0</v>
      </c>
      <c r="L69">
        <v>1</v>
      </c>
      <c r="M69">
        <v>0</v>
      </c>
      <c r="N69">
        <v>0</v>
      </c>
      <c r="O69">
        <v>0</v>
      </c>
      <c r="P69">
        <v>2</v>
      </c>
      <c r="Q69">
        <v>0</v>
      </c>
      <c r="R69" s="9">
        <f t="shared" si="0"/>
        <v>0</v>
      </c>
      <c r="S69">
        <v>0</v>
      </c>
      <c r="T69">
        <v>0</v>
      </c>
      <c r="U69">
        <v>0</v>
      </c>
      <c r="V69">
        <v>0</v>
      </c>
      <c r="W69">
        <v>0</v>
      </c>
      <c r="X69">
        <v>1</v>
      </c>
      <c r="Y69">
        <v>0</v>
      </c>
      <c r="Z69" s="9">
        <f t="shared" si="2"/>
        <v>30</v>
      </c>
      <c r="AA69">
        <v>14</v>
      </c>
      <c r="AB69">
        <v>14</v>
      </c>
      <c r="AC69">
        <v>0</v>
      </c>
      <c r="AD69">
        <v>2</v>
      </c>
      <c r="AE69">
        <v>0</v>
      </c>
    </row>
    <row r="70" spans="1:32" x14ac:dyDescent="0.35">
      <c r="A70" s="14">
        <v>109</v>
      </c>
      <c r="B70" s="14" t="s">
        <v>684</v>
      </c>
      <c r="C70" s="14" t="s">
        <v>803</v>
      </c>
      <c r="D70" t="s">
        <v>442</v>
      </c>
      <c r="E70" s="13">
        <f t="shared" si="3"/>
        <v>2</v>
      </c>
      <c r="F70">
        <v>0</v>
      </c>
      <c r="G70">
        <v>0</v>
      </c>
      <c r="H70">
        <v>0</v>
      </c>
      <c r="I70">
        <v>0</v>
      </c>
      <c r="J70">
        <v>0</v>
      </c>
      <c r="K70">
        <v>0</v>
      </c>
      <c r="L70">
        <v>1</v>
      </c>
      <c r="M70">
        <v>0</v>
      </c>
      <c r="N70">
        <v>0</v>
      </c>
      <c r="O70">
        <v>0</v>
      </c>
      <c r="P70">
        <v>0</v>
      </c>
      <c r="Q70">
        <v>1</v>
      </c>
      <c r="R70" s="9">
        <f t="shared" si="0"/>
        <v>0</v>
      </c>
      <c r="S70">
        <v>0</v>
      </c>
      <c r="T70">
        <v>0</v>
      </c>
      <c r="U70">
        <v>0</v>
      </c>
      <c r="V70">
        <v>0</v>
      </c>
      <c r="W70">
        <v>0</v>
      </c>
      <c r="X70">
        <v>0</v>
      </c>
      <c r="Y70">
        <v>0</v>
      </c>
      <c r="Z70" s="9">
        <f t="shared" si="2"/>
        <v>11</v>
      </c>
      <c r="AA70">
        <v>7</v>
      </c>
      <c r="AB70">
        <v>2</v>
      </c>
      <c r="AC70">
        <v>0</v>
      </c>
      <c r="AD70">
        <v>1</v>
      </c>
      <c r="AE70">
        <v>1</v>
      </c>
    </row>
    <row r="71" spans="1:32" x14ac:dyDescent="0.35">
      <c r="A71" s="14">
        <v>110</v>
      </c>
      <c r="B71" s="14" t="s">
        <v>684</v>
      </c>
      <c r="C71" s="14" t="s">
        <v>803</v>
      </c>
      <c r="D71" t="s">
        <v>442</v>
      </c>
      <c r="E71" s="13">
        <f t="shared" si="3"/>
        <v>1</v>
      </c>
      <c r="F71">
        <v>0</v>
      </c>
      <c r="G71">
        <v>0</v>
      </c>
      <c r="H71">
        <v>0</v>
      </c>
      <c r="I71">
        <v>0</v>
      </c>
      <c r="J71">
        <v>0</v>
      </c>
      <c r="K71">
        <v>0</v>
      </c>
      <c r="L71">
        <v>0</v>
      </c>
      <c r="M71">
        <v>0</v>
      </c>
      <c r="N71">
        <v>0</v>
      </c>
      <c r="O71">
        <v>0</v>
      </c>
      <c r="P71">
        <v>1</v>
      </c>
      <c r="Q71">
        <v>0</v>
      </c>
      <c r="R71" s="9">
        <f t="shared" si="0"/>
        <v>0</v>
      </c>
      <c r="S71">
        <v>0</v>
      </c>
      <c r="T71">
        <v>0</v>
      </c>
      <c r="U71">
        <v>0</v>
      </c>
      <c r="V71">
        <v>0</v>
      </c>
      <c r="W71">
        <v>0</v>
      </c>
      <c r="X71">
        <v>0</v>
      </c>
      <c r="Y71">
        <v>0</v>
      </c>
      <c r="Z71" s="9">
        <f t="shared" si="2"/>
        <v>35</v>
      </c>
      <c r="AA71">
        <v>7</v>
      </c>
      <c r="AB71">
        <v>18</v>
      </c>
      <c r="AC71">
        <v>1</v>
      </c>
      <c r="AD71">
        <v>7</v>
      </c>
      <c r="AE71">
        <v>2</v>
      </c>
    </row>
    <row r="72" spans="1:32" x14ac:dyDescent="0.35">
      <c r="A72" s="14">
        <v>111</v>
      </c>
      <c r="B72" s="14" t="s">
        <v>684</v>
      </c>
      <c r="C72" s="14" t="s">
        <v>803</v>
      </c>
      <c r="D72" t="s">
        <v>442</v>
      </c>
      <c r="E72" s="13">
        <f t="shared" si="3"/>
        <v>17</v>
      </c>
      <c r="F72">
        <v>0</v>
      </c>
      <c r="G72">
        <v>2</v>
      </c>
      <c r="H72">
        <v>1</v>
      </c>
      <c r="I72">
        <v>0</v>
      </c>
      <c r="J72">
        <v>0</v>
      </c>
      <c r="K72">
        <v>1</v>
      </c>
      <c r="L72">
        <v>5</v>
      </c>
      <c r="M72">
        <v>0</v>
      </c>
      <c r="N72">
        <v>0</v>
      </c>
      <c r="O72">
        <v>0</v>
      </c>
      <c r="P72">
        <v>1</v>
      </c>
      <c r="Q72">
        <v>0</v>
      </c>
      <c r="R72" s="9">
        <f t="shared" si="0"/>
        <v>4</v>
      </c>
      <c r="S72">
        <v>0</v>
      </c>
      <c r="T72">
        <v>1</v>
      </c>
      <c r="U72">
        <v>0</v>
      </c>
      <c r="V72">
        <v>3</v>
      </c>
      <c r="W72">
        <v>0</v>
      </c>
      <c r="X72">
        <v>3</v>
      </c>
      <c r="Y72">
        <v>0</v>
      </c>
      <c r="Z72" s="9">
        <f t="shared" si="2"/>
        <v>72</v>
      </c>
      <c r="AA72">
        <v>44</v>
      </c>
      <c r="AB72">
        <v>21</v>
      </c>
      <c r="AC72">
        <v>2</v>
      </c>
      <c r="AD72">
        <v>4</v>
      </c>
      <c r="AE72">
        <v>1</v>
      </c>
    </row>
    <row r="73" spans="1:32" x14ac:dyDescent="0.35">
      <c r="A73" s="14">
        <v>112</v>
      </c>
      <c r="B73" s="14" t="s">
        <v>684</v>
      </c>
      <c r="C73" s="14" t="s">
        <v>803</v>
      </c>
      <c r="D73" t="s">
        <v>442</v>
      </c>
      <c r="E73" s="13">
        <f t="shared" si="3"/>
        <v>15</v>
      </c>
      <c r="F73">
        <v>1</v>
      </c>
      <c r="G73">
        <v>2</v>
      </c>
      <c r="H73">
        <v>0</v>
      </c>
      <c r="I73">
        <v>0</v>
      </c>
      <c r="J73">
        <v>1</v>
      </c>
      <c r="K73">
        <v>1</v>
      </c>
      <c r="L73">
        <v>4</v>
      </c>
      <c r="M73">
        <v>1</v>
      </c>
      <c r="N73">
        <v>1</v>
      </c>
      <c r="O73">
        <v>0</v>
      </c>
      <c r="P73">
        <v>1</v>
      </c>
      <c r="Q73">
        <v>0</v>
      </c>
      <c r="R73" s="9">
        <f t="shared" si="0"/>
        <v>1</v>
      </c>
      <c r="S73">
        <v>0</v>
      </c>
      <c r="T73">
        <v>1</v>
      </c>
      <c r="U73">
        <v>0</v>
      </c>
      <c r="V73">
        <v>0</v>
      </c>
      <c r="W73">
        <v>0</v>
      </c>
      <c r="X73">
        <v>3</v>
      </c>
      <c r="Y73">
        <v>0</v>
      </c>
      <c r="Z73" s="9">
        <f t="shared" si="2"/>
        <v>38</v>
      </c>
      <c r="AA73">
        <v>24</v>
      </c>
      <c r="AB73">
        <v>8</v>
      </c>
      <c r="AC73">
        <v>0</v>
      </c>
      <c r="AD73">
        <v>2</v>
      </c>
      <c r="AE73">
        <v>4</v>
      </c>
      <c r="AF73" t="s">
        <v>1200</v>
      </c>
    </row>
    <row r="74" spans="1:32" x14ac:dyDescent="0.35">
      <c r="A74" s="14">
        <v>113</v>
      </c>
      <c r="B74" s="14" t="s">
        <v>684</v>
      </c>
      <c r="C74" s="14" t="s">
        <v>803</v>
      </c>
      <c r="D74" t="s">
        <v>442</v>
      </c>
      <c r="E74" s="13">
        <f t="shared" si="3"/>
        <v>13</v>
      </c>
      <c r="F74">
        <v>0</v>
      </c>
      <c r="G74">
        <v>0</v>
      </c>
      <c r="H74">
        <v>0</v>
      </c>
      <c r="I74">
        <v>0</v>
      </c>
      <c r="J74">
        <v>1</v>
      </c>
      <c r="K74">
        <v>0</v>
      </c>
      <c r="L74">
        <v>0</v>
      </c>
      <c r="M74">
        <v>0</v>
      </c>
      <c r="N74">
        <v>0</v>
      </c>
      <c r="O74">
        <v>0</v>
      </c>
      <c r="P74">
        <v>0</v>
      </c>
      <c r="Q74">
        <v>0</v>
      </c>
      <c r="R74" s="9">
        <f t="shared" si="0"/>
        <v>2</v>
      </c>
      <c r="S74">
        <v>1</v>
      </c>
      <c r="T74">
        <v>0</v>
      </c>
      <c r="U74">
        <v>0</v>
      </c>
      <c r="V74">
        <v>1</v>
      </c>
      <c r="W74">
        <v>0</v>
      </c>
      <c r="X74">
        <v>9</v>
      </c>
      <c r="Y74">
        <v>1</v>
      </c>
      <c r="Z74" s="9">
        <f t="shared" si="2"/>
        <v>42</v>
      </c>
      <c r="AA74">
        <v>15</v>
      </c>
      <c r="AB74">
        <v>20</v>
      </c>
      <c r="AC74">
        <v>0</v>
      </c>
      <c r="AD74">
        <v>2</v>
      </c>
      <c r="AE74">
        <v>5</v>
      </c>
    </row>
    <row r="75" spans="1:32" x14ac:dyDescent="0.35">
      <c r="A75" s="14">
        <v>114</v>
      </c>
      <c r="B75" s="14" t="s">
        <v>684</v>
      </c>
      <c r="C75" s="14" t="s">
        <v>803</v>
      </c>
      <c r="D75" t="s">
        <v>442</v>
      </c>
      <c r="E75" s="13">
        <f t="shared" si="3"/>
        <v>5</v>
      </c>
      <c r="F75">
        <v>0</v>
      </c>
      <c r="G75">
        <v>0</v>
      </c>
      <c r="H75">
        <v>0</v>
      </c>
      <c r="I75">
        <v>0</v>
      </c>
      <c r="J75">
        <v>0</v>
      </c>
      <c r="K75">
        <v>0</v>
      </c>
      <c r="L75">
        <v>0</v>
      </c>
      <c r="M75">
        <v>0</v>
      </c>
      <c r="N75">
        <v>0</v>
      </c>
      <c r="O75">
        <v>0</v>
      </c>
      <c r="P75">
        <v>0</v>
      </c>
      <c r="Q75">
        <v>0</v>
      </c>
      <c r="R75" s="9">
        <f t="shared" si="0"/>
        <v>1</v>
      </c>
      <c r="S75">
        <v>0</v>
      </c>
      <c r="T75">
        <v>0</v>
      </c>
      <c r="U75">
        <v>0</v>
      </c>
      <c r="V75">
        <v>1</v>
      </c>
      <c r="W75">
        <v>0</v>
      </c>
      <c r="X75">
        <v>4</v>
      </c>
      <c r="Y75">
        <v>0</v>
      </c>
      <c r="Z75" s="9">
        <f t="shared" si="2"/>
        <v>11</v>
      </c>
      <c r="AA75">
        <v>4</v>
      </c>
      <c r="AB75">
        <v>5</v>
      </c>
      <c r="AC75">
        <v>1</v>
      </c>
      <c r="AD75">
        <v>1</v>
      </c>
      <c r="AE75">
        <v>0</v>
      </c>
    </row>
    <row r="76" spans="1:32" x14ac:dyDescent="0.35">
      <c r="A76" s="14">
        <v>115</v>
      </c>
      <c r="B76" s="14" t="s">
        <v>684</v>
      </c>
      <c r="C76" s="14" t="s">
        <v>803</v>
      </c>
      <c r="D76" t="s">
        <v>442</v>
      </c>
      <c r="E76" s="13">
        <f t="shared" si="3"/>
        <v>13</v>
      </c>
      <c r="F76">
        <v>0</v>
      </c>
      <c r="G76">
        <v>2</v>
      </c>
      <c r="H76">
        <v>1</v>
      </c>
      <c r="I76">
        <v>0</v>
      </c>
      <c r="J76">
        <v>0</v>
      </c>
      <c r="K76">
        <v>2</v>
      </c>
      <c r="L76">
        <v>1</v>
      </c>
      <c r="M76">
        <v>2</v>
      </c>
      <c r="N76">
        <v>1</v>
      </c>
      <c r="O76">
        <v>0</v>
      </c>
      <c r="P76">
        <v>0</v>
      </c>
      <c r="Q76">
        <v>0</v>
      </c>
      <c r="R76" s="9">
        <f t="shared" si="0"/>
        <v>2</v>
      </c>
      <c r="S76">
        <v>1</v>
      </c>
      <c r="T76">
        <v>1</v>
      </c>
      <c r="U76">
        <v>0</v>
      </c>
      <c r="V76">
        <v>0</v>
      </c>
      <c r="W76">
        <v>0</v>
      </c>
      <c r="X76">
        <v>3</v>
      </c>
      <c r="Y76">
        <v>0</v>
      </c>
      <c r="Z76" s="9">
        <f t="shared" si="2"/>
        <v>68</v>
      </c>
      <c r="AA76">
        <v>14</v>
      </c>
      <c r="AB76">
        <v>43</v>
      </c>
      <c r="AC76">
        <v>1</v>
      </c>
      <c r="AD76">
        <v>1</v>
      </c>
      <c r="AE76">
        <v>9</v>
      </c>
      <c r="AF76" t="s">
        <v>1200</v>
      </c>
    </row>
    <row r="77" spans="1:32" x14ac:dyDescent="0.35">
      <c r="A77">
        <v>101</v>
      </c>
      <c r="B77" t="s">
        <v>803</v>
      </c>
      <c r="C77" t="s">
        <v>1072</v>
      </c>
      <c r="D77" t="s">
        <v>442</v>
      </c>
      <c r="E77" s="13">
        <f t="shared" si="3"/>
        <v>17</v>
      </c>
      <c r="F77">
        <v>0</v>
      </c>
      <c r="G77">
        <v>2</v>
      </c>
      <c r="H77">
        <v>0</v>
      </c>
      <c r="I77">
        <v>0</v>
      </c>
      <c r="J77">
        <v>1</v>
      </c>
      <c r="K77">
        <v>1</v>
      </c>
      <c r="L77">
        <v>6</v>
      </c>
      <c r="M77">
        <v>0</v>
      </c>
      <c r="N77">
        <v>0</v>
      </c>
      <c r="O77">
        <v>0</v>
      </c>
      <c r="P77">
        <v>1</v>
      </c>
      <c r="Q77">
        <v>2</v>
      </c>
      <c r="R77" s="9">
        <f t="shared" si="0"/>
        <v>2</v>
      </c>
      <c r="S77">
        <v>0</v>
      </c>
      <c r="T77">
        <v>2</v>
      </c>
      <c r="U77">
        <v>0</v>
      </c>
      <c r="V77">
        <v>0</v>
      </c>
      <c r="W77">
        <v>0</v>
      </c>
      <c r="X77">
        <v>2</v>
      </c>
      <c r="Y77">
        <v>0</v>
      </c>
      <c r="Z77" s="9">
        <f t="shared" si="2"/>
        <v>36</v>
      </c>
      <c r="AA77">
        <v>9</v>
      </c>
      <c r="AB77">
        <v>20</v>
      </c>
      <c r="AC77">
        <v>1</v>
      </c>
      <c r="AD77">
        <v>6</v>
      </c>
      <c r="AE77">
        <v>0</v>
      </c>
      <c r="AF77" t="s">
        <v>1203</v>
      </c>
    </row>
    <row r="78" spans="1:32" x14ac:dyDescent="0.35">
      <c r="A78">
        <v>102</v>
      </c>
      <c r="B78" t="s">
        <v>803</v>
      </c>
      <c r="C78" t="s">
        <v>1072</v>
      </c>
      <c r="D78" t="s">
        <v>442</v>
      </c>
      <c r="E78" s="13">
        <f t="shared" si="3"/>
        <v>11</v>
      </c>
      <c r="F78">
        <v>1</v>
      </c>
      <c r="G78">
        <v>0</v>
      </c>
      <c r="H78">
        <v>3</v>
      </c>
      <c r="I78">
        <v>0</v>
      </c>
      <c r="J78">
        <v>0</v>
      </c>
      <c r="K78">
        <v>0</v>
      </c>
      <c r="L78">
        <v>2</v>
      </c>
      <c r="M78">
        <v>0</v>
      </c>
      <c r="N78">
        <v>0</v>
      </c>
      <c r="O78">
        <v>0</v>
      </c>
      <c r="P78">
        <v>1</v>
      </c>
      <c r="Q78">
        <v>0</v>
      </c>
      <c r="R78" s="9">
        <f t="shared" si="0"/>
        <v>2</v>
      </c>
      <c r="S78">
        <v>0</v>
      </c>
      <c r="T78">
        <v>1</v>
      </c>
      <c r="U78">
        <v>0</v>
      </c>
      <c r="V78">
        <v>1</v>
      </c>
      <c r="W78">
        <v>0</v>
      </c>
      <c r="X78">
        <v>2</v>
      </c>
      <c r="Y78">
        <v>0</v>
      </c>
      <c r="Z78" s="9">
        <f t="shared" si="2"/>
        <v>15</v>
      </c>
      <c r="AA78">
        <v>6</v>
      </c>
      <c r="AB78">
        <v>8</v>
      </c>
      <c r="AC78">
        <v>0</v>
      </c>
      <c r="AD78">
        <v>1</v>
      </c>
      <c r="AE78">
        <v>0</v>
      </c>
    </row>
    <row r="79" spans="1:32" x14ac:dyDescent="0.35">
      <c r="A79">
        <v>103</v>
      </c>
      <c r="B79" t="s">
        <v>803</v>
      </c>
      <c r="C79" t="s">
        <v>1072</v>
      </c>
      <c r="D79" t="s">
        <v>442</v>
      </c>
      <c r="E79" s="13">
        <f t="shared" si="3"/>
        <v>8</v>
      </c>
      <c r="F79">
        <v>3</v>
      </c>
      <c r="G79">
        <v>1</v>
      </c>
      <c r="H79">
        <v>1</v>
      </c>
      <c r="I79">
        <v>0</v>
      </c>
      <c r="J79">
        <v>1</v>
      </c>
      <c r="K79">
        <v>1</v>
      </c>
      <c r="L79">
        <v>1</v>
      </c>
      <c r="M79">
        <v>0</v>
      </c>
      <c r="N79">
        <v>0</v>
      </c>
      <c r="O79">
        <v>0</v>
      </c>
      <c r="P79">
        <v>0</v>
      </c>
      <c r="Q79">
        <v>0</v>
      </c>
      <c r="R79" s="9">
        <f t="shared" si="0"/>
        <v>0</v>
      </c>
      <c r="S79">
        <v>0</v>
      </c>
      <c r="T79">
        <v>0</v>
      </c>
      <c r="U79">
        <v>0</v>
      </c>
      <c r="V79">
        <v>0</v>
      </c>
      <c r="W79">
        <v>0</v>
      </c>
      <c r="X79">
        <v>0</v>
      </c>
      <c r="Y79">
        <v>0</v>
      </c>
      <c r="Z79" s="9">
        <f t="shared" si="2"/>
        <v>14</v>
      </c>
      <c r="AA79">
        <v>5</v>
      </c>
      <c r="AB79">
        <v>4</v>
      </c>
      <c r="AC79">
        <v>1</v>
      </c>
      <c r="AD79">
        <v>1</v>
      </c>
      <c r="AE79">
        <v>3</v>
      </c>
    </row>
    <row r="80" spans="1:32" x14ac:dyDescent="0.35">
      <c r="A80">
        <v>104</v>
      </c>
      <c r="B80" t="s">
        <v>803</v>
      </c>
      <c r="C80" t="s">
        <v>1072</v>
      </c>
      <c r="D80" t="s">
        <v>442</v>
      </c>
      <c r="E80" s="13">
        <f t="shared" si="3"/>
        <v>19</v>
      </c>
      <c r="F80">
        <v>1</v>
      </c>
      <c r="G80">
        <v>2</v>
      </c>
      <c r="H80">
        <v>0</v>
      </c>
      <c r="I80">
        <v>0</v>
      </c>
      <c r="J80">
        <v>0</v>
      </c>
      <c r="K80">
        <v>0</v>
      </c>
      <c r="L80">
        <v>5</v>
      </c>
      <c r="M80">
        <v>0</v>
      </c>
      <c r="N80">
        <v>0</v>
      </c>
      <c r="O80">
        <v>0</v>
      </c>
      <c r="P80">
        <v>0</v>
      </c>
      <c r="Q80">
        <v>2</v>
      </c>
      <c r="R80" s="9">
        <f t="shared" si="0"/>
        <v>2</v>
      </c>
      <c r="S80">
        <v>1</v>
      </c>
      <c r="T80">
        <v>1</v>
      </c>
      <c r="U80">
        <v>0</v>
      </c>
      <c r="V80">
        <v>0</v>
      </c>
      <c r="W80">
        <v>0</v>
      </c>
      <c r="X80">
        <v>7</v>
      </c>
      <c r="Y80">
        <v>0</v>
      </c>
      <c r="Z80" s="9">
        <f t="shared" si="2"/>
        <v>44</v>
      </c>
      <c r="AA80">
        <v>11</v>
      </c>
      <c r="AB80">
        <v>18</v>
      </c>
      <c r="AC80">
        <v>2</v>
      </c>
      <c r="AD80">
        <v>9</v>
      </c>
      <c r="AE80">
        <v>4</v>
      </c>
      <c r="AF80" t="s">
        <v>1204</v>
      </c>
    </row>
    <row r="81" spans="1:32" x14ac:dyDescent="0.35">
      <c r="A81">
        <v>105</v>
      </c>
      <c r="B81" t="s">
        <v>803</v>
      </c>
      <c r="C81" t="s">
        <v>1072</v>
      </c>
      <c r="D81" t="s">
        <v>442</v>
      </c>
      <c r="E81" s="13">
        <f t="shared" si="3"/>
        <v>6</v>
      </c>
      <c r="F81">
        <v>0</v>
      </c>
      <c r="G81">
        <v>1</v>
      </c>
      <c r="H81">
        <v>0</v>
      </c>
      <c r="I81">
        <v>0</v>
      </c>
      <c r="J81">
        <v>0</v>
      </c>
      <c r="K81">
        <v>1</v>
      </c>
      <c r="L81">
        <v>2</v>
      </c>
      <c r="M81">
        <v>0</v>
      </c>
      <c r="N81">
        <v>0</v>
      </c>
      <c r="O81">
        <v>0</v>
      </c>
      <c r="P81">
        <v>1</v>
      </c>
      <c r="Q81">
        <v>1</v>
      </c>
      <c r="R81" s="9">
        <f t="shared" si="0"/>
        <v>0</v>
      </c>
      <c r="S81">
        <v>0</v>
      </c>
      <c r="T81">
        <v>0</v>
      </c>
      <c r="U81">
        <v>0</v>
      </c>
      <c r="V81">
        <v>0</v>
      </c>
      <c r="W81">
        <v>0</v>
      </c>
      <c r="X81">
        <v>0</v>
      </c>
      <c r="Y81">
        <v>0</v>
      </c>
      <c r="Z81" s="9">
        <f t="shared" si="2"/>
        <v>10</v>
      </c>
      <c r="AA81">
        <v>4</v>
      </c>
      <c r="AB81">
        <v>4</v>
      </c>
      <c r="AC81">
        <v>0</v>
      </c>
      <c r="AD81">
        <v>0</v>
      </c>
      <c r="AE81">
        <v>2</v>
      </c>
      <c r="AF81" t="s">
        <v>1205</v>
      </c>
    </row>
    <row r="82" spans="1:32" x14ac:dyDescent="0.35">
      <c r="A82">
        <v>106</v>
      </c>
      <c r="B82" t="s">
        <v>803</v>
      </c>
      <c r="C82" t="s">
        <v>1072</v>
      </c>
      <c r="D82" t="s">
        <v>442</v>
      </c>
      <c r="E82" s="13">
        <f t="shared" si="3"/>
        <v>8</v>
      </c>
      <c r="F82">
        <v>0</v>
      </c>
      <c r="G82">
        <v>2</v>
      </c>
      <c r="H82">
        <v>0</v>
      </c>
      <c r="I82">
        <v>0</v>
      </c>
      <c r="J82">
        <v>1</v>
      </c>
      <c r="K82">
        <v>0</v>
      </c>
      <c r="L82">
        <v>0</v>
      </c>
      <c r="M82">
        <v>0</v>
      </c>
      <c r="N82">
        <v>0</v>
      </c>
      <c r="O82">
        <v>1</v>
      </c>
      <c r="P82">
        <v>0</v>
      </c>
      <c r="Q82">
        <v>2</v>
      </c>
      <c r="R82" s="9">
        <f t="shared" si="0"/>
        <v>0</v>
      </c>
      <c r="S82">
        <v>0</v>
      </c>
      <c r="T82">
        <v>0</v>
      </c>
      <c r="U82">
        <v>0</v>
      </c>
      <c r="V82">
        <v>0</v>
      </c>
      <c r="W82">
        <v>0</v>
      </c>
      <c r="X82">
        <v>2</v>
      </c>
      <c r="Y82">
        <v>0</v>
      </c>
      <c r="Z82" s="9">
        <f t="shared" si="2"/>
        <v>17</v>
      </c>
      <c r="AA82">
        <v>4</v>
      </c>
      <c r="AB82">
        <v>11</v>
      </c>
      <c r="AC82">
        <v>1</v>
      </c>
      <c r="AD82">
        <v>1</v>
      </c>
      <c r="AE82">
        <v>0</v>
      </c>
    </row>
    <row r="83" spans="1:32" x14ac:dyDescent="0.35">
      <c r="A83">
        <v>107</v>
      </c>
      <c r="B83" t="s">
        <v>803</v>
      </c>
      <c r="C83" t="s">
        <v>1072</v>
      </c>
      <c r="D83" t="s">
        <v>442</v>
      </c>
      <c r="E83" s="13">
        <f t="shared" si="3"/>
        <v>12</v>
      </c>
      <c r="F83">
        <v>0</v>
      </c>
      <c r="G83">
        <v>1</v>
      </c>
      <c r="H83">
        <v>0</v>
      </c>
      <c r="I83">
        <v>0</v>
      </c>
      <c r="J83">
        <v>2</v>
      </c>
      <c r="K83">
        <v>1</v>
      </c>
      <c r="L83">
        <v>1</v>
      </c>
      <c r="M83">
        <v>1</v>
      </c>
      <c r="N83">
        <v>0</v>
      </c>
      <c r="O83">
        <v>0</v>
      </c>
      <c r="P83">
        <v>0</v>
      </c>
      <c r="Q83">
        <v>2</v>
      </c>
      <c r="R83" s="9">
        <f t="shared" si="0"/>
        <v>2</v>
      </c>
      <c r="S83">
        <v>2</v>
      </c>
      <c r="T83">
        <v>0</v>
      </c>
      <c r="U83">
        <v>0</v>
      </c>
      <c r="V83">
        <v>0</v>
      </c>
      <c r="W83">
        <v>0</v>
      </c>
      <c r="X83">
        <v>2</v>
      </c>
      <c r="Y83">
        <v>0</v>
      </c>
      <c r="Z83" s="9">
        <f t="shared" si="2"/>
        <v>28</v>
      </c>
      <c r="AA83">
        <v>15</v>
      </c>
      <c r="AB83">
        <v>5</v>
      </c>
      <c r="AC83">
        <v>0</v>
      </c>
      <c r="AD83">
        <v>7</v>
      </c>
      <c r="AE83">
        <v>1</v>
      </c>
    </row>
    <row r="84" spans="1:32" x14ac:dyDescent="0.35">
      <c r="A84">
        <v>108</v>
      </c>
      <c r="B84" t="s">
        <v>803</v>
      </c>
      <c r="C84" t="s">
        <v>1072</v>
      </c>
      <c r="D84" t="s">
        <v>442</v>
      </c>
      <c r="E84" s="13">
        <f t="shared" si="3"/>
        <v>7</v>
      </c>
      <c r="F84">
        <v>1</v>
      </c>
      <c r="G84">
        <v>1</v>
      </c>
      <c r="H84">
        <v>0</v>
      </c>
      <c r="I84">
        <v>0</v>
      </c>
      <c r="J84">
        <v>0</v>
      </c>
      <c r="K84">
        <v>0</v>
      </c>
      <c r="L84">
        <v>1</v>
      </c>
      <c r="M84">
        <v>1</v>
      </c>
      <c r="N84">
        <v>0</v>
      </c>
      <c r="O84">
        <v>0</v>
      </c>
      <c r="P84">
        <v>0</v>
      </c>
      <c r="Q84">
        <v>0</v>
      </c>
      <c r="R84" s="9">
        <f t="shared" si="0"/>
        <v>2</v>
      </c>
      <c r="S84">
        <v>0</v>
      </c>
      <c r="T84">
        <v>0</v>
      </c>
      <c r="U84">
        <v>0</v>
      </c>
      <c r="V84">
        <v>2</v>
      </c>
      <c r="W84">
        <v>0</v>
      </c>
      <c r="X84">
        <v>1</v>
      </c>
      <c r="Y84">
        <v>0</v>
      </c>
      <c r="Z84" s="9">
        <f t="shared" si="2"/>
        <v>17</v>
      </c>
      <c r="AA84">
        <v>4</v>
      </c>
      <c r="AB84">
        <v>10</v>
      </c>
      <c r="AC84">
        <v>2</v>
      </c>
      <c r="AD84">
        <v>1</v>
      </c>
      <c r="AE84">
        <v>0</v>
      </c>
    </row>
    <row r="85" spans="1:32" x14ac:dyDescent="0.35">
      <c r="A85">
        <v>109</v>
      </c>
      <c r="B85" t="s">
        <v>803</v>
      </c>
      <c r="C85" t="s">
        <v>1072</v>
      </c>
      <c r="D85" t="s">
        <v>442</v>
      </c>
      <c r="E85" s="13">
        <f t="shared" si="3"/>
        <v>4</v>
      </c>
      <c r="F85">
        <v>0</v>
      </c>
      <c r="G85">
        <v>2</v>
      </c>
      <c r="H85">
        <v>1</v>
      </c>
      <c r="I85">
        <v>0</v>
      </c>
      <c r="J85">
        <v>0</v>
      </c>
      <c r="K85">
        <v>0</v>
      </c>
      <c r="L85">
        <v>0</v>
      </c>
      <c r="M85">
        <v>0</v>
      </c>
      <c r="N85">
        <v>0</v>
      </c>
      <c r="O85">
        <v>0</v>
      </c>
      <c r="P85">
        <v>0</v>
      </c>
      <c r="Q85">
        <v>1</v>
      </c>
      <c r="R85" s="9">
        <f t="shared" si="0"/>
        <v>0</v>
      </c>
      <c r="S85">
        <v>0</v>
      </c>
      <c r="T85">
        <v>0</v>
      </c>
      <c r="U85">
        <v>0</v>
      </c>
      <c r="V85">
        <v>0</v>
      </c>
      <c r="W85">
        <v>0</v>
      </c>
      <c r="X85">
        <v>0</v>
      </c>
      <c r="Y85">
        <v>0</v>
      </c>
      <c r="Z85" s="9">
        <f t="shared" si="2"/>
        <v>1</v>
      </c>
      <c r="AA85">
        <v>1</v>
      </c>
      <c r="AB85">
        <v>0</v>
      </c>
      <c r="AC85">
        <v>0</v>
      </c>
      <c r="AD85">
        <v>0</v>
      </c>
      <c r="AE85">
        <v>0</v>
      </c>
      <c r="AF85" t="s">
        <v>1206</v>
      </c>
    </row>
    <row r="86" spans="1:32" x14ac:dyDescent="0.35">
      <c r="A86">
        <v>110</v>
      </c>
      <c r="B86" t="s">
        <v>803</v>
      </c>
      <c r="C86" t="s">
        <v>1072</v>
      </c>
      <c r="D86" t="s">
        <v>442</v>
      </c>
      <c r="E86" s="13">
        <f t="shared" si="3"/>
        <v>3</v>
      </c>
      <c r="F86">
        <v>0</v>
      </c>
      <c r="G86">
        <v>1</v>
      </c>
      <c r="H86">
        <v>0</v>
      </c>
      <c r="I86">
        <v>0</v>
      </c>
      <c r="J86">
        <v>0</v>
      </c>
      <c r="K86">
        <v>0</v>
      </c>
      <c r="L86">
        <v>0</v>
      </c>
      <c r="M86">
        <v>0</v>
      </c>
      <c r="N86">
        <v>0</v>
      </c>
      <c r="O86">
        <v>0</v>
      </c>
      <c r="P86">
        <v>1</v>
      </c>
      <c r="Q86">
        <v>0</v>
      </c>
      <c r="R86" s="9">
        <f t="shared" si="0"/>
        <v>1</v>
      </c>
      <c r="S86">
        <v>1</v>
      </c>
      <c r="T86">
        <v>0</v>
      </c>
      <c r="U86">
        <v>0</v>
      </c>
      <c r="V86">
        <v>0</v>
      </c>
      <c r="W86">
        <v>0</v>
      </c>
      <c r="X86">
        <v>0</v>
      </c>
      <c r="Y86">
        <v>0</v>
      </c>
      <c r="Z86" s="9">
        <f t="shared" si="2"/>
        <v>24</v>
      </c>
      <c r="AA86">
        <v>9</v>
      </c>
      <c r="AB86">
        <v>11</v>
      </c>
      <c r="AC86">
        <v>2</v>
      </c>
      <c r="AD86">
        <v>0</v>
      </c>
      <c r="AE86">
        <v>2</v>
      </c>
    </row>
    <row r="87" spans="1:32" x14ac:dyDescent="0.35">
      <c r="A87">
        <v>111</v>
      </c>
      <c r="B87" t="s">
        <v>803</v>
      </c>
      <c r="C87" t="s">
        <v>1072</v>
      </c>
      <c r="D87" t="s">
        <v>442</v>
      </c>
      <c r="E87" s="13">
        <f t="shared" si="3"/>
        <v>13</v>
      </c>
      <c r="F87">
        <v>1</v>
      </c>
      <c r="G87">
        <v>5</v>
      </c>
      <c r="H87">
        <v>2</v>
      </c>
      <c r="I87">
        <v>0</v>
      </c>
      <c r="J87">
        <v>0</v>
      </c>
      <c r="K87">
        <v>0</v>
      </c>
      <c r="L87">
        <v>4</v>
      </c>
      <c r="M87">
        <v>0</v>
      </c>
      <c r="N87">
        <v>0</v>
      </c>
      <c r="O87">
        <v>0</v>
      </c>
      <c r="P87">
        <v>0</v>
      </c>
      <c r="Q87">
        <v>0</v>
      </c>
      <c r="R87" s="9">
        <f t="shared" si="0"/>
        <v>0</v>
      </c>
      <c r="S87">
        <v>0</v>
      </c>
      <c r="T87">
        <v>0</v>
      </c>
      <c r="U87">
        <v>0</v>
      </c>
      <c r="V87">
        <v>0</v>
      </c>
      <c r="W87">
        <v>0</v>
      </c>
      <c r="X87">
        <v>1</v>
      </c>
      <c r="Y87">
        <v>0</v>
      </c>
      <c r="Z87" s="9">
        <f t="shared" si="2"/>
        <v>21</v>
      </c>
      <c r="AA87">
        <v>11</v>
      </c>
      <c r="AB87">
        <v>10</v>
      </c>
      <c r="AC87">
        <v>0</v>
      </c>
      <c r="AD87">
        <v>0</v>
      </c>
      <c r="AE87">
        <v>0</v>
      </c>
    </row>
    <row r="88" spans="1:32" x14ac:dyDescent="0.35">
      <c r="A88">
        <v>112</v>
      </c>
      <c r="B88" t="s">
        <v>803</v>
      </c>
      <c r="C88" t="s">
        <v>1072</v>
      </c>
      <c r="D88" t="s">
        <v>442</v>
      </c>
      <c r="E88" s="13">
        <f t="shared" si="3"/>
        <v>33</v>
      </c>
      <c r="F88">
        <v>0</v>
      </c>
      <c r="G88">
        <v>1</v>
      </c>
      <c r="H88">
        <v>6</v>
      </c>
      <c r="I88">
        <v>0</v>
      </c>
      <c r="J88">
        <v>0</v>
      </c>
      <c r="K88">
        <v>0</v>
      </c>
      <c r="L88">
        <v>7</v>
      </c>
      <c r="M88">
        <v>1</v>
      </c>
      <c r="N88">
        <v>0</v>
      </c>
      <c r="O88">
        <v>0</v>
      </c>
      <c r="P88">
        <v>1</v>
      </c>
      <c r="Q88">
        <v>1</v>
      </c>
      <c r="R88" s="9">
        <f t="shared" si="0"/>
        <v>5</v>
      </c>
      <c r="S88">
        <v>0</v>
      </c>
      <c r="T88">
        <v>1</v>
      </c>
      <c r="U88">
        <v>0</v>
      </c>
      <c r="V88">
        <v>4</v>
      </c>
      <c r="W88">
        <v>0</v>
      </c>
      <c r="X88">
        <v>10</v>
      </c>
      <c r="Y88">
        <v>1</v>
      </c>
      <c r="Z88" s="9">
        <f t="shared" si="2"/>
        <v>56</v>
      </c>
      <c r="AA88">
        <v>16</v>
      </c>
      <c r="AB88">
        <v>35</v>
      </c>
      <c r="AC88">
        <v>1</v>
      </c>
      <c r="AD88">
        <v>4</v>
      </c>
      <c r="AE88">
        <v>0</v>
      </c>
      <c r="AF88" t="s">
        <v>1207</v>
      </c>
    </row>
    <row r="89" spans="1:32" x14ac:dyDescent="0.35">
      <c r="A89">
        <v>113</v>
      </c>
      <c r="B89" t="s">
        <v>803</v>
      </c>
      <c r="C89" t="s">
        <v>1072</v>
      </c>
      <c r="D89" t="s">
        <v>442</v>
      </c>
      <c r="E89" s="13">
        <f t="shared" si="3"/>
        <v>20</v>
      </c>
      <c r="F89">
        <v>0</v>
      </c>
      <c r="G89">
        <v>2</v>
      </c>
      <c r="H89">
        <v>1</v>
      </c>
      <c r="I89">
        <v>0</v>
      </c>
      <c r="J89">
        <v>0</v>
      </c>
      <c r="K89">
        <v>0</v>
      </c>
      <c r="L89">
        <v>5</v>
      </c>
      <c r="M89">
        <v>0</v>
      </c>
      <c r="N89">
        <v>0</v>
      </c>
      <c r="O89">
        <v>1</v>
      </c>
      <c r="P89">
        <v>1</v>
      </c>
      <c r="Q89">
        <v>3</v>
      </c>
      <c r="R89" s="9">
        <f t="shared" si="0"/>
        <v>1</v>
      </c>
      <c r="S89">
        <v>0</v>
      </c>
      <c r="T89">
        <v>0</v>
      </c>
      <c r="U89">
        <v>0</v>
      </c>
      <c r="V89">
        <v>1</v>
      </c>
      <c r="W89">
        <v>0</v>
      </c>
      <c r="X89">
        <v>5</v>
      </c>
      <c r="Y89">
        <v>1</v>
      </c>
      <c r="Z89" s="9">
        <f t="shared" si="2"/>
        <v>17</v>
      </c>
      <c r="AA89">
        <v>6</v>
      </c>
      <c r="AB89">
        <v>9</v>
      </c>
      <c r="AC89">
        <v>0</v>
      </c>
      <c r="AD89">
        <v>1</v>
      </c>
      <c r="AE89">
        <v>1</v>
      </c>
    </row>
    <row r="90" spans="1:32" x14ac:dyDescent="0.35">
      <c r="A90">
        <v>114</v>
      </c>
      <c r="B90" t="s">
        <v>803</v>
      </c>
      <c r="C90" t="s">
        <v>1072</v>
      </c>
      <c r="D90" t="s">
        <v>442</v>
      </c>
      <c r="E90" s="13">
        <f t="shared" si="3"/>
        <v>4</v>
      </c>
      <c r="F90">
        <v>0</v>
      </c>
      <c r="G90">
        <v>1</v>
      </c>
      <c r="H90">
        <v>0</v>
      </c>
      <c r="I90">
        <v>0</v>
      </c>
      <c r="J90">
        <v>0</v>
      </c>
      <c r="K90">
        <v>0</v>
      </c>
      <c r="L90">
        <v>1</v>
      </c>
      <c r="M90">
        <v>0</v>
      </c>
      <c r="N90">
        <v>0</v>
      </c>
      <c r="O90">
        <v>0</v>
      </c>
      <c r="P90">
        <v>0</v>
      </c>
      <c r="Q90">
        <v>0</v>
      </c>
      <c r="R90" s="9">
        <f t="shared" si="0"/>
        <v>1</v>
      </c>
      <c r="S90">
        <v>0</v>
      </c>
      <c r="T90">
        <v>0</v>
      </c>
      <c r="U90">
        <v>0</v>
      </c>
      <c r="V90">
        <v>1</v>
      </c>
      <c r="W90">
        <v>0</v>
      </c>
      <c r="X90">
        <v>1</v>
      </c>
      <c r="Y90">
        <v>0</v>
      </c>
      <c r="Z90" s="9">
        <f t="shared" si="2"/>
        <v>14</v>
      </c>
      <c r="AA90">
        <v>5</v>
      </c>
      <c r="AB90">
        <v>5</v>
      </c>
      <c r="AC90">
        <v>2</v>
      </c>
      <c r="AD90">
        <v>1</v>
      </c>
      <c r="AE90">
        <v>1</v>
      </c>
    </row>
    <row r="91" spans="1:32" x14ac:dyDescent="0.35">
      <c r="A91">
        <v>115</v>
      </c>
      <c r="B91" t="s">
        <v>803</v>
      </c>
      <c r="C91" t="s">
        <v>1072</v>
      </c>
      <c r="D91" t="s">
        <v>442</v>
      </c>
      <c r="E91" s="13">
        <f t="shared" si="3"/>
        <v>3</v>
      </c>
      <c r="F91">
        <v>0</v>
      </c>
      <c r="G91">
        <v>0</v>
      </c>
      <c r="H91">
        <v>0</v>
      </c>
      <c r="I91">
        <v>0</v>
      </c>
      <c r="J91">
        <v>1</v>
      </c>
      <c r="K91">
        <v>0</v>
      </c>
      <c r="L91">
        <v>1</v>
      </c>
      <c r="M91">
        <v>0</v>
      </c>
      <c r="N91">
        <v>0</v>
      </c>
      <c r="O91">
        <v>0</v>
      </c>
      <c r="P91">
        <v>0</v>
      </c>
      <c r="Q91">
        <v>1</v>
      </c>
      <c r="R91" s="9">
        <f t="shared" si="0"/>
        <v>0</v>
      </c>
      <c r="S91">
        <v>0</v>
      </c>
      <c r="T91">
        <v>0</v>
      </c>
      <c r="U91">
        <v>0</v>
      </c>
      <c r="V91">
        <v>0</v>
      </c>
      <c r="W91">
        <v>0</v>
      </c>
      <c r="X91">
        <v>0</v>
      </c>
      <c r="Y91">
        <v>0</v>
      </c>
      <c r="Z91" s="9">
        <f t="shared" si="2"/>
        <v>8</v>
      </c>
      <c r="AA91">
        <v>3</v>
      </c>
      <c r="AB91">
        <v>3</v>
      </c>
      <c r="AC91">
        <v>1</v>
      </c>
      <c r="AD91">
        <v>0</v>
      </c>
      <c r="AE91">
        <v>1</v>
      </c>
    </row>
    <row r="92" spans="1:32" x14ac:dyDescent="0.35">
      <c r="A92" s="14">
        <v>101</v>
      </c>
      <c r="B92" s="14" t="s">
        <v>1072</v>
      </c>
      <c r="C92" s="14" t="s">
        <v>904</v>
      </c>
      <c r="D92" t="s">
        <v>442</v>
      </c>
      <c r="E92" s="13">
        <f t="shared" si="3"/>
        <v>9</v>
      </c>
      <c r="F92">
        <v>0</v>
      </c>
      <c r="G92">
        <v>0</v>
      </c>
      <c r="H92">
        <v>0</v>
      </c>
      <c r="I92">
        <v>0</v>
      </c>
      <c r="J92">
        <v>0</v>
      </c>
      <c r="K92">
        <v>0</v>
      </c>
      <c r="L92">
        <v>4</v>
      </c>
      <c r="M92">
        <v>0</v>
      </c>
      <c r="N92">
        <v>0</v>
      </c>
      <c r="O92">
        <v>0</v>
      </c>
      <c r="P92">
        <v>0</v>
      </c>
      <c r="Q92">
        <v>2</v>
      </c>
      <c r="R92" s="9">
        <f t="shared" si="0"/>
        <v>1</v>
      </c>
      <c r="S92">
        <v>0</v>
      </c>
      <c r="T92">
        <v>1</v>
      </c>
      <c r="U92">
        <v>0</v>
      </c>
      <c r="V92">
        <v>0</v>
      </c>
      <c r="W92">
        <v>0</v>
      </c>
      <c r="X92">
        <v>2</v>
      </c>
      <c r="Y92">
        <v>0</v>
      </c>
      <c r="Z92" s="9">
        <f t="shared" si="2"/>
        <v>16</v>
      </c>
      <c r="AA92">
        <v>6</v>
      </c>
      <c r="AB92">
        <v>7</v>
      </c>
      <c r="AC92">
        <v>0</v>
      </c>
      <c r="AD92">
        <v>2</v>
      </c>
      <c r="AE92">
        <v>1</v>
      </c>
    </row>
    <row r="93" spans="1:32" x14ac:dyDescent="0.35">
      <c r="A93" s="14">
        <v>102</v>
      </c>
      <c r="B93" s="14" t="s">
        <v>1072</v>
      </c>
      <c r="C93" s="14" t="s">
        <v>904</v>
      </c>
      <c r="D93" t="s">
        <v>442</v>
      </c>
      <c r="E93" s="13">
        <f t="shared" si="3"/>
        <v>14</v>
      </c>
      <c r="F93">
        <v>0</v>
      </c>
      <c r="G93">
        <v>0</v>
      </c>
      <c r="H93">
        <v>0</v>
      </c>
      <c r="I93">
        <v>0</v>
      </c>
      <c r="J93">
        <v>0</v>
      </c>
      <c r="K93">
        <v>0</v>
      </c>
      <c r="L93">
        <v>4</v>
      </c>
      <c r="M93">
        <v>0</v>
      </c>
      <c r="N93">
        <v>0</v>
      </c>
      <c r="O93">
        <v>1</v>
      </c>
      <c r="P93">
        <v>1</v>
      </c>
      <c r="Q93">
        <v>1</v>
      </c>
      <c r="R93" s="9">
        <f t="shared" si="0"/>
        <v>0</v>
      </c>
      <c r="S93">
        <v>0</v>
      </c>
      <c r="T93">
        <v>0</v>
      </c>
      <c r="U93">
        <v>0</v>
      </c>
      <c r="V93">
        <v>0</v>
      </c>
      <c r="W93">
        <v>0</v>
      </c>
      <c r="X93">
        <v>5</v>
      </c>
      <c r="Y93">
        <v>2</v>
      </c>
      <c r="Z93" s="9">
        <f t="shared" si="2"/>
        <v>42</v>
      </c>
      <c r="AA93">
        <v>5</v>
      </c>
      <c r="AB93">
        <v>34</v>
      </c>
      <c r="AC93">
        <v>0</v>
      </c>
      <c r="AD93">
        <v>0</v>
      </c>
      <c r="AE93">
        <v>3</v>
      </c>
    </row>
    <row r="94" spans="1:32" x14ac:dyDescent="0.35">
      <c r="A94" s="14">
        <v>103</v>
      </c>
      <c r="B94" s="14" t="s">
        <v>1072</v>
      </c>
      <c r="C94" s="14" t="s">
        <v>904</v>
      </c>
      <c r="D94" t="s">
        <v>442</v>
      </c>
      <c r="E94" s="13">
        <f t="shared" si="3"/>
        <v>10</v>
      </c>
      <c r="F94">
        <v>0</v>
      </c>
      <c r="G94">
        <v>0</v>
      </c>
      <c r="H94">
        <v>0</v>
      </c>
      <c r="I94">
        <v>0</v>
      </c>
      <c r="J94">
        <v>1</v>
      </c>
      <c r="K94">
        <v>1</v>
      </c>
      <c r="L94">
        <v>2</v>
      </c>
      <c r="M94">
        <v>1</v>
      </c>
      <c r="N94">
        <v>0</v>
      </c>
      <c r="O94">
        <v>0</v>
      </c>
      <c r="P94">
        <v>2</v>
      </c>
      <c r="Q94">
        <v>0</v>
      </c>
      <c r="R94" s="9">
        <f t="shared" si="0"/>
        <v>1</v>
      </c>
      <c r="S94">
        <v>0</v>
      </c>
      <c r="T94">
        <v>0</v>
      </c>
      <c r="U94">
        <v>0</v>
      </c>
      <c r="V94">
        <v>1</v>
      </c>
      <c r="W94">
        <v>0</v>
      </c>
      <c r="X94">
        <v>1</v>
      </c>
      <c r="Y94">
        <v>1</v>
      </c>
      <c r="Z94" s="9">
        <f t="shared" si="2"/>
        <v>12</v>
      </c>
      <c r="AA94">
        <v>7</v>
      </c>
      <c r="AB94">
        <v>4</v>
      </c>
      <c r="AC94">
        <v>0</v>
      </c>
      <c r="AD94">
        <v>0</v>
      </c>
      <c r="AE94">
        <v>1</v>
      </c>
    </row>
    <row r="95" spans="1:32" x14ac:dyDescent="0.35">
      <c r="A95" s="14">
        <v>104</v>
      </c>
      <c r="B95" s="14" t="s">
        <v>1072</v>
      </c>
      <c r="C95" s="14" t="s">
        <v>904</v>
      </c>
      <c r="D95" t="s">
        <v>442</v>
      </c>
      <c r="E95" s="13">
        <f t="shared" si="3"/>
        <v>21</v>
      </c>
      <c r="F95">
        <v>1</v>
      </c>
      <c r="G95">
        <v>0</v>
      </c>
      <c r="H95">
        <v>1</v>
      </c>
      <c r="I95">
        <v>0</v>
      </c>
      <c r="J95">
        <v>0</v>
      </c>
      <c r="K95">
        <v>0</v>
      </c>
      <c r="L95">
        <v>3</v>
      </c>
      <c r="M95">
        <v>1</v>
      </c>
      <c r="N95">
        <v>0</v>
      </c>
      <c r="O95">
        <v>0</v>
      </c>
      <c r="P95">
        <v>4</v>
      </c>
      <c r="Q95">
        <v>3</v>
      </c>
      <c r="R95" s="9">
        <f t="shared" si="0"/>
        <v>2</v>
      </c>
      <c r="S95">
        <v>1</v>
      </c>
      <c r="T95">
        <v>1</v>
      </c>
      <c r="U95">
        <v>0</v>
      </c>
      <c r="V95">
        <v>0</v>
      </c>
      <c r="W95">
        <v>0</v>
      </c>
      <c r="X95">
        <v>6</v>
      </c>
      <c r="Y95">
        <v>0</v>
      </c>
      <c r="Z95" s="9">
        <f t="shared" si="2"/>
        <v>26</v>
      </c>
      <c r="AA95">
        <v>8</v>
      </c>
      <c r="AB95">
        <v>16</v>
      </c>
      <c r="AC95">
        <v>1</v>
      </c>
      <c r="AD95">
        <v>1</v>
      </c>
      <c r="AE95">
        <v>0</v>
      </c>
    </row>
    <row r="96" spans="1:32" x14ac:dyDescent="0.35">
      <c r="A96" s="14">
        <v>105</v>
      </c>
      <c r="B96" s="14" t="s">
        <v>1072</v>
      </c>
      <c r="C96" s="14" t="s">
        <v>904</v>
      </c>
      <c r="D96" t="s">
        <v>442</v>
      </c>
      <c r="E96" s="13">
        <f t="shared" si="3"/>
        <v>20</v>
      </c>
      <c r="F96">
        <v>0</v>
      </c>
      <c r="G96">
        <v>4</v>
      </c>
      <c r="H96">
        <v>0</v>
      </c>
      <c r="I96">
        <v>0</v>
      </c>
      <c r="J96">
        <v>2</v>
      </c>
      <c r="K96">
        <v>4</v>
      </c>
      <c r="L96">
        <v>2</v>
      </c>
      <c r="M96">
        <v>0</v>
      </c>
      <c r="N96">
        <v>0</v>
      </c>
      <c r="O96">
        <v>0</v>
      </c>
      <c r="P96">
        <v>2</v>
      </c>
      <c r="Q96">
        <v>0</v>
      </c>
      <c r="R96" s="9">
        <f t="shared" si="0"/>
        <v>2</v>
      </c>
      <c r="S96">
        <v>1</v>
      </c>
      <c r="T96">
        <v>1</v>
      </c>
      <c r="U96">
        <v>0</v>
      </c>
      <c r="V96">
        <v>0</v>
      </c>
      <c r="W96">
        <v>0</v>
      </c>
      <c r="X96">
        <v>3</v>
      </c>
      <c r="Y96">
        <v>1</v>
      </c>
      <c r="Z96" s="9">
        <f t="shared" si="2"/>
        <v>67</v>
      </c>
      <c r="AA96">
        <v>10</v>
      </c>
      <c r="AB96">
        <v>48</v>
      </c>
      <c r="AC96">
        <v>2</v>
      </c>
      <c r="AD96">
        <v>4</v>
      </c>
      <c r="AE96">
        <v>3</v>
      </c>
    </row>
    <row r="97" spans="1:32" x14ac:dyDescent="0.35">
      <c r="A97" s="14">
        <v>106</v>
      </c>
      <c r="B97" s="14" t="s">
        <v>1072</v>
      </c>
      <c r="C97" s="14" t="s">
        <v>904</v>
      </c>
      <c r="D97" t="s">
        <v>442</v>
      </c>
      <c r="E97" s="13">
        <f t="shared" si="3"/>
        <v>10</v>
      </c>
      <c r="F97">
        <v>1</v>
      </c>
      <c r="G97">
        <v>1</v>
      </c>
      <c r="H97">
        <v>0</v>
      </c>
      <c r="I97">
        <v>0</v>
      </c>
      <c r="J97">
        <v>0</v>
      </c>
      <c r="K97">
        <v>0</v>
      </c>
      <c r="L97">
        <v>2</v>
      </c>
      <c r="M97">
        <v>0</v>
      </c>
      <c r="N97">
        <v>0</v>
      </c>
      <c r="O97">
        <v>0</v>
      </c>
      <c r="P97">
        <v>0</v>
      </c>
      <c r="Q97">
        <v>1</v>
      </c>
      <c r="R97" s="9">
        <f t="shared" si="0"/>
        <v>2</v>
      </c>
      <c r="S97">
        <v>0</v>
      </c>
      <c r="T97">
        <v>1</v>
      </c>
      <c r="U97">
        <v>0</v>
      </c>
      <c r="V97">
        <v>1</v>
      </c>
      <c r="W97">
        <v>0</v>
      </c>
      <c r="X97">
        <v>1</v>
      </c>
      <c r="Y97">
        <v>2</v>
      </c>
      <c r="Z97" s="9">
        <f t="shared" si="2"/>
        <v>46</v>
      </c>
      <c r="AA97">
        <v>17</v>
      </c>
      <c r="AB97">
        <v>22</v>
      </c>
      <c r="AC97">
        <v>2</v>
      </c>
      <c r="AD97">
        <v>4</v>
      </c>
      <c r="AE97">
        <v>1</v>
      </c>
      <c r="AF97" t="s">
        <v>1208</v>
      </c>
    </row>
    <row r="98" spans="1:32" x14ac:dyDescent="0.35">
      <c r="A98" s="14">
        <v>107</v>
      </c>
      <c r="B98" s="14" t="s">
        <v>1072</v>
      </c>
      <c r="C98" s="14" t="s">
        <v>904</v>
      </c>
      <c r="D98" t="s">
        <v>442</v>
      </c>
      <c r="E98" s="13">
        <f t="shared" si="3"/>
        <v>12</v>
      </c>
      <c r="F98">
        <v>1</v>
      </c>
      <c r="G98">
        <v>0</v>
      </c>
      <c r="H98">
        <v>0</v>
      </c>
      <c r="I98">
        <v>0</v>
      </c>
      <c r="J98">
        <v>0</v>
      </c>
      <c r="K98">
        <v>0</v>
      </c>
      <c r="L98">
        <v>4</v>
      </c>
      <c r="M98">
        <v>0</v>
      </c>
      <c r="N98">
        <v>0</v>
      </c>
      <c r="O98">
        <v>1</v>
      </c>
      <c r="P98">
        <v>1</v>
      </c>
      <c r="Q98">
        <v>0</v>
      </c>
      <c r="R98" s="9">
        <f t="shared" si="0"/>
        <v>2</v>
      </c>
      <c r="S98">
        <v>1</v>
      </c>
      <c r="T98">
        <v>1</v>
      </c>
      <c r="U98">
        <v>0</v>
      </c>
      <c r="V98">
        <v>0</v>
      </c>
      <c r="W98">
        <v>0</v>
      </c>
      <c r="X98">
        <v>2</v>
      </c>
      <c r="Y98">
        <v>1</v>
      </c>
      <c r="Z98" s="9">
        <f t="shared" si="2"/>
        <v>23</v>
      </c>
      <c r="AA98">
        <v>4</v>
      </c>
      <c r="AB98">
        <v>16</v>
      </c>
      <c r="AC98">
        <v>0</v>
      </c>
      <c r="AD98">
        <v>1</v>
      </c>
      <c r="AE98">
        <v>2</v>
      </c>
    </row>
    <row r="99" spans="1:32" x14ac:dyDescent="0.35">
      <c r="A99" s="14">
        <v>108</v>
      </c>
      <c r="B99" s="14" t="s">
        <v>1072</v>
      </c>
      <c r="C99" s="14" t="s">
        <v>904</v>
      </c>
      <c r="D99" t="s">
        <v>442</v>
      </c>
      <c r="E99" s="13">
        <f t="shared" si="3"/>
        <v>13</v>
      </c>
      <c r="F99">
        <v>0</v>
      </c>
      <c r="G99">
        <v>1</v>
      </c>
      <c r="H99">
        <v>0</v>
      </c>
      <c r="I99">
        <v>0</v>
      </c>
      <c r="J99">
        <v>0</v>
      </c>
      <c r="K99">
        <v>0</v>
      </c>
      <c r="L99">
        <v>3</v>
      </c>
      <c r="M99">
        <v>1</v>
      </c>
      <c r="N99">
        <v>0</v>
      </c>
      <c r="O99">
        <v>0</v>
      </c>
      <c r="P99">
        <v>1</v>
      </c>
      <c r="Q99">
        <v>0</v>
      </c>
      <c r="R99" s="9">
        <f t="shared" si="0"/>
        <v>4</v>
      </c>
      <c r="S99">
        <v>1</v>
      </c>
      <c r="T99">
        <v>1</v>
      </c>
      <c r="U99">
        <v>0</v>
      </c>
      <c r="V99">
        <v>2</v>
      </c>
      <c r="W99">
        <v>0</v>
      </c>
      <c r="X99">
        <v>3</v>
      </c>
      <c r="Y99">
        <v>0</v>
      </c>
      <c r="Z99" s="9">
        <f t="shared" si="2"/>
        <v>32</v>
      </c>
      <c r="AA99">
        <v>6</v>
      </c>
      <c r="AB99">
        <v>21</v>
      </c>
      <c r="AC99">
        <v>1</v>
      </c>
      <c r="AD99">
        <v>3</v>
      </c>
      <c r="AE99">
        <v>1</v>
      </c>
      <c r="AF99" t="s">
        <v>1209</v>
      </c>
    </row>
    <row r="100" spans="1:32" x14ac:dyDescent="0.35">
      <c r="A100" s="14">
        <v>109</v>
      </c>
      <c r="B100" s="14" t="s">
        <v>1072</v>
      </c>
      <c r="C100" s="14" t="s">
        <v>904</v>
      </c>
      <c r="D100" t="s">
        <v>442</v>
      </c>
      <c r="E100" s="13">
        <f t="shared" si="3"/>
        <v>12</v>
      </c>
      <c r="F100">
        <v>0</v>
      </c>
      <c r="G100">
        <v>1</v>
      </c>
      <c r="H100">
        <v>2</v>
      </c>
      <c r="I100">
        <v>0</v>
      </c>
      <c r="J100">
        <v>1</v>
      </c>
      <c r="K100">
        <v>0</v>
      </c>
      <c r="L100">
        <v>2</v>
      </c>
      <c r="M100">
        <v>1</v>
      </c>
      <c r="N100">
        <v>0</v>
      </c>
      <c r="O100">
        <v>0</v>
      </c>
      <c r="P100">
        <v>2</v>
      </c>
      <c r="Q100">
        <v>0</v>
      </c>
      <c r="R100" s="9">
        <f t="shared" si="0"/>
        <v>1</v>
      </c>
      <c r="S100">
        <v>0</v>
      </c>
      <c r="T100">
        <v>0</v>
      </c>
      <c r="U100">
        <v>0</v>
      </c>
      <c r="V100">
        <v>1</v>
      </c>
      <c r="W100">
        <v>1</v>
      </c>
      <c r="X100">
        <v>2</v>
      </c>
      <c r="Y100">
        <v>0</v>
      </c>
      <c r="Z100" s="9">
        <f t="shared" si="2"/>
        <v>14</v>
      </c>
      <c r="AA100">
        <v>3</v>
      </c>
      <c r="AB100">
        <v>9</v>
      </c>
      <c r="AC100">
        <v>1</v>
      </c>
      <c r="AD100">
        <v>0</v>
      </c>
      <c r="AE100">
        <v>1</v>
      </c>
      <c r="AF100" t="s">
        <v>1210</v>
      </c>
    </row>
    <row r="101" spans="1:32" x14ac:dyDescent="0.35">
      <c r="A101" s="14">
        <v>110</v>
      </c>
      <c r="B101" s="14" t="s">
        <v>1072</v>
      </c>
      <c r="C101" s="14" t="s">
        <v>904</v>
      </c>
      <c r="D101" t="s">
        <v>442</v>
      </c>
      <c r="E101" s="13">
        <f t="shared" si="3"/>
        <v>4</v>
      </c>
      <c r="F101">
        <v>1</v>
      </c>
      <c r="G101">
        <v>1</v>
      </c>
      <c r="H101">
        <v>0</v>
      </c>
      <c r="I101">
        <v>0</v>
      </c>
      <c r="J101">
        <v>0</v>
      </c>
      <c r="K101">
        <v>0</v>
      </c>
      <c r="L101">
        <v>0</v>
      </c>
      <c r="M101">
        <v>1</v>
      </c>
      <c r="N101">
        <v>0</v>
      </c>
      <c r="O101">
        <v>0</v>
      </c>
      <c r="P101">
        <v>0</v>
      </c>
      <c r="Q101">
        <v>0</v>
      </c>
      <c r="R101" s="9">
        <f t="shared" si="0"/>
        <v>0</v>
      </c>
      <c r="S101">
        <v>0</v>
      </c>
      <c r="T101">
        <v>0</v>
      </c>
      <c r="U101">
        <v>0</v>
      </c>
      <c r="V101">
        <v>0</v>
      </c>
      <c r="W101">
        <v>0</v>
      </c>
      <c r="X101">
        <v>0</v>
      </c>
      <c r="Y101">
        <v>1</v>
      </c>
      <c r="Z101" s="9">
        <f t="shared" si="2"/>
        <v>37</v>
      </c>
      <c r="AA101">
        <v>22</v>
      </c>
      <c r="AB101">
        <v>10</v>
      </c>
      <c r="AC101">
        <v>0</v>
      </c>
      <c r="AD101">
        <v>0</v>
      </c>
      <c r="AE101">
        <v>5</v>
      </c>
      <c r="AF101" t="s">
        <v>1211</v>
      </c>
    </row>
    <row r="102" spans="1:32" x14ac:dyDescent="0.35">
      <c r="A102" s="14">
        <v>111</v>
      </c>
      <c r="B102" s="14" t="s">
        <v>1072</v>
      </c>
      <c r="C102" s="14" t="s">
        <v>904</v>
      </c>
      <c r="D102" t="s">
        <v>442</v>
      </c>
      <c r="E102" s="13">
        <f t="shared" si="3"/>
        <v>12</v>
      </c>
      <c r="F102">
        <v>0</v>
      </c>
      <c r="G102">
        <v>1</v>
      </c>
      <c r="H102">
        <v>1</v>
      </c>
      <c r="I102">
        <v>0</v>
      </c>
      <c r="J102">
        <v>0</v>
      </c>
      <c r="K102">
        <v>0</v>
      </c>
      <c r="L102">
        <v>3</v>
      </c>
      <c r="M102">
        <v>1</v>
      </c>
      <c r="N102">
        <v>0</v>
      </c>
      <c r="O102">
        <v>0</v>
      </c>
      <c r="P102">
        <v>1</v>
      </c>
      <c r="Q102">
        <v>0</v>
      </c>
      <c r="R102" s="9">
        <f t="shared" si="0"/>
        <v>1</v>
      </c>
      <c r="S102">
        <v>0</v>
      </c>
      <c r="T102">
        <v>1</v>
      </c>
      <c r="U102">
        <v>0</v>
      </c>
      <c r="V102">
        <v>0</v>
      </c>
      <c r="W102">
        <v>0</v>
      </c>
      <c r="X102">
        <v>4</v>
      </c>
      <c r="Y102">
        <v>0</v>
      </c>
      <c r="Z102" s="9">
        <f t="shared" si="2"/>
        <v>29</v>
      </c>
      <c r="AA102">
        <v>15</v>
      </c>
      <c r="AB102">
        <v>9</v>
      </c>
      <c r="AC102">
        <v>1</v>
      </c>
      <c r="AD102">
        <v>3</v>
      </c>
      <c r="AE102">
        <v>1</v>
      </c>
    </row>
    <row r="103" spans="1:32" x14ac:dyDescent="0.35">
      <c r="A103" s="14">
        <v>112</v>
      </c>
      <c r="B103" s="14" t="s">
        <v>1072</v>
      </c>
      <c r="C103" s="14" t="s">
        <v>904</v>
      </c>
      <c r="D103" t="s">
        <v>442</v>
      </c>
      <c r="E103" s="13">
        <f t="shared" si="3"/>
        <v>18</v>
      </c>
      <c r="F103">
        <v>1</v>
      </c>
      <c r="G103">
        <v>1</v>
      </c>
      <c r="H103">
        <v>1</v>
      </c>
      <c r="I103">
        <v>0</v>
      </c>
      <c r="J103">
        <v>2</v>
      </c>
      <c r="K103">
        <v>0</v>
      </c>
      <c r="L103">
        <v>2</v>
      </c>
      <c r="M103">
        <v>0</v>
      </c>
      <c r="N103">
        <v>0</v>
      </c>
      <c r="O103">
        <v>1</v>
      </c>
      <c r="P103">
        <v>1</v>
      </c>
      <c r="Q103">
        <v>0</v>
      </c>
      <c r="R103" s="9">
        <f t="shared" si="0"/>
        <v>2</v>
      </c>
      <c r="S103">
        <v>1</v>
      </c>
      <c r="T103">
        <v>1</v>
      </c>
      <c r="U103">
        <v>1</v>
      </c>
      <c r="V103">
        <v>0</v>
      </c>
      <c r="W103">
        <v>0</v>
      </c>
      <c r="X103">
        <v>7</v>
      </c>
      <c r="Y103">
        <v>0</v>
      </c>
      <c r="Z103" s="9">
        <f t="shared" si="2"/>
        <v>67</v>
      </c>
      <c r="AA103">
        <v>29</v>
      </c>
      <c r="AB103">
        <v>30</v>
      </c>
      <c r="AC103">
        <v>1</v>
      </c>
      <c r="AD103">
        <v>4</v>
      </c>
      <c r="AE103">
        <v>3</v>
      </c>
      <c r="AF103" t="s">
        <v>1212</v>
      </c>
    </row>
    <row r="104" spans="1:32" x14ac:dyDescent="0.35">
      <c r="A104" s="14">
        <v>113</v>
      </c>
      <c r="B104" s="14" t="s">
        <v>1072</v>
      </c>
      <c r="C104" s="14" t="s">
        <v>904</v>
      </c>
      <c r="D104" t="s">
        <v>442</v>
      </c>
      <c r="E104" s="13">
        <f t="shared" si="3"/>
        <v>16</v>
      </c>
      <c r="F104">
        <v>0</v>
      </c>
      <c r="G104">
        <v>0</v>
      </c>
      <c r="H104">
        <v>1</v>
      </c>
      <c r="I104">
        <v>0</v>
      </c>
      <c r="J104">
        <v>0</v>
      </c>
      <c r="K104">
        <v>1</v>
      </c>
      <c r="L104">
        <v>0</v>
      </c>
      <c r="M104">
        <v>2</v>
      </c>
      <c r="N104">
        <v>0</v>
      </c>
      <c r="O104">
        <v>0</v>
      </c>
      <c r="P104">
        <v>1</v>
      </c>
      <c r="Q104">
        <v>1</v>
      </c>
      <c r="R104" s="9">
        <f t="shared" si="0"/>
        <v>3</v>
      </c>
      <c r="S104">
        <v>0</v>
      </c>
      <c r="T104">
        <v>0</v>
      </c>
      <c r="U104">
        <v>0</v>
      </c>
      <c r="V104">
        <v>3</v>
      </c>
      <c r="W104">
        <v>0</v>
      </c>
      <c r="X104">
        <v>7</v>
      </c>
      <c r="Y104">
        <v>0</v>
      </c>
      <c r="Z104" s="9">
        <f t="shared" si="2"/>
        <v>40</v>
      </c>
      <c r="AA104">
        <v>25</v>
      </c>
      <c r="AB104">
        <v>9</v>
      </c>
      <c r="AC104">
        <v>1</v>
      </c>
      <c r="AD104">
        <v>0</v>
      </c>
      <c r="AE104">
        <v>5</v>
      </c>
    </row>
    <row r="105" spans="1:32" x14ac:dyDescent="0.35">
      <c r="A105" s="14">
        <v>114</v>
      </c>
      <c r="B105" s="14" t="s">
        <v>1072</v>
      </c>
      <c r="C105" s="14" t="s">
        <v>904</v>
      </c>
      <c r="D105" t="s">
        <v>442</v>
      </c>
      <c r="E105" s="13">
        <f t="shared" si="3"/>
        <v>7</v>
      </c>
      <c r="F105">
        <v>0</v>
      </c>
      <c r="G105">
        <v>1</v>
      </c>
      <c r="H105">
        <v>0</v>
      </c>
      <c r="I105">
        <v>0</v>
      </c>
      <c r="J105">
        <v>1</v>
      </c>
      <c r="K105">
        <v>0</v>
      </c>
      <c r="L105">
        <v>2</v>
      </c>
      <c r="M105">
        <v>0</v>
      </c>
      <c r="N105">
        <v>0</v>
      </c>
      <c r="O105">
        <v>0</v>
      </c>
      <c r="P105">
        <v>0</v>
      </c>
      <c r="Q105">
        <v>0</v>
      </c>
      <c r="R105" s="9">
        <f t="shared" si="0"/>
        <v>1</v>
      </c>
      <c r="S105">
        <v>0</v>
      </c>
      <c r="T105">
        <v>0</v>
      </c>
      <c r="U105">
        <v>0</v>
      </c>
      <c r="V105">
        <v>1</v>
      </c>
      <c r="W105">
        <v>0</v>
      </c>
      <c r="X105">
        <v>2</v>
      </c>
      <c r="Y105">
        <v>0</v>
      </c>
      <c r="Z105" s="9">
        <f t="shared" si="2"/>
        <v>26</v>
      </c>
      <c r="AA105">
        <v>10</v>
      </c>
      <c r="AB105">
        <v>16</v>
      </c>
      <c r="AC105">
        <v>0</v>
      </c>
      <c r="AD105">
        <v>0</v>
      </c>
      <c r="AE105">
        <v>0</v>
      </c>
    </row>
    <row r="106" spans="1:32" x14ac:dyDescent="0.35">
      <c r="A106" s="14">
        <v>115</v>
      </c>
      <c r="B106" s="14" t="s">
        <v>1072</v>
      </c>
      <c r="C106" s="14" t="s">
        <v>904</v>
      </c>
      <c r="D106" t="s">
        <v>442</v>
      </c>
      <c r="E106" s="13">
        <f t="shared" si="3"/>
        <v>4</v>
      </c>
      <c r="F106">
        <v>0</v>
      </c>
      <c r="G106">
        <v>0</v>
      </c>
      <c r="H106">
        <v>0</v>
      </c>
      <c r="I106">
        <v>0</v>
      </c>
      <c r="J106">
        <v>0</v>
      </c>
      <c r="K106">
        <v>0</v>
      </c>
      <c r="L106">
        <v>0</v>
      </c>
      <c r="M106">
        <v>2</v>
      </c>
      <c r="N106">
        <v>0</v>
      </c>
      <c r="O106">
        <v>0</v>
      </c>
      <c r="P106">
        <v>0</v>
      </c>
      <c r="Q106">
        <v>0</v>
      </c>
      <c r="R106" s="9">
        <f t="shared" si="0"/>
        <v>1</v>
      </c>
      <c r="S106">
        <v>0</v>
      </c>
      <c r="T106">
        <v>1</v>
      </c>
      <c r="U106">
        <v>0</v>
      </c>
      <c r="V106">
        <v>0</v>
      </c>
      <c r="W106">
        <v>0</v>
      </c>
      <c r="X106">
        <v>0</v>
      </c>
      <c r="Y106">
        <v>1</v>
      </c>
      <c r="Z106" s="9">
        <f t="shared" si="2"/>
        <v>38</v>
      </c>
      <c r="AA106">
        <v>15</v>
      </c>
      <c r="AB106">
        <v>20</v>
      </c>
      <c r="AC106">
        <v>0</v>
      </c>
      <c r="AD106">
        <v>0</v>
      </c>
      <c r="AE106">
        <v>3</v>
      </c>
      <c r="AF106" t="s">
        <v>1213</v>
      </c>
    </row>
    <row r="107" spans="1:32" x14ac:dyDescent="0.35">
      <c r="A107">
        <v>101</v>
      </c>
      <c r="B107" t="s">
        <v>904</v>
      </c>
      <c r="C107" t="s">
        <v>908</v>
      </c>
      <c r="D107" t="s">
        <v>442</v>
      </c>
      <c r="E107" s="13">
        <f t="shared" si="3"/>
        <v>2</v>
      </c>
      <c r="F107">
        <v>0</v>
      </c>
      <c r="G107">
        <v>0</v>
      </c>
      <c r="H107">
        <v>0</v>
      </c>
      <c r="I107">
        <v>0</v>
      </c>
      <c r="J107">
        <v>0</v>
      </c>
      <c r="K107">
        <v>0</v>
      </c>
      <c r="L107">
        <v>0</v>
      </c>
      <c r="M107">
        <v>0</v>
      </c>
      <c r="N107">
        <v>0</v>
      </c>
      <c r="O107">
        <v>0</v>
      </c>
      <c r="P107">
        <v>0</v>
      </c>
      <c r="Q107">
        <v>1</v>
      </c>
      <c r="R107" s="9">
        <f t="shared" si="0"/>
        <v>1</v>
      </c>
      <c r="S107">
        <v>0</v>
      </c>
      <c r="T107">
        <v>0</v>
      </c>
      <c r="U107">
        <v>0</v>
      </c>
      <c r="V107">
        <v>1</v>
      </c>
      <c r="W107">
        <v>0</v>
      </c>
      <c r="X107">
        <v>0</v>
      </c>
      <c r="Y107">
        <v>0</v>
      </c>
      <c r="Z107" s="9">
        <f t="shared" si="2"/>
        <v>7</v>
      </c>
      <c r="AA107">
        <v>4</v>
      </c>
      <c r="AB107">
        <v>3</v>
      </c>
      <c r="AC107">
        <v>0</v>
      </c>
      <c r="AD107">
        <v>0</v>
      </c>
      <c r="AE107">
        <v>0</v>
      </c>
    </row>
    <row r="108" spans="1:32" x14ac:dyDescent="0.35">
      <c r="A108">
        <v>102</v>
      </c>
      <c r="B108" t="s">
        <v>904</v>
      </c>
      <c r="C108" t="s">
        <v>908</v>
      </c>
      <c r="D108" t="s">
        <v>442</v>
      </c>
      <c r="E108" s="13">
        <f t="shared" si="3"/>
        <v>10</v>
      </c>
      <c r="F108">
        <v>0</v>
      </c>
      <c r="G108">
        <v>0</v>
      </c>
      <c r="H108">
        <v>1</v>
      </c>
      <c r="I108">
        <v>0</v>
      </c>
      <c r="J108">
        <v>0</v>
      </c>
      <c r="K108">
        <v>0</v>
      </c>
      <c r="L108">
        <v>2</v>
      </c>
      <c r="M108">
        <v>0</v>
      </c>
      <c r="N108">
        <v>0</v>
      </c>
      <c r="O108">
        <v>0</v>
      </c>
      <c r="P108">
        <v>1</v>
      </c>
      <c r="Q108">
        <v>2</v>
      </c>
      <c r="R108" s="9">
        <f t="shared" si="0"/>
        <v>0</v>
      </c>
      <c r="S108">
        <v>0</v>
      </c>
      <c r="T108">
        <v>0</v>
      </c>
      <c r="U108">
        <v>0</v>
      </c>
      <c r="V108">
        <v>0</v>
      </c>
      <c r="W108">
        <v>0</v>
      </c>
      <c r="X108">
        <v>4</v>
      </c>
      <c r="Y108">
        <v>0</v>
      </c>
      <c r="Z108" s="9">
        <f t="shared" si="2"/>
        <v>0</v>
      </c>
      <c r="AA108">
        <v>0</v>
      </c>
      <c r="AB108">
        <v>0</v>
      </c>
      <c r="AC108">
        <v>0</v>
      </c>
      <c r="AD108">
        <v>0</v>
      </c>
      <c r="AE108">
        <v>0</v>
      </c>
    </row>
    <row r="109" spans="1:32" x14ac:dyDescent="0.35">
      <c r="A109">
        <v>103</v>
      </c>
      <c r="B109" t="s">
        <v>904</v>
      </c>
      <c r="C109" t="s">
        <v>908</v>
      </c>
      <c r="D109" t="s">
        <v>442</v>
      </c>
      <c r="E109" s="13">
        <f t="shared" si="3"/>
        <v>1</v>
      </c>
      <c r="F109">
        <v>1</v>
      </c>
      <c r="G109">
        <v>0</v>
      </c>
      <c r="H109">
        <v>0</v>
      </c>
      <c r="I109">
        <v>0</v>
      </c>
      <c r="J109">
        <v>0</v>
      </c>
      <c r="K109">
        <v>0</v>
      </c>
      <c r="L109">
        <v>0</v>
      </c>
      <c r="M109">
        <v>0</v>
      </c>
      <c r="N109">
        <v>0</v>
      </c>
      <c r="O109">
        <v>0</v>
      </c>
      <c r="P109">
        <v>0</v>
      </c>
      <c r="Q109">
        <v>0</v>
      </c>
      <c r="R109" s="9">
        <f t="shared" si="0"/>
        <v>0</v>
      </c>
      <c r="S109">
        <v>0</v>
      </c>
      <c r="T109">
        <v>0</v>
      </c>
      <c r="U109">
        <v>0</v>
      </c>
      <c r="V109">
        <v>0</v>
      </c>
      <c r="W109">
        <v>0</v>
      </c>
      <c r="X109">
        <v>0</v>
      </c>
      <c r="Y109">
        <v>0</v>
      </c>
      <c r="Z109" s="9">
        <f t="shared" si="2"/>
        <v>10</v>
      </c>
      <c r="AA109">
        <v>4</v>
      </c>
      <c r="AB109">
        <v>4</v>
      </c>
      <c r="AC109">
        <v>0</v>
      </c>
      <c r="AD109">
        <v>1</v>
      </c>
      <c r="AE109">
        <v>1</v>
      </c>
    </row>
    <row r="110" spans="1:32" x14ac:dyDescent="0.35">
      <c r="A110">
        <v>104</v>
      </c>
      <c r="B110" t="s">
        <v>904</v>
      </c>
      <c r="C110" t="s">
        <v>908</v>
      </c>
      <c r="D110" t="s">
        <v>442</v>
      </c>
      <c r="E110" s="13">
        <f t="shared" si="3"/>
        <v>11</v>
      </c>
      <c r="F110">
        <v>1</v>
      </c>
      <c r="G110">
        <v>0</v>
      </c>
      <c r="H110">
        <v>1</v>
      </c>
      <c r="I110">
        <v>0</v>
      </c>
      <c r="J110">
        <v>1</v>
      </c>
      <c r="K110">
        <v>0</v>
      </c>
      <c r="L110">
        <v>2</v>
      </c>
      <c r="M110">
        <v>0</v>
      </c>
      <c r="N110">
        <v>0</v>
      </c>
      <c r="O110">
        <v>0</v>
      </c>
      <c r="P110">
        <v>2</v>
      </c>
      <c r="Q110">
        <v>0</v>
      </c>
      <c r="R110" s="9">
        <f t="shared" si="0"/>
        <v>1</v>
      </c>
      <c r="S110">
        <v>0</v>
      </c>
      <c r="T110">
        <v>1</v>
      </c>
      <c r="U110">
        <v>0</v>
      </c>
      <c r="V110">
        <v>0</v>
      </c>
      <c r="W110">
        <v>0</v>
      </c>
      <c r="X110">
        <v>3</v>
      </c>
      <c r="Y110">
        <v>0</v>
      </c>
      <c r="Z110" s="9">
        <f t="shared" si="2"/>
        <v>17</v>
      </c>
      <c r="AA110">
        <v>4</v>
      </c>
      <c r="AB110">
        <v>8</v>
      </c>
      <c r="AC110">
        <v>0</v>
      </c>
      <c r="AD110">
        <v>4</v>
      </c>
      <c r="AE110">
        <v>1</v>
      </c>
      <c r="AF110" t="s">
        <v>1231</v>
      </c>
    </row>
    <row r="111" spans="1:32" x14ac:dyDescent="0.35">
      <c r="A111">
        <v>105</v>
      </c>
      <c r="B111" t="s">
        <v>904</v>
      </c>
      <c r="C111" t="s">
        <v>908</v>
      </c>
      <c r="D111" t="s">
        <v>442</v>
      </c>
      <c r="E111" s="13">
        <f t="shared" si="3"/>
        <v>7</v>
      </c>
      <c r="F111">
        <v>0</v>
      </c>
      <c r="G111">
        <v>0</v>
      </c>
      <c r="H111">
        <v>0</v>
      </c>
      <c r="I111">
        <v>0</v>
      </c>
      <c r="J111">
        <v>0</v>
      </c>
      <c r="K111">
        <v>1</v>
      </c>
      <c r="L111">
        <v>2</v>
      </c>
      <c r="M111">
        <v>1</v>
      </c>
      <c r="N111">
        <v>0</v>
      </c>
      <c r="O111">
        <v>0</v>
      </c>
      <c r="P111">
        <v>2</v>
      </c>
      <c r="Q111">
        <v>0</v>
      </c>
      <c r="R111" s="9">
        <f t="shared" si="0"/>
        <v>0</v>
      </c>
      <c r="S111">
        <v>0</v>
      </c>
      <c r="T111">
        <v>0</v>
      </c>
      <c r="U111">
        <v>0</v>
      </c>
      <c r="V111">
        <v>0</v>
      </c>
      <c r="W111">
        <v>0</v>
      </c>
      <c r="X111">
        <v>0</v>
      </c>
      <c r="Y111">
        <v>1</v>
      </c>
      <c r="Z111" s="9">
        <f t="shared" si="2"/>
        <v>39</v>
      </c>
      <c r="AA111">
        <v>10</v>
      </c>
      <c r="AB111">
        <v>23</v>
      </c>
      <c r="AC111">
        <v>1</v>
      </c>
      <c r="AD111">
        <v>1</v>
      </c>
      <c r="AE111">
        <v>4</v>
      </c>
    </row>
    <row r="112" spans="1:32" x14ac:dyDescent="0.35">
      <c r="A112">
        <v>106</v>
      </c>
      <c r="B112" t="s">
        <v>904</v>
      </c>
      <c r="C112" t="s">
        <v>908</v>
      </c>
      <c r="D112" t="s">
        <v>442</v>
      </c>
      <c r="E112" s="13">
        <f t="shared" si="3"/>
        <v>0</v>
      </c>
      <c r="F112">
        <v>0</v>
      </c>
      <c r="G112">
        <v>0</v>
      </c>
      <c r="H112">
        <v>0</v>
      </c>
      <c r="I112">
        <v>0</v>
      </c>
      <c r="J112">
        <v>0</v>
      </c>
      <c r="K112">
        <v>0</v>
      </c>
      <c r="L112">
        <v>0</v>
      </c>
      <c r="M112">
        <v>0</v>
      </c>
      <c r="N112">
        <v>0</v>
      </c>
      <c r="O112">
        <v>0</v>
      </c>
      <c r="P112">
        <v>0</v>
      </c>
      <c r="Q112">
        <v>0</v>
      </c>
      <c r="R112" s="9">
        <f t="shared" si="0"/>
        <v>0</v>
      </c>
      <c r="S112">
        <v>0</v>
      </c>
      <c r="T112">
        <v>0</v>
      </c>
      <c r="U112">
        <v>0</v>
      </c>
      <c r="V112">
        <v>0</v>
      </c>
      <c r="W112">
        <v>0</v>
      </c>
      <c r="X112">
        <v>0</v>
      </c>
      <c r="Y112">
        <v>0</v>
      </c>
      <c r="Z112" s="9">
        <f t="shared" si="2"/>
        <v>12</v>
      </c>
      <c r="AA112">
        <v>8</v>
      </c>
      <c r="AB112">
        <v>3</v>
      </c>
      <c r="AC112">
        <v>0</v>
      </c>
      <c r="AD112">
        <v>0</v>
      </c>
      <c r="AE112">
        <v>1</v>
      </c>
    </row>
    <row r="113" spans="1:32" x14ac:dyDescent="0.35">
      <c r="A113">
        <v>107</v>
      </c>
      <c r="B113" t="s">
        <v>904</v>
      </c>
      <c r="C113" t="s">
        <v>908</v>
      </c>
      <c r="D113" t="s">
        <v>442</v>
      </c>
      <c r="E113" s="13">
        <f t="shared" si="3"/>
        <v>4</v>
      </c>
      <c r="F113">
        <v>1</v>
      </c>
      <c r="G113">
        <v>1</v>
      </c>
      <c r="H113">
        <v>0</v>
      </c>
      <c r="I113">
        <v>0</v>
      </c>
      <c r="J113">
        <v>0</v>
      </c>
      <c r="K113">
        <v>0</v>
      </c>
      <c r="L113">
        <v>1</v>
      </c>
      <c r="M113">
        <v>0</v>
      </c>
      <c r="N113">
        <v>0</v>
      </c>
      <c r="O113">
        <v>0</v>
      </c>
      <c r="P113">
        <v>0</v>
      </c>
      <c r="Q113">
        <v>0</v>
      </c>
      <c r="R113" s="9">
        <f t="shared" si="0"/>
        <v>1</v>
      </c>
      <c r="S113">
        <v>0</v>
      </c>
      <c r="T113">
        <v>1</v>
      </c>
      <c r="U113">
        <v>0</v>
      </c>
      <c r="V113">
        <v>0</v>
      </c>
      <c r="W113">
        <v>0</v>
      </c>
      <c r="X113">
        <v>0</v>
      </c>
      <c r="Y113">
        <v>0</v>
      </c>
      <c r="Z113" s="9">
        <f t="shared" si="2"/>
        <v>17</v>
      </c>
      <c r="AA113">
        <v>7</v>
      </c>
      <c r="AB113">
        <v>5</v>
      </c>
      <c r="AC113">
        <v>1</v>
      </c>
      <c r="AD113">
        <v>2</v>
      </c>
      <c r="AE113">
        <v>2</v>
      </c>
    </row>
    <row r="114" spans="1:32" x14ac:dyDescent="0.35">
      <c r="A114">
        <v>108</v>
      </c>
      <c r="B114" t="s">
        <v>904</v>
      </c>
      <c r="C114" t="s">
        <v>908</v>
      </c>
      <c r="D114" t="s">
        <v>442</v>
      </c>
      <c r="E114" s="13">
        <f t="shared" si="3"/>
        <v>6</v>
      </c>
      <c r="F114">
        <v>0</v>
      </c>
      <c r="G114">
        <v>1</v>
      </c>
      <c r="H114">
        <v>0</v>
      </c>
      <c r="I114">
        <v>0</v>
      </c>
      <c r="J114">
        <v>0</v>
      </c>
      <c r="K114">
        <v>0</v>
      </c>
      <c r="L114">
        <v>0</v>
      </c>
      <c r="M114">
        <v>0</v>
      </c>
      <c r="N114">
        <v>0</v>
      </c>
      <c r="O114">
        <v>0</v>
      </c>
      <c r="P114">
        <v>0</v>
      </c>
      <c r="Q114">
        <v>2</v>
      </c>
      <c r="R114" s="9">
        <f t="shared" si="0"/>
        <v>0</v>
      </c>
      <c r="S114">
        <v>0</v>
      </c>
      <c r="T114">
        <v>0</v>
      </c>
      <c r="U114">
        <v>0</v>
      </c>
      <c r="V114">
        <v>0</v>
      </c>
      <c r="W114">
        <v>0</v>
      </c>
      <c r="X114">
        <v>2</v>
      </c>
      <c r="Y114">
        <v>1</v>
      </c>
      <c r="Z114" s="9">
        <f t="shared" si="2"/>
        <v>12</v>
      </c>
      <c r="AA114">
        <v>2</v>
      </c>
      <c r="AB114">
        <v>4</v>
      </c>
      <c r="AC114">
        <v>0</v>
      </c>
      <c r="AD114">
        <v>2</v>
      </c>
      <c r="AE114">
        <v>4</v>
      </c>
    </row>
    <row r="115" spans="1:32" x14ac:dyDescent="0.35">
      <c r="A115">
        <v>109</v>
      </c>
      <c r="B115" t="s">
        <v>904</v>
      </c>
      <c r="C115" t="s">
        <v>908</v>
      </c>
      <c r="D115" t="s">
        <v>442</v>
      </c>
      <c r="E115" s="13">
        <f t="shared" si="3"/>
        <v>1</v>
      </c>
      <c r="F115">
        <v>0</v>
      </c>
      <c r="G115">
        <v>0</v>
      </c>
      <c r="H115">
        <v>0</v>
      </c>
      <c r="I115">
        <v>0</v>
      </c>
      <c r="J115">
        <v>1</v>
      </c>
      <c r="K115">
        <v>0</v>
      </c>
      <c r="L115">
        <v>0</v>
      </c>
      <c r="M115">
        <v>0</v>
      </c>
      <c r="N115">
        <v>0</v>
      </c>
      <c r="O115">
        <v>0</v>
      </c>
      <c r="P115">
        <v>0</v>
      </c>
      <c r="Q115">
        <v>0</v>
      </c>
      <c r="R115" s="9">
        <f t="shared" si="0"/>
        <v>0</v>
      </c>
      <c r="S115">
        <v>0</v>
      </c>
      <c r="T115">
        <v>0</v>
      </c>
      <c r="U115">
        <v>0</v>
      </c>
      <c r="V115">
        <v>0</v>
      </c>
      <c r="W115">
        <v>0</v>
      </c>
      <c r="X115">
        <v>0</v>
      </c>
      <c r="Y115">
        <v>0</v>
      </c>
      <c r="Z115" s="9">
        <f t="shared" si="2"/>
        <v>12</v>
      </c>
      <c r="AA115">
        <v>4</v>
      </c>
      <c r="AB115">
        <v>3</v>
      </c>
      <c r="AC115">
        <v>0</v>
      </c>
      <c r="AD115">
        <v>0</v>
      </c>
      <c r="AE115">
        <v>5</v>
      </c>
    </row>
    <row r="116" spans="1:32" x14ac:dyDescent="0.35">
      <c r="A116">
        <v>110</v>
      </c>
      <c r="B116" t="s">
        <v>904</v>
      </c>
      <c r="C116" t="s">
        <v>908</v>
      </c>
      <c r="D116" t="s">
        <v>442</v>
      </c>
      <c r="E116" s="13">
        <f t="shared" si="3"/>
        <v>1</v>
      </c>
      <c r="F116">
        <v>0</v>
      </c>
      <c r="G116">
        <v>0</v>
      </c>
      <c r="H116">
        <v>0</v>
      </c>
      <c r="I116">
        <v>0</v>
      </c>
      <c r="J116">
        <v>0</v>
      </c>
      <c r="K116">
        <v>0</v>
      </c>
      <c r="L116">
        <v>1</v>
      </c>
      <c r="M116">
        <v>0</v>
      </c>
      <c r="N116">
        <v>0</v>
      </c>
      <c r="O116">
        <v>0</v>
      </c>
      <c r="P116">
        <v>0</v>
      </c>
      <c r="Q116">
        <v>0</v>
      </c>
      <c r="R116" s="9">
        <f t="shared" si="0"/>
        <v>0</v>
      </c>
      <c r="S116">
        <v>0</v>
      </c>
      <c r="T116">
        <v>0</v>
      </c>
      <c r="U116">
        <v>0</v>
      </c>
      <c r="V116">
        <v>0</v>
      </c>
      <c r="W116">
        <v>0</v>
      </c>
      <c r="X116">
        <v>0</v>
      </c>
      <c r="Y116">
        <v>0</v>
      </c>
      <c r="Z116" s="9">
        <f t="shared" si="2"/>
        <v>18</v>
      </c>
      <c r="AA116">
        <v>15</v>
      </c>
      <c r="AB116">
        <v>0</v>
      </c>
      <c r="AC116">
        <v>0</v>
      </c>
      <c r="AD116">
        <v>2</v>
      </c>
      <c r="AE116">
        <v>1</v>
      </c>
      <c r="AF116" t="s">
        <v>1230</v>
      </c>
    </row>
    <row r="117" spans="1:32" x14ac:dyDescent="0.35">
      <c r="A117">
        <v>111</v>
      </c>
      <c r="B117" t="s">
        <v>904</v>
      </c>
      <c r="C117" t="s">
        <v>908</v>
      </c>
      <c r="D117" t="s">
        <v>442</v>
      </c>
      <c r="E117" s="13">
        <f t="shared" si="3"/>
        <v>17</v>
      </c>
      <c r="F117">
        <v>1</v>
      </c>
      <c r="G117">
        <v>1</v>
      </c>
      <c r="H117">
        <v>2</v>
      </c>
      <c r="I117">
        <v>0</v>
      </c>
      <c r="J117">
        <v>0</v>
      </c>
      <c r="K117">
        <v>0</v>
      </c>
      <c r="L117">
        <v>1</v>
      </c>
      <c r="M117">
        <v>0</v>
      </c>
      <c r="N117">
        <v>0</v>
      </c>
      <c r="O117">
        <v>0</v>
      </c>
      <c r="P117">
        <v>2</v>
      </c>
      <c r="Q117">
        <v>1</v>
      </c>
      <c r="R117" s="9">
        <f t="shared" si="0"/>
        <v>3</v>
      </c>
      <c r="S117">
        <v>1</v>
      </c>
      <c r="T117">
        <v>0</v>
      </c>
      <c r="U117">
        <v>0</v>
      </c>
      <c r="V117">
        <v>2</v>
      </c>
      <c r="W117">
        <v>1</v>
      </c>
      <c r="X117">
        <v>5</v>
      </c>
      <c r="Y117">
        <v>1</v>
      </c>
      <c r="Z117" s="9">
        <f t="shared" si="2"/>
        <v>43</v>
      </c>
      <c r="AA117">
        <v>19</v>
      </c>
      <c r="AB117">
        <v>21</v>
      </c>
      <c r="AC117">
        <v>2</v>
      </c>
      <c r="AD117">
        <v>0</v>
      </c>
      <c r="AE117">
        <v>1</v>
      </c>
      <c r="AF117" t="s">
        <v>1229</v>
      </c>
    </row>
    <row r="118" spans="1:32" x14ac:dyDescent="0.35">
      <c r="A118">
        <v>112</v>
      </c>
      <c r="B118" t="s">
        <v>904</v>
      </c>
      <c r="C118" t="s">
        <v>908</v>
      </c>
      <c r="D118" t="s">
        <v>442</v>
      </c>
      <c r="E118" s="13">
        <f t="shared" si="3"/>
        <v>13</v>
      </c>
      <c r="F118">
        <v>0</v>
      </c>
      <c r="G118">
        <v>0</v>
      </c>
      <c r="H118">
        <v>2</v>
      </c>
      <c r="I118">
        <v>0</v>
      </c>
      <c r="J118">
        <v>1</v>
      </c>
      <c r="K118">
        <v>0</v>
      </c>
      <c r="L118">
        <v>3</v>
      </c>
      <c r="M118">
        <v>0</v>
      </c>
      <c r="N118">
        <v>0</v>
      </c>
      <c r="O118">
        <v>0</v>
      </c>
      <c r="P118">
        <v>0</v>
      </c>
      <c r="Q118">
        <v>0</v>
      </c>
      <c r="R118" s="9">
        <f t="shared" si="0"/>
        <v>2</v>
      </c>
      <c r="S118">
        <v>0</v>
      </c>
      <c r="T118">
        <v>0</v>
      </c>
      <c r="U118">
        <v>0</v>
      </c>
      <c r="V118">
        <v>2</v>
      </c>
      <c r="W118">
        <v>0</v>
      </c>
      <c r="X118">
        <v>3</v>
      </c>
      <c r="Y118">
        <v>2</v>
      </c>
      <c r="Z118" s="9">
        <f t="shared" si="2"/>
        <v>15</v>
      </c>
      <c r="AA118">
        <v>9</v>
      </c>
      <c r="AB118">
        <v>2</v>
      </c>
      <c r="AC118">
        <v>0</v>
      </c>
      <c r="AD118">
        <v>0</v>
      </c>
      <c r="AE118">
        <v>4</v>
      </c>
    </row>
    <row r="119" spans="1:32" x14ac:dyDescent="0.35">
      <c r="A119">
        <v>113</v>
      </c>
      <c r="B119" t="s">
        <v>904</v>
      </c>
      <c r="C119" t="s">
        <v>908</v>
      </c>
      <c r="D119" t="s">
        <v>442</v>
      </c>
      <c r="E119" s="13">
        <f t="shared" si="3"/>
        <v>6</v>
      </c>
      <c r="F119">
        <v>0</v>
      </c>
      <c r="G119">
        <v>1</v>
      </c>
      <c r="H119">
        <v>2</v>
      </c>
      <c r="I119">
        <v>0</v>
      </c>
      <c r="J119">
        <v>0</v>
      </c>
      <c r="K119">
        <v>0</v>
      </c>
      <c r="L119">
        <v>2</v>
      </c>
      <c r="M119">
        <v>0</v>
      </c>
      <c r="N119">
        <v>0</v>
      </c>
      <c r="O119">
        <v>0</v>
      </c>
      <c r="P119">
        <v>1</v>
      </c>
      <c r="Q119">
        <v>0</v>
      </c>
      <c r="R119" s="9">
        <f t="shared" si="0"/>
        <v>0</v>
      </c>
      <c r="S119">
        <v>0</v>
      </c>
      <c r="T119">
        <v>0</v>
      </c>
      <c r="U119">
        <v>0</v>
      </c>
      <c r="V119">
        <v>0</v>
      </c>
      <c r="W119">
        <v>0</v>
      </c>
      <c r="X119">
        <v>0</v>
      </c>
      <c r="Y119">
        <v>0</v>
      </c>
      <c r="Z119" s="9">
        <f t="shared" si="2"/>
        <v>8</v>
      </c>
      <c r="AA119">
        <v>5</v>
      </c>
      <c r="AB119">
        <v>2</v>
      </c>
      <c r="AC119">
        <v>1</v>
      </c>
      <c r="AD119">
        <v>0</v>
      </c>
      <c r="AE119">
        <v>0</v>
      </c>
    </row>
    <row r="120" spans="1:32" x14ac:dyDescent="0.35">
      <c r="A120">
        <v>114</v>
      </c>
      <c r="B120" t="s">
        <v>904</v>
      </c>
      <c r="C120" t="s">
        <v>908</v>
      </c>
      <c r="D120" t="s">
        <v>442</v>
      </c>
      <c r="E120" s="13">
        <f t="shared" si="3"/>
        <v>5</v>
      </c>
      <c r="F120">
        <v>0</v>
      </c>
      <c r="G120">
        <v>1</v>
      </c>
      <c r="H120">
        <v>0</v>
      </c>
      <c r="I120">
        <v>0</v>
      </c>
      <c r="J120">
        <v>1</v>
      </c>
      <c r="K120">
        <v>0</v>
      </c>
      <c r="L120">
        <v>0</v>
      </c>
      <c r="M120">
        <v>0</v>
      </c>
      <c r="N120">
        <v>0</v>
      </c>
      <c r="O120">
        <v>0</v>
      </c>
      <c r="P120">
        <v>0</v>
      </c>
      <c r="Q120">
        <v>0</v>
      </c>
      <c r="R120" s="9">
        <f t="shared" si="0"/>
        <v>1</v>
      </c>
      <c r="S120">
        <v>0</v>
      </c>
      <c r="T120">
        <v>0</v>
      </c>
      <c r="U120">
        <v>0</v>
      </c>
      <c r="V120">
        <v>1</v>
      </c>
      <c r="W120">
        <v>0</v>
      </c>
      <c r="X120">
        <v>2</v>
      </c>
      <c r="Y120">
        <v>0</v>
      </c>
      <c r="Z120" s="9">
        <f t="shared" si="2"/>
        <v>13</v>
      </c>
      <c r="AA120">
        <v>4</v>
      </c>
      <c r="AB120">
        <v>4</v>
      </c>
      <c r="AC120">
        <v>0</v>
      </c>
      <c r="AD120">
        <v>1</v>
      </c>
      <c r="AE120">
        <v>4</v>
      </c>
    </row>
    <row r="121" spans="1:32" x14ac:dyDescent="0.35">
      <c r="A121">
        <v>115</v>
      </c>
      <c r="B121" t="s">
        <v>904</v>
      </c>
      <c r="C121" t="s">
        <v>908</v>
      </c>
      <c r="D121" t="s">
        <v>442</v>
      </c>
      <c r="E121" s="13">
        <f t="shared" si="3"/>
        <v>8</v>
      </c>
      <c r="F121">
        <v>0</v>
      </c>
      <c r="G121">
        <v>0</v>
      </c>
      <c r="H121">
        <v>1</v>
      </c>
      <c r="I121">
        <v>0</v>
      </c>
      <c r="J121">
        <v>0</v>
      </c>
      <c r="K121">
        <v>1</v>
      </c>
      <c r="L121">
        <v>3</v>
      </c>
      <c r="M121">
        <v>0</v>
      </c>
      <c r="N121">
        <v>0</v>
      </c>
      <c r="O121">
        <v>0</v>
      </c>
      <c r="P121">
        <v>0</v>
      </c>
      <c r="Q121">
        <v>0</v>
      </c>
      <c r="R121" s="9">
        <f t="shared" si="0"/>
        <v>0</v>
      </c>
      <c r="S121">
        <v>0</v>
      </c>
      <c r="T121">
        <v>0</v>
      </c>
      <c r="U121">
        <v>0</v>
      </c>
      <c r="V121">
        <v>0</v>
      </c>
      <c r="W121">
        <v>0</v>
      </c>
      <c r="X121">
        <v>3</v>
      </c>
      <c r="Y121">
        <v>0</v>
      </c>
      <c r="Z121" s="9">
        <f t="shared" si="2"/>
        <v>20</v>
      </c>
      <c r="AA121">
        <v>6</v>
      </c>
      <c r="AB121">
        <v>7</v>
      </c>
      <c r="AC121">
        <v>0</v>
      </c>
      <c r="AD121">
        <v>0</v>
      </c>
      <c r="AE121">
        <v>7</v>
      </c>
    </row>
    <row r="122" spans="1:32" x14ac:dyDescent="0.35">
      <c r="A122" s="14">
        <v>101</v>
      </c>
      <c r="B122" s="14" t="s">
        <v>908</v>
      </c>
      <c r="C122" s="14" t="s">
        <v>1073</v>
      </c>
      <c r="D122" t="s">
        <v>441</v>
      </c>
      <c r="E122">
        <v>0</v>
      </c>
      <c r="N122">
        <v>0</v>
      </c>
      <c r="U122">
        <v>0</v>
      </c>
      <c r="W122">
        <v>0</v>
      </c>
      <c r="Y122">
        <v>0</v>
      </c>
      <c r="Z122">
        <v>5</v>
      </c>
    </row>
    <row r="123" spans="1:32" x14ac:dyDescent="0.35">
      <c r="A123" s="14">
        <v>102</v>
      </c>
      <c r="B123" s="14" t="s">
        <v>908</v>
      </c>
      <c r="C123" s="14" t="s">
        <v>1073</v>
      </c>
      <c r="D123" t="s">
        <v>441</v>
      </c>
      <c r="E123">
        <v>1</v>
      </c>
      <c r="N123">
        <v>0</v>
      </c>
      <c r="U123">
        <v>0</v>
      </c>
      <c r="W123">
        <v>0</v>
      </c>
      <c r="Y123">
        <v>1</v>
      </c>
      <c r="Z123">
        <v>6</v>
      </c>
    </row>
    <row r="124" spans="1:32" x14ac:dyDescent="0.35">
      <c r="A124" s="14">
        <v>103</v>
      </c>
      <c r="B124" s="14" t="s">
        <v>908</v>
      </c>
      <c r="C124" s="14" t="s">
        <v>1073</v>
      </c>
      <c r="D124" t="s">
        <v>441</v>
      </c>
      <c r="E124">
        <v>5</v>
      </c>
      <c r="N124">
        <v>0</v>
      </c>
      <c r="U124">
        <v>0</v>
      </c>
      <c r="W124">
        <v>0</v>
      </c>
      <c r="Y124">
        <v>5</v>
      </c>
      <c r="Z124">
        <v>8</v>
      </c>
    </row>
    <row r="125" spans="1:32" x14ac:dyDescent="0.35">
      <c r="A125" s="14">
        <v>104</v>
      </c>
      <c r="B125" s="14" t="s">
        <v>908</v>
      </c>
      <c r="C125" s="14" t="s">
        <v>1073</v>
      </c>
      <c r="D125" t="s">
        <v>441</v>
      </c>
      <c r="E125">
        <v>8</v>
      </c>
      <c r="N125">
        <v>0</v>
      </c>
      <c r="U125">
        <v>0</v>
      </c>
      <c r="W125">
        <v>0</v>
      </c>
      <c r="Y125">
        <v>8</v>
      </c>
      <c r="Z125">
        <v>11</v>
      </c>
    </row>
    <row r="126" spans="1:32" x14ac:dyDescent="0.35">
      <c r="A126" s="14">
        <v>105</v>
      </c>
      <c r="B126" s="14" t="s">
        <v>908</v>
      </c>
      <c r="C126" s="14" t="s">
        <v>1073</v>
      </c>
      <c r="D126" t="s">
        <v>441</v>
      </c>
      <c r="E126">
        <v>4</v>
      </c>
      <c r="N126">
        <v>0</v>
      </c>
      <c r="U126">
        <v>0</v>
      </c>
      <c r="W126">
        <v>0</v>
      </c>
      <c r="Y126">
        <v>4</v>
      </c>
      <c r="Z126">
        <v>5</v>
      </c>
    </row>
    <row r="127" spans="1:32" x14ac:dyDescent="0.35">
      <c r="A127" s="14">
        <v>106</v>
      </c>
      <c r="B127" s="14" t="s">
        <v>908</v>
      </c>
      <c r="C127" s="14" t="s">
        <v>1073</v>
      </c>
      <c r="D127" t="s">
        <v>441</v>
      </c>
      <c r="E127">
        <v>3</v>
      </c>
      <c r="N127">
        <v>0</v>
      </c>
      <c r="U127">
        <v>0</v>
      </c>
      <c r="W127">
        <v>0</v>
      </c>
      <c r="Y127">
        <v>3</v>
      </c>
      <c r="Z127">
        <v>9</v>
      </c>
    </row>
    <row r="128" spans="1:32" x14ac:dyDescent="0.35">
      <c r="A128" s="14">
        <v>107</v>
      </c>
      <c r="B128" s="14" t="s">
        <v>908</v>
      </c>
      <c r="C128" s="14" t="s">
        <v>1073</v>
      </c>
      <c r="D128" t="s">
        <v>441</v>
      </c>
      <c r="E128">
        <v>3</v>
      </c>
      <c r="N128">
        <v>0</v>
      </c>
      <c r="U128">
        <v>0</v>
      </c>
      <c r="W128">
        <v>0</v>
      </c>
      <c r="Y128">
        <v>3</v>
      </c>
      <c r="Z128">
        <v>2</v>
      </c>
    </row>
    <row r="129" spans="1:26" x14ac:dyDescent="0.35">
      <c r="A129" s="14">
        <v>108</v>
      </c>
      <c r="B129" s="14" t="s">
        <v>908</v>
      </c>
      <c r="C129" s="14" t="s">
        <v>1073</v>
      </c>
      <c r="D129" t="s">
        <v>441</v>
      </c>
      <c r="E129">
        <v>0</v>
      </c>
      <c r="N129">
        <v>0</v>
      </c>
      <c r="U129">
        <v>0</v>
      </c>
      <c r="W129">
        <v>0</v>
      </c>
      <c r="Y129">
        <v>0</v>
      </c>
      <c r="Z129">
        <v>5</v>
      </c>
    </row>
    <row r="130" spans="1:26" x14ac:dyDescent="0.35">
      <c r="A130" s="14">
        <v>109</v>
      </c>
      <c r="B130" s="14" t="s">
        <v>908</v>
      </c>
      <c r="C130" s="14" t="s">
        <v>1073</v>
      </c>
      <c r="D130" t="s">
        <v>441</v>
      </c>
      <c r="E130">
        <v>2</v>
      </c>
      <c r="N130">
        <v>0</v>
      </c>
      <c r="U130">
        <v>0</v>
      </c>
      <c r="W130">
        <v>0</v>
      </c>
      <c r="Y130">
        <v>2</v>
      </c>
      <c r="Z130">
        <v>3</v>
      </c>
    </row>
    <row r="131" spans="1:26" x14ac:dyDescent="0.35">
      <c r="A131" s="14">
        <v>110</v>
      </c>
      <c r="B131" s="14" t="s">
        <v>908</v>
      </c>
      <c r="C131" s="14" t="s">
        <v>1073</v>
      </c>
      <c r="D131" t="s">
        <v>441</v>
      </c>
      <c r="E131">
        <v>2</v>
      </c>
      <c r="N131">
        <v>0</v>
      </c>
      <c r="U131">
        <v>0</v>
      </c>
      <c r="W131">
        <v>0</v>
      </c>
      <c r="Y131">
        <v>2</v>
      </c>
      <c r="Z131">
        <v>6</v>
      </c>
    </row>
    <row r="132" spans="1:26" x14ac:dyDescent="0.35">
      <c r="A132" s="14">
        <v>111</v>
      </c>
      <c r="B132" s="14" t="s">
        <v>908</v>
      </c>
      <c r="C132" s="14" t="s">
        <v>1073</v>
      </c>
      <c r="D132" t="s">
        <v>441</v>
      </c>
      <c r="E132">
        <v>7</v>
      </c>
      <c r="N132">
        <v>0</v>
      </c>
      <c r="U132">
        <v>0</v>
      </c>
      <c r="W132">
        <v>0</v>
      </c>
      <c r="Y132">
        <v>7</v>
      </c>
      <c r="Z132">
        <v>6</v>
      </c>
    </row>
    <row r="133" spans="1:26" x14ac:dyDescent="0.35">
      <c r="A133" s="14">
        <v>112</v>
      </c>
      <c r="B133" s="14" t="s">
        <v>908</v>
      </c>
      <c r="C133" s="14" t="s">
        <v>1073</v>
      </c>
      <c r="D133" t="s">
        <v>441</v>
      </c>
      <c r="E133">
        <v>2</v>
      </c>
      <c r="N133">
        <v>0</v>
      </c>
      <c r="U133">
        <v>0</v>
      </c>
      <c r="W133">
        <v>0</v>
      </c>
      <c r="Y133">
        <v>2</v>
      </c>
      <c r="Z133">
        <v>2</v>
      </c>
    </row>
    <row r="134" spans="1:26" x14ac:dyDescent="0.35">
      <c r="A134" s="14">
        <v>113</v>
      </c>
      <c r="B134" s="14" t="s">
        <v>908</v>
      </c>
      <c r="C134" s="14" t="s">
        <v>1073</v>
      </c>
      <c r="D134" t="s">
        <v>441</v>
      </c>
      <c r="E134">
        <v>1</v>
      </c>
      <c r="N134">
        <v>0</v>
      </c>
      <c r="U134">
        <v>0</v>
      </c>
      <c r="W134">
        <v>0</v>
      </c>
      <c r="Y134">
        <v>1</v>
      </c>
      <c r="Z134">
        <v>6</v>
      </c>
    </row>
    <row r="135" spans="1:26" x14ac:dyDescent="0.35">
      <c r="A135" s="14">
        <v>114</v>
      </c>
      <c r="B135" s="14" t="s">
        <v>908</v>
      </c>
      <c r="C135" s="14" t="s">
        <v>1073</v>
      </c>
      <c r="D135" t="s">
        <v>441</v>
      </c>
      <c r="E135">
        <v>0</v>
      </c>
      <c r="N135">
        <v>0</v>
      </c>
      <c r="U135">
        <v>0</v>
      </c>
      <c r="W135">
        <v>0</v>
      </c>
      <c r="Y135">
        <v>0</v>
      </c>
      <c r="Z135">
        <v>2</v>
      </c>
    </row>
    <row r="136" spans="1:26" x14ac:dyDescent="0.35">
      <c r="A136" s="14">
        <v>115</v>
      </c>
      <c r="B136" s="14" t="s">
        <v>908</v>
      </c>
      <c r="C136" s="14" t="s">
        <v>1073</v>
      </c>
      <c r="D136" t="s">
        <v>441</v>
      </c>
      <c r="E136">
        <v>4</v>
      </c>
      <c r="N136">
        <v>0</v>
      </c>
      <c r="U136">
        <v>0</v>
      </c>
      <c r="W136">
        <v>0</v>
      </c>
      <c r="Y136">
        <v>4</v>
      </c>
      <c r="Z136">
        <v>10</v>
      </c>
    </row>
  </sheetData>
  <sortState xmlns:xlrd2="http://schemas.microsoft.com/office/spreadsheetml/2017/richdata2" ref="A2:C150">
    <sortCondition ref="B2:B150"/>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589</v>
      </c>
      <c r="G1" s="1" t="s">
        <v>592</v>
      </c>
      <c r="H1" s="1" t="s">
        <v>593</v>
      </c>
      <c r="I1" s="1" t="s">
        <v>590</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609</v>
      </c>
      <c r="G3" t="s">
        <v>442</v>
      </c>
      <c r="H3" t="s">
        <v>441</v>
      </c>
    </row>
    <row r="4" spans="1:9" x14ac:dyDescent="0.35">
      <c r="A4" t="s">
        <v>487</v>
      </c>
      <c r="B4">
        <v>53</v>
      </c>
      <c r="C4" t="s">
        <v>512</v>
      </c>
      <c r="D4">
        <v>101</v>
      </c>
      <c r="E4" t="s">
        <v>609</v>
      </c>
      <c r="F4" t="s">
        <v>722</v>
      </c>
      <c r="G4" t="s">
        <v>442</v>
      </c>
      <c r="H4" t="s">
        <v>441</v>
      </c>
    </row>
    <row r="5" spans="1:9" x14ac:dyDescent="0.35">
      <c r="A5" t="s">
        <v>487</v>
      </c>
      <c r="B5">
        <v>53</v>
      </c>
      <c r="C5" t="s">
        <v>512</v>
      </c>
      <c r="D5">
        <v>101</v>
      </c>
      <c r="E5" t="s">
        <v>722</v>
      </c>
      <c r="F5" t="s">
        <v>684</v>
      </c>
      <c r="G5" t="s">
        <v>442</v>
      </c>
      <c r="H5" t="s">
        <v>441</v>
      </c>
    </row>
    <row r="6" spans="1:9" x14ac:dyDescent="0.35">
      <c r="A6" t="s">
        <v>487</v>
      </c>
      <c r="B6">
        <v>53</v>
      </c>
      <c r="C6" t="s">
        <v>512</v>
      </c>
      <c r="D6">
        <v>101</v>
      </c>
      <c r="E6" t="s">
        <v>684</v>
      </c>
      <c r="F6" t="s">
        <v>803</v>
      </c>
      <c r="G6" t="s">
        <v>442</v>
      </c>
      <c r="H6" t="s">
        <v>441</v>
      </c>
    </row>
    <row r="7" spans="1:9" x14ac:dyDescent="0.35">
      <c r="A7" t="s">
        <v>487</v>
      </c>
      <c r="B7">
        <v>53</v>
      </c>
      <c r="C7" t="s">
        <v>512</v>
      </c>
      <c r="D7">
        <v>101</v>
      </c>
      <c r="E7" t="s">
        <v>803</v>
      </c>
      <c r="F7" t="s">
        <v>1072</v>
      </c>
      <c r="G7" t="s">
        <v>442</v>
      </c>
      <c r="H7" t="s">
        <v>441</v>
      </c>
    </row>
    <row r="8" spans="1:9" x14ac:dyDescent="0.35">
      <c r="A8" t="s">
        <v>487</v>
      </c>
      <c r="B8">
        <v>53</v>
      </c>
      <c r="C8" t="s">
        <v>512</v>
      </c>
      <c r="D8">
        <v>101</v>
      </c>
      <c r="E8" t="s">
        <v>1072</v>
      </c>
      <c r="F8" t="s">
        <v>904</v>
      </c>
      <c r="G8" t="s">
        <v>442</v>
      </c>
      <c r="H8" t="s">
        <v>441</v>
      </c>
    </row>
    <row r="9" spans="1:9" x14ac:dyDescent="0.35">
      <c r="A9" t="s">
        <v>487</v>
      </c>
      <c r="B9">
        <v>53</v>
      </c>
      <c r="C9" t="s">
        <v>512</v>
      </c>
      <c r="D9">
        <v>101</v>
      </c>
      <c r="E9" t="s">
        <v>904</v>
      </c>
      <c r="F9" t="s">
        <v>908</v>
      </c>
      <c r="G9" t="s">
        <v>442</v>
      </c>
      <c r="H9" t="s">
        <v>441</v>
      </c>
    </row>
    <row r="10" spans="1:9" x14ac:dyDescent="0.35">
      <c r="A10" t="s">
        <v>487</v>
      </c>
      <c r="B10">
        <v>53</v>
      </c>
      <c r="C10" t="s">
        <v>512</v>
      </c>
      <c r="D10">
        <v>101</v>
      </c>
      <c r="E10" t="s">
        <v>908</v>
      </c>
      <c r="F10" t="s">
        <v>1073</v>
      </c>
      <c r="G10" t="s">
        <v>442</v>
      </c>
      <c r="H10" t="s">
        <v>441</v>
      </c>
      <c r="I10" t="s">
        <v>1074</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609</v>
      </c>
      <c r="G13" t="s">
        <v>442</v>
      </c>
      <c r="H13" t="s">
        <v>441</v>
      </c>
    </row>
    <row r="14" spans="1:9" x14ac:dyDescent="0.35">
      <c r="A14" t="s">
        <v>487</v>
      </c>
      <c r="B14">
        <v>53</v>
      </c>
      <c r="C14" t="s">
        <v>512</v>
      </c>
      <c r="D14">
        <v>102</v>
      </c>
      <c r="E14" t="s">
        <v>609</v>
      </c>
      <c r="F14" t="s">
        <v>722</v>
      </c>
      <c r="G14" t="s">
        <v>442</v>
      </c>
      <c r="H14" t="s">
        <v>441</v>
      </c>
    </row>
    <row r="15" spans="1:9" x14ac:dyDescent="0.35">
      <c r="A15" t="s">
        <v>487</v>
      </c>
      <c r="B15">
        <v>53</v>
      </c>
      <c r="C15" t="s">
        <v>512</v>
      </c>
      <c r="D15">
        <v>102</v>
      </c>
      <c r="E15" t="s">
        <v>722</v>
      </c>
      <c r="F15" t="s">
        <v>684</v>
      </c>
      <c r="G15" t="s">
        <v>442</v>
      </c>
      <c r="H15" t="s">
        <v>441</v>
      </c>
    </row>
    <row r="16" spans="1:9" x14ac:dyDescent="0.35">
      <c r="A16" t="s">
        <v>487</v>
      </c>
      <c r="B16">
        <v>53</v>
      </c>
      <c r="C16" t="s">
        <v>512</v>
      </c>
      <c r="D16">
        <v>102</v>
      </c>
      <c r="E16" t="s">
        <v>684</v>
      </c>
      <c r="F16" t="s">
        <v>803</v>
      </c>
      <c r="G16" t="s">
        <v>442</v>
      </c>
      <c r="H16" t="s">
        <v>441</v>
      </c>
    </row>
    <row r="17" spans="1:9" x14ac:dyDescent="0.35">
      <c r="A17" t="s">
        <v>487</v>
      </c>
      <c r="B17">
        <v>53</v>
      </c>
      <c r="C17" t="s">
        <v>512</v>
      </c>
      <c r="D17">
        <v>102</v>
      </c>
      <c r="E17" t="s">
        <v>803</v>
      </c>
      <c r="F17" t="s">
        <v>1072</v>
      </c>
      <c r="G17" t="s">
        <v>442</v>
      </c>
      <c r="H17" t="s">
        <v>441</v>
      </c>
    </row>
    <row r="18" spans="1:9" x14ac:dyDescent="0.35">
      <c r="A18" t="s">
        <v>487</v>
      </c>
      <c r="B18">
        <v>53</v>
      </c>
      <c r="C18" t="s">
        <v>512</v>
      </c>
      <c r="D18">
        <v>102</v>
      </c>
      <c r="E18" t="s">
        <v>1072</v>
      </c>
      <c r="F18" t="s">
        <v>904</v>
      </c>
      <c r="G18" t="s">
        <v>442</v>
      </c>
      <c r="H18" t="s">
        <v>441</v>
      </c>
    </row>
    <row r="19" spans="1:9" x14ac:dyDescent="0.35">
      <c r="A19" t="s">
        <v>487</v>
      </c>
      <c r="B19">
        <v>53</v>
      </c>
      <c r="C19" t="s">
        <v>512</v>
      </c>
      <c r="D19">
        <v>102</v>
      </c>
      <c r="E19" t="s">
        <v>904</v>
      </c>
      <c r="F19" t="s">
        <v>908</v>
      </c>
      <c r="G19" t="s">
        <v>442</v>
      </c>
      <c r="H19" t="s">
        <v>441</v>
      </c>
    </row>
    <row r="20" spans="1:9" x14ac:dyDescent="0.35">
      <c r="A20" t="s">
        <v>487</v>
      </c>
      <c r="B20">
        <v>53</v>
      </c>
      <c r="C20" t="s">
        <v>512</v>
      </c>
      <c r="D20">
        <v>102</v>
      </c>
      <c r="E20" t="s">
        <v>908</v>
      </c>
      <c r="F20" t="s">
        <v>1073</v>
      </c>
      <c r="G20" t="s">
        <v>442</v>
      </c>
      <c r="H20" t="s">
        <v>441</v>
      </c>
      <c r="I20" t="s">
        <v>1074</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609</v>
      </c>
      <c r="G23" t="s">
        <v>442</v>
      </c>
      <c r="H23" t="s">
        <v>441</v>
      </c>
    </row>
    <row r="24" spans="1:9" x14ac:dyDescent="0.35">
      <c r="A24" t="s">
        <v>487</v>
      </c>
      <c r="B24">
        <v>53</v>
      </c>
      <c r="C24" t="s">
        <v>512</v>
      </c>
      <c r="D24">
        <v>103</v>
      </c>
      <c r="E24" t="s">
        <v>609</v>
      </c>
      <c r="F24" t="s">
        <v>722</v>
      </c>
      <c r="G24" t="s">
        <v>442</v>
      </c>
      <c r="H24" t="s">
        <v>441</v>
      </c>
    </row>
    <row r="25" spans="1:9" x14ac:dyDescent="0.35">
      <c r="A25" t="s">
        <v>487</v>
      </c>
      <c r="B25">
        <v>53</v>
      </c>
      <c r="C25" t="s">
        <v>512</v>
      </c>
      <c r="D25">
        <v>103</v>
      </c>
      <c r="E25" t="s">
        <v>722</v>
      </c>
      <c r="F25" t="s">
        <v>684</v>
      </c>
      <c r="G25" t="s">
        <v>442</v>
      </c>
      <c r="H25" t="s">
        <v>441</v>
      </c>
    </row>
    <row r="26" spans="1:9" x14ac:dyDescent="0.35">
      <c r="A26" t="s">
        <v>487</v>
      </c>
      <c r="B26">
        <v>53</v>
      </c>
      <c r="C26" t="s">
        <v>512</v>
      </c>
      <c r="D26">
        <v>103</v>
      </c>
      <c r="E26" t="s">
        <v>684</v>
      </c>
      <c r="F26" t="s">
        <v>803</v>
      </c>
      <c r="G26" t="s">
        <v>442</v>
      </c>
      <c r="H26" t="s">
        <v>441</v>
      </c>
    </row>
    <row r="27" spans="1:9" x14ac:dyDescent="0.35">
      <c r="A27" t="s">
        <v>487</v>
      </c>
      <c r="B27">
        <v>53</v>
      </c>
      <c r="C27" t="s">
        <v>512</v>
      </c>
      <c r="D27">
        <v>103</v>
      </c>
      <c r="E27" t="s">
        <v>803</v>
      </c>
      <c r="F27" t="s">
        <v>1072</v>
      </c>
      <c r="G27" t="s">
        <v>442</v>
      </c>
      <c r="H27" t="s">
        <v>441</v>
      </c>
    </row>
    <row r="28" spans="1:9" x14ac:dyDescent="0.35">
      <c r="A28" t="s">
        <v>487</v>
      </c>
      <c r="B28">
        <v>53</v>
      </c>
      <c r="C28" t="s">
        <v>512</v>
      </c>
      <c r="D28">
        <v>103</v>
      </c>
      <c r="E28" t="s">
        <v>1072</v>
      </c>
      <c r="F28" t="s">
        <v>904</v>
      </c>
      <c r="G28" t="s">
        <v>442</v>
      </c>
      <c r="H28" t="s">
        <v>441</v>
      </c>
    </row>
    <row r="29" spans="1:9" x14ac:dyDescent="0.35">
      <c r="A29" t="s">
        <v>487</v>
      </c>
      <c r="B29">
        <v>53</v>
      </c>
      <c r="C29" t="s">
        <v>512</v>
      </c>
      <c r="D29">
        <v>103</v>
      </c>
      <c r="E29" t="s">
        <v>904</v>
      </c>
      <c r="F29" t="s">
        <v>908</v>
      </c>
      <c r="G29" t="s">
        <v>442</v>
      </c>
      <c r="H29" t="s">
        <v>441</v>
      </c>
    </row>
    <row r="30" spans="1:9" x14ac:dyDescent="0.35">
      <c r="A30" t="s">
        <v>487</v>
      </c>
      <c r="B30">
        <v>53</v>
      </c>
      <c r="C30" t="s">
        <v>512</v>
      </c>
      <c r="D30">
        <v>103</v>
      </c>
      <c r="E30" t="s">
        <v>908</v>
      </c>
      <c r="F30" t="s">
        <v>1073</v>
      </c>
      <c r="G30" t="s">
        <v>442</v>
      </c>
      <c r="H30" t="s">
        <v>441</v>
      </c>
      <c r="I30" t="s">
        <v>1074</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609</v>
      </c>
      <c r="G33" t="s">
        <v>442</v>
      </c>
      <c r="H33" t="s">
        <v>441</v>
      </c>
    </row>
    <row r="34" spans="1:9" x14ac:dyDescent="0.35">
      <c r="A34" t="s">
        <v>487</v>
      </c>
      <c r="B34">
        <v>53</v>
      </c>
      <c r="C34" t="s">
        <v>512</v>
      </c>
      <c r="D34">
        <v>104</v>
      </c>
      <c r="E34" t="s">
        <v>609</v>
      </c>
      <c r="F34" t="s">
        <v>722</v>
      </c>
      <c r="G34" t="s">
        <v>442</v>
      </c>
      <c r="H34" t="s">
        <v>441</v>
      </c>
    </row>
    <row r="35" spans="1:9" x14ac:dyDescent="0.35">
      <c r="A35" t="s">
        <v>487</v>
      </c>
      <c r="B35">
        <v>53</v>
      </c>
      <c r="C35" t="s">
        <v>512</v>
      </c>
      <c r="D35">
        <v>104</v>
      </c>
      <c r="E35" t="s">
        <v>722</v>
      </c>
      <c r="F35" t="s">
        <v>684</v>
      </c>
      <c r="G35" t="s">
        <v>442</v>
      </c>
      <c r="H35" t="s">
        <v>441</v>
      </c>
    </row>
    <row r="36" spans="1:9" x14ac:dyDescent="0.35">
      <c r="A36" t="s">
        <v>487</v>
      </c>
      <c r="B36">
        <v>53</v>
      </c>
      <c r="C36" t="s">
        <v>512</v>
      </c>
      <c r="D36">
        <v>104</v>
      </c>
      <c r="E36" t="s">
        <v>684</v>
      </c>
      <c r="F36" t="s">
        <v>803</v>
      </c>
      <c r="G36" t="s">
        <v>442</v>
      </c>
      <c r="H36" t="s">
        <v>441</v>
      </c>
    </row>
    <row r="37" spans="1:9" x14ac:dyDescent="0.35">
      <c r="A37" t="s">
        <v>487</v>
      </c>
      <c r="B37">
        <v>53</v>
      </c>
      <c r="C37" t="s">
        <v>512</v>
      </c>
      <c r="D37">
        <v>104</v>
      </c>
      <c r="E37" t="s">
        <v>803</v>
      </c>
      <c r="F37" t="s">
        <v>1072</v>
      </c>
      <c r="G37" t="s">
        <v>442</v>
      </c>
      <c r="H37" t="s">
        <v>441</v>
      </c>
    </row>
    <row r="38" spans="1:9" x14ac:dyDescent="0.35">
      <c r="A38" t="s">
        <v>487</v>
      </c>
      <c r="B38">
        <v>53</v>
      </c>
      <c r="C38" t="s">
        <v>512</v>
      </c>
      <c r="D38">
        <v>104</v>
      </c>
      <c r="E38" t="s">
        <v>1072</v>
      </c>
      <c r="F38" t="s">
        <v>904</v>
      </c>
      <c r="G38" t="s">
        <v>442</v>
      </c>
      <c r="H38" t="s">
        <v>441</v>
      </c>
    </row>
    <row r="39" spans="1:9" x14ac:dyDescent="0.35">
      <c r="A39" t="s">
        <v>487</v>
      </c>
      <c r="B39">
        <v>53</v>
      </c>
      <c r="C39" t="s">
        <v>512</v>
      </c>
      <c r="D39">
        <v>104</v>
      </c>
      <c r="E39" t="s">
        <v>904</v>
      </c>
      <c r="F39" t="s">
        <v>908</v>
      </c>
      <c r="G39" t="s">
        <v>442</v>
      </c>
      <c r="H39" t="s">
        <v>441</v>
      </c>
    </row>
    <row r="40" spans="1:9" x14ac:dyDescent="0.35">
      <c r="A40" t="s">
        <v>487</v>
      </c>
      <c r="B40">
        <v>53</v>
      </c>
      <c r="C40" t="s">
        <v>512</v>
      </c>
      <c r="D40">
        <v>104</v>
      </c>
      <c r="E40" t="s">
        <v>908</v>
      </c>
      <c r="F40" t="s">
        <v>1073</v>
      </c>
      <c r="G40" t="s">
        <v>442</v>
      </c>
      <c r="H40" t="s">
        <v>441</v>
      </c>
      <c r="I40" t="s">
        <v>1074</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609</v>
      </c>
      <c r="G43" t="s">
        <v>442</v>
      </c>
      <c r="H43" t="s">
        <v>441</v>
      </c>
    </row>
    <row r="44" spans="1:9" x14ac:dyDescent="0.35">
      <c r="A44" t="s">
        <v>487</v>
      </c>
      <c r="B44">
        <v>53</v>
      </c>
      <c r="C44" t="s">
        <v>512</v>
      </c>
      <c r="D44">
        <v>105</v>
      </c>
      <c r="E44" t="s">
        <v>609</v>
      </c>
      <c r="F44" t="s">
        <v>722</v>
      </c>
      <c r="G44" t="s">
        <v>442</v>
      </c>
      <c r="H44" t="s">
        <v>441</v>
      </c>
    </row>
    <row r="45" spans="1:9" x14ac:dyDescent="0.35">
      <c r="A45" t="s">
        <v>487</v>
      </c>
      <c r="B45">
        <v>53</v>
      </c>
      <c r="C45" t="s">
        <v>512</v>
      </c>
      <c r="D45">
        <v>105</v>
      </c>
      <c r="E45" t="s">
        <v>722</v>
      </c>
      <c r="F45" t="s">
        <v>684</v>
      </c>
      <c r="G45" t="s">
        <v>442</v>
      </c>
      <c r="H45" t="s">
        <v>441</v>
      </c>
    </row>
    <row r="46" spans="1:9" x14ac:dyDescent="0.35">
      <c r="A46" t="s">
        <v>487</v>
      </c>
      <c r="B46">
        <v>53</v>
      </c>
      <c r="C46" t="s">
        <v>512</v>
      </c>
      <c r="D46">
        <v>105</v>
      </c>
      <c r="E46" t="s">
        <v>684</v>
      </c>
      <c r="F46" t="s">
        <v>803</v>
      </c>
      <c r="G46" t="s">
        <v>442</v>
      </c>
      <c r="H46" t="s">
        <v>441</v>
      </c>
    </row>
    <row r="47" spans="1:9" x14ac:dyDescent="0.35">
      <c r="A47" t="s">
        <v>487</v>
      </c>
      <c r="B47">
        <v>53</v>
      </c>
      <c r="C47" t="s">
        <v>512</v>
      </c>
      <c r="D47">
        <v>105</v>
      </c>
      <c r="E47" t="s">
        <v>803</v>
      </c>
      <c r="F47" t="s">
        <v>1072</v>
      </c>
      <c r="G47" t="s">
        <v>442</v>
      </c>
      <c r="H47" t="s">
        <v>441</v>
      </c>
      <c r="I47" t="s">
        <v>1075</v>
      </c>
    </row>
    <row r="48" spans="1:9" x14ac:dyDescent="0.35">
      <c r="A48" t="s">
        <v>487</v>
      </c>
      <c r="B48">
        <v>53</v>
      </c>
      <c r="C48" t="s">
        <v>512</v>
      </c>
      <c r="D48">
        <v>105</v>
      </c>
      <c r="E48" t="s">
        <v>1072</v>
      </c>
      <c r="F48" t="s">
        <v>904</v>
      </c>
      <c r="G48" t="s">
        <v>442</v>
      </c>
      <c r="H48" t="s">
        <v>441</v>
      </c>
    </row>
    <row r="49" spans="1:9" x14ac:dyDescent="0.35">
      <c r="A49" t="s">
        <v>487</v>
      </c>
      <c r="B49">
        <v>53</v>
      </c>
      <c r="C49" t="s">
        <v>512</v>
      </c>
      <c r="D49">
        <v>105</v>
      </c>
      <c r="E49" t="s">
        <v>904</v>
      </c>
      <c r="F49" t="s">
        <v>908</v>
      </c>
      <c r="G49" t="s">
        <v>442</v>
      </c>
      <c r="H49" t="s">
        <v>441</v>
      </c>
    </row>
    <row r="50" spans="1:9" x14ac:dyDescent="0.35">
      <c r="A50" t="s">
        <v>487</v>
      </c>
      <c r="B50">
        <v>53</v>
      </c>
      <c r="C50" t="s">
        <v>512</v>
      </c>
      <c r="D50">
        <v>105</v>
      </c>
      <c r="E50" t="s">
        <v>908</v>
      </c>
      <c r="F50" t="s">
        <v>1073</v>
      </c>
      <c r="G50" t="s">
        <v>442</v>
      </c>
      <c r="H50" t="s">
        <v>441</v>
      </c>
      <c r="I50" t="s">
        <v>1074</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609</v>
      </c>
      <c r="G53" t="s">
        <v>442</v>
      </c>
      <c r="H53" t="s">
        <v>441</v>
      </c>
    </row>
    <row r="54" spans="1:9" x14ac:dyDescent="0.35">
      <c r="A54" t="s">
        <v>487</v>
      </c>
      <c r="B54">
        <v>53</v>
      </c>
      <c r="C54" t="s">
        <v>512</v>
      </c>
      <c r="D54">
        <v>106</v>
      </c>
      <c r="E54" t="s">
        <v>609</v>
      </c>
      <c r="F54" t="s">
        <v>722</v>
      </c>
      <c r="G54" t="s">
        <v>442</v>
      </c>
      <c r="H54" t="s">
        <v>441</v>
      </c>
    </row>
    <row r="55" spans="1:9" x14ac:dyDescent="0.35">
      <c r="A55" t="s">
        <v>487</v>
      </c>
      <c r="B55">
        <v>53</v>
      </c>
      <c r="C55" t="s">
        <v>512</v>
      </c>
      <c r="D55">
        <v>106</v>
      </c>
      <c r="E55" t="s">
        <v>722</v>
      </c>
      <c r="F55" t="s">
        <v>684</v>
      </c>
      <c r="G55" t="s">
        <v>442</v>
      </c>
      <c r="H55" t="s">
        <v>441</v>
      </c>
    </row>
    <row r="56" spans="1:9" x14ac:dyDescent="0.35">
      <c r="A56" t="s">
        <v>487</v>
      </c>
      <c r="B56">
        <v>53</v>
      </c>
      <c r="C56" t="s">
        <v>512</v>
      </c>
      <c r="D56">
        <v>106</v>
      </c>
      <c r="E56" t="s">
        <v>684</v>
      </c>
      <c r="F56" t="s">
        <v>803</v>
      </c>
      <c r="G56" t="s">
        <v>442</v>
      </c>
      <c r="H56" t="s">
        <v>441</v>
      </c>
    </row>
    <row r="57" spans="1:9" x14ac:dyDescent="0.35">
      <c r="A57" t="s">
        <v>487</v>
      </c>
      <c r="B57">
        <v>53</v>
      </c>
      <c r="C57" t="s">
        <v>512</v>
      </c>
      <c r="D57">
        <v>106</v>
      </c>
      <c r="E57" t="s">
        <v>803</v>
      </c>
      <c r="F57" t="s">
        <v>1072</v>
      </c>
      <c r="G57" t="s">
        <v>442</v>
      </c>
      <c r="H57" t="s">
        <v>441</v>
      </c>
    </row>
    <row r="58" spans="1:9" x14ac:dyDescent="0.35">
      <c r="A58" t="s">
        <v>487</v>
      </c>
      <c r="B58">
        <v>53</v>
      </c>
      <c r="C58" t="s">
        <v>512</v>
      </c>
      <c r="D58">
        <v>106</v>
      </c>
      <c r="E58" t="s">
        <v>1072</v>
      </c>
      <c r="F58" t="s">
        <v>904</v>
      </c>
      <c r="G58" t="s">
        <v>442</v>
      </c>
      <c r="H58" t="s">
        <v>441</v>
      </c>
    </row>
    <row r="59" spans="1:9" x14ac:dyDescent="0.35">
      <c r="A59" t="s">
        <v>487</v>
      </c>
      <c r="B59">
        <v>53</v>
      </c>
      <c r="C59" t="s">
        <v>512</v>
      </c>
      <c r="D59">
        <v>106</v>
      </c>
      <c r="E59" t="s">
        <v>904</v>
      </c>
      <c r="F59" t="s">
        <v>908</v>
      </c>
      <c r="G59" t="s">
        <v>442</v>
      </c>
      <c r="H59" t="s">
        <v>441</v>
      </c>
    </row>
    <row r="60" spans="1:9" x14ac:dyDescent="0.35">
      <c r="A60" t="s">
        <v>487</v>
      </c>
      <c r="B60">
        <v>53</v>
      </c>
      <c r="C60" t="s">
        <v>512</v>
      </c>
      <c r="D60">
        <v>106</v>
      </c>
      <c r="E60" t="s">
        <v>908</v>
      </c>
      <c r="F60" t="s">
        <v>1073</v>
      </c>
      <c r="G60" t="s">
        <v>442</v>
      </c>
      <c r="H60" t="s">
        <v>441</v>
      </c>
      <c r="I60" t="s">
        <v>1074</v>
      </c>
    </row>
    <row r="62" spans="1:9" s="9" customFormat="1" x14ac:dyDescent="0.35">
      <c r="A62" s="9" t="s">
        <v>487</v>
      </c>
      <c r="B62" s="9">
        <v>53</v>
      </c>
      <c r="C62" s="9" t="s">
        <v>512</v>
      </c>
      <c r="D62" s="9">
        <v>107</v>
      </c>
      <c r="E62" s="9" t="s">
        <v>513</v>
      </c>
      <c r="F62" s="9" t="s">
        <v>559</v>
      </c>
      <c r="G62" s="9" t="s">
        <v>442</v>
      </c>
      <c r="H62" s="9" t="s">
        <v>442</v>
      </c>
      <c r="I62" s="9" t="s">
        <v>594</v>
      </c>
    </row>
    <row r="63" spans="1:9" x14ac:dyDescent="0.35">
      <c r="A63" t="s">
        <v>487</v>
      </c>
      <c r="B63">
        <v>53</v>
      </c>
      <c r="C63" t="s">
        <v>512</v>
      </c>
      <c r="D63">
        <v>107</v>
      </c>
      <c r="E63" t="s">
        <v>559</v>
      </c>
      <c r="F63" t="s">
        <v>609</v>
      </c>
      <c r="G63" t="s">
        <v>442</v>
      </c>
      <c r="H63" t="s">
        <v>441</v>
      </c>
    </row>
    <row r="64" spans="1:9" x14ac:dyDescent="0.35">
      <c r="A64" t="s">
        <v>487</v>
      </c>
      <c r="B64">
        <v>53</v>
      </c>
      <c r="C64" t="s">
        <v>512</v>
      </c>
      <c r="D64">
        <v>107</v>
      </c>
      <c r="E64" t="s">
        <v>609</v>
      </c>
      <c r="F64" t="s">
        <v>722</v>
      </c>
      <c r="G64" t="s">
        <v>442</v>
      </c>
      <c r="H64" t="s">
        <v>441</v>
      </c>
    </row>
    <row r="65" spans="1:9" x14ac:dyDescent="0.35">
      <c r="A65" t="s">
        <v>487</v>
      </c>
      <c r="B65">
        <v>53</v>
      </c>
      <c r="C65" t="s">
        <v>512</v>
      </c>
      <c r="D65">
        <v>107</v>
      </c>
      <c r="E65" t="s">
        <v>722</v>
      </c>
      <c r="F65" t="s">
        <v>684</v>
      </c>
      <c r="G65" t="s">
        <v>442</v>
      </c>
      <c r="H65" t="s">
        <v>441</v>
      </c>
    </row>
    <row r="66" spans="1:9" x14ac:dyDescent="0.35">
      <c r="A66" t="s">
        <v>487</v>
      </c>
      <c r="B66">
        <v>53</v>
      </c>
      <c r="C66" t="s">
        <v>512</v>
      </c>
      <c r="D66">
        <v>107</v>
      </c>
      <c r="E66" t="s">
        <v>684</v>
      </c>
      <c r="F66" t="s">
        <v>803</v>
      </c>
      <c r="G66" t="s">
        <v>442</v>
      </c>
      <c r="H66" t="s">
        <v>441</v>
      </c>
    </row>
    <row r="67" spans="1:9" x14ac:dyDescent="0.35">
      <c r="A67" t="s">
        <v>487</v>
      </c>
      <c r="B67">
        <v>53</v>
      </c>
      <c r="C67" t="s">
        <v>512</v>
      </c>
      <c r="D67">
        <v>107</v>
      </c>
      <c r="E67" t="s">
        <v>803</v>
      </c>
      <c r="F67" t="s">
        <v>1072</v>
      </c>
      <c r="G67" t="s">
        <v>442</v>
      </c>
      <c r="H67" t="s">
        <v>441</v>
      </c>
    </row>
    <row r="68" spans="1:9" x14ac:dyDescent="0.35">
      <c r="A68" t="s">
        <v>487</v>
      </c>
      <c r="B68">
        <v>53</v>
      </c>
      <c r="C68" t="s">
        <v>512</v>
      </c>
      <c r="D68">
        <v>107</v>
      </c>
      <c r="E68" t="s">
        <v>1072</v>
      </c>
      <c r="F68" t="s">
        <v>904</v>
      </c>
      <c r="G68" t="s">
        <v>442</v>
      </c>
      <c r="H68" t="s">
        <v>441</v>
      </c>
    </row>
    <row r="69" spans="1:9" x14ac:dyDescent="0.35">
      <c r="A69" t="s">
        <v>487</v>
      </c>
      <c r="B69">
        <v>53</v>
      </c>
      <c r="C69" t="s">
        <v>512</v>
      </c>
      <c r="D69">
        <v>107</v>
      </c>
      <c r="E69" t="s">
        <v>904</v>
      </c>
      <c r="F69" t="s">
        <v>908</v>
      </c>
      <c r="G69" t="s">
        <v>442</v>
      </c>
      <c r="H69" t="s">
        <v>441</v>
      </c>
    </row>
    <row r="70" spans="1:9" x14ac:dyDescent="0.35">
      <c r="A70" t="s">
        <v>487</v>
      </c>
      <c r="B70">
        <v>53</v>
      </c>
      <c r="C70" t="s">
        <v>512</v>
      </c>
      <c r="D70">
        <v>107</v>
      </c>
      <c r="E70" t="s">
        <v>908</v>
      </c>
      <c r="F70" t="s">
        <v>1073</v>
      </c>
      <c r="G70" t="s">
        <v>442</v>
      </c>
      <c r="H70" t="s">
        <v>441</v>
      </c>
      <c r="I70" t="s">
        <v>1074</v>
      </c>
    </row>
    <row r="72" spans="1:9" s="9" customFormat="1" x14ac:dyDescent="0.35">
      <c r="A72" s="9" t="s">
        <v>487</v>
      </c>
      <c r="B72" s="9">
        <v>53</v>
      </c>
      <c r="C72" s="9" t="s">
        <v>512</v>
      </c>
      <c r="D72" s="9">
        <v>108</v>
      </c>
      <c r="E72" s="9" t="s">
        <v>513</v>
      </c>
      <c r="F72" s="9" t="s">
        <v>559</v>
      </c>
      <c r="G72" s="9" t="s">
        <v>442</v>
      </c>
      <c r="H72" s="9" t="s">
        <v>442</v>
      </c>
      <c r="I72" s="9" t="s">
        <v>594</v>
      </c>
    </row>
    <row r="73" spans="1:9" x14ac:dyDescent="0.35">
      <c r="A73" t="s">
        <v>487</v>
      </c>
      <c r="B73">
        <v>53</v>
      </c>
      <c r="C73" t="s">
        <v>512</v>
      </c>
      <c r="D73">
        <v>108</v>
      </c>
      <c r="E73" t="s">
        <v>559</v>
      </c>
      <c r="F73" t="s">
        <v>609</v>
      </c>
      <c r="G73" t="s">
        <v>442</v>
      </c>
      <c r="H73" t="s">
        <v>441</v>
      </c>
    </row>
    <row r="74" spans="1:9" x14ac:dyDescent="0.35">
      <c r="A74" t="s">
        <v>487</v>
      </c>
      <c r="B74">
        <v>53</v>
      </c>
      <c r="C74" t="s">
        <v>512</v>
      </c>
      <c r="D74">
        <v>108</v>
      </c>
      <c r="E74" t="s">
        <v>609</v>
      </c>
      <c r="F74" t="s">
        <v>722</v>
      </c>
      <c r="G74" t="s">
        <v>442</v>
      </c>
      <c r="H74" t="s">
        <v>441</v>
      </c>
    </row>
    <row r="75" spans="1:9" x14ac:dyDescent="0.35">
      <c r="A75" t="s">
        <v>487</v>
      </c>
      <c r="B75">
        <v>53</v>
      </c>
      <c r="C75" t="s">
        <v>512</v>
      </c>
      <c r="D75">
        <v>108</v>
      </c>
      <c r="E75" t="s">
        <v>722</v>
      </c>
      <c r="F75" t="s">
        <v>684</v>
      </c>
      <c r="G75" t="s">
        <v>442</v>
      </c>
      <c r="H75" t="s">
        <v>441</v>
      </c>
    </row>
    <row r="76" spans="1:9" x14ac:dyDescent="0.35">
      <c r="A76" t="s">
        <v>487</v>
      </c>
      <c r="B76">
        <v>53</v>
      </c>
      <c r="C76" t="s">
        <v>512</v>
      </c>
      <c r="D76">
        <v>108</v>
      </c>
      <c r="E76" t="s">
        <v>684</v>
      </c>
      <c r="F76" t="s">
        <v>803</v>
      </c>
      <c r="G76" t="s">
        <v>442</v>
      </c>
      <c r="H76" t="s">
        <v>441</v>
      </c>
    </row>
    <row r="77" spans="1:9" x14ac:dyDescent="0.35">
      <c r="A77" t="s">
        <v>487</v>
      </c>
      <c r="B77">
        <v>53</v>
      </c>
      <c r="C77" t="s">
        <v>512</v>
      </c>
      <c r="D77">
        <v>108</v>
      </c>
      <c r="E77" t="s">
        <v>803</v>
      </c>
      <c r="F77" t="s">
        <v>1072</v>
      </c>
      <c r="G77" t="s">
        <v>442</v>
      </c>
      <c r="H77" t="s">
        <v>441</v>
      </c>
    </row>
    <row r="78" spans="1:9" x14ac:dyDescent="0.35">
      <c r="A78" t="s">
        <v>487</v>
      </c>
      <c r="B78">
        <v>53</v>
      </c>
      <c r="C78" t="s">
        <v>512</v>
      </c>
      <c r="D78">
        <v>108</v>
      </c>
      <c r="E78" t="s">
        <v>1072</v>
      </c>
      <c r="F78" t="s">
        <v>904</v>
      </c>
      <c r="G78" t="s">
        <v>442</v>
      </c>
      <c r="H78" t="s">
        <v>441</v>
      </c>
    </row>
    <row r="79" spans="1:9" x14ac:dyDescent="0.35">
      <c r="A79" t="s">
        <v>487</v>
      </c>
      <c r="B79">
        <v>53</v>
      </c>
      <c r="C79" t="s">
        <v>512</v>
      </c>
      <c r="D79">
        <v>108</v>
      </c>
      <c r="E79" t="s">
        <v>904</v>
      </c>
      <c r="F79" t="s">
        <v>908</v>
      </c>
      <c r="G79" t="s">
        <v>442</v>
      </c>
      <c r="H79" t="s">
        <v>441</v>
      </c>
    </row>
    <row r="80" spans="1:9" x14ac:dyDescent="0.35">
      <c r="A80" t="s">
        <v>487</v>
      </c>
      <c r="B80">
        <v>53</v>
      </c>
      <c r="C80" t="s">
        <v>512</v>
      </c>
      <c r="D80">
        <v>108</v>
      </c>
      <c r="E80" t="s">
        <v>908</v>
      </c>
      <c r="F80" t="s">
        <v>1073</v>
      </c>
      <c r="G80" t="s">
        <v>442</v>
      </c>
      <c r="H80" t="s">
        <v>441</v>
      </c>
      <c r="I80" t="s">
        <v>1076</v>
      </c>
    </row>
    <row r="82" spans="1:9" s="9" customFormat="1" x14ac:dyDescent="0.35">
      <c r="A82" s="9" t="s">
        <v>487</v>
      </c>
      <c r="B82" s="9">
        <v>53</v>
      </c>
      <c r="C82" s="9" t="s">
        <v>512</v>
      </c>
      <c r="D82" s="9">
        <v>109</v>
      </c>
      <c r="E82" s="9" t="s">
        <v>513</v>
      </c>
      <c r="F82" s="9" t="s">
        <v>559</v>
      </c>
      <c r="G82" s="9" t="s">
        <v>441</v>
      </c>
      <c r="H82" s="9" t="s">
        <v>442</v>
      </c>
      <c r="I82" s="9" t="s">
        <v>595</v>
      </c>
    </row>
    <row r="83" spans="1:9" x14ac:dyDescent="0.35">
      <c r="A83" t="s">
        <v>487</v>
      </c>
      <c r="B83">
        <v>53</v>
      </c>
      <c r="C83" t="s">
        <v>512</v>
      </c>
      <c r="D83">
        <v>109</v>
      </c>
      <c r="E83" t="s">
        <v>559</v>
      </c>
      <c r="F83" t="s">
        <v>609</v>
      </c>
      <c r="G83" t="s">
        <v>442</v>
      </c>
      <c r="H83" t="s">
        <v>441</v>
      </c>
      <c r="I83" t="s">
        <v>636</v>
      </c>
    </row>
    <row r="84" spans="1:9" x14ac:dyDescent="0.35">
      <c r="A84" t="s">
        <v>487</v>
      </c>
      <c r="B84">
        <v>53</v>
      </c>
      <c r="C84" t="s">
        <v>512</v>
      </c>
      <c r="D84">
        <v>109</v>
      </c>
      <c r="E84" t="s">
        <v>609</v>
      </c>
      <c r="F84" t="s">
        <v>722</v>
      </c>
      <c r="G84" t="s">
        <v>442</v>
      </c>
      <c r="H84" t="s">
        <v>441</v>
      </c>
    </row>
    <row r="85" spans="1:9" x14ac:dyDescent="0.35">
      <c r="A85" t="s">
        <v>487</v>
      </c>
      <c r="B85">
        <v>53</v>
      </c>
      <c r="C85" t="s">
        <v>512</v>
      </c>
      <c r="D85">
        <v>109</v>
      </c>
      <c r="E85" t="s">
        <v>722</v>
      </c>
      <c r="F85" t="s">
        <v>684</v>
      </c>
      <c r="G85" t="s">
        <v>442</v>
      </c>
      <c r="H85" t="s">
        <v>441</v>
      </c>
    </row>
    <row r="86" spans="1:9" x14ac:dyDescent="0.35">
      <c r="A86" t="s">
        <v>487</v>
      </c>
      <c r="B86">
        <v>53</v>
      </c>
      <c r="C86" t="s">
        <v>512</v>
      </c>
      <c r="D86">
        <v>109</v>
      </c>
      <c r="E86" t="s">
        <v>684</v>
      </c>
      <c r="F86" t="s">
        <v>803</v>
      </c>
      <c r="G86" t="s">
        <v>442</v>
      </c>
      <c r="H86" t="s">
        <v>441</v>
      </c>
    </row>
    <row r="87" spans="1:9" x14ac:dyDescent="0.35">
      <c r="A87" t="s">
        <v>487</v>
      </c>
      <c r="B87">
        <v>53</v>
      </c>
      <c r="C87" t="s">
        <v>512</v>
      </c>
      <c r="D87">
        <v>109</v>
      </c>
      <c r="E87" t="s">
        <v>803</v>
      </c>
      <c r="F87" t="s">
        <v>1072</v>
      </c>
      <c r="G87" t="s">
        <v>442</v>
      </c>
      <c r="H87" t="s">
        <v>441</v>
      </c>
    </row>
    <row r="88" spans="1:9" x14ac:dyDescent="0.35">
      <c r="A88" t="s">
        <v>487</v>
      </c>
      <c r="B88">
        <v>53</v>
      </c>
      <c r="C88" t="s">
        <v>512</v>
      </c>
      <c r="D88">
        <v>109</v>
      </c>
      <c r="E88" t="s">
        <v>1072</v>
      </c>
      <c r="F88" t="s">
        <v>904</v>
      </c>
      <c r="G88" t="s">
        <v>442</v>
      </c>
      <c r="H88" t="s">
        <v>441</v>
      </c>
    </row>
    <row r="89" spans="1:9" x14ac:dyDescent="0.35">
      <c r="A89" t="s">
        <v>487</v>
      </c>
      <c r="B89">
        <v>53</v>
      </c>
      <c r="C89" t="s">
        <v>512</v>
      </c>
      <c r="D89">
        <v>109</v>
      </c>
      <c r="E89" t="s">
        <v>904</v>
      </c>
      <c r="F89" t="s">
        <v>908</v>
      </c>
      <c r="G89" t="s">
        <v>442</v>
      </c>
      <c r="H89" t="s">
        <v>441</v>
      </c>
    </row>
    <row r="90" spans="1:9" x14ac:dyDescent="0.35">
      <c r="A90" t="s">
        <v>487</v>
      </c>
      <c r="B90">
        <v>53</v>
      </c>
      <c r="C90" t="s">
        <v>512</v>
      </c>
      <c r="D90">
        <v>109</v>
      </c>
      <c r="E90" t="s">
        <v>908</v>
      </c>
      <c r="F90" t="s">
        <v>1073</v>
      </c>
      <c r="G90" t="s">
        <v>442</v>
      </c>
      <c r="H90" t="s">
        <v>441</v>
      </c>
      <c r="I90" t="s">
        <v>1074</v>
      </c>
    </row>
    <row r="92" spans="1:9" s="9" customFormat="1" x14ac:dyDescent="0.35">
      <c r="A92" s="9" t="s">
        <v>487</v>
      </c>
      <c r="B92" s="9">
        <v>53</v>
      </c>
      <c r="C92" s="9" t="s">
        <v>512</v>
      </c>
      <c r="D92" s="9">
        <v>110</v>
      </c>
      <c r="E92" s="9" t="s">
        <v>513</v>
      </c>
      <c r="F92" s="9" t="s">
        <v>559</v>
      </c>
      <c r="G92" s="9" t="s">
        <v>442</v>
      </c>
      <c r="H92" s="9" t="s">
        <v>442</v>
      </c>
      <c r="I92" s="9" t="s">
        <v>594</v>
      </c>
    </row>
    <row r="93" spans="1:9" x14ac:dyDescent="0.35">
      <c r="A93" t="s">
        <v>487</v>
      </c>
      <c r="B93">
        <v>53</v>
      </c>
      <c r="C93" t="s">
        <v>512</v>
      </c>
      <c r="D93">
        <v>110</v>
      </c>
      <c r="E93" t="s">
        <v>559</v>
      </c>
      <c r="F93" t="s">
        <v>609</v>
      </c>
      <c r="G93" t="s">
        <v>442</v>
      </c>
      <c r="H93" t="s">
        <v>441</v>
      </c>
    </row>
    <row r="94" spans="1:9" x14ac:dyDescent="0.35">
      <c r="A94" t="s">
        <v>487</v>
      </c>
      <c r="B94">
        <v>53</v>
      </c>
      <c r="C94" t="s">
        <v>512</v>
      </c>
      <c r="D94">
        <v>110</v>
      </c>
      <c r="E94" t="s">
        <v>609</v>
      </c>
      <c r="F94" t="s">
        <v>722</v>
      </c>
      <c r="G94" t="s">
        <v>442</v>
      </c>
      <c r="H94" t="s">
        <v>441</v>
      </c>
    </row>
    <row r="95" spans="1:9" x14ac:dyDescent="0.35">
      <c r="A95" t="s">
        <v>487</v>
      </c>
      <c r="B95">
        <v>53</v>
      </c>
      <c r="C95" t="s">
        <v>512</v>
      </c>
      <c r="D95">
        <v>110</v>
      </c>
      <c r="E95" t="s">
        <v>722</v>
      </c>
      <c r="F95" t="s">
        <v>684</v>
      </c>
      <c r="G95" t="s">
        <v>442</v>
      </c>
      <c r="H95" t="s">
        <v>441</v>
      </c>
    </row>
    <row r="96" spans="1:9" x14ac:dyDescent="0.35">
      <c r="A96" t="s">
        <v>487</v>
      </c>
      <c r="B96">
        <v>53</v>
      </c>
      <c r="C96" t="s">
        <v>512</v>
      </c>
      <c r="D96">
        <v>110</v>
      </c>
      <c r="E96" t="s">
        <v>684</v>
      </c>
      <c r="F96" t="s">
        <v>803</v>
      </c>
      <c r="G96" t="s">
        <v>442</v>
      </c>
      <c r="H96" t="s">
        <v>441</v>
      </c>
    </row>
    <row r="97" spans="1:9" x14ac:dyDescent="0.35">
      <c r="A97" t="s">
        <v>487</v>
      </c>
      <c r="B97">
        <v>53</v>
      </c>
      <c r="C97" t="s">
        <v>512</v>
      </c>
      <c r="D97">
        <v>110</v>
      </c>
      <c r="E97" t="s">
        <v>803</v>
      </c>
      <c r="F97" t="s">
        <v>1072</v>
      </c>
      <c r="G97" t="s">
        <v>442</v>
      </c>
      <c r="H97" t="s">
        <v>441</v>
      </c>
    </row>
    <row r="98" spans="1:9" x14ac:dyDescent="0.35">
      <c r="A98" t="s">
        <v>487</v>
      </c>
      <c r="B98">
        <v>53</v>
      </c>
      <c r="C98" t="s">
        <v>512</v>
      </c>
      <c r="D98">
        <v>110</v>
      </c>
      <c r="E98" t="s">
        <v>1072</v>
      </c>
      <c r="F98" t="s">
        <v>904</v>
      </c>
      <c r="G98" t="s">
        <v>442</v>
      </c>
      <c r="H98" t="s">
        <v>441</v>
      </c>
    </row>
    <row r="99" spans="1:9" x14ac:dyDescent="0.35">
      <c r="A99" t="s">
        <v>487</v>
      </c>
      <c r="B99">
        <v>53</v>
      </c>
      <c r="C99" t="s">
        <v>512</v>
      </c>
      <c r="D99">
        <v>110</v>
      </c>
      <c r="E99" t="s">
        <v>904</v>
      </c>
      <c r="F99" t="s">
        <v>908</v>
      </c>
      <c r="G99" t="s">
        <v>442</v>
      </c>
      <c r="H99" t="s">
        <v>441</v>
      </c>
    </row>
    <row r="100" spans="1:9" x14ac:dyDescent="0.35">
      <c r="A100" t="s">
        <v>487</v>
      </c>
      <c r="B100">
        <v>53</v>
      </c>
      <c r="C100" t="s">
        <v>512</v>
      </c>
      <c r="D100">
        <v>110</v>
      </c>
      <c r="E100" t="s">
        <v>908</v>
      </c>
      <c r="F100" t="s">
        <v>1073</v>
      </c>
      <c r="G100" t="s">
        <v>442</v>
      </c>
      <c r="H100" t="s">
        <v>441</v>
      </c>
      <c r="I100" t="s">
        <v>1074</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609</v>
      </c>
      <c r="G103" t="s">
        <v>442</v>
      </c>
      <c r="H103" t="s">
        <v>441</v>
      </c>
    </row>
    <row r="104" spans="1:9" x14ac:dyDescent="0.35">
      <c r="A104" t="s">
        <v>487</v>
      </c>
      <c r="B104">
        <v>53</v>
      </c>
      <c r="C104" t="s">
        <v>512</v>
      </c>
      <c r="D104">
        <v>111</v>
      </c>
      <c r="E104" t="s">
        <v>609</v>
      </c>
      <c r="F104" t="s">
        <v>722</v>
      </c>
      <c r="G104" t="s">
        <v>442</v>
      </c>
      <c r="H104" t="s">
        <v>441</v>
      </c>
    </row>
    <row r="105" spans="1:9" x14ac:dyDescent="0.35">
      <c r="A105" t="s">
        <v>487</v>
      </c>
      <c r="B105">
        <v>53</v>
      </c>
      <c r="C105" t="s">
        <v>512</v>
      </c>
      <c r="D105">
        <v>111</v>
      </c>
      <c r="E105" t="s">
        <v>722</v>
      </c>
      <c r="F105" t="s">
        <v>684</v>
      </c>
      <c r="G105" t="s">
        <v>442</v>
      </c>
      <c r="H105" t="s">
        <v>441</v>
      </c>
    </row>
    <row r="106" spans="1:9" x14ac:dyDescent="0.35">
      <c r="A106" t="s">
        <v>487</v>
      </c>
      <c r="B106">
        <v>53</v>
      </c>
      <c r="C106" t="s">
        <v>512</v>
      </c>
      <c r="D106">
        <v>111</v>
      </c>
      <c r="E106" t="s">
        <v>684</v>
      </c>
      <c r="F106" t="s">
        <v>803</v>
      </c>
      <c r="G106" t="s">
        <v>442</v>
      </c>
      <c r="H106" t="s">
        <v>441</v>
      </c>
    </row>
    <row r="107" spans="1:9" x14ac:dyDescent="0.35">
      <c r="A107" t="s">
        <v>487</v>
      </c>
      <c r="B107">
        <v>53</v>
      </c>
      <c r="C107" t="s">
        <v>512</v>
      </c>
      <c r="D107">
        <v>111</v>
      </c>
      <c r="E107" t="s">
        <v>803</v>
      </c>
      <c r="F107" t="s">
        <v>1072</v>
      </c>
      <c r="G107" t="s">
        <v>442</v>
      </c>
      <c r="H107" t="s">
        <v>441</v>
      </c>
    </row>
    <row r="108" spans="1:9" x14ac:dyDescent="0.35">
      <c r="A108" t="s">
        <v>487</v>
      </c>
      <c r="B108">
        <v>53</v>
      </c>
      <c r="C108" t="s">
        <v>512</v>
      </c>
      <c r="D108">
        <v>111</v>
      </c>
      <c r="E108" t="s">
        <v>1072</v>
      </c>
      <c r="F108" t="s">
        <v>904</v>
      </c>
      <c r="G108" t="s">
        <v>442</v>
      </c>
      <c r="H108" t="s">
        <v>441</v>
      </c>
    </row>
    <row r="109" spans="1:9" x14ac:dyDescent="0.35">
      <c r="A109" t="s">
        <v>487</v>
      </c>
      <c r="B109">
        <v>53</v>
      </c>
      <c r="C109" t="s">
        <v>512</v>
      </c>
      <c r="D109">
        <v>111</v>
      </c>
      <c r="E109" t="s">
        <v>904</v>
      </c>
      <c r="F109" t="s">
        <v>908</v>
      </c>
      <c r="G109" t="s">
        <v>442</v>
      </c>
      <c r="H109" t="s">
        <v>441</v>
      </c>
    </row>
    <row r="110" spans="1:9" x14ac:dyDescent="0.35">
      <c r="A110" t="s">
        <v>487</v>
      </c>
      <c r="B110">
        <v>53</v>
      </c>
      <c r="C110" t="s">
        <v>512</v>
      </c>
      <c r="D110">
        <v>111</v>
      </c>
      <c r="E110" t="s">
        <v>908</v>
      </c>
      <c r="F110" t="s">
        <v>1073</v>
      </c>
      <c r="G110" t="s">
        <v>442</v>
      </c>
      <c r="H110" t="s">
        <v>441</v>
      </c>
      <c r="I110" t="s">
        <v>1074</v>
      </c>
    </row>
    <row r="112" spans="1:9" s="9" customFormat="1" x14ac:dyDescent="0.35">
      <c r="A112" s="9" t="s">
        <v>487</v>
      </c>
      <c r="B112" s="9">
        <v>53</v>
      </c>
      <c r="C112" s="9" t="s">
        <v>512</v>
      </c>
      <c r="D112" s="9">
        <v>112</v>
      </c>
      <c r="E112" s="9" t="s">
        <v>513</v>
      </c>
      <c r="F112" s="9" t="s">
        <v>559</v>
      </c>
      <c r="G112" s="9" t="s">
        <v>441</v>
      </c>
      <c r="H112" s="9" t="s">
        <v>442</v>
      </c>
      <c r="I112" s="9" t="s">
        <v>596</v>
      </c>
    </row>
    <row r="113" spans="1:9" x14ac:dyDescent="0.35">
      <c r="A113" t="s">
        <v>487</v>
      </c>
      <c r="B113">
        <v>53</v>
      </c>
      <c r="C113" t="s">
        <v>512</v>
      </c>
      <c r="D113">
        <v>112</v>
      </c>
      <c r="E113" t="s">
        <v>559</v>
      </c>
      <c r="F113" t="s">
        <v>609</v>
      </c>
      <c r="G113" t="s">
        <v>442</v>
      </c>
      <c r="H113" t="s">
        <v>441</v>
      </c>
      <c r="I113" t="s">
        <v>636</v>
      </c>
    </row>
    <row r="114" spans="1:9" x14ac:dyDescent="0.35">
      <c r="A114" t="s">
        <v>487</v>
      </c>
      <c r="B114">
        <v>53</v>
      </c>
      <c r="C114" t="s">
        <v>512</v>
      </c>
      <c r="D114">
        <v>112</v>
      </c>
      <c r="E114" t="s">
        <v>609</v>
      </c>
      <c r="F114" t="s">
        <v>722</v>
      </c>
      <c r="G114" t="s">
        <v>442</v>
      </c>
      <c r="H114" t="s">
        <v>441</v>
      </c>
    </row>
    <row r="115" spans="1:9" x14ac:dyDescent="0.35">
      <c r="A115" t="s">
        <v>487</v>
      </c>
      <c r="B115">
        <v>53</v>
      </c>
      <c r="C115" t="s">
        <v>512</v>
      </c>
      <c r="D115">
        <v>112</v>
      </c>
      <c r="E115" t="s">
        <v>722</v>
      </c>
      <c r="F115" t="s">
        <v>684</v>
      </c>
      <c r="G115" t="s">
        <v>442</v>
      </c>
      <c r="H115" t="s">
        <v>441</v>
      </c>
      <c r="I115" t="s">
        <v>766</v>
      </c>
    </row>
    <row r="116" spans="1:9" x14ac:dyDescent="0.35">
      <c r="A116" t="s">
        <v>487</v>
      </c>
      <c r="B116">
        <v>53</v>
      </c>
      <c r="C116" t="s">
        <v>512</v>
      </c>
      <c r="D116">
        <v>112</v>
      </c>
      <c r="E116" t="s">
        <v>684</v>
      </c>
      <c r="F116" t="s">
        <v>803</v>
      </c>
      <c r="G116" t="s">
        <v>442</v>
      </c>
      <c r="H116" t="s">
        <v>441</v>
      </c>
    </row>
    <row r="117" spans="1:9" x14ac:dyDescent="0.35">
      <c r="A117" t="s">
        <v>487</v>
      </c>
      <c r="B117">
        <v>53</v>
      </c>
      <c r="C117" t="s">
        <v>512</v>
      </c>
      <c r="D117">
        <v>112</v>
      </c>
      <c r="E117" t="s">
        <v>803</v>
      </c>
      <c r="F117" t="s">
        <v>1072</v>
      </c>
      <c r="G117" t="s">
        <v>442</v>
      </c>
      <c r="H117" t="s">
        <v>441</v>
      </c>
    </row>
    <row r="118" spans="1:9" x14ac:dyDescent="0.35">
      <c r="A118" t="s">
        <v>487</v>
      </c>
      <c r="B118">
        <v>53</v>
      </c>
      <c r="C118" t="s">
        <v>512</v>
      </c>
      <c r="D118">
        <v>112</v>
      </c>
      <c r="E118" t="s">
        <v>1072</v>
      </c>
      <c r="F118" t="s">
        <v>904</v>
      </c>
      <c r="G118" t="s">
        <v>442</v>
      </c>
      <c r="H118" t="s">
        <v>441</v>
      </c>
    </row>
    <row r="119" spans="1:9" x14ac:dyDescent="0.35">
      <c r="A119" t="s">
        <v>487</v>
      </c>
      <c r="B119">
        <v>53</v>
      </c>
      <c r="C119" t="s">
        <v>512</v>
      </c>
      <c r="D119">
        <v>112</v>
      </c>
      <c r="E119" t="s">
        <v>904</v>
      </c>
      <c r="F119" t="s">
        <v>908</v>
      </c>
      <c r="G119" t="s">
        <v>442</v>
      </c>
      <c r="H119" t="s">
        <v>441</v>
      </c>
    </row>
    <row r="120" spans="1:9" x14ac:dyDescent="0.35">
      <c r="A120" t="s">
        <v>487</v>
      </c>
      <c r="B120">
        <v>53</v>
      </c>
      <c r="C120" t="s">
        <v>512</v>
      </c>
      <c r="D120">
        <v>112</v>
      </c>
      <c r="E120" t="s">
        <v>908</v>
      </c>
      <c r="F120" t="s">
        <v>1073</v>
      </c>
      <c r="G120" t="s">
        <v>442</v>
      </c>
      <c r="H120" t="s">
        <v>441</v>
      </c>
      <c r="I120" t="s">
        <v>1074</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609</v>
      </c>
      <c r="G123" t="s">
        <v>442</v>
      </c>
      <c r="H123" t="s">
        <v>441</v>
      </c>
    </row>
    <row r="124" spans="1:9" x14ac:dyDescent="0.35">
      <c r="A124" t="s">
        <v>487</v>
      </c>
      <c r="B124">
        <v>53</v>
      </c>
      <c r="C124" t="s">
        <v>512</v>
      </c>
      <c r="D124">
        <v>113</v>
      </c>
      <c r="E124" t="s">
        <v>609</v>
      </c>
      <c r="F124" t="s">
        <v>722</v>
      </c>
      <c r="G124" t="s">
        <v>442</v>
      </c>
      <c r="H124" t="s">
        <v>441</v>
      </c>
    </row>
    <row r="125" spans="1:9" x14ac:dyDescent="0.35">
      <c r="A125" t="s">
        <v>487</v>
      </c>
      <c r="B125">
        <v>53</v>
      </c>
      <c r="C125" t="s">
        <v>512</v>
      </c>
      <c r="D125">
        <v>113</v>
      </c>
      <c r="E125" t="s">
        <v>722</v>
      </c>
      <c r="F125" t="s">
        <v>684</v>
      </c>
      <c r="G125" t="s">
        <v>442</v>
      </c>
      <c r="H125" t="s">
        <v>441</v>
      </c>
    </row>
    <row r="126" spans="1:9" x14ac:dyDescent="0.35">
      <c r="A126" t="s">
        <v>487</v>
      </c>
      <c r="B126">
        <v>53</v>
      </c>
      <c r="C126" t="s">
        <v>512</v>
      </c>
      <c r="D126">
        <v>113</v>
      </c>
      <c r="E126" t="s">
        <v>684</v>
      </c>
      <c r="F126" t="s">
        <v>803</v>
      </c>
      <c r="G126" t="s">
        <v>442</v>
      </c>
      <c r="H126" t="s">
        <v>441</v>
      </c>
    </row>
    <row r="127" spans="1:9" x14ac:dyDescent="0.35">
      <c r="A127" t="s">
        <v>487</v>
      </c>
      <c r="B127">
        <v>53</v>
      </c>
      <c r="C127" t="s">
        <v>512</v>
      </c>
      <c r="D127">
        <v>113</v>
      </c>
      <c r="E127" t="s">
        <v>803</v>
      </c>
      <c r="F127" t="s">
        <v>1072</v>
      </c>
      <c r="G127" t="s">
        <v>442</v>
      </c>
      <c r="H127" t="s">
        <v>441</v>
      </c>
    </row>
    <row r="128" spans="1:9" x14ac:dyDescent="0.35">
      <c r="A128" t="s">
        <v>487</v>
      </c>
      <c r="B128">
        <v>53</v>
      </c>
      <c r="C128" t="s">
        <v>512</v>
      </c>
      <c r="D128">
        <v>113</v>
      </c>
      <c r="E128" t="s">
        <v>1072</v>
      </c>
      <c r="F128" t="s">
        <v>904</v>
      </c>
      <c r="G128" t="s">
        <v>442</v>
      </c>
      <c r="H128" t="s">
        <v>441</v>
      </c>
    </row>
    <row r="129" spans="1:9" x14ac:dyDescent="0.35">
      <c r="A129" t="s">
        <v>487</v>
      </c>
      <c r="B129">
        <v>53</v>
      </c>
      <c r="C129" t="s">
        <v>512</v>
      </c>
      <c r="D129">
        <v>113</v>
      </c>
      <c r="E129" t="s">
        <v>904</v>
      </c>
      <c r="F129" t="s">
        <v>908</v>
      </c>
      <c r="G129" t="s">
        <v>442</v>
      </c>
      <c r="H129" t="s">
        <v>441</v>
      </c>
    </row>
    <row r="130" spans="1:9" x14ac:dyDescent="0.35">
      <c r="A130" t="s">
        <v>487</v>
      </c>
      <c r="B130">
        <v>53</v>
      </c>
      <c r="C130" t="s">
        <v>512</v>
      </c>
      <c r="D130">
        <v>113</v>
      </c>
      <c r="E130" t="s">
        <v>908</v>
      </c>
      <c r="F130" t="s">
        <v>1073</v>
      </c>
      <c r="G130" t="s">
        <v>442</v>
      </c>
      <c r="H130" t="s">
        <v>441</v>
      </c>
      <c r="I130" t="s">
        <v>1074</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609</v>
      </c>
      <c r="G133" t="s">
        <v>442</v>
      </c>
      <c r="H133" t="s">
        <v>441</v>
      </c>
    </row>
    <row r="134" spans="1:9" x14ac:dyDescent="0.35">
      <c r="A134" t="s">
        <v>487</v>
      </c>
      <c r="B134">
        <v>53</v>
      </c>
      <c r="C134" t="s">
        <v>512</v>
      </c>
      <c r="D134">
        <v>114</v>
      </c>
      <c r="E134" t="s">
        <v>609</v>
      </c>
      <c r="F134" t="s">
        <v>722</v>
      </c>
      <c r="G134" t="s">
        <v>442</v>
      </c>
      <c r="H134" t="s">
        <v>441</v>
      </c>
    </row>
    <row r="135" spans="1:9" x14ac:dyDescent="0.35">
      <c r="A135" t="s">
        <v>487</v>
      </c>
      <c r="B135">
        <v>53</v>
      </c>
      <c r="C135" t="s">
        <v>512</v>
      </c>
      <c r="D135">
        <v>114</v>
      </c>
      <c r="E135" t="s">
        <v>722</v>
      </c>
      <c r="F135" t="s">
        <v>684</v>
      </c>
      <c r="G135" t="s">
        <v>442</v>
      </c>
      <c r="H135" t="s">
        <v>441</v>
      </c>
    </row>
    <row r="136" spans="1:9" x14ac:dyDescent="0.35">
      <c r="A136" t="s">
        <v>487</v>
      </c>
      <c r="B136">
        <v>53</v>
      </c>
      <c r="C136" t="s">
        <v>512</v>
      </c>
      <c r="D136">
        <v>114</v>
      </c>
      <c r="E136" t="s">
        <v>684</v>
      </c>
      <c r="F136" t="s">
        <v>803</v>
      </c>
      <c r="G136" t="s">
        <v>442</v>
      </c>
      <c r="H136" t="s">
        <v>441</v>
      </c>
    </row>
    <row r="137" spans="1:9" x14ac:dyDescent="0.35">
      <c r="A137" t="s">
        <v>487</v>
      </c>
      <c r="B137">
        <v>53</v>
      </c>
      <c r="C137" t="s">
        <v>512</v>
      </c>
      <c r="D137">
        <v>114</v>
      </c>
      <c r="E137" t="s">
        <v>803</v>
      </c>
      <c r="F137" t="s">
        <v>1072</v>
      </c>
      <c r="G137" t="s">
        <v>442</v>
      </c>
      <c r="H137" t="s">
        <v>441</v>
      </c>
    </row>
    <row r="138" spans="1:9" x14ac:dyDescent="0.35">
      <c r="A138" t="s">
        <v>487</v>
      </c>
      <c r="B138">
        <v>53</v>
      </c>
      <c r="C138" t="s">
        <v>512</v>
      </c>
      <c r="D138">
        <v>114</v>
      </c>
      <c r="E138" t="s">
        <v>1072</v>
      </c>
      <c r="F138" t="s">
        <v>904</v>
      </c>
      <c r="G138" t="s">
        <v>442</v>
      </c>
      <c r="H138" t="s">
        <v>441</v>
      </c>
    </row>
    <row r="139" spans="1:9" x14ac:dyDescent="0.35">
      <c r="A139" t="s">
        <v>487</v>
      </c>
      <c r="B139">
        <v>53</v>
      </c>
      <c r="C139" t="s">
        <v>512</v>
      </c>
      <c r="D139">
        <v>114</v>
      </c>
      <c r="E139" t="s">
        <v>904</v>
      </c>
      <c r="F139" t="s">
        <v>908</v>
      </c>
      <c r="G139" t="s">
        <v>442</v>
      </c>
      <c r="H139" t="s">
        <v>441</v>
      </c>
    </row>
    <row r="140" spans="1:9" x14ac:dyDescent="0.35">
      <c r="A140" t="s">
        <v>487</v>
      </c>
      <c r="B140">
        <v>53</v>
      </c>
      <c r="C140" t="s">
        <v>512</v>
      </c>
      <c r="D140">
        <v>114</v>
      </c>
      <c r="E140" t="s">
        <v>908</v>
      </c>
      <c r="F140" t="s">
        <v>1073</v>
      </c>
      <c r="G140" t="s">
        <v>442</v>
      </c>
      <c r="H140" t="s">
        <v>441</v>
      </c>
      <c r="I140" t="s">
        <v>1074</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609</v>
      </c>
      <c r="G143" t="s">
        <v>442</v>
      </c>
      <c r="H143" t="s">
        <v>441</v>
      </c>
    </row>
    <row r="144" spans="1:9" x14ac:dyDescent="0.35">
      <c r="A144" t="s">
        <v>487</v>
      </c>
      <c r="B144">
        <v>53</v>
      </c>
      <c r="C144" t="s">
        <v>512</v>
      </c>
      <c r="D144">
        <v>115</v>
      </c>
      <c r="E144" t="s">
        <v>609</v>
      </c>
      <c r="F144" t="s">
        <v>722</v>
      </c>
      <c r="G144" t="s">
        <v>442</v>
      </c>
      <c r="H144" t="s">
        <v>441</v>
      </c>
    </row>
    <row r="145" spans="1:9" x14ac:dyDescent="0.35">
      <c r="A145" t="s">
        <v>487</v>
      </c>
      <c r="B145">
        <v>53</v>
      </c>
      <c r="C145" t="s">
        <v>512</v>
      </c>
      <c r="D145">
        <v>115</v>
      </c>
      <c r="E145" t="s">
        <v>722</v>
      </c>
      <c r="F145" t="s">
        <v>684</v>
      </c>
      <c r="G145" t="s">
        <v>442</v>
      </c>
      <c r="H145" t="s">
        <v>441</v>
      </c>
    </row>
    <row r="146" spans="1:9" x14ac:dyDescent="0.35">
      <c r="A146" t="s">
        <v>487</v>
      </c>
      <c r="B146">
        <v>53</v>
      </c>
      <c r="C146" t="s">
        <v>512</v>
      </c>
      <c r="D146">
        <v>115</v>
      </c>
      <c r="E146" t="s">
        <v>684</v>
      </c>
      <c r="F146" t="s">
        <v>803</v>
      </c>
      <c r="G146" t="s">
        <v>442</v>
      </c>
      <c r="H146" t="s">
        <v>441</v>
      </c>
    </row>
    <row r="147" spans="1:9" x14ac:dyDescent="0.35">
      <c r="A147" t="s">
        <v>487</v>
      </c>
      <c r="B147">
        <v>53</v>
      </c>
      <c r="C147" t="s">
        <v>512</v>
      </c>
      <c r="D147">
        <v>115</v>
      </c>
      <c r="E147" t="s">
        <v>803</v>
      </c>
      <c r="F147" t="s">
        <v>1072</v>
      </c>
      <c r="G147" t="s">
        <v>442</v>
      </c>
      <c r="H147" t="s">
        <v>441</v>
      </c>
    </row>
    <row r="148" spans="1:9" x14ac:dyDescent="0.35">
      <c r="A148" t="s">
        <v>487</v>
      </c>
      <c r="B148">
        <v>53</v>
      </c>
      <c r="C148" t="s">
        <v>512</v>
      </c>
      <c r="D148">
        <v>115</v>
      </c>
      <c r="E148" t="s">
        <v>1072</v>
      </c>
      <c r="F148" t="s">
        <v>904</v>
      </c>
      <c r="G148" t="s">
        <v>442</v>
      </c>
      <c r="H148" t="s">
        <v>441</v>
      </c>
    </row>
    <row r="149" spans="1:9" x14ac:dyDescent="0.35">
      <c r="A149" t="s">
        <v>487</v>
      </c>
      <c r="B149">
        <v>53</v>
      </c>
      <c r="C149" t="s">
        <v>512</v>
      </c>
      <c r="D149">
        <v>115</v>
      </c>
      <c r="E149" t="s">
        <v>904</v>
      </c>
      <c r="F149" t="s">
        <v>908</v>
      </c>
      <c r="G149" t="s">
        <v>442</v>
      </c>
      <c r="H149" t="s">
        <v>441</v>
      </c>
    </row>
    <row r="150" spans="1:9" x14ac:dyDescent="0.35">
      <c r="A150" t="s">
        <v>487</v>
      </c>
      <c r="B150">
        <v>53</v>
      </c>
      <c r="C150" t="s">
        <v>512</v>
      </c>
      <c r="D150">
        <v>115</v>
      </c>
      <c r="E150" t="s">
        <v>908</v>
      </c>
      <c r="F150" t="s">
        <v>1073</v>
      </c>
      <c r="G150" t="s">
        <v>442</v>
      </c>
      <c r="H150" t="s">
        <v>441</v>
      </c>
      <c r="I150" t="s">
        <v>1074</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counts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2025-05-26T23:22:59Z</dcterms:modified>
</cp:coreProperties>
</file>