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6782" documentId="8_{E6A25E5A-660E-410D-80FD-02C42A3E01DD}" xr6:coauthVersionLast="47" xr6:coauthVersionMax="47" xr10:uidLastSave="{1922CAA1-02E8-4E40-A712-1DB0FB82D583}"/>
  <bookViews>
    <workbookView xWindow="-110" yWindow="-110" windowWidth="19420" windowHeight="10420" activeTab="1"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 name="Yellow pan trap counts 2024"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 i="11" l="1"/>
  <c r="W35" i="11"/>
  <c r="W36" i="11"/>
  <c r="W37" i="11"/>
  <c r="W38" i="11"/>
  <c r="W39" i="11"/>
  <c r="W40" i="11"/>
  <c r="W41" i="11"/>
  <c r="W42" i="11"/>
  <c r="W43" i="11"/>
  <c r="W44" i="11"/>
  <c r="W45" i="11"/>
  <c r="W46" i="11"/>
  <c r="W47" i="11"/>
  <c r="W48" i="11"/>
  <c r="W49" i="11"/>
  <c r="W50" i="11"/>
  <c r="W51" i="11"/>
  <c r="W52" i="11"/>
  <c r="W53" i="11"/>
  <c r="W54" i="11"/>
  <c r="W55" i="11"/>
  <c r="W56" i="11"/>
  <c r="W57" i="11"/>
  <c r="W58" i="11"/>
  <c r="W59" i="11"/>
  <c r="W60" i="11"/>
  <c r="W61" i="11"/>
  <c r="W33" i="11"/>
  <c r="W32" i="11"/>
  <c r="E48" i="11"/>
  <c r="E49" i="11"/>
  <c r="E50" i="11"/>
  <c r="E51" i="11"/>
  <c r="E52" i="11"/>
  <c r="E53" i="11"/>
  <c r="E54" i="11"/>
  <c r="E55" i="11"/>
  <c r="E56" i="11"/>
  <c r="E57" i="11"/>
  <c r="E58" i="11"/>
  <c r="E59" i="11"/>
  <c r="E60" i="11"/>
  <c r="E61" i="11"/>
  <c r="E47" i="11"/>
  <c r="E34" i="11"/>
  <c r="E35" i="11"/>
  <c r="E36" i="11"/>
  <c r="E37" i="11"/>
  <c r="E38" i="11"/>
  <c r="E39" i="11"/>
  <c r="E40" i="11"/>
  <c r="E41" i="11"/>
  <c r="E42" i="11"/>
  <c r="E43" i="11"/>
  <c r="E44" i="11"/>
  <c r="E45" i="11"/>
  <c r="E46" i="11"/>
  <c r="E33" i="11"/>
  <c r="E32" i="11"/>
  <c r="Q33" i="11"/>
  <c r="Q34" i="11"/>
  <c r="Q35" i="11"/>
  <c r="Q36" i="11"/>
  <c r="Q37" i="11"/>
  <c r="Q38" i="11"/>
  <c r="Q39" i="11"/>
  <c r="Q40" i="11"/>
  <c r="Q41" i="11"/>
  <c r="Q42" i="11"/>
  <c r="Q43" i="11"/>
  <c r="Q44" i="11"/>
  <c r="Q45" i="11"/>
  <c r="Q46" i="11"/>
  <c r="Q47" i="11"/>
  <c r="Q48" i="11"/>
  <c r="Q49" i="11"/>
  <c r="Q50" i="11"/>
  <c r="Q51" i="11"/>
  <c r="Q52" i="11"/>
  <c r="Q53" i="11"/>
  <c r="Q54" i="11"/>
  <c r="Q55" i="11"/>
  <c r="Q56" i="11"/>
  <c r="Q57" i="11"/>
  <c r="Q58" i="11"/>
  <c r="Q59" i="11"/>
  <c r="Q60" i="11"/>
  <c r="Q61" i="11"/>
  <c r="Q32" i="11"/>
</calcChain>
</file>

<file path=xl/sharedStrings.xml><?xml version="1.0" encoding="utf-8"?>
<sst xmlns="http://schemas.openxmlformats.org/spreadsheetml/2006/main" count="12735" uniqueCount="1150">
  <si>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</si>
  <si>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</si>
  <si>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</si>
  <si>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</si>
  <si>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</si>
  <si>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</si>
  <si>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</si>
  <si>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</si>
  <si>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</si>
  <si>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</si>
  <si>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</si>
  <si>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</si>
  <si>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</si>
  <si>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</si>
  <si>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</si>
  <si>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</si>
  <si>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</si>
  <si>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</si>
  <si>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</si>
  <si>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</si>
  <si>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</si>
  <si>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</si>
  <si>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</si>
  <si>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</si>
  <si>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</si>
  <si>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</si>
  <si>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</si>
  <si>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</si>
  <si>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</si>
  <si>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</si>
  <si>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</si>
  <si>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</si>
  <si>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</si>
  <si>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</si>
  <si>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</si>
  <si>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</si>
  <si>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</si>
  <si>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</si>
  <si>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</si>
  <si>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</si>
  <si>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</si>
  <si>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</si>
  <si>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</si>
  <si>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</si>
  <si>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</si>
  <si>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</si>
  <si>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</si>
  <si>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</si>
  <si>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</si>
  <si>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</si>
  <si>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</si>
  <si>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</si>
  <si>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</si>
  <si>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</si>
  <si>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</si>
  <si>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</si>
  <si>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</si>
  <si>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</si>
  <si>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</si>
  <si>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</si>
  <si>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</si>
  <si>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</si>
  <si>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</si>
  <si>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</si>
  <si>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</si>
  <si>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</si>
  <si>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</si>
  <si>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</si>
  <si>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</si>
  <si>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</si>
  <si>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</si>
  <si>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</si>
  <si>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</si>
  <si>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</si>
  <si>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</si>
  <si>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</si>
  <si>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</si>
  <si>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</si>
  <si>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</si>
  <si>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</si>
  <si>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</si>
  <si>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</si>
  <si>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</si>
  <si>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</si>
  <si>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</si>
  <si>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</si>
  <si>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</si>
  <si>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</si>
  <si>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</si>
  <si>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</si>
  <si>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</si>
  <si>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</si>
  <si>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</si>
  <si>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</si>
  <si>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</si>
  <si>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</si>
  <si>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</si>
  <si>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</si>
  <si>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</si>
  <si>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</si>
  <si>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</si>
  <si>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</si>
  <si>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</si>
  <si>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</si>
  <si>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</si>
  <si>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</si>
  <si>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</si>
  <si>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</si>
  <si>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</si>
  <si>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</si>
  <si>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</si>
  <si>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</si>
  <si>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</si>
  <si>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</si>
  <si>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</si>
  <si>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</si>
  <si>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</si>
  <si>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</si>
  <si>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</si>
  <si>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</si>
  <si>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</si>
  <si>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</si>
  <si>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</si>
  <si>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</si>
  <si>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</si>
  <si>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</si>
  <si>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</si>
  <si>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</si>
  <si>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</si>
  <si>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</si>
  <si>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</si>
  <si>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</si>
  <si>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</si>
  <si>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</si>
  <si>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</si>
  <si>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</si>
  <si>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</si>
  <si>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</si>
  <si>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</si>
  <si>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</si>
  <si>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</si>
  <si>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</si>
  <si>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</si>
  <si>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</si>
  <si>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</si>
  <si>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</si>
  <si>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</si>
  <si>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</si>
  <si>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</si>
  <si>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</si>
  <si>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</si>
  <si>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</si>
  <si>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</si>
  <si>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</si>
  <si>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</si>
  <si>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</si>
  <si>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</si>
  <si>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</si>
  <si>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</si>
  <si>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</si>
  <si>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</si>
  <si>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</si>
  <si>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</si>
  <si>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</si>
  <si>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</si>
  <si>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</si>
  <si>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</si>
  <si>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</si>
  <si>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</si>
  <si>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</si>
  <si>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</si>
  <si>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</si>
  <si>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</si>
  <si>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</si>
  <si>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</si>
  <si>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</si>
  <si>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</si>
  <si>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</si>
  <si>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</si>
  <si>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</si>
  <si>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</si>
  <si>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</si>
  <si>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</si>
  <si>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</si>
  <si>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</si>
  <si>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</si>
  <si>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</si>
  <si>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</si>
  <si>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</si>
  <si>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</si>
  <si>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</si>
  <si>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</si>
  <si>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</si>
  <si>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</si>
  <si>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</si>
  <si>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</si>
  <si>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</si>
  <si>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</si>
  <si>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</si>
  <si>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</si>
  <si>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</si>
  <si>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</si>
  <si>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</si>
  <si>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</si>
  <si>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</si>
  <si>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</si>
  <si>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</si>
  <si>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</si>
  <si>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</si>
  <si>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</si>
  <si>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</si>
  <si>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</si>
  <si>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</si>
  <si>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</si>
  <si>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</si>
  <si>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</si>
  <si>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</si>
  <si>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</si>
  <si>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</si>
  <si>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</si>
  <si>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</si>
  <si>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</si>
  <si>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</si>
  <si>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</si>
  <si>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</si>
  <si>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</si>
  <si>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</si>
  <si>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</si>
  <si>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</si>
  <si>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</si>
  <si>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</si>
  <si>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</si>
  <si>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</si>
  <si>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</si>
  <si>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</si>
  <si>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</si>
  <si>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</si>
  <si>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</si>
  <si>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</si>
  <si>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</si>
  <si>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</si>
  <si>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</si>
  <si>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</si>
  <si>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</si>
  <si>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</si>
  <si>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</si>
  <si>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</si>
  <si>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</si>
  <si>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</si>
  <si>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</si>
  <si>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</si>
  <si>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</si>
  <si>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</si>
  <si>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</si>
  <si>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</si>
  <si>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</si>
  <si>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</si>
  <si>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</si>
  <si>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</si>
  <si>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</si>
  <si>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</si>
  <si>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</si>
  <si>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</si>
  <si>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</si>
  <si>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</si>
  <si>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</si>
  <si>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</si>
  <si>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</si>
  <si>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</si>
  <si>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</si>
  <si>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</si>
  <si>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</si>
  <si>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</si>
  <si>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</si>
  <si>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</si>
  <si>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</si>
  <si>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</si>
  <si>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</si>
  <si>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</si>
  <si>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</si>
  <si>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</si>
  <si>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</si>
  <si>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</si>
  <si>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</si>
  <si>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</si>
  <si>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</si>
  <si>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</si>
  <si>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</si>
  <si>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</si>
  <si>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</si>
  <si>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</si>
  <si>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</si>
  <si>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</si>
  <si>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</si>
  <si>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</si>
  <si>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</si>
  <si>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</si>
  <si>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</si>
  <si>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</si>
  <si>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</si>
  <si>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</si>
  <si>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</si>
  <si>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</si>
  <si>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</si>
  <si>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</si>
  <si>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</si>
  <si>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</si>
  <si>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</si>
  <si>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</si>
  <si>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</si>
  <si>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</si>
  <si>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</si>
  <si>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</si>
  <si>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</si>
  <si>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</si>
  <si>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</si>
  <si>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</si>
  <si>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</si>
  <si>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</si>
  <si>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</si>
  <si>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</si>
  <si>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</si>
  <si>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</si>
  <si>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</si>
  <si>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</si>
  <si>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</si>
  <si>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</si>
  <si>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</si>
  <si>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</si>
  <si>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</si>
  <si>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</si>
  <si>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</si>
  <si>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</si>
  <si>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</si>
  <si>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</si>
  <si>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</si>
  <si>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</si>
  <si>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</si>
  <si>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</si>
  <si>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</si>
  <si>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</si>
  <si>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</si>
  <si>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</si>
  <si>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</si>
  <si>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</si>
  <si>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</si>
  <si>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</si>
  <si>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</si>
  <si>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</si>
  <si>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</si>
  <si>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</si>
  <si>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</si>
  <si>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</si>
  <si>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</si>
  <si>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</si>
  <si>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</si>
  <si>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</si>
  <si>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</si>
  <si>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</si>
  <si>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</si>
  <si>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</si>
  <si>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</si>
  <si>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</si>
  <si>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</si>
  <si>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</si>
  <si>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</si>
  <si>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</si>
  <si>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</si>
  <si>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</si>
  <si>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</si>
  <si>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</si>
  <si>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</si>
  <si>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</si>
  <si>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</si>
  <si>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</si>
  <si>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</si>
  <si>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</si>
  <si>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</si>
  <si>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</si>
  <si>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</si>
  <si>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</si>
  <si>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</si>
  <si>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</si>
  <si>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</si>
  <si>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</si>
  <si>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</si>
  <si>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</si>
  <si>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</si>
  <si>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</si>
  <si>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</si>
  <si>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</si>
  <si>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</si>
  <si>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</si>
  <si>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</si>
  <si>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</si>
  <si>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</si>
  <si>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</si>
  <si>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</si>
  <si>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</si>
  <si>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</si>
  <si>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</si>
  <si>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</si>
  <si>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</si>
  <si>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</si>
  <si>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</si>
  <si>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</si>
  <si>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</si>
  <si>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</si>
  <si>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</si>
  <si>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</si>
  <si>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</si>
  <si>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</si>
  <si>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</si>
  <si>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</si>
  <si>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</si>
  <si>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</si>
  <si>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</si>
  <si>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</si>
  <si>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</si>
  <si>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</si>
  <si>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</si>
  <si>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</si>
  <si>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</si>
  <si>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</si>
  <si>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</si>
  <si>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</si>
  <si>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</si>
  <si>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</si>
  <si>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</si>
  <si>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</si>
  <si>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</si>
  <si>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</si>
  <si>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</si>
  <si>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</si>
  <si>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</si>
  <si>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</si>
  <si>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</si>
  <si>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</si>
  <si>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</si>
  <si>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</si>
  <si>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</si>
  <si>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</si>
  <si>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</si>
  <si>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</si>
  <si>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</si>
  <si>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</si>
  <si>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</si>
  <si>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</si>
  <si>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</si>
  <si>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</si>
  <si>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</si>
  <si>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</si>
  <si>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</si>
  <si>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</si>
  <si>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</si>
  <si>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</si>
  <si>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</si>
  <si>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</si>
  <si>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</si>
  <si>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</si>
  <si>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</si>
  <si>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</si>
  <si>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</si>
  <si>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</si>
  <si>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</si>
  <si>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</si>
  <si>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</si>
  <si>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</si>
  <si>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</si>
  <si>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</si>
  <si>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</si>
  <si>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</si>
  <si>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</si>
  <si>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</si>
  <si>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</si>
  <si>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</si>
  <si>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</si>
  <si>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</si>
  <si>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</si>
  <si>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</si>
  <si>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</si>
  <si>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</si>
  <si>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</si>
  <si>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</si>
  <si>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</si>
  <si>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</si>
  <si>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</si>
  <si>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</si>
  <si>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</si>
  <si>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</si>
  <si>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</si>
  <si>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</si>
  <si>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</si>
  <si>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</si>
  <si>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</si>
  <si>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</si>
  <si>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</si>
  <si>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</si>
  <si>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</si>
  <si>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</si>
  <si>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</si>
  <si>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</si>
  <si>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</si>
  <si>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</si>
  <si>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</si>
  <si>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</si>
  <si>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</si>
  <si>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</si>
  <si>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</si>
  <si>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</si>
  <si>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</si>
  <si>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</si>
  <si>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</si>
  <si>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</si>
  <si>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</si>
  <si>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</si>
  <si>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</si>
  <si>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</si>
  <si>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</si>
  <si>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</si>
  <si>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</si>
  <si>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</si>
  <si>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</si>
  <si>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</si>
  <si>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</si>
  <si>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</si>
  <si>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</si>
  <si>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</si>
  <si>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</si>
  <si>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</si>
  <si>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</si>
  <si>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</si>
  <si>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</si>
  <si>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</si>
  <si>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</si>
  <si>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</si>
  <si>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</si>
  <si>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</si>
  <si>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</si>
  <si>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</si>
  <si>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</si>
  <si>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</si>
  <si>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</si>
  <si>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</si>
  <si>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</si>
  <si>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</si>
  <si>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</si>
  <si>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</si>
  <si>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</si>
  <si>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</si>
  <si>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</si>
  <si>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</si>
  <si>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</si>
  <si>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</si>
  <si>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</si>
  <si>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</si>
  <si>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</si>
  <si>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</si>
  <si>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</si>
  <si>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</si>
  <si>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</si>
  <si>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</si>
  <si>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</si>
  <si>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</si>
  <si>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</si>
  <si>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</si>
  <si>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</si>
  <si>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</si>
  <si>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</si>
  <si>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</si>
  <si>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</si>
  <si>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</si>
  <si>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</si>
  <si>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</si>
  <si>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</si>
  <si>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</si>
  <si>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</si>
  <si>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</si>
  <si>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</si>
  <si>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</si>
  <si>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</si>
  <si>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</si>
  <si>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</si>
  <si>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</si>
  <si>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</si>
  <si>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</si>
  <si>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</si>
  <si>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</si>
  <si>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</si>
  <si>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</si>
  <si>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</si>
  <si>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</si>
  <si>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</si>
  <si>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</si>
  <si>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</si>
  <si>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</si>
  <si>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</si>
  <si>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</si>
  <si>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</si>
  <si>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</si>
  <si>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</si>
  <si>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</si>
  <si>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</si>
  <si>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</si>
  <si>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</si>
  <si>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</si>
  <si>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</si>
  <si>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</si>
  <si>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</si>
  <si>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</si>
  <si>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</si>
  <si>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</si>
  <si>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</si>
  <si>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</si>
  <si>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</si>
  <si>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</si>
  <si>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</si>
  <si>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</si>
  <si>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</si>
  <si>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</si>
  <si>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</si>
  <si>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</si>
  <si>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</si>
  <si>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</si>
  <si>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</si>
  <si>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</si>
  <si>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</si>
  <si>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</si>
  <si>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</si>
  <si>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</si>
  <si>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</si>
  <si>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</si>
  <si>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</si>
  <si>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</si>
  <si>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</si>
  <si>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</si>
  <si>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</si>
  <si>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</si>
  <si>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</si>
  <si>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</si>
  <si>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</si>
  <si>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</si>
  <si>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</si>
  <si>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</si>
  <si>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</si>
  <si>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</si>
  <si>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</si>
  <si>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</si>
  <si>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</si>
  <si>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</si>
  <si>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</si>
  <si>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</si>
  <si>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</si>
  <si>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</si>
  <si>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</si>
  <si>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</si>
  <si>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</si>
  <si>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</si>
  <si>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</si>
  <si>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</si>
  <si>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</si>
  <si>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</si>
  <si>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</si>
  <si>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</si>
  <si>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</si>
  <si>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</si>
  <si>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</si>
  <si>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</si>
  <si>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</si>
  <si>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</si>
  <si>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</si>
  <si>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</si>
  <si>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</si>
  <si>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</si>
  <si>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</si>
  <si>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</si>
  <si>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</si>
  <si>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</si>
  <si>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</si>
  <si>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</si>
  <si>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</si>
  <si>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</si>
  <si>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</si>
  <si>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</si>
  <si>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</si>
  <si>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</si>
  <si>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</si>
  <si>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</si>
  <si>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</si>
  <si>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</si>
  <si>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</si>
  <si>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</si>
  <si>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</si>
  <si>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</si>
  <si>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</si>
  <si>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</si>
  <si>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</si>
  <si>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</si>
  <si>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</si>
  <si>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</si>
  <si>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</si>
  <si>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</si>
  <si>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</si>
  <si>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</si>
  <si>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</si>
  <si>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</si>
  <si>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</si>
  <si>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</si>
  <si>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</si>
  <si>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</si>
  <si>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</si>
  <si>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</si>
  <si>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</si>
  <si>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</si>
  <si>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</si>
  <si>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</si>
  <si>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</si>
  <si>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</si>
  <si>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</si>
  <si>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</si>
  <si>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</si>
  <si>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</si>
  <si>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</si>
  <si>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</si>
  <si>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</si>
  <si>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</si>
  <si>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</si>
  <si>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</si>
  <si>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</si>
  <si>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</si>
  <si>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</si>
  <si>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</si>
  <si>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</si>
  <si>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</si>
  <si>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</si>
  <si>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</si>
  <si>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</si>
  <si>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</si>
  <si>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</si>
  <si>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</si>
  <si>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</si>
  <si>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</si>
  <si>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</si>
  <si>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</si>
  <si>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</si>
  <si>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</si>
  <si>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</si>
  <si>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</si>
  <si>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</si>
  <si>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</si>
  <si>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</si>
  <si>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</si>
  <si>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</si>
  <si>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</si>
  <si>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</si>
  <si>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</si>
  <si>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</si>
  <si>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</si>
  <si>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</si>
  <si>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</si>
  <si>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</si>
  <si>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</si>
  <si>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</si>
  <si>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</si>
  <si>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</si>
  <si>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</si>
  <si>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</si>
  <si>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</si>
  <si>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</si>
  <si>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</si>
  <si>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</si>
  <si>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</si>
  <si>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</si>
  <si>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</si>
  <si>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</si>
  <si>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</si>
  <si>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</si>
  <si>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</si>
  <si>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</si>
  <si>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</si>
  <si>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</si>
  <si>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</si>
  <si>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</si>
  <si>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</si>
  <si>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</si>
  <si>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</si>
  <si>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</si>
  <si>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</si>
  <si>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</si>
  <si>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</si>
  <si>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</si>
  <si>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</si>
  <si>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</si>
  <si>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</si>
  <si>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</si>
  <si>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</si>
  <si>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</si>
  <si>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</si>
  <si>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</si>
  <si>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</si>
  <si>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</si>
  <si>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</si>
  <si>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</si>
  <si>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</si>
  <si>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</si>
  <si>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</si>
  <si>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</si>
  <si>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</si>
  <si>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</si>
  <si>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</si>
  <si>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</si>
  <si>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</si>
  <si>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</si>
  <si>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</si>
  <si>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</si>
  <si>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</si>
  <si>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</si>
  <si>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</si>
  <si>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</si>
  <si>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</si>
  <si>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</si>
  <si>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</si>
  <si>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</si>
  <si>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</si>
  <si>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</si>
  <si>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</si>
  <si>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</si>
  <si>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</si>
  <si>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</si>
  <si>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</si>
  <si>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</si>
  <si>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</si>
  <si>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</si>
  <si>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</si>
  <si>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</si>
  <si>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</si>
  <si>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</si>
  <si>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</si>
  <si>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</si>
  <si>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</si>
  <si>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</si>
  <si>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</si>
  <si>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</si>
  <si>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</si>
  <si>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</si>
  <si>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</si>
  <si>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</si>
  <si>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</si>
  <si>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</si>
  <si>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</si>
  <si>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</si>
  <si>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</si>
  <si>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</si>
  <si>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</si>
  <si>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</si>
  <si>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</si>
  <si>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</si>
  <si>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</si>
  <si>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</si>
  <si>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</si>
  <si>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</si>
  <si>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</si>
  <si>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</si>
  <si>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</si>
  <si>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</si>
  <si>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</si>
  <si>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</si>
  <si>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</si>
  <si>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</si>
  <si>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</si>
  <si>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</si>
  <si>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</si>
  <si>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</si>
  <si>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</si>
  <si>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</si>
  <si>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</si>
  <si>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</si>
  <si>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</si>
  <si>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</si>
  <si>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</si>
  <si>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</si>
  <si>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</si>
  <si>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</si>
  <si>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</si>
  <si>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</si>
  <si>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</si>
  <si>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</si>
  <si>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</si>
  <si>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</si>
  <si>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</si>
  <si>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</si>
  <si>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</si>
  <si>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</si>
  <si>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</si>
  <si>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</si>
  <si>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</si>
  <si>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</si>
  <si>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</si>
  <si>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</si>
  <si>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</si>
  <si>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</si>
  <si>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</si>
  <si>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</si>
  <si>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</si>
  <si>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</si>
  <si>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</si>
  <si>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</si>
  <si>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</si>
  <si>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</si>
  <si>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</si>
  <si>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</si>
  <si>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</si>
  <si>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</si>
  <si>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</si>
  <si>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</si>
  <si>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</si>
  <si>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</si>
  <si>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</si>
  <si>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</si>
  <si>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</si>
  <si>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</si>
  <si>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</si>
  <si>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</si>
  <si>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</si>
  <si>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</si>
  <si>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</si>
  <si>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</si>
  <si>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</si>
  <si>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</si>
  <si>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</si>
  <si>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</si>
  <si>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</si>
  <si>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</si>
  <si>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</si>
  <si>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</si>
  <si>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</si>
  <si>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</si>
  <si>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</si>
  <si>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</si>
  <si>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</si>
  <si>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</si>
  <si>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</si>
  <si>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</si>
  <si>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</si>
  <si>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</si>
  <si>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</si>
  <si>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</si>
  <si>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</si>
  <si>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</si>
  <si>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</si>
  <si>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</si>
  <si>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</si>
  <si>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</si>
  <si>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</si>
  <si>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</si>
  <si>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</si>
  <si>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</si>
  <si>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</si>
  <si>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</si>
  <si>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</si>
  <si>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</si>
  <si>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</si>
  <si>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</si>
  <si>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</si>
  <si>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</si>
  <si>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</si>
  <si>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</si>
  <si>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</si>
  <si>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</si>
  <si>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</si>
  <si>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</si>
  <si>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</si>
  <si>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</si>
  <si>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</si>
  <si>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</si>
  <si>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</si>
  <si>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</si>
  <si>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</si>
  <si>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</si>
  <si>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</si>
  <si>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</si>
  <si>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</si>
  <si>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</si>
  <si>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</si>
  <si>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</si>
  <si>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</si>
  <si>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</si>
  <si>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</si>
  <si>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</si>
  <si>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</si>
  <si>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</si>
  <si>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</si>
  <si>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</si>
  <si>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</si>
  <si>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</si>
  <si>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</si>
  <si>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</si>
  <si>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</si>
  <si>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</si>
  <si>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</si>
  <si>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</si>
  <si>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</si>
  <si>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</si>
  <si>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</si>
  <si>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</si>
  <si>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</si>
  <si>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</si>
  <si>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</si>
  <si>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</si>
  <si>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</si>
  <si>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</si>
  <si>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</si>
  <si>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</si>
  <si>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</si>
  <si>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</si>
  <si>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</si>
  <si>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</si>
  <si>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</si>
  <si>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</si>
  <si>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</si>
  <si>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</si>
  <si>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</si>
  <si>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</si>
  <si>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</si>
  <si>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</si>
  <si>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</si>
  <si>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</si>
  <si>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</si>
  <si>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</si>
  <si>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</si>
  <si>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</si>
  <si>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</si>
  <si>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</si>
  <si>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</si>
  <si>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</si>
  <si>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</si>
  <si>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</si>
  <si>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</si>
  <si>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</si>
  <si>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</si>
  <si>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</si>
  <si>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</si>
  <si>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</si>
  <si>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</si>
  <si>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</si>
  <si>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</si>
  <si>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</si>
  <si>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</si>
  <si>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</si>
  <si>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</si>
  <si>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</si>
  <si>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</si>
  <si>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</si>
  <si>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</si>
  <si>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</si>
  <si>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</si>
  <si>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</si>
  <si>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</si>
  <si>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</si>
  <si>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</si>
  <si>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</si>
  <si>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</si>
  <si>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</si>
  <si>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</si>
  <si>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</si>
  <si>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</si>
  <si>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</si>
  <si>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</si>
  <si>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</si>
  <si>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</si>
  <si>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</si>
  <si>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</si>
  <si>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</si>
  <si>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</si>
  <si>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</si>
  <si>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</si>
  <si>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</si>
  <si>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</si>
  <si>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</si>
  <si>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</si>
  <si>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</si>
  <si>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</si>
  <si>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</si>
  <si>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</si>
  <si>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</si>
  <si>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</si>
  <si>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</si>
  <si>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</si>
  <si>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</si>
  <si>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</si>
  <si>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</si>
  <si>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</si>
  <si>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</si>
  <si>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</si>
  <si>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</si>
  <si>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</si>
  <si>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</si>
  <si>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</si>
  <si>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</si>
  <si>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</si>
  <si>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</si>
  <si>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</si>
  <si>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</si>
  <si>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</si>
  <si>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</si>
  <si>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</si>
  <si>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</si>
  <si>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</si>
  <si>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</si>
  <si>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</si>
  <si>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</si>
  <si>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</si>
  <si>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</si>
  <si>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</si>
  <si>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</si>
  <si>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</si>
  <si>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</si>
  <si>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</si>
  <si>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</si>
  <si>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</si>
  <si>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</si>
  <si>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</si>
  <si>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</si>
  <si>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</si>
  <si>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</si>
  <si>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</si>
  <si>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</si>
  <si>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</si>
  <si>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</si>
  <si>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</si>
  <si>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</si>
  <si>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</si>
  <si>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</si>
  <si>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</si>
  <si>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</si>
  <si>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</si>
  <si>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</si>
  <si>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</si>
  <si>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</si>
  <si>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</si>
  <si>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</si>
  <si>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</si>
  <si>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</si>
  <si>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</si>
  <si>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Possible Spathius agrili</t>
  </si>
  <si>
    <t>Total_Chalcidoidea</t>
  </si>
  <si>
    <t>Unknown Hymenoptera is possibly Aulacidae</t>
  </si>
  <si>
    <t>Possible Tetrastichus planipennisi</t>
  </si>
  <si>
    <t>Found possibly a native Oobius</t>
  </si>
  <si>
    <t>Possible Spathius agrili or galinae AND possible Oobius agrili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</si>
</sst>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21"/>
  <sheetViews>
    <sheetView topLeftCell="A31" workbookViewId="0">
      <selection activeCell="B39" sqref="B3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4" x14ac:dyDescent="0.35">
      <c r="A33" s="7" t="s">
        <v>544</v>
      </c>
      <c r="B33" s="1" t="s">
        <v>543</v>
      </c>
    </row>
    <row r="34" spans="1:4" x14ac:dyDescent="0.35">
      <c r="A34" s="1" t="s">
        <v>0</v>
      </c>
    </row>
    <row r="35" spans="1:4" x14ac:dyDescent="0.35">
      <c r="A35" s="1" t="s">
        <v>18</v>
      </c>
    </row>
    <row r="36" spans="1:4" ht="43.5" x14ac:dyDescent="0.35">
      <c r="A36" s="1" t="s">
        <v>27</v>
      </c>
      <c r="B36" s="1" t="s">
        <v>1094</v>
      </c>
    </row>
    <row r="37" spans="1:4" x14ac:dyDescent="0.35">
      <c r="A37" s="1" t="s">
        <v>1115</v>
      </c>
      <c r="B37" s="1" t="s">
        <v>1117</v>
      </c>
      <c r="C37" s="1"/>
      <c r="D37" s="1"/>
    </row>
    <row r="38" spans="1:4" x14ac:dyDescent="0.35">
      <c r="A38" s="1" t="s">
        <v>1116</v>
      </c>
      <c r="B38" s="1" t="s">
        <v>1118</v>
      </c>
      <c r="C38" s="1"/>
      <c r="D38" s="1"/>
    </row>
    <row r="39" spans="1:4" x14ac:dyDescent="0.35">
      <c r="A39" s="1" t="s">
        <v>19</v>
      </c>
    </row>
    <row r="40" spans="1:4" x14ac:dyDescent="0.35">
      <c r="A40" s="1" t="s">
        <v>20</v>
      </c>
    </row>
    <row r="41" spans="1:4" ht="58" x14ac:dyDescent="0.35">
      <c r="A41" s="1" t="s">
        <v>35</v>
      </c>
      <c r="B41" s="1" t="s">
        <v>541</v>
      </c>
    </row>
    <row r="42" spans="1:4" ht="29" x14ac:dyDescent="0.35">
      <c r="A42" s="1" t="s">
        <v>21</v>
      </c>
      <c r="B42" s="1" t="s">
        <v>572</v>
      </c>
    </row>
    <row r="43" spans="1:4" x14ac:dyDescent="0.35">
      <c r="A43" s="1" t="s">
        <v>22</v>
      </c>
    </row>
    <row r="44" spans="1:4" x14ac:dyDescent="0.35">
      <c r="A44" s="1" t="s">
        <v>23</v>
      </c>
    </row>
    <row r="45" spans="1:4" ht="29" x14ac:dyDescent="0.35">
      <c r="A45" s="1" t="s">
        <v>24</v>
      </c>
      <c r="B45" s="1" t="s">
        <v>1095</v>
      </c>
    </row>
    <row r="46" spans="1:4" x14ac:dyDescent="0.35">
      <c r="A46" s="1" t="s">
        <v>446</v>
      </c>
    </row>
    <row r="47" spans="1:4" x14ac:dyDescent="0.35">
      <c r="A47" s="1"/>
    </row>
    <row r="48" spans="1:4" ht="87" x14ac:dyDescent="0.35">
      <c r="A48" s="7" t="s">
        <v>545</v>
      </c>
      <c r="B48" s="1" t="s">
        <v>1098</v>
      </c>
    </row>
    <row r="49" spans="1:2" x14ac:dyDescent="0.35">
      <c r="A49" s="1" t="s">
        <v>0</v>
      </c>
    </row>
    <row r="50" spans="1:2" ht="72.5" x14ac:dyDescent="0.35">
      <c r="A50" s="1" t="s">
        <v>27</v>
      </c>
      <c r="B50" s="1" t="s">
        <v>1093</v>
      </c>
    </row>
    <row r="51" spans="1:2" x14ac:dyDescent="0.35">
      <c r="A51" s="1" t="s">
        <v>18</v>
      </c>
    </row>
    <row r="52" spans="1:2" x14ac:dyDescent="0.35">
      <c r="A52" s="1" t="s">
        <v>25</v>
      </c>
    </row>
    <row r="53" spans="1:2" x14ac:dyDescent="0.35">
      <c r="A53" s="1" t="s">
        <v>26</v>
      </c>
      <c r="B53" s="1" t="s">
        <v>546</v>
      </c>
    </row>
    <row r="54" spans="1:2" ht="29" x14ac:dyDescent="0.35">
      <c r="A54" s="1" t="s">
        <v>527</v>
      </c>
      <c r="B54" s="1" t="s">
        <v>547</v>
      </c>
    </row>
    <row r="55" spans="1:2" ht="43.5" x14ac:dyDescent="0.35">
      <c r="A55" s="1" t="s">
        <v>443</v>
      </c>
      <c r="B55" s="1" t="s">
        <v>1092</v>
      </c>
    </row>
    <row r="56" spans="1:2" ht="29" x14ac:dyDescent="0.35">
      <c r="A56" s="1" t="s">
        <v>28</v>
      </c>
      <c r="B56" s="1" t="s">
        <v>1099</v>
      </c>
    </row>
    <row r="57" spans="1:2" ht="87" x14ac:dyDescent="0.35">
      <c r="A57" s="1" t="s">
        <v>29</v>
      </c>
      <c r="B57" s="1" t="s">
        <v>548</v>
      </c>
    </row>
    <row r="58" spans="1:2" x14ac:dyDescent="0.35">
      <c r="A58" s="1" t="s">
        <v>30</v>
      </c>
      <c r="B58" s="1" t="s">
        <v>549</v>
      </c>
    </row>
    <row r="59" spans="1:2" x14ac:dyDescent="0.35">
      <c r="A59" s="1" t="s">
        <v>20</v>
      </c>
    </row>
    <row r="60" spans="1:2" x14ac:dyDescent="0.35">
      <c r="A60" s="1" t="s">
        <v>35</v>
      </c>
    </row>
    <row r="61" spans="1:2" x14ac:dyDescent="0.35">
      <c r="A61" s="1" t="s">
        <v>31</v>
      </c>
    </row>
    <row r="62" spans="1:2" x14ac:dyDescent="0.35">
      <c r="A62" s="1" t="s">
        <v>22</v>
      </c>
    </row>
    <row r="63" spans="1:2" x14ac:dyDescent="0.35">
      <c r="A63" s="1" t="s">
        <v>23</v>
      </c>
    </row>
    <row r="64" spans="1:2" x14ac:dyDescent="0.35">
      <c r="A64" s="1" t="s">
        <v>32</v>
      </c>
    </row>
    <row r="65" spans="1:2" ht="29" x14ac:dyDescent="0.35">
      <c r="A65" s="1" t="s">
        <v>33</v>
      </c>
      <c r="B65" s="1" t="s">
        <v>1091</v>
      </c>
    </row>
    <row r="66" spans="1:2" ht="29" x14ac:dyDescent="0.35">
      <c r="A66" s="1" t="s">
        <v>34</v>
      </c>
      <c r="B66" s="1" t="s">
        <v>1091</v>
      </c>
    </row>
    <row r="67" spans="1:2" x14ac:dyDescent="0.35">
      <c r="A67" s="1" t="s">
        <v>445</v>
      </c>
    </row>
    <row r="68" spans="1:2" ht="72.5" x14ac:dyDescent="0.35">
      <c r="A68" s="1" t="s">
        <v>1110</v>
      </c>
      <c r="B68" s="1" t="s">
        <v>1114</v>
      </c>
    </row>
    <row r="69" spans="1:2" x14ac:dyDescent="0.35">
      <c r="A69" s="1"/>
    </row>
    <row r="70" spans="1:2" x14ac:dyDescent="0.35">
      <c r="A70" s="7" t="s">
        <v>550</v>
      </c>
    </row>
    <row r="71" spans="1:2" x14ac:dyDescent="0.35">
      <c r="A71" s="1" t="s">
        <v>456</v>
      </c>
    </row>
    <row r="72" spans="1:2" x14ac:dyDescent="0.35">
      <c r="A72" s="1" t="s">
        <v>0</v>
      </c>
    </row>
    <row r="73" spans="1:2" x14ac:dyDescent="0.35">
      <c r="A73" s="1" t="s">
        <v>459</v>
      </c>
      <c r="B73" s="1" t="s">
        <v>551</v>
      </c>
    </row>
    <row r="74" spans="1:2" x14ac:dyDescent="0.35">
      <c r="A74" s="1" t="s">
        <v>592</v>
      </c>
      <c r="B74" s="1" t="s">
        <v>552</v>
      </c>
    </row>
    <row r="75" spans="1:2" x14ac:dyDescent="0.35">
      <c r="A75" s="1" t="s">
        <v>458</v>
      </c>
    </row>
    <row r="76" spans="1:2" x14ac:dyDescent="0.35">
      <c r="A76" s="1" t="s">
        <v>18</v>
      </c>
    </row>
    <row r="77" spans="1:2" x14ac:dyDescent="0.35">
      <c r="A77" s="1" t="s">
        <v>480</v>
      </c>
    </row>
    <row r="78" spans="1:2" x14ac:dyDescent="0.35">
      <c r="A78" s="1" t="s">
        <v>465</v>
      </c>
    </row>
    <row r="79" spans="1:2" x14ac:dyDescent="0.35">
      <c r="A79" s="1" t="s">
        <v>466</v>
      </c>
      <c r="B79" s="1" t="s">
        <v>553</v>
      </c>
    </row>
    <row r="80" spans="1:2" x14ac:dyDescent="0.35">
      <c r="A80" s="1" t="s">
        <v>467</v>
      </c>
    </row>
    <row r="81" spans="1:2" x14ac:dyDescent="0.35">
      <c r="A81" s="1" t="s">
        <v>468</v>
      </c>
    </row>
    <row r="82" spans="1:2" x14ac:dyDescent="0.35">
      <c r="A82" s="1" t="s">
        <v>469</v>
      </c>
    </row>
    <row r="83" spans="1:2" x14ac:dyDescent="0.35">
      <c r="A83" s="1" t="s">
        <v>460</v>
      </c>
      <c r="B83" s="1" t="s">
        <v>554</v>
      </c>
    </row>
    <row r="84" spans="1:2" x14ac:dyDescent="0.35">
      <c r="A84" s="1" t="s">
        <v>461</v>
      </c>
      <c r="B84" s="1" t="s">
        <v>555</v>
      </c>
    </row>
    <row r="85" spans="1:2" ht="29" x14ac:dyDescent="0.35">
      <c r="A85" s="1" t="s">
        <v>476</v>
      </c>
    </row>
    <row r="86" spans="1:2" x14ac:dyDescent="0.35">
      <c r="A86" s="1" t="s">
        <v>462</v>
      </c>
      <c r="B86" s="1" t="s">
        <v>556</v>
      </c>
    </row>
    <row r="87" spans="1:2" x14ac:dyDescent="0.35">
      <c r="A87" s="1" t="s">
        <v>30</v>
      </c>
      <c r="B87" s="1" t="s">
        <v>549</v>
      </c>
    </row>
    <row r="88" spans="1:2" x14ac:dyDescent="0.35">
      <c r="A88" s="1" t="s">
        <v>510</v>
      </c>
      <c r="B88" s="1" t="s">
        <v>557</v>
      </c>
    </row>
    <row r="89" spans="1:2" x14ac:dyDescent="0.35">
      <c r="A89" s="1" t="s">
        <v>463</v>
      </c>
    </row>
    <row r="90" spans="1:2" x14ac:dyDescent="0.35">
      <c r="A90" s="1" t="s">
        <v>464</v>
      </c>
    </row>
    <row r="91" spans="1:2" x14ac:dyDescent="0.35">
      <c r="A91" s="1" t="s">
        <v>20</v>
      </c>
    </row>
    <row r="92" spans="1:2" x14ac:dyDescent="0.35">
      <c r="A92" s="1" t="s">
        <v>35</v>
      </c>
    </row>
    <row r="93" spans="1:2" x14ac:dyDescent="0.35">
      <c r="A93" s="1" t="s">
        <v>31</v>
      </c>
    </row>
    <row r="94" spans="1:2" x14ac:dyDescent="0.35">
      <c r="A94" s="1" t="s">
        <v>22</v>
      </c>
    </row>
    <row r="95" spans="1:2" x14ac:dyDescent="0.35">
      <c r="A95" s="1" t="s">
        <v>23</v>
      </c>
    </row>
    <row r="96" spans="1:2" ht="29" x14ac:dyDescent="0.35">
      <c r="A96" s="1" t="s">
        <v>33</v>
      </c>
    </row>
    <row r="97" spans="1:2" ht="29" x14ac:dyDescent="0.35">
      <c r="A97" s="1" t="s">
        <v>34</v>
      </c>
    </row>
    <row r="98" spans="1:2" x14ac:dyDescent="0.35">
      <c r="A98" s="1" t="s">
        <v>509</v>
      </c>
    </row>
    <row r="99" spans="1:2" x14ac:dyDescent="0.35">
      <c r="A99" s="1"/>
    </row>
    <row r="100" spans="1:2" x14ac:dyDescent="0.35">
      <c r="A100" s="7" t="s">
        <v>603</v>
      </c>
    </row>
    <row r="101" spans="1:2" x14ac:dyDescent="0.35">
      <c r="A101" s="1" t="s">
        <v>456</v>
      </c>
    </row>
    <row r="102" spans="1:2" x14ac:dyDescent="0.35">
      <c r="A102" s="1" t="s">
        <v>0</v>
      </c>
    </row>
    <row r="103" spans="1:2" x14ac:dyDescent="0.35">
      <c r="A103" s="1" t="s">
        <v>459</v>
      </c>
    </row>
    <row r="104" spans="1:2" x14ac:dyDescent="0.35">
      <c r="A104" s="1" t="s">
        <v>458</v>
      </c>
    </row>
    <row r="105" spans="1:2" x14ac:dyDescent="0.35">
      <c r="A105" s="1" t="s">
        <v>457</v>
      </c>
    </row>
    <row r="106" spans="1:2" x14ac:dyDescent="0.35">
      <c r="A106" s="1" t="s">
        <v>590</v>
      </c>
    </row>
    <row r="107" spans="1:2" x14ac:dyDescent="0.35">
      <c r="A107" s="1" t="s">
        <v>598</v>
      </c>
      <c r="B107" s="1" t="s">
        <v>605</v>
      </c>
    </row>
    <row r="108" spans="1:2" x14ac:dyDescent="0.35">
      <c r="A108" s="1" t="s">
        <v>599</v>
      </c>
    </row>
    <row r="109" spans="1:2" x14ac:dyDescent="0.35">
      <c r="A109" s="1" t="s">
        <v>600</v>
      </c>
    </row>
    <row r="110" spans="1:2" x14ac:dyDescent="0.35">
      <c r="A110" s="1" t="s">
        <v>601</v>
      </c>
    </row>
    <row r="111" spans="1:2" x14ac:dyDescent="0.35">
      <c r="A111" s="1"/>
    </row>
    <row r="112" spans="1:2" x14ac:dyDescent="0.35">
      <c r="A112" s="7" t="s">
        <v>604</v>
      </c>
    </row>
    <row r="113" spans="1:2" x14ac:dyDescent="0.35">
      <c r="A113" s="1" t="s">
        <v>456</v>
      </c>
    </row>
    <row r="114" spans="1:2" x14ac:dyDescent="0.35">
      <c r="A114" s="1" t="s">
        <v>0</v>
      </c>
    </row>
    <row r="115" spans="1:2" x14ac:dyDescent="0.35">
      <c r="A115" s="1" t="s">
        <v>459</v>
      </c>
    </row>
    <row r="116" spans="1:2" x14ac:dyDescent="0.35">
      <c r="A116" s="1" t="s">
        <v>458</v>
      </c>
    </row>
    <row r="117" spans="1:2" x14ac:dyDescent="0.35">
      <c r="A117" s="1" t="s">
        <v>457</v>
      </c>
    </row>
    <row r="118" spans="1:2" x14ac:dyDescent="0.35">
      <c r="A118" s="1" t="s">
        <v>590</v>
      </c>
    </row>
    <row r="119" spans="1:2" x14ac:dyDescent="0.35">
      <c r="A119" s="1" t="s">
        <v>593</v>
      </c>
      <c r="B119" s="1" t="s">
        <v>606</v>
      </c>
    </row>
    <row r="120" spans="1:2" x14ac:dyDescent="0.35">
      <c r="A120" s="1" t="s">
        <v>594</v>
      </c>
      <c r="B120" s="1" t="s">
        <v>607</v>
      </c>
    </row>
    <row r="121" spans="1:2" x14ac:dyDescent="0.35">
      <c r="A121"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tabSelected="1" zoomScaleNormal="100" workbookViewId="0">
      <pane ySplit="1" topLeftCell="A112" activePane="bottomLeft" state="frozen"/>
      <selection pane="bottomLeft" activeCell="C97" sqref="C97"/>
    </sheetView>
  </sheetViews>
  <sheetFormatPr defaultColWidth="12.453125" defaultRowHeight="14.5" x14ac:dyDescent="0.35"/>
  <cols>
    <col min="2" max="2" width="3.90625" customWidth="1"/>
    <col min="3" max="3" width="11.36328125" customWidth="1"/>
    <col min="4" max="4" width="12" customWidth="1"/>
    <col min="5" max="5" width="7.90625" customWidth="1"/>
    <col min="6" max="6" width="12.08984375" customWidth="1"/>
    <col min="7" max="7" width="29.08984375" customWidth="1"/>
    <col min="8" max="8" width="15.453125"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53"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1115</v>
      </c>
      <c r="E1" s="1" t="s">
        <v>1116</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668</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662</v>
      </c>
      <c r="B146" t="s">
        <v>437</v>
      </c>
      <c r="C146" t="s">
        <v>477</v>
      </c>
      <c r="F146">
        <v>0</v>
      </c>
      <c r="G146" t="s">
        <v>477</v>
      </c>
      <c r="H146" t="s">
        <v>477</v>
      </c>
      <c r="I146" t="s">
        <v>477</v>
      </c>
      <c r="J146" t="s">
        <v>477</v>
      </c>
      <c r="K146" t="s">
        <v>477</v>
      </c>
      <c r="L146" t="s">
        <v>477</v>
      </c>
    </row>
    <row r="147" spans="1:12" x14ac:dyDescent="0.35">
      <c r="A147" t="s">
        <v>662</v>
      </c>
      <c r="B147" t="s">
        <v>439</v>
      </c>
      <c r="C147" t="s">
        <v>477</v>
      </c>
      <c r="F147">
        <v>0</v>
      </c>
      <c r="G147" t="s">
        <v>477</v>
      </c>
      <c r="H147" t="s">
        <v>477</v>
      </c>
      <c r="I147" t="s">
        <v>477</v>
      </c>
      <c r="J147" t="s">
        <v>477</v>
      </c>
      <c r="K147" t="s">
        <v>477</v>
      </c>
      <c r="L147" t="s">
        <v>477</v>
      </c>
    </row>
    <row r="148" spans="1:12" x14ac:dyDescent="0.35">
      <c r="A148" t="s">
        <v>662</v>
      </c>
      <c r="B148" t="s">
        <v>440</v>
      </c>
      <c r="C148" t="s">
        <v>477</v>
      </c>
      <c r="F148">
        <v>0</v>
      </c>
      <c r="G148" t="s">
        <v>477</v>
      </c>
      <c r="H148" t="s">
        <v>477</v>
      </c>
      <c r="I148" t="s">
        <v>477</v>
      </c>
      <c r="J148" t="s">
        <v>477</v>
      </c>
      <c r="K148" t="s">
        <v>477</v>
      </c>
      <c r="L148" t="s">
        <v>477</v>
      </c>
    </row>
    <row r="149" spans="1:12" x14ac:dyDescent="0.35">
      <c r="A149" t="s">
        <v>662</v>
      </c>
      <c r="B149" t="s">
        <v>438</v>
      </c>
      <c r="C149" t="s">
        <v>477</v>
      </c>
      <c r="F149">
        <v>0</v>
      </c>
      <c r="G149" t="s">
        <v>477</v>
      </c>
      <c r="H149" t="s">
        <v>477</v>
      </c>
      <c r="I149" t="s">
        <v>477</v>
      </c>
      <c r="J149" t="s">
        <v>477</v>
      </c>
      <c r="K149" t="s">
        <v>477</v>
      </c>
      <c r="L149" t="s">
        <v>477</v>
      </c>
    </row>
    <row r="150" spans="1:12" x14ac:dyDescent="0.35">
      <c r="A150" t="s">
        <v>663</v>
      </c>
      <c r="B150" t="s">
        <v>437</v>
      </c>
      <c r="C150" t="s">
        <v>477</v>
      </c>
      <c r="F150">
        <v>0</v>
      </c>
      <c r="G150" t="s">
        <v>477</v>
      </c>
      <c r="H150" t="s">
        <v>477</v>
      </c>
      <c r="I150" t="s">
        <v>477</v>
      </c>
      <c r="J150" t="s">
        <v>477</v>
      </c>
      <c r="K150" t="s">
        <v>477</v>
      </c>
      <c r="L150" t="s">
        <v>477</v>
      </c>
    </row>
    <row r="151" spans="1:12" x14ac:dyDescent="0.35">
      <c r="A151" t="s">
        <v>663</v>
      </c>
      <c r="B151" t="s">
        <v>439</v>
      </c>
      <c r="C151" t="s">
        <v>477</v>
      </c>
      <c r="F151">
        <v>0</v>
      </c>
      <c r="G151" t="s">
        <v>477</v>
      </c>
      <c r="H151" t="s">
        <v>477</v>
      </c>
      <c r="I151" t="s">
        <v>477</v>
      </c>
      <c r="J151" t="s">
        <v>477</v>
      </c>
      <c r="K151" t="s">
        <v>477</v>
      </c>
      <c r="L151" t="s">
        <v>477</v>
      </c>
    </row>
    <row r="152" spans="1:12" x14ac:dyDescent="0.35">
      <c r="A152" t="s">
        <v>663</v>
      </c>
      <c r="B152" t="s">
        <v>440</v>
      </c>
      <c r="C152" t="s">
        <v>477</v>
      </c>
      <c r="F152">
        <v>0</v>
      </c>
      <c r="G152" t="s">
        <v>477</v>
      </c>
      <c r="H152" t="s">
        <v>477</v>
      </c>
      <c r="I152" t="s">
        <v>477</v>
      </c>
      <c r="J152" t="s">
        <v>477</v>
      </c>
      <c r="K152" t="s">
        <v>477</v>
      </c>
      <c r="L152" t="s">
        <v>477</v>
      </c>
    </row>
    <row r="153" spans="1:12" x14ac:dyDescent="0.35">
      <c r="A153" t="s">
        <v>663</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750</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751</v>
      </c>
      <c r="D186" t="s">
        <v>441</v>
      </c>
      <c r="E186" t="s">
        <v>442</v>
      </c>
      <c r="F186">
        <v>4</v>
      </c>
      <c r="G186" t="s">
        <v>441</v>
      </c>
      <c r="H186" t="s">
        <v>441</v>
      </c>
      <c r="I186" t="s">
        <v>441</v>
      </c>
      <c r="J186" t="s">
        <v>441</v>
      </c>
      <c r="K186" t="s">
        <v>441</v>
      </c>
      <c r="L186">
        <v>0</v>
      </c>
      <c r="M186" t="s">
        <v>752</v>
      </c>
    </row>
    <row r="187" spans="1:13" x14ac:dyDescent="0.35">
      <c r="A187">
        <v>68</v>
      </c>
      <c r="B187" t="s">
        <v>439</v>
      </c>
      <c r="C187" t="s">
        <v>753</v>
      </c>
      <c r="D187" t="s">
        <v>442</v>
      </c>
      <c r="E187" t="s">
        <v>442</v>
      </c>
      <c r="F187">
        <v>13</v>
      </c>
      <c r="G187" t="s">
        <v>441</v>
      </c>
      <c r="H187" t="s">
        <v>441</v>
      </c>
      <c r="I187" t="s">
        <v>441</v>
      </c>
      <c r="J187" t="s">
        <v>441</v>
      </c>
      <c r="K187" t="s">
        <v>441</v>
      </c>
      <c r="L187">
        <v>0</v>
      </c>
    </row>
    <row r="188" spans="1:13" x14ac:dyDescent="0.35">
      <c r="A188">
        <v>68</v>
      </c>
      <c r="B188" t="s">
        <v>440</v>
      </c>
      <c r="C188" t="s">
        <v>751</v>
      </c>
      <c r="D188" t="s">
        <v>441</v>
      </c>
      <c r="E188" t="s">
        <v>442</v>
      </c>
      <c r="F188">
        <v>9</v>
      </c>
      <c r="G188" t="s">
        <v>441</v>
      </c>
      <c r="H188" t="s">
        <v>441</v>
      </c>
      <c r="I188" t="s">
        <v>441</v>
      </c>
      <c r="J188" t="s">
        <v>441</v>
      </c>
      <c r="K188" t="s">
        <v>441</v>
      </c>
      <c r="L188">
        <v>0</v>
      </c>
    </row>
    <row r="189" spans="1:13" x14ac:dyDescent="0.35">
      <c r="A189">
        <v>68</v>
      </c>
      <c r="B189" t="s">
        <v>438</v>
      </c>
      <c r="C189" t="s">
        <v>751</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754</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884</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1035</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754</v>
      </c>
      <c r="D383" t="s">
        <v>442</v>
      </c>
      <c r="E383" t="s">
        <v>442</v>
      </c>
      <c r="F383">
        <v>3</v>
      </c>
      <c r="G383" t="s">
        <v>441</v>
      </c>
      <c r="H383" t="s">
        <v>441</v>
      </c>
      <c r="I383" t="s">
        <v>441</v>
      </c>
      <c r="J383" t="s">
        <v>441</v>
      </c>
      <c r="K383" t="s">
        <v>441</v>
      </c>
      <c r="L383">
        <v>0</v>
      </c>
    </row>
    <row r="384" spans="1:12" x14ac:dyDescent="0.35">
      <c r="A384">
        <v>64</v>
      </c>
      <c r="B384" t="s">
        <v>440</v>
      </c>
      <c r="C384" t="s">
        <v>754</v>
      </c>
      <c r="D384" t="s">
        <v>442</v>
      </c>
      <c r="E384" t="s">
        <v>442</v>
      </c>
      <c r="F384">
        <v>5</v>
      </c>
      <c r="G384" t="s">
        <v>441</v>
      </c>
      <c r="H384" t="s">
        <v>441</v>
      </c>
      <c r="I384" t="s">
        <v>441</v>
      </c>
      <c r="J384" t="s">
        <v>441</v>
      </c>
      <c r="K384" t="s">
        <v>441</v>
      </c>
      <c r="L384">
        <v>0</v>
      </c>
    </row>
    <row r="385" spans="1:12" x14ac:dyDescent="0.35">
      <c r="A385">
        <v>64</v>
      </c>
      <c r="B385" t="s">
        <v>438</v>
      </c>
      <c r="C385" t="s">
        <v>1059</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754</v>
      </c>
      <c r="D390" t="s">
        <v>442</v>
      </c>
      <c r="E390" t="s">
        <v>442</v>
      </c>
      <c r="F390">
        <v>9</v>
      </c>
      <c r="G390" t="s">
        <v>441</v>
      </c>
      <c r="H390" t="s">
        <v>441</v>
      </c>
      <c r="I390" t="s">
        <v>441</v>
      </c>
      <c r="J390" t="s">
        <v>441</v>
      </c>
      <c r="K390" t="s">
        <v>441</v>
      </c>
      <c r="L390">
        <v>0</v>
      </c>
    </row>
    <row r="391" spans="1:12" x14ac:dyDescent="0.35">
      <c r="A391">
        <v>24</v>
      </c>
      <c r="B391" t="s">
        <v>439</v>
      </c>
      <c r="C391" t="s">
        <v>884</v>
      </c>
      <c r="D391" t="s">
        <v>442</v>
      </c>
      <c r="E391" t="s">
        <v>442</v>
      </c>
      <c r="F391">
        <v>10</v>
      </c>
      <c r="G391" t="s">
        <v>441</v>
      </c>
      <c r="H391" t="s">
        <v>441</v>
      </c>
      <c r="I391" t="s">
        <v>442</v>
      </c>
      <c r="J391" t="s">
        <v>441</v>
      </c>
      <c r="K391" t="s">
        <v>441</v>
      </c>
      <c r="L391">
        <v>10</v>
      </c>
    </row>
    <row r="392" spans="1:12" x14ac:dyDescent="0.35">
      <c r="A392">
        <v>24</v>
      </c>
      <c r="B392" t="s">
        <v>440</v>
      </c>
      <c r="C392" t="s">
        <v>754</v>
      </c>
      <c r="D392" t="s">
        <v>442</v>
      </c>
      <c r="E392" t="s">
        <v>442</v>
      </c>
      <c r="F392">
        <v>2</v>
      </c>
      <c r="G392" t="s">
        <v>441</v>
      </c>
      <c r="H392" t="s">
        <v>441</v>
      </c>
      <c r="I392" t="s">
        <v>442</v>
      </c>
      <c r="J392" t="s">
        <v>441</v>
      </c>
      <c r="K392" t="s">
        <v>441</v>
      </c>
      <c r="L392">
        <v>50</v>
      </c>
    </row>
    <row r="393" spans="1:12" x14ac:dyDescent="0.35">
      <c r="A393">
        <v>24</v>
      </c>
      <c r="B393" t="s">
        <v>438</v>
      </c>
      <c r="C393" t="s">
        <v>754</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E1" zoomScale="120" zoomScaleNormal="120" workbookViewId="0">
      <pane ySplit="1" topLeftCell="A10" activePane="bottomLeft" state="frozen"/>
      <selection pane="bottomLeft" activeCell="C7" sqref="C7"/>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1110</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c r="T4" t="s">
        <v>1111</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1111</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1111</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1111</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1111</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1111</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1111</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1111</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1111</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1111</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1111</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1111</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1111</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1111</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1111</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1111</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1111</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1111</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1111</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1111</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1112</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1111</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1111</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1111</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1111</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1111</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1112</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1111</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647</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1113</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1111</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1111</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1111</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1111</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1111</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1111</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1111</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1111</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584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1111</v>
      </c>
    </row>
    <row r="94" spans="1:20" x14ac:dyDescent="0.35">
      <c r="A94">
        <v>38</v>
      </c>
      <c r="B94" t="s">
        <v>438</v>
      </c>
      <c r="C94">
        <v>358</v>
      </c>
      <c r="D94">
        <v>2.38</v>
      </c>
      <c r="E94" t="s">
        <v>585</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1111</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1111</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c r="T97" t="s">
        <v>1113</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1111</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1111</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1111</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586</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586</v>
      </c>
      <c r="E105" t="s">
        <v>493</v>
      </c>
      <c r="F105">
        <v>6.9</v>
      </c>
      <c r="G105">
        <v>1</v>
      </c>
      <c r="H105" t="s">
        <v>189</v>
      </c>
      <c r="I105" t="s">
        <v>441</v>
      </c>
      <c r="J105" t="s">
        <v>441</v>
      </c>
      <c r="K105" t="s">
        <v>441</v>
      </c>
      <c r="L105" t="s">
        <v>441</v>
      </c>
      <c r="M105" t="s">
        <v>441</v>
      </c>
      <c r="T105" t="s">
        <v>477</v>
      </c>
    </row>
    <row r="106" spans="1:20" x14ac:dyDescent="0.35">
      <c r="A106">
        <v>38</v>
      </c>
      <c r="B106" t="s">
        <v>440</v>
      </c>
      <c r="D106" t="s">
        <v>586</v>
      </c>
      <c r="E106" t="s">
        <v>493</v>
      </c>
      <c r="F106">
        <v>4</v>
      </c>
      <c r="G106">
        <v>1</v>
      </c>
      <c r="H106" t="s">
        <v>189</v>
      </c>
      <c r="I106" t="s">
        <v>441</v>
      </c>
      <c r="J106" t="s">
        <v>441</v>
      </c>
      <c r="K106" t="s">
        <v>441</v>
      </c>
      <c r="L106" t="s">
        <v>441</v>
      </c>
      <c r="M106" t="s">
        <v>441</v>
      </c>
      <c r="T106" t="s">
        <v>477</v>
      </c>
    </row>
    <row r="107" spans="1:20" x14ac:dyDescent="0.35">
      <c r="A107">
        <v>38</v>
      </c>
      <c r="B107" t="s">
        <v>440</v>
      </c>
      <c r="D107" t="s">
        <v>586</v>
      </c>
      <c r="E107" t="s">
        <v>493</v>
      </c>
      <c r="F107">
        <v>4.8</v>
      </c>
      <c r="G107">
        <v>1</v>
      </c>
      <c r="H107" t="s">
        <v>189</v>
      </c>
      <c r="I107" t="s">
        <v>441</v>
      </c>
      <c r="J107" t="s">
        <v>441</v>
      </c>
      <c r="K107" t="s">
        <v>441</v>
      </c>
      <c r="L107" t="s">
        <v>441</v>
      </c>
      <c r="M107" t="s">
        <v>441</v>
      </c>
      <c r="T107" t="s">
        <v>477</v>
      </c>
    </row>
    <row r="108" spans="1:20" x14ac:dyDescent="0.35">
      <c r="A108">
        <v>38</v>
      </c>
      <c r="B108" t="s">
        <v>440</v>
      </c>
      <c r="D108" t="s">
        <v>586</v>
      </c>
      <c r="E108" t="s">
        <v>493</v>
      </c>
      <c r="F108">
        <v>2.7</v>
      </c>
      <c r="G108">
        <v>1</v>
      </c>
      <c r="H108" t="s">
        <v>189</v>
      </c>
      <c r="I108" t="s">
        <v>441</v>
      </c>
      <c r="J108" t="s">
        <v>441</v>
      </c>
      <c r="K108" t="s">
        <v>441</v>
      </c>
      <c r="L108" t="s">
        <v>441</v>
      </c>
      <c r="M108" t="s">
        <v>441</v>
      </c>
      <c r="T108" t="s">
        <v>477</v>
      </c>
    </row>
    <row r="109" spans="1:20" x14ac:dyDescent="0.35">
      <c r="A109">
        <v>38</v>
      </c>
      <c r="B109" t="s">
        <v>440</v>
      </c>
      <c r="D109" t="s">
        <v>586</v>
      </c>
      <c r="E109" t="s">
        <v>475</v>
      </c>
      <c r="F109">
        <v>10.3</v>
      </c>
      <c r="G109">
        <v>1</v>
      </c>
      <c r="H109" t="s">
        <v>98</v>
      </c>
      <c r="I109" t="s">
        <v>441</v>
      </c>
      <c r="J109" t="s">
        <v>441</v>
      </c>
      <c r="K109" t="s">
        <v>442</v>
      </c>
      <c r="L109" t="s">
        <v>441</v>
      </c>
      <c r="M109" t="s">
        <v>441</v>
      </c>
      <c r="T109" t="s">
        <v>477</v>
      </c>
    </row>
    <row r="110" spans="1:20" x14ac:dyDescent="0.35">
      <c r="A110">
        <v>38</v>
      </c>
      <c r="B110" t="s">
        <v>440</v>
      </c>
      <c r="D110" t="s">
        <v>586</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586</v>
      </c>
      <c r="E111" t="s">
        <v>493</v>
      </c>
      <c r="F111">
        <v>3.6</v>
      </c>
      <c r="G111">
        <v>1</v>
      </c>
      <c r="H111" t="s">
        <v>189</v>
      </c>
      <c r="I111" t="s">
        <v>441</v>
      </c>
      <c r="J111" t="s">
        <v>441</v>
      </c>
      <c r="K111" t="s">
        <v>441</v>
      </c>
      <c r="L111" t="s">
        <v>441</v>
      </c>
      <c r="M111" t="s">
        <v>441</v>
      </c>
      <c r="T111" t="s">
        <v>477</v>
      </c>
    </row>
    <row r="112" spans="1:20" x14ac:dyDescent="0.35">
      <c r="A112">
        <v>38</v>
      </c>
      <c r="B112" t="s">
        <v>440</v>
      </c>
      <c r="D112" t="s">
        <v>586</v>
      </c>
      <c r="E112" t="s">
        <v>493</v>
      </c>
      <c r="F112">
        <v>5.5</v>
      </c>
      <c r="G112">
        <v>1</v>
      </c>
      <c r="H112" t="s">
        <v>189</v>
      </c>
      <c r="I112" t="s">
        <v>441</v>
      </c>
      <c r="J112" t="s">
        <v>441</v>
      </c>
      <c r="K112" t="s">
        <v>442</v>
      </c>
      <c r="L112" t="s">
        <v>441</v>
      </c>
      <c r="M112" t="s">
        <v>441</v>
      </c>
      <c r="T112" t="s">
        <v>477</v>
      </c>
    </row>
    <row r="113" spans="1:20" x14ac:dyDescent="0.35">
      <c r="A113">
        <v>38</v>
      </c>
      <c r="B113" t="s">
        <v>440</v>
      </c>
      <c r="D113" t="s">
        <v>586</v>
      </c>
      <c r="E113" t="s">
        <v>493</v>
      </c>
      <c r="F113">
        <v>5.5</v>
      </c>
      <c r="G113">
        <v>2</v>
      </c>
      <c r="H113" t="s">
        <v>189</v>
      </c>
      <c r="I113" t="s">
        <v>441</v>
      </c>
      <c r="J113" t="s">
        <v>441</v>
      </c>
      <c r="K113" t="s">
        <v>442</v>
      </c>
      <c r="L113" t="s">
        <v>442</v>
      </c>
      <c r="M113" t="s">
        <v>441</v>
      </c>
      <c r="T113" t="s">
        <v>1111</v>
      </c>
    </row>
    <row r="114" spans="1:20"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586</v>
      </c>
      <c r="E115" t="s">
        <v>493</v>
      </c>
      <c r="F115">
        <v>3.2</v>
      </c>
      <c r="G115">
        <v>1</v>
      </c>
      <c r="H115" t="s">
        <v>189</v>
      </c>
      <c r="I115" t="s">
        <v>441</v>
      </c>
      <c r="J115" t="s">
        <v>441</v>
      </c>
      <c r="K115" t="s">
        <v>442</v>
      </c>
      <c r="L115" t="s">
        <v>442</v>
      </c>
      <c r="M115" t="s">
        <v>441</v>
      </c>
      <c r="T115" t="s">
        <v>1111</v>
      </c>
    </row>
    <row r="116" spans="1:20" x14ac:dyDescent="0.35">
      <c r="A116">
        <v>38</v>
      </c>
      <c r="B116" t="s">
        <v>440</v>
      </c>
      <c r="D116" t="s">
        <v>586</v>
      </c>
      <c r="E116" t="s">
        <v>493</v>
      </c>
      <c r="F116">
        <v>2.6</v>
      </c>
      <c r="G116">
        <v>1</v>
      </c>
      <c r="H116" t="s">
        <v>189</v>
      </c>
      <c r="I116" t="s">
        <v>441</v>
      </c>
      <c r="J116" t="s">
        <v>441</v>
      </c>
      <c r="K116" t="s">
        <v>441</v>
      </c>
      <c r="L116" t="s">
        <v>441</v>
      </c>
      <c r="M116" t="s">
        <v>441</v>
      </c>
      <c r="T116" t="s">
        <v>477</v>
      </c>
    </row>
    <row r="117" spans="1:20" x14ac:dyDescent="0.35">
      <c r="A117">
        <v>38</v>
      </c>
      <c r="B117" t="s">
        <v>440</v>
      </c>
      <c r="D117" t="s">
        <v>586</v>
      </c>
      <c r="E117" t="s">
        <v>493</v>
      </c>
      <c r="F117">
        <v>5</v>
      </c>
      <c r="G117">
        <v>1</v>
      </c>
      <c r="H117" t="s">
        <v>189</v>
      </c>
      <c r="I117" t="s">
        <v>441</v>
      </c>
      <c r="J117" t="s">
        <v>441</v>
      </c>
      <c r="K117" t="s">
        <v>442</v>
      </c>
      <c r="L117" t="s">
        <v>442</v>
      </c>
      <c r="M117" t="s">
        <v>441</v>
      </c>
      <c r="T117" t="s">
        <v>1111</v>
      </c>
    </row>
    <row r="118" spans="1:20" x14ac:dyDescent="0.35">
      <c r="A118">
        <v>38</v>
      </c>
      <c r="B118" t="s">
        <v>438</v>
      </c>
      <c r="D118" t="s">
        <v>586</v>
      </c>
      <c r="E118" t="s">
        <v>493</v>
      </c>
      <c r="F118">
        <v>6.3</v>
      </c>
      <c r="G118">
        <v>5</v>
      </c>
      <c r="H118" t="s">
        <v>189</v>
      </c>
      <c r="I118" t="s">
        <v>441</v>
      </c>
      <c r="J118" t="s">
        <v>442</v>
      </c>
      <c r="K118" t="s">
        <v>442</v>
      </c>
      <c r="L118" t="s">
        <v>442</v>
      </c>
      <c r="M118" t="s">
        <v>442</v>
      </c>
      <c r="T118" t="s">
        <v>1111</v>
      </c>
    </row>
    <row r="119" spans="1:20" x14ac:dyDescent="0.35">
      <c r="A119">
        <v>38</v>
      </c>
      <c r="B119" t="s">
        <v>438</v>
      </c>
      <c r="D119" t="s">
        <v>586</v>
      </c>
      <c r="E119" t="s">
        <v>475</v>
      </c>
      <c r="F119">
        <v>5</v>
      </c>
      <c r="G119">
        <v>1</v>
      </c>
      <c r="H119" t="s">
        <v>189</v>
      </c>
      <c r="I119" t="s">
        <v>441</v>
      </c>
      <c r="J119" t="s">
        <v>441</v>
      </c>
      <c r="K119" t="s">
        <v>442</v>
      </c>
      <c r="L119" t="s">
        <v>441</v>
      </c>
      <c r="M119" t="s">
        <v>441</v>
      </c>
      <c r="T119" t="s">
        <v>477</v>
      </c>
    </row>
    <row r="120" spans="1:20" x14ac:dyDescent="0.35">
      <c r="A120">
        <v>38</v>
      </c>
      <c r="B120" t="s">
        <v>438</v>
      </c>
      <c r="D120" t="s">
        <v>586</v>
      </c>
      <c r="E120" t="s">
        <v>493</v>
      </c>
      <c r="F120">
        <v>6.4</v>
      </c>
      <c r="G120">
        <v>2</v>
      </c>
      <c r="H120" t="s">
        <v>189</v>
      </c>
      <c r="I120" t="s">
        <v>441</v>
      </c>
      <c r="J120" t="s">
        <v>441</v>
      </c>
      <c r="K120" t="s">
        <v>441</v>
      </c>
      <c r="L120" t="s">
        <v>442</v>
      </c>
      <c r="M120" t="s">
        <v>441</v>
      </c>
      <c r="T120" t="s">
        <v>1111</v>
      </c>
    </row>
    <row r="121" spans="1:20" x14ac:dyDescent="0.35">
      <c r="A121">
        <v>38</v>
      </c>
      <c r="B121" t="s">
        <v>438</v>
      </c>
      <c r="D121" t="s">
        <v>586</v>
      </c>
      <c r="E121" t="s">
        <v>493</v>
      </c>
      <c r="F121">
        <v>6.3</v>
      </c>
      <c r="H121" t="s">
        <v>189</v>
      </c>
      <c r="I121" t="s">
        <v>441</v>
      </c>
      <c r="J121" t="s">
        <v>441</v>
      </c>
      <c r="K121" t="s">
        <v>441</v>
      </c>
      <c r="L121" t="s">
        <v>442</v>
      </c>
      <c r="R121" t="s">
        <v>588</v>
      </c>
      <c r="T121" t="s">
        <v>1111</v>
      </c>
    </row>
    <row r="122" spans="1:20"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586</v>
      </c>
      <c r="E123" t="s">
        <v>517</v>
      </c>
      <c r="F123">
        <v>2.9</v>
      </c>
      <c r="G123">
        <v>5</v>
      </c>
      <c r="H123" t="s">
        <v>39</v>
      </c>
      <c r="I123" t="s">
        <v>441</v>
      </c>
      <c r="J123" t="s">
        <v>442</v>
      </c>
      <c r="K123" t="s">
        <v>442</v>
      </c>
      <c r="L123" t="s">
        <v>441</v>
      </c>
      <c r="M123" t="s">
        <v>441</v>
      </c>
      <c r="T123" t="s">
        <v>477</v>
      </c>
    </row>
    <row r="124" spans="1:20" x14ac:dyDescent="0.35">
      <c r="A124">
        <v>37</v>
      </c>
      <c r="B124" t="s">
        <v>437</v>
      </c>
      <c r="D124" t="s">
        <v>586</v>
      </c>
      <c r="E124" t="s">
        <v>493</v>
      </c>
      <c r="F124">
        <v>4.5</v>
      </c>
      <c r="G124">
        <v>1</v>
      </c>
      <c r="H124" t="s">
        <v>189</v>
      </c>
      <c r="I124" t="s">
        <v>441</v>
      </c>
      <c r="J124" t="s">
        <v>441</v>
      </c>
      <c r="K124" t="s">
        <v>441</v>
      </c>
      <c r="L124" t="s">
        <v>442</v>
      </c>
      <c r="M124" t="s">
        <v>441</v>
      </c>
      <c r="T124" t="s">
        <v>1111</v>
      </c>
    </row>
    <row r="125" spans="1:20" x14ac:dyDescent="0.35">
      <c r="A125">
        <v>37</v>
      </c>
      <c r="B125" t="s">
        <v>437</v>
      </c>
      <c r="D125" t="s">
        <v>586</v>
      </c>
      <c r="E125" t="s">
        <v>493</v>
      </c>
      <c r="F125">
        <v>5.3</v>
      </c>
      <c r="G125">
        <v>1</v>
      </c>
      <c r="H125" t="s">
        <v>189</v>
      </c>
      <c r="I125" t="s">
        <v>441</v>
      </c>
      <c r="J125" t="s">
        <v>441</v>
      </c>
      <c r="K125" t="s">
        <v>441</v>
      </c>
      <c r="L125" t="s">
        <v>441</v>
      </c>
      <c r="M125" t="s">
        <v>441</v>
      </c>
      <c r="T125" t="s">
        <v>477</v>
      </c>
    </row>
    <row r="126" spans="1:20" x14ac:dyDescent="0.35">
      <c r="A126">
        <v>37</v>
      </c>
      <c r="B126" t="s">
        <v>439</v>
      </c>
      <c r="D126" t="s">
        <v>586</v>
      </c>
      <c r="E126" t="s">
        <v>493</v>
      </c>
      <c r="F126">
        <v>6.6</v>
      </c>
      <c r="G126">
        <v>1</v>
      </c>
      <c r="H126" t="s">
        <v>189</v>
      </c>
      <c r="I126" t="s">
        <v>441</v>
      </c>
      <c r="J126" t="s">
        <v>441</v>
      </c>
      <c r="K126" t="s">
        <v>442</v>
      </c>
      <c r="L126" t="s">
        <v>442</v>
      </c>
      <c r="M126" t="s">
        <v>441</v>
      </c>
      <c r="T126" t="s">
        <v>1111</v>
      </c>
    </row>
    <row r="127" spans="1:20" x14ac:dyDescent="0.35">
      <c r="A127">
        <v>37</v>
      </c>
      <c r="B127" t="s">
        <v>439</v>
      </c>
      <c r="D127" t="s">
        <v>586</v>
      </c>
      <c r="E127" t="s">
        <v>493</v>
      </c>
      <c r="F127">
        <v>5.0999999999999996</v>
      </c>
      <c r="G127">
        <v>5</v>
      </c>
      <c r="H127" t="s">
        <v>189</v>
      </c>
      <c r="I127" t="s">
        <v>441</v>
      </c>
      <c r="J127" t="s">
        <v>441</v>
      </c>
      <c r="K127" t="s">
        <v>442</v>
      </c>
      <c r="L127" t="s">
        <v>442</v>
      </c>
      <c r="M127" t="s">
        <v>442</v>
      </c>
      <c r="T127" t="s">
        <v>1111</v>
      </c>
    </row>
    <row r="128" spans="1:20" x14ac:dyDescent="0.35">
      <c r="A128">
        <v>37</v>
      </c>
      <c r="B128" t="s">
        <v>439</v>
      </c>
      <c r="D128" t="s">
        <v>586</v>
      </c>
      <c r="E128" t="s">
        <v>493</v>
      </c>
      <c r="F128">
        <v>8.6</v>
      </c>
      <c r="G128">
        <v>3</v>
      </c>
      <c r="H128" t="s">
        <v>98</v>
      </c>
      <c r="I128" t="s">
        <v>441</v>
      </c>
      <c r="J128" t="s">
        <v>442</v>
      </c>
      <c r="K128" t="s">
        <v>441</v>
      </c>
      <c r="L128" t="s">
        <v>442</v>
      </c>
      <c r="M128" t="s">
        <v>441</v>
      </c>
      <c r="R128" t="s">
        <v>582</v>
      </c>
      <c r="T128" t="s">
        <v>1111</v>
      </c>
    </row>
    <row r="129" spans="1:20" x14ac:dyDescent="0.35">
      <c r="A129">
        <v>37</v>
      </c>
      <c r="B129" t="s">
        <v>439</v>
      </c>
      <c r="D129" t="s">
        <v>586</v>
      </c>
      <c r="E129" t="s">
        <v>493</v>
      </c>
      <c r="F129">
        <v>8.5</v>
      </c>
      <c r="G129">
        <v>4</v>
      </c>
      <c r="H129" t="s">
        <v>98</v>
      </c>
      <c r="I129" t="s">
        <v>441</v>
      </c>
      <c r="J129" t="s">
        <v>442</v>
      </c>
      <c r="K129" t="s">
        <v>442</v>
      </c>
      <c r="L129" t="s">
        <v>442</v>
      </c>
      <c r="M129" t="s">
        <v>441</v>
      </c>
      <c r="T129" t="s">
        <v>1111</v>
      </c>
    </row>
    <row r="130" spans="1:20" x14ac:dyDescent="0.35">
      <c r="A130">
        <v>37</v>
      </c>
      <c r="B130" t="s">
        <v>439</v>
      </c>
      <c r="D130" t="s">
        <v>586</v>
      </c>
      <c r="E130" t="s">
        <v>493</v>
      </c>
      <c r="F130">
        <v>3.1</v>
      </c>
      <c r="G130">
        <v>1</v>
      </c>
      <c r="H130" t="s">
        <v>189</v>
      </c>
      <c r="I130" t="s">
        <v>441</v>
      </c>
      <c r="J130" t="s">
        <v>441</v>
      </c>
      <c r="K130" t="s">
        <v>442</v>
      </c>
      <c r="L130" t="s">
        <v>441</v>
      </c>
      <c r="M130" t="s">
        <v>441</v>
      </c>
      <c r="T130" t="s">
        <v>477</v>
      </c>
    </row>
    <row r="131" spans="1:20" x14ac:dyDescent="0.35">
      <c r="A131">
        <v>37</v>
      </c>
      <c r="B131" t="s">
        <v>439</v>
      </c>
      <c r="D131" t="s">
        <v>586</v>
      </c>
      <c r="E131" t="s">
        <v>493</v>
      </c>
      <c r="F131">
        <v>5</v>
      </c>
      <c r="G131">
        <v>5</v>
      </c>
      <c r="H131" t="s">
        <v>189</v>
      </c>
      <c r="I131" t="s">
        <v>441</v>
      </c>
      <c r="J131" t="s">
        <v>441</v>
      </c>
      <c r="K131" t="s">
        <v>442</v>
      </c>
      <c r="L131" t="s">
        <v>442</v>
      </c>
      <c r="M131" t="s">
        <v>441</v>
      </c>
      <c r="T131" t="s">
        <v>1111</v>
      </c>
    </row>
    <row r="132" spans="1:20" x14ac:dyDescent="0.35">
      <c r="A132">
        <v>37</v>
      </c>
      <c r="B132" t="s">
        <v>439</v>
      </c>
      <c r="D132" t="s">
        <v>586</v>
      </c>
      <c r="E132" t="s">
        <v>493</v>
      </c>
      <c r="F132">
        <v>7</v>
      </c>
      <c r="G132">
        <v>5</v>
      </c>
      <c r="H132" t="s">
        <v>189</v>
      </c>
      <c r="I132" t="s">
        <v>442</v>
      </c>
      <c r="J132" t="s">
        <v>442</v>
      </c>
      <c r="K132" t="s">
        <v>441</v>
      </c>
      <c r="L132" t="s">
        <v>442</v>
      </c>
      <c r="M132" t="s">
        <v>441</v>
      </c>
      <c r="T132" t="s">
        <v>1111</v>
      </c>
    </row>
    <row r="133" spans="1:20" x14ac:dyDescent="0.35">
      <c r="A133">
        <v>37</v>
      </c>
      <c r="B133" t="s">
        <v>439</v>
      </c>
      <c r="D133" t="s">
        <v>586</v>
      </c>
      <c r="E133" t="s">
        <v>493</v>
      </c>
      <c r="F133">
        <v>5.8</v>
      </c>
      <c r="G133">
        <v>3</v>
      </c>
      <c r="H133" t="s">
        <v>189</v>
      </c>
      <c r="I133" t="s">
        <v>441</v>
      </c>
      <c r="J133" t="s">
        <v>442</v>
      </c>
      <c r="K133" t="s">
        <v>442</v>
      </c>
      <c r="L133" t="s">
        <v>442</v>
      </c>
      <c r="M133" t="s">
        <v>441</v>
      </c>
      <c r="T133" t="s">
        <v>1111</v>
      </c>
    </row>
    <row r="134" spans="1:20" x14ac:dyDescent="0.35">
      <c r="A134">
        <v>37</v>
      </c>
      <c r="B134" t="s">
        <v>439</v>
      </c>
      <c r="D134" t="s">
        <v>586</v>
      </c>
      <c r="E134" t="s">
        <v>493</v>
      </c>
      <c r="F134">
        <v>5.9</v>
      </c>
      <c r="G134">
        <v>3</v>
      </c>
      <c r="H134" t="s">
        <v>189</v>
      </c>
      <c r="I134" t="s">
        <v>441</v>
      </c>
      <c r="J134" t="s">
        <v>441</v>
      </c>
      <c r="K134" t="s">
        <v>442</v>
      </c>
      <c r="L134" t="s">
        <v>442</v>
      </c>
      <c r="M134" t="s">
        <v>441</v>
      </c>
      <c r="T134" t="s">
        <v>1111</v>
      </c>
    </row>
    <row r="135" spans="1:20" x14ac:dyDescent="0.35">
      <c r="A135">
        <v>37</v>
      </c>
      <c r="B135" t="s">
        <v>439</v>
      </c>
      <c r="D135" t="s">
        <v>586</v>
      </c>
      <c r="E135" t="s">
        <v>493</v>
      </c>
      <c r="F135">
        <v>5.4</v>
      </c>
      <c r="G135">
        <v>5</v>
      </c>
      <c r="H135" t="s">
        <v>189</v>
      </c>
      <c r="I135" t="s">
        <v>441</v>
      </c>
      <c r="J135" t="s">
        <v>442</v>
      </c>
      <c r="K135" t="s">
        <v>441</v>
      </c>
      <c r="L135" t="s">
        <v>442</v>
      </c>
      <c r="M135" t="s">
        <v>442</v>
      </c>
      <c r="T135" t="s">
        <v>1111</v>
      </c>
    </row>
    <row r="136" spans="1:20" x14ac:dyDescent="0.35">
      <c r="A136">
        <v>37</v>
      </c>
      <c r="B136" t="s">
        <v>439</v>
      </c>
      <c r="D136" t="s">
        <v>586</v>
      </c>
      <c r="E136" t="s">
        <v>493</v>
      </c>
      <c r="F136">
        <v>2.9</v>
      </c>
      <c r="G136">
        <v>2</v>
      </c>
      <c r="H136" t="s">
        <v>189</v>
      </c>
      <c r="I136" t="s">
        <v>441</v>
      </c>
      <c r="J136" t="s">
        <v>441</v>
      </c>
      <c r="K136" t="s">
        <v>442</v>
      </c>
      <c r="L136" t="s">
        <v>442</v>
      </c>
      <c r="M136" t="s">
        <v>442</v>
      </c>
      <c r="T136" t="s">
        <v>1111</v>
      </c>
    </row>
    <row r="137" spans="1:20" x14ac:dyDescent="0.35">
      <c r="A137">
        <v>37</v>
      </c>
      <c r="B137" t="s">
        <v>439</v>
      </c>
      <c r="D137" t="s">
        <v>586</v>
      </c>
      <c r="E137" t="s">
        <v>493</v>
      </c>
      <c r="F137">
        <v>5.8</v>
      </c>
      <c r="G137">
        <v>5</v>
      </c>
      <c r="H137" t="s">
        <v>39</v>
      </c>
      <c r="I137" t="s">
        <v>441</v>
      </c>
      <c r="J137" t="s">
        <v>441</v>
      </c>
      <c r="K137" t="s">
        <v>442</v>
      </c>
      <c r="L137" t="s">
        <v>442</v>
      </c>
      <c r="M137" t="s">
        <v>442</v>
      </c>
      <c r="T137" t="s">
        <v>1111</v>
      </c>
    </row>
    <row r="138" spans="1:20" x14ac:dyDescent="0.35">
      <c r="A138">
        <v>37</v>
      </c>
      <c r="B138" t="s">
        <v>439</v>
      </c>
      <c r="D138" t="s">
        <v>586</v>
      </c>
      <c r="E138" t="s">
        <v>493</v>
      </c>
      <c r="F138">
        <v>3.9</v>
      </c>
      <c r="G138">
        <v>5</v>
      </c>
      <c r="H138" t="s">
        <v>189</v>
      </c>
      <c r="I138" t="s">
        <v>441</v>
      </c>
      <c r="J138" t="s">
        <v>441</v>
      </c>
      <c r="K138" t="s">
        <v>442</v>
      </c>
      <c r="L138" t="s">
        <v>442</v>
      </c>
      <c r="M138" t="s">
        <v>441</v>
      </c>
      <c r="T138" t="s">
        <v>1111</v>
      </c>
    </row>
    <row r="139" spans="1:20" x14ac:dyDescent="0.35">
      <c r="A139">
        <v>37</v>
      </c>
      <c r="B139" t="s">
        <v>439</v>
      </c>
      <c r="D139" t="s">
        <v>586</v>
      </c>
      <c r="E139" t="s">
        <v>493</v>
      </c>
      <c r="F139">
        <v>8.6999999999999993</v>
      </c>
      <c r="G139">
        <v>3</v>
      </c>
      <c r="H139" t="s">
        <v>98</v>
      </c>
      <c r="I139" t="s">
        <v>441</v>
      </c>
      <c r="J139" t="s">
        <v>441</v>
      </c>
      <c r="K139" t="s">
        <v>441</v>
      </c>
      <c r="L139" t="s">
        <v>442</v>
      </c>
      <c r="M139" t="s">
        <v>441</v>
      </c>
      <c r="R139" t="s">
        <v>582</v>
      </c>
      <c r="T139" t="s">
        <v>1111</v>
      </c>
    </row>
    <row r="140" spans="1:20" x14ac:dyDescent="0.35">
      <c r="A140">
        <v>37</v>
      </c>
      <c r="B140" t="s">
        <v>439</v>
      </c>
      <c r="D140" t="s">
        <v>586</v>
      </c>
      <c r="E140" t="s">
        <v>493</v>
      </c>
      <c r="F140">
        <v>5.3</v>
      </c>
      <c r="G140">
        <v>1</v>
      </c>
      <c r="H140" t="s">
        <v>189</v>
      </c>
      <c r="I140" t="s">
        <v>441</v>
      </c>
      <c r="J140" t="s">
        <v>441</v>
      </c>
      <c r="K140" t="s">
        <v>441</v>
      </c>
      <c r="L140" t="s">
        <v>441</v>
      </c>
      <c r="M140" t="s">
        <v>441</v>
      </c>
      <c r="T140" t="s">
        <v>477</v>
      </c>
    </row>
    <row r="141" spans="1:20" x14ac:dyDescent="0.35">
      <c r="A141">
        <v>37</v>
      </c>
      <c r="B141" t="s">
        <v>439</v>
      </c>
      <c r="D141" t="s">
        <v>586</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586</v>
      </c>
      <c r="E142" t="s">
        <v>493</v>
      </c>
      <c r="F142">
        <v>8.5</v>
      </c>
      <c r="G142">
        <v>3</v>
      </c>
      <c r="H142" t="s">
        <v>189</v>
      </c>
      <c r="I142" t="s">
        <v>441</v>
      </c>
      <c r="J142" t="s">
        <v>442</v>
      </c>
      <c r="K142" t="s">
        <v>442</v>
      </c>
      <c r="L142" t="s">
        <v>442</v>
      </c>
      <c r="M142" t="s">
        <v>441</v>
      </c>
      <c r="T142" t="s">
        <v>1111</v>
      </c>
    </row>
    <row r="143" spans="1:20" x14ac:dyDescent="0.35">
      <c r="A143">
        <v>37</v>
      </c>
      <c r="B143" t="s">
        <v>439</v>
      </c>
      <c r="D143" t="s">
        <v>586</v>
      </c>
      <c r="E143" t="s">
        <v>493</v>
      </c>
      <c r="F143">
        <v>6.2</v>
      </c>
      <c r="G143">
        <v>1</v>
      </c>
      <c r="H143" t="s">
        <v>189</v>
      </c>
      <c r="I143" t="s">
        <v>441</v>
      </c>
      <c r="J143" t="s">
        <v>441</v>
      </c>
      <c r="K143" t="s">
        <v>441</v>
      </c>
      <c r="L143" t="s">
        <v>441</v>
      </c>
      <c r="M143" t="s">
        <v>441</v>
      </c>
      <c r="T143" t="s">
        <v>477</v>
      </c>
    </row>
    <row r="144" spans="1:20" x14ac:dyDescent="0.35">
      <c r="A144">
        <v>37</v>
      </c>
      <c r="B144" t="s">
        <v>438</v>
      </c>
      <c r="D144" t="s">
        <v>586</v>
      </c>
      <c r="E144" t="s">
        <v>493</v>
      </c>
      <c r="F144">
        <v>6.6</v>
      </c>
      <c r="G144">
        <v>5</v>
      </c>
      <c r="H144" t="s">
        <v>189</v>
      </c>
      <c r="I144" t="s">
        <v>441</v>
      </c>
      <c r="J144" t="s">
        <v>442</v>
      </c>
      <c r="K144" t="s">
        <v>442</v>
      </c>
      <c r="L144" t="s">
        <v>442</v>
      </c>
      <c r="M144" t="s">
        <v>442</v>
      </c>
      <c r="T144" t="s">
        <v>1111</v>
      </c>
    </row>
    <row r="145" spans="1:20"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c r="T145" t="s">
        <v>1111</v>
      </c>
    </row>
    <row r="146" spans="1:20" x14ac:dyDescent="0.35">
      <c r="A146">
        <v>37</v>
      </c>
      <c r="B146" t="s">
        <v>438</v>
      </c>
      <c r="D146" t="s">
        <v>586</v>
      </c>
      <c r="E146" t="s">
        <v>493</v>
      </c>
      <c r="F146">
        <v>9.5</v>
      </c>
      <c r="G146">
        <v>1</v>
      </c>
      <c r="H146" t="s">
        <v>189</v>
      </c>
      <c r="I146" t="s">
        <v>441</v>
      </c>
      <c r="J146" t="s">
        <v>441</v>
      </c>
      <c r="K146" t="s">
        <v>441</v>
      </c>
      <c r="L146" t="s">
        <v>441</v>
      </c>
      <c r="M146" t="s">
        <v>442</v>
      </c>
      <c r="T146" t="s">
        <v>477</v>
      </c>
    </row>
    <row r="147" spans="1:20" x14ac:dyDescent="0.35">
      <c r="A147">
        <v>37</v>
      </c>
      <c r="B147" t="s">
        <v>438</v>
      </c>
      <c r="D147" t="s">
        <v>586</v>
      </c>
      <c r="E147" t="s">
        <v>493</v>
      </c>
      <c r="F147">
        <v>6.5</v>
      </c>
      <c r="G147">
        <v>2</v>
      </c>
      <c r="H147" t="s">
        <v>189</v>
      </c>
      <c r="I147" t="s">
        <v>441</v>
      </c>
      <c r="J147" t="s">
        <v>441</v>
      </c>
      <c r="K147" t="s">
        <v>442</v>
      </c>
      <c r="L147" t="s">
        <v>442</v>
      </c>
      <c r="M147" t="s">
        <v>441</v>
      </c>
      <c r="T147" t="s">
        <v>1111</v>
      </c>
    </row>
    <row r="148" spans="1:20" x14ac:dyDescent="0.35">
      <c r="A148">
        <v>37</v>
      </c>
      <c r="B148" t="s">
        <v>438</v>
      </c>
      <c r="D148" t="s">
        <v>586</v>
      </c>
      <c r="E148" t="s">
        <v>493</v>
      </c>
      <c r="F148">
        <v>6.1</v>
      </c>
      <c r="G148">
        <v>1</v>
      </c>
      <c r="H148" t="s">
        <v>189</v>
      </c>
      <c r="I148" t="s">
        <v>441</v>
      </c>
      <c r="J148" t="s">
        <v>441</v>
      </c>
      <c r="K148" t="s">
        <v>441</v>
      </c>
      <c r="L148" t="s">
        <v>441</v>
      </c>
      <c r="M148" t="s">
        <v>441</v>
      </c>
      <c r="T148" t="s">
        <v>477</v>
      </c>
    </row>
    <row r="149" spans="1:20" x14ac:dyDescent="0.35">
      <c r="A149">
        <v>37</v>
      </c>
      <c r="B149" t="s">
        <v>438</v>
      </c>
      <c r="D149" t="s">
        <v>586</v>
      </c>
      <c r="E149" t="s">
        <v>493</v>
      </c>
      <c r="F149">
        <v>5</v>
      </c>
      <c r="G149">
        <v>5</v>
      </c>
      <c r="H149" t="s">
        <v>189</v>
      </c>
      <c r="I149" t="s">
        <v>441</v>
      </c>
      <c r="J149" t="s">
        <v>442</v>
      </c>
      <c r="K149" t="s">
        <v>442</v>
      </c>
      <c r="L149" t="s">
        <v>442</v>
      </c>
      <c r="M149" t="s">
        <v>442</v>
      </c>
      <c r="T149" t="s">
        <v>1111</v>
      </c>
    </row>
    <row r="150" spans="1:20" x14ac:dyDescent="0.35">
      <c r="A150">
        <v>37</v>
      </c>
      <c r="B150" t="s">
        <v>438</v>
      </c>
      <c r="D150" t="s">
        <v>586</v>
      </c>
      <c r="E150" t="s">
        <v>493</v>
      </c>
      <c r="F150">
        <v>6.2</v>
      </c>
      <c r="G150">
        <v>1</v>
      </c>
      <c r="H150" t="s">
        <v>189</v>
      </c>
      <c r="I150" t="s">
        <v>441</v>
      </c>
      <c r="J150" t="s">
        <v>441</v>
      </c>
      <c r="K150" t="s">
        <v>442</v>
      </c>
      <c r="L150" t="s">
        <v>442</v>
      </c>
      <c r="M150" t="s">
        <v>441</v>
      </c>
      <c r="T150" t="s">
        <v>1111</v>
      </c>
    </row>
    <row r="151" spans="1:20" x14ac:dyDescent="0.35">
      <c r="A151">
        <v>37</v>
      </c>
      <c r="B151" t="s">
        <v>438</v>
      </c>
      <c r="D151" t="s">
        <v>586</v>
      </c>
      <c r="E151" t="s">
        <v>493</v>
      </c>
      <c r="F151">
        <v>6</v>
      </c>
      <c r="G151">
        <v>1</v>
      </c>
      <c r="H151" t="s">
        <v>189</v>
      </c>
      <c r="I151" t="s">
        <v>441</v>
      </c>
      <c r="J151" t="s">
        <v>441</v>
      </c>
      <c r="K151" t="s">
        <v>441</v>
      </c>
      <c r="L151" t="s">
        <v>441</v>
      </c>
      <c r="M151" t="s">
        <v>441</v>
      </c>
      <c r="T151" t="s">
        <v>477</v>
      </c>
    </row>
    <row r="152" spans="1:20" x14ac:dyDescent="0.35">
      <c r="A152">
        <v>37</v>
      </c>
      <c r="B152" t="s">
        <v>438</v>
      </c>
      <c r="D152" t="s">
        <v>586</v>
      </c>
      <c r="E152" t="s">
        <v>493</v>
      </c>
      <c r="F152">
        <v>4.5999999999999996</v>
      </c>
      <c r="G152">
        <v>1</v>
      </c>
      <c r="H152" t="s">
        <v>189</v>
      </c>
      <c r="I152" t="s">
        <v>441</v>
      </c>
      <c r="J152" t="s">
        <v>441</v>
      </c>
      <c r="K152" t="s">
        <v>442</v>
      </c>
      <c r="L152" t="s">
        <v>442</v>
      </c>
      <c r="M152" t="s">
        <v>441</v>
      </c>
      <c r="T152" t="s">
        <v>1111</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c r="T154" t="s">
        <v>1111</v>
      </c>
    </row>
    <row r="155" spans="1:20" x14ac:dyDescent="0.35">
      <c r="A155">
        <v>25</v>
      </c>
      <c r="B155" t="s">
        <v>439</v>
      </c>
      <c r="D155" t="s">
        <v>586</v>
      </c>
      <c r="E155" t="s">
        <v>493</v>
      </c>
      <c r="F155">
        <v>3.4</v>
      </c>
      <c r="G155">
        <v>3</v>
      </c>
      <c r="H155" t="s">
        <v>39</v>
      </c>
      <c r="I155" t="s">
        <v>441</v>
      </c>
      <c r="J155" t="s">
        <v>441</v>
      </c>
      <c r="K155" t="s">
        <v>442</v>
      </c>
      <c r="L155" t="s">
        <v>442</v>
      </c>
      <c r="M155" t="s">
        <v>442</v>
      </c>
      <c r="T155" t="s">
        <v>1111</v>
      </c>
    </row>
    <row r="156" spans="1:20" x14ac:dyDescent="0.35">
      <c r="A156">
        <v>25</v>
      </c>
      <c r="B156" t="s">
        <v>439</v>
      </c>
      <c r="D156" t="s">
        <v>586</v>
      </c>
      <c r="E156" t="s">
        <v>493</v>
      </c>
      <c r="F156">
        <v>2.7</v>
      </c>
      <c r="G156">
        <v>5</v>
      </c>
      <c r="H156" t="s">
        <v>39</v>
      </c>
      <c r="I156" t="s">
        <v>441</v>
      </c>
      <c r="J156" t="s">
        <v>442</v>
      </c>
      <c r="K156" t="s">
        <v>442</v>
      </c>
      <c r="L156" t="s">
        <v>442</v>
      </c>
      <c r="M156" t="s">
        <v>442</v>
      </c>
      <c r="T156" t="s">
        <v>1111</v>
      </c>
    </row>
    <row r="157" spans="1:20" x14ac:dyDescent="0.35">
      <c r="A157">
        <v>25</v>
      </c>
      <c r="B157" t="s">
        <v>440</v>
      </c>
      <c r="D157" t="s">
        <v>586</v>
      </c>
      <c r="E157" t="s">
        <v>475</v>
      </c>
      <c r="F157">
        <v>3.1</v>
      </c>
      <c r="G157">
        <v>1</v>
      </c>
      <c r="H157" t="s">
        <v>189</v>
      </c>
      <c r="I157" t="s">
        <v>441</v>
      </c>
      <c r="J157" t="s">
        <v>441</v>
      </c>
      <c r="K157" t="s">
        <v>442</v>
      </c>
      <c r="L157" t="s">
        <v>441</v>
      </c>
      <c r="M157" t="s">
        <v>441</v>
      </c>
      <c r="T157" t="s">
        <v>477</v>
      </c>
    </row>
    <row r="158" spans="1:20" x14ac:dyDescent="0.35">
      <c r="A158">
        <v>25</v>
      </c>
      <c r="B158" t="s">
        <v>440</v>
      </c>
      <c r="D158" t="s">
        <v>586</v>
      </c>
      <c r="E158" t="s">
        <v>493</v>
      </c>
      <c r="F158">
        <v>3</v>
      </c>
      <c r="G158">
        <v>5</v>
      </c>
      <c r="H158" t="s">
        <v>189</v>
      </c>
      <c r="I158" t="s">
        <v>441</v>
      </c>
      <c r="J158" t="s">
        <v>441</v>
      </c>
      <c r="K158" t="s">
        <v>442</v>
      </c>
      <c r="L158" t="s">
        <v>442</v>
      </c>
      <c r="M158" t="s">
        <v>442</v>
      </c>
      <c r="T158" t="s">
        <v>1111</v>
      </c>
    </row>
    <row r="159" spans="1:20" x14ac:dyDescent="0.35">
      <c r="A159">
        <v>25</v>
      </c>
      <c r="B159" t="s">
        <v>438</v>
      </c>
      <c r="D159" t="s">
        <v>586</v>
      </c>
      <c r="E159" t="s">
        <v>493</v>
      </c>
      <c r="F159">
        <v>2.6</v>
      </c>
      <c r="G159">
        <v>2</v>
      </c>
      <c r="H159" t="s">
        <v>189</v>
      </c>
      <c r="I159" t="s">
        <v>441</v>
      </c>
      <c r="J159" t="s">
        <v>441</v>
      </c>
      <c r="K159" t="s">
        <v>441</v>
      </c>
      <c r="L159" t="s">
        <v>442</v>
      </c>
      <c r="M159" t="s">
        <v>441</v>
      </c>
      <c r="T159" t="s">
        <v>1111</v>
      </c>
    </row>
    <row r="160" spans="1:20" x14ac:dyDescent="0.35">
      <c r="A160">
        <v>25</v>
      </c>
      <c r="B160" t="s">
        <v>438</v>
      </c>
      <c r="D160" t="s">
        <v>586</v>
      </c>
      <c r="E160" t="s">
        <v>517</v>
      </c>
      <c r="F160">
        <v>5.7</v>
      </c>
      <c r="G160">
        <v>5</v>
      </c>
      <c r="H160" t="s">
        <v>189</v>
      </c>
      <c r="I160" t="s">
        <v>441</v>
      </c>
      <c r="J160" t="s">
        <v>442</v>
      </c>
      <c r="K160" t="s">
        <v>442</v>
      </c>
      <c r="L160" t="s">
        <v>442</v>
      </c>
      <c r="M160" t="s">
        <v>441</v>
      </c>
      <c r="T160" t="s">
        <v>1111</v>
      </c>
    </row>
    <row r="161" spans="1:20" x14ac:dyDescent="0.35">
      <c r="A161">
        <v>25</v>
      </c>
      <c r="B161" t="s">
        <v>438</v>
      </c>
      <c r="D161" t="s">
        <v>586</v>
      </c>
      <c r="E161" t="s">
        <v>493</v>
      </c>
      <c r="F161">
        <v>2.7</v>
      </c>
      <c r="G161">
        <v>2</v>
      </c>
      <c r="H161" t="s">
        <v>39</v>
      </c>
      <c r="I161" t="s">
        <v>441</v>
      </c>
      <c r="J161" t="s">
        <v>441</v>
      </c>
      <c r="K161" t="s">
        <v>442</v>
      </c>
      <c r="L161" t="s">
        <v>442</v>
      </c>
      <c r="M161" t="s">
        <v>441</v>
      </c>
      <c r="T161" t="s">
        <v>1111</v>
      </c>
    </row>
    <row r="162" spans="1:20" x14ac:dyDescent="0.35">
      <c r="A162">
        <v>25</v>
      </c>
      <c r="B162" t="s">
        <v>437</v>
      </c>
      <c r="D162">
        <v>17.8</v>
      </c>
      <c r="E162" t="s">
        <v>519</v>
      </c>
      <c r="F162">
        <v>2.9</v>
      </c>
      <c r="G162">
        <v>1</v>
      </c>
      <c r="H162" t="s">
        <v>189</v>
      </c>
      <c r="I162" t="s">
        <v>441</v>
      </c>
      <c r="J162" t="s">
        <v>441</v>
      </c>
      <c r="K162" t="s">
        <v>442</v>
      </c>
      <c r="L162" t="s">
        <v>442</v>
      </c>
      <c r="M162" t="s">
        <v>441</v>
      </c>
      <c r="R162" t="s">
        <v>589</v>
      </c>
      <c r="T162" t="s">
        <v>1111</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586</v>
      </c>
      <c r="E166" t="s">
        <v>475</v>
      </c>
      <c r="F166">
        <v>3.2</v>
      </c>
      <c r="G166">
        <v>1</v>
      </c>
      <c r="H166" t="s">
        <v>39</v>
      </c>
      <c r="I166" t="s">
        <v>441</v>
      </c>
      <c r="J166" t="s">
        <v>441</v>
      </c>
      <c r="K166" t="s">
        <v>441</v>
      </c>
      <c r="L166" t="s">
        <v>441</v>
      </c>
      <c r="M166" t="s">
        <v>441</v>
      </c>
      <c r="T166" t="s">
        <v>477</v>
      </c>
    </row>
    <row r="167" spans="1:20" x14ac:dyDescent="0.35">
      <c r="A167">
        <v>33</v>
      </c>
      <c r="B167" t="s">
        <v>438</v>
      </c>
      <c r="D167" t="s">
        <v>586</v>
      </c>
      <c r="E167" t="s">
        <v>475</v>
      </c>
      <c r="F167">
        <v>2.6</v>
      </c>
      <c r="G167">
        <v>1</v>
      </c>
      <c r="H167" t="s">
        <v>39</v>
      </c>
      <c r="I167" t="s">
        <v>441</v>
      </c>
      <c r="J167" t="s">
        <v>441</v>
      </c>
      <c r="K167" t="s">
        <v>441</v>
      </c>
      <c r="L167" t="s">
        <v>441</v>
      </c>
      <c r="M167" t="s">
        <v>441</v>
      </c>
      <c r="T167" t="s">
        <v>477</v>
      </c>
    </row>
    <row r="168" spans="1:20" x14ac:dyDescent="0.35">
      <c r="A168">
        <v>33</v>
      </c>
      <c r="B168" t="s">
        <v>440</v>
      </c>
      <c r="D168" t="s">
        <v>586</v>
      </c>
      <c r="E168" t="s">
        <v>493</v>
      </c>
      <c r="F168">
        <v>3.1</v>
      </c>
      <c r="G168">
        <v>5</v>
      </c>
      <c r="H168" t="s">
        <v>39</v>
      </c>
      <c r="I168" t="s">
        <v>441</v>
      </c>
      <c r="J168" t="s">
        <v>442</v>
      </c>
      <c r="K168" t="s">
        <v>442</v>
      </c>
      <c r="L168" t="s">
        <v>442</v>
      </c>
      <c r="M168" t="s">
        <v>441</v>
      </c>
      <c r="T168" t="s">
        <v>1111</v>
      </c>
    </row>
    <row r="169" spans="1:20" x14ac:dyDescent="0.35">
      <c r="A169">
        <v>33</v>
      </c>
      <c r="B169" t="s">
        <v>440</v>
      </c>
      <c r="D169" t="s">
        <v>586</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586</v>
      </c>
      <c r="E175" t="s">
        <v>519</v>
      </c>
      <c r="F175">
        <v>4.5999999999999996</v>
      </c>
      <c r="G175">
        <v>1</v>
      </c>
      <c r="H175" t="s">
        <v>189</v>
      </c>
      <c r="I175" t="s">
        <v>441</v>
      </c>
      <c r="J175" t="s">
        <v>441</v>
      </c>
      <c r="K175" t="s">
        <v>441</v>
      </c>
      <c r="L175" t="s">
        <v>441</v>
      </c>
      <c r="M175" t="s">
        <v>441</v>
      </c>
      <c r="Q175" t="s">
        <v>640</v>
      </c>
      <c r="T175" t="s">
        <v>477</v>
      </c>
    </row>
    <row r="176" spans="1:20" x14ac:dyDescent="0.35">
      <c r="A176">
        <v>63</v>
      </c>
      <c r="B176" t="s">
        <v>437</v>
      </c>
      <c r="D176" t="s">
        <v>586</v>
      </c>
      <c r="E176" t="s">
        <v>475</v>
      </c>
      <c r="F176">
        <v>4</v>
      </c>
      <c r="G176">
        <v>1</v>
      </c>
      <c r="H176" t="s">
        <v>189</v>
      </c>
      <c r="I176" t="s">
        <v>441</v>
      </c>
      <c r="J176" t="s">
        <v>441</v>
      </c>
      <c r="K176" t="s">
        <v>441</v>
      </c>
      <c r="L176" t="s">
        <v>441</v>
      </c>
      <c r="M176" t="s">
        <v>441</v>
      </c>
      <c r="T176" t="s">
        <v>477</v>
      </c>
    </row>
    <row r="177" spans="1:20" x14ac:dyDescent="0.35">
      <c r="A177">
        <v>63</v>
      </c>
      <c r="B177" t="s">
        <v>437</v>
      </c>
      <c r="D177" t="s">
        <v>586</v>
      </c>
      <c r="E177" t="s">
        <v>475</v>
      </c>
      <c r="F177">
        <v>6</v>
      </c>
      <c r="G177">
        <v>1</v>
      </c>
      <c r="H177" t="s">
        <v>189</v>
      </c>
      <c r="I177" t="s">
        <v>441</v>
      </c>
      <c r="J177" t="s">
        <v>441</v>
      </c>
      <c r="K177" t="s">
        <v>441</v>
      </c>
      <c r="L177" t="s">
        <v>441</v>
      </c>
      <c r="M177" t="s">
        <v>441</v>
      </c>
      <c r="T177" t="s">
        <v>477</v>
      </c>
    </row>
    <row r="178" spans="1:20" x14ac:dyDescent="0.35">
      <c r="A178">
        <v>63</v>
      </c>
      <c r="B178" t="s">
        <v>437</v>
      </c>
      <c r="D178" t="s">
        <v>586</v>
      </c>
      <c r="E178" t="s">
        <v>475</v>
      </c>
      <c r="F178">
        <v>3.5</v>
      </c>
      <c r="G178">
        <v>1</v>
      </c>
      <c r="H178" t="s">
        <v>189</v>
      </c>
      <c r="I178" t="s">
        <v>441</v>
      </c>
      <c r="J178" t="s">
        <v>441</v>
      </c>
      <c r="K178" t="s">
        <v>441</v>
      </c>
      <c r="L178" t="s">
        <v>441</v>
      </c>
      <c r="M178" t="s">
        <v>441</v>
      </c>
      <c r="T178" t="s">
        <v>477</v>
      </c>
    </row>
    <row r="179" spans="1:20" x14ac:dyDescent="0.35">
      <c r="A179">
        <v>63</v>
      </c>
      <c r="B179" t="s">
        <v>437</v>
      </c>
      <c r="D179" t="s">
        <v>586</v>
      </c>
      <c r="E179" t="s">
        <v>475</v>
      </c>
      <c r="F179">
        <v>2.7</v>
      </c>
      <c r="G179">
        <v>1</v>
      </c>
      <c r="H179" t="s">
        <v>189</v>
      </c>
      <c r="I179" t="s">
        <v>441</v>
      </c>
      <c r="J179" t="s">
        <v>441</v>
      </c>
      <c r="K179" t="s">
        <v>441</v>
      </c>
      <c r="L179" t="s">
        <v>441</v>
      </c>
      <c r="M179" t="s">
        <v>441</v>
      </c>
      <c r="T179" t="s">
        <v>477</v>
      </c>
    </row>
    <row r="180" spans="1:20" x14ac:dyDescent="0.35">
      <c r="A180">
        <v>63</v>
      </c>
      <c r="B180" t="s">
        <v>437</v>
      </c>
      <c r="D180" t="s">
        <v>586</v>
      </c>
      <c r="E180" t="s">
        <v>475</v>
      </c>
      <c r="F180">
        <v>3</v>
      </c>
      <c r="G180">
        <v>1</v>
      </c>
      <c r="H180" t="s">
        <v>39</v>
      </c>
      <c r="I180" t="s">
        <v>441</v>
      </c>
      <c r="J180" t="s">
        <v>441</v>
      </c>
      <c r="K180" t="s">
        <v>441</v>
      </c>
      <c r="L180" t="s">
        <v>441</v>
      </c>
      <c r="M180" t="s">
        <v>441</v>
      </c>
      <c r="T180" t="s">
        <v>477</v>
      </c>
    </row>
    <row r="181" spans="1:20" x14ac:dyDescent="0.35">
      <c r="A181">
        <v>63</v>
      </c>
      <c r="B181" t="s">
        <v>438</v>
      </c>
      <c r="D181" t="s">
        <v>586</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586</v>
      </c>
      <c r="E182" t="s">
        <v>475</v>
      </c>
      <c r="F182">
        <v>4.2</v>
      </c>
      <c r="G182">
        <v>1</v>
      </c>
      <c r="H182" t="s">
        <v>189</v>
      </c>
      <c r="I182" t="s">
        <v>441</v>
      </c>
      <c r="J182" t="s">
        <v>441</v>
      </c>
      <c r="K182" t="s">
        <v>442</v>
      </c>
      <c r="L182" t="s">
        <v>441</v>
      </c>
      <c r="M182" t="s">
        <v>441</v>
      </c>
      <c r="T182" t="s">
        <v>477</v>
      </c>
    </row>
    <row r="183" spans="1:20" x14ac:dyDescent="0.35">
      <c r="A183">
        <v>63</v>
      </c>
      <c r="B183" t="s">
        <v>438</v>
      </c>
      <c r="D183" t="s">
        <v>586</v>
      </c>
      <c r="E183" t="s">
        <v>475</v>
      </c>
      <c r="F183">
        <v>2.5</v>
      </c>
      <c r="G183">
        <v>1</v>
      </c>
      <c r="H183" t="s">
        <v>39</v>
      </c>
      <c r="I183" t="s">
        <v>441</v>
      </c>
      <c r="J183" t="s">
        <v>441</v>
      </c>
      <c r="K183" t="s">
        <v>442</v>
      </c>
      <c r="L183" t="s">
        <v>441</v>
      </c>
      <c r="M183" t="s">
        <v>441</v>
      </c>
      <c r="T183" t="s">
        <v>477</v>
      </c>
    </row>
    <row r="184" spans="1:20" x14ac:dyDescent="0.35">
      <c r="A184">
        <v>63</v>
      </c>
      <c r="B184" t="s">
        <v>438</v>
      </c>
      <c r="D184" t="s">
        <v>586</v>
      </c>
      <c r="E184" t="s">
        <v>475</v>
      </c>
      <c r="F184">
        <v>4.8</v>
      </c>
      <c r="G184">
        <v>1</v>
      </c>
      <c r="H184" t="s">
        <v>189</v>
      </c>
      <c r="I184" t="s">
        <v>441</v>
      </c>
      <c r="J184" t="s">
        <v>441</v>
      </c>
      <c r="K184" t="s">
        <v>442</v>
      </c>
      <c r="L184" t="s">
        <v>441</v>
      </c>
      <c r="M184" t="s">
        <v>441</v>
      </c>
      <c r="Q184" t="s">
        <v>641</v>
      </c>
      <c r="T184" t="s">
        <v>477</v>
      </c>
    </row>
    <row r="185" spans="1:20" x14ac:dyDescent="0.35">
      <c r="A185">
        <v>63</v>
      </c>
      <c r="B185" t="s">
        <v>437</v>
      </c>
      <c r="D185" t="s">
        <v>586</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586</v>
      </c>
      <c r="E186" t="s">
        <v>475</v>
      </c>
      <c r="F186">
        <v>2.6</v>
      </c>
      <c r="G186">
        <v>2</v>
      </c>
      <c r="H186" t="s">
        <v>189</v>
      </c>
      <c r="I186" t="s">
        <v>441</v>
      </c>
      <c r="J186" t="s">
        <v>441</v>
      </c>
      <c r="K186" t="s">
        <v>441</v>
      </c>
      <c r="L186" t="s">
        <v>441</v>
      </c>
      <c r="M186" t="s">
        <v>441</v>
      </c>
      <c r="T186" t="s">
        <v>477</v>
      </c>
    </row>
    <row r="187" spans="1:20" x14ac:dyDescent="0.35">
      <c r="A187">
        <v>63</v>
      </c>
      <c r="B187" t="s">
        <v>438</v>
      </c>
      <c r="D187" t="s">
        <v>586</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586</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586</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586</v>
      </c>
      <c r="E191" t="s">
        <v>482</v>
      </c>
      <c r="F191">
        <v>6.5</v>
      </c>
      <c r="G191">
        <v>2</v>
      </c>
      <c r="H191" t="s">
        <v>189</v>
      </c>
      <c r="I191" t="s">
        <v>441</v>
      </c>
      <c r="J191" t="s">
        <v>441</v>
      </c>
      <c r="K191" t="s">
        <v>442</v>
      </c>
      <c r="L191" t="s">
        <v>441</v>
      </c>
      <c r="M191" t="s">
        <v>441</v>
      </c>
      <c r="T191" t="s">
        <v>477</v>
      </c>
    </row>
    <row r="192" spans="1:20" x14ac:dyDescent="0.35">
      <c r="A192">
        <v>63</v>
      </c>
      <c r="B192" t="s">
        <v>438</v>
      </c>
      <c r="D192" t="s">
        <v>586</v>
      </c>
      <c r="E192" t="s">
        <v>482</v>
      </c>
      <c r="F192">
        <v>2.6</v>
      </c>
      <c r="G192">
        <v>1</v>
      </c>
      <c r="H192" t="s">
        <v>189</v>
      </c>
      <c r="I192" t="s">
        <v>441</v>
      </c>
      <c r="J192" t="s">
        <v>441</v>
      </c>
      <c r="K192" t="s">
        <v>442</v>
      </c>
      <c r="L192" t="s">
        <v>441</v>
      </c>
      <c r="M192" t="s">
        <v>441</v>
      </c>
      <c r="T192" t="s">
        <v>477</v>
      </c>
    </row>
    <row r="193" spans="1:20" x14ac:dyDescent="0.35">
      <c r="A193">
        <v>63</v>
      </c>
      <c r="B193" t="s">
        <v>438</v>
      </c>
      <c r="D193" t="s">
        <v>586</v>
      </c>
      <c r="E193" t="s">
        <v>482</v>
      </c>
      <c r="F193">
        <v>7.4</v>
      </c>
      <c r="G193">
        <v>5</v>
      </c>
      <c r="H193" t="s">
        <v>189</v>
      </c>
      <c r="I193" t="s">
        <v>441</v>
      </c>
      <c r="J193" t="s">
        <v>442</v>
      </c>
      <c r="K193" t="s">
        <v>442</v>
      </c>
      <c r="L193" t="s">
        <v>442</v>
      </c>
      <c r="M193" t="s">
        <v>442</v>
      </c>
      <c r="T193" t="s">
        <v>1111</v>
      </c>
    </row>
    <row r="194" spans="1:20" x14ac:dyDescent="0.35">
      <c r="A194">
        <v>63</v>
      </c>
      <c r="B194" t="s">
        <v>438</v>
      </c>
      <c r="D194" t="s">
        <v>586</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586</v>
      </c>
      <c r="E195" t="s">
        <v>482</v>
      </c>
      <c r="F195">
        <v>3</v>
      </c>
      <c r="G195">
        <v>1</v>
      </c>
      <c r="H195" t="s">
        <v>39</v>
      </c>
      <c r="I195" t="s">
        <v>441</v>
      </c>
      <c r="J195" t="s">
        <v>441</v>
      </c>
      <c r="K195" t="s">
        <v>442</v>
      </c>
      <c r="L195" t="s">
        <v>441</v>
      </c>
      <c r="M195" t="s">
        <v>442</v>
      </c>
      <c r="T195" t="s">
        <v>477</v>
      </c>
    </row>
    <row r="196" spans="1:20" x14ac:dyDescent="0.35">
      <c r="A196">
        <v>63</v>
      </c>
      <c r="B196" t="s">
        <v>437</v>
      </c>
      <c r="D196" t="s">
        <v>586</v>
      </c>
      <c r="E196" t="s">
        <v>519</v>
      </c>
      <c r="F196">
        <v>2.8</v>
      </c>
      <c r="G196">
        <v>1</v>
      </c>
      <c r="H196" t="s">
        <v>39</v>
      </c>
      <c r="I196" t="s">
        <v>441</v>
      </c>
      <c r="J196" t="s">
        <v>441</v>
      </c>
      <c r="K196" t="s">
        <v>441</v>
      </c>
      <c r="L196" t="s">
        <v>441</v>
      </c>
      <c r="M196" t="s">
        <v>441</v>
      </c>
      <c r="T196" t="s">
        <v>477</v>
      </c>
    </row>
    <row r="197" spans="1:20" x14ac:dyDescent="0.35">
      <c r="A197">
        <v>63</v>
      </c>
      <c r="B197" t="s">
        <v>437</v>
      </c>
      <c r="D197" t="s">
        <v>586</v>
      </c>
      <c r="E197" t="s">
        <v>519</v>
      </c>
      <c r="F197">
        <v>4</v>
      </c>
      <c r="G197">
        <v>1</v>
      </c>
      <c r="H197" t="s">
        <v>189</v>
      </c>
      <c r="I197" t="s">
        <v>442</v>
      </c>
      <c r="J197" t="s">
        <v>441</v>
      </c>
      <c r="K197" t="s">
        <v>442</v>
      </c>
      <c r="L197" t="s">
        <v>441</v>
      </c>
      <c r="M197" t="s">
        <v>441</v>
      </c>
      <c r="T197" t="s">
        <v>477</v>
      </c>
    </row>
    <row r="198" spans="1:20" x14ac:dyDescent="0.35">
      <c r="A198">
        <v>63</v>
      </c>
      <c r="B198" t="s">
        <v>438</v>
      </c>
      <c r="D198" t="s">
        <v>586</v>
      </c>
      <c r="E198" t="s">
        <v>475</v>
      </c>
      <c r="F198">
        <v>2.9</v>
      </c>
      <c r="G198">
        <v>1</v>
      </c>
      <c r="H198" t="s">
        <v>189</v>
      </c>
      <c r="I198" t="s">
        <v>441</v>
      </c>
      <c r="J198" t="s">
        <v>441</v>
      </c>
      <c r="K198" t="s">
        <v>441</v>
      </c>
      <c r="L198" t="s">
        <v>441</v>
      </c>
      <c r="M198" t="s">
        <v>441</v>
      </c>
      <c r="T198" t="s">
        <v>477</v>
      </c>
    </row>
    <row r="199" spans="1:20" x14ac:dyDescent="0.35">
      <c r="A199">
        <v>63</v>
      </c>
      <c r="B199" t="s">
        <v>438</v>
      </c>
      <c r="D199" t="s">
        <v>586</v>
      </c>
      <c r="E199" t="s">
        <v>482</v>
      </c>
      <c r="F199">
        <v>3.5</v>
      </c>
      <c r="G199">
        <v>3</v>
      </c>
      <c r="H199" t="s">
        <v>39</v>
      </c>
      <c r="I199" t="s">
        <v>441</v>
      </c>
      <c r="J199" t="s">
        <v>441</v>
      </c>
      <c r="K199" t="s">
        <v>442</v>
      </c>
      <c r="L199" t="s">
        <v>441</v>
      </c>
      <c r="M199" t="s">
        <v>442</v>
      </c>
      <c r="Q199" t="s">
        <v>648</v>
      </c>
      <c r="T199" t="s">
        <v>477</v>
      </c>
    </row>
    <row r="200" spans="1:20" x14ac:dyDescent="0.35">
      <c r="A200">
        <v>63</v>
      </c>
      <c r="B200" t="s">
        <v>438</v>
      </c>
      <c r="D200" t="s">
        <v>586</v>
      </c>
      <c r="E200" t="s">
        <v>519</v>
      </c>
      <c r="F200">
        <v>8.5</v>
      </c>
      <c r="G200">
        <v>4</v>
      </c>
      <c r="H200" t="s">
        <v>98</v>
      </c>
      <c r="I200" t="s">
        <v>441</v>
      </c>
      <c r="J200" t="s">
        <v>441</v>
      </c>
      <c r="K200" t="s">
        <v>442</v>
      </c>
      <c r="L200" t="s">
        <v>442</v>
      </c>
      <c r="M200" t="s">
        <v>442</v>
      </c>
      <c r="T200" t="s">
        <v>1111</v>
      </c>
    </row>
    <row r="201" spans="1:20" x14ac:dyDescent="0.35">
      <c r="A201">
        <v>63</v>
      </c>
      <c r="B201" t="s">
        <v>438</v>
      </c>
      <c r="D201" t="s">
        <v>586</v>
      </c>
      <c r="E201" t="s">
        <v>519</v>
      </c>
      <c r="F201">
        <v>7.2</v>
      </c>
      <c r="G201">
        <v>2</v>
      </c>
      <c r="H201" t="s">
        <v>189</v>
      </c>
      <c r="I201" t="s">
        <v>441</v>
      </c>
      <c r="J201" t="s">
        <v>441</v>
      </c>
      <c r="K201" t="s">
        <v>442</v>
      </c>
      <c r="L201" t="s">
        <v>441</v>
      </c>
      <c r="M201" t="s">
        <v>441</v>
      </c>
      <c r="T201" t="s">
        <v>477</v>
      </c>
    </row>
    <row r="202" spans="1:20" x14ac:dyDescent="0.35">
      <c r="A202">
        <v>63</v>
      </c>
      <c r="B202" t="s">
        <v>438</v>
      </c>
      <c r="D202" t="s">
        <v>586</v>
      </c>
      <c r="E202" t="s">
        <v>519</v>
      </c>
      <c r="F202">
        <v>7.4</v>
      </c>
      <c r="G202">
        <v>1</v>
      </c>
      <c r="H202" t="s">
        <v>98</v>
      </c>
      <c r="I202" t="s">
        <v>441</v>
      </c>
      <c r="J202" t="s">
        <v>441</v>
      </c>
      <c r="K202" t="s">
        <v>442</v>
      </c>
      <c r="L202" t="s">
        <v>441</v>
      </c>
      <c r="M202" t="s">
        <v>441</v>
      </c>
      <c r="T202" t="s">
        <v>477</v>
      </c>
    </row>
    <row r="203" spans="1:20" x14ac:dyDescent="0.35">
      <c r="A203">
        <v>63</v>
      </c>
      <c r="B203" t="s">
        <v>438</v>
      </c>
      <c r="D203" t="s">
        <v>586</v>
      </c>
      <c r="E203" t="s">
        <v>519</v>
      </c>
      <c r="F203">
        <v>8.3000000000000007</v>
      </c>
      <c r="G203">
        <v>5</v>
      </c>
      <c r="H203" t="s">
        <v>98</v>
      </c>
      <c r="I203" t="s">
        <v>441</v>
      </c>
      <c r="J203" t="s">
        <v>441</v>
      </c>
      <c r="K203" t="s">
        <v>442</v>
      </c>
      <c r="L203" t="s">
        <v>442</v>
      </c>
      <c r="M203" t="s">
        <v>441</v>
      </c>
      <c r="T203" t="s">
        <v>1111</v>
      </c>
    </row>
    <row r="204" spans="1:20" x14ac:dyDescent="0.35">
      <c r="A204">
        <v>63</v>
      </c>
      <c r="B204" t="s">
        <v>438</v>
      </c>
      <c r="D204" t="s">
        <v>586</v>
      </c>
      <c r="E204" t="s">
        <v>519</v>
      </c>
      <c r="F204">
        <v>4.5</v>
      </c>
      <c r="G204">
        <v>1</v>
      </c>
      <c r="H204" t="s">
        <v>189</v>
      </c>
      <c r="I204" t="s">
        <v>441</v>
      </c>
      <c r="J204" t="s">
        <v>441</v>
      </c>
      <c r="K204" t="s">
        <v>442</v>
      </c>
      <c r="L204" t="s">
        <v>441</v>
      </c>
      <c r="M204" t="s">
        <v>441</v>
      </c>
      <c r="T204" t="s">
        <v>477</v>
      </c>
    </row>
    <row r="205" spans="1:20" x14ac:dyDescent="0.35">
      <c r="A205">
        <v>63</v>
      </c>
      <c r="B205" t="s">
        <v>438</v>
      </c>
      <c r="D205" t="s">
        <v>586</v>
      </c>
      <c r="E205" t="s">
        <v>519</v>
      </c>
      <c r="F205">
        <v>5.2</v>
      </c>
      <c r="G205">
        <v>1</v>
      </c>
      <c r="H205" t="s">
        <v>189</v>
      </c>
      <c r="I205" t="s">
        <v>441</v>
      </c>
      <c r="J205" t="s">
        <v>441</v>
      </c>
      <c r="K205" t="s">
        <v>441</v>
      </c>
      <c r="L205" t="s">
        <v>441</v>
      </c>
      <c r="M205" t="s">
        <v>441</v>
      </c>
      <c r="T205" t="s">
        <v>477</v>
      </c>
    </row>
    <row r="206" spans="1:20" x14ac:dyDescent="0.35">
      <c r="A206">
        <v>63</v>
      </c>
      <c r="B206" t="s">
        <v>438</v>
      </c>
      <c r="D206" t="s">
        <v>586</v>
      </c>
      <c r="E206" t="s">
        <v>519</v>
      </c>
      <c r="F206">
        <v>5.2</v>
      </c>
      <c r="G206">
        <v>1</v>
      </c>
      <c r="H206" t="s">
        <v>189</v>
      </c>
      <c r="I206" t="s">
        <v>441</v>
      </c>
      <c r="J206" t="s">
        <v>441</v>
      </c>
      <c r="K206" t="s">
        <v>442</v>
      </c>
      <c r="L206" t="s">
        <v>441</v>
      </c>
      <c r="M206" t="s">
        <v>441</v>
      </c>
      <c r="T206" t="s">
        <v>477</v>
      </c>
    </row>
    <row r="207" spans="1:20" x14ac:dyDescent="0.35">
      <c r="A207">
        <v>63</v>
      </c>
      <c r="B207" t="s">
        <v>438</v>
      </c>
      <c r="D207" t="s">
        <v>586</v>
      </c>
      <c r="E207" t="s">
        <v>519</v>
      </c>
      <c r="F207">
        <v>2.9</v>
      </c>
      <c r="G207">
        <v>1</v>
      </c>
      <c r="H207" t="s">
        <v>39</v>
      </c>
      <c r="I207" t="s">
        <v>441</v>
      </c>
      <c r="J207" t="s">
        <v>441</v>
      </c>
      <c r="K207" t="s">
        <v>441</v>
      </c>
      <c r="L207" t="s">
        <v>441</v>
      </c>
      <c r="M207" t="s">
        <v>441</v>
      </c>
      <c r="T207" t="s">
        <v>477</v>
      </c>
    </row>
    <row r="208" spans="1:20" x14ac:dyDescent="0.35">
      <c r="A208">
        <v>63</v>
      </c>
      <c r="B208" t="s">
        <v>438</v>
      </c>
      <c r="D208" t="s">
        <v>586</v>
      </c>
      <c r="E208" t="s">
        <v>519</v>
      </c>
      <c r="F208">
        <v>7.9</v>
      </c>
      <c r="G208">
        <v>4</v>
      </c>
      <c r="H208" t="s">
        <v>189</v>
      </c>
      <c r="I208" t="s">
        <v>441</v>
      </c>
      <c r="J208" t="s">
        <v>442</v>
      </c>
      <c r="K208" t="s">
        <v>442</v>
      </c>
      <c r="L208" t="s">
        <v>442</v>
      </c>
      <c r="M208" t="s">
        <v>442</v>
      </c>
      <c r="T208" t="s">
        <v>1111</v>
      </c>
    </row>
    <row r="209" spans="1:20" x14ac:dyDescent="0.35">
      <c r="A209">
        <v>63</v>
      </c>
      <c r="B209" t="s">
        <v>438</v>
      </c>
      <c r="D209" t="s">
        <v>586</v>
      </c>
      <c r="E209" t="s">
        <v>519</v>
      </c>
      <c r="F209">
        <v>6.4</v>
      </c>
      <c r="G209">
        <v>1</v>
      </c>
      <c r="H209" t="s">
        <v>189</v>
      </c>
      <c r="I209" t="s">
        <v>441</v>
      </c>
      <c r="J209" t="s">
        <v>441</v>
      </c>
      <c r="K209" t="s">
        <v>442</v>
      </c>
      <c r="L209" t="s">
        <v>441</v>
      </c>
      <c r="M209" t="s">
        <v>441</v>
      </c>
      <c r="T209" t="s">
        <v>477</v>
      </c>
    </row>
    <row r="210" spans="1:20" x14ac:dyDescent="0.35">
      <c r="A210">
        <v>63</v>
      </c>
      <c r="B210" t="s">
        <v>438</v>
      </c>
      <c r="D210" t="s">
        <v>586</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586</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586</v>
      </c>
      <c r="E213" t="s">
        <v>519</v>
      </c>
      <c r="F213">
        <v>5.5</v>
      </c>
      <c r="G213">
        <v>1</v>
      </c>
      <c r="H213" t="s">
        <v>98</v>
      </c>
      <c r="I213" t="s">
        <v>441</v>
      </c>
      <c r="J213" t="s">
        <v>441</v>
      </c>
      <c r="K213" t="s">
        <v>441</v>
      </c>
      <c r="L213" t="s">
        <v>441</v>
      </c>
      <c r="M213" t="s">
        <v>441</v>
      </c>
      <c r="T213" t="s">
        <v>477</v>
      </c>
    </row>
    <row r="214" spans="1:20" x14ac:dyDescent="0.35">
      <c r="A214">
        <v>63</v>
      </c>
      <c r="B214" t="s">
        <v>440</v>
      </c>
      <c r="D214" t="s">
        <v>586</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586</v>
      </c>
      <c r="E215" t="s">
        <v>519</v>
      </c>
      <c r="F215">
        <v>2.9</v>
      </c>
      <c r="G215">
        <v>1</v>
      </c>
      <c r="H215" t="s">
        <v>189</v>
      </c>
      <c r="I215" t="s">
        <v>441</v>
      </c>
      <c r="J215" t="s">
        <v>441</v>
      </c>
      <c r="K215" t="s">
        <v>441</v>
      </c>
      <c r="L215" t="s">
        <v>441</v>
      </c>
      <c r="M215" t="s">
        <v>441</v>
      </c>
      <c r="T215" t="s">
        <v>477</v>
      </c>
    </row>
    <row r="216" spans="1:20" x14ac:dyDescent="0.35">
      <c r="A216">
        <v>63</v>
      </c>
      <c r="B216" t="s">
        <v>440</v>
      </c>
      <c r="D216" t="s">
        <v>586</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586</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586</v>
      </c>
      <c r="E218" t="s">
        <v>519</v>
      </c>
      <c r="F218">
        <v>4.3</v>
      </c>
      <c r="G218">
        <v>1</v>
      </c>
      <c r="H218" t="s">
        <v>189</v>
      </c>
      <c r="I218" t="s">
        <v>441</v>
      </c>
      <c r="J218" t="s">
        <v>441</v>
      </c>
      <c r="K218" t="s">
        <v>442</v>
      </c>
      <c r="L218" t="s">
        <v>441</v>
      </c>
      <c r="M218" t="s">
        <v>441</v>
      </c>
      <c r="T218" t="s">
        <v>477</v>
      </c>
    </row>
    <row r="219" spans="1:20" x14ac:dyDescent="0.35">
      <c r="A219">
        <v>63</v>
      </c>
      <c r="B219" t="s">
        <v>439</v>
      </c>
      <c r="D219" t="s">
        <v>586</v>
      </c>
      <c r="E219" t="s">
        <v>519</v>
      </c>
      <c r="F219">
        <v>2.9</v>
      </c>
      <c r="G219">
        <v>1</v>
      </c>
      <c r="H219" t="s">
        <v>39</v>
      </c>
      <c r="I219" t="s">
        <v>441</v>
      </c>
      <c r="J219" t="s">
        <v>441</v>
      </c>
      <c r="K219" t="s">
        <v>441</v>
      </c>
      <c r="L219" t="s">
        <v>441</v>
      </c>
      <c r="M219" t="s">
        <v>441</v>
      </c>
      <c r="T219" t="s">
        <v>477</v>
      </c>
    </row>
    <row r="220" spans="1:20" x14ac:dyDescent="0.35">
      <c r="A220">
        <v>63</v>
      </c>
      <c r="B220" t="s">
        <v>439</v>
      </c>
      <c r="D220" t="s">
        <v>586</v>
      </c>
      <c r="E220" t="s">
        <v>519</v>
      </c>
      <c r="F220">
        <v>2.9</v>
      </c>
      <c r="G220">
        <v>1</v>
      </c>
      <c r="H220" t="s">
        <v>189</v>
      </c>
      <c r="I220" t="s">
        <v>441</v>
      </c>
      <c r="J220" t="s">
        <v>441</v>
      </c>
      <c r="K220" t="s">
        <v>441</v>
      </c>
      <c r="L220" t="s">
        <v>441</v>
      </c>
      <c r="M220" t="s">
        <v>441</v>
      </c>
      <c r="T220" t="s">
        <v>477</v>
      </c>
    </row>
    <row r="221" spans="1:20" x14ac:dyDescent="0.35">
      <c r="A221">
        <v>63</v>
      </c>
      <c r="B221" t="s">
        <v>439</v>
      </c>
      <c r="D221" t="s">
        <v>586</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586</v>
      </c>
      <c r="E222" t="s">
        <v>519</v>
      </c>
      <c r="F222">
        <v>6.4</v>
      </c>
      <c r="G222">
        <v>1</v>
      </c>
      <c r="H222" t="s">
        <v>189</v>
      </c>
      <c r="I222" t="s">
        <v>441</v>
      </c>
      <c r="J222" t="s">
        <v>441</v>
      </c>
      <c r="K222" t="s">
        <v>442</v>
      </c>
      <c r="L222" t="s">
        <v>441</v>
      </c>
      <c r="M222" t="s">
        <v>442</v>
      </c>
      <c r="T222" t="s">
        <v>477</v>
      </c>
    </row>
    <row r="223" spans="1:20" x14ac:dyDescent="0.35">
      <c r="A223">
        <v>63</v>
      </c>
      <c r="B223" t="s">
        <v>439</v>
      </c>
      <c r="D223" t="s">
        <v>586</v>
      </c>
      <c r="E223" t="s">
        <v>519</v>
      </c>
      <c r="F223">
        <v>4.2</v>
      </c>
      <c r="G223">
        <v>1</v>
      </c>
      <c r="H223" t="s">
        <v>189</v>
      </c>
      <c r="I223" t="s">
        <v>441</v>
      </c>
      <c r="J223" t="s">
        <v>441</v>
      </c>
      <c r="K223" t="s">
        <v>442</v>
      </c>
      <c r="L223" t="s">
        <v>441</v>
      </c>
      <c r="M223" t="s">
        <v>442</v>
      </c>
      <c r="T223" t="s">
        <v>477</v>
      </c>
    </row>
    <row r="224" spans="1:20" x14ac:dyDescent="0.35">
      <c r="A224">
        <v>63</v>
      </c>
      <c r="B224" t="s">
        <v>439</v>
      </c>
      <c r="D224" t="s">
        <v>586</v>
      </c>
      <c r="E224" t="s">
        <v>519</v>
      </c>
      <c r="F224">
        <v>3.6</v>
      </c>
      <c r="G224">
        <v>1</v>
      </c>
      <c r="H224" t="s">
        <v>189</v>
      </c>
      <c r="I224" t="s">
        <v>441</v>
      </c>
      <c r="J224" t="s">
        <v>441</v>
      </c>
      <c r="K224" t="s">
        <v>442</v>
      </c>
      <c r="L224" t="s">
        <v>441</v>
      </c>
      <c r="M224" t="s">
        <v>441</v>
      </c>
      <c r="T224" t="s">
        <v>477</v>
      </c>
    </row>
    <row r="225" spans="1:20" x14ac:dyDescent="0.35">
      <c r="A225">
        <v>63</v>
      </c>
      <c r="B225" t="s">
        <v>439</v>
      </c>
      <c r="D225" t="s">
        <v>586</v>
      </c>
      <c r="E225" t="s">
        <v>519</v>
      </c>
      <c r="F225">
        <v>8.5</v>
      </c>
      <c r="G225">
        <v>5</v>
      </c>
      <c r="H225" t="s">
        <v>189</v>
      </c>
      <c r="I225" t="s">
        <v>441</v>
      </c>
      <c r="J225" t="s">
        <v>442</v>
      </c>
      <c r="K225" t="s">
        <v>442</v>
      </c>
      <c r="L225" t="s">
        <v>442</v>
      </c>
      <c r="M225" t="s">
        <v>442</v>
      </c>
      <c r="R225" t="s">
        <v>642</v>
      </c>
      <c r="T225" t="s">
        <v>1112</v>
      </c>
    </row>
    <row r="226" spans="1:20" x14ac:dyDescent="0.35">
      <c r="A226">
        <v>63</v>
      </c>
      <c r="B226" t="s">
        <v>439</v>
      </c>
      <c r="D226" t="s">
        <v>586</v>
      </c>
      <c r="E226" t="s">
        <v>519</v>
      </c>
      <c r="F226">
        <v>3.3</v>
      </c>
      <c r="G226">
        <v>1</v>
      </c>
      <c r="H226" t="s">
        <v>189</v>
      </c>
      <c r="I226" t="s">
        <v>441</v>
      </c>
      <c r="J226" t="s">
        <v>441</v>
      </c>
      <c r="K226" t="s">
        <v>441</v>
      </c>
      <c r="L226" t="s">
        <v>441</v>
      </c>
      <c r="M226" t="s">
        <v>441</v>
      </c>
      <c r="T226" t="s">
        <v>477</v>
      </c>
    </row>
    <row r="227" spans="1:20" x14ac:dyDescent="0.35">
      <c r="A227">
        <v>63</v>
      </c>
      <c r="B227" t="s">
        <v>437</v>
      </c>
      <c r="D227" t="s">
        <v>586</v>
      </c>
      <c r="E227" t="s">
        <v>519</v>
      </c>
      <c r="F227">
        <v>4</v>
      </c>
      <c r="G227">
        <v>1</v>
      </c>
      <c r="H227" t="s">
        <v>189</v>
      </c>
      <c r="I227" t="s">
        <v>441</v>
      </c>
      <c r="J227" t="s">
        <v>441</v>
      </c>
      <c r="K227" t="s">
        <v>441</v>
      </c>
      <c r="L227" t="s">
        <v>441</v>
      </c>
      <c r="M227" t="s">
        <v>441</v>
      </c>
      <c r="T227" t="s">
        <v>477</v>
      </c>
    </row>
    <row r="228" spans="1:20" x14ac:dyDescent="0.35">
      <c r="A228">
        <v>63</v>
      </c>
      <c r="B228" t="s">
        <v>439</v>
      </c>
      <c r="D228" t="s">
        <v>586</v>
      </c>
      <c r="E228" t="s">
        <v>519</v>
      </c>
      <c r="F228">
        <v>3</v>
      </c>
      <c r="G228">
        <v>2</v>
      </c>
      <c r="H228" t="s">
        <v>189</v>
      </c>
      <c r="I228" t="s">
        <v>441</v>
      </c>
      <c r="J228" t="s">
        <v>441</v>
      </c>
      <c r="K228" t="s">
        <v>442</v>
      </c>
      <c r="L228" t="s">
        <v>442</v>
      </c>
      <c r="M228" t="s">
        <v>441</v>
      </c>
      <c r="N228" t="s">
        <v>442</v>
      </c>
      <c r="Q228" t="s">
        <v>643</v>
      </c>
      <c r="T228" t="s">
        <v>1111</v>
      </c>
    </row>
    <row r="229" spans="1:20" x14ac:dyDescent="0.35">
      <c r="A229">
        <v>63</v>
      </c>
      <c r="B229" t="s">
        <v>439</v>
      </c>
      <c r="D229" t="s">
        <v>586</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586</v>
      </c>
      <c r="E230" t="s">
        <v>519</v>
      </c>
      <c r="F230">
        <v>3.9</v>
      </c>
      <c r="G230">
        <v>1</v>
      </c>
      <c r="H230" t="s">
        <v>189</v>
      </c>
      <c r="I230" t="s">
        <v>441</v>
      </c>
      <c r="J230" t="s">
        <v>441</v>
      </c>
      <c r="K230" t="s">
        <v>442</v>
      </c>
      <c r="L230" t="s">
        <v>441</v>
      </c>
      <c r="M230" t="s">
        <v>441</v>
      </c>
      <c r="T230" t="s">
        <v>477</v>
      </c>
    </row>
    <row r="231" spans="1:20" x14ac:dyDescent="0.35">
      <c r="A231">
        <v>63</v>
      </c>
      <c r="B231" t="s">
        <v>439</v>
      </c>
      <c r="D231" t="s">
        <v>586</v>
      </c>
      <c r="E231" t="s">
        <v>519</v>
      </c>
      <c r="F231">
        <v>2.8</v>
      </c>
      <c r="G231">
        <v>1</v>
      </c>
      <c r="H231" t="s">
        <v>189</v>
      </c>
      <c r="I231" t="s">
        <v>441</v>
      </c>
      <c r="J231" t="s">
        <v>441</v>
      </c>
      <c r="K231" t="s">
        <v>442</v>
      </c>
      <c r="L231" t="s">
        <v>441</v>
      </c>
      <c r="M231" t="s">
        <v>441</v>
      </c>
      <c r="T231" t="s">
        <v>477</v>
      </c>
    </row>
    <row r="232" spans="1:20" x14ac:dyDescent="0.35">
      <c r="A232">
        <v>63</v>
      </c>
      <c r="B232" t="s">
        <v>439</v>
      </c>
      <c r="D232" t="s">
        <v>586</v>
      </c>
      <c r="E232" t="s">
        <v>519</v>
      </c>
      <c r="F232">
        <v>2.7</v>
      </c>
      <c r="G232">
        <v>1</v>
      </c>
      <c r="H232" t="s">
        <v>189</v>
      </c>
      <c r="I232" t="s">
        <v>441</v>
      </c>
      <c r="J232" t="s">
        <v>441</v>
      </c>
      <c r="K232" t="s">
        <v>441</v>
      </c>
      <c r="L232" t="s">
        <v>441</v>
      </c>
      <c r="M232" t="s">
        <v>441</v>
      </c>
      <c r="T232" t="s">
        <v>477</v>
      </c>
    </row>
    <row r="233" spans="1:20" x14ac:dyDescent="0.35">
      <c r="A233">
        <v>63</v>
      </c>
      <c r="B233" t="s">
        <v>439</v>
      </c>
      <c r="D233" t="s">
        <v>586</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586</v>
      </c>
      <c r="E234" t="s">
        <v>519</v>
      </c>
      <c r="F234">
        <v>2.5</v>
      </c>
      <c r="G234">
        <v>1</v>
      </c>
      <c r="H234" t="s">
        <v>39</v>
      </c>
      <c r="I234" t="s">
        <v>441</v>
      </c>
      <c r="J234" t="s">
        <v>441</v>
      </c>
      <c r="K234" t="s">
        <v>441</v>
      </c>
      <c r="L234" t="s">
        <v>441</v>
      </c>
      <c r="M234" t="s">
        <v>441</v>
      </c>
      <c r="T234" t="s">
        <v>477</v>
      </c>
    </row>
    <row r="235" spans="1:20" x14ac:dyDescent="0.35">
      <c r="A235">
        <v>63</v>
      </c>
      <c r="B235" t="s">
        <v>439</v>
      </c>
      <c r="D235" t="s">
        <v>586</v>
      </c>
      <c r="E235" t="s">
        <v>519</v>
      </c>
      <c r="F235">
        <v>6.8</v>
      </c>
      <c r="G235">
        <v>1</v>
      </c>
      <c r="H235" t="s">
        <v>189</v>
      </c>
      <c r="I235" t="s">
        <v>441</v>
      </c>
      <c r="J235" t="s">
        <v>441</v>
      </c>
      <c r="K235" t="s">
        <v>442</v>
      </c>
      <c r="L235" t="s">
        <v>441</v>
      </c>
      <c r="M235" t="s">
        <v>441</v>
      </c>
      <c r="T235" t="s">
        <v>477</v>
      </c>
    </row>
    <row r="236" spans="1:20" x14ac:dyDescent="0.35">
      <c r="A236">
        <v>63</v>
      </c>
      <c r="B236" t="s">
        <v>439</v>
      </c>
      <c r="D236" t="s">
        <v>586</v>
      </c>
      <c r="E236" t="s">
        <v>519</v>
      </c>
      <c r="F236">
        <v>7.1</v>
      </c>
      <c r="G236">
        <v>2</v>
      </c>
      <c r="H236" t="s">
        <v>189</v>
      </c>
      <c r="I236" t="s">
        <v>441</v>
      </c>
      <c r="J236" t="s">
        <v>441</v>
      </c>
      <c r="K236" t="s">
        <v>441</v>
      </c>
      <c r="L236" t="s">
        <v>441</v>
      </c>
      <c r="M236" t="s">
        <v>441</v>
      </c>
      <c r="T236" t="s">
        <v>477</v>
      </c>
    </row>
    <row r="237" spans="1:20" x14ac:dyDescent="0.35">
      <c r="A237">
        <v>63</v>
      </c>
      <c r="B237" t="s">
        <v>438</v>
      </c>
      <c r="D237" t="s">
        <v>586</v>
      </c>
      <c r="E237" t="s">
        <v>493</v>
      </c>
      <c r="F237">
        <v>9.5</v>
      </c>
      <c r="G237">
        <v>5</v>
      </c>
      <c r="H237" t="s">
        <v>189</v>
      </c>
      <c r="I237" t="s">
        <v>441</v>
      </c>
      <c r="J237" t="s">
        <v>442</v>
      </c>
      <c r="K237" t="s">
        <v>442</v>
      </c>
      <c r="L237" t="s">
        <v>442</v>
      </c>
      <c r="M237" t="s">
        <v>441</v>
      </c>
      <c r="N237" t="s">
        <v>442</v>
      </c>
      <c r="Q237" t="s">
        <v>644</v>
      </c>
      <c r="T237" t="s">
        <v>1111</v>
      </c>
    </row>
    <row r="238" spans="1:20" x14ac:dyDescent="0.35">
      <c r="A238">
        <v>56</v>
      </c>
      <c r="B238" t="s">
        <v>438</v>
      </c>
      <c r="D238" t="s">
        <v>645</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586</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586</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586</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c r="T243" t="s">
        <v>477</v>
      </c>
    </row>
    <row r="244" spans="1:20" x14ac:dyDescent="0.35">
      <c r="A244">
        <v>78</v>
      </c>
      <c r="B244" t="s">
        <v>437</v>
      </c>
      <c r="D244" t="s">
        <v>586</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586</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586</v>
      </c>
      <c r="E246" t="s">
        <v>519</v>
      </c>
      <c r="F246">
        <v>2.4</v>
      </c>
      <c r="G246">
        <v>1</v>
      </c>
      <c r="H246" t="s">
        <v>189</v>
      </c>
      <c r="I246" t="s">
        <v>441</v>
      </c>
      <c r="J246" t="s">
        <v>441</v>
      </c>
      <c r="K246" t="s">
        <v>441</v>
      </c>
      <c r="L246" t="s">
        <v>441</v>
      </c>
      <c r="M246" t="s">
        <v>441</v>
      </c>
      <c r="N246" t="s">
        <v>441</v>
      </c>
      <c r="Q246" t="s">
        <v>671</v>
      </c>
      <c r="T246" t="s">
        <v>477</v>
      </c>
    </row>
    <row r="247" spans="1:20" x14ac:dyDescent="0.35">
      <c r="A247">
        <v>78</v>
      </c>
      <c r="B247" t="s">
        <v>439</v>
      </c>
      <c r="D247" t="s">
        <v>586</v>
      </c>
      <c r="E247" t="s">
        <v>519</v>
      </c>
      <c r="F247">
        <v>2.8</v>
      </c>
      <c r="G247">
        <v>1</v>
      </c>
      <c r="H247" t="s">
        <v>189</v>
      </c>
      <c r="I247" t="s">
        <v>441</v>
      </c>
      <c r="J247" t="s">
        <v>441</v>
      </c>
      <c r="K247" t="s">
        <v>442</v>
      </c>
      <c r="L247" t="s">
        <v>442</v>
      </c>
      <c r="M247" t="s">
        <v>441</v>
      </c>
      <c r="N247" t="s">
        <v>442</v>
      </c>
      <c r="T247" t="s">
        <v>1111</v>
      </c>
    </row>
    <row r="248" spans="1:20" x14ac:dyDescent="0.35">
      <c r="A248">
        <v>78</v>
      </c>
      <c r="B248" t="s">
        <v>439</v>
      </c>
      <c r="D248" t="s">
        <v>586</v>
      </c>
      <c r="E248" t="s">
        <v>669</v>
      </c>
      <c r="F248">
        <v>2.9</v>
      </c>
      <c r="G248">
        <v>1</v>
      </c>
      <c r="H248" t="s">
        <v>189</v>
      </c>
      <c r="I248" t="s">
        <v>441</v>
      </c>
      <c r="J248" t="s">
        <v>441</v>
      </c>
      <c r="K248" t="s">
        <v>441</v>
      </c>
      <c r="L248" t="s">
        <v>441</v>
      </c>
      <c r="M248" t="s">
        <v>441</v>
      </c>
      <c r="N248" t="s">
        <v>441</v>
      </c>
      <c r="T248" t="s">
        <v>477</v>
      </c>
    </row>
    <row r="249" spans="1:20" x14ac:dyDescent="0.35">
      <c r="A249">
        <v>78</v>
      </c>
      <c r="B249" t="s">
        <v>439</v>
      </c>
      <c r="D249" t="s">
        <v>586</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586</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586</v>
      </c>
      <c r="E251" t="s">
        <v>519</v>
      </c>
      <c r="F251">
        <v>3.6</v>
      </c>
      <c r="G251">
        <v>1</v>
      </c>
      <c r="H251" t="s">
        <v>189</v>
      </c>
      <c r="I251" t="s">
        <v>441</v>
      </c>
      <c r="J251" t="s">
        <v>441</v>
      </c>
      <c r="K251" t="s">
        <v>441</v>
      </c>
      <c r="L251" t="s">
        <v>441</v>
      </c>
      <c r="M251" t="s">
        <v>441</v>
      </c>
      <c r="N251" t="s">
        <v>441</v>
      </c>
      <c r="Q251" t="s">
        <v>672</v>
      </c>
      <c r="T251" t="s">
        <v>477</v>
      </c>
    </row>
    <row r="252" spans="1:20" x14ac:dyDescent="0.35">
      <c r="A252">
        <v>78</v>
      </c>
      <c r="B252" t="s">
        <v>439</v>
      </c>
      <c r="D252" t="s">
        <v>586</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586</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673</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586</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662</v>
      </c>
      <c r="D259">
        <v>8.07</v>
      </c>
      <c r="E259" t="s">
        <v>475</v>
      </c>
      <c r="F259">
        <v>2.7</v>
      </c>
      <c r="G259">
        <v>1</v>
      </c>
      <c r="H259" t="s">
        <v>39</v>
      </c>
      <c r="I259" t="s">
        <v>441</v>
      </c>
      <c r="J259" t="s">
        <v>441</v>
      </c>
      <c r="K259" t="s">
        <v>442</v>
      </c>
      <c r="L259" t="s">
        <v>441</v>
      </c>
      <c r="M259" t="s">
        <v>441</v>
      </c>
      <c r="N259" t="s">
        <v>441</v>
      </c>
      <c r="Q259" t="s">
        <v>674</v>
      </c>
      <c r="T259" t="s">
        <v>477</v>
      </c>
    </row>
    <row r="260" spans="1:20" x14ac:dyDescent="0.35">
      <c r="A260" t="s">
        <v>662</v>
      </c>
      <c r="D260" t="s">
        <v>586</v>
      </c>
      <c r="E260" t="s">
        <v>517</v>
      </c>
      <c r="F260">
        <v>13.7</v>
      </c>
      <c r="G260">
        <v>5</v>
      </c>
      <c r="H260" t="s">
        <v>189</v>
      </c>
      <c r="I260" t="s">
        <v>442</v>
      </c>
      <c r="J260" t="s">
        <v>442</v>
      </c>
      <c r="K260" t="s">
        <v>442</v>
      </c>
      <c r="L260" t="s">
        <v>441</v>
      </c>
      <c r="M260" t="s">
        <v>442</v>
      </c>
      <c r="N260" t="s">
        <v>442</v>
      </c>
      <c r="R260" t="s">
        <v>675</v>
      </c>
      <c r="T260" t="s">
        <v>477</v>
      </c>
    </row>
    <row r="261" spans="1:20" x14ac:dyDescent="0.35">
      <c r="A261" t="s">
        <v>662</v>
      </c>
      <c r="D261">
        <v>22.8</v>
      </c>
      <c r="E261" t="s">
        <v>475</v>
      </c>
      <c r="F261">
        <v>15.6</v>
      </c>
      <c r="G261">
        <v>5</v>
      </c>
      <c r="H261" t="s">
        <v>98</v>
      </c>
      <c r="I261" t="s">
        <v>441</v>
      </c>
      <c r="J261" t="s">
        <v>442</v>
      </c>
      <c r="K261" t="s">
        <v>442</v>
      </c>
      <c r="L261" t="s">
        <v>441</v>
      </c>
      <c r="M261" t="s">
        <v>442</v>
      </c>
      <c r="N261" t="s">
        <v>442</v>
      </c>
      <c r="T261" t="s">
        <v>477</v>
      </c>
    </row>
    <row r="262" spans="1:20" x14ac:dyDescent="0.35">
      <c r="A262" t="s">
        <v>662</v>
      </c>
      <c r="D262">
        <v>26.64</v>
      </c>
      <c r="E262" t="s">
        <v>475</v>
      </c>
      <c r="F262">
        <v>16.899999999999999</v>
      </c>
      <c r="G262">
        <v>3</v>
      </c>
      <c r="H262" t="s">
        <v>98</v>
      </c>
      <c r="I262" t="s">
        <v>441</v>
      </c>
      <c r="J262" t="s">
        <v>441</v>
      </c>
      <c r="K262" t="s">
        <v>441</v>
      </c>
      <c r="L262" t="s">
        <v>442</v>
      </c>
      <c r="M262" t="s">
        <v>442</v>
      </c>
      <c r="N262" t="s">
        <v>441</v>
      </c>
      <c r="T262" t="s">
        <v>1111</v>
      </c>
    </row>
    <row r="263" spans="1:20"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586</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586</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586</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586</v>
      </c>
      <c r="E271" t="s">
        <v>475</v>
      </c>
      <c r="F271">
        <v>3</v>
      </c>
      <c r="G271">
        <v>1</v>
      </c>
      <c r="H271" t="s">
        <v>39</v>
      </c>
      <c r="I271" t="s">
        <v>441</v>
      </c>
      <c r="J271" t="s">
        <v>441</v>
      </c>
      <c r="K271" t="s">
        <v>441</v>
      </c>
      <c r="L271" t="s">
        <v>441</v>
      </c>
      <c r="M271" t="s">
        <v>441</v>
      </c>
      <c r="N271" t="s">
        <v>441</v>
      </c>
      <c r="R271" t="s">
        <v>755</v>
      </c>
      <c r="T271" t="s">
        <v>477</v>
      </c>
    </row>
    <row r="272" spans="1:20" x14ac:dyDescent="0.35">
      <c r="A272">
        <v>114</v>
      </c>
      <c r="B272" t="s">
        <v>437</v>
      </c>
      <c r="D272" t="s">
        <v>586</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586</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586</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c r="T281" t="s">
        <v>477</v>
      </c>
    </row>
    <row r="282" spans="1:20" x14ac:dyDescent="0.35">
      <c r="A282">
        <v>71</v>
      </c>
      <c r="B282" t="s">
        <v>437</v>
      </c>
      <c r="D282" t="s">
        <v>586</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586</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586</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1111</v>
      </c>
    </row>
    <row r="287" spans="1:20" x14ac:dyDescent="0.35">
      <c r="A287">
        <v>71</v>
      </c>
      <c r="B287" t="s">
        <v>439</v>
      </c>
      <c r="D287">
        <v>17.71</v>
      </c>
      <c r="E287" t="s">
        <v>760</v>
      </c>
      <c r="F287">
        <v>12.2</v>
      </c>
      <c r="G287">
        <v>5</v>
      </c>
      <c r="H287" t="s">
        <v>189</v>
      </c>
      <c r="I287" t="s">
        <v>441</v>
      </c>
      <c r="J287" t="s">
        <v>442</v>
      </c>
      <c r="K287" t="s">
        <v>442</v>
      </c>
      <c r="L287" t="s">
        <v>442</v>
      </c>
      <c r="M287" t="s">
        <v>441</v>
      </c>
      <c r="N287" t="s">
        <v>442</v>
      </c>
      <c r="T287" t="s">
        <v>1111</v>
      </c>
    </row>
    <row r="288" spans="1:20" x14ac:dyDescent="0.35">
      <c r="A288">
        <v>71</v>
      </c>
      <c r="B288" t="s">
        <v>440</v>
      </c>
      <c r="C288">
        <v>220</v>
      </c>
      <c r="D288">
        <v>22.08</v>
      </c>
      <c r="E288" t="s">
        <v>482</v>
      </c>
      <c r="F288">
        <v>12.7</v>
      </c>
      <c r="I288" t="s">
        <v>441</v>
      </c>
      <c r="J288" t="s">
        <v>441</v>
      </c>
      <c r="K288" t="s">
        <v>442</v>
      </c>
      <c r="L288" t="s">
        <v>441</v>
      </c>
      <c r="M288" t="s">
        <v>441</v>
      </c>
      <c r="N288" t="s">
        <v>441</v>
      </c>
      <c r="R288" t="s">
        <v>761</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c r="T289" t="s">
        <v>1111</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1111</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c r="T298" t="s">
        <v>1113</v>
      </c>
    </row>
    <row r="299" spans="1:20" s="11" customFormat="1" x14ac:dyDescent="0.35">
      <c r="A299" s="11">
        <v>85</v>
      </c>
      <c r="B299" s="11" t="s">
        <v>437</v>
      </c>
      <c r="D299" s="11">
        <v>11.08</v>
      </c>
      <c r="E299" s="11" t="s">
        <v>496</v>
      </c>
      <c r="Q299" s="11" t="s">
        <v>819</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586</v>
      </c>
      <c r="E301" t="s">
        <v>517</v>
      </c>
      <c r="F301">
        <v>3.5</v>
      </c>
      <c r="G301">
        <v>5</v>
      </c>
      <c r="H301" t="s">
        <v>39</v>
      </c>
      <c r="I301" t="s">
        <v>442</v>
      </c>
      <c r="J301" t="s">
        <v>441</v>
      </c>
      <c r="K301" t="s">
        <v>442</v>
      </c>
      <c r="L301" t="s">
        <v>442</v>
      </c>
      <c r="M301" t="s">
        <v>442</v>
      </c>
      <c r="N301" t="s">
        <v>441</v>
      </c>
      <c r="Q301" t="s">
        <v>820</v>
      </c>
      <c r="T301" t="s">
        <v>1111</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821</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c r="T309" t="s">
        <v>1111</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c r="T312" t="s">
        <v>477</v>
      </c>
    </row>
    <row r="313" spans="1:20" x14ac:dyDescent="0.35">
      <c r="A313">
        <v>18</v>
      </c>
      <c r="B313" t="s">
        <v>437</v>
      </c>
      <c r="D313" t="s">
        <v>586</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586</v>
      </c>
      <c r="E314" t="s">
        <v>493</v>
      </c>
      <c r="F314">
        <v>3.2</v>
      </c>
      <c r="G314">
        <v>1</v>
      </c>
      <c r="H314" t="s">
        <v>39</v>
      </c>
      <c r="I314" t="s">
        <v>441</v>
      </c>
      <c r="J314" t="s">
        <v>441</v>
      </c>
      <c r="K314" t="s">
        <v>442</v>
      </c>
      <c r="L314" t="s">
        <v>442</v>
      </c>
      <c r="M314" t="s">
        <v>441</v>
      </c>
      <c r="N314" t="s">
        <v>441</v>
      </c>
      <c r="T314" t="s">
        <v>1111</v>
      </c>
    </row>
    <row r="315" spans="1:20" x14ac:dyDescent="0.35">
      <c r="A315">
        <v>18</v>
      </c>
      <c r="B315" t="s">
        <v>437</v>
      </c>
      <c r="D315" t="s">
        <v>586</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586</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586</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586</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586</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586</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586</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c r="T322" t="s">
        <v>477</v>
      </c>
    </row>
    <row r="323" spans="1:20" x14ac:dyDescent="0.35">
      <c r="A323">
        <v>18</v>
      </c>
      <c r="B323" t="s">
        <v>438</v>
      </c>
      <c r="D323" t="s">
        <v>586</v>
      </c>
      <c r="E323" t="s">
        <v>493</v>
      </c>
      <c r="F323">
        <v>5.7</v>
      </c>
      <c r="G323">
        <v>4</v>
      </c>
      <c r="H323" t="s">
        <v>39</v>
      </c>
      <c r="I323" t="s">
        <v>441</v>
      </c>
      <c r="J323" t="s">
        <v>442</v>
      </c>
      <c r="K323" t="s">
        <v>441</v>
      </c>
      <c r="L323" t="s">
        <v>442</v>
      </c>
      <c r="M323" t="s">
        <v>441</v>
      </c>
      <c r="N323" t="s">
        <v>441</v>
      </c>
      <c r="R323" t="s">
        <v>874</v>
      </c>
      <c r="T323" t="s">
        <v>1112</v>
      </c>
    </row>
    <row r="324" spans="1:20" x14ac:dyDescent="0.35">
      <c r="A324">
        <v>18</v>
      </c>
      <c r="B324" t="s">
        <v>438</v>
      </c>
      <c r="D324" t="s">
        <v>586</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586</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586</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586</v>
      </c>
      <c r="E327" t="s">
        <v>493</v>
      </c>
      <c r="F327">
        <v>3.4</v>
      </c>
      <c r="G327">
        <v>1</v>
      </c>
      <c r="H327" t="s">
        <v>39</v>
      </c>
      <c r="I327" t="s">
        <v>441</v>
      </c>
      <c r="J327" t="s">
        <v>441</v>
      </c>
      <c r="K327" t="s">
        <v>441</v>
      </c>
      <c r="L327" t="s">
        <v>441</v>
      </c>
      <c r="M327" t="s">
        <v>441</v>
      </c>
      <c r="N327" t="s">
        <v>441</v>
      </c>
      <c r="R327" t="s">
        <v>878</v>
      </c>
      <c r="T327" t="s">
        <v>477</v>
      </c>
    </row>
    <row r="328" spans="1:20" x14ac:dyDescent="0.35">
      <c r="A328">
        <v>18</v>
      </c>
      <c r="B328" t="s">
        <v>438</v>
      </c>
      <c r="D328" t="s">
        <v>586</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c r="T329" t="s">
        <v>1112</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c r="T333" s="6" t="s">
        <v>1111</v>
      </c>
    </row>
    <row r="334" spans="1:20" x14ac:dyDescent="0.35">
      <c r="A334">
        <v>72</v>
      </c>
      <c r="B334" t="s">
        <v>437</v>
      </c>
      <c r="D334" t="s">
        <v>586</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586</v>
      </c>
      <c r="E335" t="s">
        <v>493</v>
      </c>
      <c r="F335">
        <v>3.5</v>
      </c>
      <c r="G335">
        <v>5</v>
      </c>
      <c r="H335" t="s">
        <v>189</v>
      </c>
      <c r="I335" t="s">
        <v>441</v>
      </c>
      <c r="J335" t="s">
        <v>442</v>
      </c>
      <c r="K335" t="s">
        <v>442</v>
      </c>
      <c r="L335" t="s">
        <v>442</v>
      </c>
      <c r="M335" t="s">
        <v>442</v>
      </c>
      <c r="N335" t="s">
        <v>442</v>
      </c>
      <c r="T335" t="s">
        <v>1111</v>
      </c>
    </row>
    <row r="336" spans="1:20" x14ac:dyDescent="0.35">
      <c r="A336">
        <v>72</v>
      </c>
      <c r="B336" t="s">
        <v>437</v>
      </c>
      <c r="D336" t="s">
        <v>586</v>
      </c>
      <c r="E336" t="s">
        <v>493</v>
      </c>
      <c r="F336">
        <v>5.5</v>
      </c>
      <c r="G336">
        <v>1</v>
      </c>
      <c r="H336" t="s">
        <v>189</v>
      </c>
      <c r="I336" t="s">
        <v>441</v>
      </c>
      <c r="J336" t="s">
        <v>442</v>
      </c>
      <c r="K336" t="s">
        <v>442</v>
      </c>
      <c r="L336" t="s">
        <v>442</v>
      </c>
      <c r="M336" t="s">
        <v>441</v>
      </c>
      <c r="N336" t="s">
        <v>441</v>
      </c>
      <c r="T336" t="s">
        <v>1111</v>
      </c>
    </row>
    <row r="337" spans="1:20" x14ac:dyDescent="0.35">
      <c r="A337">
        <v>72</v>
      </c>
      <c r="B337" t="s">
        <v>437</v>
      </c>
      <c r="D337" t="s">
        <v>586</v>
      </c>
      <c r="E337" t="s">
        <v>493</v>
      </c>
      <c r="F337">
        <v>5</v>
      </c>
      <c r="G337">
        <v>1</v>
      </c>
      <c r="H337" t="s">
        <v>189</v>
      </c>
      <c r="I337" t="s">
        <v>441</v>
      </c>
      <c r="J337" t="s">
        <v>441</v>
      </c>
      <c r="K337" t="s">
        <v>442</v>
      </c>
      <c r="L337" t="s">
        <v>442</v>
      </c>
      <c r="M337" t="s">
        <v>441</v>
      </c>
      <c r="N337" t="s">
        <v>441</v>
      </c>
      <c r="T337" t="s">
        <v>1111</v>
      </c>
    </row>
    <row r="338" spans="1:20" x14ac:dyDescent="0.35">
      <c r="A338">
        <v>72</v>
      </c>
      <c r="B338" t="s">
        <v>437</v>
      </c>
      <c r="D338" t="s">
        <v>586</v>
      </c>
      <c r="E338" t="s">
        <v>493</v>
      </c>
      <c r="F338">
        <v>8</v>
      </c>
      <c r="G338">
        <v>1</v>
      </c>
      <c r="H338" t="s">
        <v>189</v>
      </c>
      <c r="I338" t="s">
        <v>441</v>
      </c>
      <c r="J338" t="s">
        <v>441</v>
      </c>
      <c r="K338" t="s">
        <v>442</v>
      </c>
      <c r="L338" t="s">
        <v>442</v>
      </c>
      <c r="M338" t="s">
        <v>441</v>
      </c>
      <c r="N338" t="s">
        <v>441</v>
      </c>
      <c r="T338" t="s">
        <v>1111</v>
      </c>
    </row>
    <row r="339" spans="1:20" x14ac:dyDescent="0.35">
      <c r="A339">
        <v>72</v>
      </c>
      <c r="B339" t="s">
        <v>437</v>
      </c>
      <c r="D339" t="s">
        <v>586</v>
      </c>
      <c r="E339" t="s">
        <v>493</v>
      </c>
      <c r="F339">
        <v>7.7</v>
      </c>
      <c r="G339">
        <v>1</v>
      </c>
      <c r="H339" t="s">
        <v>98</v>
      </c>
      <c r="I339" t="s">
        <v>441</v>
      </c>
      <c r="J339" t="s">
        <v>441</v>
      </c>
      <c r="K339" t="s">
        <v>442</v>
      </c>
      <c r="L339" t="s">
        <v>441</v>
      </c>
      <c r="M339" t="s">
        <v>441</v>
      </c>
      <c r="N339" t="s">
        <v>441</v>
      </c>
      <c r="R339" t="s">
        <v>880</v>
      </c>
      <c r="T339" t="s">
        <v>477</v>
      </c>
    </row>
    <row r="340" spans="1:20" x14ac:dyDescent="0.35">
      <c r="A340">
        <v>72</v>
      </c>
      <c r="B340" t="s">
        <v>437</v>
      </c>
      <c r="D340" t="s">
        <v>586</v>
      </c>
      <c r="E340" t="s">
        <v>493</v>
      </c>
      <c r="F340">
        <v>3.7</v>
      </c>
      <c r="G340">
        <v>5</v>
      </c>
      <c r="H340" t="s">
        <v>189</v>
      </c>
      <c r="I340" t="s">
        <v>441</v>
      </c>
      <c r="J340" t="s">
        <v>442</v>
      </c>
      <c r="K340" t="s">
        <v>442</v>
      </c>
      <c r="L340" t="s">
        <v>442</v>
      </c>
      <c r="M340" t="s">
        <v>442</v>
      </c>
      <c r="N340" t="s">
        <v>441</v>
      </c>
      <c r="T340" t="s">
        <v>1111</v>
      </c>
    </row>
    <row r="341" spans="1:20" x14ac:dyDescent="0.35">
      <c r="A341">
        <v>72</v>
      </c>
      <c r="B341" t="s">
        <v>437</v>
      </c>
      <c r="D341" t="s">
        <v>586</v>
      </c>
      <c r="E341" t="s">
        <v>493</v>
      </c>
      <c r="F341">
        <v>3.4</v>
      </c>
      <c r="G341">
        <v>1</v>
      </c>
      <c r="H341" t="s">
        <v>189</v>
      </c>
      <c r="I341" t="s">
        <v>441</v>
      </c>
      <c r="J341" t="s">
        <v>441</v>
      </c>
      <c r="K341" t="s">
        <v>441</v>
      </c>
      <c r="L341" t="s">
        <v>442</v>
      </c>
      <c r="M341" t="s">
        <v>442</v>
      </c>
      <c r="N341" t="s">
        <v>441</v>
      </c>
      <c r="T341" t="s">
        <v>1111</v>
      </c>
    </row>
    <row r="342" spans="1:20" x14ac:dyDescent="0.35">
      <c r="A342">
        <v>72</v>
      </c>
      <c r="B342" t="s">
        <v>437</v>
      </c>
      <c r="D342" t="s">
        <v>586</v>
      </c>
      <c r="E342" t="s">
        <v>493</v>
      </c>
      <c r="F342">
        <v>3.8</v>
      </c>
      <c r="G342">
        <v>1</v>
      </c>
      <c r="H342" t="s">
        <v>189</v>
      </c>
      <c r="I342" t="s">
        <v>441</v>
      </c>
      <c r="J342" t="s">
        <v>441</v>
      </c>
      <c r="K342" t="s">
        <v>441</v>
      </c>
      <c r="L342" t="s">
        <v>441</v>
      </c>
      <c r="M342" t="s">
        <v>441</v>
      </c>
      <c r="N342" t="s">
        <v>441</v>
      </c>
    </row>
    <row r="343" spans="1:20" x14ac:dyDescent="0.35">
      <c r="A343">
        <v>72</v>
      </c>
      <c r="B343" t="s">
        <v>437</v>
      </c>
      <c r="D343" t="s">
        <v>586</v>
      </c>
      <c r="E343" t="s">
        <v>493</v>
      </c>
      <c r="F343">
        <v>5.0999999999999996</v>
      </c>
      <c r="G343">
        <v>1</v>
      </c>
      <c r="H343" t="s">
        <v>98</v>
      </c>
      <c r="I343" t="s">
        <v>441</v>
      </c>
      <c r="J343" t="s">
        <v>441</v>
      </c>
      <c r="K343" t="s">
        <v>442</v>
      </c>
      <c r="L343" t="s">
        <v>442</v>
      </c>
      <c r="M343" t="s">
        <v>441</v>
      </c>
      <c r="N343" t="s">
        <v>441</v>
      </c>
      <c r="T343" t="s">
        <v>1111</v>
      </c>
    </row>
    <row r="344" spans="1:20" x14ac:dyDescent="0.35">
      <c r="A344">
        <v>72</v>
      </c>
      <c r="B344" t="s">
        <v>439</v>
      </c>
      <c r="D344" t="s">
        <v>586</v>
      </c>
      <c r="E344" t="s">
        <v>493</v>
      </c>
      <c r="F344">
        <v>8.6</v>
      </c>
      <c r="G344">
        <v>2</v>
      </c>
      <c r="H344" t="s">
        <v>98</v>
      </c>
      <c r="I344" t="s">
        <v>441</v>
      </c>
      <c r="J344" t="s">
        <v>441</v>
      </c>
      <c r="K344" t="s">
        <v>442</v>
      </c>
      <c r="L344" t="s">
        <v>442</v>
      </c>
      <c r="M344" t="s">
        <v>442</v>
      </c>
      <c r="N344" t="s">
        <v>441</v>
      </c>
      <c r="R344" t="s">
        <v>881</v>
      </c>
      <c r="T344" t="s">
        <v>1112</v>
      </c>
    </row>
    <row r="345" spans="1:20" x14ac:dyDescent="0.35">
      <c r="A345">
        <v>72</v>
      </c>
      <c r="B345" t="s">
        <v>439</v>
      </c>
      <c r="D345" t="s">
        <v>586</v>
      </c>
      <c r="E345" t="s">
        <v>493</v>
      </c>
      <c r="F345">
        <v>5</v>
      </c>
      <c r="G345">
        <v>2</v>
      </c>
      <c r="H345" t="s">
        <v>189</v>
      </c>
      <c r="I345" t="s">
        <v>441</v>
      </c>
      <c r="J345" t="s">
        <v>441</v>
      </c>
      <c r="K345" t="s">
        <v>442</v>
      </c>
      <c r="L345" t="s">
        <v>442</v>
      </c>
      <c r="M345" t="s">
        <v>441</v>
      </c>
      <c r="N345" t="s">
        <v>441</v>
      </c>
      <c r="T345" t="s">
        <v>1111</v>
      </c>
    </row>
    <row r="346" spans="1:20" x14ac:dyDescent="0.35">
      <c r="A346">
        <v>72</v>
      </c>
      <c r="B346" t="s">
        <v>439</v>
      </c>
      <c r="D346" t="s">
        <v>586</v>
      </c>
      <c r="E346" t="s">
        <v>493</v>
      </c>
      <c r="F346">
        <v>9.9</v>
      </c>
      <c r="G346">
        <v>1</v>
      </c>
      <c r="H346" t="s">
        <v>98</v>
      </c>
      <c r="I346" t="s">
        <v>441</v>
      </c>
      <c r="J346" t="s">
        <v>441</v>
      </c>
      <c r="K346" t="s">
        <v>442</v>
      </c>
      <c r="L346" t="s">
        <v>442</v>
      </c>
      <c r="M346" t="s">
        <v>441</v>
      </c>
      <c r="N346" t="s">
        <v>441</v>
      </c>
      <c r="R346" t="s">
        <v>454</v>
      </c>
      <c r="T346" t="s">
        <v>1111</v>
      </c>
    </row>
    <row r="347" spans="1:20" x14ac:dyDescent="0.35">
      <c r="A347">
        <v>72</v>
      </c>
      <c r="B347" t="s">
        <v>439</v>
      </c>
      <c r="D347" t="s">
        <v>586</v>
      </c>
      <c r="E347" t="s">
        <v>493</v>
      </c>
      <c r="F347">
        <v>4.4000000000000004</v>
      </c>
      <c r="G347">
        <v>2</v>
      </c>
      <c r="H347" t="s">
        <v>39</v>
      </c>
      <c r="I347" t="s">
        <v>441</v>
      </c>
      <c r="J347" t="s">
        <v>441</v>
      </c>
      <c r="K347" t="s">
        <v>442</v>
      </c>
      <c r="L347" t="s">
        <v>442</v>
      </c>
      <c r="M347" t="s">
        <v>442</v>
      </c>
      <c r="N347" t="s">
        <v>441</v>
      </c>
      <c r="T347" t="s">
        <v>1111</v>
      </c>
    </row>
    <row r="348" spans="1:20" x14ac:dyDescent="0.35">
      <c r="A348">
        <v>72</v>
      </c>
      <c r="B348" t="s">
        <v>439</v>
      </c>
      <c r="D348" t="s">
        <v>586</v>
      </c>
      <c r="E348" t="s">
        <v>493</v>
      </c>
      <c r="F348">
        <v>4.8</v>
      </c>
      <c r="G348">
        <v>1</v>
      </c>
      <c r="H348" t="s">
        <v>189</v>
      </c>
      <c r="I348" t="s">
        <v>441</v>
      </c>
      <c r="J348" t="s">
        <v>441</v>
      </c>
      <c r="K348" t="s">
        <v>442</v>
      </c>
      <c r="L348" t="s">
        <v>442</v>
      </c>
      <c r="M348" t="s">
        <v>441</v>
      </c>
      <c r="N348" t="s">
        <v>441</v>
      </c>
      <c r="T348" t="s">
        <v>1111</v>
      </c>
    </row>
    <row r="349" spans="1:20" x14ac:dyDescent="0.35">
      <c r="A349">
        <v>72</v>
      </c>
      <c r="B349" t="s">
        <v>439</v>
      </c>
      <c r="D349" t="s">
        <v>586</v>
      </c>
      <c r="E349" t="s">
        <v>493</v>
      </c>
      <c r="F349">
        <v>9.5</v>
      </c>
      <c r="G349">
        <v>2</v>
      </c>
      <c r="H349" t="s">
        <v>189</v>
      </c>
      <c r="I349" t="s">
        <v>441</v>
      </c>
      <c r="J349" t="s">
        <v>441</v>
      </c>
      <c r="K349" t="s">
        <v>442</v>
      </c>
      <c r="L349" t="s">
        <v>442</v>
      </c>
      <c r="M349" t="s">
        <v>441</v>
      </c>
      <c r="N349" t="s">
        <v>441</v>
      </c>
      <c r="T349" t="s">
        <v>1111</v>
      </c>
    </row>
    <row r="350" spans="1:20" x14ac:dyDescent="0.35">
      <c r="A350">
        <v>72</v>
      </c>
      <c r="B350" t="s">
        <v>439</v>
      </c>
      <c r="D350" t="s">
        <v>586</v>
      </c>
      <c r="E350" t="s">
        <v>493</v>
      </c>
      <c r="F350">
        <v>9.6999999999999993</v>
      </c>
      <c r="G350">
        <v>2</v>
      </c>
      <c r="H350" t="s">
        <v>189</v>
      </c>
      <c r="I350" t="s">
        <v>441</v>
      </c>
      <c r="J350" t="s">
        <v>441</v>
      </c>
      <c r="K350" t="s">
        <v>441</v>
      </c>
      <c r="L350" t="s">
        <v>442</v>
      </c>
      <c r="M350" t="s">
        <v>441</v>
      </c>
      <c r="N350" t="s">
        <v>441</v>
      </c>
      <c r="T350" t="s">
        <v>1111</v>
      </c>
    </row>
    <row r="351" spans="1:20" x14ac:dyDescent="0.35">
      <c r="A351">
        <v>72</v>
      </c>
      <c r="B351" t="s">
        <v>439</v>
      </c>
      <c r="D351" t="s">
        <v>586</v>
      </c>
      <c r="E351" t="s">
        <v>493</v>
      </c>
      <c r="F351">
        <v>9.3000000000000007</v>
      </c>
      <c r="G351">
        <v>1</v>
      </c>
      <c r="H351" t="s">
        <v>189</v>
      </c>
      <c r="I351" t="s">
        <v>441</v>
      </c>
      <c r="J351" t="s">
        <v>441</v>
      </c>
      <c r="K351" t="s">
        <v>442</v>
      </c>
      <c r="L351" t="s">
        <v>442</v>
      </c>
      <c r="M351" t="s">
        <v>441</v>
      </c>
      <c r="N351" t="s">
        <v>441</v>
      </c>
      <c r="T351" t="s">
        <v>1111</v>
      </c>
    </row>
    <row r="352" spans="1:20" x14ac:dyDescent="0.35">
      <c r="A352">
        <v>72</v>
      </c>
      <c r="B352" t="s">
        <v>439</v>
      </c>
      <c r="D352" t="s">
        <v>586</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586</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586</v>
      </c>
      <c r="E354" t="s">
        <v>493</v>
      </c>
      <c r="F354">
        <v>6.8</v>
      </c>
      <c r="G354">
        <v>1</v>
      </c>
      <c r="H354" t="s">
        <v>189</v>
      </c>
      <c r="I354" t="s">
        <v>441</v>
      </c>
      <c r="J354" t="s">
        <v>441</v>
      </c>
      <c r="K354" t="s">
        <v>442</v>
      </c>
      <c r="L354" t="s">
        <v>442</v>
      </c>
      <c r="M354" t="s">
        <v>441</v>
      </c>
      <c r="N354" t="s">
        <v>441</v>
      </c>
      <c r="T354" t="s">
        <v>1111</v>
      </c>
    </row>
    <row r="355" spans="1:20" x14ac:dyDescent="0.35">
      <c r="A355">
        <v>72</v>
      </c>
      <c r="B355" t="s">
        <v>439</v>
      </c>
      <c r="D355" t="s">
        <v>586</v>
      </c>
      <c r="E355" t="s">
        <v>493</v>
      </c>
      <c r="F355">
        <v>5.2</v>
      </c>
      <c r="G355">
        <v>1</v>
      </c>
      <c r="H355" t="s">
        <v>189</v>
      </c>
      <c r="I355" t="s">
        <v>441</v>
      </c>
      <c r="J355" t="s">
        <v>441</v>
      </c>
      <c r="K355" t="s">
        <v>442</v>
      </c>
      <c r="L355" t="s">
        <v>442</v>
      </c>
      <c r="M355" t="s">
        <v>441</v>
      </c>
      <c r="N355" t="s">
        <v>441</v>
      </c>
      <c r="R355" t="s">
        <v>882</v>
      </c>
      <c r="T355" t="s">
        <v>1111</v>
      </c>
    </row>
    <row r="356" spans="1:20" x14ac:dyDescent="0.35">
      <c r="A356">
        <v>72</v>
      </c>
      <c r="B356" t="s">
        <v>439</v>
      </c>
      <c r="D356" t="s">
        <v>586</v>
      </c>
      <c r="E356" t="s">
        <v>493</v>
      </c>
      <c r="F356">
        <v>9.5</v>
      </c>
      <c r="G356">
        <v>1</v>
      </c>
      <c r="H356" t="s">
        <v>189</v>
      </c>
      <c r="I356" t="s">
        <v>441</v>
      </c>
      <c r="J356" t="s">
        <v>441</v>
      </c>
      <c r="K356" t="s">
        <v>442</v>
      </c>
      <c r="L356" t="s">
        <v>442</v>
      </c>
      <c r="M356" t="s">
        <v>441</v>
      </c>
      <c r="N356" t="s">
        <v>441</v>
      </c>
      <c r="T356" t="s">
        <v>1111</v>
      </c>
    </row>
    <row r="357" spans="1:20" x14ac:dyDescent="0.35">
      <c r="A357">
        <v>72</v>
      </c>
      <c r="B357" t="s">
        <v>439</v>
      </c>
      <c r="D357" t="s">
        <v>586</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c r="T358" s="6" t="s">
        <v>1112</v>
      </c>
    </row>
    <row r="359" spans="1:20" x14ac:dyDescent="0.35">
      <c r="A359">
        <v>72</v>
      </c>
      <c r="B359" t="s">
        <v>439</v>
      </c>
      <c r="D359" t="s">
        <v>586</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586</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586</v>
      </c>
      <c r="E361" t="s">
        <v>493</v>
      </c>
      <c r="F361">
        <v>4.5999999999999996</v>
      </c>
      <c r="G361">
        <v>5</v>
      </c>
      <c r="H361" t="s">
        <v>189</v>
      </c>
      <c r="I361" t="s">
        <v>441</v>
      </c>
      <c r="J361" t="s">
        <v>441</v>
      </c>
      <c r="K361" t="s">
        <v>442</v>
      </c>
      <c r="L361" t="s">
        <v>442</v>
      </c>
      <c r="M361" t="s">
        <v>442</v>
      </c>
      <c r="N361" t="s">
        <v>441</v>
      </c>
      <c r="T361" t="s">
        <v>1111</v>
      </c>
    </row>
    <row r="362" spans="1:20" x14ac:dyDescent="0.35">
      <c r="A362">
        <v>72</v>
      </c>
      <c r="B362" t="s">
        <v>440</v>
      </c>
      <c r="D362" t="s">
        <v>586</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586</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586</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586</v>
      </c>
      <c r="E365" t="s">
        <v>493</v>
      </c>
      <c r="F365">
        <v>8.6</v>
      </c>
      <c r="G365">
        <v>5</v>
      </c>
      <c r="H365" t="s">
        <v>189</v>
      </c>
      <c r="I365" t="s">
        <v>441</v>
      </c>
      <c r="J365" t="s">
        <v>442</v>
      </c>
      <c r="K365" t="s">
        <v>442</v>
      </c>
      <c r="L365" t="s">
        <v>442</v>
      </c>
      <c r="M365" t="s">
        <v>442</v>
      </c>
      <c r="N365" t="s">
        <v>441</v>
      </c>
      <c r="T365" t="s">
        <v>1111</v>
      </c>
    </row>
    <row r="366" spans="1:20" x14ac:dyDescent="0.35">
      <c r="A366">
        <v>72</v>
      </c>
      <c r="B366" t="s">
        <v>440</v>
      </c>
      <c r="D366" t="s">
        <v>586</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586</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586</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586</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586</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586</v>
      </c>
      <c r="E371" t="s">
        <v>493</v>
      </c>
      <c r="F371">
        <v>5.5</v>
      </c>
      <c r="G371">
        <v>1</v>
      </c>
      <c r="H371" t="s">
        <v>189</v>
      </c>
      <c r="I371" t="s">
        <v>441</v>
      </c>
      <c r="J371" t="s">
        <v>441</v>
      </c>
      <c r="K371" t="s">
        <v>442</v>
      </c>
      <c r="L371" t="s">
        <v>442</v>
      </c>
      <c r="M371" t="s">
        <v>441</v>
      </c>
      <c r="N371" t="s">
        <v>441</v>
      </c>
      <c r="T371" t="s">
        <v>1111</v>
      </c>
    </row>
    <row r="372" spans="1:20" x14ac:dyDescent="0.35">
      <c r="A372">
        <v>72</v>
      </c>
      <c r="B372" t="s">
        <v>440</v>
      </c>
      <c r="D372" t="s">
        <v>586</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586</v>
      </c>
      <c r="E373" t="s">
        <v>493</v>
      </c>
      <c r="F373">
        <v>4.4000000000000004</v>
      </c>
      <c r="G373">
        <v>5</v>
      </c>
      <c r="H373" t="s">
        <v>39</v>
      </c>
      <c r="I373" t="s">
        <v>441</v>
      </c>
      <c r="J373" t="s">
        <v>441</v>
      </c>
      <c r="K373" t="s">
        <v>442</v>
      </c>
      <c r="L373" t="s">
        <v>442</v>
      </c>
      <c r="M373" t="s">
        <v>441</v>
      </c>
      <c r="N373" t="s">
        <v>441</v>
      </c>
      <c r="T373" t="s">
        <v>1111</v>
      </c>
    </row>
    <row r="374" spans="1:20" x14ac:dyDescent="0.35">
      <c r="A374">
        <v>72</v>
      </c>
      <c r="B374" t="s">
        <v>440</v>
      </c>
      <c r="D374" t="s">
        <v>586</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586</v>
      </c>
      <c r="E375" t="s">
        <v>493</v>
      </c>
      <c r="F375">
        <v>5.5</v>
      </c>
      <c r="G375">
        <v>2</v>
      </c>
      <c r="H375" t="s">
        <v>189</v>
      </c>
      <c r="I375" t="s">
        <v>441</v>
      </c>
      <c r="J375" t="s">
        <v>441</v>
      </c>
      <c r="K375" t="s">
        <v>441</v>
      </c>
      <c r="L375" t="s">
        <v>442</v>
      </c>
      <c r="M375" t="s">
        <v>441</v>
      </c>
      <c r="N375" t="s">
        <v>441</v>
      </c>
      <c r="T375" t="s">
        <v>1111</v>
      </c>
    </row>
    <row r="376" spans="1:20" x14ac:dyDescent="0.35">
      <c r="A376">
        <v>72</v>
      </c>
      <c r="B376" t="s">
        <v>440</v>
      </c>
      <c r="D376" t="s">
        <v>586</v>
      </c>
      <c r="E376" t="s">
        <v>517</v>
      </c>
      <c r="F376">
        <v>2.8</v>
      </c>
      <c r="G376">
        <v>5</v>
      </c>
      <c r="H376" t="s">
        <v>39</v>
      </c>
      <c r="I376" t="s">
        <v>441</v>
      </c>
      <c r="J376" t="s">
        <v>441</v>
      </c>
      <c r="K376" t="s">
        <v>442</v>
      </c>
      <c r="L376" t="s">
        <v>442</v>
      </c>
      <c r="M376" t="s">
        <v>441</v>
      </c>
      <c r="N376" t="s">
        <v>441</v>
      </c>
      <c r="T376" t="s">
        <v>1111</v>
      </c>
    </row>
    <row r="377" spans="1:20" x14ac:dyDescent="0.35">
      <c r="A377">
        <v>72</v>
      </c>
      <c r="B377" t="s">
        <v>440</v>
      </c>
      <c r="D377" t="s">
        <v>586</v>
      </c>
      <c r="E377" t="s">
        <v>493</v>
      </c>
      <c r="F377">
        <v>7.2</v>
      </c>
      <c r="G377">
        <v>2</v>
      </c>
      <c r="H377" t="s">
        <v>189</v>
      </c>
      <c r="I377" t="s">
        <v>441</v>
      </c>
      <c r="J377" t="s">
        <v>441</v>
      </c>
      <c r="K377" t="s">
        <v>442</v>
      </c>
      <c r="L377" t="s">
        <v>442</v>
      </c>
      <c r="M377" t="s">
        <v>441</v>
      </c>
      <c r="N377" t="s">
        <v>441</v>
      </c>
      <c r="T377" t="s">
        <v>1111</v>
      </c>
    </row>
    <row r="378" spans="1:20" x14ac:dyDescent="0.35">
      <c r="A378">
        <v>72</v>
      </c>
      <c r="B378" t="s">
        <v>440</v>
      </c>
      <c r="D378" t="s">
        <v>586</v>
      </c>
      <c r="E378" t="s">
        <v>493</v>
      </c>
      <c r="F378">
        <v>6.6</v>
      </c>
      <c r="G378">
        <v>4</v>
      </c>
      <c r="H378" t="s">
        <v>39</v>
      </c>
      <c r="I378" t="s">
        <v>441</v>
      </c>
      <c r="J378" t="s">
        <v>442</v>
      </c>
      <c r="K378" t="s">
        <v>442</v>
      </c>
      <c r="L378" t="s">
        <v>442</v>
      </c>
      <c r="M378" t="s">
        <v>441</v>
      </c>
      <c r="N378" t="s">
        <v>442</v>
      </c>
      <c r="T378" t="s">
        <v>1111</v>
      </c>
    </row>
    <row r="379" spans="1:20" x14ac:dyDescent="0.35">
      <c r="A379">
        <v>72</v>
      </c>
      <c r="B379" t="s">
        <v>438</v>
      </c>
      <c r="D379" t="s">
        <v>586</v>
      </c>
      <c r="E379" t="s">
        <v>493</v>
      </c>
      <c r="F379">
        <v>5.5</v>
      </c>
      <c r="G379">
        <v>5</v>
      </c>
      <c r="H379" t="s">
        <v>189</v>
      </c>
      <c r="I379" t="s">
        <v>441</v>
      </c>
      <c r="J379" t="s">
        <v>442</v>
      </c>
      <c r="K379" t="s">
        <v>441</v>
      </c>
      <c r="L379" t="s">
        <v>442</v>
      </c>
      <c r="M379" t="s">
        <v>442</v>
      </c>
      <c r="N379" t="s">
        <v>441</v>
      </c>
      <c r="R379" t="s">
        <v>1108</v>
      </c>
      <c r="T379" t="s">
        <v>1113</v>
      </c>
    </row>
    <row r="380" spans="1:20" x14ac:dyDescent="0.35">
      <c r="A380">
        <v>72</v>
      </c>
      <c r="B380" t="s">
        <v>437</v>
      </c>
      <c r="D380" t="s">
        <v>586</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586</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586</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586</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c r="T386" s="6" t="s">
        <v>1111</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c r="T387" t="s">
        <v>1113</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c r="T397" t="s">
        <v>477</v>
      </c>
    </row>
    <row r="398" spans="1:20"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586</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586</v>
      </c>
      <c r="E409" t="s">
        <v>519</v>
      </c>
      <c r="F409">
        <v>4.5999999999999996</v>
      </c>
      <c r="G409">
        <v>2</v>
      </c>
      <c r="H409" t="s">
        <v>39</v>
      </c>
      <c r="I409" t="s">
        <v>441</v>
      </c>
      <c r="J409" t="s">
        <v>441</v>
      </c>
      <c r="K409" t="s">
        <v>442</v>
      </c>
      <c r="L409" t="s">
        <v>442</v>
      </c>
      <c r="M409" t="s">
        <v>442</v>
      </c>
      <c r="N409" t="s">
        <v>442</v>
      </c>
      <c r="T409" t="s">
        <v>1111</v>
      </c>
    </row>
    <row r="410" spans="1:20" x14ac:dyDescent="0.35">
      <c r="A410">
        <v>62</v>
      </c>
      <c r="B410" t="s">
        <v>437</v>
      </c>
      <c r="D410" t="s">
        <v>586</v>
      </c>
      <c r="E410" t="s">
        <v>519</v>
      </c>
      <c r="F410">
        <v>2.9</v>
      </c>
      <c r="G410">
        <v>1</v>
      </c>
      <c r="H410" t="s">
        <v>39</v>
      </c>
      <c r="I410" t="s">
        <v>441</v>
      </c>
      <c r="J410" t="s">
        <v>441</v>
      </c>
      <c r="K410" t="s">
        <v>442</v>
      </c>
      <c r="L410" t="s">
        <v>442</v>
      </c>
      <c r="M410" t="s">
        <v>441</v>
      </c>
      <c r="N410" t="s">
        <v>441</v>
      </c>
      <c r="R410" t="s">
        <v>1032</v>
      </c>
      <c r="T410" t="s">
        <v>1111</v>
      </c>
    </row>
    <row r="411" spans="1:20" x14ac:dyDescent="0.35">
      <c r="A411">
        <v>62</v>
      </c>
      <c r="B411" t="s">
        <v>437</v>
      </c>
      <c r="D411" t="s">
        <v>586</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586</v>
      </c>
      <c r="E412" t="s">
        <v>519</v>
      </c>
      <c r="F412">
        <v>3.7</v>
      </c>
      <c r="G412">
        <v>1</v>
      </c>
      <c r="H412" t="s">
        <v>39</v>
      </c>
      <c r="I412" t="s">
        <v>441</v>
      </c>
      <c r="J412" t="s">
        <v>441</v>
      </c>
      <c r="K412" t="s">
        <v>442</v>
      </c>
      <c r="L412" t="s">
        <v>442</v>
      </c>
      <c r="M412" t="s">
        <v>442</v>
      </c>
      <c r="N412" t="s">
        <v>441</v>
      </c>
      <c r="T412" t="s">
        <v>1111</v>
      </c>
    </row>
    <row r="413" spans="1:20" x14ac:dyDescent="0.35">
      <c r="A413">
        <v>62</v>
      </c>
      <c r="B413" t="s">
        <v>439</v>
      </c>
      <c r="D413" t="s">
        <v>586</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586</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586</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c r="T418" s="6" t="s">
        <v>1111</v>
      </c>
    </row>
    <row r="419" spans="1:20"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586</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586</v>
      </c>
      <c r="E421" t="s">
        <v>518</v>
      </c>
      <c r="F421">
        <v>4.8</v>
      </c>
      <c r="G421">
        <v>3</v>
      </c>
      <c r="H421" t="s">
        <v>189</v>
      </c>
      <c r="I421" t="s">
        <v>441</v>
      </c>
      <c r="J421" t="s">
        <v>441</v>
      </c>
      <c r="K421" t="s">
        <v>442</v>
      </c>
      <c r="L421" t="s">
        <v>441</v>
      </c>
      <c r="M421" t="s">
        <v>442</v>
      </c>
      <c r="N421" t="s">
        <v>441</v>
      </c>
      <c r="R421" t="s">
        <v>1063</v>
      </c>
      <c r="T421" t="s">
        <v>477</v>
      </c>
    </row>
    <row r="422" spans="1:20" x14ac:dyDescent="0.35">
      <c r="A422">
        <v>22</v>
      </c>
      <c r="B422" t="s">
        <v>439</v>
      </c>
      <c r="D422" t="s">
        <v>586</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586</v>
      </c>
      <c r="E423" t="s">
        <v>518</v>
      </c>
      <c r="F423">
        <v>2.5</v>
      </c>
      <c r="G423">
        <v>5</v>
      </c>
      <c r="H423" t="s">
        <v>189</v>
      </c>
      <c r="I423" t="s">
        <v>441</v>
      </c>
      <c r="J423" t="s">
        <v>441</v>
      </c>
      <c r="K423" t="s">
        <v>442</v>
      </c>
      <c r="L423" t="s">
        <v>442</v>
      </c>
      <c r="M423" t="s">
        <v>442</v>
      </c>
      <c r="N423" t="s">
        <v>441</v>
      </c>
      <c r="R423" t="s">
        <v>1060</v>
      </c>
      <c r="T423" t="s">
        <v>1112</v>
      </c>
    </row>
    <row r="424" spans="1:20"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c r="T424" t="s">
        <v>1111</v>
      </c>
    </row>
    <row r="425" spans="1:20" x14ac:dyDescent="0.35">
      <c r="A425">
        <v>22</v>
      </c>
      <c r="B425" t="s">
        <v>439</v>
      </c>
      <c r="D425" t="s">
        <v>586</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586</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c r="T427" t="s">
        <v>1112</v>
      </c>
    </row>
    <row r="428" spans="1:20" x14ac:dyDescent="0.35">
      <c r="A428">
        <v>22</v>
      </c>
      <c r="B428" t="s">
        <v>440</v>
      </c>
      <c r="D428" t="s">
        <v>586</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586</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586</v>
      </c>
      <c r="E432" t="s">
        <v>493</v>
      </c>
      <c r="F432">
        <v>3.8</v>
      </c>
      <c r="G432">
        <v>1</v>
      </c>
      <c r="H432" t="s">
        <v>39</v>
      </c>
      <c r="I432" t="s">
        <v>441</v>
      </c>
      <c r="J432" t="s">
        <v>441</v>
      </c>
      <c r="K432" t="s">
        <v>442</v>
      </c>
      <c r="L432" t="s">
        <v>441</v>
      </c>
      <c r="M432" t="s">
        <v>441</v>
      </c>
      <c r="N432" t="s">
        <v>441</v>
      </c>
      <c r="R432" t="s">
        <v>1069</v>
      </c>
      <c r="T432" t="s">
        <v>477</v>
      </c>
    </row>
    <row r="433" spans="1:20"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c r="T433" t="s">
        <v>1112</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1071</v>
      </c>
      <c r="T435" t="s">
        <v>477</v>
      </c>
    </row>
    <row r="436" spans="1:20" x14ac:dyDescent="0.35">
      <c r="A436">
        <v>65</v>
      </c>
      <c r="B436" t="s">
        <v>439</v>
      </c>
      <c r="D436" t="s">
        <v>586</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586</v>
      </c>
      <c r="E437" t="s">
        <v>475</v>
      </c>
      <c r="F437">
        <v>5.5</v>
      </c>
      <c r="G437">
        <v>1</v>
      </c>
      <c r="H437" t="s">
        <v>39</v>
      </c>
      <c r="I437" t="s">
        <v>441</v>
      </c>
      <c r="J437" t="s">
        <v>441</v>
      </c>
      <c r="K437" t="s">
        <v>442</v>
      </c>
      <c r="L437" t="s">
        <v>442</v>
      </c>
      <c r="M437" t="s">
        <v>442</v>
      </c>
      <c r="N437" t="s">
        <v>441</v>
      </c>
      <c r="R437" t="s">
        <v>1061</v>
      </c>
      <c r="T437" t="s">
        <v>1113</v>
      </c>
    </row>
    <row r="438" spans="1:20" x14ac:dyDescent="0.35">
      <c r="A438">
        <v>65</v>
      </c>
      <c r="B438" t="s">
        <v>439</v>
      </c>
      <c r="D438" t="s">
        <v>586</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586</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586</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586</v>
      </c>
      <c r="E441" t="s">
        <v>493</v>
      </c>
      <c r="F441">
        <v>3.1</v>
      </c>
      <c r="G441">
        <v>5</v>
      </c>
      <c r="H441" t="s">
        <v>39</v>
      </c>
      <c r="I441" t="s">
        <v>441</v>
      </c>
      <c r="J441" t="s">
        <v>442</v>
      </c>
      <c r="K441" t="s">
        <v>442</v>
      </c>
      <c r="L441" t="s">
        <v>442</v>
      </c>
      <c r="M441" t="s">
        <v>441</v>
      </c>
      <c r="N441" t="s">
        <v>441</v>
      </c>
      <c r="T441" t="s">
        <v>1111</v>
      </c>
    </row>
    <row r="442" spans="1:20" x14ac:dyDescent="0.35">
      <c r="A442">
        <v>24</v>
      </c>
      <c r="B442" t="s">
        <v>437</v>
      </c>
      <c r="D442" t="s">
        <v>586</v>
      </c>
      <c r="E442" t="s">
        <v>518</v>
      </c>
      <c r="F442">
        <v>5.3</v>
      </c>
      <c r="G442">
        <v>4</v>
      </c>
      <c r="H442" t="s">
        <v>39</v>
      </c>
      <c r="I442" t="s">
        <v>441</v>
      </c>
      <c r="J442" t="s">
        <v>441</v>
      </c>
      <c r="K442" t="s">
        <v>442</v>
      </c>
      <c r="L442" t="s">
        <v>442</v>
      </c>
      <c r="M442" t="s">
        <v>441</v>
      </c>
      <c r="N442" t="s">
        <v>441</v>
      </c>
      <c r="T442" t="s">
        <v>1111</v>
      </c>
    </row>
    <row r="443" spans="1:20"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586</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586</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586</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586</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586</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586</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586</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586</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586</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586</v>
      </c>
      <c r="E453" t="s">
        <v>493</v>
      </c>
      <c r="F453">
        <v>4.8</v>
      </c>
      <c r="G453">
        <v>5</v>
      </c>
      <c r="H453" t="s">
        <v>39</v>
      </c>
      <c r="I453" t="s">
        <v>441</v>
      </c>
      <c r="J453" t="s">
        <v>442</v>
      </c>
      <c r="K453" t="s">
        <v>442</v>
      </c>
      <c r="L453" t="s">
        <v>442</v>
      </c>
      <c r="M453" t="s">
        <v>441</v>
      </c>
      <c r="N453" t="s">
        <v>442</v>
      </c>
      <c r="T453" t="s">
        <v>1111</v>
      </c>
    </row>
    <row r="454" spans="1:20" x14ac:dyDescent="0.35">
      <c r="A454">
        <v>24</v>
      </c>
      <c r="B454" t="s">
        <v>439</v>
      </c>
      <c r="D454" t="s">
        <v>586</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586</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586</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586</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586</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586</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586</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586</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586</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586</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586</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586</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586</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586</v>
      </c>
      <c r="E467" t="s">
        <v>493</v>
      </c>
      <c r="F467">
        <v>3.4</v>
      </c>
      <c r="G467">
        <v>2</v>
      </c>
      <c r="H467" t="s">
        <v>39</v>
      </c>
      <c r="I467" t="s">
        <v>441</v>
      </c>
      <c r="J467" t="s">
        <v>441</v>
      </c>
      <c r="K467" t="s">
        <v>442</v>
      </c>
      <c r="L467" t="s">
        <v>441</v>
      </c>
      <c r="M467" t="s">
        <v>441</v>
      </c>
      <c r="N467" t="s">
        <v>441</v>
      </c>
      <c r="R467" t="s">
        <v>1072</v>
      </c>
      <c r="T467" t="s">
        <v>477</v>
      </c>
    </row>
    <row r="468" spans="1:20"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c r="T468" s="6" t="s">
        <v>1111</v>
      </c>
    </row>
    <row r="469" spans="1:20" x14ac:dyDescent="0.35">
      <c r="A469">
        <v>24</v>
      </c>
      <c r="B469" t="s">
        <v>438</v>
      </c>
      <c r="D469" t="s">
        <v>586</v>
      </c>
      <c r="E469" t="s">
        <v>493</v>
      </c>
      <c r="F469">
        <v>3.6</v>
      </c>
      <c r="G469">
        <v>1</v>
      </c>
      <c r="H469" t="s">
        <v>189</v>
      </c>
      <c r="I469" t="s">
        <v>441</v>
      </c>
      <c r="J469" t="s">
        <v>441</v>
      </c>
      <c r="K469" t="s">
        <v>441</v>
      </c>
      <c r="L469" t="s">
        <v>441</v>
      </c>
      <c r="M469" t="s">
        <v>441</v>
      </c>
      <c r="N469" t="s">
        <v>441</v>
      </c>
      <c r="R469" t="s">
        <v>1073</v>
      </c>
      <c r="T469" t="s">
        <v>477</v>
      </c>
    </row>
    <row r="470" spans="1:20" x14ac:dyDescent="0.35">
      <c r="A470">
        <v>24</v>
      </c>
      <c r="B470" t="s">
        <v>438</v>
      </c>
      <c r="D470" t="s">
        <v>586</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586</v>
      </c>
      <c r="E471" t="s">
        <v>493</v>
      </c>
      <c r="F471">
        <v>3.2</v>
      </c>
      <c r="G471">
        <v>5</v>
      </c>
      <c r="H471" t="s">
        <v>39</v>
      </c>
      <c r="I471" t="s">
        <v>441</v>
      </c>
      <c r="J471" t="s">
        <v>442</v>
      </c>
      <c r="K471" t="s">
        <v>442</v>
      </c>
      <c r="L471" t="s">
        <v>442</v>
      </c>
      <c r="M471" t="s">
        <v>441</v>
      </c>
      <c r="N471" t="s">
        <v>441</v>
      </c>
      <c r="T471" t="s">
        <v>1111</v>
      </c>
    </row>
    <row r="472" spans="1:20" x14ac:dyDescent="0.35">
      <c r="A472">
        <v>24</v>
      </c>
      <c r="B472" t="s">
        <v>438</v>
      </c>
      <c r="D472" t="s">
        <v>586</v>
      </c>
      <c r="E472" t="s">
        <v>493</v>
      </c>
      <c r="F472">
        <v>4</v>
      </c>
      <c r="G472">
        <v>3</v>
      </c>
      <c r="H472" t="s">
        <v>39</v>
      </c>
      <c r="I472" t="s">
        <v>441</v>
      </c>
      <c r="J472" t="s">
        <v>441</v>
      </c>
      <c r="K472" t="s">
        <v>442</v>
      </c>
      <c r="L472" t="s">
        <v>442</v>
      </c>
      <c r="M472" t="s">
        <v>441</v>
      </c>
      <c r="N472" t="s">
        <v>441</v>
      </c>
      <c r="T472" t="s">
        <v>1111</v>
      </c>
    </row>
    <row r="473" spans="1:20" x14ac:dyDescent="0.35">
      <c r="A473">
        <v>24</v>
      </c>
      <c r="B473" t="s">
        <v>438</v>
      </c>
      <c r="D473" t="s">
        <v>586</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586</v>
      </c>
      <c r="E474" t="s">
        <v>493</v>
      </c>
      <c r="F474">
        <v>4.8</v>
      </c>
      <c r="G474">
        <v>1</v>
      </c>
      <c r="H474" t="s">
        <v>39</v>
      </c>
      <c r="I474" t="s">
        <v>441</v>
      </c>
      <c r="J474" t="s">
        <v>441</v>
      </c>
      <c r="K474" t="s">
        <v>441</v>
      </c>
      <c r="L474" t="s">
        <v>442</v>
      </c>
      <c r="M474" t="s">
        <v>441</v>
      </c>
      <c r="N474" t="s">
        <v>441</v>
      </c>
      <c r="T474" t="s">
        <v>1111</v>
      </c>
    </row>
    <row r="475" spans="1:20" x14ac:dyDescent="0.35">
      <c r="A475">
        <v>24</v>
      </c>
      <c r="B475" t="s">
        <v>438</v>
      </c>
      <c r="D475" t="s">
        <v>586</v>
      </c>
      <c r="E475" t="s">
        <v>518</v>
      </c>
      <c r="F475">
        <v>4.5</v>
      </c>
      <c r="G475">
        <v>1</v>
      </c>
      <c r="H475" t="s">
        <v>39</v>
      </c>
      <c r="I475" t="s">
        <v>441</v>
      </c>
      <c r="J475" t="s">
        <v>441</v>
      </c>
      <c r="K475" t="s">
        <v>442</v>
      </c>
      <c r="L475" t="s">
        <v>442</v>
      </c>
      <c r="M475" t="s">
        <v>441</v>
      </c>
      <c r="N475" t="s">
        <v>441</v>
      </c>
      <c r="T475" t="s">
        <v>1111</v>
      </c>
    </row>
    <row r="476" spans="1:20" x14ac:dyDescent="0.35">
      <c r="A476">
        <v>24</v>
      </c>
      <c r="B476" t="s">
        <v>438</v>
      </c>
      <c r="D476" t="s">
        <v>586</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U21" sqref="U21"/>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opLeftCell="A45"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02"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C136"/>
  <sheetViews>
    <sheetView workbookViewId="0">
      <pane xSplit="2" ySplit="1" topLeftCell="E11" activePane="bottomRight" state="frozen"/>
      <selection pane="topRight" activeCell="C1" sqref="C1"/>
      <selection pane="bottomLeft" activeCell="A2" sqref="A2"/>
      <selection pane="bottomRight" activeCell="Q40" sqref="Q40"/>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9" max="9" width="9.7265625" customWidth="1"/>
    <col min="12" max="12" width="13.1796875" customWidth="1"/>
    <col min="13" max="13" width="12.1796875" customWidth="1"/>
    <col min="17" max="17" width="12.08984375" customWidth="1"/>
    <col min="20" max="20" width="9.7265625" customWidth="1"/>
    <col min="22" max="22" width="9.453125" customWidth="1"/>
    <col min="23" max="23" width="15.7265625" customWidth="1"/>
    <col min="25" max="25" width="9.453125" customWidth="1"/>
    <col min="26" max="27" width="11.90625" customWidth="1"/>
    <col min="28" max="28" width="10.81640625" customWidth="1"/>
  </cols>
  <sheetData>
    <row r="1" spans="1:29" ht="43.5" x14ac:dyDescent="0.35">
      <c r="A1" s="1" t="s">
        <v>458</v>
      </c>
      <c r="B1" s="1" t="s">
        <v>457</v>
      </c>
      <c r="C1" s="1" t="s">
        <v>590</v>
      </c>
      <c r="D1" s="1" t="s">
        <v>1143</v>
      </c>
      <c r="E1" s="1" t="s">
        <v>1133</v>
      </c>
      <c r="F1" s="1" t="s">
        <v>1141</v>
      </c>
      <c r="G1" s="1" t="s">
        <v>1119</v>
      </c>
      <c r="H1" s="1" t="s">
        <v>1120</v>
      </c>
      <c r="I1" s="1" t="s">
        <v>1121</v>
      </c>
      <c r="J1" s="1" t="s">
        <v>1122</v>
      </c>
      <c r="K1" s="1" t="s">
        <v>1123</v>
      </c>
      <c r="L1" s="1" t="s">
        <v>1124</v>
      </c>
      <c r="M1" s="1" t="s">
        <v>1125</v>
      </c>
      <c r="N1" s="1" t="s">
        <v>1126</v>
      </c>
      <c r="O1" s="1" t="s">
        <v>1127</v>
      </c>
      <c r="P1" s="1" t="s">
        <v>1129</v>
      </c>
      <c r="Q1" s="1" t="s">
        <v>1145</v>
      </c>
      <c r="R1" s="1" t="s">
        <v>1130</v>
      </c>
      <c r="S1" s="1" t="s">
        <v>1131</v>
      </c>
      <c r="T1" s="1" t="s">
        <v>1132</v>
      </c>
      <c r="U1" s="1" t="s">
        <v>1128</v>
      </c>
      <c r="V1" s="1" t="s">
        <v>1134</v>
      </c>
      <c r="W1" s="1" t="s">
        <v>1135</v>
      </c>
      <c r="X1" s="1" t="s">
        <v>1136</v>
      </c>
      <c r="Y1" s="1" t="s">
        <v>1137</v>
      </c>
      <c r="Z1" s="1" t="s">
        <v>1138</v>
      </c>
      <c r="AA1" s="1" t="s">
        <v>1139</v>
      </c>
      <c r="AB1" s="1" t="s">
        <v>1140</v>
      </c>
      <c r="AC1" s="1" t="s">
        <v>1142</v>
      </c>
    </row>
    <row r="2" spans="1:29" x14ac:dyDescent="0.35">
      <c r="A2" s="14">
        <v>101</v>
      </c>
      <c r="B2" s="14" t="s">
        <v>513</v>
      </c>
      <c r="C2" s="14" t="s">
        <v>559</v>
      </c>
      <c r="D2" t="s">
        <v>441</v>
      </c>
      <c r="E2">
        <v>14</v>
      </c>
      <c r="F2">
        <v>0</v>
      </c>
      <c r="G2">
        <v>0</v>
      </c>
      <c r="H2">
        <v>0</v>
      </c>
      <c r="I2" t="s">
        <v>477</v>
      </c>
      <c r="J2" t="s">
        <v>477</v>
      </c>
      <c r="K2">
        <v>0</v>
      </c>
      <c r="L2">
        <v>0</v>
      </c>
      <c r="M2">
        <v>0</v>
      </c>
      <c r="N2" t="s">
        <v>477</v>
      </c>
      <c r="O2">
        <v>5</v>
      </c>
      <c r="P2">
        <v>0</v>
      </c>
      <c r="Q2">
        <v>0</v>
      </c>
      <c r="R2" t="s">
        <v>477</v>
      </c>
      <c r="S2" t="s">
        <v>477</v>
      </c>
      <c r="T2" t="s">
        <v>477</v>
      </c>
      <c r="U2" t="s">
        <v>477</v>
      </c>
      <c r="V2">
        <v>9</v>
      </c>
      <c r="W2">
        <v>19</v>
      </c>
      <c r="X2" t="s">
        <v>477</v>
      </c>
      <c r="Y2" t="s">
        <v>477</v>
      </c>
      <c r="Z2" t="s">
        <v>477</v>
      </c>
      <c r="AA2" t="s">
        <v>477</v>
      </c>
      <c r="AB2" t="s">
        <v>477</v>
      </c>
    </row>
    <row r="3" spans="1:29" x14ac:dyDescent="0.35">
      <c r="A3" s="14">
        <v>102</v>
      </c>
      <c r="B3" s="14" t="s">
        <v>513</v>
      </c>
      <c r="C3" s="14" t="s">
        <v>559</v>
      </c>
      <c r="D3" t="s">
        <v>441</v>
      </c>
      <c r="E3">
        <v>16</v>
      </c>
      <c r="F3">
        <v>0</v>
      </c>
      <c r="G3">
        <v>0</v>
      </c>
      <c r="H3">
        <v>2</v>
      </c>
      <c r="I3" t="s">
        <v>477</v>
      </c>
      <c r="J3" t="s">
        <v>477</v>
      </c>
      <c r="K3">
        <v>0</v>
      </c>
      <c r="L3">
        <v>1</v>
      </c>
      <c r="M3">
        <v>1</v>
      </c>
      <c r="N3" t="s">
        <v>477</v>
      </c>
      <c r="O3">
        <v>1</v>
      </c>
      <c r="P3">
        <v>0</v>
      </c>
      <c r="Q3">
        <v>1</v>
      </c>
      <c r="R3" t="s">
        <v>477</v>
      </c>
      <c r="S3" t="s">
        <v>477</v>
      </c>
      <c r="T3" t="s">
        <v>477</v>
      </c>
      <c r="U3" t="s">
        <v>477</v>
      </c>
      <c r="V3">
        <v>9</v>
      </c>
      <c r="W3">
        <v>15</v>
      </c>
      <c r="X3" t="s">
        <v>477</v>
      </c>
      <c r="Y3" t="s">
        <v>477</v>
      </c>
      <c r="Z3" t="s">
        <v>477</v>
      </c>
      <c r="AA3" t="s">
        <v>477</v>
      </c>
      <c r="AB3" t="s">
        <v>477</v>
      </c>
    </row>
    <row r="4" spans="1:29" x14ac:dyDescent="0.35">
      <c r="A4" s="14">
        <v>103</v>
      </c>
      <c r="B4" s="14" t="s">
        <v>513</v>
      </c>
      <c r="C4" s="14" t="s">
        <v>559</v>
      </c>
      <c r="D4" t="s">
        <v>441</v>
      </c>
      <c r="E4">
        <v>12</v>
      </c>
      <c r="F4">
        <v>1</v>
      </c>
      <c r="G4">
        <v>0</v>
      </c>
      <c r="H4">
        <v>0</v>
      </c>
      <c r="I4" t="s">
        <v>477</v>
      </c>
      <c r="J4" t="s">
        <v>477</v>
      </c>
      <c r="K4">
        <v>0</v>
      </c>
      <c r="L4">
        <v>2</v>
      </c>
      <c r="M4">
        <v>0</v>
      </c>
      <c r="N4" t="s">
        <v>477</v>
      </c>
      <c r="O4">
        <v>5</v>
      </c>
      <c r="P4">
        <v>0</v>
      </c>
      <c r="Q4">
        <v>1</v>
      </c>
      <c r="R4" t="s">
        <v>477</v>
      </c>
      <c r="S4" t="s">
        <v>477</v>
      </c>
      <c r="T4" t="s">
        <v>477</v>
      </c>
      <c r="U4" t="s">
        <v>477</v>
      </c>
      <c r="V4">
        <v>5</v>
      </c>
      <c r="W4">
        <v>15</v>
      </c>
      <c r="X4" t="s">
        <v>477</v>
      </c>
      <c r="Y4" t="s">
        <v>477</v>
      </c>
      <c r="Z4" t="s">
        <v>477</v>
      </c>
      <c r="AA4" t="s">
        <v>477</v>
      </c>
      <c r="AB4" t="s">
        <v>477</v>
      </c>
    </row>
    <row r="5" spans="1:29" x14ac:dyDescent="0.35">
      <c r="A5" s="14">
        <v>104</v>
      </c>
      <c r="B5" s="14" t="s">
        <v>513</v>
      </c>
      <c r="C5" s="14" t="s">
        <v>559</v>
      </c>
      <c r="D5" t="s">
        <v>441</v>
      </c>
      <c r="E5">
        <v>9</v>
      </c>
      <c r="F5">
        <v>0</v>
      </c>
      <c r="G5">
        <v>0</v>
      </c>
      <c r="H5">
        <v>0</v>
      </c>
      <c r="I5" t="s">
        <v>477</v>
      </c>
      <c r="J5" t="s">
        <v>477</v>
      </c>
      <c r="K5">
        <v>0</v>
      </c>
      <c r="L5">
        <v>0</v>
      </c>
      <c r="M5">
        <v>0</v>
      </c>
      <c r="N5" t="s">
        <v>477</v>
      </c>
      <c r="O5">
        <v>0</v>
      </c>
      <c r="P5">
        <v>0</v>
      </c>
      <c r="Q5">
        <v>0</v>
      </c>
      <c r="R5" t="s">
        <v>477</v>
      </c>
      <c r="S5" t="s">
        <v>477</v>
      </c>
      <c r="T5" t="s">
        <v>477</v>
      </c>
      <c r="U5" t="s">
        <v>477</v>
      </c>
      <c r="V5">
        <v>0</v>
      </c>
      <c r="W5">
        <v>20</v>
      </c>
      <c r="X5" t="s">
        <v>477</v>
      </c>
      <c r="Y5" t="s">
        <v>477</v>
      </c>
      <c r="Z5" t="s">
        <v>477</v>
      </c>
      <c r="AA5" t="s">
        <v>477</v>
      </c>
      <c r="AB5" t="s">
        <v>477</v>
      </c>
    </row>
    <row r="6" spans="1:29" x14ac:dyDescent="0.35">
      <c r="A6" s="14">
        <v>105</v>
      </c>
      <c r="B6" s="14" t="s">
        <v>513</v>
      </c>
      <c r="C6" s="14" t="s">
        <v>559</v>
      </c>
      <c r="D6" t="s">
        <v>441</v>
      </c>
      <c r="E6">
        <v>14</v>
      </c>
      <c r="F6">
        <v>0</v>
      </c>
      <c r="G6">
        <v>0</v>
      </c>
      <c r="H6">
        <v>0</v>
      </c>
      <c r="I6" t="s">
        <v>477</v>
      </c>
      <c r="J6" t="s">
        <v>477</v>
      </c>
      <c r="K6">
        <v>0</v>
      </c>
      <c r="L6">
        <v>0</v>
      </c>
      <c r="M6">
        <v>0</v>
      </c>
      <c r="N6" t="s">
        <v>477</v>
      </c>
      <c r="O6">
        <v>1</v>
      </c>
      <c r="P6">
        <v>0</v>
      </c>
      <c r="Q6">
        <v>0</v>
      </c>
      <c r="R6" t="s">
        <v>477</v>
      </c>
      <c r="S6" t="s">
        <v>477</v>
      </c>
      <c r="T6" t="s">
        <v>477</v>
      </c>
      <c r="U6" t="s">
        <v>477</v>
      </c>
      <c r="V6">
        <v>13</v>
      </c>
      <c r="W6">
        <v>13</v>
      </c>
      <c r="X6" t="s">
        <v>477</v>
      </c>
      <c r="Y6" t="s">
        <v>477</v>
      </c>
      <c r="Z6" t="s">
        <v>477</v>
      </c>
      <c r="AA6" t="s">
        <v>477</v>
      </c>
      <c r="AB6" t="s">
        <v>477</v>
      </c>
    </row>
    <row r="7" spans="1:29" x14ac:dyDescent="0.35">
      <c r="A7" s="14">
        <v>106</v>
      </c>
      <c r="B7" s="14" t="s">
        <v>513</v>
      </c>
      <c r="C7" s="14" t="s">
        <v>559</v>
      </c>
      <c r="D7" t="s">
        <v>441</v>
      </c>
      <c r="E7">
        <v>0</v>
      </c>
      <c r="F7">
        <v>0</v>
      </c>
      <c r="G7">
        <v>0</v>
      </c>
      <c r="H7">
        <v>0</v>
      </c>
      <c r="I7" t="s">
        <v>477</v>
      </c>
      <c r="J7" t="s">
        <v>477</v>
      </c>
      <c r="K7">
        <v>0</v>
      </c>
      <c r="L7">
        <v>0</v>
      </c>
      <c r="M7">
        <v>0</v>
      </c>
      <c r="N7" t="s">
        <v>477</v>
      </c>
      <c r="O7">
        <v>0</v>
      </c>
      <c r="P7">
        <v>0</v>
      </c>
      <c r="Q7">
        <v>0</v>
      </c>
      <c r="R7" t="s">
        <v>477</v>
      </c>
      <c r="S7" t="s">
        <v>477</v>
      </c>
      <c r="T7" t="s">
        <v>477</v>
      </c>
      <c r="U7" t="s">
        <v>477</v>
      </c>
      <c r="V7">
        <v>0</v>
      </c>
      <c r="W7">
        <v>0</v>
      </c>
      <c r="X7" t="s">
        <v>477</v>
      </c>
      <c r="Y7" t="s">
        <v>477</v>
      </c>
      <c r="Z7" t="s">
        <v>477</v>
      </c>
      <c r="AA7" t="s">
        <v>477</v>
      </c>
      <c r="AB7" t="s">
        <v>477</v>
      </c>
    </row>
    <row r="8" spans="1:29" x14ac:dyDescent="0.35">
      <c r="A8" s="14">
        <v>107</v>
      </c>
      <c r="B8" s="14" t="s">
        <v>513</v>
      </c>
      <c r="C8" s="14" t="s">
        <v>559</v>
      </c>
      <c r="D8" t="s">
        <v>441</v>
      </c>
      <c r="E8">
        <v>6</v>
      </c>
      <c r="F8">
        <v>0</v>
      </c>
      <c r="G8">
        <v>0</v>
      </c>
      <c r="H8">
        <v>1</v>
      </c>
      <c r="I8" t="s">
        <v>477</v>
      </c>
      <c r="J8" t="s">
        <v>477</v>
      </c>
      <c r="K8">
        <v>0</v>
      </c>
      <c r="L8">
        <v>1</v>
      </c>
      <c r="M8">
        <v>0</v>
      </c>
      <c r="N8" t="s">
        <v>477</v>
      </c>
      <c r="O8">
        <v>0</v>
      </c>
      <c r="P8">
        <v>0</v>
      </c>
      <c r="Q8">
        <v>0</v>
      </c>
      <c r="R8" t="s">
        <v>477</v>
      </c>
      <c r="S8" t="s">
        <v>477</v>
      </c>
      <c r="T8" t="s">
        <v>477</v>
      </c>
      <c r="U8" t="s">
        <v>477</v>
      </c>
      <c r="V8">
        <v>4</v>
      </c>
      <c r="W8">
        <v>6</v>
      </c>
      <c r="X8" t="s">
        <v>477</v>
      </c>
      <c r="Y8" t="s">
        <v>477</v>
      </c>
      <c r="Z8" t="s">
        <v>477</v>
      </c>
      <c r="AA8" t="s">
        <v>477</v>
      </c>
      <c r="AB8" t="s">
        <v>477</v>
      </c>
    </row>
    <row r="9" spans="1:29" x14ac:dyDescent="0.35">
      <c r="A9" s="14">
        <v>108</v>
      </c>
      <c r="B9" s="14" t="s">
        <v>513</v>
      </c>
      <c r="C9" s="14" t="s">
        <v>559</v>
      </c>
      <c r="D9" t="s">
        <v>441</v>
      </c>
      <c r="E9">
        <v>1</v>
      </c>
      <c r="F9">
        <v>0</v>
      </c>
      <c r="G9">
        <v>0</v>
      </c>
      <c r="H9">
        <v>0</v>
      </c>
      <c r="I9" t="s">
        <v>477</v>
      </c>
      <c r="J9" t="s">
        <v>477</v>
      </c>
      <c r="K9">
        <v>0</v>
      </c>
      <c r="L9">
        <v>0</v>
      </c>
      <c r="M9">
        <v>0</v>
      </c>
      <c r="N9" t="s">
        <v>477</v>
      </c>
      <c r="O9">
        <v>0</v>
      </c>
      <c r="P9">
        <v>0</v>
      </c>
      <c r="Q9">
        <v>0</v>
      </c>
      <c r="R9" t="s">
        <v>477</v>
      </c>
      <c r="S9" t="s">
        <v>477</v>
      </c>
      <c r="T9" t="s">
        <v>477</v>
      </c>
      <c r="U9" t="s">
        <v>477</v>
      </c>
      <c r="V9">
        <v>0</v>
      </c>
      <c r="W9">
        <v>1</v>
      </c>
      <c r="X9" t="s">
        <v>477</v>
      </c>
      <c r="Y9" t="s">
        <v>477</v>
      </c>
      <c r="Z9" t="s">
        <v>477</v>
      </c>
      <c r="AA9" t="s">
        <v>477</v>
      </c>
      <c r="AB9" t="s">
        <v>477</v>
      </c>
    </row>
    <row r="10" spans="1:29" x14ac:dyDescent="0.35">
      <c r="A10" s="14">
        <v>109</v>
      </c>
      <c r="B10" s="14" t="s">
        <v>513</v>
      </c>
      <c r="C10" s="14" t="s">
        <v>559</v>
      </c>
      <c r="D10" t="s">
        <v>441</v>
      </c>
      <c r="E10">
        <v>0</v>
      </c>
      <c r="F10">
        <v>0</v>
      </c>
      <c r="G10">
        <v>0</v>
      </c>
      <c r="H10">
        <v>0</v>
      </c>
      <c r="I10" t="s">
        <v>477</v>
      </c>
      <c r="J10" t="s">
        <v>477</v>
      </c>
      <c r="K10">
        <v>0</v>
      </c>
      <c r="L10">
        <v>0</v>
      </c>
      <c r="M10">
        <v>0</v>
      </c>
      <c r="N10" t="s">
        <v>477</v>
      </c>
      <c r="O10">
        <v>0</v>
      </c>
      <c r="P10">
        <v>0</v>
      </c>
      <c r="Q10">
        <v>0</v>
      </c>
      <c r="R10" t="s">
        <v>477</v>
      </c>
      <c r="S10" t="s">
        <v>477</v>
      </c>
      <c r="T10" t="s">
        <v>477</v>
      </c>
      <c r="U10" t="s">
        <v>477</v>
      </c>
      <c r="V10">
        <v>0</v>
      </c>
      <c r="W10">
        <v>0</v>
      </c>
      <c r="X10" t="s">
        <v>477</v>
      </c>
      <c r="Y10" t="s">
        <v>477</v>
      </c>
      <c r="Z10" t="s">
        <v>477</v>
      </c>
      <c r="AA10" t="s">
        <v>477</v>
      </c>
      <c r="AB10" t="s">
        <v>477</v>
      </c>
    </row>
    <row r="11" spans="1:29" x14ac:dyDescent="0.35">
      <c r="A11" s="14">
        <v>110</v>
      </c>
      <c r="B11" s="14" t="s">
        <v>513</v>
      </c>
      <c r="C11" s="14" t="s">
        <v>559</v>
      </c>
      <c r="D11" t="s">
        <v>441</v>
      </c>
      <c r="E11">
        <v>3</v>
      </c>
      <c r="F11">
        <v>0</v>
      </c>
      <c r="G11">
        <v>0</v>
      </c>
      <c r="H11">
        <v>0</v>
      </c>
      <c r="I11" t="s">
        <v>477</v>
      </c>
      <c r="J11" t="s">
        <v>477</v>
      </c>
      <c r="K11">
        <v>0</v>
      </c>
      <c r="L11">
        <v>0</v>
      </c>
      <c r="M11">
        <v>0</v>
      </c>
      <c r="N11" t="s">
        <v>477</v>
      </c>
      <c r="O11">
        <v>0</v>
      </c>
      <c r="P11">
        <v>0</v>
      </c>
      <c r="Q11">
        <v>0</v>
      </c>
      <c r="R11" t="s">
        <v>477</v>
      </c>
      <c r="S11" t="s">
        <v>477</v>
      </c>
      <c r="T11" t="s">
        <v>477</v>
      </c>
      <c r="U11" t="s">
        <v>477</v>
      </c>
      <c r="V11">
        <v>3</v>
      </c>
      <c r="W11">
        <v>2</v>
      </c>
      <c r="X11" t="s">
        <v>477</v>
      </c>
      <c r="Y11" t="s">
        <v>477</v>
      </c>
      <c r="Z11" t="s">
        <v>477</v>
      </c>
      <c r="AA11" t="s">
        <v>477</v>
      </c>
      <c r="AB11" t="s">
        <v>477</v>
      </c>
    </row>
    <row r="12" spans="1:29" x14ac:dyDescent="0.35">
      <c r="A12" s="14">
        <v>111</v>
      </c>
      <c r="B12" s="14" t="s">
        <v>513</v>
      </c>
      <c r="C12" s="14" t="s">
        <v>559</v>
      </c>
      <c r="D12" t="s">
        <v>441</v>
      </c>
      <c r="E12">
        <v>23</v>
      </c>
      <c r="F12">
        <v>0</v>
      </c>
      <c r="G12">
        <v>0</v>
      </c>
      <c r="H12">
        <v>0</v>
      </c>
      <c r="I12" t="s">
        <v>477</v>
      </c>
      <c r="J12" t="s">
        <v>477</v>
      </c>
      <c r="K12">
        <v>0</v>
      </c>
      <c r="L12">
        <v>4</v>
      </c>
      <c r="M12">
        <v>0</v>
      </c>
      <c r="N12" t="s">
        <v>477</v>
      </c>
      <c r="O12">
        <v>9</v>
      </c>
      <c r="P12">
        <v>0</v>
      </c>
      <c r="Q12">
        <v>0</v>
      </c>
      <c r="R12" t="s">
        <v>477</v>
      </c>
      <c r="S12" t="s">
        <v>477</v>
      </c>
      <c r="T12" t="s">
        <v>477</v>
      </c>
      <c r="U12" t="s">
        <v>477</v>
      </c>
      <c r="V12">
        <v>9</v>
      </c>
      <c r="W12">
        <v>30</v>
      </c>
      <c r="X12" t="s">
        <v>477</v>
      </c>
      <c r="Y12" t="s">
        <v>477</v>
      </c>
      <c r="Z12" t="s">
        <v>477</v>
      </c>
      <c r="AA12" t="s">
        <v>477</v>
      </c>
      <c r="AB12" t="s">
        <v>477</v>
      </c>
    </row>
    <row r="13" spans="1:29" x14ac:dyDescent="0.35">
      <c r="A13" s="14">
        <v>112</v>
      </c>
      <c r="B13" s="14" t="s">
        <v>513</v>
      </c>
      <c r="C13" s="14" t="s">
        <v>559</v>
      </c>
      <c r="D13" t="s">
        <v>441</v>
      </c>
      <c r="E13">
        <v>1</v>
      </c>
      <c r="F13">
        <v>0</v>
      </c>
      <c r="G13">
        <v>0</v>
      </c>
      <c r="H13">
        <v>0</v>
      </c>
      <c r="I13" t="s">
        <v>477</v>
      </c>
      <c r="J13" t="s">
        <v>477</v>
      </c>
      <c r="K13">
        <v>1</v>
      </c>
      <c r="L13">
        <v>0</v>
      </c>
      <c r="M13">
        <v>0</v>
      </c>
      <c r="N13" t="s">
        <v>477</v>
      </c>
      <c r="O13">
        <v>0</v>
      </c>
      <c r="P13">
        <v>0</v>
      </c>
      <c r="Q13">
        <v>1</v>
      </c>
      <c r="R13" t="s">
        <v>477</v>
      </c>
      <c r="S13" t="s">
        <v>477</v>
      </c>
      <c r="T13" t="s">
        <v>477</v>
      </c>
      <c r="U13" t="s">
        <v>477</v>
      </c>
      <c r="V13">
        <v>0</v>
      </c>
      <c r="W13">
        <v>2</v>
      </c>
      <c r="X13" t="s">
        <v>477</v>
      </c>
      <c r="Y13" t="s">
        <v>477</v>
      </c>
      <c r="Z13" t="s">
        <v>477</v>
      </c>
      <c r="AA13" t="s">
        <v>477</v>
      </c>
      <c r="AB13" t="s">
        <v>477</v>
      </c>
    </row>
    <row r="14" spans="1:29" x14ac:dyDescent="0.35">
      <c r="A14" s="14">
        <v>113</v>
      </c>
      <c r="B14" s="14" t="s">
        <v>513</v>
      </c>
      <c r="C14" s="14" t="s">
        <v>559</v>
      </c>
      <c r="D14" t="s">
        <v>441</v>
      </c>
      <c r="E14">
        <v>8</v>
      </c>
      <c r="F14">
        <v>0</v>
      </c>
      <c r="G14">
        <v>0</v>
      </c>
      <c r="H14">
        <v>0</v>
      </c>
      <c r="I14" t="s">
        <v>477</v>
      </c>
      <c r="J14" t="s">
        <v>477</v>
      </c>
      <c r="K14">
        <v>0</v>
      </c>
      <c r="L14">
        <v>0</v>
      </c>
      <c r="M14">
        <v>0</v>
      </c>
      <c r="N14" t="s">
        <v>477</v>
      </c>
      <c r="O14">
        <v>0</v>
      </c>
      <c r="P14">
        <v>0</v>
      </c>
      <c r="Q14">
        <v>0</v>
      </c>
      <c r="R14" t="s">
        <v>477</v>
      </c>
      <c r="S14" t="s">
        <v>477</v>
      </c>
      <c r="T14" t="s">
        <v>477</v>
      </c>
      <c r="U14" t="s">
        <v>477</v>
      </c>
      <c r="V14">
        <v>0</v>
      </c>
      <c r="W14">
        <v>16</v>
      </c>
      <c r="X14" t="s">
        <v>477</v>
      </c>
      <c r="Y14" t="s">
        <v>477</v>
      </c>
      <c r="Z14" t="s">
        <v>477</v>
      </c>
      <c r="AA14" t="s">
        <v>477</v>
      </c>
      <c r="AB14" t="s">
        <v>477</v>
      </c>
    </row>
    <row r="15" spans="1:29" x14ac:dyDescent="0.35">
      <c r="A15" s="14">
        <v>114</v>
      </c>
      <c r="B15" s="14" t="s">
        <v>513</v>
      </c>
      <c r="C15" s="14" t="s">
        <v>559</v>
      </c>
      <c r="D15" t="s">
        <v>441</v>
      </c>
      <c r="E15">
        <v>11</v>
      </c>
      <c r="F15">
        <v>0</v>
      </c>
      <c r="G15">
        <v>0</v>
      </c>
      <c r="H15">
        <v>0</v>
      </c>
      <c r="I15" t="s">
        <v>477</v>
      </c>
      <c r="J15" t="s">
        <v>477</v>
      </c>
      <c r="K15">
        <v>0</v>
      </c>
      <c r="L15">
        <v>0</v>
      </c>
      <c r="M15">
        <v>0</v>
      </c>
      <c r="N15" t="s">
        <v>477</v>
      </c>
      <c r="O15">
        <v>0</v>
      </c>
      <c r="P15">
        <v>0</v>
      </c>
      <c r="Q15">
        <v>0</v>
      </c>
      <c r="R15" t="s">
        <v>477</v>
      </c>
      <c r="S15" t="s">
        <v>477</v>
      </c>
      <c r="T15" t="s">
        <v>477</v>
      </c>
      <c r="U15" t="s">
        <v>477</v>
      </c>
      <c r="V15">
        <v>0</v>
      </c>
      <c r="W15">
        <v>15</v>
      </c>
      <c r="X15" t="s">
        <v>477</v>
      </c>
      <c r="Y15" t="s">
        <v>477</v>
      </c>
      <c r="Z15" t="s">
        <v>477</v>
      </c>
      <c r="AA15" t="s">
        <v>477</v>
      </c>
      <c r="AB15" t="s">
        <v>477</v>
      </c>
    </row>
    <row r="16" spans="1:29" x14ac:dyDescent="0.35">
      <c r="A16" s="14">
        <v>115</v>
      </c>
      <c r="B16" s="14" t="s">
        <v>513</v>
      </c>
      <c r="C16" s="14" t="s">
        <v>559</v>
      </c>
      <c r="D16" t="s">
        <v>441</v>
      </c>
      <c r="E16">
        <v>11</v>
      </c>
      <c r="F16">
        <v>0</v>
      </c>
      <c r="G16">
        <v>0</v>
      </c>
      <c r="H16">
        <v>0</v>
      </c>
      <c r="I16" t="s">
        <v>477</v>
      </c>
      <c r="J16" t="s">
        <v>477</v>
      </c>
      <c r="K16">
        <v>0</v>
      </c>
      <c r="L16">
        <v>0</v>
      </c>
      <c r="M16">
        <v>1</v>
      </c>
      <c r="N16" t="s">
        <v>477</v>
      </c>
      <c r="O16">
        <v>0</v>
      </c>
      <c r="P16">
        <v>0</v>
      </c>
      <c r="Q16">
        <v>0</v>
      </c>
      <c r="R16" t="s">
        <v>477</v>
      </c>
      <c r="S16" t="s">
        <v>477</v>
      </c>
      <c r="T16" t="s">
        <v>477</v>
      </c>
      <c r="U16" t="s">
        <v>477</v>
      </c>
      <c r="V16">
        <v>0</v>
      </c>
      <c r="W16">
        <v>13</v>
      </c>
      <c r="X16" t="s">
        <v>477</v>
      </c>
      <c r="Y16" t="s">
        <v>477</v>
      </c>
      <c r="Z16" t="s">
        <v>477</v>
      </c>
      <c r="AA16" t="s">
        <v>477</v>
      </c>
      <c r="AB16" t="s">
        <v>477</v>
      </c>
      <c r="AC16" t="s">
        <v>1144</v>
      </c>
    </row>
    <row r="17" spans="1:29" x14ac:dyDescent="0.35">
      <c r="A17">
        <v>101</v>
      </c>
      <c r="B17" t="s">
        <v>559</v>
      </c>
      <c r="C17" t="s">
        <v>610</v>
      </c>
      <c r="D17" t="s">
        <v>441</v>
      </c>
      <c r="E17">
        <v>16</v>
      </c>
      <c r="F17">
        <v>2</v>
      </c>
      <c r="G17">
        <v>0</v>
      </c>
      <c r="H17">
        <v>0</v>
      </c>
      <c r="I17">
        <v>0</v>
      </c>
      <c r="J17" t="s">
        <v>477</v>
      </c>
      <c r="K17">
        <v>0</v>
      </c>
      <c r="L17">
        <v>3</v>
      </c>
      <c r="M17">
        <v>1</v>
      </c>
      <c r="N17" t="s">
        <v>477</v>
      </c>
      <c r="O17">
        <v>3</v>
      </c>
      <c r="P17">
        <v>1</v>
      </c>
      <c r="Q17">
        <v>1</v>
      </c>
      <c r="R17" t="s">
        <v>477</v>
      </c>
      <c r="S17" t="s">
        <v>477</v>
      </c>
      <c r="T17" t="s">
        <v>477</v>
      </c>
      <c r="U17" t="s">
        <v>477</v>
      </c>
      <c r="V17">
        <v>0</v>
      </c>
      <c r="W17">
        <v>31</v>
      </c>
      <c r="X17">
        <v>19</v>
      </c>
      <c r="Y17">
        <v>4</v>
      </c>
      <c r="Z17">
        <v>0</v>
      </c>
      <c r="AA17">
        <v>5</v>
      </c>
      <c r="AB17">
        <v>3</v>
      </c>
    </row>
    <row r="18" spans="1:29" x14ac:dyDescent="0.35">
      <c r="A18">
        <v>102</v>
      </c>
      <c r="B18" t="s">
        <v>559</v>
      </c>
      <c r="C18" t="s">
        <v>610</v>
      </c>
      <c r="D18" t="s">
        <v>441</v>
      </c>
      <c r="E18">
        <v>11</v>
      </c>
      <c r="F18">
        <v>0</v>
      </c>
      <c r="G18">
        <v>0</v>
      </c>
      <c r="H18">
        <v>1</v>
      </c>
      <c r="I18">
        <v>0</v>
      </c>
      <c r="J18" t="s">
        <v>477</v>
      </c>
      <c r="K18">
        <v>0</v>
      </c>
      <c r="L18">
        <v>4</v>
      </c>
      <c r="M18">
        <v>1</v>
      </c>
      <c r="N18" t="s">
        <v>477</v>
      </c>
      <c r="O18">
        <v>2</v>
      </c>
      <c r="P18">
        <v>0</v>
      </c>
      <c r="Q18">
        <v>1</v>
      </c>
      <c r="R18" t="s">
        <v>477</v>
      </c>
      <c r="S18" t="s">
        <v>477</v>
      </c>
      <c r="T18" t="s">
        <v>477</v>
      </c>
      <c r="U18" t="s">
        <v>477</v>
      </c>
      <c r="V18">
        <v>2</v>
      </c>
      <c r="W18">
        <v>28</v>
      </c>
      <c r="X18">
        <v>11</v>
      </c>
      <c r="Y18">
        <v>10</v>
      </c>
      <c r="Z18">
        <v>1</v>
      </c>
      <c r="AA18">
        <v>4</v>
      </c>
      <c r="AB18">
        <v>1</v>
      </c>
    </row>
    <row r="19" spans="1:29" x14ac:dyDescent="0.35">
      <c r="A19">
        <v>103</v>
      </c>
      <c r="B19" t="s">
        <v>559</v>
      </c>
      <c r="C19" t="s">
        <v>610</v>
      </c>
      <c r="D19" t="s">
        <v>441</v>
      </c>
      <c r="E19">
        <v>24</v>
      </c>
      <c r="F19">
        <v>0</v>
      </c>
      <c r="G19">
        <v>1</v>
      </c>
      <c r="H19">
        <v>1</v>
      </c>
      <c r="I19">
        <v>1</v>
      </c>
      <c r="J19" t="s">
        <v>477</v>
      </c>
      <c r="K19">
        <v>0</v>
      </c>
      <c r="L19">
        <v>3</v>
      </c>
      <c r="M19">
        <v>0</v>
      </c>
      <c r="N19" t="s">
        <v>477</v>
      </c>
      <c r="O19">
        <v>6</v>
      </c>
      <c r="P19">
        <v>0</v>
      </c>
      <c r="Q19">
        <v>5</v>
      </c>
      <c r="R19" t="s">
        <v>477</v>
      </c>
      <c r="S19" t="s">
        <v>477</v>
      </c>
      <c r="T19" t="s">
        <v>477</v>
      </c>
      <c r="U19" t="s">
        <v>477</v>
      </c>
      <c r="V19">
        <v>11</v>
      </c>
      <c r="W19">
        <v>24</v>
      </c>
      <c r="X19">
        <v>10</v>
      </c>
      <c r="Y19">
        <v>8</v>
      </c>
      <c r="Z19">
        <v>3</v>
      </c>
      <c r="AA19">
        <v>1</v>
      </c>
      <c r="AB19">
        <v>1</v>
      </c>
    </row>
    <row r="20" spans="1:29" x14ac:dyDescent="0.35">
      <c r="A20">
        <v>104</v>
      </c>
      <c r="B20" t="s">
        <v>559</v>
      </c>
      <c r="C20" t="s">
        <v>610</v>
      </c>
      <c r="D20" t="s">
        <v>441</v>
      </c>
      <c r="E20">
        <v>18</v>
      </c>
      <c r="F20">
        <v>0</v>
      </c>
      <c r="G20">
        <v>0</v>
      </c>
      <c r="H20">
        <v>0</v>
      </c>
      <c r="I20">
        <v>0</v>
      </c>
      <c r="J20" t="s">
        <v>477</v>
      </c>
      <c r="K20">
        <v>0</v>
      </c>
      <c r="L20">
        <v>0</v>
      </c>
      <c r="M20">
        <v>0</v>
      </c>
      <c r="N20" t="s">
        <v>477</v>
      </c>
      <c r="O20">
        <v>0</v>
      </c>
      <c r="P20">
        <v>0</v>
      </c>
      <c r="Q20">
        <v>1</v>
      </c>
      <c r="R20" t="s">
        <v>477</v>
      </c>
      <c r="S20" t="s">
        <v>477</v>
      </c>
      <c r="T20" t="s">
        <v>477</v>
      </c>
      <c r="U20" t="s">
        <v>477</v>
      </c>
      <c r="V20">
        <v>17</v>
      </c>
      <c r="W20">
        <v>43</v>
      </c>
      <c r="X20">
        <v>14</v>
      </c>
      <c r="Y20">
        <v>18</v>
      </c>
      <c r="Z20">
        <v>1</v>
      </c>
      <c r="AA20">
        <v>8</v>
      </c>
      <c r="AB20">
        <v>2</v>
      </c>
    </row>
    <row r="21" spans="1:29" x14ac:dyDescent="0.35">
      <c r="A21">
        <v>105</v>
      </c>
      <c r="B21" t="s">
        <v>559</v>
      </c>
      <c r="C21" t="s">
        <v>610</v>
      </c>
      <c r="D21" t="s">
        <v>441</v>
      </c>
      <c r="E21">
        <v>32</v>
      </c>
      <c r="F21">
        <v>1</v>
      </c>
      <c r="G21">
        <v>0</v>
      </c>
      <c r="H21">
        <v>5</v>
      </c>
      <c r="I21">
        <v>0</v>
      </c>
      <c r="J21" t="s">
        <v>477</v>
      </c>
      <c r="K21">
        <v>0</v>
      </c>
      <c r="L21">
        <v>1</v>
      </c>
      <c r="M21">
        <v>1</v>
      </c>
      <c r="N21" t="s">
        <v>477</v>
      </c>
      <c r="O21">
        <v>2</v>
      </c>
      <c r="P21">
        <v>1</v>
      </c>
      <c r="Q21">
        <v>15</v>
      </c>
      <c r="R21" t="s">
        <v>477</v>
      </c>
      <c r="S21" t="s">
        <v>477</v>
      </c>
      <c r="T21" t="s">
        <v>477</v>
      </c>
      <c r="U21" t="s">
        <v>477</v>
      </c>
      <c r="V21">
        <v>6</v>
      </c>
      <c r="W21">
        <v>29</v>
      </c>
      <c r="X21">
        <v>15</v>
      </c>
      <c r="Y21">
        <v>7</v>
      </c>
      <c r="Z21">
        <v>1</v>
      </c>
      <c r="AA21">
        <v>4</v>
      </c>
      <c r="AB21">
        <v>2</v>
      </c>
      <c r="AC21" t="s">
        <v>1148</v>
      </c>
    </row>
    <row r="22" spans="1:29" x14ac:dyDescent="0.35">
      <c r="A22">
        <v>106</v>
      </c>
      <c r="B22" t="s">
        <v>559</v>
      </c>
      <c r="C22" t="s">
        <v>610</v>
      </c>
      <c r="D22" t="s">
        <v>441</v>
      </c>
      <c r="E22">
        <v>10</v>
      </c>
      <c r="F22">
        <v>0</v>
      </c>
      <c r="G22">
        <v>0</v>
      </c>
      <c r="H22">
        <v>0</v>
      </c>
      <c r="I22">
        <v>0</v>
      </c>
      <c r="J22" t="s">
        <v>477</v>
      </c>
      <c r="K22">
        <v>0</v>
      </c>
      <c r="L22">
        <v>1</v>
      </c>
      <c r="M22">
        <v>1</v>
      </c>
      <c r="N22" t="s">
        <v>477</v>
      </c>
      <c r="O22">
        <v>2</v>
      </c>
      <c r="P22">
        <v>0</v>
      </c>
      <c r="Q22">
        <v>1</v>
      </c>
      <c r="R22" t="s">
        <v>477</v>
      </c>
      <c r="S22" t="s">
        <v>477</v>
      </c>
      <c r="T22" t="s">
        <v>477</v>
      </c>
      <c r="U22" t="s">
        <v>477</v>
      </c>
      <c r="V22">
        <v>5</v>
      </c>
      <c r="W22">
        <v>10</v>
      </c>
      <c r="X22">
        <v>1</v>
      </c>
      <c r="Y22">
        <v>5</v>
      </c>
      <c r="Z22">
        <v>0</v>
      </c>
      <c r="AA22">
        <v>3</v>
      </c>
      <c r="AB22">
        <v>1</v>
      </c>
    </row>
    <row r="23" spans="1:29" x14ac:dyDescent="0.35">
      <c r="A23">
        <v>107</v>
      </c>
      <c r="B23" t="s">
        <v>559</v>
      </c>
      <c r="C23" t="s">
        <v>610</v>
      </c>
      <c r="D23" t="s">
        <v>441</v>
      </c>
      <c r="E23">
        <v>10</v>
      </c>
      <c r="F23">
        <v>1</v>
      </c>
      <c r="G23">
        <v>0</v>
      </c>
      <c r="H23">
        <v>2</v>
      </c>
      <c r="I23">
        <v>0</v>
      </c>
      <c r="J23" t="s">
        <v>477</v>
      </c>
      <c r="K23">
        <v>0</v>
      </c>
      <c r="L23">
        <v>1</v>
      </c>
      <c r="M23">
        <v>1</v>
      </c>
      <c r="N23" t="s">
        <v>477</v>
      </c>
      <c r="O23">
        <v>1</v>
      </c>
      <c r="P23">
        <v>0</v>
      </c>
      <c r="Q23">
        <v>2</v>
      </c>
      <c r="R23" t="s">
        <v>477</v>
      </c>
      <c r="S23" t="s">
        <v>477</v>
      </c>
      <c r="T23" t="s">
        <v>477</v>
      </c>
      <c r="U23" t="s">
        <v>477</v>
      </c>
      <c r="V23">
        <v>0</v>
      </c>
      <c r="W23">
        <v>17</v>
      </c>
      <c r="X23">
        <v>6</v>
      </c>
      <c r="Y23">
        <v>6</v>
      </c>
      <c r="Z23">
        <v>0</v>
      </c>
      <c r="AA23">
        <v>5</v>
      </c>
      <c r="AB23">
        <v>1</v>
      </c>
    </row>
    <row r="24" spans="1:29" x14ac:dyDescent="0.35">
      <c r="A24">
        <v>108</v>
      </c>
      <c r="B24" t="s">
        <v>559</v>
      </c>
      <c r="C24" t="s">
        <v>610</v>
      </c>
      <c r="D24" t="s">
        <v>441</v>
      </c>
      <c r="E24">
        <v>10</v>
      </c>
      <c r="F24">
        <v>1</v>
      </c>
      <c r="G24">
        <v>0</v>
      </c>
      <c r="H24">
        <v>1</v>
      </c>
      <c r="I24">
        <v>0</v>
      </c>
      <c r="J24" t="s">
        <v>477</v>
      </c>
      <c r="K24">
        <v>0</v>
      </c>
      <c r="L24">
        <v>1</v>
      </c>
      <c r="M24">
        <v>0</v>
      </c>
      <c r="N24" t="s">
        <v>477</v>
      </c>
      <c r="O24">
        <v>1</v>
      </c>
      <c r="P24">
        <v>0</v>
      </c>
      <c r="Q24">
        <v>1</v>
      </c>
      <c r="R24" t="s">
        <v>477</v>
      </c>
      <c r="S24" t="s">
        <v>477</v>
      </c>
      <c r="T24" t="s">
        <v>477</v>
      </c>
      <c r="U24" t="s">
        <v>477</v>
      </c>
      <c r="V24">
        <v>1</v>
      </c>
      <c r="W24">
        <v>11</v>
      </c>
      <c r="X24">
        <v>4</v>
      </c>
      <c r="Y24">
        <v>3</v>
      </c>
      <c r="Z24">
        <v>0</v>
      </c>
      <c r="AA24">
        <v>3</v>
      </c>
      <c r="AB24">
        <v>1</v>
      </c>
      <c r="AC24" t="s">
        <v>1146</v>
      </c>
    </row>
    <row r="25" spans="1:29" x14ac:dyDescent="0.35">
      <c r="A25">
        <v>109</v>
      </c>
      <c r="B25" t="s">
        <v>559</v>
      </c>
      <c r="C25" t="s">
        <v>610</v>
      </c>
      <c r="D25" t="s">
        <v>441</v>
      </c>
      <c r="E25">
        <v>1</v>
      </c>
      <c r="F25">
        <v>0</v>
      </c>
      <c r="G25">
        <v>0</v>
      </c>
      <c r="H25">
        <v>0</v>
      </c>
      <c r="I25">
        <v>0</v>
      </c>
      <c r="J25" t="s">
        <v>477</v>
      </c>
      <c r="K25">
        <v>0</v>
      </c>
      <c r="L25">
        <v>0</v>
      </c>
      <c r="M25">
        <v>0</v>
      </c>
      <c r="N25" t="s">
        <v>477</v>
      </c>
      <c r="O25">
        <v>0</v>
      </c>
      <c r="P25">
        <v>0</v>
      </c>
      <c r="Q25">
        <v>0</v>
      </c>
      <c r="R25" t="s">
        <v>477</v>
      </c>
      <c r="S25" t="s">
        <v>477</v>
      </c>
      <c r="T25" t="s">
        <v>477</v>
      </c>
      <c r="U25" t="s">
        <v>477</v>
      </c>
      <c r="V25">
        <v>0</v>
      </c>
      <c r="W25">
        <v>1</v>
      </c>
      <c r="X25">
        <v>0</v>
      </c>
      <c r="Y25">
        <v>1</v>
      </c>
      <c r="Z25">
        <v>0</v>
      </c>
      <c r="AA25">
        <v>0</v>
      </c>
      <c r="AB25">
        <v>0</v>
      </c>
    </row>
    <row r="26" spans="1:29" x14ac:dyDescent="0.35">
      <c r="A26">
        <v>110</v>
      </c>
      <c r="B26" t="s">
        <v>559</v>
      </c>
      <c r="C26" t="s">
        <v>610</v>
      </c>
      <c r="D26" t="s">
        <v>441</v>
      </c>
      <c r="E26">
        <v>11</v>
      </c>
      <c r="F26">
        <v>1</v>
      </c>
      <c r="G26">
        <v>0</v>
      </c>
      <c r="H26">
        <v>0</v>
      </c>
      <c r="I26">
        <v>0</v>
      </c>
      <c r="J26" t="s">
        <v>477</v>
      </c>
      <c r="K26">
        <v>0</v>
      </c>
      <c r="L26">
        <v>0</v>
      </c>
      <c r="M26">
        <v>0</v>
      </c>
      <c r="N26" t="s">
        <v>477</v>
      </c>
      <c r="O26">
        <v>4</v>
      </c>
      <c r="P26">
        <v>1</v>
      </c>
      <c r="Q26">
        <v>1</v>
      </c>
      <c r="R26" t="s">
        <v>477</v>
      </c>
      <c r="S26" t="s">
        <v>477</v>
      </c>
      <c r="T26" t="s">
        <v>477</v>
      </c>
      <c r="U26" t="s">
        <v>477</v>
      </c>
      <c r="V26">
        <v>4</v>
      </c>
      <c r="W26">
        <v>25</v>
      </c>
      <c r="X26">
        <v>14</v>
      </c>
      <c r="Y26">
        <v>3</v>
      </c>
      <c r="Z26">
        <v>2</v>
      </c>
      <c r="AA26">
        <v>7</v>
      </c>
      <c r="AB26">
        <v>0</v>
      </c>
    </row>
    <row r="27" spans="1:29" x14ac:dyDescent="0.35">
      <c r="A27">
        <v>111</v>
      </c>
      <c r="B27" t="s">
        <v>559</v>
      </c>
      <c r="C27" t="s">
        <v>610</v>
      </c>
      <c r="D27" t="s">
        <v>441</v>
      </c>
      <c r="E27">
        <v>26</v>
      </c>
      <c r="F27">
        <v>2</v>
      </c>
      <c r="G27">
        <v>0</v>
      </c>
      <c r="H27">
        <v>3</v>
      </c>
      <c r="I27">
        <v>0</v>
      </c>
      <c r="J27" t="s">
        <v>477</v>
      </c>
      <c r="K27">
        <v>0</v>
      </c>
      <c r="L27">
        <v>2</v>
      </c>
      <c r="M27">
        <v>1</v>
      </c>
      <c r="N27" t="s">
        <v>477</v>
      </c>
      <c r="O27">
        <v>4</v>
      </c>
      <c r="P27">
        <v>0</v>
      </c>
      <c r="Q27">
        <v>2</v>
      </c>
      <c r="R27" t="s">
        <v>477</v>
      </c>
      <c r="S27" t="s">
        <v>477</v>
      </c>
      <c r="T27" t="s">
        <v>477</v>
      </c>
      <c r="U27" t="s">
        <v>477</v>
      </c>
      <c r="V27">
        <v>13</v>
      </c>
      <c r="W27">
        <v>24</v>
      </c>
      <c r="X27">
        <v>4</v>
      </c>
      <c r="Y27">
        <v>7</v>
      </c>
      <c r="Z27">
        <v>2</v>
      </c>
      <c r="AA27">
        <v>12</v>
      </c>
      <c r="AB27">
        <v>0</v>
      </c>
    </row>
    <row r="28" spans="1:29" x14ac:dyDescent="0.35">
      <c r="A28">
        <v>112</v>
      </c>
      <c r="B28" t="s">
        <v>559</v>
      </c>
      <c r="C28" t="s">
        <v>610</v>
      </c>
      <c r="D28" t="s">
        <v>441</v>
      </c>
      <c r="E28">
        <v>73</v>
      </c>
      <c r="F28">
        <v>2</v>
      </c>
      <c r="G28">
        <v>0</v>
      </c>
      <c r="H28">
        <v>2</v>
      </c>
      <c r="I28">
        <v>0</v>
      </c>
      <c r="J28" t="s">
        <v>477</v>
      </c>
      <c r="K28">
        <v>0</v>
      </c>
      <c r="L28">
        <v>4</v>
      </c>
      <c r="M28">
        <v>5</v>
      </c>
      <c r="N28" t="s">
        <v>477</v>
      </c>
      <c r="O28">
        <v>2</v>
      </c>
      <c r="P28">
        <v>0</v>
      </c>
      <c r="Q28">
        <v>7</v>
      </c>
      <c r="R28" t="s">
        <v>477</v>
      </c>
      <c r="S28" t="s">
        <v>477</v>
      </c>
      <c r="T28" t="s">
        <v>477</v>
      </c>
      <c r="U28" t="s">
        <v>477</v>
      </c>
      <c r="V28">
        <v>51</v>
      </c>
      <c r="W28">
        <v>62</v>
      </c>
      <c r="X28">
        <v>24</v>
      </c>
      <c r="Y28">
        <v>20</v>
      </c>
      <c r="Z28">
        <v>1</v>
      </c>
      <c r="AA28">
        <v>16</v>
      </c>
      <c r="AB28">
        <v>1</v>
      </c>
      <c r="AC28" t="s">
        <v>1149</v>
      </c>
    </row>
    <row r="29" spans="1:29" x14ac:dyDescent="0.35">
      <c r="A29">
        <v>113</v>
      </c>
      <c r="B29" t="s">
        <v>559</v>
      </c>
      <c r="C29" t="s">
        <v>610</v>
      </c>
      <c r="D29" t="s">
        <v>441</v>
      </c>
      <c r="E29">
        <v>12</v>
      </c>
      <c r="F29">
        <v>1</v>
      </c>
      <c r="G29">
        <v>0</v>
      </c>
      <c r="H29">
        <v>0</v>
      </c>
      <c r="I29">
        <v>0</v>
      </c>
      <c r="J29" t="s">
        <v>477</v>
      </c>
      <c r="K29">
        <v>1</v>
      </c>
      <c r="L29">
        <v>1</v>
      </c>
      <c r="M29">
        <v>1</v>
      </c>
      <c r="N29" t="s">
        <v>477</v>
      </c>
      <c r="O29">
        <v>0</v>
      </c>
      <c r="P29">
        <v>0</v>
      </c>
      <c r="Q29">
        <v>0</v>
      </c>
      <c r="R29" t="s">
        <v>477</v>
      </c>
      <c r="S29" t="s">
        <v>477</v>
      </c>
      <c r="T29" t="s">
        <v>477</v>
      </c>
      <c r="U29" t="s">
        <v>477</v>
      </c>
      <c r="V29">
        <v>8</v>
      </c>
      <c r="W29">
        <v>23</v>
      </c>
      <c r="X29">
        <v>6</v>
      </c>
      <c r="Y29">
        <v>5</v>
      </c>
      <c r="Z29">
        <v>4</v>
      </c>
      <c r="AA29">
        <v>8</v>
      </c>
      <c r="AB29">
        <v>0</v>
      </c>
    </row>
    <row r="30" spans="1:29" x14ac:dyDescent="0.35">
      <c r="A30">
        <v>114</v>
      </c>
      <c r="B30" t="s">
        <v>559</v>
      </c>
      <c r="C30" t="s">
        <v>610</v>
      </c>
      <c r="D30" t="s">
        <v>441</v>
      </c>
      <c r="E30">
        <v>16</v>
      </c>
      <c r="F30">
        <v>1</v>
      </c>
      <c r="G30">
        <v>1</v>
      </c>
      <c r="H30">
        <v>0</v>
      </c>
      <c r="I30">
        <v>0</v>
      </c>
      <c r="J30" t="s">
        <v>477</v>
      </c>
      <c r="K30">
        <v>0</v>
      </c>
      <c r="L30">
        <v>0</v>
      </c>
      <c r="M30">
        <v>3</v>
      </c>
      <c r="N30" t="s">
        <v>477</v>
      </c>
      <c r="O30">
        <v>2</v>
      </c>
      <c r="P30">
        <v>0</v>
      </c>
      <c r="Q30">
        <v>4</v>
      </c>
      <c r="R30" t="s">
        <v>477</v>
      </c>
      <c r="S30" t="s">
        <v>477</v>
      </c>
      <c r="T30" t="s">
        <v>477</v>
      </c>
      <c r="U30" t="s">
        <v>477</v>
      </c>
      <c r="V30">
        <v>5</v>
      </c>
      <c r="W30">
        <v>34</v>
      </c>
      <c r="X30">
        <v>13</v>
      </c>
      <c r="Y30">
        <v>16</v>
      </c>
      <c r="Z30">
        <v>0</v>
      </c>
      <c r="AA30">
        <v>5</v>
      </c>
      <c r="AB30">
        <v>0</v>
      </c>
    </row>
    <row r="31" spans="1:29" x14ac:dyDescent="0.35">
      <c r="A31">
        <v>115</v>
      </c>
      <c r="B31" t="s">
        <v>559</v>
      </c>
      <c r="C31" t="s">
        <v>610</v>
      </c>
      <c r="D31" t="s">
        <v>441</v>
      </c>
      <c r="E31">
        <v>12</v>
      </c>
      <c r="F31">
        <v>0</v>
      </c>
      <c r="G31">
        <v>0</v>
      </c>
      <c r="H31">
        <v>2</v>
      </c>
      <c r="I31">
        <v>0</v>
      </c>
      <c r="J31" t="s">
        <v>477</v>
      </c>
      <c r="K31">
        <v>0</v>
      </c>
      <c r="L31">
        <v>0</v>
      </c>
      <c r="M31">
        <v>0</v>
      </c>
      <c r="N31" t="s">
        <v>477</v>
      </c>
      <c r="O31">
        <v>0</v>
      </c>
      <c r="P31">
        <v>0</v>
      </c>
      <c r="Q31">
        <v>4</v>
      </c>
      <c r="R31" t="s">
        <v>477</v>
      </c>
      <c r="S31" t="s">
        <v>477</v>
      </c>
      <c r="T31" t="s">
        <v>477</v>
      </c>
      <c r="U31" t="s">
        <v>477</v>
      </c>
      <c r="V31">
        <v>6</v>
      </c>
      <c r="W31">
        <v>18</v>
      </c>
      <c r="X31">
        <v>8</v>
      </c>
      <c r="Y31">
        <v>6</v>
      </c>
      <c r="Z31">
        <v>0</v>
      </c>
      <c r="AA31">
        <v>2</v>
      </c>
      <c r="AB31">
        <v>2</v>
      </c>
    </row>
    <row r="32" spans="1:29" x14ac:dyDescent="0.35">
      <c r="A32" s="14">
        <v>101</v>
      </c>
      <c r="B32" s="14" t="s">
        <v>610</v>
      </c>
      <c r="C32" s="14" t="s">
        <v>723</v>
      </c>
      <c r="D32" t="s">
        <v>441</v>
      </c>
      <c r="E32" s="9">
        <f>F32+G32+H32+I32+K32+L32+M32+O32+P32+Q32+V32</f>
        <v>4</v>
      </c>
      <c r="F32">
        <v>1</v>
      </c>
      <c r="G32">
        <v>0</v>
      </c>
      <c r="H32">
        <v>0</v>
      </c>
      <c r="I32">
        <v>0</v>
      </c>
      <c r="J32" t="s">
        <v>477</v>
      </c>
      <c r="K32">
        <v>0</v>
      </c>
      <c r="L32">
        <v>0</v>
      </c>
      <c r="M32">
        <v>1</v>
      </c>
      <c r="N32" t="s">
        <v>477</v>
      </c>
      <c r="O32">
        <v>1</v>
      </c>
      <c r="P32">
        <v>0</v>
      </c>
      <c r="Q32" s="9">
        <f>R32+S32+T32</f>
        <v>0</v>
      </c>
      <c r="R32">
        <v>0</v>
      </c>
      <c r="S32">
        <v>0</v>
      </c>
      <c r="T32">
        <v>0</v>
      </c>
      <c r="U32" t="s">
        <v>477</v>
      </c>
      <c r="V32">
        <v>1</v>
      </c>
      <c r="W32" s="9">
        <f>X32+Y32+Z32+AA32+AB32</f>
        <v>7</v>
      </c>
      <c r="X32">
        <v>2</v>
      </c>
      <c r="Y32">
        <v>2</v>
      </c>
      <c r="Z32">
        <v>0</v>
      </c>
      <c r="AA32">
        <v>2</v>
      </c>
      <c r="AB32">
        <v>1</v>
      </c>
    </row>
    <row r="33" spans="1:28" x14ac:dyDescent="0.35">
      <c r="A33" s="14">
        <v>102</v>
      </c>
      <c r="B33" s="14" t="s">
        <v>610</v>
      </c>
      <c r="C33" s="14" t="s">
        <v>723</v>
      </c>
      <c r="D33" t="s">
        <v>441</v>
      </c>
      <c r="E33" s="9">
        <f>F33+G33+H33+I33+K33+L33+M33+O33+P33+Q33+V33</f>
        <v>24</v>
      </c>
      <c r="F33">
        <v>0</v>
      </c>
      <c r="G33">
        <v>4</v>
      </c>
      <c r="H33">
        <v>0</v>
      </c>
      <c r="I33">
        <v>0</v>
      </c>
      <c r="J33" t="s">
        <v>477</v>
      </c>
      <c r="K33">
        <v>0</v>
      </c>
      <c r="L33">
        <v>2</v>
      </c>
      <c r="M33">
        <v>3</v>
      </c>
      <c r="N33" t="s">
        <v>477</v>
      </c>
      <c r="O33">
        <v>3</v>
      </c>
      <c r="P33">
        <v>1</v>
      </c>
      <c r="Q33" s="9">
        <f t="shared" ref="Q33:Q61" si="0">R33+S33+T33</f>
        <v>3</v>
      </c>
      <c r="R33">
        <v>1</v>
      </c>
      <c r="S33">
        <v>1</v>
      </c>
      <c r="T33">
        <v>1</v>
      </c>
      <c r="U33" t="s">
        <v>477</v>
      </c>
      <c r="V33">
        <v>8</v>
      </c>
      <c r="W33" s="9">
        <f>X33+Y33+Z33+AA33+AB33</f>
        <v>27</v>
      </c>
      <c r="X33">
        <v>8</v>
      </c>
      <c r="Y33">
        <v>11</v>
      </c>
      <c r="Z33">
        <v>0</v>
      </c>
      <c r="AA33">
        <v>6</v>
      </c>
      <c r="AB33">
        <v>2</v>
      </c>
    </row>
    <row r="34" spans="1:28" x14ac:dyDescent="0.35">
      <c r="A34" s="14">
        <v>103</v>
      </c>
      <c r="B34" s="14" t="s">
        <v>610</v>
      </c>
      <c r="C34" s="14" t="s">
        <v>723</v>
      </c>
      <c r="D34" t="s">
        <v>441</v>
      </c>
      <c r="E34" s="9">
        <f t="shared" ref="E34:E46" si="1">F34+G34+H34+I34+K34+L34+M34+O34+P34+Q34+V34</f>
        <v>12</v>
      </c>
      <c r="F34">
        <v>1</v>
      </c>
      <c r="G34">
        <v>0</v>
      </c>
      <c r="H34">
        <v>1</v>
      </c>
      <c r="I34">
        <v>0</v>
      </c>
      <c r="J34" t="s">
        <v>477</v>
      </c>
      <c r="K34">
        <v>0</v>
      </c>
      <c r="L34">
        <v>1</v>
      </c>
      <c r="M34">
        <v>1</v>
      </c>
      <c r="N34" t="s">
        <v>477</v>
      </c>
      <c r="O34">
        <v>0</v>
      </c>
      <c r="P34">
        <v>1</v>
      </c>
      <c r="Q34" s="9">
        <f t="shared" si="0"/>
        <v>0</v>
      </c>
      <c r="R34">
        <v>0</v>
      </c>
      <c r="S34">
        <v>0</v>
      </c>
      <c r="T34">
        <v>0</v>
      </c>
      <c r="U34" t="s">
        <v>477</v>
      </c>
      <c r="V34">
        <v>7</v>
      </c>
      <c r="W34" s="9">
        <f t="shared" ref="W34:W61" si="2">X34+Y34+Z34+AA34+AB34</f>
        <v>30</v>
      </c>
      <c r="X34">
        <v>14</v>
      </c>
      <c r="Y34">
        <v>9</v>
      </c>
      <c r="Z34">
        <v>0</v>
      </c>
      <c r="AA34">
        <v>7</v>
      </c>
      <c r="AB34">
        <v>0</v>
      </c>
    </row>
    <row r="35" spans="1:28" x14ac:dyDescent="0.35">
      <c r="A35" s="14">
        <v>104</v>
      </c>
      <c r="B35" s="14" t="s">
        <v>610</v>
      </c>
      <c r="C35" s="14" t="s">
        <v>723</v>
      </c>
      <c r="D35" t="s">
        <v>441</v>
      </c>
      <c r="E35" s="9">
        <f t="shared" si="1"/>
        <v>24</v>
      </c>
      <c r="F35">
        <v>0</v>
      </c>
      <c r="G35">
        <v>1</v>
      </c>
      <c r="H35">
        <v>2</v>
      </c>
      <c r="I35">
        <v>0</v>
      </c>
      <c r="J35" t="s">
        <v>477</v>
      </c>
      <c r="K35">
        <v>0</v>
      </c>
      <c r="L35">
        <v>4</v>
      </c>
      <c r="M35">
        <v>3</v>
      </c>
      <c r="N35" t="s">
        <v>477</v>
      </c>
      <c r="O35">
        <v>2</v>
      </c>
      <c r="P35">
        <v>0</v>
      </c>
      <c r="Q35" s="9">
        <f t="shared" si="0"/>
        <v>4</v>
      </c>
      <c r="R35">
        <v>2</v>
      </c>
      <c r="S35">
        <v>1</v>
      </c>
      <c r="T35">
        <v>1</v>
      </c>
      <c r="U35" t="s">
        <v>477</v>
      </c>
      <c r="V35">
        <v>8</v>
      </c>
      <c r="W35" s="9">
        <f t="shared" si="2"/>
        <v>43</v>
      </c>
      <c r="X35">
        <v>13</v>
      </c>
      <c r="Y35">
        <v>11</v>
      </c>
      <c r="Z35">
        <v>2</v>
      </c>
      <c r="AA35">
        <v>17</v>
      </c>
      <c r="AB35">
        <v>0</v>
      </c>
    </row>
    <row r="36" spans="1:28" x14ac:dyDescent="0.35">
      <c r="A36" s="14">
        <v>105</v>
      </c>
      <c r="B36" s="14" t="s">
        <v>610</v>
      </c>
      <c r="C36" s="14" t="s">
        <v>723</v>
      </c>
      <c r="D36" t="s">
        <v>441</v>
      </c>
      <c r="E36" s="9">
        <f t="shared" si="1"/>
        <v>25</v>
      </c>
      <c r="F36">
        <v>0</v>
      </c>
      <c r="G36">
        <v>2</v>
      </c>
      <c r="H36">
        <v>0</v>
      </c>
      <c r="I36">
        <v>0</v>
      </c>
      <c r="J36" t="s">
        <v>477</v>
      </c>
      <c r="K36">
        <v>0</v>
      </c>
      <c r="L36">
        <v>2</v>
      </c>
      <c r="M36">
        <v>2</v>
      </c>
      <c r="N36" t="s">
        <v>477</v>
      </c>
      <c r="O36">
        <v>4</v>
      </c>
      <c r="P36">
        <v>0</v>
      </c>
      <c r="Q36" s="9">
        <f t="shared" si="0"/>
        <v>5</v>
      </c>
      <c r="R36">
        <v>1</v>
      </c>
      <c r="S36">
        <v>2</v>
      </c>
      <c r="T36">
        <v>2</v>
      </c>
      <c r="U36" t="s">
        <v>477</v>
      </c>
      <c r="V36">
        <v>10</v>
      </c>
      <c r="W36" s="9">
        <f t="shared" si="2"/>
        <v>32</v>
      </c>
      <c r="X36">
        <v>16</v>
      </c>
      <c r="Y36">
        <v>9</v>
      </c>
      <c r="Z36">
        <v>3</v>
      </c>
      <c r="AA36">
        <v>4</v>
      </c>
      <c r="AB36">
        <v>0</v>
      </c>
    </row>
    <row r="37" spans="1:28" x14ac:dyDescent="0.35">
      <c r="A37" s="14">
        <v>106</v>
      </c>
      <c r="B37" s="14" t="s">
        <v>610</v>
      </c>
      <c r="C37" s="14" t="s">
        <v>723</v>
      </c>
      <c r="D37" t="s">
        <v>441</v>
      </c>
      <c r="E37" s="9">
        <f t="shared" si="1"/>
        <v>6</v>
      </c>
      <c r="F37">
        <v>1</v>
      </c>
      <c r="G37">
        <v>3</v>
      </c>
      <c r="H37">
        <v>1</v>
      </c>
      <c r="I37">
        <v>0</v>
      </c>
      <c r="J37" t="s">
        <v>477</v>
      </c>
      <c r="K37">
        <v>0</v>
      </c>
      <c r="L37">
        <v>0</v>
      </c>
      <c r="M37">
        <v>0</v>
      </c>
      <c r="N37" t="s">
        <v>477</v>
      </c>
      <c r="O37">
        <v>0</v>
      </c>
      <c r="P37">
        <v>0</v>
      </c>
      <c r="Q37" s="9">
        <f t="shared" si="0"/>
        <v>1</v>
      </c>
      <c r="R37">
        <v>1</v>
      </c>
      <c r="S37">
        <v>0</v>
      </c>
      <c r="T37">
        <v>0</v>
      </c>
      <c r="U37" t="s">
        <v>477</v>
      </c>
      <c r="V37">
        <v>0</v>
      </c>
      <c r="W37" s="9">
        <f t="shared" si="2"/>
        <v>21</v>
      </c>
      <c r="X37">
        <v>7</v>
      </c>
      <c r="Y37">
        <v>11</v>
      </c>
      <c r="Z37">
        <v>0</v>
      </c>
      <c r="AA37">
        <v>3</v>
      </c>
      <c r="AB37">
        <v>0</v>
      </c>
    </row>
    <row r="38" spans="1:28" x14ac:dyDescent="0.35">
      <c r="A38" s="14">
        <v>107</v>
      </c>
      <c r="B38" s="14" t="s">
        <v>610</v>
      </c>
      <c r="C38" s="14" t="s">
        <v>723</v>
      </c>
      <c r="D38" t="s">
        <v>441</v>
      </c>
      <c r="E38" s="9">
        <f t="shared" si="1"/>
        <v>7</v>
      </c>
      <c r="F38">
        <v>1</v>
      </c>
      <c r="G38">
        <v>0</v>
      </c>
      <c r="H38">
        <v>0</v>
      </c>
      <c r="I38">
        <v>0</v>
      </c>
      <c r="J38" t="s">
        <v>477</v>
      </c>
      <c r="K38">
        <v>0</v>
      </c>
      <c r="L38">
        <v>0</v>
      </c>
      <c r="M38">
        <v>0</v>
      </c>
      <c r="N38" t="s">
        <v>477</v>
      </c>
      <c r="O38">
        <v>1</v>
      </c>
      <c r="P38">
        <v>1</v>
      </c>
      <c r="Q38" s="9">
        <f t="shared" si="0"/>
        <v>0</v>
      </c>
      <c r="R38">
        <v>0</v>
      </c>
      <c r="S38">
        <v>0</v>
      </c>
      <c r="T38">
        <v>0</v>
      </c>
      <c r="U38" t="s">
        <v>477</v>
      </c>
      <c r="V38">
        <v>4</v>
      </c>
      <c r="W38" s="9">
        <f t="shared" si="2"/>
        <v>9</v>
      </c>
      <c r="X38">
        <v>4</v>
      </c>
      <c r="Y38">
        <v>3</v>
      </c>
      <c r="Z38">
        <v>0</v>
      </c>
      <c r="AA38">
        <v>2</v>
      </c>
      <c r="AB38">
        <v>0</v>
      </c>
    </row>
    <row r="39" spans="1:28" x14ac:dyDescent="0.35">
      <c r="A39" s="14">
        <v>108</v>
      </c>
      <c r="B39" s="14" t="s">
        <v>610</v>
      </c>
      <c r="C39" s="14" t="s">
        <v>723</v>
      </c>
      <c r="D39" t="s">
        <v>441</v>
      </c>
      <c r="E39" s="9">
        <f t="shared" si="1"/>
        <v>7</v>
      </c>
      <c r="F39">
        <v>0</v>
      </c>
      <c r="G39">
        <v>0</v>
      </c>
      <c r="H39">
        <v>0</v>
      </c>
      <c r="I39">
        <v>0</v>
      </c>
      <c r="J39" t="s">
        <v>477</v>
      </c>
      <c r="K39">
        <v>0</v>
      </c>
      <c r="L39">
        <v>0</v>
      </c>
      <c r="M39">
        <v>3</v>
      </c>
      <c r="N39" t="s">
        <v>477</v>
      </c>
      <c r="O39">
        <v>1</v>
      </c>
      <c r="P39">
        <v>0</v>
      </c>
      <c r="Q39" s="9">
        <f t="shared" si="0"/>
        <v>0</v>
      </c>
      <c r="R39">
        <v>0</v>
      </c>
      <c r="S39">
        <v>0</v>
      </c>
      <c r="T39">
        <v>0</v>
      </c>
      <c r="U39" t="s">
        <v>477</v>
      </c>
      <c r="V39">
        <v>3</v>
      </c>
      <c r="W39" s="9">
        <f t="shared" si="2"/>
        <v>28</v>
      </c>
      <c r="X39">
        <v>7</v>
      </c>
      <c r="Y39">
        <v>19</v>
      </c>
      <c r="Z39">
        <v>2</v>
      </c>
      <c r="AA39">
        <v>0</v>
      </c>
      <c r="AB39">
        <v>0</v>
      </c>
    </row>
    <row r="40" spans="1:28" x14ac:dyDescent="0.35">
      <c r="A40" s="14">
        <v>109</v>
      </c>
      <c r="B40" s="14" t="s">
        <v>610</v>
      </c>
      <c r="C40" s="14" t="s">
        <v>723</v>
      </c>
      <c r="D40" t="s">
        <v>441</v>
      </c>
      <c r="E40" s="9">
        <f t="shared" si="1"/>
        <v>9</v>
      </c>
      <c r="F40">
        <v>0</v>
      </c>
      <c r="G40">
        <v>0</v>
      </c>
      <c r="H40">
        <v>0</v>
      </c>
      <c r="I40">
        <v>0</v>
      </c>
      <c r="J40" t="s">
        <v>477</v>
      </c>
      <c r="K40">
        <v>0</v>
      </c>
      <c r="L40">
        <v>4</v>
      </c>
      <c r="M40">
        <v>0</v>
      </c>
      <c r="N40" t="s">
        <v>477</v>
      </c>
      <c r="O40">
        <v>0</v>
      </c>
      <c r="P40">
        <v>1</v>
      </c>
      <c r="Q40" s="9">
        <f t="shared" si="0"/>
        <v>2</v>
      </c>
      <c r="R40">
        <v>2</v>
      </c>
      <c r="S40">
        <v>0</v>
      </c>
      <c r="T40">
        <v>0</v>
      </c>
      <c r="U40" t="s">
        <v>477</v>
      </c>
      <c r="V40">
        <v>2</v>
      </c>
      <c r="W40" s="9">
        <f t="shared" si="2"/>
        <v>14</v>
      </c>
      <c r="X40">
        <v>6</v>
      </c>
      <c r="Y40">
        <v>7</v>
      </c>
      <c r="Z40">
        <v>0</v>
      </c>
      <c r="AA40">
        <v>0</v>
      </c>
      <c r="AB40">
        <v>1</v>
      </c>
    </row>
    <row r="41" spans="1:28" x14ac:dyDescent="0.35">
      <c r="A41" s="14">
        <v>110</v>
      </c>
      <c r="B41" s="14" t="s">
        <v>610</v>
      </c>
      <c r="C41" s="14" t="s">
        <v>723</v>
      </c>
      <c r="D41" t="s">
        <v>441</v>
      </c>
      <c r="E41" s="9">
        <f t="shared" si="1"/>
        <v>7</v>
      </c>
      <c r="F41">
        <v>0</v>
      </c>
      <c r="G41">
        <v>0</v>
      </c>
      <c r="H41">
        <v>0</v>
      </c>
      <c r="I41">
        <v>0</v>
      </c>
      <c r="J41" t="s">
        <v>477</v>
      </c>
      <c r="K41">
        <v>0</v>
      </c>
      <c r="L41">
        <v>0</v>
      </c>
      <c r="M41">
        <v>1</v>
      </c>
      <c r="N41" t="s">
        <v>477</v>
      </c>
      <c r="O41">
        <v>0</v>
      </c>
      <c r="P41">
        <v>0</v>
      </c>
      <c r="Q41" s="9">
        <f t="shared" si="0"/>
        <v>1</v>
      </c>
      <c r="R41">
        <v>0</v>
      </c>
      <c r="S41">
        <v>0</v>
      </c>
      <c r="T41">
        <v>1</v>
      </c>
      <c r="U41" t="s">
        <v>477</v>
      </c>
      <c r="V41">
        <v>5</v>
      </c>
      <c r="W41" s="9">
        <f t="shared" si="2"/>
        <v>24</v>
      </c>
      <c r="X41">
        <v>6</v>
      </c>
      <c r="Y41">
        <v>13</v>
      </c>
      <c r="Z41">
        <v>0</v>
      </c>
      <c r="AA41">
        <v>3</v>
      </c>
      <c r="AB41">
        <v>2</v>
      </c>
    </row>
    <row r="42" spans="1:28" x14ac:dyDescent="0.35">
      <c r="A42" s="14">
        <v>111</v>
      </c>
      <c r="B42" s="14" t="s">
        <v>610</v>
      </c>
      <c r="C42" s="14" t="s">
        <v>723</v>
      </c>
      <c r="D42" t="s">
        <v>441</v>
      </c>
      <c r="E42" s="9">
        <f t="shared" si="1"/>
        <v>19</v>
      </c>
      <c r="F42">
        <v>0</v>
      </c>
      <c r="G42">
        <v>0</v>
      </c>
      <c r="H42">
        <v>0</v>
      </c>
      <c r="I42">
        <v>0</v>
      </c>
      <c r="J42" t="s">
        <v>477</v>
      </c>
      <c r="K42">
        <v>0</v>
      </c>
      <c r="L42">
        <v>3</v>
      </c>
      <c r="M42">
        <v>3</v>
      </c>
      <c r="N42" t="s">
        <v>477</v>
      </c>
      <c r="O42">
        <v>0</v>
      </c>
      <c r="P42">
        <v>1</v>
      </c>
      <c r="Q42" s="9">
        <f t="shared" si="0"/>
        <v>4</v>
      </c>
      <c r="R42">
        <v>2</v>
      </c>
      <c r="S42">
        <v>0</v>
      </c>
      <c r="T42">
        <v>2</v>
      </c>
      <c r="U42" t="s">
        <v>477</v>
      </c>
      <c r="V42">
        <v>8</v>
      </c>
      <c r="W42" s="9">
        <f t="shared" si="2"/>
        <v>47</v>
      </c>
      <c r="X42">
        <v>20</v>
      </c>
      <c r="Y42">
        <v>20</v>
      </c>
      <c r="Z42">
        <v>1</v>
      </c>
      <c r="AA42">
        <v>4</v>
      </c>
      <c r="AB42">
        <v>2</v>
      </c>
    </row>
    <row r="43" spans="1:28" x14ac:dyDescent="0.35">
      <c r="A43" s="14">
        <v>112</v>
      </c>
      <c r="B43" s="14" t="s">
        <v>610</v>
      </c>
      <c r="C43" s="14" t="s">
        <v>723</v>
      </c>
      <c r="D43" t="s">
        <v>441</v>
      </c>
      <c r="E43" s="9">
        <f t="shared" si="1"/>
        <v>24</v>
      </c>
      <c r="F43">
        <v>0</v>
      </c>
      <c r="G43">
        <v>1</v>
      </c>
      <c r="H43">
        <v>0</v>
      </c>
      <c r="I43">
        <v>0</v>
      </c>
      <c r="J43" t="s">
        <v>477</v>
      </c>
      <c r="K43">
        <v>0</v>
      </c>
      <c r="L43">
        <v>4</v>
      </c>
      <c r="M43">
        <v>2</v>
      </c>
      <c r="N43" t="s">
        <v>477</v>
      </c>
      <c r="O43">
        <v>2</v>
      </c>
      <c r="P43">
        <v>1</v>
      </c>
      <c r="Q43" s="9">
        <f t="shared" si="0"/>
        <v>1</v>
      </c>
      <c r="R43">
        <v>0</v>
      </c>
      <c r="S43">
        <v>1</v>
      </c>
      <c r="T43">
        <v>0</v>
      </c>
      <c r="U43" t="s">
        <v>477</v>
      </c>
      <c r="V43">
        <v>13</v>
      </c>
      <c r="W43" s="9">
        <f t="shared" si="2"/>
        <v>74</v>
      </c>
      <c r="X43">
        <v>30</v>
      </c>
      <c r="Y43">
        <v>22</v>
      </c>
      <c r="Z43">
        <v>0</v>
      </c>
      <c r="AA43">
        <v>20</v>
      </c>
      <c r="AB43">
        <v>2</v>
      </c>
    </row>
    <row r="44" spans="1:28" x14ac:dyDescent="0.35">
      <c r="A44" s="14">
        <v>113</v>
      </c>
      <c r="B44" s="14" t="s">
        <v>610</v>
      </c>
      <c r="C44" s="14" t="s">
        <v>723</v>
      </c>
      <c r="D44" t="s">
        <v>441</v>
      </c>
      <c r="E44" s="9">
        <f t="shared" si="1"/>
        <v>44</v>
      </c>
      <c r="F44">
        <v>1</v>
      </c>
      <c r="G44">
        <v>2</v>
      </c>
      <c r="H44">
        <v>0</v>
      </c>
      <c r="I44">
        <v>0</v>
      </c>
      <c r="J44" t="s">
        <v>477</v>
      </c>
      <c r="K44">
        <v>0</v>
      </c>
      <c r="L44">
        <v>6</v>
      </c>
      <c r="M44">
        <v>0</v>
      </c>
      <c r="N44" t="s">
        <v>477</v>
      </c>
      <c r="O44">
        <v>0</v>
      </c>
      <c r="P44">
        <v>0</v>
      </c>
      <c r="Q44" s="9">
        <f t="shared" si="0"/>
        <v>4</v>
      </c>
      <c r="R44">
        <v>3</v>
      </c>
      <c r="S44">
        <v>1</v>
      </c>
      <c r="T44">
        <v>0</v>
      </c>
      <c r="U44" t="s">
        <v>477</v>
      </c>
      <c r="V44">
        <v>31</v>
      </c>
      <c r="W44" s="9">
        <f t="shared" si="2"/>
        <v>46</v>
      </c>
      <c r="X44">
        <v>16</v>
      </c>
      <c r="Y44">
        <v>17</v>
      </c>
      <c r="Z44">
        <v>0</v>
      </c>
      <c r="AA44">
        <v>12</v>
      </c>
      <c r="AB44">
        <v>1</v>
      </c>
    </row>
    <row r="45" spans="1:28" x14ac:dyDescent="0.35">
      <c r="A45" s="14">
        <v>114</v>
      </c>
      <c r="B45" s="14" t="s">
        <v>610</v>
      </c>
      <c r="C45" s="14" t="s">
        <v>723</v>
      </c>
      <c r="D45" t="s">
        <v>441</v>
      </c>
      <c r="E45" s="9">
        <f t="shared" si="1"/>
        <v>14</v>
      </c>
      <c r="F45">
        <v>0</v>
      </c>
      <c r="G45">
        <v>0</v>
      </c>
      <c r="H45">
        <v>0</v>
      </c>
      <c r="I45">
        <v>0</v>
      </c>
      <c r="J45" t="s">
        <v>477</v>
      </c>
      <c r="K45">
        <v>0</v>
      </c>
      <c r="L45">
        <v>1</v>
      </c>
      <c r="M45">
        <v>1</v>
      </c>
      <c r="N45" t="s">
        <v>477</v>
      </c>
      <c r="O45">
        <v>2</v>
      </c>
      <c r="P45">
        <v>0</v>
      </c>
      <c r="Q45" s="9">
        <f t="shared" si="0"/>
        <v>3</v>
      </c>
      <c r="R45">
        <v>2</v>
      </c>
      <c r="S45">
        <v>0</v>
      </c>
      <c r="T45">
        <v>1</v>
      </c>
      <c r="U45" t="s">
        <v>477</v>
      </c>
      <c r="V45">
        <v>7</v>
      </c>
      <c r="W45" s="9">
        <f t="shared" si="2"/>
        <v>19</v>
      </c>
      <c r="X45">
        <v>5</v>
      </c>
      <c r="Y45">
        <v>10</v>
      </c>
      <c r="Z45">
        <v>0</v>
      </c>
      <c r="AA45">
        <v>4</v>
      </c>
      <c r="AB45">
        <v>0</v>
      </c>
    </row>
    <row r="46" spans="1:28" x14ac:dyDescent="0.35">
      <c r="A46" s="14">
        <v>115</v>
      </c>
      <c r="B46" s="14" t="s">
        <v>610</v>
      </c>
      <c r="C46" s="14" t="s">
        <v>723</v>
      </c>
      <c r="D46" t="s">
        <v>441</v>
      </c>
      <c r="E46" s="9">
        <f t="shared" si="1"/>
        <v>9</v>
      </c>
      <c r="F46">
        <v>0</v>
      </c>
      <c r="G46">
        <v>1</v>
      </c>
      <c r="H46">
        <v>0</v>
      </c>
      <c r="I46">
        <v>0</v>
      </c>
      <c r="J46" t="s">
        <v>477</v>
      </c>
      <c r="K46">
        <v>0</v>
      </c>
      <c r="L46">
        <v>1</v>
      </c>
      <c r="M46">
        <v>1</v>
      </c>
      <c r="N46" t="s">
        <v>477</v>
      </c>
      <c r="O46">
        <v>1</v>
      </c>
      <c r="P46">
        <v>0</v>
      </c>
      <c r="Q46" s="9">
        <f t="shared" si="0"/>
        <v>3</v>
      </c>
      <c r="R46">
        <v>2</v>
      </c>
      <c r="S46">
        <v>1</v>
      </c>
      <c r="T46">
        <v>0</v>
      </c>
      <c r="U46" t="s">
        <v>477</v>
      </c>
      <c r="V46">
        <v>2</v>
      </c>
      <c r="W46" s="9">
        <f t="shared" si="2"/>
        <v>21</v>
      </c>
      <c r="X46">
        <v>10</v>
      </c>
      <c r="Y46">
        <v>8</v>
      </c>
      <c r="Z46">
        <v>0</v>
      </c>
      <c r="AA46">
        <v>0</v>
      </c>
      <c r="AB46">
        <v>3</v>
      </c>
    </row>
    <row r="47" spans="1:28" x14ac:dyDescent="0.35">
      <c r="A47">
        <v>101</v>
      </c>
      <c r="B47" t="s">
        <v>723</v>
      </c>
      <c r="C47" t="s">
        <v>685</v>
      </c>
      <c r="D47" t="s">
        <v>442</v>
      </c>
      <c r="E47" s="13">
        <f>F47+G47+H47+I47+J47+K47+L47+M47+N47+O47+P47+Q47+U47+V47</f>
        <v>7</v>
      </c>
      <c r="F47">
        <v>0</v>
      </c>
      <c r="G47">
        <v>0</v>
      </c>
      <c r="H47">
        <v>0</v>
      </c>
      <c r="I47">
        <v>0</v>
      </c>
      <c r="J47">
        <v>1</v>
      </c>
      <c r="K47">
        <v>0</v>
      </c>
      <c r="L47">
        <v>2</v>
      </c>
      <c r="M47">
        <v>1</v>
      </c>
      <c r="N47">
        <v>0</v>
      </c>
      <c r="O47">
        <v>0</v>
      </c>
      <c r="P47">
        <v>0</v>
      </c>
      <c r="Q47" s="9">
        <f t="shared" si="0"/>
        <v>1</v>
      </c>
      <c r="R47">
        <v>1</v>
      </c>
      <c r="S47">
        <v>0</v>
      </c>
      <c r="T47">
        <v>0</v>
      </c>
      <c r="U47">
        <v>2</v>
      </c>
      <c r="V47">
        <v>0</v>
      </c>
      <c r="W47" s="9">
        <f t="shared" si="2"/>
        <v>3</v>
      </c>
      <c r="X47">
        <v>2</v>
      </c>
      <c r="Y47">
        <v>1</v>
      </c>
      <c r="Z47">
        <v>0</v>
      </c>
      <c r="AA47">
        <v>0</v>
      </c>
      <c r="AB47">
        <v>0</v>
      </c>
    </row>
    <row r="48" spans="1:28" x14ac:dyDescent="0.35">
      <c r="A48">
        <v>102</v>
      </c>
      <c r="B48" t="s">
        <v>723</v>
      </c>
      <c r="C48" t="s">
        <v>685</v>
      </c>
      <c r="D48" t="s">
        <v>442</v>
      </c>
      <c r="E48" s="13">
        <f t="shared" ref="E48:E61" si="3">F48+G48+H48+I48+J48+K48+L48+M48+N48+O48+P48+Q48+U48+V48</f>
        <v>22</v>
      </c>
      <c r="F48">
        <v>0</v>
      </c>
      <c r="G48">
        <v>7</v>
      </c>
      <c r="H48">
        <v>1</v>
      </c>
      <c r="I48">
        <v>0</v>
      </c>
      <c r="J48">
        <v>0</v>
      </c>
      <c r="K48">
        <v>0</v>
      </c>
      <c r="L48">
        <v>2</v>
      </c>
      <c r="M48">
        <v>2</v>
      </c>
      <c r="N48">
        <v>0</v>
      </c>
      <c r="O48">
        <v>1</v>
      </c>
      <c r="P48">
        <v>1</v>
      </c>
      <c r="Q48" s="9">
        <f t="shared" si="0"/>
        <v>4</v>
      </c>
      <c r="R48">
        <v>1</v>
      </c>
      <c r="S48">
        <v>1</v>
      </c>
      <c r="T48">
        <v>2</v>
      </c>
      <c r="U48">
        <v>4</v>
      </c>
      <c r="V48">
        <v>0</v>
      </c>
      <c r="W48" s="9">
        <f t="shared" si="2"/>
        <v>9</v>
      </c>
      <c r="X48">
        <v>4</v>
      </c>
      <c r="Y48">
        <v>3</v>
      </c>
      <c r="Z48">
        <v>1</v>
      </c>
      <c r="AA48">
        <v>0</v>
      </c>
      <c r="AB48">
        <v>1</v>
      </c>
    </row>
    <row r="49" spans="1:29" x14ac:dyDescent="0.35">
      <c r="A49">
        <v>103</v>
      </c>
      <c r="B49" t="s">
        <v>723</v>
      </c>
      <c r="C49" t="s">
        <v>685</v>
      </c>
      <c r="D49" t="s">
        <v>442</v>
      </c>
      <c r="E49" s="13">
        <f t="shared" si="3"/>
        <v>31</v>
      </c>
      <c r="F49">
        <v>0</v>
      </c>
      <c r="G49">
        <v>0</v>
      </c>
      <c r="H49">
        <v>1</v>
      </c>
      <c r="I49">
        <v>0</v>
      </c>
      <c r="J49">
        <v>1</v>
      </c>
      <c r="K49">
        <v>2</v>
      </c>
      <c r="L49">
        <v>6</v>
      </c>
      <c r="M49">
        <v>0</v>
      </c>
      <c r="N49">
        <v>0</v>
      </c>
      <c r="O49">
        <v>3</v>
      </c>
      <c r="P49">
        <v>1</v>
      </c>
      <c r="Q49" s="9">
        <f t="shared" si="0"/>
        <v>7</v>
      </c>
      <c r="R49">
        <v>1</v>
      </c>
      <c r="S49">
        <v>2</v>
      </c>
      <c r="T49">
        <v>4</v>
      </c>
      <c r="U49">
        <v>10</v>
      </c>
      <c r="V49">
        <v>0</v>
      </c>
      <c r="W49" s="9">
        <f t="shared" si="2"/>
        <v>26</v>
      </c>
      <c r="X49">
        <v>19</v>
      </c>
      <c r="Y49">
        <v>6</v>
      </c>
      <c r="Z49">
        <v>1</v>
      </c>
      <c r="AA49">
        <v>0</v>
      </c>
      <c r="AB49">
        <v>0</v>
      </c>
    </row>
    <row r="50" spans="1:29" x14ac:dyDescent="0.35">
      <c r="A50">
        <v>104</v>
      </c>
      <c r="B50" t="s">
        <v>723</v>
      </c>
      <c r="C50" t="s">
        <v>685</v>
      </c>
      <c r="D50" t="s">
        <v>442</v>
      </c>
      <c r="E50" s="13">
        <f t="shared" si="3"/>
        <v>24</v>
      </c>
      <c r="F50">
        <v>0</v>
      </c>
      <c r="G50">
        <v>2</v>
      </c>
      <c r="H50">
        <v>2</v>
      </c>
      <c r="I50">
        <v>0</v>
      </c>
      <c r="J50">
        <v>0</v>
      </c>
      <c r="K50">
        <v>0</v>
      </c>
      <c r="L50">
        <v>3</v>
      </c>
      <c r="M50">
        <v>1</v>
      </c>
      <c r="N50">
        <v>1</v>
      </c>
      <c r="O50">
        <v>2</v>
      </c>
      <c r="P50">
        <v>0</v>
      </c>
      <c r="Q50" s="9">
        <f t="shared" si="0"/>
        <v>9</v>
      </c>
      <c r="R50">
        <v>5</v>
      </c>
      <c r="S50">
        <v>1</v>
      </c>
      <c r="T50">
        <v>3</v>
      </c>
      <c r="U50">
        <v>4</v>
      </c>
      <c r="V50">
        <v>0</v>
      </c>
      <c r="W50" s="9">
        <f t="shared" si="2"/>
        <v>63</v>
      </c>
      <c r="X50">
        <v>31</v>
      </c>
      <c r="Y50">
        <v>25</v>
      </c>
      <c r="Z50">
        <v>2</v>
      </c>
      <c r="AA50">
        <v>3</v>
      </c>
      <c r="AB50">
        <v>2</v>
      </c>
    </row>
    <row r="51" spans="1:29" x14ac:dyDescent="0.35">
      <c r="A51">
        <v>105</v>
      </c>
      <c r="B51" t="s">
        <v>723</v>
      </c>
      <c r="C51" t="s">
        <v>685</v>
      </c>
      <c r="D51" t="s">
        <v>442</v>
      </c>
      <c r="E51" s="13">
        <f t="shared" si="3"/>
        <v>30</v>
      </c>
      <c r="F51">
        <v>0</v>
      </c>
      <c r="G51">
        <v>3</v>
      </c>
      <c r="H51">
        <v>1</v>
      </c>
      <c r="I51">
        <v>0</v>
      </c>
      <c r="J51">
        <v>0</v>
      </c>
      <c r="K51">
        <v>0</v>
      </c>
      <c r="L51">
        <v>4</v>
      </c>
      <c r="M51">
        <v>0</v>
      </c>
      <c r="N51">
        <v>0</v>
      </c>
      <c r="O51">
        <v>1</v>
      </c>
      <c r="P51">
        <v>3</v>
      </c>
      <c r="Q51" s="9">
        <f t="shared" si="0"/>
        <v>13</v>
      </c>
      <c r="R51">
        <v>7</v>
      </c>
      <c r="S51">
        <v>0</v>
      </c>
      <c r="T51">
        <v>6</v>
      </c>
      <c r="U51">
        <v>4</v>
      </c>
      <c r="V51">
        <v>1</v>
      </c>
      <c r="W51" s="9">
        <f t="shared" si="2"/>
        <v>28</v>
      </c>
      <c r="X51">
        <v>16</v>
      </c>
      <c r="Y51">
        <v>11</v>
      </c>
      <c r="Z51">
        <v>0</v>
      </c>
      <c r="AA51">
        <v>0</v>
      </c>
      <c r="AB51">
        <v>1</v>
      </c>
    </row>
    <row r="52" spans="1:29" x14ac:dyDescent="0.35">
      <c r="A52">
        <v>106</v>
      </c>
      <c r="B52" t="s">
        <v>723</v>
      </c>
      <c r="C52" t="s">
        <v>685</v>
      </c>
      <c r="D52" t="s">
        <v>442</v>
      </c>
      <c r="E52" s="13">
        <f t="shared" si="3"/>
        <v>11</v>
      </c>
      <c r="F52">
        <v>0</v>
      </c>
      <c r="G52">
        <v>1</v>
      </c>
      <c r="H52">
        <v>0</v>
      </c>
      <c r="I52">
        <v>0</v>
      </c>
      <c r="J52">
        <v>0</v>
      </c>
      <c r="K52">
        <v>0</v>
      </c>
      <c r="L52">
        <v>2</v>
      </c>
      <c r="M52">
        <v>1</v>
      </c>
      <c r="N52">
        <v>0</v>
      </c>
      <c r="O52">
        <v>1</v>
      </c>
      <c r="P52">
        <v>0</v>
      </c>
      <c r="Q52" s="9">
        <f t="shared" si="0"/>
        <v>3</v>
      </c>
      <c r="R52">
        <v>2</v>
      </c>
      <c r="S52">
        <v>0</v>
      </c>
      <c r="T52">
        <v>1</v>
      </c>
      <c r="U52">
        <v>3</v>
      </c>
      <c r="V52">
        <v>0</v>
      </c>
      <c r="W52" s="9">
        <f t="shared" si="2"/>
        <v>16</v>
      </c>
      <c r="X52">
        <v>3</v>
      </c>
      <c r="Y52">
        <v>8</v>
      </c>
      <c r="Z52">
        <v>2</v>
      </c>
      <c r="AA52">
        <v>2</v>
      </c>
      <c r="AB52">
        <v>1</v>
      </c>
    </row>
    <row r="53" spans="1:29" x14ac:dyDescent="0.35">
      <c r="A53">
        <v>107</v>
      </c>
      <c r="B53" t="s">
        <v>723</v>
      </c>
      <c r="C53" t="s">
        <v>685</v>
      </c>
      <c r="D53" t="s">
        <v>442</v>
      </c>
      <c r="E53" s="13">
        <f t="shared" si="3"/>
        <v>16</v>
      </c>
      <c r="F53">
        <v>0</v>
      </c>
      <c r="G53">
        <v>1</v>
      </c>
      <c r="H53">
        <v>0</v>
      </c>
      <c r="I53">
        <v>0</v>
      </c>
      <c r="J53">
        <v>0</v>
      </c>
      <c r="K53">
        <v>0</v>
      </c>
      <c r="L53">
        <v>2</v>
      </c>
      <c r="M53">
        <v>0</v>
      </c>
      <c r="N53">
        <v>0</v>
      </c>
      <c r="O53">
        <v>0</v>
      </c>
      <c r="P53">
        <v>1</v>
      </c>
      <c r="Q53" s="9">
        <f t="shared" si="0"/>
        <v>3</v>
      </c>
      <c r="R53">
        <v>1</v>
      </c>
      <c r="S53">
        <v>0</v>
      </c>
      <c r="T53">
        <v>2</v>
      </c>
      <c r="U53">
        <v>7</v>
      </c>
      <c r="V53">
        <v>2</v>
      </c>
      <c r="W53" s="9">
        <f t="shared" si="2"/>
        <v>44</v>
      </c>
      <c r="X53">
        <v>16</v>
      </c>
      <c r="Y53">
        <v>25</v>
      </c>
      <c r="Z53">
        <v>0</v>
      </c>
      <c r="AA53">
        <v>2</v>
      </c>
      <c r="AB53">
        <v>1</v>
      </c>
      <c r="AC53" t="s">
        <v>1147</v>
      </c>
    </row>
    <row r="54" spans="1:29" x14ac:dyDescent="0.35">
      <c r="A54">
        <v>108</v>
      </c>
      <c r="B54" t="s">
        <v>723</v>
      </c>
      <c r="C54" t="s">
        <v>685</v>
      </c>
      <c r="D54" t="s">
        <v>442</v>
      </c>
      <c r="E54" s="13">
        <f t="shared" si="3"/>
        <v>14</v>
      </c>
      <c r="F54">
        <v>0</v>
      </c>
      <c r="G54">
        <v>1</v>
      </c>
      <c r="H54">
        <v>0</v>
      </c>
      <c r="I54">
        <v>0</v>
      </c>
      <c r="J54">
        <v>0</v>
      </c>
      <c r="K54">
        <v>0</v>
      </c>
      <c r="L54">
        <v>3</v>
      </c>
      <c r="M54">
        <v>0</v>
      </c>
      <c r="N54">
        <v>1</v>
      </c>
      <c r="O54">
        <v>2</v>
      </c>
      <c r="P54">
        <v>2</v>
      </c>
      <c r="Q54" s="9">
        <f t="shared" si="0"/>
        <v>1</v>
      </c>
      <c r="R54">
        <v>1</v>
      </c>
      <c r="S54">
        <v>0</v>
      </c>
      <c r="T54">
        <v>0</v>
      </c>
      <c r="U54">
        <v>3</v>
      </c>
      <c r="V54">
        <v>1</v>
      </c>
      <c r="W54" s="9">
        <f t="shared" si="2"/>
        <v>35</v>
      </c>
      <c r="X54">
        <v>14</v>
      </c>
      <c r="Y54">
        <v>14</v>
      </c>
      <c r="Z54">
        <v>1</v>
      </c>
      <c r="AA54">
        <v>4</v>
      </c>
      <c r="AB54">
        <v>2</v>
      </c>
    </row>
    <row r="55" spans="1:29" x14ac:dyDescent="0.35">
      <c r="A55">
        <v>109</v>
      </c>
      <c r="B55" t="s">
        <v>723</v>
      </c>
      <c r="C55" t="s">
        <v>685</v>
      </c>
      <c r="D55" t="s">
        <v>442</v>
      </c>
      <c r="E55" s="13">
        <f t="shared" si="3"/>
        <v>1</v>
      </c>
      <c r="F55">
        <v>0</v>
      </c>
      <c r="G55">
        <v>0</v>
      </c>
      <c r="H55">
        <v>0</v>
      </c>
      <c r="I55">
        <v>0</v>
      </c>
      <c r="J55">
        <v>0</v>
      </c>
      <c r="K55">
        <v>0</v>
      </c>
      <c r="L55">
        <v>0</v>
      </c>
      <c r="M55">
        <v>0</v>
      </c>
      <c r="N55">
        <v>0</v>
      </c>
      <c r="O55">
        <v>0</v>
      </c>
      <c r="P55">
        <v>0</v>
      </c>
      <c r="Q55" s="9">
        <f t="shared" si="0"/>
        <v>0</v>
      </c>
      <c r="R55">
        <v>0</v>
      </c>
      <c r="S55">
        <v>0</v>
      </c>
      <c r="T55">
        <v>0</v>
      </c>
      <c r="U55">
        <v>1</v>
      </c>
      <c r="V55">
        <v>0</v>
      </c>
      <c r="W55" s="9">
        <f t="shared" si="2"/>
        <v>8</v>
      </c>
      <c r="X55">
        <v>4</v>
      </c>
      <c r="Y55">
        <v>3</v>
      </c>
      <c r="Z55">
        <v>1</v>
      </c>
      <c r="AA55">
        <v>0</v>
      </c>
      <c r="AB55">
        <v>0</v>
      </c>
    </row>
    <row r="56" spans="1:29" x14ac:dyDescent="0.35">
      <c r="A56">
        <v>110</v>
      </c>
      <c r="B56" t="s">
        <v>723</v>
      </c>
      <c r="C56" t="s">
        <v>685</v>
      </c>
      <c r="D56" t="s">
        <v>442</v>
      </c>
      <c r="E56" s="13">
        <f t="shared" si="3"/>
        <v>12</v>
      </c>
      <c r="F56">
        <v>0</v>
      </c>
      <c r="G56">
        <v>0</v>
      </c>
      <c r="H56">
        <v>0</v>
      </c>
      <c r="I56">
        <v>0</v>
      </c>
      <c r="J56">
        <v>1</v>
      </c>
      <c r="K56">
        <v>2</v>
      </c>
      <c r="L56">
        <v>0</v>
      </c>
      <c r="M56">
        <v>1</v>
      </c>
      <c r="N56">
        <v>0</v>
      </c>
      <c r="O56">
        <v>0</v>
      </c>
      <c r="P56">
        <v>2</v>
      </c>
      <c r="Q56" s="9">
        <f t="shared" si="0"/>
        <v>4</v>
      </c>
      <c r="R56">
        <v>3</v>
      </c>
      <c r="S56">
        <v>1</v>
      </c>
      <c r="T56">
        <v>0</v>
      </c>
      <c r="U56">
        <v>1</v>
      </c>
      <c r="V56">
        <v>1</v>
      </c>
      <c r="W56" s="9">
        <f t="shared" si="2"/>
        <v>13</v>
      </c>
      <c r="X56">
        <v>4</v>
      </c>
      <c r="Y56">
        <v>5</v>
      </c>
      <c r="Z56">
        <v>2</v>
      </c>
      <c r="AA56">
        <v>0</v>
      </c>
      <c r="AB56">
        <v>2</v>
      </c>
    </row>
    <row r="57" spans="1:29" x14ac:dyDescent="0.35">
      <c r="A57">
        <v>111</v>
      </c>
      <c r="B57" t="s">
        <v>723</v>
      </c>
      <c r="C57" t="s">
        <v>685</v>
      </c>
      <c r="D57" t="s">
        <v>442</v>
      </c>
      <c r="E57" s="13">
        <f t="shared" si="3"/>
        <v>13</v>
      </c>
      <c r="F57">
        <v>0</v>
      </c>
      <c r="G57">
        <v>0</v>
      </c>
      <c r="H57">
        <v>1</v>
      </c>
      <c r="I57">
        <v>0</v>
      </c>
      <c r="J57">
        <v>0</v>
      </c>
      <c r="K57">
        <v>0</v>
      </c>
      <c r="L57">
        <v>1</v>
      </c>
      <c r="M57">
        <v>0</v>
      </c>
      <c r="N57">
        <v>0</v>
      </c>
      <c r="O57">
        <v>0</v>
      </c>
      <c r="P57">
        <v>3</v>
      </c>
      <c r="Q57" s="9">
        <f t="shared" si="0"/>
        <v>4</v>
      </c>
      <c r="R57">
        <v>1</v>
      </c>
      <c r="S57">
        <v>1</v>
      </c>
      <c r="T57">
        <v>2</v>
      </c>
      <c r="U57">
        <v>4</v>
      </c>
      <c r="V57">
        <v>0</v>
      </c>
      <c r="W57" s="9">
        <f t="shared" si="2"/>
        <v>12</v>
      </c>
      <c r="X57">
        <v>7</v>
      </c>
      <c r="Y57">
        <v>3</v>
      </c>
      <c r="Z57">
        <v>1</v>
      </c>
      <c r="AA57">
        <v>1</v>
      </c>
      <c r="AB57">
        <v>0</v>
      </c>
    </row>
    <row r="58" spans="1:29" x14ac:dyDescent="0.35">
      <c r="A58">
        <v>112</v>
      </c>
      <c r="B58" t="s">
        <v>723</v>
      </c>
      <c r="C58" t="s">
        <v>685</v>
      </c>
      <c r="D58" t="s">
        <v>442</v>
      </c>
      <c r="E58" s="13">
        <f t="shared" si="3"/>
        <v>21</v>
      </c>
      <c r="F58">
        <v>0</v>
      </c>
      <c r="G58">
        <v>0</v>
      </c>
      <c r="H58">
        <v>0</v>
      </c>
      <c r="I58">
        <v>0</v>
      </c>
      <c r="J58">
        <v>0</v>
      </c>
      <c r="K58">
        <v>0</v>
      </c>
      <c r="L58">
        <v>4</v>
      </c>
      <c r="M58">
        <v>0</v>
      </c>
      <c r="N58">
        <v>0</v>
      </c>
      <c r="O58">
        <v>0</v>
      </c>
      <c r="P58">
        <v>1</v>
      </c>
      <c r="Q58" s="9">
        <f t="shared" si="0"/>
        <v>5</v>
      </c>
      <c r="R58">
        <v>3</v>
      </c>
      <c r="S58">
        <v>1</v>
      </c>
      <c r="T58">
        <v>1</v>
      </c>
      <c r="U58">
        <v>10</v>
      </c>
      <c r="V58">
        <v>1</v>
      </c>
      <c r="W58" s="9">
        <f t="shared" si="2"/>
        <v>17</v>
      </c>
      <c r="X58">
        <v>4</v>
      </c>
      <c r="Y58">
        <v>11</v>
      </c>
      <c r="Z58">
        <v>0</v>
      </c>
      <c r="AA58">
        <v>2</v>
      </c>
      <c r="AB58">
        <v>0</v>
      </c>
    </row>
    <row r="59" spans="1:29" x14ac:dyDescent="0.35">
      <c r="A59">
        <v>113</v>
      </c>
      <c r="B59" t="s">
        <v>723</v>
      </c>
      <c r="C59" t="s">
        <v>685</v>
      </c>
      <c r="D59" t="s">
        <v>442</v>
      </c>
      <c r="E59" s="13">
        <f t="shared" si="3"/>
        <v>22</v>
      </c>
      <c r="F59">
        <v>0</v>
      </c>
      <c r="G59">
        <v>1</v>
      </c>
      <c r="H59">
        <v>1</v>
      </c>
      <c r="I59">
        <v>0</v>
      </c>
      <c r="J59">
        <v>0</v>
      </c>
      <c r="K59">
        <v>0</v>
      </c>
      <c r="L59">
        <v>2</v>
      </c>
      <c r="M59">
        <v>0</v>
      </c>
      <c r="N59">
        <v>0</v>
      </c>
      <c r="O59">
        <v>0</v>
      </c>
      <c r="P59">
        <v>2</v>
      </c>
      <c r="Q59" s="9">
        <f t="shared" si="0"/>
        <v>4</v>
      </c>
      <c r="R59">
        <v>3</v>
      </c>
      <c r="S59">
        <v>0</v>
      </c>
      <c r="T59">
        <v>1</v>
      </c>
      <c r="U59">
        <v>11</v>
      </c>
      <c r="V59">
        <v>1</v>
      </c>
      <c r="W59" s="9">
        <f t="shared" si="2"/>
        <v>15</v>
      </c>
      <c r="X59">
        <v>12</v>
      </c>
      <c r="Y59">
        <v>1</v>
      </c>
      <c r="Z59">
        <v>1</v>
      </c>
      <c r="AA59">
        <v>0</v>
      </c>
      <c r="AB59">
        <v>1</v>
      </c>
    </row>
    <row r="60" spans="1:29" x14ac:dyDescent="0.35">
      <c r="A60">
        <v>114</v>
      </c>
      <c r="B60" t="s">
        <v>723</v>
      </c>
      <c r="C60" t="s">
        <v>685</v>
      </c>
      <c r="D60" t="s">
        <v>442</v>
      </c>
      <c r="E60" s="13">
        <f t="shared" si="3"/>
        <v>19</v>
      </c>
      <c r="F60">
        <v>0</v>
      </c>
      <c r="G60">
        <v>1</v>
      </c>
      <c r="H60">
        <v>0</v>
      </c>
      <c r="I60">
        <v>0</v>
      </c>
      <c r="J60">
        <v>0</v>
      </c>
      <c r="K60">
        <v>0</v>
      </c>
      <c r="L60">
        <v>0</v>
      </c>
      <c r="M60">
        <v>1</v>
      </c>
      <c r="N60">
        <v>1</v>
      </c>
      <c r="O60">
        <v>3</v>
      </c>
      <c r="P60">
        <v>2</v>
      </c>
      <c r="Q60" s="9">
        <f t="shared" si="0"/>
        <v>2</v>
      </c>
      <c r="R60">
        <v>1</v>
      </c>
      <c r="S60">
        <v>0</v>
      </c>
      <c r="T60">
        <v>1</v>
      </c>
      <c r="U60">
        <v>9</v>
      </c>
      <c r="V60">
        <v>0</v>
      </c>
      <c r="W60" s="9">
        <f t="shared" si="2"/>
        <v>18</v>
      </c>
      <c r="X60">
        <v>7</v>
      </c>
      <c r="Y60">
        <v>6</v>
      </c>
      <c r="Z60">
        <v>2</v>
      </c>
      <c r="AA60">
        <v>1</v>
      </c>
      <c r="AB60">
        <v>2</v>
      </c>
    </row>
    <row r="61" spans="1:29" x14ac:dyDescent="0.35">
      <c r="A61">
        <v>115</v>
      </c>
      <c r="B61" t="s">
        <v>723</v>
      </c>
      <c r="C61" t="s">
        <v>685</v>
      </c>
      <c r="D61" t="s">
        <v>442</v>
      </c>
      <c r="E61" s="13">
        <f t="shared" si="3"/>
        <v>18</v>
      </c>
      <c r="F61">
        <v>0</v>
      </c>
      <c r="G61">
        <v>3</v>
      </c>
      <c r="H61">
        <v>1</v>
      </c>
      <c r="I61">
        <v>0</v>
      </c>
      <c r="J61">
        <v>2</v>
      </c>
      <c r="K61">
        <v>1</v>
      </c>
      <c r="L61">
        <v>1</v>
      </c>
      <c r="M61">
        <v>2</v>
      </c>
      <c r="N61">
        <v>0</v>
      </c>
      <c r="O61">
        <v>0</v>
      </c>
      <c r="P61">
        <v>2</v>
      </c>
      <c r="Q61" s="9">
        <f t="shared" si="0"/>
        <v>1</v>
      </c>
      <c r="R61">
        <v>1</v>
      </c>
      <c r="S61">
        <v>0</v>
      </c>
      <c r="T61">
        <v>0</v>
      </c>
      <c r="U61">
        <v>4</v>
      </c>
      <c r="V61">
        <v>1</v>
      </c>
      <c r="W61" s="9">
        <f t="shared" si="2"/>
        <v>26</v>
      </c>
      <c r="X61">
        <v>8</v>
      </c>
      <c r="Y61">
        <v>18</v>
      </c>
      <c r="Z61">
        <v>0</v>
      </c>
      <c r="AA61">
        <v>0</v>
      </c>
      <c r="AB61">
        <v>0</v>
      </c>
    </row>
    <row r="62" spans="1:29" x14ac:dyDescent="0.35">
      <c r="A62" s="14">
        <v>101</v>
      </c>
      <c r="B62" s="14" t="s">
        <v>685</v>
      </c>
      <c r="C62" s="14" t="s">
        <v>804</v>
      </c>
    </row>
    <row r="63" spans="1:29" x14ac:dyDescent="0.35">
      <c r="A63" s="14">
        <v>102</v>
      </c>
      <c r="B63" s="14" t="s">
        <v>685</v>
      </c>
      <c r="C63" s="14" t="s">
        <v>804</v>
      </c>
    </row>
    <row r="64" spans="1:29" x14ac:dyDescent="0.35">
      <c r="A64" s="14">
        <v>103</v>
      </c>
      <c r="B64" s="14" t="s">
        <v>685</v>
      </c>
      <c r="C64" s="14" t="s">
        <v>804</v>
      </c>
    </row>
    <row r="65" spans="1:3" x14ac:dyDescent="0.35">
      <c r="A65" s="14">
        <v>104</v>
      </c>
      <c r="B65" s="14" t="s">
        <v>685</v>
      </c>
      <c r="C65" s="14" t="s">
        <v>804</v>
      </c>
    </row>
    <row r="66" spans="1:3" x14ac:dyDescent="0.35">
      <c r="A66" s="14">
        <v>105</v>
      </c>
      <c r="B66" s="14" t="s">
        <v>685</v>
      </c>
      <c r="C66" s="14" t="s">
        <v>804</v>
      </c>
    </row>
    <row r="67" spans="1:3" x14ac:dyDescent="0.35">
      <c r="A67" s="14">
        <v>106</v>
      </c>
      <c r="B67" s="14" t="s">
        <v>685</v>
      </c>
      <c r="C67" s="14" t="s">
        <v>804</v>
      </c>
    </row>
    <row r="68" spans="1:3" x14ac:dyDescent="0.35">
      <c r="A68" s="14">
        <v>107</v>
      </c>
      <c r="B68" s="14" t="s">
        <v>685</v>
      </c>
      <c r="C68" s="14" t="s">
        <v>804</v>
      </c>
    </row>
    <row r="69" spans="1:3" x14ac:dyDescent="0.35">
      <c r="A69" s="14">
        <v>108</v>
      </c>
      <c r="B69" s="14" t="s">
        <v>685</v>
      </c>
      <c r="C69" s="14" t="s">
        <v>804</v>
      </c>
    </row>
    <row r="70" spans="1:3" x14ac:dyDescent="0.35">
      <c r="A70" s="14">
        <v>109</v>
      </c>
      <c r="B70" s="14" t="s">
        <v>685</v>
      </c>
      <c r="C70" s="14" t="s">
        <v>804</v>
      </c>
    </row>
    <row r="71" spans="1:3" x14ac:dyDescent="0.35">
      <c r="A71" s="14">
        <v>110</v>
      </c>
      <c r="B71" s="14" t="s">
        <v>685</v>
      </c>
      <c r="C71" s="14" t="s">
        <v>804</v>
      </c>
    </row>
    <row r="72" spans="1:3" x14ac:dyDescent="0.35">
      <c r="A72" s="14">
        <v>111</v>
      </c>
      <c r="B72" s="14" t="s">
        <v>685</v>
      </c>
      <c r="C72" s="14" t="s">
        <v>804</v>
      </c>
    </row>
    <row r="73" spans="1:3" x14ac:dyDescent="0.35">
      <c r="A73" s="14">
        <v>112</v>
      </c>
      <c r="B73" s="14" t="s">
        <v>685</v>
      </c>
      <c r="C73" s="14" t="s">
        <v>804</v>
      </c>
    </row>
    <row r="74" spans="1:3" x14ac:dyDescent="0.35">
      <c r="A74" s="14">
        <v>113</v>
      </c>
      <c r="B74" s="14" t="s">
        <v>685</v>
      </c>
      <c r="C74" s="14" t="s">
        <v>804</v>
      </c>
    </row>
    <row r="75" spans="1:3" x14ac:dyDescent="0.35">
      <c r="A75" s="14">
        <v>114</v>
      </c>
      <c r="B75" s="14" t="s">
        <v>685</v>
      </c>
      <c r="C75" s="14" t="s">
        <v>804</v>
      </c>
    </row>
    <row r="76" spans="1:3" x14ac:dyDescent="0.35">
      <c r="A76" s="14">
        <v>115</v>
      </c>
      <c r="B76" s="14" t="s">
        <v>685</v>
      </c>
      <c r="C76" s="14" t="s">
        <v>804</v>
      </c>
    </row>
    <row r="77" spans="1:3" x14ac:dyDescent="0.35">
      <c r="A77">
        <v>101</v>
      </c>
      <c r="B77" t="s">
        <v>804</v>
      </c>
      <c r="C77" t="s">
        <v>1074</v>
      </c>
    </row>
    <row r="78" spans="1:3" x14ac:dyDescent="0.35">
      <c r="A78">
        <v>102</v>
      </c>
      <c r="B78" t="s">
        <v>804</v>
      </c>
      <c r="C78" t="s">
        <v>1074</v>
      </c>
    </row>
    <row r="79" spans="1:3" x14ac:dyDescent="0.35">
      <c r="A79">
        <v>103</v>
      </c>
      <c r="B79" t="s">
        <v>804</v>
      </c>
      <c r="C79" t="s">
        <v>1074</v>
      </c>
    </row>
    <row r="80" spans="1:3" x14ac:dyDescent="0.35">
      <c r="A80">
        <v>104</v>
      </c>
      <c r="B80" t="s">
        <v>804</v>
      </c>
      <c r="C80" t="s">
        <v>1074</v>
      </c>
    </row>
    <row r="81" spans="1:3" x14ac:dyDescent="0.35">
      <c r="A81">
        <v>105</v>
      </c>
      <c r="B81" t="s">
        <v>804</v>
      </c>
      <c r="C81" t="s">
        <v>1074</v>
      </c>
    </row>
    <row r="82" spans="1:3" x14ac:dyDescent="0.35">
      <c r="A82">
        <v>106</v>
      </c>
      <c r="B82" t="s">
        <v>804</v>
      </c>
      <c r="C82" t="s">
        <v>1074</v>
      </c>
    </row>
    <row r="83" spans="1:3" x14ac:dyDescent="0.35">
      <c r="A83">
        <v>107</v>
      </c>
      <c r="B83" t="s">
        <v>804</v>
      </c>
      <c r="C83" t="s">
        <v>1074</v>
      </c>
    </row>
    <row r="84" spans="1:3" x14ac:dyDescent="0.35">
      <c r="A84">
        <v>108</v>
      </c>
      <c r="B84" t="s">
        <v>804</v>
      </c>
      <c r="C84" t="s">
        <v>1074</v>
      </c>
    </row>
    <row r="85" spans="1:3" x14ac:dyDescent="0.35">
      <c r="A85">
        <v>109</v>
      </c>
      <c r="B85" t="s">
        <v>804</v>
      </c>
      <c r="C85" t="s">
        <v>1074</v>
      </c>
    </row>
    <row r="86" spans="1:3" x14ac:dyDescent="0.35">
      <c r="A86">
        <v>110</v>
      </c>
      <c r="B86" t="s">
        <v>804</v>
      </c>
      <c r="C86" t="s">
        <v>1074</v>
      </c>
    </row>
    <row r="87" spans="1:3" x14ac:dyDescent="0.35">
      <c r="A87">
        <v>111</v>
      </c>
      <c r="B87" t="s">
        <v>804</v>
      </c>
      <c r="C87" t="s">
        <v>1074</v>
      </c>
    </row>
    <row r="88" spans="1:3" x14ac:dyDescent="0.35">
      <c r="A88">
        <v>112</v>
      </c>
      <c r="B88" t="s">
        <v>804</v>
      </c>
      <c r="C88" t="s">
        <v>1074</v>
      </c>
    </row>
    <row r="89" spans="1:3" x14ac:dyDescent="0.35">
      <c r="A89">
        <v>113</v>
      </c>
      <c r="B89" t="s">
        <v>804</v>
      </c>
      <c r="C89" t="s">
        <v>1074</v>
      </c>
    </row>
    <row r="90" spans="1:3" x14ac:dyDescent="0.35">
      <c r="A90">
        <v>114</v>
      </c>
      <c r="B90" t="s">
        <v>804</v>
      </c>
      <c r="C90" t="s">
        <v>1074</v>
      </c>
    </row>
    <row r="91" spans="1:3" x14ac:dyDescent="0.35">
      <c r="A91">
        <v>115</v>
      </c>
      <c r="B91" t="s">
        <v>804</v>
      </c>
      <c r="C91" t="s">
        <v>1074</v>
      </c>
    </row>
    <row r="92" spans="1:3" x14ac:dyDescent="0.35">
      <c r="A92" s="14">
        <v>101</v>
      </c>
      <c r="B92" s="14" t="s">
        <v>1074</v>
      </c>
      <c r="C92" s="14" t="s">
        <v>905</v>
      </c>
    </row>
    <row r="93" spans="1:3" x14ac:dyDescent="0.35">
      <c r="A93" s="14">
        <v>102</v>
      </c>
      <c r="B93" s="14" t="s">
        <v>1074</v>
      </c>
      <c r="C93" s="14" t="s">
        <v>905</v>
      </c>
    </row>
    <row r="94" spans="1:3" x14ac:dyDescent="0.35">
      <c r="A94" s="14">
        <v>103</v>
      </c>
      <c r="B94" s="14" t="s">
        <v>1074</v>
      </c>
      <c r="C94" s="14" t="s">
        <v>905</v>
      </c>
    </row>
    <row r="95" spans="1:3" x14ac:dyDescent="0.35">
      <c r="A95" s="14">
        <v>104</v>
      </c>
      <c r="B95" s="14" t="s">
        <v>1074</v>
      </c>
      <c r="C95" s="14" t="s">
        <v>905</v>
      </c>
    </row>
    <row r="96" spans="1:3" x14ac:dyDescent="0.35">
      <c r="A96" s="14">
        <v>105</v>
      </c>
      <c r="B96" s="14" t="s">
        <v>1074</v>
      </c>
      <c r="C96" s="14" t="s">
        <v>905</v>
      </c>
    </row>
    <row r="97" spans="1:3" x14ac:dyDescent="0.35">
      <c r="A97" s="14">
        <v>106</v>
      </c>
      <c r="B97" s="14" t="s">
        <v>1074</v>
      </c>
      <c r="C97" s="14" t="s">
        <v>905</v>
      </c>
    </row>
    <row r="98" spans="1:3" x14ac:dyDescent="0.35">
      <c r="A98" s="14">
        <v>107</v>
      </c>
      <c r="B98" s="14" t="s">
        <v>1074</v>
      </c>
      <c r="C98" s="14" t="s">
        <v>905</v>
      </c>
    </row>
    <row r="99" spans="1:3" x14ac:dyDescent="0.35">
      <c r="A99" s="14">
        <v>108</v>
      </c>
      <c r="B99" s="14" t="s">
        <v>1074</v>
      </c>
      <c r="C99" s="14" t="s">
        <v>905</v>
      </c>
    </row>
    <row r="100" spans="1:3" x14ac:dyDescent="0.35">
      <c r="A100" s="14">
        <v>109</v>
      </c>
      <c r="B100" s="14" t="s">
        <v>1074</v>
      </c>
      <c r="C100" s="14" t="s">
        <v>905</v>
      </c>
    </row>
    <row r="101" spans="1:3" x14ac:dyDescent="0.35">
      <c r="A101" s="14">
        <v>110</v>
      </c>
      <c r="B101" s="14" t="s">
        <v>1074</v>
      </c>
      <c r="C101" s="14" t="s">
        <v>905</v>
      </c>
    </row>
    <row r="102" spans="1:3" x14ac:dyDescent="0.35">
      <c r="A102" s="14">
        <v>111</v>
      </c>
      <c r="B102" s="14" t="s">
        <v>1074</v>
      </c>
      <c r="C102" s="14" t="s">
        <v>905</v>
      </c>
    </row>
    <row r="103" spans="1:3" x14ac:dyDescent="0.35">
      <c r="A103" s="14">
        <v>112</v>
      </c>
      <c r="B103" s="14" t="s">
        <v>1074</v>
      </c>
      <c r="C103" s="14" t="s">
        <v>905</v>
      </c>
    </row>
    <row r="104" spans="1:3" x14ac:dyDescent="0.35">
      <c r="A104" s="14">
        <v>113</v>
      </c>
      <c r="B104" s="14" t="s">
        <v>1074</v>
      </c>
      <c r="C104" s="14" t="s">
        <v>905</v>
      </c>
    </row>
    <row r="105" spans="1:3" x14ac:dyDescent="0.35">
      <c r="A105" s="14">
        <v>114</v>
      </c>
      <c r="B105" s="14" t="s">
        <v>1074</v>
      </c>
      <c r="C105" s="14" t="s">
        <v>905</v>
      </c>
    </row>
    <row r="106" spans="1:3" x14ac:dyDescent="0.35">
      <c r="A106" s="14">
        <v>115</v>
      </c>
      <c r="B106" s="14" t="s">
        <v>1074</v>
      </c>
      <c r="C106" s="14" t="s">
        <v>905</v>
      </c>
    </row>
    <row r="107" spans="1:3" x14ac:dyDescent="0.35">
      <c r="A107">
        <v>101</v>
      </c>
      <c r="B107" t="s">
        <v>905</v>
      </c>
      <c r="C107" t="s">
        <v>909</v>
      </c>
    </row>
    <row r="108" spans="1:3" x14ac:dyDescent="0.35">
      <c r="A108">
        <v>102</v>
      </c>
      <c r="B108" t="s">
        <v>905</v>
      </c>
      <c r="C108" t="s">
        <v>909</v>
      </c>
    </row>
    <row r="109" spans="1:3" x14ac:dyDescent="0.35">
      <c r="A109">
        <v>103</v>
      </c>
      <c r="B109" t="s">
        <v>905</v>
      </c>
      <c r="C109" t="s">
        <v>909</v>
      </c>
    </row>
    <row r="110" spans="1:3" x14ac:dyDescent="0.35">
      <c r="A110">
        <v>104</v>
      </c>
      <c r="B110" t="s">
        <v>905</v>
      </c>
      <c r="C110" t="s">
        <v>909</v>
      </c>
    </row>
    <row r="111" spans="1:3" x14ac:dyDescent="0.35">
      <c r="A111">
        <v>105</v>
      </c>
      <c r="B111" t="s">
        <v>905</v>
      </c>
      <c r="C111" t="s">
        <v>909</v>
      </c>
    </row>
    <row r="112" spans="1:3" x14ac:dyDescent="0.35">
      <c r="A112">
        <v>106</v>
      </c>
      <c r="B112" t="s">
        <v>905</v>
      </c>
      <c r="C112" t="s">
        <v>909</v>
      </c>
    </row>
    <row r="113" spans="1:23" x14ac:dyDescent="0.35">
      <c r="A113">
        <v>107</v>
      </c>
      <c r="B113" t="s">
        <v>905</v>
      </c>
      <c r="C113" t="s">
        <v>909</v>
      </c>
    </row>
    <row r="114" spans="1:23" x14ac:dyDescent="0.35">
      <c r="A114">
        <v>108</v>
      </c>
      <c r="B114" t="s">
        <v>905</v>
      </c>
      <c r="C114" t="s">
        <v>909</v>
      </c>
    </row>
    <row r="115" spans="1:23" x14ac:dyDescent="0.35">
      <c r="A115">
        <v>109</v>
      </c>
      <c r="B115" t="s">
        <v>905</v>
      </c>
      <c r="C115" t="s">
        <v>909</v>
      </c>
    </row>
    <row r="116" spans="1:23" x14ac:dyDescent="0.35">
      <c r="A116">
        <v>110</v>
      </c>
      <c r="B116" t="s">
        <v>905</v>
      </c>
      <c r="C116" t="s">
        <v>909</v>
      </c>
    </row>
    <row r="117" spans="1:23" x14ac:dyDescent="0.35">
      <c r="A117">
        <v>111</v>
      </c>
      <c r="B117" t="s">
        <v>905</v>
      </c>
      <c r="C117" t="s">
        <v>909</v>
      </c>
    </row>
    <row r="118" spans="1:23" x14ac:dyDescent="0.35">
      <c r="A118">
        <v>112</v>
      </c>
      <c r="B118" t="s">
        <v>905</v>
      </c>
      <c r="C118" t="s">
        <v>909</v>
      </c>
    </row>
    <row r="119" spans="1:23" x14ac:dyDescent="0.35">
      <c r="A119">
        <v>113</v>
      </c>
      <c r="B119" t="s">
        <v>905</v>
      </c>
      <c r="C119" t="s">
        <v>909</v>
      </c>
    </row>
    <row r="120" spans="1:23" x14ac:dyDescent="0.35">
      <c r="A120">
        <v>114</v>
      </c>
      <c r="B120" t="s">
        <v>905</v>
      </c>
      <c r="C120" t="s">
        <v>909</v>
      </c>
    </row>
    <row r="121" spans="1:23" x14ac:dyDescent="0.35">
      <c r="A121">
        <v>115</v>
      </c>
      <c r="B121" t="s">
        <v>905</v>
      </c>
      <c r="C121" t="s">
        <v>909</v>
      </c>
    </row>
    <row r="122" spans="1:23" x14ac:dyDescent="0.35">
      <c r="A122" s="14">
        <v>101</v>
      </c>
      <c r="B122" s="14" t="s">
        <v>909</v>
      </c>
      <c r="C122" s="14" t="s">
        <v>1075</v>
      </c>
      <c r="E122">
        <v>0</v>
      </c>
      <c r="W122">
        <v>5</v>
      </c>
    </row>
    <row r="123" spans="1:23" x14ac:dyDescent="0.35">
      <c r="A123" s="14">
        <v>102</v>
      </c>
      <c r="B123" s="14" t="s">
        <v>909</v>
      </c>
      <c r="C123" s="14" t="s">
        <v>1075</v>
      </c>
      <c r="E123">
        <v>1</v>
      </c>
      <c r="W123">
        <v>6</v>
      </c>
    </row>
    <row r="124" spans="1:23" x14ac:dyDescent="0.35">
      <c r="A124" s="14">
        <v>103</v>
      </c>
      <c r="B124" s="14" t="s">
        <v>909</v>
      </c>
      <c r="C124" s="14" t="s">
        <v>1075</v>
      </c>
      <c r="E124">
        <v>5</v>
      </c>
      <c r="W124">
        <v>8</v>
      </c>
    </row>
    <row r="125" spans="1:23" x14ac:dyDescent="0.35">
      <c r="A125" s="14">
        <v>104</v>
      </c>
      <c r="B125" s="14" t="s">
        <v>909</v>
      </c>
      <c r="C125" s="14" t="s">
        <v>1075</v>
      </c>
      <c r="E125">
        <v>8</v>
      </c>
      <c r="W125">
        <v>11</v>
      </c>
    </row>
    <row r="126" spans="1:23" x14ac:dyDescent="0.35">
      <c r="A126" s="14">
        <v>105</v>
      </c>
      <c r="B126" s="14" t="s">
        <v>909</v>
      </c>
      <c r="C126" s="14" t="s">
        <v>1075</v>
      </c>
      <c r="E126">
        <v>4</v>
      </c>
      <c r="W126">
        <v>5</v>
      </c>
    </row>
    <row r="127" spans="1:23" x14ac:dyDescent="0.35">
      <c r="A127" s="14">
        <v>106</v>
      </c>
      <c r="B127" s="14" t="s">
        <v>909</v>
      </c>
      <c r="C127" s="14" t="s">
        <v>1075</v>
      </c>
      <c r="E127">
        <v>3</v>
      </c>
      <c r="W127">
        <v>9</v>
      </c>
    </row>
    <row r="128" spans="1:23" x14ac:dyDescent="0.35">
      <c r="A128" s="14">
        <v>107</v>
      </c>
      <c r="B128" s="14" t="s">
        <v>909</v>
      </c>
      <c r="C128" s="14" t="s">
        <v>1075</v>
      </c>
      <c r="E128">
        <v>3</v>
      </c>
      <c r="W128">
        <v>2</v>
      </c>
    </row>
    <row r="129" spans="1:23" x14ac:dyDescent="0.35">
      <c r="A129" s="14">
        <v>108</v>
      </c>
      <c r="B129" s="14" t="s">
        <v>909</v>
      </c>
      <c r="C129" s="14" t="s">
        <v>1075</v>
      </c>
      <c r="E129">
        <v>0</v>
      </c>
      <c r="W129">
        <v>5</v>
      </c>
    </row>
    <row r="130" spans="1:23" x14ac:dyDescent="0.35">
      <c r="A130" s="14">
        <v>109</v>
      </c>
      <c r="B130" s="14" t="s">
        <v>909</v>
      </c>
      <c r="C130" s="14" t="s">
        <v>1075</v>
      </c>
      <c r="E130">
        <v>2</v>
      </c>
      <c r="W130">
        <v>3</v>
      </c>
    </row>
    <row r="131" spans="1:23" x14ac:dyDescent="0.35">
      <c r="A131" s="14">
        <v>110</v>
      </c>
      <c r="B131" s="14" t="s">
        <v>909</v>
      </c>
      <c r="C131" s="14" t="s">
        <v>1075</v>
      </c>
      <c r="E131">
        <v>2</v>
      </c>
      <c r="W131">
        <v>6</v>
      </c>
    </row>
    <row r="132" spans="1:23" x14ac:dyDescent="0.35">
      <c r="A132" s="14">
        <v>111</v>
      </c>
      <c r="B132" s="14" t="s">
        <v>909</v>
      </c>
      <c r="C132" s="14" t="s">
        <v>1075</v>
      </c>
      <c r="E132">
        <v>7</v>
      </c>
      <c r="W132">
        <v>6</v>
      </c>
    </row>
    <row r="133" spans="1:23" x14ac:dyDescent="0.35">
      <c r="A133" s="14">
        <v>112</v>
      </c>
      <c r="B133" s="14" t="s">
        <v>909</v>
      </c>
      <c r="C133" s="14" t="s">
        <v>1075</v>
      </c>
      <c r="E133">
        <v>2</v>
      </c>
      <c r="W133">
        <v>2</v>
      </c>
    </row>
    <row r="134" spans="1:23" x14ac:dyDescent="0.35">
      <c r="A134" s="14">
        <v>113</v>
      </c>
      <c r="B134" s="14" t="s">
        <v>909</v>
      </c>
      <c r="C134" s="14" t="s">
        <v>1075</v>
      </c>
      <c r="E134">
        <v>1</v>
      </c>
      <c r="W134">
        <v>6</v>
      </c>
    </row>
    <row r="135" spans="1:23" x14ac:dyDescent="0.35">
      <c r="A135" s="14">
        <v>114</v>
      </c>
      <c r="B135" s="14" t="s">
        <v>909</v>
      </c>
      <c r="C135" s="14" t="s">
        <v>1075</v>
      </c>
      <c r="E135">
        <v>0</v>
      </c>
      <c r="W135">
        <v>2</v>
      </c>
    </row>
    <row r="136" spans="1:23" x14ac:dyDescent="0.35">
      <c r="A136" s="14">
        <v>115</v>
      </c>
      <c r="B136" s="14" t="s">
        <v>909</v>
      </c>
      <c r="C136" s="14" t="s">
        <v>1075</v>
      </c>
      <c r="E136">
        <v>4</v>
      </c>
      <c r="W136">
        <v>10</v>
      </c>
    </row>
  </sheetData>
  <sortState xmlns:xlrd2="http://schemas.microsoft.com/office/spreadsheetml/2017/richdata2" ref="A2:C150">
    <sortCondition ref="B2:B15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lpstr>Yellow pan trap counts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2025-02-07T21:05:59Z</dcterms:modified>
</cp:coreProperties>
</file>