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defaultThemeVersion="202300"/>
  <mc:AlternateContent xmlns:mc="http://schemas.openxmlformats.org/markup-compatibility/2006">
    <mc:Choice Requires="x15">
      <x15ac:absPath xmlns:x15ac="http://schemas.microsoft.com/office/spreadsheetml/2010/11/ac" url="https://d.docs.live.net/32f02f1096a9313f/Documents/Entomology MS/Thesis research/EAB_Michigan_2024_2025_github_folder/Raw_data/"/>
    </mc:Choice>
  </mc:AlternateContent>
  <xr:revisionPtr revIDLastSave="4016" documentId="13_ncr:1_{9D00DFDD-D44C-40CC-9A5D-C1C9304CB73A}" xr6:coauthVersionLast="47" xr6:coauthVersionMax="47" xr10:uidLastSave="{E151F683-7C73-4ADF-B99B-96FCCAC366B0}"/>
  <bookViews>
    <workbookView xWindow="-110" yWindow="-110" windowWidth="19420" windowHeight="10420" firstSheet="2" activeTab="2" xr2:uid="{D8A15C32-A4CC-43B1-99C9-25143577D14B}"/>
  </bookViews>
  <sheets>
    <sheet name="metadata" sheetId="1" r:id="rId1"/>
    <sheet name="plot_percent_cover_2025" sheetId="2" r:id="rId2"/>
    <sheet name="ash_trees_2025" sheetId="3" r:id="rId3"/>
    <sheet name="trees_2025" sheetId="4" r:id="rId4"/>
    <sheet name="ash_seedlings_2025" sheetId="5" r:id="rId5"/>
    <sheet name="ash_saplings_2025" sheetId="6"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9" i="3" l="1"/>
  <c r="L51" i="6"/>
  <c r="G769" i="4"/>
  <c r="G785" i="4"/>
  <c r="G783" i="4"/>
  <c r="G782" i="4"/>
  <c r="G780" i="4"/>
  <c r="G767" i="4"/>
  <c r="G765" i="4"/>
  <c r="G761" i="4"/>
  <c r="G756" i="4"/>
  <c r="G746" i="4"/>
  <c r="G744" i="4"/>
  <c r="G742" i="4"/>
  <c r="G741" i="4"/>
  <c r="G739" i="4"/>
  <c r="G737" i="4"/>
  <c r="G733" i="4"/>
  <c r="G725" i="4"/>
  <c r="G689" i="4"/>
  <c r="G684" i="4"/>
  <c r="G677" i="4"/>
  <c r="G674" i="4"/>
  <c r="G673" i="4"/>
  <c r="G656" i="4"/>
  <c r="G643" i="4"/>
  <c r="G638" i="4"/>
  <c r="G632" i="4"/>
  <c r="G619" i="4"/>
  <c r="G618" i="4"/>
  <c r="G611" i="4"/>
  <c r="G599" i="4"/>
  <c r="G598" i="4"/>
  <c r="G594" i="4"/>
  <c r="G585" i="4"/>
  <c r="G561" i="4"/>
  <c r="G544" i="4"/>
  <c r="G542" i="4"/>
  <c r="G532" i="4"/>
  <c r="G526" i="4"/>
  <c r="G525" i="4"/>
  <c r="G521" i="4"/>
  <c r="G514" i="4"/>
  <c r="G513" i="4"/>
  <c r="G505" i="4"/>
  <c r="G499" i="4"/>
  <c r="G494" i="4"/>
  <c r="G493" i="4"/>
  <c r="G485" i="4"/>
  <c r="G484" i="4"/>
  <c r="G477" i="4"/>
  <c r="G476" i="4"/>
  <c r="G470" i="4"/>
  <c r="G444" i="4"/>
  <c r="G439" i="4"/>
  <c r="G430" i="4"/>
  <c r="G428" i="4"/>
  <c r="G427" i="4"/>
  <c r="G423" i="4"/>
  <c r="G422" i="4"/>
  <c r="G413" i="4"/>
  <c r="G411" i="4"/>
  <c r="G409" i="4"/>
  <c r="G402" i="4"/>
  <c r="G394" i="4"/>
  <c r="G391" i="4"/>
  <c r="G386" i="4"/>
  <c r="G385" i="4"/>
  <c r="G383" i="4"/>
  <c r="G375" i="4"/>
  <c r="G373" i="4"/>
  <c r="G372" i="4"/>
  <c r="G368" i="4"/>
  <c r="G367" i="4"/>
  <c r="G366" i="4"/>
  <c r="G365" i="4"/>
  <c r="G364" i="4"/>
  <c r="G361" i="4"/>
  <c r="G360" i="4"/>
  <c r="G359" i="4"/>
  <c r="G358" i="4"/>
  <c r="G357" i="4"/>
  <c r="G356" i="4"/>
  <c r="G353" i="4"/>
  <c r="G328" i="4"/>
  <c r="G309" i="4"/>
  <c r="G307" i="4"/>
  <c r="G297" i="4"/>
  <c r="G245" i="4"/>
  <c r="G244" i="4"/>
  <c r="G243" i="4"/>
  <c r="G241" i="4"/>
  <c r="G240" i="4"/>
  <c r="G237" i="4"/>
  <c r="G236" i="4"/>
  <c r="G226" i="4"/>
  <c r="G224" i="4"/>
  <c r="G221" i="4"/>
  <c r="G219" i="4"/>
  <c r="G218" i="4"/>
  <c r="G217" i="4"/>
  <c r="G206" i="4"/>
  <c r="G183" i="4"/>
  <c r="G170" i="4"/>
  <c r="G166" i="4"/>
  <c r="G165" i="4"/>
  <c r="G162" i="4"/>
  <c r="G159" i="4"/>
  <c r="G157" i="4"/>
  <c r="G153" i="4"/>
  <c r="G152" i="4"/>
  <c r="G151" i="4"/>
  <c r="G149" i="4"/>
  <c r="G148" i="4"/>
  <c r="G147" i="4"/>
  <c r="G142" i="4"/>
  <c r="G141" i="4"/>
  <c r="G139" i="4"/>
  <c r="G138" i="4"/>
  <c r="G137" i="4"/>
  <c r="G135" i="4"/>
  <c r="G133" i="4"/>
  <c r="G131" i="4"/>
  <c r="G129" i="4"/>
  <c r="G127" i="4"/>
  <c r="G125" i="4"/>
  <c r="G121" i="4"/>
  <c r="G120" i="4"/>
  <c r="G113" i="4"/>
  <c r="G112" i="4"/>
  <c r="G111" i="4"/>
  <c r="G110" i="4"/>
  <c r="G109" i="4"/>
  <c r="G108" i="4"/>
  <c r="G107" i="4"/>
  <c r="G106" i="4"/>
  <c r="G98" i="4"/>
  <c r="G97" i="4"/>
  <c r="G90" i="4"/>
  <c r="G89" i="4"/>
  <c r="G87" i="4"/>
  <c r="G82" i="4"/>
  <c r="G81" i="4"/>
  <c r="G78" i="4"/>
  <c r="G76" i="4"/>
  <c r="G75" i="4"/>
  <c r="G69" i="4"/>
  <c r="G65" i="4"/>
  <c r="G61" i="4"/>
  <c r="G56" i="4"/>
  <c r="G53" i="4"/>
  <c r="G48" i="4"/>
  <c r="G42" i="4"/>
  <c r="G39" i="4"/>
  <c r="G37" i="4"/>
  <c r="G35" i="4"/>
  <c r="G24" i="4"/>
  <c r="G13" i="4"/>
</calcChain>
</file>

<file path=xl/sharedStrings.xml><?xml version="1.0" encoding="utf-8"?>
<sst xmlns="http://schemas.openxmlformats.org/spreadsheetml/2006/main" count="5970" uniqueCount="243">
  <si>
    <t>This datasheet will include ash trees AND non-ash trees. It will include any trees bigger than 12.5 cm DBH in the 18 meter plot, and any trees bigger than 2.5 cm DBH in the subplot. Note the difference in diameter threshold: before we were recording any ash trees bigger than 10 cm DBH in the main plot, but we decided to set the cutoff at 12.5 cm DBH for the main plot for non-ash trees. When entering the data, I'll copy the ash trees into this datasheet as well, as long as they are above 12.5 cm in the 18 m, or 2.5 cm in the 8 m.</t>
  </si>
  <si>
    <t>ash_plot_centers</t>
  </si>
  <si>
    <t>See the file: "EAB_Michigan_2024_raw_data_photos_removed.xlsx". I put the plot center data collected in 2025 into that file.</t>
  </si>
  <si>
    <t>plot_percent_cover_2025</t>
  </si>
  <si>
    <t>This datasheet records data for each quadrant of the entire 18 meter radius for 2025. I (Aaron) stood at about 8 meters from the center and looked both outward and towards the center to make estimates. I stood in the NE, SE, SW, or NW directions. I walked around within the quadrant for about 1 minute as well. I estimated percent cover for each plant taxon or group. Percent covers do not necessarily add up to 100 percent, due to overlap. Percent cover estimates may have some amount of error because it is difficult to make estimates for such a large area.</t>
  </si>
  <si>
    <t>plot_percent_cover_date</t>
  </si>
  <si>
    <t>center_tree_number</t>
  </si>
  <si>
    <t>quadrant</t>
  </si>
  <si>
    <t>water_depth_high</t>
  </si>
  <si>
    <t>Height of the water above the ground at the highest elevation location within the 18 m quadrant. Measured in cm. Likely influenced by rainfall.</t>
  </si>
  <si>
    <t>water_depth_mid</t>
  </si>
  <si>
    <t>Height of the water above the ground at an "average" elevation location within the 18 m quadrant. Measured in cm. Likely influenced by rainfall.</t>
  </si>
  <si>
    <t>water_depth_low</t>
  </si>
  <si>
    <t>Height of the water above the ground at the lowest elevation location within the 18 m quadrant. Measured in cm. Likely influenced by rainfall.</t>
  </si>
  <si>
    <t>water</t>
  </si>
  <si>
    <t>Amount of ground covered by visible water on the surface. Likely influenced by rainfall.</t>
  </si>
  <si>
    <t>graminoids</t>
  </si>
  <si>
    <t>grasses, sedges, cattails</t>
  </si>
  <si>
    <t>skunk_cabbage</t>
  </si>
  <si>
    <t>ferns</t>
  </si>
  <si>
    <t>spicebush</t>
  </si>
  <si>
    <t>ilex</t>
  </si>
  <si>
    <t>glossy_buckthorn</t>
  </si>
  <si>
    <t>not including common buckthorn</t>
  </si>
  <si>
    <t>poison_sumac</t>
  </si>
  <si>
    <t>other_woody_shrub</t>
  </si>
  <si>
    <t>includes dogwood, currants, and others: see notes</t>
  </si>
  <si>
    <t>total_herbaceous_forbs_except_skunk_cabbage</t>
  </si>
  <si>
    <t>notes</t>
  </si>
  <si>
    <t>ash_trees_2025</t>
  </si>
  <si>
    <t>This datasheet will include only ash trees. It will include any trees bigger than 10 cm DBH in the 18 meter plot, and any trees bigger than 2.5 cm DBH in the subplot. This datasheet contains extra columns for recording the sign and symptom information about the ash trees.</t>
  </si>
  <si>
    <t>trees_2025</t>
  </si>
  <si>
    <t>NE</t>
  </si>
  <si>
    <t>dogwood</t>
  </si>
  <si>
    <t>SE</t>
  </si>
  <si>
    <t>multiflora rose</t>
  </si>
  <si>
    <t>SW</t>
  </si>
  <si>
    <t>NW</t>
  </si>
  <si>
    <t>autumn olive</t>
  </si>
  <si>
    <t>stream runs through</t>
  </si>
  <si>
    <t>ribes</t>
  </si>
  <si>
    <t>quadrant_NE_SE_SW_NW</t>
  </si>
  <si>
    <t>compass_direction</t>
  </si>
  <si>
    <t>distance_to_center_meters</t>
  </si>
  <si>
    <t>ash_species</t>
  </si>
  <si>
    <t>diameter_at_137_cm_in_cm</t>
  </si>
  <si>
    <t>canopy_condition_1_5</t>
  </si>
  <si>
    <t>crown_class_D_C_I_S</t>
  </si>
  <si>
    <t>EAB_exit_holes_y_n</t>
  </si>
  <si>
    <t>woodpecker_marks_y_n</t>
  </si>
  <si>
    <t>ash_bark_splitting_y_n</t>
  </si>
  <si>
    <t>epicormic_sprouts_y_n</t>
  </si>
  <si>
    <t>basal_sprouts_y_n</t>
  </si>
  <si>
    <t>galleries_y_n</t>
  </si>
  <si>
    <t>number_of_EAB_exit_holes_from_125_to_175_cm</t>
  </si>
  <si>
    <t>number_of_woodpecker_marks_from_125_to_175_cm</t>
  </si>
  <si>
    <t>tree_tag_info</t>
  </si>
  <si>
    <t>ash_trees_notes</t>
  </si>
  <si>
    <t>leaflet_stalk_length_mm</t>
  </si>
  <si>
    <t>epicormic_sprouts_old_new</t>
  </si>
  <si>
    <t>none</t>
  </si>
  <si>
    <t>NA</t>
  </si>
  <si>
    <t>trees_date_surveyed</t>
  </si>
  <si>
    <t>park</t>
  </si>
  <si>
    <t>inside_8_meters_y_n</t>
  </si>
  <si>
    <t>species</t>
  </si>
  <si>
    <t>living_or_dead</t>
  </si>
  <si>
    <t>canopy_condition_if_ash</t>
  </si>
  <si>
    <t>trees_notes</t>
  </si>
  <si>
    <t>Island Lake</t>
  </si>
  <si>
    <t>y</t>
  </si>
  <si>
    <t>Frangula alnus</t>
  </si>
  <si>
    <t>living</t>
  </si>
  <si>
    <t>Acer saccharinum</t>
  </si>
  <si>
    <t>dead</t>
  </si>
  <si>
    <t>FRPE</t>
  </si>
  <si>
    <t>Tagged - Ash 7 - 8-18-09</t>
  </si>
  <si>
    <t>Ulmus sp.</t>
  </si>
  <si>
    <t>Fraxinus section Melioides</t>
  </si>
  <si>
    <t>Fraxinus sp.</t>
  </si>
  <si>
    <t>center</t>
  </si>
  <si>
    <t>epicormics 1-2 yrs old</t>
  </si>
  <si>
    <t>Tagged - Ash 5 - 8-18-09</t>
  </si>
  <si>
    <t>epicormic sprout fresh</t>
  </si>
  <si>
    <t>declining_y_n</t>
  </si>
  <si>
    <t>number_of_stems</t>
  </si>
  <si>
    <t>Acer sp.</t>
  </si>
  <si>
    <t>n</t>
  </si>
  <si>
    <t>Carpinus caroliniana</t>
  </si>
  <si>
    <t>Tilia americana</t>
  </si>
  <si>
    <t>Unknown</t>
  </si>
  <si>
    <t>Populus deltoides</t>
  </si>
  <si>
    <t>Quercus bicolor</t>
  </si>
  <si>
    <t>asac</t>
  </si>
  <si>
    <t>Carya ovata</t>
  </si>
  <si>
    <t>FRNI</t>
  </si>
  <si>
    <t>Tagged Fraxinus 9: 8-04-11</t>
  </si>
  <si>
    <t>Tagged Ash 1: 8-18-09</t>
  </si>
  <si>
    <t>bark splitting - epicormic and basal sprouts - EAB galleries - woodpecker marks</t>
  </si>
  <si>
    <t>basal and epicormic sprouts - bark split - woodpecker marks</t>
  </si>
  <si>
    <t>bark split - epicormic sprout</t>
  </si>
  <si>
    <t>microplot_NESW</t>
  </si>
  <si>
    <t>number_new_with_cotyledons</t>
  </si>
  <si>
    <t>percent_cover_0_0.5_1_3.5_8_15.5_25.5_etc</t>
  </si>
  <si>
    <t>northeast_number_established_short</t>
  </si>
  <si>
    <t>southeast_number_established_short</t>
  </si>
  <si>
    <t>southwest_number_established_short</t>
  </si>
  <si>
    <t>northwest_number_established_short</t>
  </si>
  <si>
    <t>northeast_number_established_tall</t>
  </si>
  <si>
    <t>southeast_number_established_tall</t>
  </si>
  <si>
    <t>southwest_number_established_tall</t>
  </si>
  <si>
    <t>northwest_number_established_tall</t>
  </si>
  <si>
    <t>area_of_microplot_m_squared</t>
  </si>
  <si>
    <t>ash_seedlings_notes</t>
  </si>
  <si>
    <t>N</t>
  </si>
  <si>
    <t>sedges</t>
  </si>
  <si>
    <t>E</t>
  </si>
  <si>
    <t>S</t>
  </si>
  <si>
    <t>W</t>
  </si>
  <si>
    <t>oak seedlings</t>
  </si>
  <si>
    <t>virginia creeper</t>
  </si>
  <si>
    <t>underwater</t>
  </si>
  <si>
    <t>black_ash_present_y_n</t>
  </si>
  <si>
    <t>green_white_pumpkin_ash_present_y_n</t>
  </si>
  <si>
    <t>ash_bark_splitting_y_n </t>
  </si>
  <si>
    <t>percent_stems_with_signs_or_symptoms</t>
  </si>
  <si>
    <t>ash_saplings_notes</t>
  </si>
  <si>
    <t>green</t>
  </si>
  <si>
    <t>unknown</t>
  </si>
  <si>
    <t>Rhamnus cathartica</t>
  </si>
  <si>
    <t>Prunus serotina</t>
  </si>
  <si>
    <t>Indian Springs</t>
  </si>
  <si>
    <t>Fagus grandifolia</t>
  </si>
  <si>
    <t>Acer saccharum</t>
  </si>
  <si>
    <t>Quercus white oak group</t>
  </si>
  <si>
    <t>Quercus red oak group</t>
  </si>
  <si>
    <t>Populus grandidentata</t>
  </si>
  <si>
    <t>Ostraya virginiana</t>
  </si>
  <si>
    <t>Quercus macrocarpa</t>
  </si>
  <si>
    <t>Acer rubrum</t>
  </si>
  <si>
    <t>Quercus palustris</t>
  </si>
  <si>
    <t>woodpecker marks - bark splits</t>
  </si>
  <si>
    <t>Larix laricina</t>
  </si>
  <si>
    <t>Acer saccharinum or rubrum</t>
  </si>
  <si>
    <t>bark splitting</t>
  </si>
  <si>
    <t>epicormics 2 growing seasons</t>
  </si>
  <si>
    <t>Prunus virginiana</t>
  </si>
  <si>
    <t>Fresh epicormics</t>
  </si>
  <si>
    <t>fresh epicormics</t>
  </si>
  <si>
    <t>Populus sp.</t>
  </si>
  <si>
    <t>elder berry</t>
  </si>
  <si>
    <t>horsetails</t>
  </si>
  <si>
    <t>stream</t>
  </si>
  <si>
    <t>that same herbaceous forb as 77</t>
  </si>
  <si>
    <t>barberry</t>
  </si>
  <si>
    <t>swamp rose</t>
  </si>
  <si>
    <t>roses</t>
  </si>
  <si>
    <t>hazel nut</t>
  </si>
  <si>
    <t>nanny berry</t>
  </si>
  <si>
    <t>spirea (meadow sweet)</t>
  </si>
  <si>
    <t>viburnum (photo)</t>
  </si>
  <si>
    <t>ericaceae sp.</t>
  </si>
  <si>
    <t>viburnum</t>
  </si>
  <si>
    <t>sensitive fern -  dogwood -  hazelnut</t>
  </si>
  <si>
    <t>autumn olive -  brambles</t>
  </si>
  <si>
    <t>dogwood -  roses</t>
  </si>
  <si>
    <t>maiden hair fern/sprial fern -  autumn olive</t>
  </si>
  <si>
    <t>buckthorn -  autumn olive</t>
  </si>
  <si>
    <t>elderberry -  brambles -  dogwood</t>
  </si>
  <si>
    <t>autumn olive -  currents -  hazel nut -  prickly ash -  nanny berry</t>
  </si>
  <si>
    <t>autumn olive -  hazel nut</t>
  </si>
  <si>
    <t>swamp rose (photo) -  autumn olive -  grasses</t>
  </si>
  <si>
    <t>some kind of forn which grows after flooding - also -  tall grasses.</t>
  </si>
  <si>
    <t>part has tall grasses -  another has tall sedges.</t>
  </si>
  <si>
    <t>multiflora rose -  common buckthorn -  part has hummocks of sedges.</t>
  </si>
  <si>
    <t>ribes -  autumn olive (small)</t>
  </si>
  <si>
    <t>autumn olive -  vibrunum</t>
  </si>
  <si>
    <t>dogwood -  ribes</t>
  </si>
  <si>
    <t>blueberry (family) -  ribes -  nanny berry -  autumn olive -  brambles</t>
  </si>
  <si>
    <t>common buckthorn -  hazel nut</t>
  </si>
  <si>
    <t>autumn olive -  privot/honey suckel -  current -  zanthoxylem</t>
  </si>
  <si>
    <t>autumn olive -  dogwood</t>
  </si>
  <si>
    <t>cattails=graminoids -  currents -  nanny berry</t>
  </si>
  <si>
    <t>cattials -  blueberry (family) -  autumn olive</t>
  </si>
  <si>
    <t>autumn olive -  spirea -  swamp rose</t>
  </si>
  <si>
    <t>multiflora rose -  autumn olive -  celastrus -  rubus -  viburnum</t>
  </si>
  <si>
    <t>different kind of viburnum -  dogwood</t>
  </si>
  <si>
    <t>swamp rose -  spirea</t>
  </si>
  <si>
    <t>american royal fern -  water plantain -  prickly ash</t>
  </si>
  <si>
    <t>entire plot (or more) has thick peat or sphagnum -  ericaceae sp. -  swamp rose</t>
  </si>
  <si>
    <t>dogwood -  ericaceae</t>
  </si>
  <si>
    <t>ericaceae -  swamp rose</t>
  </si>
  <si>
    <t>dying spice bush -  autumn olive -  barberry</t>
  </si>
  <si>
    <t>common buckthorn too -  autumn olive</t>
  </si>
  <si>
    <t>ericaceae sp. -  dogwood -  entire plot with lots of cattails</t>
  </si>
  <si>
    <t>ericaceae sp. -  autumn olive</t>
  </si>
  <si>
    <t>multiflora rose -  dogwood (red osier?) -  barberry -  autumn olive</t>
  </si>
  <si>
    <t>dogwood (red osier?) -  roses (not multiflora)</t>
  </si>
  <si>
    <t>dogwood -  spirea</t>
  </si>
  <si>
    <t>spicebush thrips - autumn olive - cornus sp. - hummocks of sedges</t>
  </si>
  <si>
    <t>irises - autumn olive</t>
  </si>
  <si>
    <t>mostly Carpinus in the understory (not counted here) - northern maidenhair fern - sensitive fern - Christmas fern - Northern lady fern - Autumn olive</t>
  </si>
  <si>
    <t>Corylus - Autumn olive</t>
  </si>
  <si>
    <t>for all quadrants - American royal fern most common - also some spinulose wood fern - NE has cinnamon fern - Irises - lesser purple fringed orchid</t>
  </si>
  <si>
    <t>Cornus alterniflora</t>
  </si>
  <si>
    <t>Multiflora rose - autumn olive</t>
  </si>
  <si>
    <t>Autumn olive</t>
  </si>
  <si>
    <t>swamp rose - dogwood - barberry</t>
  </si>
  <si>
    <t>dogwood - spirea</t>
  </si>
  <si>
    <t>dogwood - Corylus - common buckthorn - crataegus (?) see photos</t>
  </si>
  <si>
    <t>spicebush thrips (see photo) - Corylus - Ribes - Sambucus - Nannyberry Viburnum - Ericaceae sp.</t>
  </si>
  <si>
    <t>Cinnamon fern - royal fern - sensitive fern - elderberry - Corylus</t>
  </si>
  <si>
    <t>Corylus</t>
  </si>
  <si>
    <t>maple leaf viburnum (?)</t>
  </si>
  <si>
    <t>maple leaf viburnum (?) - witchhazel</t>
  </si>
  <si>
    <t>multiflora rose - xanthoxylum - dogwood - possibly Cornus florida</t>
  </si>
  <si>
    <t>xanthoxylum</t>
  </si>
  <si>
    <t>xanthoxylum - dogwood</t>
  </si>
  <si>
    <t xml:space="preserve">multiflora rose - xanthoxylum </t>
  </si>
  <si>
    <t>hummocks of sedges</t>
  </si>
  <si>
    <t>Corylus - dogwood - sensitive fern - pines</t>
  </si>
  <si>
    <t>dogwood - corylus</t>
  </si>
  <si>
    <t>swamp rose - corylus</t>
  </si>
  <si>
    <t>Corylus - Autumn olive - sensitive fern</t>
  </si>
  <si>
    <t>nannyberry</t>
  </si>
  <si>
    <t>tall sedges</t>
  </si>
  <si>
    <t>The kind of plant that comes up after floodwaters recede - also dogwood</t>
  </si>
  <si>
    <t>Swamp white oak</t>
  </si>
  <si>
    <t>fallen leaves and muck</t>
  </si>
  <si>
    <t>Possible newly germinated ash seedlings just outside the microplot</t>
  </si>
  <si>
    <t>Water forget-me-not flowers</t>
  </si>
  <si>
    <t>possible deer browsing</t>
  </si>
  <si>
    <t>less than 8</t>
  </si>
  <si>
    <t>I</t>
  </si>
  <si>
    <t>black</t>
  </si>
  <si>
    <t>C</t>
  </si>
  <si>
    <t>new</t>
  </si>
  <si>
    <t>epicormic sprouts 1-2 years old</t>
  </si>
  <si>
    <t>There are lots of black and green or pumpkin ash small trees in the main plot</t>
  </si>
  <si>
    <t>between 8 and 18</t>
  </si>
  <si>
    <t>D</t>
  </si>
  <si>
    <t>Ash 6 - 07_15_2011</t>
  </si>
  <si>
    <t>2 stems were added together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</si>
</sst>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Aptos Narrow"/>
      <family val="2"/>
      <scheme val="minor"/>
    </font>
    <font>
      <b/>
      <sz val="11"/>
      <color theme="1"/>
      <name val="Aptos Narrow"/>
      <family val="2"/>
      <scheme val="minor"/>
    </font>
    <font>
      <sz val="8"/>
      <name val="Aptos Narrow"/>
      <family val="2"/>
      <scheme val="minor"/>
    </font>
  </fonts>
  <fills count="7">
    <fill>
      <patternFill patternType="none"/>
    </fill>
    <fill>
      <patternFill patternType="gray125"/>
    </fill>
    <fill>
      <patternFill patternType="solid">
        <fgColor rgb="FFFFFF00"/>
        <bgColor indexed="64"/>
      </patternFill>
    </fill>
    <fill>
      <patternFill patternType="solid">
        <fgColor theme="5" tint="0.79998168889431442"/>
        <bgColor indexed="64"/>
      </patternFill>
    </fill>
    <fill>
      <patternFill patternType="solid">
        <fgColor theme="7" tint="0.79998168889431442"/>
        <bgColor indexed="64"/>
      </patternFill>
    </fill>
    <fill>
      <patternFill patternType="solid">
        <fgColor rgb="FF92D050"/>
        <bgColor indexed="64"/>
      </patternFill>
    </fill>
    <fill>
      <patternFill patternType="solid">
        <fgColor rgb="FFFF0000"/>
        <bgColor indexed="64"/>
      </patternFill>
    </fill>
  </fills>
  <borders count="1">
    <border>
      <left/>
      <right/>
      <top/>
      <bottom/>
      <diagonal/>
    </border>
  </borders>
  <cellStyleXfs count="1">
    <xf numFmtId="0" fontId="0" fillId="0" borderId="0"/>
  </cellStyleXfs>
  <cellXfs count="11">
    <xf numFmtId="0" fontId="0" fillId="0" borderId="0" xfId="0"/>
    <xf numFmtId="0" fontId="0" fillId="0" borderId="0" xfId="0" applyAlignment="1">
      <alignment wrapText="1"/>
    </xf>
    <xf numFmtId="0" fontId="1" fillId="0" borderId="0" xfId="0" applyFont="1"/>
    <xf numFmtId="0" fontId="1" fillId="0" borderId="0" xfId="0" applyFont="1" applyAlignment="1">
      <alignment wrapText="1"/>
    </xf>
    <xf numFmtId="14" fontId="0" fillId="0" borderId="0" xfId="0" applyNumberFormat="1"/>
    <xf numFmtId="14" fontId="0" fillId="2" borderId="0" xfId="0" applyNumberFormat="1" applyFill="1"/>
    <xf numFmtId="0" fontId="0" fillId="2" borderId="0" xfId="0" applyFill="1"/>
    <xf numFmtId="0" fontId="0" fillId="3" borderId="0" xfId="0" applyFill="1" applyAlignment="1">
      <alignment wrapText="1"/>
    </xf>
    <xf numFmtId="0" fontId="0" fillId="4" borderId="0" xfId="0" applyFill="1" applyAlignment="1">
      <alignment wrapText="1"/>
    </xf>
    <xf numFmtId="0" fontId="0" fillId="5" borderId="0" xfId="0" applyFill="1" applyAlignment="1">
      <alignment wrapText="1"/>
    </xf>
    <xf numFmtId="0" fontId="0" fillId="6" borderId="0" xfId="0" applyFill="1"/>
  </cellXfs>
  <cellStyles count="1">
    <cellStyle name="Normal" xfId="0" builtinId="0"/>
  </cellStyles>
  <dxfs count="6">
    <dxf>
      <fill>
        <patternFill>
          <bgColor theme="9" tint="0.59996337778862885"/>
        </patternFill>
      </fill>
    </dxf>
    <dxf>
      <fill>
        <patternFill>
          <bgColor theme="5" tint="0.39994506668294322"/>
        </patternFill>
      </fill>
    </dxf>
    <dxf>
      <fill>
        <patternFill>
          <bgColor rgb="FFFFC000"/>
        </patternFill>
      </fill>
    </dxf>
    <dxf>
      <fill>
        <patternFill>
          <bgColor theme="7" tint="-0.24994659260841701"/>
        </patternFill>
      </fill>
    </dxf>
    <dxf>
      <fill>
        <patternFill>
          <bgColor theme="9" tint="0.59996337778862885"/>
        </patternFill>
      </fill>
    </dxf>
    <dxf>
      <fill>
        <patternFill>
          <bgColor theme="9"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B37D58-78F1-410A-A87A-C086B7622DF0}">
  <dimension ref="A2:B97"/>
  <sheetViews>
    <sheetView workbookViewId="0">
      <selection activeCell="B7" sqref="B7"/>
    </sheetView>
  </sheetViews>
  <sheetFormatPr defaultRowHeight="14.5" x14ac:dyDescent="0.35"/>
  <cols>
    <col min="1" max="1" width="30.7265625" customWidth="1"/>
    <col min="2" max="2" width="127.6328125" customWidth="1"/>
  </cols>
  <sheetData>
    <row r="2" spans="1:2" x14ac:dyDescent="0.35">
      <c r="A2" s="2" t="s">
        <v>1</v>
      </c>
      <c r="B2" t="s">
        <v>2</v>
      </c>
    </row>
    <row r="7" spans="1:2" ht="15" customHeight="1" x14ac:dyDescent="0.35"/>
    <row r="8" spans="1:2" ht="59.5" customHeight="1" x14ac:dyDescent="0.35">
      <c r="A8" s="2" t="s">
        <v>3</v>
      </c>
      <c r="B8" s="1" t="s">
        <v>4</v>
      </c>
    </row>
    <row r="9" spans="1:2" x14ac:dyDescent="0.35">
      <c r="A9" t="s">
        <v>5</v>
      </c>
    </row>
    <row r="10" spans="1:2" x14ac:dyDescent="0.35">
      <c r="A10" s="1" t="s">
        <v>6</v>
      </c>
    </row>
    <row r="11" spans="1:2" x14ac:dyDescent="0.35">
      <c r="A11" t="s">
        <v>7</v>
      </c>
    </row>
    <row r="12" spans="1:2" x14ac:dyDescent="0.35">
      <c r="A12" t="s">
        <v>8</v>
      </c>
      <c r="B12" t="s">
        <v>9</v>
      </c>
    </row>
    <row r="13" spans="1:2" x14ac:dyDescent="0.35">
      <c r="A13" t="s">
        <v>10</v>
      </c>
      <c r="B13" t="s">
        <v>11</v>
      </c>
    </row>
    <row r="14" spans="1:2" x14ac:dyDescent="0.35">
      <c r="A14" t="s">
        <v>12</v>
      </c>
      <c r="B14" t="s">
        <v>13</v>
      </c>
    </row>
    <row r="15" spans="1:2" x14ac:dyDescent="0.35">
      <c r="A15" t="s">
        <v>14</v>
      </c>
      <c r="B15" t="s">
        <v>15</v>
      </c>
    </row>
    <row r="16" spans="1:2" x14ac:dyDescent="0.35">
      <c r="A16" t="s">
        <v>16</v>
      </c>
      <c r="B16" t="s">
        <v>17</v>
      </c>
    </row>
    <row r="17" spans="1:2" x14ac:dyDescent="0.35">
      <c r="A17" t="s">
        <v>18</v>
      </c>
    </row>
    <row r="18" spans="1:2" x14ac:dyDescent="0.35">
      <c r="A18" t="s">
        <v>19</v>
      </c>
    </row>
    <row r="19" spans="1:2" x14ac:dyDescent="0.35">
      <c r="A19" t="s">
        <v>20</v>
      </c>
    </row>
    <row r="20" spans="1:2" x14ac:dyDescent="0.35">
      <c r="A20" t="s">
        <v>21</v>
      </c>
    </row>
    <row r="21" spans="1:2" x14ac:dyDescent="0.35">
      <c r="A21" t="s">
        <v>22</v>
      </c>
      <c r="B21" t="s">
        <v>23</v>
      </c>
    </row>
    <row r="22" spans="1:2" x14ac:dyDescent="0.35">
      <c r="A22" t="s">
        <v>24</v>
      </c>
    </row>
    <row r="23" spans="1:2" x14ac:dyDescent="0.35">
      <c r="A23" t="s">
        <v>25</v>
      </c>
      <c r="B23" t="s">
        <v>26</v>
      </c>
    </row>
    <row r="24" spans="1:2" ht="29" x14ac:dyDescent="0.35">
      <c r="A24" s="1" t="s">
        <v>27</v>
      </c>
    </row>
    <row r="25" spans="1:2" x14ac:dyDescent="0.35">
      <c r="A25" t="s">
        <v>28</v>
      </c>
    </row>
    <row r="26" spans="1:2" x14ac:dyDescent="0.35">
      <c r="A26" s="2"/>
    </row>
    <row r="27" spans="1:2" ht="29" x14ac:dyDescent="0.35">
      <c r="A27" s="2" t="s">
        <v>29</v>
      </c>
      <c r="B27" s="1" t="s">
        <v>30</v>
      </c>
    </row>
    <row r="28" spans="1:2" x14ac:dyDescent="0.35">
      <c r="A28" s="2"/>
    </row>
    <row r="29" spans="1:2" x14ac:dyDescent="0.35">
      <c r="A29" s="2"/>
    </row>
    <row r="30" spans="1:2" ht="58" x14ac:dyDescent="0.35">
      <c r="A30" s="2" t="s">
        <v>31</v>
      </c>
      <c r="B30" s="1" t="s">
        <v>0</v>
      </c>
    </row>
    <row r="31" spans="1:2" x14ac:dyDescent="0.35">
      <c r="A31" s="2"/>
    </row>
    <row r="32" spans="1:2" x14ac:dyDescent="0.35">
      <c r="A32" s="2"/>
    </row>
    <row r="33" spans="1:1" x14ac:dyDescent="0.35">
      <c r="A33" s="2"/>
    </row>
    <row r="34" spans="1:1" x14ac:dyDescent="0.35">
      <c r="A34" s="2"/>
    </row>
    <row r="35" spans="1:1" x14ac:dyDescent="0.35">
      <c r="A35" s="2"/>
    </row>
    <row r="36" spans="1:1" x14ac:dyDescent="0.35">
      <c r="A36" s="2"/>
    </row>
    <row r="37" spans="1:1" x14ac:dyDescent="0.35">
      <c r="A37" s="2"/>
    </row>
    <row r="38" spans="1:1" x14ac:dyDescent="0.35">
      <c r="A38" s="2"/>
    </row>
    <row r="39" spans="1:1" x14ac:dyDescent="0.35">
      <c r="A39" s="2"/>
    </row>
    <row r="40" spans="1:1" x14ac:dyDescent="0.35">
      <c r="A40" s="2"/>
    </row>
    <row r="41" spans="1:1" x14ac:dyDescent="0.35">
      <c r="A41" s="2"/>
    </row>
    <row r="42" spans="1:1" x14ac:dyDescent="0.35">
      <c r="A42" s="2"/>
    </row>
    <row r="43" spans="1:1" x14ac:dyDescent="0.35">
      <c r="A43" s="2"/>
    </row>
    <row r="44" spans="1:1" x14ac:dyDescent="0.35">
      <c r="A44" s="2"/>
    </row>
    <row r="45" spans="1:1" x14ac:dyDescent="0.35">
      <c r="A45" s="2"/>
    </row>
    <row r="46" spans="1:1" x14ac:dyDescent="0.35">
      <c r="A46" s="2"/>
    </row>
    <row r="47" spans="1:1" x14ac:dyDescent="0.35">
      <c r="A47" s="2"/>
    </row>
    <row r="48" spans="1:1" x14ac:dyDescent="0.35">
      <c r="A48" s="2"/>
    </row>
    <row r="49" spans="1:1" x14ac:dyDescent="0.35">
      <c r="A49" s="2"/>
    </row>
    <row r="50" spans="1:1" x14ac:dyDescent="0.35">
      <c r="A50" s="2"/>
    </row>
    <row r="51" spans="1:1" x14ac:dyDescent="0.35">
      <c r="A51" s="2"/>
    </row>
    <row r="52" spans="1:1" x14ac:dyDescent="0.35">
      <c r="A52" s="2"/>
    </row>
    <row r="53" spans="1:1" x14ac:dyDescent="0.35">
      <c r="A53" s="2"/>
    </row>
    <row r="54" spans="1:1" x14ac:dyDescent="0.35">
      <c r="A54" s="2"/>
    </row>
    <row r="55" spans="1:1" x14ac:dyDescent="0.35">
      <c r="A55" s="2"/>
    </row>
    <row r="56" spans="1:1" x14ac:dyDescent="0.35">
      <c r="A56" s="2"/>
    </row>
    <row r="57" spans="1:1" x14ac:dyDescent="0.35">
      <c r="A57" s="2"/>
    </row>
    <row r="58" spans="1:1" x14ac:dyDescent="0.35">
      <c r="A58" s="2"/>
    </row>
    <row r="59" spans="1:1" x14ac:dyDescent="0.35">
      <c r="A59" s="2"/>
    </row>
    <row r="60" spans="1:1" x14ac:dyDescent="0.35">
      <c r="A60" s="2"/>
    </row>
    <row r="61" spans="1:1" x14ac:dyDescent="0.35">
      <c r="A61" s="2"/>
    </row>
    <row r="62" spans="1:1" x14ac:dyDescent="0.35">
      <c r="A62" s="2"/>
    </row>
    <row r="63" spans="1:1" x14ac:dyDescent="0.35">
      <c r="A63" s="2"/>
    </row>
    <row r="64" spans="1:1" x14ac:dyDescent="0.35">
      <c r="A64" s="2"/>
    </row>
    <row r="65" spans="1:1" x14ac:dyDescent="0.35">
      <c r="A65" s="2"/>
    </row>
    <row r="66" spans="1:1" x14ac:dyDescent="0.35">
      <c r="A66" s="2"/>
    </row>
    <row r="67" spans="1:1" x14ac:dyDescent="0.35">
      <c r="A67" s="2"/>
    </row>
    <row r="68" spans="1:1" x14ac:dyDescent="0.35">
      <c r="A68" s="2"/>
    </row>
    <row r="69" spans="1:1" x14ac:dyDescent="0.35">
      <c r="A69" s="2"/>
    </row>
    <row r="70" spans="1:1" x14ac:dyDescent="0.35">
      <c r="A70" s="2"/>
    </row>
    <row r="71" spans="1:1" x14ac:dyDescent="0.35">
      <c r="A71" s="2"/>
    </row>
    <row r="72" spans="1:1" x14ac:dyDescent="0.35">
      <c r="A72" s="2"/>
    </row>
    <row r="73" spans="1:1" x14ac:dyDescent="0.35">
      <c r="A73" s="2"/>
    </row>
    <row r="74" spans="1:1" x14ac:dyDescent="0.35">
      <c r="A74" s="2"/>
    </row>
    <row r="75" spans="1:1" x14ac:dyDescent="0.35">
      <c r="A75" s="2"/>
    </row>
    <row r="76" spans="1:1" x14ac:dyDescent="0.35">
      <c r="A76" s="2"/>
    </row>
    <row r="77" spans="1:1" x14ac:dyDescent="0.35">
      <c r="A77" s="2"/>
    </row>
    <row r="78" spans="1:1" x14ac:dyDescent="0.35">
      <c r="A78" s="2"/>
    </row>
    <row r="79" spans="1:1" x14ac:dyDescent="0.35">
      <c r="A79" s="2"/>
    </row>
    <row r="80" spans="1:1" x14ac:dyDescent="0.35">
      <c r="A80" s="2"/>
    </row>
    <row r="81" spans="1:1" x14ac:dyDescent="0.35">
      <c r="A81" s="2"/>
    </row>
    <row r="82" spans="1:1" x14ac:dyDescent="0.35">
      <c r="A82" s="2"/>
    </row>
    <row r="83" spans="1:1" x14ac:dyDescent="0.35">
      <c r="A83" s="2"/>
    </row>
    <row r="84" spans="1:1" x14ac:dyDescent="0.35">
      <c r="A84" s="2"/>
    </row>
    <row r="85" spans="1:1" x14ac:dyDescent="0.35">
      <c r="A85" s="2"/>
    </row>
    <row r="86" spans="1:1" x14ac:dyDescent="0.35">
      <c r="A86" s="2"/>
    </row>
    <row r="87" spans="1:1" x14ac:dyDescent="0.35">
      <c r="A87" s="2"/>
    </row>
    <row r="88" spans="1:1" x14ac:dyDescent="0.35">
      <c r="A88" s="2"/>
    </row>
    <row r="89" spans="1:1" x14ac:dyDescent="0.35">
      <c r="A89" s="2"/>
    </row>
    <row r="90" spans="1:1" x14ac:dyDescent="0.35">
      <c r="A90" s="2"/>
    </row>
    <row r="91" spans="1:1" x14ac:dyDescent="0.35">
      <c r="A91" s="2"/>
    </row>
    <row r="92" spans="1:1" x14ac:dyDescent="0.35">
      <c r="A92" s="2"/>
    </row>
    <row r="93" spans="1:1" x14ac:dyDescent="0.35">
      <c r="A93" s="2"/>
    </row>
    <row r="94" spans="1:1" x14ac:dyDescent="0.35">
      <c r="A94" s="2"/>
    </row>
    <row r="95" spans="1:1" x14ac:dyDescent="0.35">
      <c r="A95" s="2"/>
    </row>
    <row r="96" spans="1:1" x14ac:dyDescent="0.35">
      <c r="A96" s="2"/>
    </row>
    <row r="97" spans="1:1" x14ac:dyDescent="0.35">
      <c r="A97" s="2"/>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E1F5EC-8622-407A-AF1E-6D608EE1461D}">
  <dimension ref="A1:M121"/>
  <sheetViews>
    <sheetView workbookViewId="0">
      <pane ySplit="1" topLeftCell="A104" activePane="bottomLeft" state="frozen"/>
      <selection pane="bottomLeft" activeCell="M119" sqref="M119"/>
    </sheetView>
  </sheetViews>
  <sheetFormatPr defaultRowHeight="14.5" x14ac:dyDescent="0.35"/>
  <cols>
    <col min="1" max="1" width="11.90625" customWidth="1"/>
    <col min="2" max="2" width="11.1796875" customWidth="1"/>
    <col min="5" max="5" width="13.26953125" customWidth="1"/>
    <col min="6" max="6" width="15.1796875" customWidth="1"/>
    <col min="8" max="8" width="13.36328125" customWidth="1"/>
    <col min="10" max="10" width="17.453125" customWidth="1"/>
    <col min="11" max="11" width="15.08984375" customWidth="1"/>
    <col min="12" max="12" width="18.6328125" customWidth="1"/>
    <col min="13" max="13" width="61.08984375" customWidth="1"/>
  </cols>
  <sheetData>
    <row r="1" spans="1:13" ht="29" x14ac:dyDescent="0.35">
      <c r="A1" s="3" t="s">
        <v>5</v>
      </c>
      <c r="B1" s="3" t="s">
        <v>6</v>
      </c>
      <c r="C1" s="2" t="s">
        <v>7</v>
      </c>
      <c r="D1" s="2" t="s">
        <v>14</v>
      </c>
      <c r="E1" s="2" t="s">
        <v>16</v>
      </c>
      <c r="F1" s="2" t="s">
        <v>18</v>
      </c>
      <c r="G1" s="2" t="s">
        <v>19</v>
      </c>
      <c r="H1" s="2" t="s">
        <v>20</v>
      </c>
      <c r="I1" s="2" t="s">
        <v>21</v>
      </c>
      <c r="J1" s="2" t="s">
        <v>22</v>
      </c>
      <c r="K1" s="2" t="s">
        <v>24</v>
      </c>
      <c r="L1" s="2" t="s">
        <v>25</v>
      </c>
      <c r="M1" s="2" t="s">
        <v>28</v>
      </c>
    </row>
    <row r="2" spans="1:13" x14ac:dyDescent="0.35">
      <c r="A2" s="4">
        <v>45799</v>
      </c>
      <c r="B2">
        <v>106</v>
      </c>
      <c r="C2" t="s">
        <v>32</v>
      </c>
      <c r="D2">
        <v>8</v>
      </c>
      <c r="E2">
        <v>85.5</v>
      </c>
      <c r="F2">
        <v>35.5</v>
      </c>
      <c r="G2">
        <v>8</v>
      </c>
      <c r="H2">
        <v>1</v>
      </c>
      <c r="I2">
        <v>0</v>
      </c>
      <c r="J2">
        <v>0</v>
      </c>
      <c r="K2">
        <v>0</v>
      </c>
      <c r="L2">
        <v>3.5</v>
      </c>
      <c r="M2" t="s">
        <v>33</v>
      </c>
    </row>
    <row r="3" spans="1:13" x14ac:dyDescent="0.35">
      <c r="A3" s="4">
        <v>45799</v>
      </c>
      <c r="B3">
        <v>106</v>
      </c>
      <c r="C3" t="s">
        <v>34</v>
      </c>
      <c r="D3">
        <v>25.5</v>
      </c>
      <c r="E3">
        <v>15.5</v>
      </c>
      <c r="F3">
        <v>25.5</v>
      </c>
      <c r="G3">
        <v>3.5</v>
      </c>
      <c r="H3">
        <v>0</v>
      </c>
      <c r="I3">
        <v>0</v>
      </c>
      <c r="J3">
        <v>0</v>
      </c>
      <c r="K3">
        <v>0</v>
      </c>
      <c r="L3">
        <v>3.5</v>
      </c>
      <c r="M3" t="s">
        <v>35</v>
      </c>
    </row>
    <row r="4" spans="1:13" x14ac:dyDescent="0.35">
      <c r="A4" s="4">
        <v>45799</v>
      </c>
      <c r="B4">
        <v>106</v>
      </c>
      <c r="C4" t="s">
        <v>36</v>
      </c>
      <c r="D4">
        <v>8</v>
      </c>
      <c r="E4">
        <v>85.5</v>
      </c>
      <c r="F4">
        <v>75.5</v>
      </c>
      <c r="G4">
        <v>0</v>
      </c>
      <c r="H4">
        <v>1</v>
      </c>
      <c r="I4">
        <v>0</v>
      </c>
      <c r="J4">
        <v>0</v>
      </c>
      <c r="K4">
        <v>0</v>
      </c>
      <c r="L4">
        <v>3.5</v>
      </c>
    </row>
    <row r="5" spans="1:13" x14ac:dyDescent="0.35">
      <c r="A5" s="4">
        <v>45799</v>
      </c>
      <c r="B5">
        <v>106</v>
      </c>
      <c r="C5" t="s">
        <v>37</v>
      </c>
      <c r="D5">
        <v>8</v>
      </c>
      <c r="E5">
        <v>65.5</v>
      </c>
      <c r="F5">
        <v>55.5</v>
      </c>
      <c r="G5">
        <v>3.5</v>
      </c>
      <c r="H5">
        <v>1</v>
      </c>
      <c r="I5">
        <v>0</v>
      </c>
      <c r="J5">
        <v>1</v>
      </c>
      <c r="K5">
        <v>0</v>
      </c>
      <c r="L5">
        <v>3.5</v>
      </c>
    </row>
    <row r="6" spans="1:13" x14ac:dyDescent="0.35">
      <c r="A6" s="4">
        <v>45799</v>
      </c>
      <c r="B6">
        <v>107</v>
      </c>
      <c r="C6" t="s">
        <v>32</v>
      </c>
      <c r="D6">
        <v>15.5</v>
      </c>
      <c r="E6">
        <v>35.5</v>
      </c>
      <c r="F6">
        <v>35.5</v>
      </c>
      <c r="G6">
        <v>8</v>
      </c>
      <c r="H6">
        <v>0</v>
      </c>
      <c r="I6">
        <v>0</v>
      </c>
      <c r="J6">
        <v>0</v>
      </c>
      <c r="K6">
        <v>0</v>
      </c>
      <c r="L6">
        <v>3.5</v>
      </c>
      <c r="M6" t="s">
        <v>38</v>
      </c>
    </row>
    <row r="7" spans="1:13" x14ac:dyDescent="0.35">
      <c r="A7" s="4">
        <v>45799</v>
      </c>
      <c r="B7">
        <v>107</v>
      </c>
      <c r="C7" t="s">
        <v>34</v>
      </c>
      <c r="D7">
        <v>15.5</v>
      </c>
      <c r="E7">
        <v>8</v>
      </c>
      <c r="F7">
        <v>55.5</v>
      </c>
      <c r="G7">
        <v>8</v>
      </c>
      <c r="H7">
        <v>0</v>
      </c>
      <c r="I7">
        <v>0</v>
      </c>
      <c r="J7">
        <v>0</v>
      </c>
      <c r="K7">
        <v>0</v>
      </c>
      <c r="L7">
        <v>0</v>
      </c>
      <c r="M7" t="s">
        <v>39</v>
      </c>
    </row>
    <row r="8" spans="1:13" x14ac:dyDescent="0.35">
      <c r="A8" s="4">
        <v>45799</v>
      </c>
      <c r="B8">
        <v>107</v>
      </c>
      <c r="C8" t="s">
        <v>36</v>
      </c>
      <c r="D8">
        <v>15.5</v>
      </c>
      <c r="E8">
        <v>25.5</v>
      </c>
      <c r="F8">
        <v>35.5</v>
      </c>
      <c r="G8">
        <v>3.5</v>
      </c>
      <c r="H8">
        <v>0</v>
      </c>
      <c r="I8">
        <v>0</v>
      </c>
      <c r="J8">
        <v>0</v>
      </c>
      <c r="K8">
        <v>0</v>
      </c>
      <c r="L8">
        <v>1</v>
      </c>
      <c r="M8" t="s">
        <v>40</v>
      </c>
    </row>
    <row r="9" spans="1:13" x14ac:dyDescent="0.35">
      <c r="A9" s="4">
        <v>45799</v>
      </c>
      <c r="B9">
        <v>107</v>
      </c>
      <c r="C9" t="s">
        <v>37</v>
      </c>
      <c r="D9">
        <v>15.5</v>
      </c>
      <c r="E9">
        <v>45.5</v>
      </c>
      <c r="F9">
        <v>25.5</v>
      </c>
      <c r="G9">
        <v>3.5</v>
      </c>
      <c r="H9">
        <v>0</v>
      </c>
      <c r="I9">
        <v>0</v>
      </c>
      <c r="J9">
        <v>0</v>
      </c>
      <c r="K9">
        <v>0</v>
      </c>
      <c r="L9">
        <v>0</v>
      </c>
    </row>
    <row r="10" spans="1:13" x14ac:dyDescent="0.35">
      <c r="A10" s="4">
        <v>45800</v>
      </c>
      <c r="B10">
        <v>40</v>
      </c>
      <c r="C10" t="s">
        <v>32</v>
      </c>
      <c r="D10">
        <v>1</v>
      </c>
      <c r="E10">
        <v>95.5</v>
      </c>
      <c r="F10">
        <v>55.5</v>
      </c>
      <c r="G10">
        <v>3.5</v>
      </c>
      <c r="H10">
        <v>1</v>
      </c>
      <c r="I10">
        <v>0</v>
      </c>
      <c r="J10">
        <v>1</v>
      </c>
      <c r="K10">
        <v>3.5</v>
      </c>
      <c r="L10">
        <v>1</v>
      </c>
    </row>
    <row r="11" spans="1:13" x14ac:dyDescent="0.35">
      <c r="A11" s="4">
        <v>45800</v>
      </c>
      <c r="B11">
        <v>40</v>
      </c>
      <c r="C11" t="s">
        <v>34</v>
      </c>
      <c r="D11">
        <v>15.5</v>
      </c>
      <c r="E11">
        <v>95.5</v>
      </c>
      <c r="F11">
        <v>8</v>
      </c>
      <c r="G11">
        <v>3.5</v>
      </c>
      <c r="H11">
        <v>0</v>
      </c>
      <c r="I11">
        <v>0</v>
      </c>
      <c r="J11">
        <v>0</v>
      </c>
      <c r="K11">
        <v>1</v>
      </c>
      <c r="L11">
        <v>3.5</v>
      </c>
    </row>
    <row r="12" spans="1:13" x14ac:dyDescent="0.35">
      <c r="A12" s="4">
        <v>45800</v>
      </c>
      <c r="B12">
        <v>40</v>
      </c>
      <c r="C12" t="s">
        <v>36</v>
      </c>
      <c r="D12">
        <v>8</v>
      </c>
      <c r="E12">
        <v>95.5</v>
      </c>
      <c r="F12">
        <v>3.5</v>
      </c>
      <c r="G12">
        <v>8</v>
      </c>
      <c r="H12">
        <v>0</v>
      </c>
      <c r="I12">
        <v>0</v>
      </c>
      <c r="J12">
        <v>0</v>
      </c>
      <c r="K12">
        <v>3.5</v>
      </c>
      <c r="L12">
        <v>3.5</v>
      </c>
    </row>
    <row r="13" spans="1:13" x14ac:dyDescent="0.35">
      <c r="A13" s="4">
        <v>45800</v>
      </c>
      <c r="B13">
        <v>40</v>
      </c>
      <c r="C13" t="s">
        <v>37</v>
      </c>
      <c r="D13">
        <v>1</v>
      </c>
      <c r="E13">
        <v>95.5</v>
      </c>
      <c r="F13">
        <v>35.5</v>
      </c>
      <c r="G13">
        <v>8</v>
      </c>
      <c r="H13">
        <v>1</v>
      </c>
      <c r="I13">
        <v>0</v>
      </c>
      <c r="J13">
        <v>0</v>
      </c>
      <c r="K13">
        <v>3.5</v>
      </c>
      <c r="L13">
        <v>1</v>
      </c>
    </row>
    <row r="14" spans="1:13" x14ac:dyDescent="0.35">
      <c r="A14" s="4">
        <v>45805</v>
      </c>
      <c r="B14">
        <v>103</v>
      </c>
      <c r="C14" t="s">
        <v>32</v>
      </c>
      <c r="D14">
        <v>15.5</v>
      </c>
      <c r="E14">
        <v>75.5</v>
      </c>
      <c r="F14">
        <v>15.5</v>
      </c>
      <c r="G14">
        <v>75.5</v>
      </c>
      <c r="H14">
        <v>3.5</v>
      </c>
      <c r="I14">
        <v>0</v>
      </c>
      <c r="J14">
        <v>0</v>
      </c>
      <c r="K14">
        <v>0</v>
      </c>
      <c r="L14">
        <v>3.5</v>
      </c>
      <c r="M14" t="s">
        <v>163</v>
      </c>
    </row>
    <row r="15" spans="1:13" x14ac:dyDescent="0.35">
      <c r="A15" s="4">
        <v>45805</v>
      </c>
      <c r="B15">
        <v>103</v>
      </c>
      <c r="C15" t="s">
        <v>34</v>
      </c>
      <c r="D15">
        <v>8</v>
      </c>
      <c r="E15">
        <v>55.5</v>
      </c>
      <c r="F15">
        <v>3.5</v>
      </c>
      <c r="G15">
        <v>55.5</v>
      </c>
      <c r="H15">
        <v>1</v>
      </c>
      <c r="I15">
        <v>3.5</v>
      </c>
      <c r="J15">
        <v>0</v>
      </c>
      <c r="K15">
        <v>0</v>
      </c>
      <c r="L15">
        <v>3.5</v>
      </c>
      <c r="M15" t="s">
        <v>164</v>
      </c>
    </row>
    <row r="16" spans="1:13" x14ac:dyDescent="0.35">
      <c r="A16" s="4">
        <v>45805</v>
      </c>
      <c r="B16">
        <v>103</v>
      </c>
      <c r="C16" t="s">
        <v>36</v>
      </c>
      <c r="D16">
        <v>1</v>
      </c>
      <c r="E16">
        <v>95.5</v>
      </c>
      <c r="F16">
        <v>55.5</v>
      </c>
      <c r="G16">
        <v>45.5</v>
      </c>
      <c r="H16">
        <v>8</v>
      </c>
      <c r="I16">
        <v>3.5</v>
      </c>
      <c r="J16">
        <v>0</v>
      </c>
      <c r="K16">
        <v>0</v>
      </c>
      <c r="L16">
        <v>1</v>
      </c>
      <c r="M16" t="s">
        <v>165</v>
      </c>
    </row>
    <row r="17" spans="1:13" x14ac:dyDescent="0.35">
      <c r="A17" s="4">
        <v>45805</v>
      </c>
      <c r="B17">
        <v>103</v>
      </c>
      <c r="C17" t="s">
        <v>37</v>
      </c>
      <c r="D17">
        <v>3.5</v>
      </c>
      <c r="E17">
        <v>95.5</v>
      </c>
      <c r="F17">
        <v>25.5</v>
      </c>
      <c r="G17">
        <v>45.5</v>
      </c>
      <c r="H17">
        <v>3.5</v>
      </c>
      <c r="I17">
        <v>0</v>
      </c>
      <c r="J17">
        <v>0</v>
      </c>
      <c r="K17">
        <v>0</v>
      </c>
      <c r="L17">
        <v>1</v>
      </c>
      <c r="M17" t="s">
        <v>38</v>
      </c>
    </row>
    <row r="18" spans="1:13" x14ac:dyDescent="0.35">
      <c r="A18" s="4">
        <v>45806</v>
      </c>
      <c r="B18">
        <v>105</v>
      </c>
      <c r="C18" t="s">
        <v>32</v>
      </c>
      <c r="D18">
        <v>1</v>
      </c>
      <c r="E18">
        <v>45.5</v>
      </c>
      <c r="F18">
        <v>55.5</v>
      </c>
      <c r="G18">
        <v>15.5</v>
      </c>
      <c r="H18">
        <v>15.5</v>
      </c>
      <c r="I18">
        <v>0</v>
      </c>
      <c r="J18">
        <v>0</v>
      </c>
      <c r="K18">
        <v>0</v>
      </c>
      <c r="L18">
        <v>15.5</v>
      </c>
      <c r="M18" t="s">
        <v>166</v>
      </c>
    </row>
    <row r="19" spans="1:13" x14ac:dyDescent="0.35">
      <c r="A19" s="4">
        <v>45806</v>
      </c>
      <c r="B19">
        <v>105</v>
      </c>
      <c r="C19" t="s">
        <v>34</v>
      </c>
      <c r="D19">
        <v>15.5</v>
      </c>
      <c r="E19">
        <v>85.5</v>
      </c>
      <c r="F19">
        <v>35.5</v>
      </c>
      <c r="G19">
        <v>25.5</v>
      </c>
      <c r="H19">
        <v>8</v>
      </c>
      <c r="I19">
        <v>0</v>
      </c>
      <c r="J19">
        <v>0</v>
      </c>
      <c r="K19">
        <v>0</v>
      </c>
      <c r="L19">
        <v>3.5</v>
      </c>
      <c r="M19" t="s">
        <v>38</v>
      </c>
    </row>
    <row r="20" spans="1:13" x14ac:dyDescent="0.35">
      <c r="A20" s="4">
        <v>45806</v>
      </c>
      <c r="B20">
        <v>105</v>
      </c>
      <c r="C20" t="s">
        <v>36</v>
      </c>
      <c r="D20">
        <v>0</v>
      </c>
      <c r="E20">
        <v>95.5</v>
      </c>
      <c r="F20">
        <v>85.5</v>
      </c>
      <c r="G20">
        <v>75.5</v>
      </c>
      <c r="H20">
        <v>8</v>
      </c>
      <c r="I20">
        <v>0</v>
      </c>
      <c r="J20">
        <v>0</v>
      </c>
      <c r="K20">
        <v>0</v>
      </c>
      <c r="L20">
        <v>1</v>
      </c>
      <c r="M20" t="s">
        <v>150</v>
      </c>
    </row>
    <row r="21" spans="1:13" x14ac:dyDescent="0.35">
      <c r="A21" s="4">
        <v>45806</v>
      </c>
      <c r="B21">
        <v>105</v>
      </c>
      <c r="C21" t="s">
        <v>37</v>
      </c>
      <c r="D21">
        <v>8</v>
      </c>
      <c r="E21">
        <v>65.5</v>
      </c>
      <c r="F21">
        <v>65.5</v>
      </c>
      <c r="G21">
        <v>8</v>
      </c>
      <c r="H21">
        <v>8</v>
      </c>
      <c r="I21">
        <v>0</v>
      </c>
      <c r="J21">
        <v>0</v>
      </c>
      <c r="K21">
        <v>0</v>
      </c>
      <c r="L21">
        <v>3.5</v>
      </c>
      <c r="M21" t="s">
        <v>38</v>
      </c>
    </row>
    <row r="22" spans="1:13" x14ac:dyDescent="0.35">
      <c r="A22" s="4">
        <v>45804</v>
      </c>
      <c r="B22">
        <v>108</v>
      </c>
      <c r="C22" t="s">
        <v>32</v>
      </c>
      <c r="D22">
        <v>0</v>
      </c>
      <c r="E22">
        <v>65.5</v>
      </c>
      <c r="F22">
        <v>65.5</v>
      </c>
      <c r="G22">
        <v>8</v>
      </c>
      <c r="H22">
        <v>3.5</v>
      </c>
      <c r="I22">
        <v>0</v>
      </c>
      <c r="J22">
        <v>0</v>
      </c>
      <c r="K22">
        <v>0</v>
      </c>
      <c r="L22">
        <v>0</v>
      </c>
      <c r="M22" t="s">
        <v>151</v>
      </c>
    </row>
    <row r="23" spans="1:13" x14ac:dyDescent="0.35">
      <c r="A23" s="4">
        <v>45804</v>
      </c>
      <c r="B23">
        <v>108</v>
      </c>
      <c r="C23" t="s">
        <v>34</v>
      </c>
      <c r="D23">
        <v>15.5</v>
      </c>
      <c r="E23">
        <v>75.5</v>
      </c>
      <c r="F23">
        <v>45.5</v>
      </c>
      <c r="G23">
        <v>35.5</v>
      </c>
      <c r="H23">
        <v>3.5</v>
      </c>
      <c r="I23">
        <v>0</v>
      </c>
      <c r="J23">
        <v>0</v>
      </c>
      <c r="K23">
        <v>0</v>
      </c>
      <c r="L23">
        <v>1</v>
      </c>
      <c r="M23" t="s">
        <v>152</v>
      </c>
    </row>
    <row r="24" spans="1:13" x14ac:dyDescent="0.35">
      <c r="A24" s="4">
        <v>45804</v>
      </c>
      <c r="B24">
        <v>108</v>
      </c>
      <c r="C24" t="s">
        <v>36</v>
      </c>
      <c r="D24">
        <v>1</v>
      </c>
      <c r="E24">
        <v>85.5</v>
      </c>
      <c r="F24">
        <v>35.5</v>
      </c>
      <c r="G24">
        <v>15.5</v>
      </c>
      <c r="H24">
        <v>8</v>
      </c>
      <c r="I24">
        <v>0</v>
      </c>
      <c r="J24">
        <v>0</v>
      </c>
      <c r="K24">
        <v>0</v>
      </c>
      <c r="L24">
        <v>3.5</v>
      </c>
    </row>
    <row r="25" spans="1:13" x14ac:dyDescent="0.35">
      <c r="A25" s="4">
        <v>45804</v>
      </c>
      <c r="B25">
        <v>108</v>
      </c>
      <c r="C25" t="s">
        <v>37</v>
      </c>
      <c r="D25">
        <v>0</v>
      </c>
      <c r="E25">
        <v>75.5</v>
      </c>
      <c r="F25">
        <v>45.5</v>
      </c>
      <c r="G25">
        <v>15.5</v>
      </c>
      <c r="H25">
        <v>25.5</v>
      </c>
      <c r="I25">
        <v>0</v>
      </c>
      <c r="J25">
        <v>0</v>
      </c>
      <c r="K25">
        <v>0</v>
      </c>
      <c r="L25">
        <v>3.5</v>
      </c>
      <c r="M25" t="s">
        <v>167</v>
      </c>
    </row>
    <row r="26" spans="1:13" x14ac:dyDescent="0.35">
      <c r="A26" s="4">
        <v>45805</v>
      </c>
      <c r="B26">
        <v>104</v>
      </c>
      <c r="C26" t="s">
        <v>32</v>
      </c>
      <c r="D26">
        <v>3.5</v>
      </c>
      <c r="E26">
        <v>95.5</v>
      </c>
      <c r="F26">
        <v>45.5</v>
      </c>
      <c r="G26">
        <v>15.5</v>
      </c>
      <c r="H26">
        <v>25.5</v>
      </c>
      <c r="I26">
        <v>0</v>
      </c>
      <c r="J26">
        <v>0</v>
      </c>
      <c r="K26">
        <v>1</v>
      </c>
      <c r="L26">
        <v>3.5</v>
      </c>
      <c r="M26" t="s">
        <v>168</v>
      </c>
    </row>
    <row r="27" spans="1:13" x14ac:dyDescent="0.35">
      <c r="A27" s="4">
        <v>45805</v>
      </c>
      <c r="B27">
        <v>104</v>
      </c>
      <c r="C27" t="s">
        <v>34</v>
      </c>
      <c r="D27">
        <v>3.5</v>
      </c>
      <c r="E27">
        <v>95.5</v>
      </c>
      <c r="F27">
        <v>45.5</v>
      </c>
      <c r="G27">
        <v>3.5</v>
      </c>
      <c r="H27">
        <v>15.5</v>
      </c>
      <c r="I27">
        <v>0</v>
      </c>
      <c r="J27">
        <v>0</v>
      </c>
      <c r="K27">
        <v>0</v>
      </c>
      <c r="L27">
        <v>1</v>
      </c>
    </row>
    <row r="28" spans="1:13" x14ac:dyDescent="0.35">
      <c r="A28" s="4">
        <v>45805</v>
      </c>
      <c r="B28">
        <v>104</v>
      </c>
      <c r="C28" t="s">
        <v>36</v>
      </c>
      <c r="D28">
        <v>1</v>
      </c>
      <c r="E28">
        <v>55.5</v>
      </c>
      <c r="F28">
        <v>65.5</v>
      </c>
      <c r="G28">
        <v>8</v>
      </c>
      <c r="H28">
        <v>8</v>
      </c>
      <c r="I28">
        <v>0</v>
      </c>
      <c r="J28">
        <v>0</v>
      </c>
      <c r="K28">
        <v>0</v>
      </c>
      <c r="L28">
        <v>1</v>
      </c>
    </row>
    <row r="29" spans="1:13" x14ac:dyDescent="0.35">
      <c r="A29" s="4">
        <v>45805</v>
      </c>
      <c r="B29">
        <v>104</v>
      </c>
      <c r="C29" t="s">
        <v>37</v>
      </c>
      <c r="D29">
        <v>1</v>
      </c>
      <c r="E29">
        <v>45.5</v>
      </c>
      <c r="F29">
        <v>65.5</v>
      </c>
      <c r="G29">
        <v>3.5</v>
      </c>
      <c r="H29">
        <v>3.5</v>
      </c>
      <c r="I29">
        <v>0</v>
      </c>
      <c r="J29">
        <v>0</v>
      </c>
      <c r="K29">
        <v>0</v>
      </c>
      <c r="L29">
        <v>0</v>
      </c>
    </row>
    <row r="30" spans="1:13" x14ac:dyDescent="0.35">
      <c r="A30" s="4">
        <v>45806</v>
      </c>
      <c r="B30">
        <v>78</v>
      </c>
      <c r="C30" t="s">
        <v>32</v>
      </c>
      <c r="D30">
        <v>8</v>
      </c>
      <c r="E30">
        <v>45.5</v>
      </c>
      <c r="F30">
        <v>55.5</v>
      </c>
      <c r="G30">
        <v>15.5</v>
      </c>
      <c r="H30">
        <v>3.5</v>
      </c>
      <c r="I30">
        <v>0</v>
      </c>
      <c r="J30">
        <v>0</v>
      </c>
      <c r="K30">
        <v>0</v>
      </c>
      <c r="L30">
        <v>0</v>
      </c>
    </row>
    <row r="31" spans="1:13" x14ac:dyDescent="0.35">
      <c r="A31" s="4">
        <v>45806</v>
      </c>
      <c r="B31">
        <v>78</v>
      </c>
      <c r="C31" t="s">
        <v>34</v>
      </c>
      <c r="D31">
        <v>1</v>
      </c>
      <c r="E31">
        <v>55.5</v>
      </c>
      <c r="F31">
        <v>35.5</v>
      </c>
      <c r="G31">
        <v>8</v>
      </c>
      <c r="H31">
        <v>8</v>
      </c>
      <c r="I31">
        <v>0</v>
      </c>
      <c r="J31">
        <v>0</v>
      </c>
      <c r="K31">
        <v>0</v>
      </c>
      <c r="L31">
        <v>15.5</v>
      </c>
      <c r="M31" t="s">
        <v>169</v>
      </c>
    </row>
    <row r="32" spans="1:13" x14ac:dyDescent="0.35">
      <c r="A32" s="4">
        <v>45806</v>
      </c>
      <c r="B32">
        <v>78</v>
      </c>
      <c r="C32" t="s">
        <v>36</v>
      </c>
      <c r="D32">
        <v>3.5</v>
      </c>
      <c r="E32">
        <v>85.5</v>
      </c>
      <c r="F32">
        <v>8</v>
      </c>
      <c r="G32">
        <v>3.5</v>
      </c>
      <c r="H32">
        <v>3.5</v>
      </c>
      <c r="I32">
        <v>0</v>
      </c>
      <c r="J32">
        <v>0</v>
      </c>
      <c r="K32">
        <v>0</v>
      </c>
      <c r="L32">
        <v>15.5</v>
      </c>
      <c r="M32" t="s">
        <v>170</v>
      </c>
    </row>
    <row r="33" spans="1:13" x14ac:dyDescent="0.35">
      <c r="A33" s="4">
        <v>45806</v>
      </c>
      <c r="B33">
        <v>78</v>
      </c>
      <c r="C33" t="s">
        <v>37</v>
      </c>
      <c r="D33">
        <v>8</v>
      </c>
      <c r="E33">
        <v>85.5</v>
      </c>
      <c r="F33">
        <v>8</v>
      </c>
      <c r="G33">
        <v>15.5</v>
      </c>
      <c r="H33">
        <v>3.5</v>
      </c>
      <c r="I33">
        <v>0</v>
      </c>
      <c r="J33">
        <v>0</v>
      </c>
      <c r="K33">
        <v>0</v>
      </c>
      <c r="L33">
        <v>8</v>
      </c>
      <c r="M33" t="s">
        <v>171</v>
      </c>
    </row>
    <row r="34" spans="1:13" x14ac:dyDescent="0.35">
      <c r="A34" s="4">
        <v>45806</v>
      </c>
      <c r="B34">
        <v>77</v>
      </c>
      <c r="C34" t="s">
        <v>32</v>
      </c>
      <c r="D34">
        <v>0</v>
      </c>
      <c r="E34">
        <v>85.5</v>
      </c>
      <c r="F34">
        <v>55.5</v>
      </c>
      <c r="G34">
        <v>3.5</v>
      </c>
      <c r="H34">
        <v>3.5</v>
      </c>
      <c r="I34">
        <v>0</v>
      </c>
      <c r="J34">
        <v>0</v>
      </c>
      <c r="K34">
        <v>0</v>
      </c>
      <c r="L34">
        <v>0</v>
      </c>
      <c r="M34" t="s">
        <v>172</v>
      </c>
    </row>
    <row r="35" spans="1:13" x14ac:dyDescent="0.35">
      <c r="A35" s="4">
        <v>45806</v>
      </c>
      <c r="B35">
        <v>77</v>
      </c>
      <c r="C35" t="s">
        <v>34</v>
      </c>
      <c r="D35">
        <v>3.5</v>
      </c>
      <c r="E35">
        <v>85.5</v>
      </c>
      <c r="F35">
        <v>35.5</v>
      </c>
      <c r="G35">
        <v>1</v>
      </c>
      <c r="H35">
        <v>15.5</v>
      </c>
      <c r="I35">
        <v>0</v>
      </c>
      <c r="J35">
        <v>0</v>
      </c>
      <c r="K35">
        <v>0</v>
      </c>
      <c r="L35">
        <v>0</v>
      </c>
      <c r="M35" t="s">
        <v>173</v>
      </c>
    </row>
    <row r="36" spans="1:13" x14ac:dyDescent="0.35">
      <c r="A36" s="4">
        <v>45806</v>
      </c>
      <c r="B36">
        <v>77</v>
      </c>
      <c r="C36" t="s">
        <v>36</v>
      </c>
      <c r="D36">
        <v>3.5</v>
      </c>
      <c r="E36">
        <v>75.5</v>
      </c>
      <c r="F36">
        <v>35.5</v>
      </c>
      <c r="G36">
        <v>25.5</v>
      </c>
      <c r="H36">
        <v>35.5</v>
      </c>
      <c r="I36">
        <v>0</v>
      </c>
      <c r="J36">
        <v>0</v>
      </c>
      <c r="K36">
        <v>0</v>
      </c>
      <c r="L36">
        <v>8</v>
      </c>
      <c r="M36" t="s">
        <v>174</v>
      </c>
    </row>
    <row r="37" spans="1:13" x14ac:dyDescent="0.35">
      <c r="A37" s="4">
        <v>45806</v>
      </c>
      <c r="B37">
        <v>77</v>
      </c>
      <c r="C37" t="s">
        <v>37</v>
      </c>
      <c r="D37">
        <v>8</v>
      </c>
      <c r="E37">
        <v>65.5</v>
      </c>
      <c r="F37">
        <v>45.5</v>
      </c>
      <c r="G37">
        <v>25.5</v>
      </c>
      <c r="H37">
        <v>3.5</v>
      </c>
      <c r="I37">
        <v>0</v>
      </c>
      <c r="J37">
        <v>0</v>
      </c>
      <c r="K37">
        <v>0</v>
      </c>
      <c r="L37">
        <v>0</v>
      </c>
      <c r="M37" t="s">
        <v>153</v>
      </c>
    </row>
    <row r="38" spans="1:13" x14ac:dyDescent="0.35">
      <c r="A38" s="4">
        <v>45807</v>
      </c>
      <c r="B38">
        <v>76</v>
      </c>
      <c r="C38" t="s">
        <v>32</v>
      </c>
      <c r="D38">
        <v>3.5</v>
      </c>
      <c r="E38">
        <v>75.5</v>
      </c>
      <c r="F38">
        <v>55.5</v>
      </c>
      <c r="G38">
        <v>0</v>
      </c>
      <c r="H38">
        <v>8</v>
      </c>
      <c r="I38">
        <v>0</v>
      </c>
      <c r="J38">
        <v>0</v>
      </c>
      <c r="K38">
        <v>0</v>
      </c>
      <c r="L38">
        <v>0</v>
      </c>
    </row>
    <row r="39" spans="1:13" x14ac:dyDescent="0.35">
      <c r="A39" s="4">
        <v>45807</v>
      </c>
      <c r="B39">
        <v>76</v>
      </c>
      <c r="C39" t="s">
        <v>34</v>
      </c>
      <c r="D39">
        <v>3.5</v>
      </c>
      <c r="E39">
        <v>45.5</v>
      </c>
      <c r="F39">
        <v>55.5</v>
      </c>
      <c r="G39">
        <v>3.5</v>
      </c>
      <c r="H39">
        <v>25.5</v>
      </c>
      <c r="I39">
        <v>1</v>
      </c>
      <c r="J39">
        <v>0</v>
      </c>
      <c r="K39">
        <v>0</v>
      </c>
      <c r="L39">
        <v>0</v>
      </c>
    </row>
    <row r="40" spans="1:13" x14ac:dyDescent="0.35">
      <c r="A40" s="4">
        <v>45807</v>
      </c>
      <c r="B40">
        <v>76</v>
      </c>
      <c r="C40" t="s">
        <v>36</v>
      </c>
      <c r="D40">
        <v>8</v>
      </c>
      <c r="E40">
        <v>15.5</v>
      </c>
      <c r="F40">
        <v>35.5</v>
      </c>
      <c r="G40">
        <v>45.5</v>
      </c>
      <c r="H40">
        <v>1</v>
      </c>
      <c r="I40">
        <v>0</v>
      </c>
      <c r="J40">
        <v>0</v>
      </c>
      <c r="K40">
        <v>0</v>
      </c>
      <c r="L40">
        <v>0</v>
      </c>
    </row>
    <row r="41" spans="1:13" x14ac:dyDescent="0.35">
      <c r="A41" s="4">
        <v>45807</v>
      </c>
      <c r="B41">
        <v>76</v>
      </c>
      <c r="C41" t="s">
        <v>37</v>
      </c>
      <c r="D41">
        <v>8</v>
      </c>
      <c r="E41">
        <v>65.5</v>
      </c>
      <c r="F41">
        <v>15.5</v>
      </c>
      <c r="G41">
        <v>8</v>
      </c>
      <c r="H41">
        <v>3.5</v>
      </c>
      <c r="I41">
        <v>0</v>
      </c>
      <c r="J41">
        <v>0</v>
      </c>
      <c r="K41">
        <v>0</v>
      </c>
      <c r="L41">
        <v>1</v>
      </c>
      <c r="M41" t="s">
        <v>175</v>
      </c>
    </row>
    <row r="42" spans="1:13" x14ac:dyDescent="0.35">
      <c r="A42" s="4">
        <v>45813</v>
      </c>
      <c r="B42">
        <v>44</v>
      </c>
      <c r="C42" t="s">
        <v>32</v>
      </c>
      <c r="D42">
        <v>3.5</v>
      </c>
      <c r="E42">
        <v>95.5</v>
      </c>
      <c r="F42">
        <v>55.5</v>
      </c>
      <c r="G42">
        <v>15.5</v>
      </c>
      <c r="H42">
        <v>0</v>
      </c>
      <c r="I42">
        <v>0</v>
      </c>
      <c r="J42">
        <v>0</v>
      </c>
      <c r="K42">
        <v>8</v>
      </c>
      <c r="L42">
        <v>3.5</v>
      </c>
      <c r="M42" t="s">
        <v>154</v>
      </c>
    </row>
    <row r="43" spans="1:13" x14ac:dyDescent="0.35">
      <c r="A43" s="4">
        <v>45813</v>
      </c>
      <c r="B43">
        <v>44</v>
      </c>
      <c r="C43" t="s">
        <v>34</v>
      </c>
      <c r="D43">
        <v>0</v>
      </c>
      <c r="E43">
        <v>75.5</v>
      </c>
      <c r="F43">
        <v>45.5</v>
      </c>
      <c r="G43">
        <v>0</v>
      </c>
      <c r="H43">
        <v>0</v>
      </c>
      <c r="I43">
        <v>0</v>
      </c>
      <c r="J43">
        <v>0</v>
      </c>
      <c r="K43">
        <v>0</v>
      </c>
      <c r="L43">
        <v>3.5</v>
      </c>
      <c r="M43" t="s">
        <v>176</v>
      </c>
    </row>
    <row r="44" spans="1:13" x14ac:dyDescent="0.35">
      <c r="A44" s="4">
        <v>45813</v>
      </c>
      <c r="B44">
        <v>44</v>
      </c>
      <c r="C44" t="s">
        <v>36</v>
      </c>
      <c r="D44">
        <v>1</v>
      </c>
      <c r="E44">
        <v>95.5</v>
      </c>
      <c r="F44">
        <v>85.5</v>
      </c>
      <c r="G44">
        <v>45.5</v>
      </c>
      <c r="H44">
        <v>0</v>
      </c>
      <c r="I44">
        <v>0</v>
      </c>
      <c r="J44">
        <v>0</v>
      </c>
      <c r="K44">
        <v>1</v>
      </c>
      <c r="L44">
        <v>15.5</v>
      </c>
      <c r="M44" t="s">
        <v>177</v>
      </c>
    </row>
    <row r="45" spans="1:13" x14ac:dyDescent="0.35">
      <c r="A45" s="4">
        <v>45813</v>
      </c>
      <c r="B45">
        <v>44</v>
      </c>
      <c r="C45" t="s">
        <v>37</v>
      </c>
      <c r="D45">
        <v>25.5</v>
      </c>
      <c r="E45">
        <v>85.5</v>
      </c>
      <c r="F45">
        <v>35.5</v>
      </c>
      <c r="G45">
        <v>35.5</v>
      </c>
      <c r="H45">
        <v>0</v>
      </c>
      <c r="I45">
        <v>1</v>
      </c>
      <c r="J45">
        <v>0</v>
      </c>
      <c r="K45">
        <v>15.5</v>
      </c>
      <c r="L45">
        <v>3.5</v>
      </c>
      <c r="M45" t="s">
        <v>178</v>
      </c>
    </row>
    <row r="46" spans="1:13" x14ac:dyDescent="0.35">
      <c r="A46" s="4">
        <v>45811</v>
      </c>
      <c r="B46">
        <v>71</v>
      </c>
      <c r="C46" t="s">
        <v>32</v>
      </c>
      <c r="D46">
        <v>45.5</v>
      </c>
      <c r="E46">
        <v>65.5</v>
      </c>
      <c r="F46">
        <v>8</v>
      </c>
      <c r="G46">
        <v>1</v>
      </c>
      <c r="H46">
        <v>2</v>
      </c>
      <c r="I46">
        <v>25.5</v>
      </c>
      <c r="J46">
        <v>1</v>
      </c>
      <c r="K46">
        <v>0</v>
      </c>
      <c r="L46">
        <v>3.5</v>
      </c>
    </row>
    <row r="47" spans="1:13" x14ac:dyDescent="0.35">
      <c r="A47" s="4">
        <v>45811</v>
      </c>
      <c r="B47">
        <v>71</v>
      </c>
      <c r="C47" t="s">
        <v>34</v>
      </c>
      <c r="D47">
        <v>8</v>
      </c>
      <c r="E47">
        <v>65.5</v>
      </c>
      <c r="F47">
        <v>3.5</v>
      </c>
      <c r="G47">
        <v>0</v>
      </c>
      <c r="H47">
        <v>3.5</v>
      </c>
      <c r="I47">
        <v>0</v>
      </c>
      <c r="J47">
        <v>3.5</v>
      </c>
      <c r="K47">
        <v>0</v>
      </c>
      <c r="L47">
        <v>3.5</v>
      </c>
    </row>
    <row r="48" spans="1:13" x14ac:dyDescent="0.35">
      <c r="A48" s="4">
        <v>45811</v>
      </c>
      <c r="B48">
        <v>71</v>
      </c>
      <c r="C48" t="s">
        <v>36</v>
      </c>
      <c r="D48">
        <v>3.5</v>
      </c>
      <c r="E48">
        <v>95.5</v>
      </c>
      <c r="F48">
        <v>3.5</v>
      </c>
      <c r="G48">
        <v>0</v>
      </c>
      <c r="H48">
        <v>3.5</v>
      </c>
      <c r="I48">
        <v>8</v>
      </c>
      <c r="J48">
        <v>3.5</v>
      </c>
      <c r="K48">
        <v>0</v>
      </c>
      <c r="L48">
        <v>3.5</v>
      </c>
      <c r="M48" t="s">
        <v>155</v>
      </c>
    </row>
    <row r="49" spans="1:13" x14ac:dyDescent="0.35">
      <c r="A49" s="4">
        <v>45811</v>
      </c>
      <c r="B49">
        <v>71</v>
      </c>
      <c r="C49" t="s">
        <v>37</v>
      </c>
      <c r="D49">
        <v>15.5</v>
      </c>
      <c r="E49">
        <v>45.5</v>
      </c>
      <c r="F49">
        <v>25.5</v>
      </c>
      <c r="G49">
        <v>0</v>
      </c>
      <c r="H49">
        <v>3.5</v>
      </c>
      <c r="I49">
        <v>3.5</v>
      </c>
      <c r="J49">
        <v>0</v>
      </c>
      <c r="K49">
        <v>0</v>
      </c>
      <c r="L49">
        <v>3.5</v>
      </c>
      <c r="M49" t="s">
        <v>156</v>
      </c>
    </row>
    <row r="50" spans="1:13" x14ac:dyDescent="0.35">
      <c r="A50" s="4">
        <v>45812</v>
      </c>
      <c r="B50">
        <v>72</v>
      </c>
      <c r="C50" t="s">
        <v>32</v>
      </c>
      <c r="D50">
        <v>3.5</v>
      </c>
      <c r="E50">
        <v>75.5</v>
      </c>
      <c r="F50">
        <v>45.5</v>
      </c>
      <c r="G50">
        <v>1</v>
      </c>
      <c r="H50">
        <v>85.5</v>
      </c>
      <c r="I50">
        <v>0</v>
      </c>
      <c r="J50">
        <v>8</v>
      </c>
      <c r="K50">
        <v>0</v>
      </c>
      <c r="L50">
        <v>3.5</v>
      </c>
      <c r="M50" t="s">
        <v>157</v>
      </c>
    </row>
    <row r="51" spans="1:13" x14ac:dyDescent="0.35">
      <c r="A51" s="4">
        <v>45812</v>
      </c>
      <c r="B51">
        <v>72</v>
      </c>
      <c r="C51" t="s">
        <v>34</v>
      </c>
      <c r="D51">
        <v>15.5</v>
      </c>
      <c r="E51">
        <v>45.5</v>
      </c>
      <c r="F51">
        <v>45.5</v>
      </c>
      <c r="G51">
        <v>1</v>
      </c>
      <c r="H51">
        <v>85.5</v>
      </c>
      <c r="I51">
        <v>0</v>
      </c>
      <c r="J51">
        <v>1</v>
      </c>
      <c r="K51">
        <v>0</v>
      </c>
      <c r="L51">
        <v>3.5</v>
      </c>
      <c r="M51" t="s">
        <v>158</v>
      </c>
    </row>
    <row r="52" spans="1:13" x14ac:dyDescent="0.35">
      <c r="A52" s="4">
        <v>45812</v>
      </c>
      <c r="B52">
        <v>72</v>
      </c>
      <c r="C52" t="s">
        <v>36</v>
      </c>
      <c r="D52">
        <v>8</v>
      </c>
      <c r="E52">
        <v>25.5</v>
      </c>
      <c r="F52">
        <v>45.5</v>
      </c>
      <c r="G52">
        <v>1</v>
      </c>
      <c r="H52">
        <v>85.5</v>
      </c>
      <c r="I52">
        <v>0</v>
      </c>
      <c r="J52">
        <v>0</v>
      </c>
      <c r="K52">
        <v>0</v>
      </c>
      <c r="L52">
        <v>8</v>
      </c>
      <c r="M52" t="s">
        <v>157</v>
      </c>
    </row>
    <row r="53" spans="1:13" x14ac:dyDescent="0.35">
      <c r="A53" s="4">
        <v>45812</v>
      </c>
      <c r="B53">
        <v>72</v>
      </c>
      <c r="C53" t="s">
        <v>37</v>
      </c>
      <c r="D53">
        <v>3.5</v>
      </c>
      <c r="E53">
        <v>75.5</v>
      </c>
      <c r="F53">
        <v>55.5</v>
      </c>
      <c r="G53">
        <v>3.5</v>
      </c>
      <c r="H53">
        <v>85.5</v>
      </c>
      <c r="I53">
        <v>0</v>
      </c>
      <c r="J53">
        <v>3.5</v>
      </c>
      <c r="K53">
        <v>0</v>
      </c>
      <c r="L53">
        <v>8</v>
      </c>
      <c r="M53" t="s">
        <v>179</v>
      </c>
    </row>
    <row r="54" spans="1:13" x14ac:dyDescent="0.35">
      <c r="A54" s="4">
        <v>45813</v>
      </c>
      <c r="B54">
        <v>70</v>
      </c>
      <c r="C54" t="s">
        <v>32</v>
      </c>
      <c r="D54">
        <v>8</v>
      </c>
      <c r="E54">
        <v>45.5</v>
      </c>
      <c r="F54">
        <v>8</v>
      </c>
      <c r="G54">
        <v>1</v>
      </c>
      <c r="H54">
        <v>35.5</v>
      </c>
      <c r="I54">
        <v>0</v>
      </c>
      <c r="J54">
        <v>0</v>
      </c>
      <c r="K54">
        <v>0</v>
      </c>
      <c r="L54">
        <v>0</v>
      </c>
    </row>
    <row r="55" spans="1:13" x14ac:dyDescent="0.35">
      <c r="A55" s="4">
        <v>45813</v>
      </c>
      <c r="B55">
        <v>70</v>
      </c>
      <c r="C55" t="s">
        <v>34</v>
      </c>
      <c r="D55">
        <v>15.5</v>
      </c>
      <c r="E55">
        <v>65.5</v>
      </c>
      <c r="F55">
        <v>15.5</v>
      </c>
      <c r="G55">
        <v>15.5</v>
      </c>
      <c r="H55">
        <v>35.5</v>
      </c>
      <c r="I55">
        <v>0</v>
      </c>
      <c r="J55">
        <v>0</v>
      </c>
      <c r="K55">
        <v>0</v>
      </c>
      <c r="L55">
        <v>1</v>
      </c>
      <c r="M55" t="s">
        <v>35</v>
      </c>
    </row>
    <row r="56" spans="1:13" x14ac:dyDescent="0.35">
      <c r="A56" s="4">
        <v>45813</v>
      </c>
      <c r="B56">
        <v>70</v>
      </c>
      <c r="C56" t="s">
        <v>36</v>
      </c>
      <c r="D56">
        <v>0</v>
      </c>
      <c r="E56">
        <v>35.5</v>
      </c>
      <c r="F56">
        <v>1</v>
      </c>
      <c r="G56">
        <v>8</v>
      </c>
      <c r="H56">
        <v>75.5</v>
      </c>
      <c r="I56">
        <v>3.5</v>
      </c>
      <c r="J56">
        <v>0</v>
      </c>
      <c r="K56">
        <v>0</v>
      </c>
      <c r="L56">
        <v>8</v>
      </c>
      <c r="M56" t="s">
        <v>180</v>
      </c>
    </row>
    <row r="57" spans="1:13" x14ac:dyDescent="0.35">
      <c r="A57" s="4">
        <v>45813</v>
      </c>
      <c r="B57">
        <v>70</v>
      </c>
      <c r="C57" t="s">
        <v>37</v>
      </c>
      <c r="D57">
        <v>8</v>
      </c>
      <c r="E57">
        <v>45.5</v>
      </c>
      <c r="F57">
        <v>45.5</v>
      </c>
      <c r="G57">
        <v>35.5</v>
      </c>
      <c r="H57">
        <v>85.5</v>
      </c>
      <c r="I57">
        <v>0</v>
      </c>
      <c r="J57">
        <v>0</v>
      </c>
      <c r="K57">
        <v>0</v>
      </c>
      <c r="L57">
        <v>0</v>
      </c>
    </row>
    <row r="58" spans="1:13" x14ac:dyDescent="0.35">
      <c r="A58" s="4">
        <v>45813</v>
      </c>
      <c r="B58">
        <v>43</v>
      </c>
      <c r="C58" t="s">
        <v>32</v>
      </c>
      <c r="D58">
        <v>8</v>
      </c>
      <c r="E58">
        <v>95.5</v>
      </c>
      <c r="F58">
        <v>65.5</v>
      </c>
      <c r="G58">
        <v>45.5</v>
      </c>
      <c r="H58">
        <v>1</v>
      </c>
      <c r="I58">
        <v>3.5</v>
      </c>
      <c r="J58">
        <v>0</v>
      </c>
      <c r="K58">
        <v>15.5</v>
      </c>
      <c r="L58">
        <v>0</v>
      </c>
    </row>
    <row r="59" spans="1:13" x14ac:dyDescent="0.35">
      <c r="A59" s="4">
        <v>45813</v>
      </c>
      <c r="B59">
        <v>43</v>
      </c>
      <c r="C59" t="s">
        <v>34</v>
      </c>
      <c r="D59">
        <v>0</v>
      </c>
      <c r="E59">
        <v>45.5</v>
      </c>
      <c r="F59">
        <v>45.5</v>
      </c>
      <c r="G59">
        <v>8</v>
      </c>
      <c r="H59">
        <v>0</v>
      </c>
      <c r="I59">
        <v>0</v>
      </c>
      <c r="J59">
        <v>0</v>
      </c>
      <c r="K59">
        <v>0</v>
      </c>
      <c r="L59">
        <v>3.5</v>
      </c>
      <c r="M59" t="s">
        <v>181</v>
      </c>
    </row>
    <row r="60" spans="1:13" x14ac:dyDescent="0.35">
      <c r="A60" s="4">
        <v>45813</v>
      </c>
      <c r="B60">
        <v>43</v>
      </c>
      <c r="C60" t="s">
        <v>36</v>
      </c>
      <c r="D60">
        <v>3.5</v>
      </c>
      <c r="E60">
        <v>95.5</v>
      </c>
      <c r="F60">
        <v>75.5</v>
      </c>
      <c r="G60">
        <v>55.5</v>
      </c>
      <c r="H60">
        <v>0</v>
      </c>
      <c r="I60">
        <v>1</v>
      </c>
      <c r="J60">
        <v>0</v>
      </c>
      <c r="K60">
        <v>0</v>
      </c>
      <c r="L60">
        <v>3.5</v>
      </c>
      <c r="M60" t="s">
        <v>182</v>
      </c>
    </row>
    <row r="61" spans="1:13" x14ac:dyDescent="0.35">
      <c r="A61" s="4">
        <v>45813</v>
      </c>
      <c r="B61">
        <v>43</v>
      </c>
      <c r="C61" t="s">
        <v>37</v>
      </c>
      <c r="D61">
        <v>15.5</v>
      </c>
      <c r="E61">
        <v>95.5</v>
      </c>
      <c r="F61">
        <v>45.5</v>
      </c>
      <c r="G61">
        <v>25.5</v>
      </c>
      <c r="H61">
        <v>0</v>
      </c>
      <c r="I61">
        <v>3.5</v>
      </c>
      <c r="J61">
        <v>0</v>
      </c>
      <c r="K61">
        <v>8</v>
      </c>
      <c r="L61">
        <v>3.5</v>
      </c>
      <c r="M61" t="s">
        <v>183</v>
      </c>
    </row>
    <row r="62" spans="1:13" x14ac:dyDescent="0.35">
      <c r="A62" s="4">
        <v>45820</v>
      </c>
      <c r="B62">
        <v>63</v>
      </c>
      <c r="C62" t="s">
        <v>32</v>
      </c>
      <c r="D62">
        <v>8</v>
      </c>
      <c r="E62">
        <v>45.5</v>
      </c>
      <c r="F62">
        <v>3.5</v>
      </c>
      <c r="G62">
        <v>3.5</v>
      </c>
      <c r="H62">
        <v>0</v>
      </c>
      <c r="I62">
        <v>8</v>
      </c>
      <c r="J62">
        <v>25.5</v>
      </c>
      <c r="K62">
        <v>0</v>
      </c>
      <c r="L62">
        <v>3.5</v>
      </c>
      <c r="M62" t="s">
        <v>159</v>
      </c>
    </row>
    <row r="63" spans="1:13" x14ac:dyDescent="0.35">
      <c r="A63" s="4">
        <v>45820</v>
      </c>
      <c r="B63">
        <v>63</v>
      </c>
      <c r="C63" t="s">
        <v>34</v>
      </c>
      <c r="D63">
        <v>8</v>
      </c>
      <c r="E63">
        <v>25.5</v>
      </c>
      <c r="F63">
        <v>0</v>
      </c>
      <c r="G63">
        <v>1</v>
      </c>
      <c r="H63">
        <v>0</v>
      </c>
      <c r="I63">
        <v>15.5</v>
      </c>
      <c r="J63">
        <v>8</v>
      </c>
      <c r="K63">
        <v>0</v>
      </c>
      <c r="L63">
        <v>8</v>
      </c>
      <c r="M63" t="s">
        <v>33</v>
      </c>
    </row>
    <row r="64" spans="1:13" x14ac:dyDescent="0.35">
      <c r="A64" s="4">
        <v>45820</v>
      </c>
      <c r="B64">
        <v>63</v>
      </c>
      <c r="C64" t="s">
        <v>36</v>
      </c>
      <c r="D64">
        <v>3.5</v>
      </c>
      <c r="E64">
        <v>45.5</v>
      </c>
      <c r="F64">
        <v>1</v>
      </c>
      <c r="G64">
        <v>3.5</v>
      </c>
      <c r="H64">
        <v>0</v>
      </c>
      <c r="I64">
        <v>8</v>
      </c>
      <c r="J64">
        <v>15.5</v>
      </c>
      <c r="K64">
        <v>0</v>
      </c>
      <c r="L64">
        <v>8</v>
      </c>
      <c r="M64" t="s">
        <v>184</v>
      </c>
    </row>
    <row r="65" spans="1:13" x14ac:dyDescent="0.35">
      <c r="A65" s="4">
        <v>45820</v>
      </c>
      <c r="B65">
        <v>63</v>
      </c>
      <c r="C65" t="s">
        <v>37</v>
      </c>
      <c r="D65">
        <v>0</v>
      </c>
      <c r="E65">
        <v>15.5</v>
      </c>
      <c r="F65">
        <v>3.5</v>
      </c>
      <c r="G65">
        <v>1</v>
      </c>
      <c r="H65">
        <v>0</v>
      </c>
      <c r="I65" s="10"/>
      <c r="J65">
        <v>35.5</v>
      </c>
      <c r="K65">
        <v>0</v>
      </c>
      <c r="L65">
        <v>3.5</v>
      </c>
      <c r="M65" t="s">
        <v>160</v>
      </c>
    </row>
    <row r="66" spans="1:13" x14ac:dyDescent="0.35">
      <c r="A66" s="4">
        <v>45820</v>
      </c>
      <c r="B66">
        <v>62</v>
      </c>
      <c r="C66" t="s">
        <v>32</v>
      </c>
      <c r="D66">
        <v>1</v>
      </c>
      <c r="E66">
        <v>15.5</v>
      </c>
      <c r="F66">
        <v>3.5</v>
      </c>
      <c r="G66">
        <v>3.5</v>
      </c>
      <c r="H66">
        <v>8</v>
      </c>
      <c r="I66">
        <v>15.5</v>
      </c>
      <c r="J66">
        <v>15.5</v>
      </c>
      <c r="K66">
        <v>0</v>
      </c>
      <c r="L66">
        <v>15.5</v>
      </c>
      <c r="M66" t="s">
        <v>185</v>
      </c>
    </row>
    <row r="67" spans="1:13" x14ac:dyDescent="0.35">
      <c r="A67" s="4">
        <v>45820</v>
      </c>
      <c r="B67">
        <v>62</v>
      </c>
      <c r="C67" t="s">
        <v>34</v>
      </c>
      <c r="D67">
        <v>3.5</v>
      </c>
      <c r="E67">
        <v>55.5</v>
      </c>
      <c r="F67">
        <v>8</v>
      </c>
      <c r="G67">
        <v>3.5</v>
      </c>
      <c r="H67">
        <v>0</v>
      </c>
      <c r="I67">
        <v>15.5</v>
      </c>
      <c r="J67">
        <v>25.5</v>
      </c>
      <c r="K67">
        <v>0</v>
      </c>
      <c r="L67">
        <v>15.5</v>
      </c>
      <c r="M67" t="s">
        <v>186</v>
      </c>
    </row>
    <row r="68" spans="1:13" x14ac:dyDescent="0.35">
      <c r="A68" s="4">
        <v>45820</v>
      </c>
      <c r="B68">
        <v>62</v>
      </c>
      <c r="C68" t="s">
        <v>36</v>
      </c>
      <c r="D68">
        <v>3.5</v>
      </c>
      <c r="E68">
        <v>85.5</v>
      </c>
      <c r="F68">
        <v>15.5</v>
      </c>
      <c r="G68">
        <v>3.5</v>
      </c>
      <c r="H68">
        <v>0</v>
      </c>
      <c r="I68">
        <v>15.5</v>
      </c>
      <c r="J68">
        <v>8</v>
      </c>
      <c r="K68">
        <v>0</v>
      </c>
      <c r="L68">
        <v>8</v>
      </c>
      <c r="M68" t="s">
        <v>187</v>
      </c>
    </row>
    <row r="69" spans="1:13" x14ac:dyDescent="0.35">
      <c r="A69" s="4">
        <v>45820</v>
      </c>
      <c r="B69">
        <v>62</v>
      </c>
      <c r="C69" t="s">
        <v>37</v>
      </c>
      <c r="D69">
        <v>8</v>
      </c>
      <c r="E69">
        <v>25.5</v>
      </c>
      <c r="F69">
        <v>8</v>
      </c>
      <c r="G69">
        <v>1</v>
      </c>
      <c r="H69">
        <v>1</v>
      </c>
      <c r="I69">
        <v>45.4</v>
      </c>
      <c r="J69">
        <v>15.5</v>
      </c>
      <c r="K69">
        <v>0</v>
      </c>
      <c r="L69">
        <v>0</v>
      </c>
    </row>
    <row r="70" spans="1:13" x14ac:dyDescent="0.35">
      <c r="A70" s="4">
        <v>45821</v>
      </c>
      <c r="B70">
        <v>23</v>
      </c>
      <c r="C70" t="s">
        <v>32</v>
      </c>
      <c r="D70">
        <v>0</v>
      </c>
      <c r="E70">
        <v>15.5</v>
      </c>
      <c r="F70">
        <v>0</v>
      </c>
      <c r="G70">
        <v>0</v>
      </c>
      <c r="H70">
        <v>15.5</v>
      </c>
      <c r="I70">
        <v>8</v>
      </c>
      <c r="J70">
        <v>0</v>
      </c>
      <c r="K70">
        <v>0</v>
      </c>
      <c r="L70">
        <v>0</v>
      </c>
    </row>
    <row r="71" spans="1:13" x14ac:dyDescent="0.35">
      <c r="A71" s="4">
        <v>45821</v>
      </c>
      <c r="B71">
        <v>23</v>
      </c>
      <c r="C71" t="s">
        <v>34</v>
      </c>
      <c r="D71">
        <v>0</v>
      </c>
      <c r="E71">
        <v>8</v>
      </c>
      <c r="F71">
        <v>0</v>
      </c>
      <c r="G71">
        <v>3.5</v>
      </c>
      <c r="H71">
        <v>25.5</v>
      </c>
      <c r="I71">
        <v>0</v>
      </c>
      <c r="J71">
        <v>0</v>
      </c>
      <c r="K71">
        <v>0</v>
      </c>
      <c r="L71">
        <v>0</v>
      </c>
      <c r="M71" t="s">
        <v>188</v>
      </c>
    </row>
    <row r="72" spans="1:13" x14ac:dyDescent="0.35">
      <c r="A72" s="4">
        <v>45821</v>
      </c>
      <c r="B72">
        <v>23</v>
      </c>
      <c r="C72" t="s">
        <v>36</v>
      </c>
      <c r="D72">
        <v>3.5</v>
      </c>
      <c r="E72">
        <v>35.5</v>
      </c>
      <c r="F72">
        <v>3.5</v>
      </c>
      <c r="G72">
        <v>0</v>
      </c>
      <c r="H72">
        <v>8</v>
      </c>
      <c r="I72">
        <v>0</v>
      </c>
      <c r="J72">
        <v>0</v>
      </c>
      <c r="K72">
        <v>0</v>
      </c>
      <c r="L72">
        <v>0</v>
      </c>
    </row>
    <row r="73" spans="1:13" x14ac:dyDescent="0.35">
      <c r="A73" s="4">
        <v>45821</v>
      </c>
      <c r="B73">
        <v>23</v>
      </c>
      <c r="C73" t="s">
        <v>37</v>
      </c>
      <c r="D73">
        <v>0</v>
      </c>
      <c r="E73">
        <v>35.5</v>
      </c>
      <c r="F73">
        <v>0</v>
      </c>
      <c r="G73">
        <v>0</v>
      </c>
      <c r="H73">
        <v>35.5</v>
      </c>
      <c r="I73">
        <v>0</v>
      </c>
      <c r="J73">
        <v>0</v>
      </c>
      <c r="K73">
        <v>0</v>
      </c>
      <c r="L73">
        <v>0</v>
      </c>
    </row>
    <row r="74" spans="1:13" x14ac:dyDescent="0.35">
      <c r="A74" s="4">
        <v>45818</v>
      </c>
      <c r="B74">
        <v>45</v>
      </c>
      <c r="C74" t="s">
        <v>32</v>
      </c>
      <c r="D74">
        <v>25.5</v>
      </c>
      <c r="E74">
        <v>85.5</v>
      </c>
      <c r="F74">
        <v>8</v>
      </c>
      <c r="G74">
        <v>35.5</v>
      </c>
      <c r="H74">
        <v>0</v>
      </c>
      <c r="I74">
        <v>15.5</v>
      </c>
      <c r="J74">
        <v>1</v>
      </c>
      <c r="K74">
        <v>35.5</v>
      </c>
      <c r="L74">
        <v>35.5</v>
      </c>
      <c r="M74" t="s">
        <v>189</v>
      </c>
    </row>
    <row r="75" spans="1:13" x14ac:dyDescent="0.35">
      <c r="A75" s="4">
        <v>45818</v>
      </c>
      <c r="B75">
        <v>45</v>
      </c>
      <c r="C75" t="s">
        <v>34</v>
      </c>
      <c r="D75">
        <v>8</v>
      </c>
      <c r="E75">
        <v>95.5</v>
      </c>
      <c r="F75">
        <v>55.5</v>
      </c>
      <c r="G75">
        <v>45.5</v>
      </c>
      <c r="H75">
        <v>0</v>
      </c>
      <c r="I75">
        <v>8</v>
      </c>
      <c r="J75">
        <v>0</v>
      </c>
      <c r="K75">
        <v>15.5</v>
      </c>
      <c r="L75">
        <v>8</v>
      </c>
      <c r="M75" t="s">
        <v>38</v>
      </c>
    </row>
    <row r="76" spans="1:13" x14ac:dyDescent="0.35">
      <c r="A76" s="4">
        <v>45818</v>
      </c>
      <c r="B76">
        <v>45</v>
      </c>
      <c r="C76" t="s">
        <v>36</v>
      </c>
      <c r="D76">
        <v>8</v>
      </c>
      <c r="E76">
        <v>95.5</v>
      </c>
      <c r="F76">
        <v>15.5</v>
      </c>
      <c r="G76">
        <v>35.5</v>
      </c>
      <c r="H76">
        <v>0</v>
      </c>
      <c r="I76">
        <v>15.5</v>
      </c>
      <c r="J76">
        <v>1</v>
      </c>
      <c r="K76">
        <v>8</v>
      </c>
      <c r="L76">
        <v>3.5</v>
      </c>
      <c r="M76" t="s">
        <v>190</v>
      </c>
    </row>
    <row r="77" spans="1:13" x14ac:dyDescent="0.35">
      <c r="A77" s="4">
        <v>45818</v>
      </c>
      <c r="B77">
        <v>45</v>
      </c>
      <c r="C77" t="s">
        <v>37</v>
      </c>
      <c r="D77">
        <v>15.5</v>
      </c>
      <c r="E77">
        <v>85.5</v>
      </c>
      <c r="F77">
        <v>8</v>
      </c>
      <c r="G77">
        <v>45.5</v>
      </c>
      <c r="H77">
        <v>0</v>
      </c>
      <c r="I77">
        <v>25.5</v>
      </c>
      <c r="J77">
        <v>0</v>
      </c>
      <c r="K77">
        <v>35.5</v>
      </c>
      <c r="L77">
        <v>35.5</v>
      </c>
      <c r="M77" t="s">
        <v>191</v>
      </c>
    </row>
    <row r="78" spans="1:13" x14ac:dyDescent="0.35">
      <c r="A78" s="4">
        <v>45818</v>
      </c>
      <c r="B78">
        <v>41</v>
      </c>
      <c r="C78" t="s">
        <v>32</v>
      </c>
      <c r="D78">
        <v>0</v>
      </c>
      <c r="E78">
        <v>45.5</v>
      </c>
      <c r="F78">
        <v>75.5</v>
      </c>
      <c r="G78">
        <v>25.5</v>
      </c>
      <c r="H78">
        <v>35.5</v>
      </c>
      <c r="I78">
        <v>0</v>
      </c>
      <c r="J78">
        <v>25.5</v>
      </c>
      <c r="K78">
        <v>0</v>
      </c>
      <c r="L78">
        <v>35.5</v>
      </c>
      <c r="M78" t="s">
        <v>192</v>
      </c>
    </row>
    <row r="79" spans="1:13" x14ac:dyDescent="0.35">
      <c r="A79" s="4">
        <v>45818</v>
      </c>
      <c r="B79">
        <v>41</v>
      </c>
      <c r="C79" t="s">
        <v>34</v>
      </c>
      <c r="D79">
        <v>3.5</v>
      </c>
      <c r="E79">
        <v>45.5</v>
      </c>
      <c r="F79">
        <v>65.5</v>
      </c>
      <c r="G79">
        <v>15.5</v>
      </c>
      <c r="H79">
        <v>25.5</v>
      </c>
      <c r="I79">
        <v>0</v>
      </c>
      <c r="J79">
        <v>15.5</v>
      </c>
      <c r="K79">
        <v>1</v>
      </c>
      <c r="L79">
        <v>15.5</v>
      </c>
      <c r="M79" t="s">
        <v>193</v>
      </c>
    </row>
    <row r="80" spans="1:13" x14ac:dyDescent="0.35">
      <c r="A80" s="4">
        <v>45818</v>
      </c>
      <c r="B80">
        <v>41</v>
      </c>
      <c r="C80" t="s">
        <v>36</v>
      </c>
      <c r="D80">
        <v>3.5</v>
      </c>
      <c r="E80">
        <v>65.5</v>
      </c>
      <c r="F80">
        <v>45.5</v>
      </c>
      <c r="G80">
        <v>25.5</v>
      </c>
      <c r="H80">
        <v>3.5</v>
      </c>
      <c r="I80">
        <v>0</v>
      </c>
      <c r="J80">
        <v>0</v>
      </c>
      <c r="K80">
        <v>8</v>
      </c>
      <c r="L80">
        <v>3.5</v>
      </c>
      <c r="M80" t="s">
        <v>158</v>
      </c>
    </row>
    <row r="81" spans="1:13" x14ac:dyDescent="0.35">
      <c r="A81" s="4">
        <v>45818</v>
      </c>
      <c r="B81">
        <v>41</v>
      </c>
      <c r="C81" t="s">
        <v>37</v>
      </c>
      <c r="D81">
        <v>0</v>
      </c>
      <c r="E81">
        <v>85.5</v>
      </c>
      <c r="F81">
        <v>85.5</v>
      </c>
      <c r="G81">
        <v>65.5</v>
      </c>
      <c r="H81">
        <v>0</v>
      </c>
      <c r="I81">
        <v>0</v>
      </c>
      <c r="J81">
        <v>1</v>
      </c>
      <c r="K81">
        <v>0</v>
      </c>
      <c r="L81">
        <v>3.5</v>
      </c>
      <c r="M81" t="s">
        <v>38</v>
      </c>
    </row>
    <row r="82" spans="1:13" x14ac:dyDescent="0.35">
      <c r="A82" s="4">
        <v>45819</v>
      </c>
      <c r="B82">
        <v>42</v>
      </c>
      <c r="C82" t="s">
        <v>32</v>
      </c>
      <c r="D82">
        <v>3.5</v>
      </c>
      <c r="E82">
        <v>95.5</v>
      </c>
      <c r="F82">
        <v>55.5</v>
      </c>
      <c r="G82">
        <v>45.5</v>
      </c>
      <c r="H82">
        <v>8</v>
      </c>
      <c r="I82">
        <v>0</v>
      </c>
      <c r="J82">
        <v>1</v>
      </c>
      <c r="K82">
        <v>25.5</v>
      </c>
      <c r="L82">
        <v>3.5</v>
      </c>
      <c r="M82" t="s">
        <v>194</v>
      </c>
    </row>
    <row r="83" spans="1:13" x14ac:dyDescent="0.35">
      <c r="A83" s="4">
        <v>45819</v>
      </c>
      <c r="B83">
        <v>42</v>
      </c>
      <c r="C83" t="s">
        <v>34</v>
      </c>
      <c r="D83">
        <v>3.5</v>
      </c>
      <c r="E83">
        <v>95.5</v>
      </c>
      <c r="F83">
        <v>55.5</v>
      </c>
      <c r="G83">
        <v>35.5</v>
      </c>
      <c r="H83">
        <v>15.5</v>
      </c>
      <c r="I83">
        <v>0</v>
      </c>
      <c r="J83">
        <v>1</v>
      </c>
      <c r="K83">
        <v>3.5</v>
      </c>
      <c r="L83">
        <v>8</v>
      </c>
      <c r="M83" t="s">
        <v>161</v>
      </c>
    </row>
    <row r="84" spans="1:13" x14ac:dyDescent="0.35">
      <c r="A84" s="4">
        <v>45819</v>
      </c>
      <c r="B84">
        <v>42</v>
      </c>
      <c r="C84" t="s">
        <v>36</v>
      </c>
      <c r="D84">
        <v>3.5</v>
      </c>
      <c r="E84">
        <v>75.5</v>
      </c>
      <c r="F84">
        <v>55.5</v>
      </c>
      <c r="G84">
        <v>65.5</v>
      </c>
      <c r="H84">
        <v>35.5</v>
      </c>
      <c r="I84">
        <v>0</v>
      </c>
      <c r="J84">
        <v>0</v>
      </c>
      <c r="K84">
        <v>8</v>
      </c>
      <c r="L84">
        <v>8</v>
      </c>
      <c r="M84" t="s">
        <v>195</v>
      </c>
    </row>
    <row r="85" spans="1:13" x14ac:dyDescent="0.35">
      <c r="A85" s="4">
        <v>45819</v>
      </c>
      <c r="B85">
        <v>42</v>
      </c>
      <c r="C85" t="s">
        <v>37</v>
      </c>
      <c r="D85">
        <v>3.5</v>
      </c>
      <c r="E85">
        <v>75.5</v>
      </c>
      <c r="F85">
        <v>45.5</v>
      </c>
      <c r="G85">
        <v>45.5</v>
      </c>
      <c r="H85">
        <v>55.5</v>
      </c>
      <c r="I85">
        <v>0</v>
      </c>
      <c r="J85">
        <v>1</v>
      </c>
      <c r="K85">
        <v>15.5</v>
      </c>
      <c r="L85">
        <v>8</v>
      </c>
      <c r="M85" t="s">
        <v>196</v>
      </c>
    </row>
    <row r="86" spans="1:13" x14ac:dyDescent="0.35">
      <c r="A86" s="4">
        <v>45819</v>
      </c>
      <c r="B86">
        <v>61</v>
      </c>
      <c r="C86" t="s">
        <v>32</v>
      </c>
      <c r="D86">
        <v>3.5</v>
      </c>
      <c r="E86">
        <v>45.5</v>
      </c>
      <c r="F86">
        <v>0</v>
      </c>
      <c r="G86">
        <v>1</v>
      </c>
      <c r="H86">
        <v>0</v>
      </c>
      <c r="I86">
        <v>45.5</v>
      </c>
      <c r="J86">
        <v>25.5</v>
      </c>
      <c r="K86">
        <v>0</v>
      </c>
      <c r="L86">
        <v>3.5</v>
      </c>
      <c r="M86" t="s">
        <v>197</v>
      </c>
    </row>
    <row r="87" spans="1:13" x14ac:dyDescent="0.35">
      <c r="A87" s="4">
        <v>45819</v>
      </c>
      <c r="B87">
        <v>61</v>
      </c>
      <c r="C87" t="s">
        <v>34</v>
      </c>
      <c r="D87">
        <v>1</v>
      </c>
      <c r="E87">
        <v>35.5</v>
      </c>
      <c r="F87">
        <v>3.5</v>
      </c>
      <c r="G87">
        <v>1</v>
      </c>
      <c r="H87">
        <v>0</v>
      </c>
      <c r="I87">
        <v>35.5</v>
      </c>
      <c r="J87">
        <v>25.5</v>
      </c>
      <c r="K87">
        <v>0</v>
      </c>
      <c r="L87">
        <v>3.5</v>
      </c>
      <c r="M87" t="s">
        <v>162</v>
      </c>
    </row>
    <row r="88" spans="1:13" x14ac:dyDescent="0.35">
      <c r="A88" s="4">
        <v>45819</v>
      </c>
      <c r="B88">
        <v>61</v>
      </c>
      <c r="C88" t="s">
        <v>36</v>
      </c>
      <c r="D88">
        <v>1</v>
      </c>
      <c r="E88">
        <v>45.5</v>
      </c>
      <c r="F88">
        <v>8</v>
      </c>
      <c r="G88">
        <v>3.5</v>
      </c>
      <c r="H88">
        <v>0</v>
      </c>
      <c r="I88">
        <v>15.5</v>
      </c>
      <c r="J88">
        <v>45.5</v>
      </c>
      <c r="K88">
        <v>0</v>
      </c>
      <c r="L88">
        <v>8</v>
      </c>
      <c r="M88" t="s">
        <v>198</v>
      </c>
    </row>
    <row r="89" spans="1:13" x14ac:dyDescent="0.35">
      <c r="A89" s="4">
        <v>45819</v>
      </c>
      <c r="B89">
        <v>61</v>
      </c>
      <c r="C89" t="s">
        <v>37</v>
      </c>
      <c r="D89">
        <v>3.5</v>
      </c>
      <c r="E89">
        <v>25.5</v>
      </c>
      <c r="F89">
        <v>3.5</v>
      </c>
      <c r="G89">
        <v>0</v>
      </c>
      <c r="H89">
        <v>0</v>
      </c>
      <c r="I89">
        <v>65.5</v>
      </c>
      <c r="J89">
        <v>8</v>
      </c>
      <c r="K89">
        <v>0</v>
      </c>
      <c r="L89">
        <v>3.5</v>
      </c>
      <c r="M89" t="s">
        <v>162</v>
      </c>
    </row>
    <row r="90" spans="1:13" x14ac:dyDescent="0.35">
      <c r="A90" s="4">
        <v>45832</v>
      </c>
      <c r="B90">
        <v>22</v>
      </c>
      <c r="C90" t="s">
        <v>32</v>
      </c>
      <c r="D90">
        <v>55.5</v>
      </c>
      <c r="E90">
        <v>55.5</v>
      </c>
      <c r="F90">
        <v>1</v>
      </c>
      <c r="G90">
        <v>3.5</v>
      </c>
      <c r="H90">
        <v>25.5</v>
      </c>
      <c r="I90">
        <v>15.5</v>
      </c>
      <c r="J90">
        <v>0</v>
      </c>
      <c r="K90">
        <v>0</v>
      </c>
      <c r="L90">
        <v>8</v>
      </c>
      <c r="M90" t="s">
        <v>199</v>
      </c>
    </row>
    <row r="91" spans="1:13" x14ac:dyDescent="0.35">
      <c r="A91" s="4">
        <v>45832</v>
      </c>
      <c r="B91">
        <v>22</v>
      </c>
      <c r="C91" t="s">
        <v>34</v>
      </c>
      <c r="D91">
        <v>55.5</v>
      </c>
      <c r="E91">
        <v>65.5</v>
      </c>
      <c r="F91">
        <v>8</v>
      </c>
      <c r="G91">
        <v>3.5</v>
      </c>
      <c r="H91">
        <v>25.5</v>
      </c>
      <c r="I91">
        <v>0</v>
      </c>
      <c r="J91">
        <v>0</v>
      </c>
      <c r="K91">
        <v>0</v>
      </c>
      <c r="L91">
        <v>8</v>
      </c>
      <c r="M91" t="s">
        <v>200</v>
      </c>
    </row>
    <row r="92" spans="1:13" x14ac:dyDescent="0.35">
      <c r="A92" s="4">
        <v>45832</v>
      </c>
      <c r="B92">
        <v>22</v>
      </c>
      <c r="C92" t="s">
        <v>36</v>
      </c>
      <c r="D92">
        <v>25.5</v>
      </c>
      <c r="E92">
        <v>25.5</v>
      </c>
      <c r="F92">
        <v>8</v>
      </c>
      <c r="G92">
        <v>35.5</v>
      </c>
      <c r="H92">
        <v>8</v>
      </c>
      <c r="I92">
        <v>0</v>
      </c>
      <c r="J92">
        <v>0</v>
      </c>
      <c r="K92">
        <v>0</v>
      </c>
      <c r="L92">
        <v>8</v>
      </c>
      <c r="M92" t="s">
        <v>201</v>
      </c>
    </row>
    <row r="93" spans="1:13" x14ac:dyDescent="0.35">
      <c r="A93" s="4">
        <v>45832</v>
      </c>
      <c r="B93">
        <v>22</v>
      </c>
      <c r="C93" t="s">
        <v>37</v>
      </c>
      <c r="D93">
        <v>15.5</v>
      </c>
      <c r="E93">
        <v>45.5</v>
      </c>
      <c r="F93">
        <v>3.5</v>
      </c>
      <c r="G93">
        <v>8</v>
      </c>
      <c r="H93">
        <v>35.5</v>
      </c>
      <c r="I93">
        <v>0</v>
      </c>
      <c r="J93">
        <v>0</v>
      </c>
      <c r="K93">
        <v>0</v>
      </c>
      <c r="L93">
        <v>15.5</v>
      </c>
      <c r="M93" t="s">
        <v>202</v>
      </c>
    </row>
    <row r="94" spans="1:13" x14ac:dyDescent="0.35">
      <c r="A94" s="4">
        <v>45833</v>
      </c>
      <c r="B94">
        <v>24</v>
      </c>
      <c r="C94" t="s">
        <v>32</v>
      </c>
      <c r="D94">
        <v>3.5</v>
      </c>
      <c r="E94">
        <v>15.5</v>
      </c>
      <c r="F94">
        <v>75.5</v>
      </c>
      <c r="G94">
        <v>25.5</v>
      </c>
      <c r="H94">
        <v>15.5</v>
      </c>
      <c r="I94">
        <v>3.5</v>
      </c>
      <c r="J94">
        <v>0</v>
      </c>
      <c r="K94">
        <v>0</v>
      </c>
      <c r="L94">
        <v>0</v>
      </c>
      <c r="M94" t="s">
        <v>203</v>
      </c>
    </row>
    <row r="95" spans="1:13" x14ac:dyDescent="0.35">
      <c r="A95" s="4">
        <v>45833</v>
      </c>
      <c r="B95">
        <v>24</v>
      </c>
      <c r="C95" t="s">
        <v>34</v>
      </c>
      <c r="D95">
        <v>35.5</v>
      </c>
      <c r="E95">
        <v>55.5</v>
      </c>
      <c r="F95">
        <v>45.5</v>
      </c>
      <c r="G95">
        <v>25.5</v>
      </c>
      <c r="H95">
        <v>15.5</v>
      </c>
      <c r="I95">
        <v>3.5</v>
      </c>
      <c r="J95">
        <v>1</v>
      </c>
      <c r="K95">
        <v>0</v>
      </c>
      <c r="L95">
        <v>1</v>
      </c>
      <c r="M95" t="s">
        <v>204</v>
      </c>
    </row>
    <row r="96" spans="1:13" x14ac:dyDescent="0.35">
      <c r="A96" s="4">
        <v>45833</v>
      </c>
      <c r="B96">
        <v>24</v>
      </c>
      <c r="C96" t="s">
        <v>36</v>
      </c>
      <c r="D96">
        <v>8</v>
      </c>
      <c r="E96">
        <v>15.5</v>
      </c>
      <c r="F96">
        <v>85.5</v>
      </c>
      <c r="G96">
        <v>1</v>
      </c>
      <c r="H96">
        <v>8</v>
      </c>
      <c r="I96">
        <v>0</v>
      </c>
      <c r="J96">
        <v>0</v>
      </c>
      <c r="K96">
        <v>0</v>
      </c>
      <c r="L96">
        <v>3.5</v>
      </c>
      <c r="M96" t="s">
        <v>205</v>
      </c>
    </row>
    <row r="97" spans="1:13" x14ac:dyDescent="0.35">
      <c r="A97" s="4">
        <v>45833</v>
      </c>
      <c r="B97">
        <v>24</v>
      </c>
      <c r="C97" t="s">
        <v>37</v>
      </c>
      <c r="D97">
        <v>8</v>
      </c>
      <c r="E97">
        <v>15.5</v>
      </c>
      <c r="F97">
        <v>85.5</v>
      </c>
      <c r="G97">
        <v>8</v>
      </c>
      <c r="H97">
        <v>15.5</v>
      </c>
      <c r="I97">
        <v>3.5</v>
      </c>
      <c r="J97">
        <v>0</v>
      </c>
      <c r="K97">
        <v>0</v>
      </c>
      <c r="L97">
        <v>8</v>
      </c>
      <c r="M97" t="s">
        <v>206</v>
      </c>
    </row>
    <row r="98" spans="1:13" x14ac:dyDescent="0.35">
      <c r="A98" s="4">
        <v>45833</v>
      </c>
      <c r="B98">
        <v>66</v>
      </c>
      <c r="C98" t="s">
        <v>32</v>
      </c>
      <c r="D98">
        <v>75.5</v>
      </c>
      <c r="E98">
        <v>45.5</v>
      </c>
      <c r="F98">
        <v>1</v>
      </c>
      <c r="G98">
        <v>1</v>
      </c>
      <c r="H98">
        <v>3.5</v>
      </c>
      <c r="I98">
        <v>0</v>
      </c>
      <c r="J98">
        <v>3.5</v>
      </c>
      <c r="K98">
        <v>1</v>
      </c>
      <c r="L98">
        <v>3.5</v>
      </c>
      <c r="M98" t="s">
        <v>207</v>
      </c>
    </row>
    <row r="99" spans="1:13" x14ac:dyDescent="0.35">
      <c r="A99" s="4">
        <v>45833</v>
      </c>
      <c r="B99">
        <v>66</v>
      </c>
      <c r="C99" t="s">
        <v>34</v>
      </c>
      <c r="D99">
        <v>75.5</v>
      </c>
      <c r="E99">
        <v>55.5</v>
      </c>
      <c r="F99">
        <v>1</v>
      </c>
      <c r="G99">
        <v>3.5</v>
      </c>
      <c r="H99">
        <v>3.5</v>
      </c>
      <c r="I99">
        <v>1</v>
      </c>
      <c r="J99">
        <v>0</v>
      </c>
      <c r="K99">
        <v>0</v>
      </c>
      <c r="L99">
        <v>1</v>
      </c>
      <c r="M99" t="s">
        <v>155</v>
      </c>
    </row>
    <row r="100" spans="1:13" x14ac:dyDescent="0.35">
      <c r="A100" s="4">
        <v>45833</v>
      </c>
      <c r="B100">
        <v>66</v>
      </c>
      <c r="C100" t="s">
        <v>36</v>
      </c>
      <c r="D100">
        <v>45.5</v>
      </c>
      <c r="E100">
        <v>35.5</v>
      </c>
      <c r="F100">
        <v>1</v>
      </c>
      <c r="G100">
        <v>8</v>
      </c>
      <c r="H100">
        <v>0</v>
      </c>
      <c r="I100">
        <v>3.5</v>
      </c>
      <c r="J100">
        <v>1</v>
      </c>
      <c r="K100">
        <v>0</v>
      </c>
      <c r="L100">
        <v>1</v>
      </c>
      <c r="M100" t="s">
        <v>155</v>
      </c>
    </row>
    <row r="101" spans="1:13" x14ac:dyDescent="0.35">
      <c r="A101" s="4">
        <v>45833</v>
      </c>
      <c r="B101">
        <v>66</v>
      </c>
      <c r="C101" t="s">
        <v>37</v>
      </c>
      <c r="D101">
        <v>95.5</v>
      </c>
      <c r="E101">
        <v>8</v>
      </c>
      <c r="F101">
        <v>0</v>
      </c>
      <c r="G101">
        <v>0</v>
      </c>
      <c r="H101">
        <v>0</v>
      </c>
      <c r="I101">
        <v>0</v>
      </c>
      <c r="J101">
        <v>1</v>
      </c>
      <c r="K101">
        <v>0</v>
      </c>
      <c r="L101">
        <v>3.5</v>
      </c>
      <c r="M101" t="s">
        <v>208</v>
      </c>
    </row>
    <row r="102" spans="1:13" x14ac:dyDescent="0.35">
      <c r="A102" s="4">
        <v>45834</v>
      </c>
      <c r="B102">
        <v>39</v>
      </c>
      <c r="C102" t="s">
        <v>32</v>
      </c>
      <c r="D102">
        <v>1</v>
      </c>
      <c r="E102">
        <v>1</v>
      </c>
      <c r="F102">
        <v>85.5</v>
      </c>
      <c r="G102">
        <v>35.5</v>
      </c>
      <c r="H102">
        <v>35.5</v>
      </c>
      <c r="I102">
        <v>55.5</v>
      </c>
      <c r="J102">
        <v>3.5</v>
      </c>
      <c r="K102">
        <v>8</v>
      </c>
      <c r="L102">
        <v>3.5</v>
      </c>
      <c r="M102" t="s">
        <v>209</v>
      </c>
    </row>
    <row r="103" spans="1:13" x14ac:dyDescent="0.35">
      <c r="A103" s="4">
        <v>45834</v>
      </c>
      <c r="B103">
        <v>39</v>
      </c>
      <c r="C103" t="s">
        <v>34</v>
      </c>
      <c r="D103">
        <v>1</v>
      </c>
      <c r="E103">
        <v>1</v>
      </c>
      <c r="F103">
        <v>95.5</v>
      </c>
      <c r="G103">
        <v>35.5</v>
      </c>
      <c r="H103">
        <v>15.5</v>
      </c>
      <c r="I103">
        <v>15.5</v>
      </c>
      <c r="J103">
        <v>8</v>
      </c>
      <c r="K103">
        <v>3.5</v>
      </c>
      <c r="L103">
        <v>15.5</v>
      </c>
      <c r="M103" t="s">
        <v>210</v>
      </c>
    </row>
    <row r="104" spans="1:13" x14ac:dyDescent="0.35">
      <c r="A104" s="4">
        <v>45834</v>
      </c>
      <c r="B104">
        <v>39</v>
      </c>
      <c r="C104" t="s">
        <v>36</v>
      </c>
      <c r="D104">
        <v>1</v>
      </c>
      <c r="E104">
        <v>0</v>
      </c>
      <c r="F104">
        <v>95.5</v>
      </c>
      <c r="G104">
        <v>25.5</v>
      </c>
      <c r="H104">
        <v>15.5</v>
      </c>
      <c r="I104">
        <v>8</v>
      </c>
      <c r="J104">
        <v>3.5</v>
      </c>
      <c r="K104">
        <v>8</v>
      </c>
      <c r="L104">
        <v>3.5</v>
      </c>
      <c r="M104" t="s">
        <v>211</v>
      </c>
    </row>
    <row r="105" spans="1:13" x14ac:dyDescent="0.35">
      <c r="A105" s="4">
        <v>45834</v>
      </c>
      <c r="B105">
        <v>39</v>
      </c>
      <c r="C105" t="s">
        <v>37</v>
      </c>
      <c r="D105">
        <v>1</v>
      </c>
      <c r="E105">
        <v>0</v>
      </c>
      <c r="F105">
        <v>85.5</v>
      </c>
      <c r="G105">
        <v>15.5</v>
      </c>
      <c r="H105">
        <v>45.5</v>
      </c>
      <c r="I105">
        <v>25.5</v>
      </c>
      <c r="J105">
        <v>8</v>
      </c>
      <c r="K105">
        <v>1</v>
      </c>
      <c r="L105">
        <v>3.5</v>
      </c>
      <c r="M105" t="s">
        <v>212</v>
      </c>
    </row>
    <row r="106" spans="1:13" x14ac:dyDescent="0.35">
      <c r="A106" s="4">
        <v>45834</v>
      </c>
      <c r="B106">
        <v>65</v>
      </c>
      <c r="C106" t="s">
        <v>32</v>
      </c>
      <c r="D106">
        <v>0</v>
      </c>
      <c r="E106">
        <v>3.5</v>
      </c>
      <c r="F106">
        <v>1</v>
      </c>
      <c r="G106">
        <v>3.5</v>
      </c>
      <c r="H106">
        <v>45.5</v>
      </c>
      <c r="I106">
        <v>0</v>
      </c>
      <c r="J106">
        <v>0</v>
      </c>
      <c r="K106">
        <v>0</v>
      </c>
      <c r="L106">
        <v>3.5</v>
      </c>
      <c r="M106" t="s">
        <v>213</v>
      </c>
    </row>
    <row r="107" spans="1:13" x14ac:dyDescent="0.35">
      <c r="A107" s="4">
        <v>45834</v>
      </c>
      <c r="B107">
        <v>65</v>
      </c>
      <c r="C107" t="s">
        <v>34</v>
      </c>
      <c r="D107">
        <v>0</v>
      </c>
      <c r="E107">
        <v>0</v>
      </c>
      <c r="F107">
        <v>0</v>
      </c>
      <c r="G107">
        <v>0</v>
      </c>
      <c r="H107">
        <v>75.5</v>
      </c>
      <c r="I107">
        <v>0</v>
      </c>
      <c r="J107">
        <v>0</v>
      </c>
      <c r="K107">
        <v>0</v>
      </c>
      <c r="L107">
        <v>3.5</v>
      </c>
      <c r="M107" t="s">
        <v>214</v>
      </c>
    </row>
    <row r="108" spans="1:13" x14ac:dyDescent="0.35">
      <c r="A108" s="4">
        <v>45834</v>
      </c>
      <c r="B108">
        <v>65</v>
      </c>
      <c r="C108" t="s">
        <v>36</v>
      </c>
      <c r="D108">
        <v>35.5</v>
      </c>
      <c r="E108">
        <v>15.5</v>
      </c>
      <c r="F108">
        <v>3.5</v>
      </c>
      <c r="G108">
        <v>0</v>
      </c>
      <c r="H108">
        <v>35.5</v>
      </c>
      <c r="I108">
        <v>0</v>
      </c>
      <c r="J108">
        <v>0</v>
      </c>
      <c r="K108">
        <v>0</v>
      </c>
      <c r="L108">
        <v>8</v>
      </c>
      <c r="M108" t="s">
        <v>215</v>
      </c>
    </row>
    <row r="109" spans="1:13" x14ac:dyDescent="0.35">
      <c r="A109" s="4">
        <v>45834</v>
      </c>
      <c r="B109">
        <v>65</v>
      </c>
      <c r="C109" t="s">
        <v>37</v>
      </c>
      <c r="D109">
        <v>8</v>
      </c>
      <c r="E109">
        <v>55.5</v>
      </c>
      <c r="F109">
        <v>3.5</v>
      </c>
      <c r="G109">
        <v>3.5</v>
      </c>
      <c r="H109">
        <v>15.5</v>
      </c>
      <c r="I109">
        <v>0</v>
      </c>
      <c r="J109">
        <v>0</v>
      </c>
      <c r="K109">
        <v>0</v>
      </c>
      <c r="L109">
        <v>8</v>
      </c>
      <c r="M109" t="s">
        <v>216</v>
      </c>
    </row>
    <row r="110" spans="1:13" x14ac:dyDescent="0.35">
      <c r="A110" s="4">
        <v>45834</v>
      </c>
      <c r="B110">
        <v>64</v>
      </c>
      <c r="C110" t="s">
        <v>32</v>
      </c>
      <c r="D110">
        <v>3.5</v>
      </c>
      <c r="E110">
        <v>25.5</v>
      </c>
      <c r="F110">
        <v>45.5</v>
      </c>
      <c r="G110">
        <v>15.5</v>
      </c>
      <c r="H110">
        <v>45.5</v>
      </c>
      <c r="I110">
        <v>0</v>
      </c>
      <c r="J110">
        <v>0</v>
      </c>
      <c r="K110">
        <v>0</v>
      </c>
      <c r="L110">
        <v>8</v>
      </c>
      <c r="M110" t="s">
        <v>217</v>
      </c>
    </row>
    <row r="111" spans="1:13" x14ac:dyDescent="0.35">
      <c r="A111" s="4">
        <v>45834</v>
      </c>
      <c r="B111">
        <v>64</v>
      </c>
      <c r="C111" t="s">
        <v>34</v>
      </c>
      <c r="D111">
        <v>0</v>
      </c>
      <c r="E111">
        <v>45.5</v>
      </c>
      <c r="F111">
        <v>8</v>
      </c>
      <c r="G111">
        <v>15.5</v>
      </c>
      <c r="H111">
        <v>55.5</v>
      </c>
      <c r="I111">
        <v>0</v>
      </c>
      <c r="J111">
        <v>0</v>
      </c>
      <c r="K111">
        <v>0</v>
      </c>
      <c r="L111">
        <v>0</v>
      </c>
    </row>
    <row r="112" spans="1:13" x14ac:dyDescent="0.35">
      <c r="A112" s="4">
        <v>45834</v>
      </c>
      <c r="B112">
        <v>64</v>
      </c>
      <c r="C112" t="s">
        <v>36</v>
      </c>
      <c r="D112">
        <v>0</v>
      </c>
      <c r="E112">
        <v>15.5</v>
      </c>
      <c r="F112">
        <v>15.5</v>
      </c>
      <c r="G112">
        <v>8</v>
      </c>
      <c r="H112">
        <v>75.5</v>
      </c>
      <c r="I112">
        <v>0</v>
      </c>
      <c r="J112">
        <v>0</v>
      </c>
      <c r="K112">
        <v>0</v>
      </c>
      <c r="L112">
        <v>3.5</v>
      </c>
      <c r="M112" t="s">
        <v>218</v>
      </c>
    </row>
    <row r="113" spans="1:13" x14ac:dyDescent="0.35">
      <c r="A113" s="4">
        <v>45834</v>
      </c>
      <c r="B113">
        <v>64</v>
      </c>
      <c r="C113" t="s">
        <v>37</v>
      </c>
      <c r="D113">
        <v>25.5</v>
      </c>
      <c r="E113">
        <v>85.5</v>
      </c>
      <c r="F113">
        <v>45.5</v>
      </c>
      <c r="G113">
        <v>3.5</v>
      </c>
      <c r="H113">
        <v>8</v>
      </c>
      <c r="I113">
        <v>0</v>
      </c>
      <c r="J113">
        <v>8</v>
      </c>
      <c r="K113">
        <v>0</v>
      </c>
      <c r="L113">
        <v>0</v>
      </c>
      <c r="M113" t="s">
        <v>219</v>
      </c>
    </row>
    <row r="114" spans="1:13" x14ac:dyDescent="0.35">
      <c r="A114" s="4">
        <v>45835</v>
      </c>
      <c r="B114">
        <v>38</v>
      </c>
      <c r="C114" t="s">
        <v>32</v>
      </c>
      <c r="D114">
        <v>1</v>
      </c>
      <c r="E114">
        <v>0</v>
      </c>
      <c r="F114">
        <v>75.5</v>
      </c>
      <c r="G114">
        <v>75.5</v>
      </c>
      <c r="H114">
        <v>65.5</v>
      </c>
      <c r="I114">
        <v>25.5</v>
      </c>
      <c r="J114">
        <v>15.5</v>
      </c>
      <c r="K114">
        <v>0</v>
      </c>
      <c r="L114">
        <v>3.5</v>
      </c>
      <c r="M114" t="s">
        <v>220</v>
      </c>
    </row>
    <row r="115" spans="1:13" x14ac:dyDescent="0.35">
      <c r="A115" s="4">
        <v>45835</v>
      </c>
      <c r="B115">
        <v>38</v>
      </c>
      <c r="C115" t="s">
        <v>34</v>
      </c>
      <c r="D115">
        <v>1</v>
      </c>
      <c r="E115">
        <v>0</v>
      </c>
      <c r="F115">
        <v>75.5</v>
      </c>
      <c r="G115">
        <v>45.5</v>
      </c>
      <c r="H115">
        <v>65.5</v>
      </c>
      <c r="I115">
        <v>15.5</v>
      </c>
      <c r="J115">
        <v>8</v>
      </c>
      <c r="K115">
        <v>0</v>
      </c>
      <c r="L115">
        <v>3.5</v>
      </c>
      <c r="M115" t="s">
        <v>221</v>
      </c>
    </row>
    <row r="116" spans="1:13" x14ac:dyDescent="0.35">
      <c r="A116" s="4">
        <v>45835</v>
      </c>
      <c r="B116">
        <v>38</v>
      </c>
      <c r="C116" t="s">
        <v>36</v>
      </c>
      <c r="D116">
        <v>1</v>
      </c>
      <c r="E116">
        <v>0</v>
      </c>
      <c r="F116">
        <v>95.5</v>
      </c>
      <c r="G116">
        <v>15.5</v>
      </c>
      <c r="H116">
        <v>75.5</v>
      </c>
      <c r="I116">
        <v>15.5</v>
      </c>
      <c r="J116">
        <v>8</v>
      </c>
      <c r="K116">
        <v>3.5</v>
      </c>
      <c r="L116">
        <v>3.5</v>
      </c>
      <c r="M116" t="s">
        <v>222</v>
      </c>
    </row>
    <row r="117" spans="1:13" x14ac:dyDescent="0.35">
      <c r="A117" s="4">
        <v>45835</v>
      </c>
      <c r="B117">
        <v>38</v>
      </c>
      <c r="C117" t="s">
        <v>37</v>
      </c>
      <c r="D117">
        <v>1</v>
      </c>
      <c r="E117">
        <v>15.5</v>
      </c>
      <c r="F117">
        <v>55.5</v>
      </c>
      <c r="G117">
        <v>35.5</v>
      </c>
      <c r="H117">
        <v>45.5</v>
      </c>
      <c r="I117">
        <v>45.5</v>
      </c>
      <c r="J117">
        <v>8</v>
      </c>
      <c r="K117">
        <v>8</v>
      </c>
      <c r="L117">
        <v>3.5</v>
      </c>
      <c r="M117" t="s">
        <v>33</v>
      </c>
    </row>
    <row r="118" spans="1:13" x14ac:dyDescent="0.35">
      <c r="A118" s="4">
        <v>45835</v>
      </c>
      <c r="B118">
        <v>37</v>
      </c>
      <c r="C118" t="s">
        <v>32</v>
      </c>
      <c r="D118">
        <v>0</v>
      </c>
      <c r="E118">
        <v>0</v>
      </c>
      <c r="F118">
        <v>95.5</v>
      </c>
      <c r="G118">
        <v>25.5</v>
      </c>
      <c r="H118">
        <v>85.5</v>
      </c>
      <c r="I118">
        <v>3.5</v>
      </c>
      <c r="J118">
        <v>8</v>
      </c>
      <c r="K118">
        <v>3.5</v>
      </c>
      <c r="L118">
        <v>3.5</v>
      </c>
      <c r="M118" t="s">
        <v>223</v>
      </c>
    </row>
    <row r="119" spans="1:13" x14ac:dyDescent="0.35">
      <c r="A119" s="4">
        <v>45835</v>
      </c>
      <c r="B119">
        <v>37</v>
      </c>
      <c r="C119" t="s">
        <v>34</v>
      </c>
      <c r="D119">
        <v>0</v>
      </c>
      <c r="E119">
        <v>0</v>
      </c>
      <c r="F119">
        <v>95.5</v>
      </c>
      <c r="G119">
        <v>3.5</v>
      </c>
      <c r="H119">
        <v>75.5</v>
      </c>
      <c r="I119">
        <v>0</v>
      </c>
      <c r="J119">
        <v>8</v>
      </c>
      <c r="K119">
        <v>0</v>
      </c>
      <c r="L119">
        <v>3.5</v>
      </c>
      <c r="M119" t="s">
        <v>224</v>
      </c>
    </row>
    <row r="120" spans="1:13" x14ac:dyDescent="0.35">
      <c r="A120" s="4">
        <v>45835</v>
      </c>
      <c r="B120">
        <v>37</v>
      </c>
      <c r="C120" t="s">
        <v>36</v>
      </c>
      <c r="D120">
        <v>0</v>
      </c>
      <c r="E120">
        <v>0</v>
      </c>
      <c r="F120">
        <v>95.5</v>
      </c>
      <c r="G120">
        <v>0</v>
      </c>
      <c r="H120">
        <v>75.5</v>
      </c>
      <c r="I120">
        <v>8</v>
      </c>
      <c r="J120">
        <v>3.5</v>
      </c>
      <c r="K120">
        <v>0</v>
      </c>
      <c r="L120">
        <v>0</v>
      </c>
    </row>
    <row r="121" spans="1:13" x14ac:dyDescent="0.35">
      <c r="A121" s="4">
        <v>45835</v>
      </c>
      <c r="B121">
        <v>37</v>
      </c>
      <c r="C121" t="s">
        <v>37</v>
      </c>
      <c r="D121">
        <v>0</v>
      </c>
      <c r="E121">
        <v>0</v>
      </c>
      <c r="F121">
        <v>95.5</v>
      </c>
      <c r="G121">
        <v>8</v>
      </c>
      <c r="H121">
        <v>65.5</v>
      </c>
      <c r="I121">
        <v>15.5</v>
      </c>
      <c r="J121">
        <v>8</v>
      </c>
      <c r="K121">
        <v>0</v>
      </c>
      <c r="L121">
        <v>8</v>
      </c>
      <c r="M121" t="s">
        <v>212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D7F1CB-2734-4D3A-95DA-2F7E16BA4504}">
  <dimension ref="A1:T30"/>
  <sheetViews>
    <sheetView tabSelected="1" workbookViewId="0">
      <pane ySplit="1" topLeftCell="A20" activePane="bottomLeft" state="frozen"/>
      <selection pane="bottomLeft" activeCell="P30" sqref="P30"/>
    </sheetView>
  </sheetViews>
  <sheetFormatPr defaultRowHeight="14.5" x14ac:dyDescent="0.35"/>
  <cols>
    <col min="4" max="4" width="12.90625" customWidth="1"/>
  </cols>
  <sheetData>
    <row r="1" spans="1:20" ht="101.5" x14ac:dyDescent="0.35">
      <c r="A1" s="3" t="s">
        <v>6</v>
      </c>
      <c r="B1" s="3" t="s">
        <v>41</v>
      </c>
      <c r="C1" s="3" t="s">
        <v>42</v>
      </c>
      <c r="D1" s="3" t="s">
        <v>43</v>
      </c>
      <c r="E1" s="3" t="s">
        <v>44</v>
      </c>
      <c r="F1" s="3" t="s">
        <v>45</v>
      </c>
      <c r="G1" s="3" t="s">
        <v>46</v>
      </c>
      <c r="H1" s="3" t="s">
        <v>47</v>
      </c>
      <c r="I1" s="3" t="s">
        <v>48</v>
      </c>
      <c r="J1" s="3" t="s">
        <v>49</v>
      </c>
      <c r="K1" s="3" t="s">
        <v>50</v>
      </c>
      <c r="L1" s="3" t="s">
        <v>51</v>
      </c>
      <c r="M1" s="3" t="s">
        <v>52</v>
      </c>
      <c r="N1" s="3" t="s">
        <v>53</v>
      </c>
      <c r="O1" s="3" t="s">
        <v>54</v>
      </c>
      <c r="P1" s="3" t="s">
        <v>55</v>
      </c>
      <c r="Q1" s="3" t="s">
        <v>56</v>
      </c>
      <c r="R1" s="3" t="s">
        <v>57</v>
      </c>
      <c r="S1" s="3" t="s">
        <v>58</v>
      </c>
      <c r="T1" s="3" t="s">
        <v>59</v>
      </c>
    </row>
    <row r="2" spans="1:20" x14ac:dyDescent="0.35">
      <c r="A2">
        <v>91</v>
      </c>
      <c r="B2" t="s">
        <v>60</v>
      </c>
      <c r="C2" t="s">
        <v>61</v>
      </c>
      <c r="D2" t="s">
        <v>61</v>
      </c>
      <c r="E2" t="s">
        <v>61</v>
      </c>
      <c r="F2" t="s">
        <v>61</v>
      </c>
      <c r="G2" t="s">
        <v>61</v>
      </c>
      <c r="H2" t="s">
        <v>61</v>
      </c>
      <c r="I2" t="s">
        <v>61</v>
      </c>
      <c r="J2" t="s">
        <v>61</v>
      </c>
      <c r="K2" t="s">
        <v>61</v>
      </c>
      <c r="L2" t="s">
        <v>61</v>
      </c>
      <c r="M2" t="s">
        <v>61</v>
      </c>
      <c r="N2" t="s">
        <v>61</v>
      </c>
      <c r="O2" t="s">
        <v>61</v>
      </c>
      <c r="P2" t="s">
        <v>61</v>
      </c>
      <c r="Q2" t="s">
        <v>61</v>
      </c>
      <c r="R2" t="s">
        <v>61</v>
      </c>
      <c r="S2" t="s">
        <v>61</v>
      </c>
      <c r="T2" t="s">
        <v>61</v>
      </c>
    </row>
    <row r="3" spans="1:20" x14ac:dyDescent="0.35">
      <c r="A3">
        <v>92</v>
      </c>
      <c r="B3" t="s">
        <v>60</v>
      </c>
      <c r="C3" t="s">
        <v>61</v>
      </c>
      <c r="D3" t="s">
        <v>61</v>
      </c>
      <c r="E3" t="s">
        <v>61</v>
      </c>
      <c r="F3" t="s">
        <v>61</v>
      </c>
      <c r="G3" t="s">
        <v>61</v>
      </c>
      <c r="H3" t="s">
        <v>61</v>
      </c>
      <c r="I3" t="s">
        <v>61</v>
      </c>
      <c r="J3" t="s">
        <v>61</v>
      </c>
      <c r="K3" t="s">
        <v>61</v>
      </c>
      <c r="L3" t="s">
        <v>61</v>
      </c>
      <c r="M3" t="s">
        <v>61</v>
      </c>
      <c r="N3" t="s">
        <v>61</v>
      </c>
      <c r="O3" t="s">
        <v>61</v>
      </c>
      <c r="P3" t="s">
        <v>61</v>
      </c>
      <c r="Q3" t="s">
        <v>61</v>
      </c>
      <c r="R3" t="s">
        <v>61</v>
      </c>
      <c r="S3" t="s">
        <v>61</v>
      </c>
      <c r="T3" t="s">
        <v>61</v>
      </c>
    </row>
    <row r="4" spans="1:20" x14ac:dyDescent="0.35">
      <c r="A4">
        <v>93</v>
      </c>
      <c r="B4" t="s">
        <v>60</v>
      </c>
      <c r="C4" t="s">
        <v>61</v>
      </c>
      <c r="D4" t="s">
        <v>61</v>
      </c>
      <c r="E4" t="s">
        <v>61</v>
      </c>
      <c r="F4" t="s">
        <v>61</v>
      </c>
      <c r="G4" t="s">
        <v>61</v>
      </c>
      <c r="H4" t="s">
        <v>61</v>
      </c>
      <c r="I4" t="s">
        <v>61</v>
      </c>
      <c r="J4" t="s">
        <v>61</v>
      </c>
      <c r="K4" t="s">
        <v>61</v>
      </c>
      <c r="L4" t="s">
        <v>61</v>
      </c>
      <c r="M4" t="s">
        <v>61</v>
      </c>
      <c r="N4" t="s">
        <v>61</v>
      </c>
      <c r="O4" t="s">
        <v>61</v>
      </c>
      <c r="P4" t="s">
        <v>61</v>
      </c>
      <c r="Q4" t="s">
        <v>61</v>
      </c>
      <c r="R4" t="s">
        <v>61</v>
      </c>
      <c r="S4" t="s">
        <v>61</v>
      </c>
      <c r="T4" t="s">
        <v>61</v>
      </c>
    </row>
    <row r="5" spans="1:20" x14ac:dyDescent="0.35">
      <c r="A5">
        <v>4</v>
      </c>
      <c r="B5" t="s">
        <v>60</v>
      </c>
      <c r="C5" t="s">
        <v>61</v>
      </c>
      <c r="D5" t="s">
        <v>61</v>
      </c>
      <c r="E5" t="s">
        <v>61</v>
      </c>
      <c r="F5" t="s">
        <v>61</v>
      </c>
      <c r="G5" t="s">
        <v>61</v>
      </c>
      <c r="H5" t="s">
        <v>61</v>
      </c>
      <c r="I5" t="s">
        <v>61</v>
      </c>
      <c r="J5" t="s">
        <v>61</v>
      </c>
      <c r="K5" t="s">
        <v>61</v>
      </c>
      <c r="L5" t="s">
        <v>61</v>
      </c>
      <c r="M5" t="s">
        <v>61</v>
      </c>
      <c r="N5" t="s">
        <v>61</v>
      </c>
      <c r="O5" t="s">
        <v>61</v>
      </c>
      <c r="P5" t="s">
        <v>61</v>
      </c>
      <c r="Q5" t="s">
        <v>61</v>
      </c>
      <c r="R5" t="s">
        <v>61</v>
      </c>
      <c r="S5" t="s">
        <v>61</v>
      </c>
      <c r="T5" t="s">
        <v>61</v>
      </c>
    </row>
    <row r="6" spans="1:20" x14ac:dyDescent="0.35">
      <c r="A6">
        <v>6</v>
      </c>
      <c r="B6" t="s">
        <v>60</v>
      </c>
      <c r="C6" t="s">
        <v>61</v>
      </c>
      <c r="D6" t="s">
        <v>61</v>
      </c>
      <c r="E6" t="s">
        <v>61</v>
      </c>
      <c r="F6" t="s">
        <v>61</v>
      </c>
      <c r="G6" t="s">
        <v>61</v>
      </c>
      <c r="H6" t="s">
        <v>61</v>
      </c>
      <c r="I6" t="s">
        <v>61</v>
      </c>
      <c r="J6" t="s">
        <v>61</v>
      </c>
      <c r="K6" t="s">
        <v>61</v>
      </c>
      <c r="L6" t="s">
        <v>61</v>
      </c>
      <c r="M6" t="s">
        <v>61</v>
      </c>
      <c r="N6" t="s">
        <v>61</v>
      </c>
      <c r="O6" t="s">
        <v>61</v>
      </c>
      <c r="P6" t="s">
        <v>61</v>
      </c>
      <c r="Q6" t="s">
        <v>61</v>
      </c>
      <c r="R6" t="s">
        <v>61</v>
      </c>
      <c r="S6" t="s">
        <v>61</v>
      </c>
      <c r="T6" t="s">
        <v>61</v>
      </c>
    </row>
    <row r="7" spans="1:20" x14ac:dyDescent="0.35">
      <c r="A7">
        <v>106</v>
      </c>
      <c r="B7" t="s">
        <v>60</v>
      </c>
      <c r="C7" t="s">
        <v>61</v>
      </c>
      <c r="D7" t="s">
        <v>61</v>
      </c>
      <c r="E7" t="s">
        <v>61</v>
      </c>
      <c r="F7" t="s">
        <v>61</v>
      </c>
      <c r="G7" t="s">
        <v>61</v>
      </c>
      <c r="H7" t="s">
        <v>61</v>
      </c>
      <c r="I7" t="s">
        <v>61</v>
      </c>
      <c r="J7" t="s">
        <v>61</v>
      </c>
      <c r="K7" t="s">
        <v>61</v>
      </c>
      <c r="L7" t="s">
        <v>61</v>
      </c>
      <c r="M7" t="s">
        <v>61</v>
      </c>
      <c r="N7" t="s">
        <v>61</v>
      </c>
      <c r="O7" t="s">
        <v>61</v>
      </c>
      <c r="P7" t="s">
        <v>61</v>
      </c>
      <c r="Q7" t="s">
        <v>61</v>
      </c>
      <c r="R7" t="s">
        <v>61</v>
      </c>
      <c r="S7" t="s">
        <v>61</v>
      </c>
      <c r="T7" t="s">
        <v>61</v>
      </c>
    </row>
    <row r="8" spans="1:20" x14ac:dyDescent="0.35">
      <c r="A8">
        <v>107</v>
      </c>
      <c r="B8" t="s">
        <v>60</v>
      </c>
      <c r="C8" t="s">
        <v>61</v>
      </c>
      <c r="D8" t="s">
        <v>61</v>
      </c>
      <c r="E8" t="s">
        <v>61</v>
      </c>
      <c r="F8" t="s">
        <v>61</v>
      </c>
      <c r="G8" t="s">
        <v>61</v>
      </c>
      <c r="H8" t="s">
        <v>61</v>
      </c>
      <c r="I8" t="s">
        <v>61</v>
      </c>
      <c r="J8" t="s">
        <v>61</v>
      </c>
      <c r="K8" t="s">
        <v>61</v>
      </c>
      <c r="L8" t="s">
        <v>61</v>
      </c>
      <c r="M8" t="s">
        <v>61</v>
      </c>
      <c r="N8" t="s">
        <v>61</v>
      </c>
      <c r="O8" t="s">
        <v>61</v>
      </c>
      <c r="P8" t="s">
        <v>61</v>
      </c>
      <c r="Q8" t="s">
        <v>61</v>
      </c>
      <c r="R8" t="s">
        <v>61</v>
      </c>
      <c r="S8" t="s">
        <v>61</v>
      </c>
      <c r="T8" t="s">
        <v>61</v>
      </c>
    </row>
    <row r="9" spans="1:20" x14ac:dyDescent="0.35">
      <c r="A9">
        <v>108</v>
      </c>
      <c r="B9" t="s">
        <v>60</v>
      </c>
      <c r="C9" t="s">
        <v>61</v>
      </c>
      <c r="D9" t="s">
        <v>61</v>
      </c>
      <c r="E9" t="s">
        <v>61</v>
      </c>
      <c r="F9" t="s">
        <v>61</v>
      </c>
      <c r="G9" t="s">
        <v>61</v>
      </c>
      <c r="H9" t="s">
        <v>61</v>
      </c>
      <c r="I9" t="s">
        <v>61</v>
      </c>
      <c r="J9" t="s">
        <v>61</v>
      </c>
      <c r="K9" t="s">
        <v>61</v>
      </c>
      <c r="L9" t="s">
        <v>61</v>
      </c>
      <c r="M9" t="s">
        <v>61</v>
      </c>
      <c r="N9" t="s">
        <v>61</v>
      </c>
      <c r="O9" t="s">
        <v>61</v>
      </c>
      <c r="P9" t="s">
        <v>61</v>
      </c>
      <c r="Q9" t="s">
        <v>61</v>
      </c>
      <c r="R9" t="s">
        <v>61</v>
      </c>
      <c r="S9" t="s">
        <v>61</v>
      </c>
      <c r="T9" t="s">
        <v>61</v>
      </c>
    </row>
    <row r="10" spans="1:20" x14ac:dyDescent="0.35">
      <c r="A10">
        <v>104</v>
      </c>
      <c r="B10" t="s">
        <v>60</v>
      </c>
      <c r="C10" t="s">
        <v>61</v>
      </c>
      <c r="D10" t="s">
        <v>61</v>
      </c>
      <c r="E10" t="s">
        <v>61</v>
      </c>
      <c r="F10" t="s">
        <v>61</v>
      </c>
      <c r="G10" t="s">
        <v>61</v>
      </c>
      <c r="H10" t="s">
        <v>61</v>
      </c>
      <c r="I10" t="s">
        <v>61</v>
      </c>
      <c r="J10" t="s">
        <v>61</v>
      </c>
      <c r="K10" t="s">
        <v>61</v>
      </c>
      <c r="L10" t="s">
        <v>61</v>
      </c>
      <c r="M10" t="s">
        <v>61</v>
      </c>
      <c r="N10" t="s">
        <v>61</v>
      </c>
      <c r="O10" t="s">
        <v>61</v>
      </c>
      <c r="P10" t="s">
        <v>61</v>
      </c>
      <c r="Q10" t="s">
        <v>61</v>
      </c>
      <c r="R10" t="s">
        <v>61</v>
      </c>
      <c r="S10" t="s">
        <v>61</v>
      </c>
      <c r="T10" t="s">
        <v>61</v>
      </c>
    </row>
    <row r="11" spans="1:20" x14ac:dyDescent="0.35">
      <c r="A11">
        <v>103</v>
      </c>
      <c r="B11" t="s">
        <v>60</v>
      </c>
      <c r="C11" t="s">
        <v>61</v>
      </c>
      <c r="D11" t="s">
        <v>61</v>
      </c>
      <c r="E11" t="s">
        <v>61</v>
      </c>
      <c r="F11" t="s">
        <v>61</v>
      </c>
      <c r="G11" t="s">
        <v>61</v>
      </c>
      <c r="H11" t="s">
        <v>61</v>
      </c>
      <c r="I11" t="s">
        <v>61</v>
      </c>
      <c r="J11" t="s">
        <v>61</v>
      </c>
      <c r="K11" t="s">
        <v>61</v>
      </c>
      <c r="L11" t="s">
        <v>61</v>
      </c>
      <c r="M11" t="s">
        <v>61</v>
      </c>
      <c r="N11" t="s">
        <v>61</v>
      </c>
      <c r="O11" t="s">
        <v>61</v>
      </c>
      <c r="P11" t="s">
        <v>61</v>
      </c>
      <c r="Q11" t="s">
        <v>61</v>
      </c>
      <c r="R11" t="s">
        <v>61</v>
      </c>
      <c r="S11" t="s">
        <v>61</v>
      </c>
      <c r="T11" t="s">
        <v>61</v>
      </c>
    </row>
    <row r="12" spans="1:20" x14ac:dyDescent="0.35">
      <c r="A12">
        <v>105</v>
      </c>
      <c r="B12" t="s">
        <v>36</v>
      </c>
      <c r="D12" t="s">
        <v>232</v>
      </c>
      <c r="E12" t="s">
        <v>127</v>
      </c>
      <c r="F12">
        <v>3.9</v>
      </c>
      <c r="G12">
        <v>2</v>
      </c>
      <c r="H12" t="s">
        <v>233</v>
      </c>
      <c r="I12" t="s">
        <v>87</v>
      </c>
      <c r="J12" t="s">
        <v>87</v>
      </c>
      <c r="K12" t="s">
        <v>70</v>
      </c>
      <c r="L12" t="s">
        <v>70</v>
      </c>
      <c r="M12" t="s">
        <v>87</v>
      </c>
      <c r="N12" t="s">
        <v>70</v>
      </c>
    </row>
    <row r="13" spans="1:20" x14ac:dyDescent="0.35">
      <c r="A13">
        <v>105</v>
      </c>
      <c r="B13" t="s">
        <v>37</v>
      </c>
      <c r="D13" t="s">
        <v>232</v>
      </c>
      <c r="E13" t="s">
        <v>127</v>
      </c>
      <c r="F13">
        <v>2.5</v>
      </c>
      <c r="G13">
        <v>1</v>
      </c>
      <c r="H13" t="s">
        <v>117</v>
      </c>
      <c r="I13" t="s">
        <v>87</v>
      </c>
      <c r="J13" t="s">
        <v>87</v>
      </c>
      <c r="K13" t="s">
        <v>87</v>
      </c>
      <c r="L13" t="s">
        <v>87</v>
      </c>
      <c r="M13" t="s">
        <v>87</v>
      </c>
      <c r="N13" t="s">
        <v>87</v>
      </c>
    </row>
    <row r="14" spans="1:20" x14ac:dyDescent="0.35">
      <c r="A14">
        <v>105</v>
      </c>
      <c r="B14" t="s">
        <v>37</v>
      </c>
      <c r="D14" t="s">
        <v>232</v>
      </c>
      <c r="E14" t="s">
        <v>127</v>
      </c>
      <c r="F14">
        <v>3.3</v>
      </c>
      <c r="G14">
        <v>1</v>
      </c>
      <c r="H14" t="s">
        <v>117</v>
      </c>
      <c r="I14" t="s">
        <v>87</v>
      </c>
      <c r="J14" t="s">
        <v>87</v>
      </c>
      <c r="K14" t="s">
        <v>70</v>
      </c>
      <c r="L14" t="s">
        <v>87</v>
      </c>
      <c r="M14" t="s">
        <v>87</v>
      </c>
      <c r="N14" t="s">
        <v>70</v>
      </c>
    </row>
    <row r="15" spans="1:20" x14ac:dyDescent="0.35">
      <c r="A15">
        <v>61</v>
      </c>
      <c r="B15" t="s">
        <v>32</v>
      </c>
      <c r="D15" t="s">
        <v>232</v>
      </c>
      <c r="E15" t="s">
        <v>234</v>
      </c>
      <c r="F15">
        <v>6.9</v>
      </c>
      <c r="G15">
        <v>5</v>
      </c>
      <c r="H15" t="s">
        <v>233</v>
      </c>
      <c r="I15" t="s">
        <v>87</v>
      </c>
      <c r="J15" t="s">
        <v>70</v>
      </c>
      <c r="K15" t="s">
        <v>70</v>
      </c>
      <c r="L15" t="s">
        <v>70</v>
      </c>
      <c r="M15" t="s">
        <v>87</v>
      </c>
      <c r="N15" t="s">
        <v>87</v>
      </c>
    </row>
    <row r="16" spans="1:20" x14ac:dyDescent="0.35">
      <c r="A16">
        <v>61</v>
      </c>
      <c r="B16" t="s">
        <v>34</v>
      </c>
      <c r="D16" t="s">
        <v>232</v>
      </c>
      <c r="E16" t="s">
        <v>127</v>
      </c>
      <c r="F16">
        <v>3.8</v>
      </c>
      <c r="G16">
        <v>2</v>
      </c>
      <c r="H16" t="s">
        <v>117</v>
      </c>
      <c r="I16" t="s">
        <v>87</v>
      </c>
      <c r="J16" t="s">
        <v>87</v>
      </c>
      <c r="K16" t="s">
        <v>70</v>
      </c>
      <c r="L16" t="s">
        <v>87</v>
      </c>
      <c r="M16" t="s">
        <v>87</v>
      </c>
      <c r="N16" t="s">
        <v>70</v>
      </c>
    </row>
    <row r="17" spans="1:20" x14ac:dyDescent="0.35">
      <c r="A17">
        <v>61</v>
      </c>
      <c r="B17" t="s">
        <v>34</v>
      </c>
      <c r="D17" t="s">
        <v>232</v>
      </c>
      <c r="E17" t="s">
        <v>127</v>
      </c>
      <c r="F17">
        <v>5.2</v>
      </c>
      <c r="G17">
        <v>1</v>
      </c>
      <c r="H17" t="s">
        <v>117</v>
      </c>
      <c r="I17" t="s">
        <v>87</v>
      </c>
      <c r="J17" t="s">
        <v>87</v>
      </c>
      <c r="K17" t="s">
        <v>70</v>
      </c>
      <c r="L17" t="s">
        <v>87</v>
      </c>
      <c r="M17" t="s">
        <v>87</v>
      </c>
      <c r="N17" t="s">
        <v>87</v>
      </c>
    </row>
    <row r="18" spans="1:20" x14ac:dyDescent="0.35">
      <c r="A18">
        <v>61</v>
      </c>
      <c r="B18" t="s">
        <v>34</v>
      </c>
      <c r="D18" t="s">
        <v>232</v>
      </c>
      <c r="E18" t="s">
        <v>127</v>
      </c>
      <c r="F18">
        <v>3.3</v>
      </c>
      <c r="G18">
        <v>1</v>
      </c>
      <c r="H18" t="s">
        <v>117</v>
      </c>
      <c r="I18" t="s">
        <v>87</v>
      </c>
      <c r="J18" t="s">
        <v>87</v>
      </c>
      <c r="K18" t="s">
        <v>70</v>
      </c>
      <c r="L18" t="s">
        <v>87</v>
      </c>
      <c r="M18" t="s">
        <v>70</v>
      </c>
      <c r="N18" t="s">
        <v>87</v>
      </c>
    </row>
    <row r="19" spans="1:20" x14ac:dyDescent="0.35">
      <c r="A19">
        <v>61</v>
      </c>
      <c r="B19" t="s">
        <v>36</v>
      </c>
      <c r="D19" t="s">
        <v>232</v>
      </c>
      <c r="E19" t="s">
        <v>127</v>
      </c>
      <c r="F19">
        <v>3.2</v>
      </c>
      <c r="G19">
        <v>5</v>
      </c>
      <c r="H19" t="s">
        <v>117</v>
      </c>
      <c r="I19" t="s">
        <v>87</v>
      </c>
      <c r="J19" t="s">
        <v>70</v>
      </c>
      <c r="K19" t="s">
        <v>70</v>
      </c>
      <c r="L19" t="s">
        <v>87</v>
      </c>
      <c r="M19" t="s">
        <v>70</v>
      </c>
      <c r="N19" t="s">
        <v>70</v>
      </c>
    </row>
    <row r="20" spans="1:20" x14ac:dyDescent="0.35">
      <c r="A20">
        <v>61</v>
      </c>
      <c r="B20" t="s">
        <v>36</v>
      </c>
      <c r="D20" t="s">
        <v>232</v>
      </c>
      <c r="E20" t="s">
        <v>127</v>
      </c>
      <c r="F20">
        <v>3.3</v>
      </c>
      <c r="G20">
        <v>5</v>
      </c>
      <c r="H20" t="s">
        <v>117</v>
      </c>
      <c r="I20" t="s">
        <v>87</v>
      </c>
      <c r="J20" t="s">
        <v>70</v>
      </c>
      <c r="K20" t="s">
        <v>70</v>
      </c>
      <c r="L20" t="s">
        <v>70</v>
      </c>
      <c r="M20" t="s">
        <v>70</v>
      </c>
      <c r="N20" t="s">
        <v>87</v>
      </c>
    </row>
    <row r="21" spans="1:20" x14ac:dyDescent="0.35">
      <c r="A21">
        <v>61</v>
      </c>
      <c r="B21" t="s">
        <v>37</v>
      </c>
      <c r="D21" t="s">
        <v>232</v>
      </c>
      <c r="E21" t="s">
        <v>127</v>
      </c>
      <c r="F21">
        <v>7.5</v>
      </c>
      <c r="G21">
        <v>3</v>
      </c>
      <c r="H21" t="s">
        <v>117</v>
      </c>
      <c r="I21" t="s">
        <v>87</v>
      </c>
      <c r="J21" t="s">
        <v>70</v>
      </c>
      <c r="K21" t="s">
        <v>70</v>
      </c>
      <c r="L21" t="s">
        <v>70</v>
      </c>
      <c r="M21" t="s">
        <v>70</v>
      </c>
      <c r="N21" t="s">
        <v>87</v>
      </c>
      <c r="R21" t="s">
        <v>237</v>
      </c>
      <c r="T21" t="s">
        <v>236</v>
      </c>
    </row>
    <row r="22" spans="1:20" x14ac:dyDescent="0.35">
      <c r="A22">
        <v>61</v>
      </c>
      <c r="B22" t="s">
        <v>32</v>
      </c>
      <c r="D22" t="s">
        <v>232</v>
      </c>
      <c r="E22" t="s">
        <v>127</v>
      </c>
      <c r="F22">
        <v>4</v>
      </c>
      <c r="G22">
        <v>5</v>
      </c>
      <c r="H22" t="s">
        <v>117</v>
      </c>
      <c r="I22" t="s">
        <v>87</v>
      </c>
      <c r="J22" t="s">
        <v>70</v>
      </c>
      <c r="K22" t="s">
        <v>70</v>
      </c>
      <c r="L22" t="s">
        <v>70</v>
      </c>
      <c r="M22" t="s">
        <v>70</v>
      </c>
      <c r="N22" t="s">
        <v>70</v>
      </c>
    </row>
    <row r="23" spans="1:20" x14ac:dyDescent="0.35">
      <c r="A23">
        <v>61</v>
      </c>
      <c r="B23" t="s">
        <v>32</v>
      </c>
      <c r="D23" t="s">
        <v>232</v>
      </c>
      <c r="E23" t="s">
        <v>127</v>
      </c>
      <c r="F23">
        <v>5.7</v>
      </c>
      <c r="G23">
        <v>1</v>
      </c>
      <c r="H23" t="s">
        <v>235</v>
      </c>
      <c r="I23" t="s">
        <v>87</v>
      </c>
      <c r="J23" t="s">
        <v>87</v>
      </c>
      <c r="K23" t="s">
        <v>70</v>
      </c>
      <c r="L23" t="s">
        <v>87</v>
      </c>
      <c r="M23" t="s">
        <v>87</v>
      </c>
      <c r="N23" t="s">
        <v>87</v>
      </c>
    </row>
    <row r="24" spans="1:20" x14ac:dyDescent="0.35">
      <c r="A24">
        <v>61</v>
      </c>
      <c r="B24" t="s">
        <v>32</v>
      </c>
      <c r="D24" t="s">
        <v>232</v>
      </c>
      <c r="E24" t="s">
        <v>127</v>
      </c>
      <c r="F24">
        <v>5.2</v>
      </c>
      <c r="G24">
        <v>1</v>
      </c>
      <c r="H24" t="s">
        <v>233</v>
      </c>
      <c r="I24" t="s">
        <v>87</v>
      </c>
      <c r="J24" t="s">
        <v>87</v>
      </c>
      <c r="K24" t="s">
        <v>70</v>
      </c>
      <c r="L24" t="s">
        <v>87</v>
      </c>
      <c r="M24" t="s">
        <v>70</v>
      </c>
      <c r="N24" t="s">
        <v>70</v>
      </c>
    </row>
    <row r="25" spans="1:20" x14ac:dyDescent="0.35">
      <c r="A25">
        <v>61</v>
      </c>
      <c r="B25" t="s">
        <v>32</v>
      </c>
      <c r="D25" t="s">
        <v>232</v>
      </c>
      <c r="E25" t="s">
        <v>127</v>
      </c>
      <c r="F25">
        <v>2.5</v>
      </c>
      <c r="G25">
        <v>5</v>
      </c>
      <c r="H25" t="s">
        <v>233</v>
      </c>
      <c r="I25" t="s">
        <v>87</v>
      </c>
      <c r="J25" t="s">
        <v>70</v>
      </c>
      <c r="K25" t="s">
        <v>70</v>
      </c>
      <c r="L25" t="s">
        <v>87</v>
      </c>
      <c r="M25" t="s">
        <v>70</v>
      </c>
      <c r="N25" t="s">
        <v>70</v>
      </c>
    </row>
    <row r="26" spans="1:20" x14ac:dyDescent="0.35">
      <c r="A26">
        <v>23</v>
      </c>
      <c r="B26" t="s">
        <v>60</v>
      </c>
      <c r="D26" t="s">
        <v>61</v>
      </c>
      <c r="E26" t="s">
        <v>61</v>
      </c>
      <c r="F26" t="s">
        <v>61</v>
      </c>
      <c r="G26" t="s">
        <v>61</v>
      </c>
      <c r="H26" t="s">
        <v>61</v>
      </c>
      <c r="I26" t="s">
        <v>61</v>
      </c>
      <c r="J26" t="s">
        <v>61</v>
      </c>
      <c r="K26" t="s">
        <v>61</v>
      </c>
      <c r="L26" t="s">
        <v>61</v>
      </c>
      <c r="M26" t="s">
        <v>61</v>
      </c>
      <c r="N26" t="s">
        <v>61</v>
      </c>
      <c r="O26" t="s">
        <v>61</v>
      </c>
      <c r="P26" t="s">
        <v>61</v>
      </c>
      <c r="Q26" t="s">
        <v>61</v>
      </c>
      <c r="R26" t="s">
        <v>238</v>
      </c>
      <c r="S26" t="s">
        <v>61</v>
      </c>
      <c r="T26" t="s">
        <v>61</v>
      </c>
    </row>
    <row r="27" spans="1:20" x14ac:dyDescent="0.35">
      <c r="A27">
        <v>66</v>
      </c>
      <c r="B27" t="s">
        <v>32</v>
      </c>
      <c r="D27" t="s">
        <v>239</v>
      </c>
      <c r="E27" t="s">
        <v>127</v>
      </c>
      <c r="F27">
        <v>4.4000000000000004</v>
      </c>
      <c r="G27">
        <v>1</v>
      </c>
      <c r="H27" t="s">
        <v>117</v>
      </c>
      <c r="I27" t="s">
        <v>87</v>
      </c>
      <c r="J27" t="s">
        <v>87</v>
      </c>
      <c r="K27" t="s">
        <v>70</v>
      </c>
      <c r="L27" t="s">
        <v>87</v>
      </c>
      <c r="M27" t="s">
        <v>87</v>
      </c>
      <c r="N27" t="s">
        <v>87</v>
      </c>
      <c r="Q27" t="s">
        <v>241</v>
      </c>
    </row>
    <row r="28" spans="1:20" x14ac:dyDescent="0.35">
      <c r="A28">
        <v>66</v>
      </c>
      <c r="B28" t="s">
        <v>34</v>
      </c>
      <c r="D28" t="s">
        <v>232</v>
      </c>
      <c r="E28" t="s">
        <v>127</v>
      </c>
      <c r="F28">
        <v>4.3</v>
      </c>
      <c r="G28">
        <v>1</v>
      </c>
      <c r="H28" t="s">
        <v>240</v>
      </c>
      <c r="I28" t="s">
        <v>87</v>
      </c>
      <c r="J28" t="s">
        <v>87</v>
      </c>
      <c r="K28" t="s">
        <v>87</v>
      </c>
      <c r="L28" t="s">
        <v>87</v>
      </c>
      <c r="M28" t="s">
        <v>87</v>
      </c>
      <c r="N28" t="s">
        <v>87</v>
      </c>
    </row>
    <row r="29" spans="1:20" x14ac:dyDescent="0.35">
      <c r="A29">
        <v>66</v>
      </c>
      <c r="B29" t="s">
        <v>34</v>
      </c>
      <c r="D29" t="s">
        <v>232</v>
      </c>
      <c r="E29" t="s">
        <v>127</v>
      </c>
      <c r="F29">
        <f>1.4+1.1</f>
        <v>2.5</v>
      </c>
      <c r="G29">
        <v>1</v>
      </c>
      <c r="H29" t="s">
        <v>233</v>
      </c>
      <c r="I29" t="s">
        <v>87</v>
      </c>
      <c r="J29" t="s">
        <v>87</v>
      </c>
      <c r="K29" t="s">
        <v>87</v>
      </c>
      <c r="L29" t="s">
        <v>87</v>
      </c>
      <c r="M29" t="s">
        <v>87</v>
      </c>
      <c r="N29" t="s">
        <v>87</v>
      </c>
      <c r="R29" t="s">
        <v>242</v>
      </c>
    </row>
    <row r="30" spans="1:20" x14ac:dyDescent="0.35">
      <c r="A30">
        <v>66</v>
      </c>
      <c r="B30" t="s">
        <v>37</v>
      </c>
      <c r="D30" t="s">
        <v>232</v>
      </c>
      <c r="E30" t="s">
        <v>127</v>
      </c>
      <c r="F30">
        <v>3.3</v>
      </c>
      <c r="G30">
        <v>1</v>
      </c>
      <c r="H30" t="s">
        <v>117</v>
      </c>
      <c r="I30" t="s">
        <v>87</v>
      </c>
      <c r="J30" t="s">
        <v>87</v>
      </c>
      <c r="K30" t="s">
        <v>70</v>
      </c>
      <c r="L30" t="s">
        <v>70</v>
      </c>
      <c r="M30" t="s">
        <v>70</v>
      </c>
      <c r="N30" t="s">
        <v>70</v>
      </c>
    </row>
  </sheetData>
  <phoneticPr fontId="2" type="noConversion"/>
  <conditionalFormatting sqref="L1:L25 M12:N25 L27:N30 Q27">
    <cfRule type="cellIs" dxfId="5" priority="1" operator="equal">
      <formula>"y"</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CA4A4A-692F-44C4-ACFF-8D3F8A1088A9}">
  <dimension ref="A1:L785"/>
  <sheetViews>
    <sheetView workbookViewId="0">
      <pane ySplit="1" topLeftCell="A47" activePane="bottomLeft" state="frozen"/>
      <selection pane="bottomLeft" activeCell="D743" sqref="D743"/>
    </sheetView>
  </sheetViews>
  <sheetFormatPr defaultRowHeight="14.5" x14ac:dyDescent="0.35"/>
  <cols>
    <col min="1" max="1" width="11.1796875" customWidth="1"/>
    <col min="2" max="2" width="12.6328125" customWidth="1"/>
    <col min="6" max="6" width="28.6328125" customWidth="1"/>
    <col min="10" max="10" width="14.1796875" customWidth="1"/>
  </cols>
  <sheetData>
    <row r="1" spans="1:12" ht="58" x14ac:dyDescent="0.35">
      <c r="A1" s="3" t="s">
        <v>62</v>
      </c>
      <c r="B1" s="3" t="s">
        <v>63</v>
      </c>
      <c r="C1" s="3" t="s">
        <v>6</v>
      </c>
      <c r="D1" s="3" t="s">
        <v>41</v>
      </c>
      <c r="E1" s="3" t="s">
        <v>64</v>
      </c>
      <c r="F1" s="3" t="s">
        <v>65</v>
      </c>
      <c r="G1" s="3" t="s">
        <v>45</v>
      </c>
      <c r="H1" s="3" t="s">
        <v>66</v>
      </c>
      <c r="I1" s="3" t="s">
        <v>85</v>
      </c>
      <c r="J1" s="3" t="s">
        <v>84</v>
      </c>
      <c r="K1" s="3" t="s">
        <v>67</v>
      </c>
      <c r="L1" s="3" t="s">
        <v>68</v>
      </c>
    </row>
    <row r="2" spans="1:12" x14ac:dyDescent="0.35">
      <c r="A2" s="5">
        <v>45821</v>
      </c>
      <c r="B2" s="6" t="s">
        <v>69</v>
      </c>
      <c r="C2" s="6">
        <v>23</v>
      </c>
      <c r="D2" s="6" t="s">
        <v>80</v>
      </c>
      <c r="E2" s="6" t="s">
        <v>70</v>
      </c>
      <c r="F2" s="6" t="s">
        <v>86</v>
      </c>
      <c r="G2" s="6">
        <v>59.4</v>
      </c>
      <c r="H2" s="6" t="s">
        <v>72</v>
      </c>
      <c r="I2">
        <v>1</v>
      </c>
      <c r="J2" t="s">
        <v>87</v>
      </c>
      <c r="K2" s="6"/>
      <c r="L2" s="6"/>
    </row>
    <row r="3" spans="1:12" x14ac:dyDescent="0.35">
      <c r="A3" s="4">
        <v>45821</v>
      </c>
      <c r="B3" t="s">
        <v>69</v>
      </c>
      <c r="C3">
        <v>23</v>
      </c>
      <c r="D3" t="s">
        <v>32</v>
      </c>
      <c r="E3" t="s">
        <v>70</v>
      </c>
      <c r="F3" t="s">
        <v>77</v>
      </c>
      <c r="G3">
        <v>4.8</v>
      </c>
      <c r="H3" t="s">
        <v>72</v>
      </c>
      <c r="I3">
        <v>1</v>
      </c>
      <c r="J3" t="s">
        <v>87</v>
      </c>
    </row>
    <row r="4" spans="1:12" x14ac:dyDescent="0.35">
      <c r="A4" s="4">
        <v>45821</v>
      </c>
      <c r="B4" t="s">
        <v>69</v>
      </c>
      <c r="C4">
        <v>23</v>
      </c>
      <c r="D4" t="s">
        <v>32</v>
      </c>
      <c r="E4" t="s">
        <v>70</v>
      </c>
      <c r="F4" t="s">
        <v>88</v>
      </c>
      <c r="G4">
        <v>3.1</v>
      </c>
      <c r="H4" t="s">
        <v>74</v>
      </c>
      <c r="I4">
        <v>1</v>
      </c>
      <c r="J4" t="s">
        <v>87</v>
      </c>
    </row>
    <row r="5" spans="1:12" x14ac:dyDescent="0.35">
      <c r="A5" s="4">
        <v>45821</v>
      </c>
      <c r="B5" t="s">
        <v>69</v>
      </c>
      <c r="C5">
        <v>23</v>
      </c>
      <c r="D5" t="s">
        <v>32</v>
      </c>
      <c r="E5" t="s">
        <v>70</v>
      </c>
      <c r="F5" t="s">
        <v>89</v>
      </c>
      <c r="G5">
        <v>19.7</v>
      </c>
      <c r="H5" t="s">
        <v>72</v>
      </c>
      <c r="I5">
        <v>1</v>
      </c>
      <c r="J5" t="s">
        <v>87</v>
      </c>
    </row>
    <row r="6" spans="1:12" x14ac:dyDescent="0.35">
      <c r="A6" s="4">
        <v>45821</v>
      </c>
      <c r="B6" t="s">
        <v>69</v>
      </c>
      <c r="C6">
        <v>23</v>
      </c>
      <c r="D6" t="s">
        <v>32</v>
      </c>
      <c r="E6" t="s">
        <v>70</v>
      </c>
      <c r="F6" t="s">
        <v>90</v>
      </c>
      <c r="G6">
        <v>9.8000000000000007</v>
      </c>
      <c r="H6" t="s">
        <v>74</v>
      </c>
      <c r="I6">
        <v>1</v>
      </c>
      <c r="J6" t="s">
        <v>87</v>
      </c>
    </row>
    <row r="7" spans="1:12" x14ac:dyDescent="0.35">
      <c r="A7" s="4">
        <v>45821</v>
      </c>
      <c r="B7" t="s">
        <v>69</v>
      </c>
      <c r="C7">
        <v>23</v>
      </c>
      <c r="D7" t="s">
        <v>32</v>
      </c>
      <c r="E7" t="s">
        <v>70</v>
      </c>
      <c r="F7" t="s">
        <v>88</v>
      </c>
      <c r="G7">
        <v>5.0999999999999996</v>
      </c>
      <c r="H7" t="s">
        <v>72</v>
      </c>
      <c r="I7">
        <v>1</v>
      </c>
      <c r="J7" t="s">
        <v>87</v>
      </c>
    </row>
    <row r="8" spans="1:12" x14ac:dyDescent="0.35">
      <c r="A8" s="4">
        <v>45821</v>
      </c>
      <c r="B8" t="s">
        <v>69</v>
      </c>
      <c r="C8">
        <v>23</v>
      </c>
      <c r="D8" t="s">
        <v>32</v>
      </c>
      <c r="E8" t="s">
        <v>70</v>
      </c>
      <c r="F8" t="s">
        <v>91</v>
      </c>
      <c r="G8">
        <v>136</v>
      </c>
      <c r="H8" t="s">
        <v>72</v>
      </c>
      <c r="I8">
        <v>1</v>
      </c>
      <c r="J8" t="s">
        <v>87</v>
      </c>
    </row>
    <row r="9" spans="1:12" x14ac:dyDescent="0.35">
      <c r="A9" s="4">
        <v>45821</v>
      </c>
      <c r="B9" t="s">
        <v>69</v>
      </c>
      <c r="C9">
        <v>23</v>
      </c>
      <c r="D9" t="s">
        <v>34</v>
      </c>
      <c r="E9" t="s">
        <v>70</v>
      </c>
      <c r="F9" t="s">
        <v>92</v>
      </c>
      <c r="G9">
        <v>8.6999999999999993</v>
      </c>
      <c r="H9" t="s">
        <v>72</v>
      </c>
      <c r="I9">
        <v>1</v>
      </c>
      <c r="J9" t="s">
        <v>87</v>
      </c>
    </row>
    <row r="10" spans="1:12" x14ac:dyDescent="0.35">
      <c r="A10" s="4">
        <v>45821</v>
      </c>
      <c r="B10" t="s">
        <v>69</v>
      </c>
      <c r="C10">
        <v>23</v>
      </c>
      <c r="D10" t="s">
        <v>34</v>
      </c>
      <c r="E10" t="s">
        <v>70</v>
      </c>
      <c r="F10" t="s">
        <v>77</v>
      </c>
      <c r="G10">
        <v>5.8</v>
      </c>
      <c r="H10" t="s">
        <v>74</v>
      </c>
      <c r="I10">
        <v>1</v>
      </c>
      <c r="J10" t="s">
        <v>87</v>
      </c>
    </row>
    <row r="11" spans="1:12" x14ac:dyDescent="0.35">
      <c r="A11" s="4">
        <v>45821</v>
      </c>
      <c r="B11" t="s">
        <v>69</v>
      </c>
      <c r="C11">
        <v>23</v>
      </c>
      <c r="D11" t="s">
        <v>34</v>
      </c>
      <c r="E11" t="s">
        <v>70</v>
      </c>
      <c r="F11" t="s">
        <v>77</v>
      </c>
      <c r="G11">
        <v>12.1</v>
      </c>
      <c r="H11" t="s">
        <v>74</v>
      </c>
      <c r="I11">
        <v>1</v>
      </c>
      <c r="J11" t="s">
        <v>87</v>
      </c>
    </row>
    <row r="12" spans="1:12" x14ac:dyDescent="0.35">
      <c r="A12" s="4">
        <v>45821</v>
      </c>
      <c r="B12" t="s">
        <v>69</v>
      </c>
      <c r="C12">
        <v>23</v>
      </c>
      <c r="D12" t="s">
        <v>34</v>
      </c>
      <c r="E12" t="s">
        <v>70</v>
      </c>
      <c r="F12" t="s">
        <v>77</v>
      </c>
      <c r="G12">
        <v>12.8</v>
      </c>
      <c r="H12" t="s">
        <v>72</v>
      </c>
      <c r="I12">
        <v>1</v>
      </c>
      <c r="J12" t="s">
        <v>87</v>
      </c>
    </row>
    <row r="13" spans="1:12" x14ac:dyDescent="0.35">
      <c r="A13" s="4">
        <v>45821</v>
      </c>
      <c r="B13" t="s">
        <v>69</v>
      </c>
      <c r="C13">
        <v>23</v>
      </c>
      <c r="D13" t="s">
        <v>34</v>
      </c>
      <c r="E13" t="s">
        <v>70</v>
      </c>
      <c r="F13" t="s">
        <v>77</v>
      </c>
      <c r="G13">
        <f>13.2+4.7</f>
        <v>17.899999999999999</v>
      </c>
      <c r="H13" t="s">
        <v>74</v>
      </c>
      <c r="I13">
        <v>2</v>
      </c>
      <c r="J13" t="s">
        <v>87</v>
      </c>
    </row>
    <row r="14" spans="1:12" x14ac:dyDescent="0.35">
      <c r="A14" s="4">
        <v>45821</v>
      </c>
      <c r="B14" t="s">
        <v>69</v>
      </c>
      <c r="C14">
        <v>23</v>
      </c>
      <c r="D14" t="s">
        <v>34</v>
      </c>
      <c r="E14" t="s">
        <v>70</v>
      </c>
      <c r="F14" t="s">
        <v>93</v>
      </c>
      <c r="G14">
        <v>24.9</v>
      </c>
      <c r="H14" t="s">
        <v>72</v>
      </c>
      <c r="I14">
        <v>1</v>
      </c>
      <c r="J14" t="s">
        <v>87</v>
      </c>
    </row>
    <row r="15" spans="1:12" x14ac:dyDescent="0.35">
      <c r="A15" s="4">
        <v>45821</v>
      </c>
      <c r="B15" t="s">
        <v>69</v>
      </c>
      <c r="C15">
        <v>23</v>
      </c>
      <c r="D15" t="s">
        <v>34</v>
      </c>
      <c r="E15" t="s">
        <v>70</v>
      </c>
      <c r="F15" t="s">
        <v>77</v>
      </c>
      <c r="G15">
        <v>8.3000000000000007</v>
      </c>
      <c r="H15" t="s">
        <v>74</v>
      </c>
      <c r="I15">
        <v>1</v>
      </c>
      <c r="J15" t="s">
        <v>87</v>
      </c>
    </row>
    <row r="16" spans="1:12" x14ac:dyDescent="0.35">
      <c r="A16" s="4">
        <v>45821</v>
      </c>
      <c r="B16" t="s">
        <v>69</v>
      </c>
      <c r="C16">
        <v>23</v>
      </c>
      <c r="D16" t="s">
        <v>34</v>
      </c>
      <c r="E16" t="s">
        <v>70</v>
      </c>
      <c r="F16" t="s">
        <v>77</v>
      </c>
      <c r="G16">
        <v>5.0999999999999996</v>
      </c>
      <c r="H16" t="s">
        <v>74</v>
      </c>
      <c r="I16">
        <v>1</v>
      </c>
      <c r="J16" t="s">
        <v>87</v>
      </c>
    </row>
    <row r="17" spans="1:10" x14ac:dyDescent="0.35">
      <c r="A17" s="4">
        <v>45821</v>
      </c>
      <c r="B17" t="s">
        <v>69</v>
      </c>
      <c r="C17">
        <v>23</v>
      </c>
      <c r="D17" t="s">
        <v>36</v>
      </c>
      <c r="E17" t="s">
        <v>70</v>
      </c>
      <c r="F17" t="s">
        <v>77</v>
      </c>
      <c r="G17">
        <v>9.8000000000000007</v>
      </c>
      <c r="H17" t="s">
        <v>72</v>
      </c>
      <c r="I17">
        <v>1</v>
      </c>
      <c r="J17" t="s">
        <v>87</v>
      </c>
    </row>
    <row r="18" spans="1:10" x14ac:dyDescent="0.35">
      <c r="A18" s="4">
        <v>45821</v>
      </c>
      <c r="B18" t="s">
        <v>69</v>
      </c>
      <c r="C18">
        <v>23</v>
      </c>
      <c r="D18" t="s">
        <v>36</v>
      </c>
      <c r="E18" t="s">
        <v>70</v>
      </c>
      <c r="F18" t="s">
        <v>77</v>
      </c>
      <c r="G18">
        <v>7.2</v>
      </c>
      <c r="H18" t="s">
        <v>74</v>
      </c>
      <c r="I18">
        <v>1</v>
      </c>
      <c r="J18" t="s">
        <v>87</v>
      </c>
    </row>
    <row r="19" spans="1:10" x14ac:dyDescent="0.35">
      <c r="A19" s="4">
        <v>45821</v>
      </c>
      <c r="B19" t="s">
        <v>69</v>
      </c>
      <c r="C19">
        <v>23</v>
      </c>
      <c r="D19" t="s">
        <v>36</v>
      </c>
      <c r="E19" t="s">
        <v>70</v>
      </c>
      <c r="F19" t="s">
        <v>77</v>
      </c>
      <c r="G19">
        <v>4.7</v>
      </c>
      <c r="H19" t="s">
        <v>74</v>
      </c>
      <c r="I19">
        <v>1</v>
      </c>
      <c r="J19" t="s">
        <v>87</v>
      </c>
    </row>
    <row r="20" spans="1:10" x14ac:dyDescent="0.35">
      <c r="A20" s="4">
        <v>45821</v>
      </c>
      <c r="B20" t="s">
        <v>69</v>
      </c>
      <c r="C20">
        <v>23</v>
      </c>
      <c r="D20" t="s">
        <v>36</v>
      </c>
      <c r="E20" t="s">
        <v>70</v>
      </c>
      <c r="F20" t="s">
        <v>77</v>
      </c>
      <c r="G20">
        <v>13.3</v>
      </c>
      <c r="H20" t="s">
        <v>74</v>
      </c>
      <c r="I20">
        <v>1</v>
      </c>
      <c r="J20" t="s">
        <v>87</v>
      </c>
    </row>
    <row r="21" spans="1:10" x14ac:dyDescent="0.35">
      <c r="A21" s="4">
        <v>45821</v>
      </c>
      <c r="B21" t="s">
        <v>69</v>
      </c>
      <c r="C21">
        <v>23</v>
      </c>
      <c r="D21" t="s">
        <v>36</v>
      </c>
      <c r="E21" t="s">
        <v>70</v>
      </c>
      <c r="F21" t="s">
        <v>77</v>
      </c>
      <c r="G21">
        <v>5.6</v>
      </c>
      <c r="H21" t="s">
        <v>72</v>
      </c>
      <c r="I21">
        <v>1</v>
      </c>
      <c r="J21" t="s">
        <v>87</v>
      </c>
    </row>
    <row r="22" spans="1:10" x14ac:dyDescent="0.35">
      <c r="A22" s="4">
        <v>45821</v>
      </c>
      <c r="B22" t="s">
        <v>69</v>
      </c>
      <c r="C22">
        <v>23</v>
      </c>
      <c r="D22" t="s">
        <v>36</v>
      </c>
      <c r="E22" t="s">
        <v>70</v>
      </c>
      <c r="F22" t="s">
        <v>90</v>
      </c>
      <c r="G22">
        <v>4.2</v>
      </c>
      <c r="H22" t="s">
        <v>74</v>
      </c>
      <c r="I22">
        <v>1</v>
      </c>
      <c r="J22" t="s">
        <v>87</v>
      </c>
    </row>
    <row r="23" spans="1:10" x14ac:dyDescent="0.35">
      <c r="A23" s="4">
        <v>45821</v>
      </c>
      <c r="B23" t="s">
        <v>69</v>
      </c>
      <c r="C23">
        <v>23</v>
      </c>
      <c r="D23" t="s">
        <v>36</v>
      </c>
      <c r="E23" t="s">
        <v>70</v>
      </c>
      <c r="F23" t="s">
        <v>90</v>
      </c>
      <c r="G23">
        <v>5.3</v>
      </c>
      <c r="H23" t="s">
        <v>74</v>
      </c>
      <c r="I23">
        <v>1</v>
      </c>
      <c r="J23" t="s">
        <v>87</v>
      </c>
    </row>
    <row r="24" spans="1:10" x14ac:dyDescent="0.35">
      <c r="A24" s="4">
        <v>45821</v>
      </c>
      <c r="B24" t="s">
        <v>69</v>
      </c>
      <c r="C24">
        <v>23</v>
      </c>
      <c r="D24" t="s">
        <v>36</v>
      </c>
      <c r="E24" t="s">
        <v>70</v>
      </c>
      <c r="F24" t="s">
        <v>77</v>
      </c>
      <c r="G24">
        <f>8.3+10.5+2.4</f>
        <v>21.2</v>
      </c>
      <c r="H24" t="s">
        <v>74</v>
      </c>
      <c r="I24">
        <v>2</v>
      </c>
      <c r="J24" t="s">
        <v>87</v>
      </c>
    </row>
    <row r="25" spans="1:10" x14ac:dyDescent="0.35">
      <c r="A25" s="4">
        <v>45821</v>
      </c>
      <c r="B25" t="s">
        <v>69</v>
      </c>
      <c r="C25">
        <v>23</v>
      </c>
      <c r="D25" t="s">
        <v>36</v>
      </c>
      <c r="E25" t="s">
        <v>70</v>
      </c>
      <c r="F25" t="s">
        <v>77</v>
      </c>
      <c r="G25">
        <v>4.5</v>
      </c>
      <c r="H25" t="s">
        <v>72</v>
      </c>
      <c r="I25">
        <v>1</v>
      </c>
      <c r="J25" t="s">
        <v>87</v>
      </c>
    </row>
    <row r="26" spans="1:10" x14ac:dyDescent="0.35">
      <c r="A26" s="4">
        <v>45821</v>
      </c>
      <c r="B26" t="s">
        <v>69</v>
      </c>
      <c r="C26">
        <v>23</v>
      </c>
      <c r="D26" t="s">
        <v>37</v>
      </c>
      <c r="E26" t="s">
        <v>70</v>
      </c>
      <c r="F26" t="s">
        <v>92</v>
      </c>
      <c r="G26">
        <v>13.2</v>
      </c>
      <c r="H26" t="s">
        <v>72</v>
      </c>
      <c r="I26">
        <v>1</v>
      </c>
      <c r="J26" t="s">
        <v>87</v>
      </c>
    </row>
    <row r="27" spans="1:10" x14ac:dyDescent="0.35">
      <c r="A27" s="4">
        <v>45821</v>
      </c>
      <c r="B27" t="s">
        <v>69</v>
      </c>
      <c r="C27">
        <v>23</v>
      </c>
      <c r="D27" t="s">
        <v>37</v>
      </c>
      <c r="E27" t="s">
        <v>70</v>
      </c>
      <c r="F27" t="s">
        <v>77</v>
      </c>
      <c r="G27">
        <v>13.8</v>
      </c>
      <c r="H27" t="s">
        <v>72</v>
      </c>
      <c r="I27">
        <v>1</v>
      </c>
      <c r="J27" t="s">
        <v>87</v>
      </c>
    </row>
    <row r="28" spans="1:10" x14ac:dyDescent="0.35">
      <c r="A28" s="4">
        <v>45821</v>
      </c>
      <c r="B28" t="s">
        <v>69</v>
      </c>
      <c r="C28">
        <v>23</v>
      </c>
      <c r="D28" t="s">
        <v>37</v>
      </c>
      <c r="E28" t="s">
        <v>70</v>
      </c>
      <c r="F28" t="s">
        <v>77</v>
      </c>
      <c r="G28">
        <v>18.7</v>
      </c>
      <c r="H28" t="s">
        <v>72</v>
      </c>
      <c r="I28">
        <v>1</v>
      </c>
      <c r="J28" t="s">
        <v>87</v>
      </c>
    </row>
    <row r="29" spans="1:10" x14ac:dyDescent="0.35">
      <c r="A29" s="4">
        <v>45821</v>
      </c>
      <c r="B29" t="s">
        <v>69</v>
      </c>
      <c r="C29">
        <v>23</v>
      </c>
      <c r="D29" t="s">
        <v>37</v>
      </c>
      <c r="E29" t="s">
        <v>70</v>
      </c>
      <c r="F29" t="s">
        <v>77</v>
      </c>
      <c r="G29">
        <v>10.199999999999999</v>
      </c>
      <c r="H29" t="s">
        <v>72</v>
      </c>
      <c r="I29">
        <v>1</v>
      </c>
      <c r="J29" t="s">
        <v>87</v>
      </c>
    </row>
    <row r="30" spans="1:10" x14ac:dyDescent="0.35">
      <c r="A30" s="4">
        <v>45821</v>
      </c>
      <c r="B30" t="s">
        <v>69</v>
      </c>
      <c r="C30">
        <v>23</v>
      </c>
      <c r="D30" t="s">
        <v>37</v>
      </c>
      <c r="E30" t="s">
        <v>70</v>
      </c>
      <c r="F30" t="s">
        <v>90</v>
      </c>
      <c r="G30">
        <v>5.0999999999999996</v>
      </c>
      <c r="H30" t="s">
        <v>74</v>
      </c>
      <c r="I30">
        <v>1</v>
      </c>
      <c r="J30" t="s">
        <v>87</v>
      </c>
    </row>
    <row r="31" spans="1:10" x14ac:dyDescent="0.35">
      <c r="A31" s="4">
        <v>45821</v>
      </c>
      <c r="B31" t="s">
        <v>69</v>
      </c>
      <c r="C31">
        <v>23</v>
      </c>
      <c r="D31" t="s">
        <v>32</v>
      </c>
      <c r="E31" t="s">
        <v>87</v>
      </c>
      <c r="F31" t="s">
        <v>89</v>
      </c>
      <c r="G31">
        <v>16.899999999999999</v>
      </c>
      <c r="H31" t="s">
        <v>72</v>
      </c>
      <c r="I31">
        <v>1</v>
      </c>
      <c r="J31" t="s">
        <v>87</v>
      </c>
    </row>
    <row r="32" spans="1:10" x14ac:dyDescent="0.35">
      <c r="A32" s="4">
        <v>45821</v>
      </c>
      <c r="B32" t="s">
        <v>69</v>
      </c>
      <c r="C32">
        <v>23</v>
      </c>
      <c r="D32" t="s">
        <v>32</v>
      </c>
      <c r="E32" t="s">
        <v>87</v>
      </c>
      <c r="F32" t="s">
        <v>77</v>
      </c>
      <c r="G32">
        <v>12.7</v>
      </c>
      <c r="H32" t="s">
        <v>72</v>
      </c>
      <c r="I32">
        <v>1</v>
      </c>
      <c r="J32" t="s">
        <v>87</v>
      </c>
    </row>
    <row r="33" spans="1:10" x14ac:dyDescent="0.35">
      <c r="A33" s="4">
        <v>45821</v>
      </c>
      <c r="B33" t="s">
        <v>69</v>
      </c>
      <c r="C33">
        <v>23</v>
      </c>
      <c r="D33" t="s">
        <v>32</v>
      </c>
      <c r="E33" t="s">
        <v>87</v>
      </c>
      <c r="F33" t="s">
        <v>93</v>
      </c>
      <c r="G33">
        <v>16.899999999999999</v>
      </c>
      <c r="H33" t="s">
        <v>72</v>
      </c>
      <c r="I33">
        <v>1</v>
      </c>
      <c r="J33" t="s">
        <v>87</v>
      </c>
    </row>
    <row r="34" spans="1:10" x14ac:dyDescent="0.35">
      <c r="A34" s="4">
        <v>45821</v>
      </c>
      <c r="B34" t="s">
        <v>69</v>
      </c>
      <c r="C34">
        <v>23</v>
      </c>
      <c r="D34" t="s">
        <v>32</v>
      </c>
      <c r="E34" t="s">
        <v>87</v>
      </c>
      <c r="F34" t="s">
        <v>93</v>
      </c>
      <c r="G34">
        <v>14.8</v>
      </c>
      <c r="H34" t="s">
        <v>72</v>
      </c>
      <c r="I34">
        <v>1</v>
      </c>
      <c r="J34" t="s">
        <v>87</v>
      </c>
    </row>
    <row r="35" spans="1:10" x14ac:dyDescent="0.35">
      <c r="A35" s="4">
        <v>45821</v>
      </c>
      <c r="B35" t="s">
        <v>69</v>
      </c>
      <c r="C35">
        <v>23</v>
      </c>
      <c r="D35" t="s">
        <v>32</v>
      </c>
      <c r="E35" t="s">
        <v>87</v>
      </c>
      <c r="F35" t="s">
        <v>93</v>
      </c>
      <c r="G35">
        <f>38.1+5.7+6.7</f>
        <v>50.500000000000007</v>
      </c>
      <c r="H35" t="s">
        <v>72</v>
      </c>
      <c r="I35">
        <v>3</v>
      </c>
      <c r="J35" t="s">
        <v>87</v>
      </c>
    </row>
    <row r="36" spans="1:10" x14ac:dyDescent="0.35">
      <c r="A36" s="4">
        <v>45821</v>
      </c>
      <c r="B36" t="s">
        <v>69</v>
      </c>
      <c r="C36">
        <v>23</v>
      </c>
      <c r="D36" t="s">
        <v>32</v>
      </c>
      <c r="E36" t="s">
        <v>87</v>
      </c>
      <c r="F36" t="s">
        <v>94</v>
      </c>
      <c r="G36">
        <v>12.5</v>
      </c>
      <c r="H36" t="s">
        <v>72</v>
      </c>
      <c r="I36">
        <v>1</v>
      </c>
      <c r="J36" t="s">
        <v>87</v>
      </c>
    </row>
    <row r="37" spans="1:10" x14ac:dyDescent="0.35">
      <c r="A37" s="4">
        <v>45821</v>
      </c>
      <c r="B37" t="s">
        <v>69</v>
      </c>
      <c r="C37">
        <v>23</v>
      </c>
      <c r="D37" t="s">
        <v>32</v>
      </c>
      <c r="E37" t="s">
        <v>87</v>
      </c>
      <c r="F37" t="s">
        <v>93</v>
      </c>
      <c r="G37">
        <f>35.7+3</f>
        <v>38.700000000000003</v>
      </c>
      <c r="H37" t="s">
        <v>72</v>
      </c>
      <c r="I37">
        <v>2</v>
      </c>
      <c r="J37" t="s">
        <v>87</v>
      </c>
    </row>
    <row r="38" spans="1:10" x14ac:dyDescent="0.35">
      <c r="A38" s="4">
        <v>45821</v>
      </c>
      <c r="B38" t="s">
        <v>69</v>
      </c>
      <c r="C38">
        <v>23</v>
      </c>
      <c r="D38" t="s">
        <v>32</v>
      </c>
      <c r="E38" t="s">
        <v>87</v>
      </c>
      <c r="F38" t="s">
        <v>93</v>
      </c>
      <c r="G38">
        <v>36.299999999999997</v>
      </c>
      <c r="H38" t="s">
        <v>72</v>
      </c>
      <c r="I38">
        <v>1</v>
      </c>
      <c r="J38" t="s">
        <v>87</v>
      </c>
    </row>
    <row r="39" spans="1:10" x14ac:dyDescent="0.35">
      <c r="A39" s="4">
        <v>45821</v>
      </c>
      <c r="B39" t="s">
        <v>69</v>
      </c>
      <c r="C39">
        <v>23</v>
      </c>
      <c r="D39" t="s">
        <v>34</v>
      </c>
      <c r="E39" t="s">
        <v>87</v>
      </c>
      <c r="F39" t="s">
        <v>93</v>
      </c>
      <c r="G39">
        <f>70.5+48.4</f>
        <v>118.9</v>
      </c>
      <c r="H39" t="s">
        <v>72</v>
      </c>
      <c r="I39">
        <v>2</v>
      </c>
      <c r="J39" t="s">
        <v>87</v>
      </c>
    </row>
    <row r="40" spans="1:10" x14ac:dyDescent="0.35">
      <c r="A40" s="4">
        <v>45821</v>
      </c>
      <c r="B40" t="s">
        <v>69</v>
      </c>
      <c r="C40">
        <v>23</v>
      </c>
      <c r="D40" t="s">
        <v>34</v>
      </c>
      <c r="E40" t="s">
        <v>87</v>
      </c>
      <c r="F40" t="s">
        <v>77</v>
      </c>
      <c r="G40">
        <v>12.6</v>
      </c>
      <c r="H40" t="s">
        <v>72</v>
      </c>
      <c r="I40">
        <v>1</v>
      </c>
      <c r="J40" t="s">
        <v>87</v>
      </c>
    </row>
    <row r="41" spans="1:10" x14ac:dyDescent="0.35">
      <c r="A41" s="4">
        <v>45821</v>
      </c>
      <c r="B41" t="s">
        <v>69</v>
      </c>
      <c r="C41">
        <v>23</v>
      </c>
      <c r="D41" t="s">
        <v>34</v>
      </c>
      <c r="E41" t="s">
        <v>87</v>
      </c>
      <c r="F41" t="s">
        <v>93</v>
      </c>
      <c r="G41">
        <v>48.5</v>
      </c>
      <c r="H41" t="s">
        <v>72</v>
      </c>
      <c r="I41">
        <v>1</v>
      </c>
      <c r="J41" t="s">
        <v>87</v>
      </c>
    </row>
    <row r="42" spans="1:10" x14ac:dyDescent="0.35">
      <c r="A42" s="4">
        <v>45821</v>
      </c>
      <c r="B42" t="s">
        <v>69</v>
      </c>
      <c r="C42">
        <v>23</v>
      </c>
      <c r="D42" t="s">
        <v>34</v>
      </c>
      <c r="E42" t="s">
        <v>87</v>
      </c>
      <c r="F42" t="s">
        <v>94</v>
      </c>
      <c r="G42">
        <f>9.7+35.9</f>
        <v>45.599999999999994</v>
      </c>
      <c r="H42" t="s">
        <v>72</v>
      </c>
      <c r="I42">
        <v>2</v>
      </c>
      <c r="J42" t="s">
        <v>87</v>
      </c>
    </row>
    <row r="43" spans="1:10" x14ac:dyDescent="0.35">
      <c r="A43" s="4">
        <v>45821</v>
      </c>
      <c r="B43" t="s">
        <v>69</v>
      </c>
      <c r="C43">
        <v>23</v>
      </c>
      <c r="D43" t="s">
        <v>34</v>
      </c>
      <c r="E43" t="s">
        <v>87</v>
      </c>
      <c r="F43" t="s">
        <v>92</v>
      </c>
      <c r="G43">
        <v>49.4</v>
      </c>
      <c r="H43" t="s">
        <v>72</v>
      </c>
      <c r="I43">
        <v>1</v>
      </c>
      <c r="J43" t="s">
        <v>87</v>
      </c>
    </row>
    <row r="44" spans="1:10" x14ac:dyDescent="0.35">
      <c r="A44" s="4">
        <v>45821</v>
      </c>
      <c r="B44" t="s">
        <v>69</v>
      </c>
      <c r="C44">
        <v>23</v>
      </c>
      <c r="D44" t="s">
        <v>36</v>
      </c>
      <c r="E44" t="s">
        <v>87</v>
      </c>
      <c r="F44" t="s">
        <v>93</v>
      </c>
      <c r="G44">
        <v>73.2</v>
      </c>
      <c r="H44" t="s">
        <v>72</v>
      </c>
      <c r="I44">
        <v>1</v>
      </c>
      <c r="J44" t="s">
        <v>87</v>
      </c>
    </row>
    <row r="45" spans="1:10" x14ac:dyDescent="0.35">
      <c r="A45" s="4">
        <v>45821</v>
      </c>
      <c r="B45" t="s">
        <v>69</v>
      </c>
      <c r="C45">
        <v>23</v>
      </c>
      <c r="D45" t="s">
        <v>36</v>
      </c>
      <c r="E45" t="s">
        <v>87</v>
      </c>
      <c r="F45" t="s">
        <v>77</v>
      </c>
      <c r="G45">
        <v>23.4</v>
      </c>
      <c r="H45" t="s">
        <v>72</v>
      </c>
      <c r="I45">
        <v>1</v>
      </c>
      <c r="J45" t="s">
        <v>87</v>
      </c>
    </row>
    <row r="46" spans="1:10" x14ac:dyDescent="0.35">
      <c r="A46" s="4">
        <v>45821</v>
      </c>
      <c r="B46" t="s">
        <v>69</v>
      </c>
      <c r="C46">
        <v>23</v>
      </c>
      <c r="D46" t="s">
        <v>36</v>
      </c>
      <c r="E46" t="s">
        <v>87</v>
      </c>
      <c r="F46" t="s">
        <v>77</v>
      </c>
      <c r="G46">
        <v>15</v>
      </c>
      <c r="H46" t="s">
        <v>72</v>
      </c>
      <c r="I46">
        <v>1</v>
      </c>
      <c r="J46" t="s">
        <v>87</v>
      </c>
    </row>
    <row r="47" spans="1:10" x14ac:dyDescent="0.35">
      <c r="A47" s="4">
        <v>45821</v>
      </c>
      <c r="B47" t="s">
        <v>69</v>
      </c>
      <c r="C47">
        <v>23</v>
      </c>
      <c r="D47" t="s">
        <v>36</v>
      </c>
      <c r="E47" t="s">
        <v>87</v>
      </c>
      <c r="F47" t="s">
        <v>77</v>
      </c>
      <c r="G47">
        <v>12.9</v>
      </c>
      <c r="H47" t="s">
        <v>74</v>
      </c>
      <c r="I47">
        <v>1</v>
      </c>
      <c r="J47" t="s">
        <v>87</v>
      </c>
    </row>
    <row r="48" spans="1:10" x14ac:dyDescent="0.35">
      <c r="A48" s="4">
        <v>45821</v>
      </c>
      <c r="B48" t="s">
        <v>69</v>
      </c>
      <c r="C48">
        <v>23</v>
      </c>
      <c r="D48" t="s">
        <v>36</v>
      </c>
      <c r="E48" t="s">
        <v>87</v>
      </c>
      <c r="F48" t="s">
        <v>93</v>
      </c>
      <c r="G48">
        <f>14.7+60.8</f>
        <v>75.5</v>
      </c>
      <c r="H48" t="s">
        <v>72</v>
      </c>
      <c r="I48">
        <v>2</v>
      </c>
      <c r="J48" t="s">
        <v>87</v>
      </c>
    </row>
    <row r="49" spans="1:12" x14ac:dyDescent="0.35">
      <c r="A49" s="4">
        <v>45821</v>
      </c>
      <c r="B49" t="s">
        <v>69</v>
      </c>
      <c r="C49">
        <v>23</v>
      </c>
      <c r="D49" t="s">
        <v>37</v>
      </c>
      <c r="E49" t="s">
        <v>87</v>
      </c>
      <c r="F49" t="s">
        <v>93</v>
      </c>
      <c r="G49">
        <v>15.7</v>
      </c>
      <c r="H49" t="s">
        <v>72</v>
      </c>
      <c r="I49">
        <v>1</v>
      </c>
      <c r="J49" t="s">
        <v>87</v>
      </c>
    </row>
    <row r="50" spans="1:12" x14ac:dyDescent="0.35">
      <c r="A50" s="4">
        <v>45821</v>
      </c>
      <c r="B50" t="s">
        <v>69</v>
      </c>
      <c r="C50">
        <v>23</v>
      </c>
      <c r="D50" t="s">
        <v>37</v>
      </c>
      <c r="E50" t="s">
        <v>87</v>
      </c>
      <c r="F50" t="s">
        <v>93</v>
      </c>
      <c r="G50">
        <v>76</v>
      </c>
      <c r="H50" t="s">
        <v>72</v>
      </c>
      <c r="I50">
        <v>1</v>
      </c>
      <c r="J50" t="s">
        <v>87</v>
      </c>
    </row>
    <row r="51" spans="1:12" x14ac:dyDescent="0.35">
      <c r="A51" s="4">
        <v>45821</v>
      </c>
      <c r="B51" t="s">
        <v>69</v>
      </c>
      <c r="C51">
        <v>23</v>
      </c>
      <c r="D51" t="s">
        <v>37</v>
      </c>
      <c r="E51" t="s">
        <v>87</v>
      </c>
      <c r="F51" t="s">
        <v>93</v>
      </c>
      <c r="G51">
        <v>67.5</v>
      </c>
      <c r="H51" t="s">
        <v>72</v>
      </c>
      <c r="I51">
        <v>1</v>
      </c>
      <c r="J51" t="s">
        <v>87</v>
      </c>
    </row>
    <row r="52" spans="1:12" x14ac:dyDescent="0.35">
      <c r="A52" s="4">
        <v>45821</v>
      </c>
      <c r="B52" t="s">
        <v>69</v>
      </c>
      <c r="C52">
        <v>23</v>
      </c>
      <c r="D52" t="s">
        <v>37</v>
      </c>
      <c r="E52" t="s">
        <v>87</v>
      </c>
      <c r="F52" t="s">
        <v>86</v>
      </c>
      <c r="G52">
        <v>104.6</v>
      </c>
      <c r="H52" t="s">
        <v>72</v>
      </c>
      <c r="I52">
        <v>1</v>
      </c>
      <c r="J52" t="s">
        <v>87</v>
      </c>
    </row>
    <row r="53" spans="1:12" x14ac:dyDescent="0.35">
      <c r="A53" s="4">
        <v>45819</v>
      </c>
      <c r="B53" s="6" t="s">
        <v>69</v>
      </c>
      <c r="C53" s="6">
        <v>61</v>
      </c>
      <c r="D53" s="6" t="s">
        <v>80</v>
      </c>
      <c r="E53" s="6" t="s">
        <v>70</v>
      </c>
      <c r="F53" s="6" t="s">
        <v>73</v>
      </c>
      <c r="G53" s="6">
        <f>2.3+5.6+2+3.1</f>
        <v>12.999999999999998</v>
      </c>
      <c r="H53" s="6" t="s">
        <v>72</v>
      </c>
      <c r="I53">
        <v>4</v>
      </c>
      <c r="J53" t="s">
        <v>87</v>
      </c>
      <c r="K53" s="6"/>
      <c r="L53" s="6"/>
    </row>
    <row r="54" spans="1:12" x14ac:dyDescent="0.35">
      <c r="A54" s="4">
        <v>45819</v>
      </c>
      <c r="B54" t="s">
        <v>69</v>
      </c>
      <c r="C54">
        <v>61</v>
      </c>
      <c r="D54" t="s">
        <v>32</v>
      </c>
      <c r="E54" t="s">
        <v>70</v>
      </c>
      <c r="F54" t="s">
        <v>71</v>
      </c>
      <c r="G54">
        <v>3.4</v>
      </c>
      <c r="H54" t="s">
        <v>72</v>
      </c>
      <c r="I54">
        <v>1</v>
      </c>
      <c r="J54" t="s">
        <v>87</v>
      </c>
    </row>
    <row r="55" spans="1:12" x14ac:dyDescent="0.35">
      <c r="A55" s="4">
        <v>45819</v>
      </c>
      <c r="B55" t="s">
        <v>69</v>
      </c>
      <c r="C55">
        <v>61</v>
      </c>
      <c r="D55" t="s">
        <v>32</v>
      </c>
      <c r="E55" t="s">
        <v>70</v>
      </c>
      <c r="F55" t="s">
        <v>93</v>
      </c>
      <c r="G55">
        <v>6.1</v>
      </c>
      <c r="H55" t="s">
        <v>72</v>
      </c>
      <c r="I55">
        <v>1</v>
      </c>
      <c r="J55" t="s">
        <v>87</v>
      </c>
    </row>
    <row r="56" spans="1:12" x14ac:dyDescent="0.35">
      <c r="A56" s="4">
        <v>45819</v>
      </c>
      <c r="B56" t="s">
        <v>69</v>
      </c>
      <c r="C56">
        <v>61</v>
      </c>
      <c r="D56" t="s">
        <v>32</v>
      </c>
      <c r="E56" t="s">
        <v>87</v>
      </c>
      <c r="F56" t="s">
        <v>93</v>
      </c>
      <c r="G56">
        <f>6.1+3+7.2+7</f>
        <v>23.3</v>
      </c>
      <c r="H56" t="s">
        <v>72</v>
      </c>
      <c r="I56">
        <v>4</v>
      </c>
      <c r="J56" t="s">
        <v>87</v>
      </c>
    </row>
    <row r="57" spans="1:12" x14ac:dyDescent="0.35">
      <c r="A57" s="4">
        <v>45819</v>
      </c>
      <c r="B57" t="s">
        <v>69</v>
      </c>
      <c r="C57">
        <v>61</v>
      </c>
      <c r="D57" t="s">
        <v>32</v>
      </c>
      <c r="E57" t="s">
        <v>70</v>
      </c>
      <c r="F57" t="s">
        <v>93</v>
      </c>
      <c r="G57">
        <v>3.2</v>
      </c>
      <c r="H57" t="s">
        <v>72</v>
      </c>
      <c r="I57">
        <v>1</v>
      </c>
      <c r="J57" t="s">
        <v>87</v>
      </c>
    </row>
    <row r="58" spans="1:12" x14ac:dyDescent="0.35">
      <c r="A58" s="4">
        <v>45819</v>
      </c>
      <c r="B58" t="s">
        <v>69</v>
      </c>
      <c r="C58">
        <v>61</v>
      </c>
      <c r="D58" t="s">
        <v>32</v>
      </c>
      <c r="E58" t="s">
        <v>70</v>
      </c>
      <c r="F58" t="s">
        <v>93</v>
      </c>
      <c r="G58">
        <v>4</v>
      </c>
      <c r="H58" t="s">
        <v>72</v>
      </c>
      <c r="I58">
        <v>1</v>
      </c>
      <c r="J58" t="s">
        <v>87</v>
      </c>
    </row>
    <row r="59" spans="1:12" x14ac:dyDescent="0.35">
      <c r="A59" s="4">
        <v>45819</v>
      </c>
      <c r="B59" t="s">
        <v>69</v>
      </c>
      <c r="C59">
        <v>61</v>
      </c>
      <c r="D59" t="s">
        <v>32</v>
      </c>
      <c r="E59" t="s">
        <v>70</v>
      </c>
      <c r="F59" t="s">
        <v>93</v>
      </c>
      <c r="G59">
        <v>6.2</v>
      </c>
      <c r="H59" t="s">
        <v>72</v>
      </c>
      <c r="I59">
        <v>1</v>
      </c>
      <c r="J59" t="s">
        <v>87</v>
      </c>
    </row>
    <row r="60" spans="1:12" x14ac:dyDescent="0.35">
      <c r="A60" s="4">
        <v>45819</v>
      </c>
      <c r="B60" t="s">
        <v>69</v>
      </c>
      <c r="C60">
        <v>61</v>
      </c>
      <c r="D60" t="s">
        <v>32</v>
      </c>
      <c r="E60" t="s">
        <v>70</v>
      </c>
      <c r="F60" t="s">
        <v>93</v>
      </c>
      <c r="G60">
        <v>6.7</v>
      </c>
      <c r="H60" t="s">
        <v>72</v>
      </c>
      <c r="I60">
        <v>1</v>
      </c>
      <c r="J60" t="s">
        <v>87</v>
      </c>
    </row>
    <row r="61" spans="1:12" x14ac:dyDescent="0.35">
      <c r="A61" s="4">
        <v>45819</v>
      </c>
      <c r="B61" t="s">
        <v>69</v>
      </c>
      <c r="C61">
        <v>61</v>
      </c>
      <c r="D61" t="s">
        <v>32</v>
      </c>
      <c r="E61" t="s">
        <v>70</v>
      </c>
      <c r="F61" t="s">
        <v>93</v>
      </c>
      <c r="G61">
        <f>6.7+2.9</f>
        <v>9.6</v>
      </c>
      <c r="H61" t="s">
        <v>72</v>
      </c>
      <c r="I61">
        <v>2</v>
      </c>
      <c r="J61" t="s">
        <v>87</v>
      </c>
    </row>
    <row r="62" spans="1:12" x14ac:dyDescent="0.35">
      <c r="A62" s="4">
        <v>45819</v>
      </c>
      <c r="B62" t="s">
        <v>69</v>
      </c>
      <c r="C62">
        <v>61</v>
      </c>
      <c r="D62" t="s">
        <v>32</v>
      </c>
      <c r="E62" t="s">
        <v>70</v>
      </c>
      <c r="F62" t="s">
        <v>93</v>
      </c>
      <c r="G62">
        <v>8.1999999999999993</v>
      </c>
      <c r="H62" t="s">
        <v>72</v>
      </c>
      <c r="I62">
        <v>1</v>
      </c>
      <c r="J62" t="s">
        <v>87</v>
      </c>
    </row>
    <row r="63" spans="1:12" x14ac:dyDescent="0.35">
      <c r="A63" s="4">
        <v>45819</v>
      </c>
      <c r="B63" t="s">
        <v>69</v>
      </c>
      <c r="C63">
        <v>61</v>
      </c>
      <c r="D63" t="s">
        <v>34</v>
      </c>
      <c r="E63" t="s">
        <v>70</v>
      </c>
      <c r="F63" t="s">
        <v>93</v>
      </c>
      <c r="G63">
        <v>11.1</v>
      </c>
      <c r="H63" t="s">
        <v>72</v>
      </c>
      <c r="I63">
        <v>1</v>
      </c>
      <c r="J63" t="s">
        <v>87</v>
      </c>
    </row>
    <row r="64" spans="1:12" x14ac:dyDescent="0.35">
      <c r="A64" s="4">
        <v>45819</v>
      </c>
      <c r="B64" t="s">
        <v>69</v>
      </c>
      <c r="C64">
        <v>61</v>
      </c>
      <c r="D64" t="s">
        <v>34</v>
      </c>
      <c r="E64" t="s">
        <v>70</v>
      </c>
      <c r="F64" t="s">
        <v>93</v>
      </c>
      <c r="G64">
        <v>18.8</v>
      </c>
      <c r="H64" t="s">
        <v>72</v>
      </c>
      <c r="I64">
        <v>1</v>
      </c>
      <c r="J64" t="s">
        <v>87</v>
      </c>
    </row>
    <row r="65" spans="1:10" x14ac:dyDescent="0.35">
      <c r="A65" s="4">
        <v>45819</v>
      </c>
      <c r="B65" t="s">
        <v>69</v>
      </c>
      <c r="C65">
        <v>61</v>
      </c>
      <c r="D65" t="s">
        <v>34</v>
      </c>
      <c r="E65" t="s">
        <v>70</v>
      </c>
      <c r="F65" t="s">
        <v>71</v>
      </c>
      <c r="G65">
        <f>2.9+2.6+0.9</f>
        <v>6.4</v>
      </c>
      <c r="H65" t="s">
        <v>72</v>
      </c>
      <c r="I65">
        <v>3</v>
      </c>
      <c r="J65" t="s">
        <v>87</v>
      </c>
    </row>
    <row r="66" spans="1:10" x14ac:dyDescent="0.35">
      <c r="A66" s="4">
        <v>45819</v>
      </c>
      <c r="B66" t="s">
        <v>69</v>
      </c>
      <c r="C66">
        <v>61</v>
      </c>
      <c r="D66" t="s">
        <v>34</v>
      </c>
      <c r="E66" t="s">
        <v>70</v>
      </c>
      <c r="F66" t="s">
        <v>93</v>
      </c>
      <c r="G66">
        <v>11.9</v>
      </c>
      <c r="H66" t="s">
        <v>72</v>
      </c>
      <c r="I66">
        <v>1</v>
      </c>
      <c r="J66" t="s">
        <v>87</v>
      </c>
    </row>
    <row r="67" spans="1:10" x14ac:dyDescent="0.35">
      <c r="A67" s="4">
        <v>45819</v>
      </c>
      <c r="B67" t="s">
        <v>69</v>
      </c>
      <c r="C67">
        <v>61</v>
      </c>
      <c r="D67" t="s">
        <v>34</v>
      </c>
      <c r="E67" t="s">
        <v>70</v>
      </c>
      <c r="F67" t="s">
        <v>77</v>
      </c>
      <c r="G67">
        <v>13.6</v>
      </c>
      <c r="H67" t="s">
        <v>72</v>
      </c>
      <c r="I67">
        <v>1</v>
      </c>
      <c r="J67" t="s">
        <v>87</v>
      </c>
    </row>
    <row r="68" spans="1:10" x14ac:dyDescent="0.35">
      <c r="A68" s="4">
        <v>45819</v>
      </c>
      <c r="B68" t="s">
        <v>69</v>
      </c>
      <c r="C68">
        <v>61</v>
      </c>
      <c r="D68" t="s">
        <v>34</v>
      </c>
      <c r="E68" t="s">
        <v>70</v>
      </c>
      <c r="F68" t="s">
        <v>92</v>
      </c>
      <c r="G68">
        <v>3.3</v>
      </c>
      <c r="H68" t="s">
        <v>72</v>
      </c>
      <c r="I68">
        <v>1</v>
      </c>
      <c r="J68" t="s">
        <v>87</v>
      </c>
    </row>
    <row r="69" spans="1:10" x14ac:dyDescent="0.35">
      <c r="A69" s="4">
        <v>45819</v>
      </c>
      <c r="B69" t="s">
        <v>69</v>
      </c>
      <c r="C69">
        <v>61</v>
      </c>
      <c r="D69" t="s">
        <v>34</v>
      </c>
      <c r="E69" t="s">
        <v>70</v>
      </c>
      <c r="F69" t="s">
        <v>71</v>
      </c>
      <c r="G69">
        <f>3.2+2</f>
        <v>5.2</v>
      </c>
      <c r="H69" t="s">
        <v>72</v>
      </c>
      <c r="I69">
        <v>2</v>
      </c>
      <c r="J69" t="s">
        <v>87</v>
      </c>
    </row>
    <row r="70" spans="1:10" x14ac:dyDescent="0.35">
      <c r="A70" s="4">
        <v>45819</v>
      </c>
      <c r="B70" t="s">
        <v>69</v>
      </c>
      <c r="C70">
        <v>61</v>
      </c>
      <c r="D70" t="s">
        <v>34</v>
      </c>
      <c r="E70" t="s">
        <v>70</v>
      </c>
      <c r="F70" t="s">
        <v>77</v>
      </c>
      <c r="G70">
        <v>2.6</v>
      </c>
      <c r="H70" t="s">
        <v>72</v>
      </c>
      <c r="I70">
        <v>1</v>
      </c>
      <c r="J70" t="s">
        <v>87</v>
      </c>
    </row>
    <row r="71" spans="1:10" x14ac:dyDescent="0.35">
      <c r="A71" s="4">
        <v>45819</v>
      </c>
      <c r="B71" t="s">
        <v>69</v>
      </c>
      <c r="C71">
        <v>61</v>
      </c>
      <c r="D71" t="s">
        <v>34</v>
      </c>
      <c r="E71" t="s">
        <v>70</v>
      </c>
      <c r="F71" t="s">
        <v>71</v>
      </c>
      <c r="G71">
        <v>2.5</v>
      </c>
      <c r="H71" t="s">
        <v>74</v>
      </c>
      <c r="I71">
        <v>1</v>
      </c>
      <c r="J71" t="s">
        <v>87</v>
      </c>
    </row>
    <row r="72" spans="1:10" x14ac:dyDescent="0.35">
      <c r="A72" s="4">
        <v>45819</v>
      </c>
      <c r="B72" t="s">
        <v>69</v>
      </c>
      <c r="C72">
        <v>61</v>
      </c>
      <c r="D72" t="s">
        <v>34</v>
      </c>
      <c r="E72" t="s">
        <v>70</v>
      </c>
      <c r="F72" t="s">
        <v>77</v>
      </c>
      <c r="G72">
        <v>14.6</v>
      </c>
      <c r="H72" t="s">
        <v>72</v>
      </c>
      <c r="I72">
        <v>1</v>
      </c>
      <c r="J72" t="s">
        <v>87</v>
      </c>
    </row>
    <row r="73" spans="1:10" x14ac:dyDescent="0.35">
      <c r="A73" s="4">
        <v>45819</v>
      </c>
      <c r="B73" t="s">
        <v>69</v>
      </c>
      <c r="C73">
        <v>61</v>
      </c>
      <c r="D73" t="s">
        <v>36</v>
      </c>
      <c r="E73" t="s">
        <v>70</v>
      </c>
      <c r="F73" t="s">
        <v>71</v>
      </c>
      <c r="G73">
        <v>2.5</v>
      </c>
      <c r="H73" t="s">
        <v>72</v>
      </c>
      <c r="I73">
        <v>1</v>
      </c>
      <c r="J73" t="s">
        <v>87</v>
      </c>
    </row>
    <row r="74" spans="1:10" x14ac:dyDescent="0.35">
      <c r="A74" s="4">
        <v>45819</v>
      </c>
      <c r="B74" t="s">
        <v>69</v>
      </c>
      <c r="C74">
        <v>61</v>
      </c>
      <c r="D74" t="s">
        <v>36</v>
      </c>
      <c r="E74" t="s">
        <v>70</v>
      </c>
      <c r="F74" t="s">
        <v>77</v>
      </c>
      <c r="G74">
        <v>6.9</v>
      </c>
      <c r="H74" t="s">
        <v>72</v>
      </c>
      <c r="I74">
        <v>1</v>
      </c>
      <c r="J74" t="s">
        <v>87</v>
      </c>
    </row>
    <row r="75" spans="1:10" x14ac:dyDescent="0.35">
      <c r="A75" s="4">
        <v>45819</v>
      </c>
      <c r="B75" t="s">
        <v>69</v>
      </c>
      <c r="C75">
        <v>61</v>
      </c>
      <c r="D75" t="s">
        <v>36</v>
      </c>
      <c r="E75" t="s">
        <v>70</v>
      </c>
      <c r="F75" t="s">
        <v>93</v>
      </c>
      <c r="G75">
        <f>4.2+33+8.2</f>
        <v>45.400000000000006</v>
      </c>
      <c r="H75" t="s">
        <v>72</v>
      </c>
      <c r="I75">
        <v>3</v>
      </c>
      <c r="J75" t="s">
        <v>87</v>
      </c>
    </row>
    <row r="76" spans="1:10" x14ac:dyDescent="0.35">
      <c r="A76" s="4">
        <v>45819</v>
      </c>
      <c r="B76" t="s">
        <v>69</v>
      </c>
      <c r="C76">
        <v>61</v>
      </c>
      <c r="D76" t="s">
        <v>36</v>
      </c>
      <c r="E76" t="s">
        <v>70</v>
      </c>
      <c r="F76" t="s">
        <v>71</v>
      </c>
      <c r="G76">
        <f>4.1+3.1+2</f>
        <v>9.1999999999999993</v>
      </c>
      <c r="H76" t="s">
        <v>72</v>
      </c>
      <c r="I76">
        <v>3</v>
      </c>
      <c r="J76" t="s">
        <v>70</v>
      </c>
    </row>
    <row r="77" spans="1:10" x14ac:dyDescent="0.35">
      <c r="A77" s="4">
        <v>45819</v>
      </c>
      <c r="B77" t="s">
        <v>69</v>
      </c>
      <c r="C77">
        <v>61</v>
      </c>
      <c r="D77" t="s">
        <v>36</v>
      </c>
      <c r="E77" t="s">
        <v>70</v>
      </c>
      <c r="F77" t="s">
        <v>93</v>
      </c>
      <c r="G77">
        <v>5.4</v>
      </c>
      <c r="H77" t="s">
        <v>74</v>
      </c>
      <c r="I77">
        <v>1</v>
      </c>
      <c r="J77" t="s">
        <v>87</v>
      </c>
    </row>
    <row r="78" spans="1:10" x14ac:dyDescent="0.35">
      <c r="A78" s="4">
        <v>45819</v>
      </c>
      <c r="B78" t="s">
        <v>69</v>
      </c>
      <c r="C78">
        <v>61</v>
      </c>
      <c r="D78" t="s">
        <v>36</v>
      </c>
      <c r="E78" t="s">
        <v>70</v>
      </c>
      <c r="F78" t="s">
        <v>71</v>
      </c>
      <c r="G78">
        <f>1.7+5.1</f>
        <v>6.8</v>
      </c>
      <c r="H78" t="s">
        <v>72</v>
      </c>
      <c r="I78">
        <v>2</v>
      </c>
      <c r="J78" t="s">
        <v>70</v>
      </c>
    </row>
    <row r="79" spans="1:10" x14ac:dyDescent="0.35">
      <c r="A79" s="4">
        <v>45819</v>
      </c>
      <c r="B79" t="s">
        <v>69</v>
      </c>
      <c r="C79">
        <v>61</v>
      </c>
      <c r="D79" t="s">
        <v>36</v>
      </c>
      <c r="E79" t="s">
        <v>70</v>
      </c>
      <c r="F79" t="s">
        <v>77</v>
      </c>
      <c r="G79">
        <v>3.5</v>
      </c>
      <c r="H79" t="s">
        <v>72</v>
      </c>
      <c r="I79">
        <v>1</v>
      </c>
      <c r="J79" t="s">
        <v>87</v>
      </c>
    </row>
    <row r="80" spans="1:10" x14ac:dyDescent="0.35">
      <c r="A80" s="4">
        <v>45819</v>
      </c>
      <c r="B80" t="s">
        <v>69</v>
      </c>
      <c r="C80">
        <v>61</v>
      </c>
      <c r="D80" t="s">
        <v>36</v>
      </c>
      <c r="E80" t="s">
        <v>70</v>
      </c>
      <c r="F80" t="s">
        <v>93</v>
      </c>
      <c r="G80">
        <v>15</v>
      </c>
      <c r="H80" t="s">
        <v>72</v>
      </c>
      <c r="I80">
        <v>1</v>
      </c>
      <c r="J80" t="s">
        <v>87</v>
      </c>
    </row>
    <row r="81" spans="1:10" x14ac:dyDescent="0.35">
      <c r="A81" s="4">
        <v>45819</v>
      </c>
      <c r="B81" t="s">
        <v>69</v>
      </c>
      <c r="C81">
        <v>61</v>
      </c>
      <c r="D81" t="s">
        <v>36</v>
      </c>
      <c r="E81" t="s">
        <v>70</v>
      </c>
      <c r="F81" t="s">
        <v>71</v>
      </c>
      <c r="G81">
        <f>4.1+2.8</f>
        <v>6.8999999999999995</v>
      </c>
      <c r="H81" t="s">
        <v>72</v>
      </c>
      <c r="I81">
        <v>2</v>
      </c>
      <c r="J81" t="s">
        <v>87</v>
      </c>
    </row>
    <row r="82" spans="1:10" x14ac:dyDescent="0.35">
      <c r="A82" s="4">
        <v>45819</v>
      </c>
      <c r="B82" t="s">
        <v>69</v>
      </c>
      <c r="C82">
        <v>61</v>
      </c>
      <c r="D82" t="s">
        <v>36</v>
      </c>
      <c r="E82" t="s">
        <v>70</v>
      </c>
      <c r="F82" t="s">
        <v>71</v>
      </c>
      <c r="G82">
        <f>4.2+1.5</f>
        <v>5.7</v>
      </c>
      <c r="H82" t="s">
        <v>72</v>
      </c>
      <c r="I82">
        <v>2</v>
      </c>
      <c r="J82" t="s">
        <v>87</v>
      </c>
    </row>
    <row r="83" spans="1:10" x14ac:dyDescent="0.35">
      <c r="A83" s="4">
        <v>45819</v>
      </c>
      <c r="B83" t="s">
        <v>69</v>
      </c>
      <c r="C83">
        <v>61</v>
      </c>
      <c r="D83" t="s">
        <v>36</v>
      </c>
      <c r="E83" t="s">
        <v>70</v>
      </c>
      <c r="F83" t="s">
        <v>71</v>
      </c>
      <c r="G83">
        <v>4.5</v>
      </c>
      <c r="H83" t="s">
        <v>72</v>
      </c>
      <c r="I83">
        <v>1</v>
      </c>
      <c r="J83" t="s">
        <v>87</v>
      </c>
    </row>
    <row r="84" spans="1:10" x14ac:dyDescent="0.35">
      <c r="A84" s="4">
        <v>45819</v>
      </c>
      <c r="B84" t="s">
        <v>69</v>
      </c>
      <c r="C84">
        <v>61</v>
      </c>
      <c r="D84" t="s">
        <v>36</v>
      </c>
      <c r="E84" t="s">
        <v>70</v>
      </c>
      <c r="F84" t="s">
        <v>71</v>
      </c>
      <c r="G84">
        <v>2.9</v>
      </c>
      <c r="H84" t="s">
        <v>72</v>
      </c>
      <c r="I84">
        <v>1</v>
      </c>
      <c r="J84" t="s">
        <v>87</v>
      </c>
    </row>
    <row r="85" spans="1:10" x14ac:dyDescent="0.35">
      <c r="A85" s="4">
        <v>45819</v>
      </c>
      <c r="B85" t="s">
        <v>69</v>
      </c>
      <c r="C85">
        <v>61</v>
      </c>
      <c r="D85" t="s">
        <v>36</v>
      </c>
      <c r="E85" t="s">
        <v>70</v>
      </c>
      <c r="F85" t="s">
        <v>93</v>
      </c>
      <c r="G85">
        <v>3.1</v>
      </c>
      <c r="H85" t="s">
        <v>72</v>
      </c>
      <c r="I85">
        <v>1</v>
      </c>
      <c r="J85" t="s">
        <v>87</v>
      </c>
    </row>
    <row r="86" spans="1:10" x14ac:dyDescent="0.35">
      <c r="A86" s="4">
        <v>45819</v>
      </c>
      <c r="B86" t="s">
        <v>69</v>
      </c>
      <c r="C86">
        <v>61</v>
      </c>
      <c r="D86" t="s">
        <v>36</v>
      </c>
      <c r="E86" t="s">
        <v>70</v>
      </c>
      <c r="F86" t="s">
        <v>90</v>
      </c>
      <c r="G86">
        <v>3</v>
      </c>
      <c r="H86" t="s">
        <v>74</v>
      </c>
      <c r="I86">
        <v>1</v>
      </c>
      <c r="J86" t="s">
        <v>87</v>
      </c>
    </row>
    <row r="87" spans="1:10" x14ac:dyDescent="0.35">
      <c r="A87" s="4">
        <v>45819</v>
      </c>
      <c r="B87" t="s">
        <v>69</v>
      </c>
      <c r="C87">
        <v>61</v>
      </c>
      <c r="D87" t="s">
        <v>36</v>
      </c>
      <c r="E87" t="s">
        <v>70</v>
      </c>
      <c r="F87" t="s">
        <v>71</v>
      </c>
      <c r="G87">
        <f>3.3+5.2+1.7</f>
        <v>10.199999999999999</v>
      </c>
      <c r="H87" t="s">
        <v>72</v>
      </c>
      <c r="I87">
        <v>3</v>
      </c>
      <c r="J87" t="s">
        <v>70</v>
      </c>
    </row>
    <row r="88" spans="1:10" x14ac:dyDescent="0.35">
      <c r="A88" s="4">
        <v>45819</v>
      </c>
      <c r="B88" t="s">
        <v>69</v>
      </c>
      <c r="C88">
        <v>61</v>
      </c>
      <c r="D88" t="s">
        <v>36</v>
      </c>
      <c r="E88" t="s">
        <v>70</v>
      </c>
      <c r="F88" t="s">
        <v>71</v>
      </c>
      <c r="G88">
        <v>2.5</v>
      </c>
      <c r="H88" t="s">
        <v>72</v>
      </c>
      <c r="I88">
        <v>1</v>
      </c>
      <c r="J88" t="s">
        <v>87</v>
      </c>
    </row>
    <row r="89" spans="1:10" x14ac:dyDescent="0.35">
      <c r="A89" s="4">
        <v>45819</v>
      </c>
      <c r="B89" t="s">
        <v>69</v>
      </c>
      <c r="C89">
        <v>61</v>
      </c>
      <c r="D89" t="s">
        <v>36</v>
      </c>
      <c r="E89" t="s">
        <v>70</v>
      </c>
      <c r="F89" t="s">
        <v>93</v>
      </c>
      <c r="G89">
        <f>2.8+1.9</f>
        <v>4.6999999999999993</v>
      </c>
      <c r="H89" t="s">
        <v>72</v>
      </c>
      <c r="I89">
        <v>2</v>
      </c>
      <c r="J89" t="s">
        <v>87</v>
      </c>
    </row>
    <row r="90" spans="1:10" x14ac:dyDescent="0.35">
      <c r="A90" s="4">
        <v>45819</v>
      </c>
      <c r="B90" t="s">
        <v>69</v>
      </c>
      <c r="C90">
        <v>61</v>
      </c>
      <c r="D90" t="s">
        <v>36</v>
      </c>
      <c r="E90" t="s">
        <v>70</v>
      </c>
      <c r="F90" t="s">
        <v>93</v>
      </c>
      <c r="G90">
        <f>9.3+12.8</f>
        <v>22.1</v>
      </c>
      <c r="H90" t="s">
        <v>72</v>
      </c>
      <c r="I90">
        <v>2</v>
      </c>
      <c r="J90" t="s">
        <v>87</v>
      </c>
    </row>
    <row r="91" spans="1:10" x14ac:dyDescent="0.35">
      <c r="A91" s="4">
        <v>45819</v>
      </c>
      <c r="B91" t="s">
        <v>69</v>
      </c>
      <c r="C91">
        <v>61</v>
      </c>
      <c r="D91" t="s">
        <v>36</v>
      </c>
      <c r="E91" t="s">
        <v>70</v>
      </c>
      <c r="F91" t="s">
        <v>93</v>
      </c>
      <c r="G91">
        <v>10.4</v>
      </c>
      <c r="H91" t="s">
        <v>72</v>
      </c>
      <c r="I91">
        <v>1</v>
      </c>
      <c r="J91" t="s">
        <v>87</v>
      </c>
    </row>
    <row r="92" spans="1:10" x14ac:dyDescent="0.35">
      <c r="A92" s="4">
        <v>45819</v>
      </c>
      <c r="B92" t="s">
        <v>69</v>
      </c>
      <c r="C92">
        <v>61</v>
      </c>
      <c r="D92" t="s">
        <v>36</v>
      </c>
      <c r="E92" t="s">
        <v>70</v>
      </c>
      <c r="F92" t="s">
        <v>77</v>
      </c>
      <c r="G92">
        <v>5.4</v>
      </c>
      <c r="H92" t="s">
        <v>72</v>
      </c>
      <c r="I92">
        <v>1</v>
      </c>
      <c r="J92" t="s">
        <v>87</v>
      </c>
    </row>
    <row r="93" spans="1:10" x14ac:dyDescent="0.35">
      <c r="A93" s="4">
        <v>45819</v>
      </c>
      <c r="B93" t="s">
        <v>69</v>
      </c>
      <c r="C93">
        <v>61</v>
      </c>
      <c r="D93" t="s">
        <v>36</v>
      </c>
      <c r="E93" t="s">
        <v>70</v>
      </c>
      <c r="F93" t="s">
        <v>92</v>
      </c>
      <c r="G93">
        <v>5.7</v>
      </c>
      <c r="H93" t="s">
        <v>72</v>
      </c>
      <c r="I93">
        <v>1</v>
      </c>
      <c r="J93" t="s">
        <v>87</v>
      </c>
    </row>
    <row r="94" spans="1:10" x14ac:dyDescent="0.35">
      <c r="A94" s="4">
        <v>45819</v>
      </c>
      <c r="B94" t="s">
        <v>69</v>
      </c>
      <c r="C94">
        <v>61</v>
      </c>
      <c r="D94" t="s">
        <v>36</v>
      </c>
      <c r="E94" t="s">
        <v>70</v>
      </c>
      <c r="F94" t="s">
        <v>71</v>
      </c>
      <c r="G94">
        <v>3.5</v>
      </c>
      <c r="H94" t="s">
        <v>74</v>
      </c>
      <c r="I94">
        <v>1</v>
      </c>
      <c r="J94" t="s">
        <v>87</v>
      </c>
    </row>
    <row r="95" spans="1:10" x14ac:dyDescent="0.35">
      <c r="A95" s="4">
        <v>45819</v>
      </c>
      <c r="B95" t="s">
        <v>69</v>
      </c>
      <c r="C95">
        <v>61</v>
      </c>
      <c r="D95" t="s">
        <v>36</v>
      </c>
      <c r="E95" t="s">
        <v>70</v>
      </c>
      <c r="F95" t="s">
        <v>71</v>
      </c>
      <c r="G95">
        <v>3.1</v>
      </c>
      <c r="H95" t="s">
        <v>74</v>
      </c>
      <c r="I95">
        <v>1</v>
      </c>
      <c r="J95" t="s">
        <v>87</v>
      </c>
    </row>
    <row r="96" spans="1:10" x14ac:dyDescent="0.35">
      <c r="A96" s="4">
        <v>45819</v>
      </c>
      <c r="B96" t="s">
        <v>69</v>
      </c>
      <c r="C96">
        <v>61</v>
      </c>
      <c r="D96" t="s">
        <v>37</v>
      </c>
      <c r="E96" t="s">
        <v>70</v>
      </c>
      <c r="F96" t="s">
        <v>93</v>
      </c>
      <c r="G96">
        <v>12</v>
      </c>
      <c r="H96" t="s">
        <v>72</v>
      </c>
      <c r="I96">
        <v>1</v>
      </c>
      <c r="J96" t="s">
        <v>87</v>
      </c>
    </row>
    <row r="97" spans="1:10" x14ac:dyDescent="0.35">
      <c r="A97" s="4">
        <v>45819</v>
      </c>
      <c r="B97" t="s">
        <v>69</v>
      </c>
      <c r="C97">
        <v>61</v>
      </c>
      <c r="D97" t="s">
        <v>37</v>
      </c>
      <c r="E97" t="s">
        <v>70</v>
      </c>
      <c r="F97" t="s">
        <v>93</v>
      </c>
      <c r="G97">
        <f>21+6.1+1.5</f>
        <v>28.6</v>
      </c>
      <c r="H97" t="s">
        <v>72</v>
      </c>
      <c r="I97">
        <v>3</v>
      </c>
      <c r="J97" t="s">
        <v>87</v>
      </c>
    </row>
    <row r="98" spans="1:10" x14ac:dyDescent="0.35">
      <c r="A98" s="4">
        <v>45819</v>
      </c>
      <c r="B98" t="s">
        <v>69</v>
      </c>
      <c r="C98">
        <v>61</v>
      </c>
      <c r="D98" t="s">
        <v>37</v>
      </c>
      <c r="E98" t="s">
        <v>70</v>
      </c>
      <c r="F98" t="s">
        <v>71</v>
      </c>
      <c r="G98">
        <f>3+3.7</f>
        <v>6.7</v>
      </c>
      <c r="H98" t="s">
        <v>74</v>
      </c>
      <c r="I98">
        <v>2</v>
      </c>
      <c r="J98" t="s">
        <v>87</v>
      </c>
    </row>
    <row r="99" spans="1:10" x14ac:dyDescent="0.35">
      <c r="A99" s="4">
        <v>45819</v>
      </c>
      <c r="B99" t="s">
        <v>69</v>
      </c>
      <c r="C99">
        <v>61</v>
      </c>
      <c r="D99" t="s">
        <v>37</v>
      </c>
      <c r="E99" t="s">
        <v>70</v>
      </c>
      <c r="F99" t="s">
        <v>71</v>
      </c>
      <c r="G99">
        <v>3</v>
      </c>
      <c r="H99" t="s">
        <v>74</v>
      </c>
      <c r="I99">
        <v>1</v>
      </c>
      <c r="J99" t="s">
        <v>87</v>
      </c>
    </row>
    <row r="100" spans="1:10" x14ac:dyDescent="0.35">
      <c r="A100" s="4">
        <v>45819</v>
      </c>
      <c r="B100" t="s">
        <v>69</v>
      </c>
      <c r="C100">
        <v>61</v>
      </c>
      <c r="D100" t="s">
        <v>37</v>
      </c>
      <c r="E100" t="s">
        <v>70</v>
      </c>
      <c r="F100" t="s">
        <v>71</v>
      </c>
      <c r="G100">
        <v>2.6</v>
      </c>
      <c r="H100" t="s">
        <v>72</v>
      </c>
      <c r="I100">
        <v>1</v>
      </c>
      <c r="J100" t="s">
        <v>70</v>
      </c>
    </row>
    <row r="101" spans="1:10" x14ac:dyDescent="0.35">
      <c r="A101" s="4">
        <v>45819</v>
      </c>
      <c r="B101" t="s">
        <v>69</v>
      </c>
      <c r="C101">
        <v>61</v>
      </c>
      <c r="D101" t="s">
        <v>37</v>
      </c>
      <c r="E101" t="s">
        <v>70</v>
      </c>
      <c r="F101" t="s">
        <v>71</v>
      </c>
      <c r="G101">
        <v>3.2</v>
      </c>
      <c r="H101" t="s">
        <v>74</v>
      </c>
      <c r="I101">
        <v>1</v>
      </c>
      <c r="J101" t="s">
        <v>87</v>
      </c>
    </row>
    <row r="102" spans="1:10" x14ac:dyDescent="0.35">
      <c r="A102" s="4">
        <v>45819</v>
      </c>
      <c r="B102" t="s">
        <v>69</v>
      </c>
      <c r="C102">
        <v>61</v>
      </c>
      <c r="D102" t="s">
        <v>37</v>
      </c>
      <c r="E102" t="s">
        <v>70</v>
      </c>
      <c r="F102" t="s">
        <v>77</v>
      </c>
      <c r="G102">
        <v>7.2</v>
      </c>
      <c r="H102" t="s">
        <v>72</v>
      </c>
      <c r="I102">
        <v>1</v>
      </c>
      <c r="J102" t="s">
        <v>87</v>
      </c>
    </row>
    <row r="103" spans="1:10" x14ac:dyDescent="0.35">
      <c r="A103" s="4">
        <v>45819</v>
      </c>
      <c r="B103" t="s">
        <v>69</v>
      </c>
      <c r="C103">
        <v>61</v>
      </c>
      <c r="D103" t="s">
        <v>37</v>
      </c>
      <c r="E103" t="s">
        <v>70</v>
      </c>
      <c r="F103" t="s">
        <v>77</v>
      </c>
      <c r="G103">
        <v>10.1</v>
      </c>
      <c r="H103" t="s">
        <v>72</v>
      </c>
      <c r="I103">
        <v>1</v>
      </c>
      <c r="J103" t="s">
        <v>87</v>
      </c>
    </row>
    <row r="104" spans="1:10" x14ac:dyDescent="0.35">
      <c r="A104" s="4">
        <v>45819</v>
      </c>
      <c r="B104" t="s">
        <v>69</v>
      </c>
      <c r="C104">
        <v>61</v>
      </c>
      <c r="D104" t="s">
        <v>37</v>
      </c>
      <c r="E104" t="s">
        <v>70</v>
      </c>
      <c r="F104" t="s">
        <v>90</v>
      </c>
      <c r="G104">
        <v>3</v>
      </c>
      <c r="H104" t="s">
        <v>74</v>
      </c>
      <c r="I104">
        <v>1</v>
      </c>
      <c r="J104" t="s">
        <v>87</v>
      </c>
    </row>
    <row r="105" spans="1:10" x14ac:dyDescent="0.35">
      <c r="A105" s="4">
        <v>45819</v>
      </c>
      <c r="B105" t="s">
        <v>69</v>
      </c>
      <c r="C105">
        <v>61</v>
      </c>
      <c r="D105" t="s">
        <v>37</v>
      </c>
      <c r="E105" t="s">
        <v>70</v>
      </c>
      <c r="F105" t="s">
        <v>93</v>
      </c>
      <c r="G105">
        <v>7.8</v>
      </c>
      <c r="H105" t="s">
        <v>72</v>
      </c>
      <c r="I105">
        <v>1</v>
      </c>
      <c r="J105" t="s">
        <v>87</v>
      </c>
    </row>
    <row r="106" spans="1:10" x14ac:dyDescent="0.35">
      <c r="A106" s="4">
        <v>45819</v>
      </c>
      <c r="B106" t="s">
        <v>69</v>
      </c>
      <c r="C106">
        <v>61</v>
      </c>
      <c r="D106" t="s">
        <v>37</v>
      </c>
      <c r="E106" t="s">
        <v>70</v>
      </c>
      <c r="F106" t="s">
        <v>71</v>
      </c>
      <c r="G106">
        <f>4.2+5.3</f>
        <v>9.5</v>
      </c>
      <c r="H106" t="s">
        <v>72</v>
      </c>
      <c r="I106">
        <v>2</v>
      </c>
      <c r="J106" t="s">
        <v>87</v>
      </c>
    </row>
    <row r="107" spans="1:10" x14ac:dyDescent="0.35">
      <c r="A107" s="4">
        <v>45819</v>
      </c>
      <c r="B107" t="s">
        <v>69</v>
      </c>
      <c r="C107">
        <v>61</v>
      </c>
      <c r="D107" t="s">
        <v>37</v>
      </c>
      <c r="E107" t="s">
        <v>70</v>
      </c>
      <c r="F107" t="s">
        <v>71</v>
      </c>
      <c r="G107">
        <f>3.1+4.8</f>
        <v>7.9</v>
      </c>
      <c r="H107" t="s">
        <v>72</v>
      </c>
      <c r="I107">
        <v>2</v>
      </c>
      <c r="J107" t="s">
        <v>70</v>
      </c>
    </row>
    <row r="108" spans="1:10" x14ac:dyDescent="0.35">
      <c r="A108" s="4">
        <v>45819</v>
      </c>
      <c r="B108" t="s">
        <v>69</v>
      </c>
      <c r="C108">
        <v>61</v>
      </c>
      <c r="D108" t="s">
        <v>37</v>
      </c>
      <c r="E108" t="s">
        <v>70</v>
      </c>
      <c r="F108" t="s">
        <v>71</v>
      </c>
      <c r="G108">
        <f>3.5+1.5+4+2.5</f>
        <v>11.5</v>
      </c>
      <c r="H108" t="s">
        <v>72</v>
      </c>
      <c r="I108">
        <v>4</v>
      </c>
      <c r="J108" t="s">
        <v>70</v>
      </c>
    </row>
    <row r="109" spans="1:10" x14ac:dyDescent="0.35">
      <c r="A109" s="4">
        <v>45819</v>
      </c>
      <c r="B109" t="s">
        <v>69</v>
      </c>
      <c r="C109">
        <v>61</v>
      </c>
      <c r="D109" t="s">
        <v>37</v>
      </c>
      <c r="E109" t="s">
        <v>70</v>
      </c>
      <c r="F109" t="s">
        <v>93</v>
      </c>
      <c r="G109">
        <f>12.7+6.3</f>
        <v>19</v>
      </c>
      <c r="H109" t="s">
        <v>72</v>
      </c>
      <c r="I109">
        <v>2</v>
      </c>
      <c r="J109" t="s">
        <v>87</v>
      </c>
    </row>
    <row r="110" spans="1:10" x14ac:dyDescent="0.35">
      <c r="A110" s="4">
        <v>45819</v>
      </c>
      <c r="B110" t="s">
        <v>69</v>
      </c>
      <c r="C110">
        <v>61</v>
      </c>
      <c r="D110" t="s">
        <v>37</v>
      </c>
      <c r="E110" t="s">
        <v>70</v>
      </c>
      <c r="F110" t="s">
        <v>71</v>
      </c>
      <c r="G110">
        <f>2.5+1.9</f>
        <v>4.4000000000000004</v>
      </c>
      <c r="H110" t="s">
        <v>74</v>
      </c>
      <c r="I110">
        <v>2</v>
      </c>
      <c r="J110" t="s">
        <v>87</v>
      </c>
    </row>
    <row r="111" spans="1:10" x14ac:dyDescent="0.35">
      <c r="A111" s="4">
        <v>45819</v>
      </c>
      <c r="B111" t="s">
        <v>69</v>
      </c>
      <c r="C111">
        <v>61</v>
      </c>
      <c r="D111" t="s">
        <v>37</v>
      </c>
      <c r="E111" t="s">
        <v>70</v>
      </c>
      <c r="F111" t="s">
        <v>71</v>
      </c>
      <c r="G111">
        <f>2.4+2.4+1.4</f>
        <v>6.1999999999999993</v>
      </c>
      <c r="H111" t="s">
        <v>72</v>
      </c>
      <c r="I111">
        <v>3</v>
      </c>
      <c r="J111" t="s">
        <v>70</v>
      </c>
    </row>
    <row r="112" spans="1:10" x14ac:dyDescent="0.35">
      <c r="A112" s="4">
        <v>45819</v>
      </c>
      <c r="B112" t="s">
        <v>69</v>
      </c>
      <c r="C112">
        <v>61</v>
      </c>
      <c r="D112" t="s">
        <v>37</v>
      </c>
      <c r="E112" t="s">
        <v>70</v>
      </c>
      <c r="F112" t="s">
        <v>71</v>
      </c>
      <c r="G112">
        <f>2.5+2.7</f>
        <v>5.2</v>
      </c>
      <c r="H112" t="s">
        <v>74</v>
      </c>
      <c r="I112">
        <v>2</v>
      </c>
      <c r="J112" t="s">
        <v>87</v>
      </c>
    </row>
    <row r="113" spans="1:10" x14ac:dyDescent="0.35">
      <c r="A113" s="4">
        <v>45819</v>
      </c>
      <c r="B113" t="s">
        <v>69</v>
      </c>
      <c r="C113">
        <v>61</v>
      </c>
      <c r="D113" t="s">
        <v>37</v>
      </c>
      <c r="E113" t="s">
        <v>70</v>
      </c>
      <c r="F113" t="s">
        <v>71</v>
      </c>
      <c r="G113">
        <f>2+1.2</f>
        <v>3.2</v>
      </c>
      <c r="H113" t="s">
        <v>72</v>
      </c>
      <c r="I113">
        <v>2</v>
      </c>
      <c r="J113" t="s">
        <v>70</v>
      </c>
    </row>
    <row r="114" spans="1:10" x14ac:dyDescent="0.35">
      <c r="A114" s="4">
        <v>45819</v>
      </c>
      <c r="B114" t="s">
        <v>69</v>
      </c>
      <c r="C114">
        <v>61</v>
      </c>
      <c r="D114" t="s">
        <v>32</v>
      </c>
      <c r="E114" t="s">
        <v>87</v>
      </c>
      <c r="F114" t="s">
        <v>93</v>
      </c>
      <c r="G114">
        <v>12.6</v>
      </c>
      <c r="H114" t="s">
        <v>72</v>
      </c>
      <c r="I114">
        <v>1</v>
      </c>
      <c r="J114" t="s">
        <v>87</v>
      </c>
    </row>
    <row r="115" spans="1:10" x14ac:dyDescent="0.35">
      <c r="A115" s="4">
        <v>45819</v>
      </c>
      <c r="B115" t="s">
        <v>69</v>
      </c>
      <c r="C115">
        <v>61</v>
      </c>
      <c r="D115" t="s">
        <v>32</v>
      </c>
      <c r="E115" t="s">
        <v>87</v>
      </c>
      <c r="F115" t="s">
        <v>77</v>
      </c>
      <c r="G115">
        <v>16.2</v>
      </c>
      <c r="H115" t="s">
        <v>72</v>
      </c>
      <c r="I115">
        <v>1</v>
      </c>
      <c r="J115" t="s">
        <v>87</v>
      </c>
    </row>
    <row r="116" spans="1:10" x14ac:dyDescent="0.35">
      <c r="A116" s="4">
        <v>45819</v>
      </c>
      <c r="B116" t="s">
        <v>69</v>
      </c>
      <c r="C116">
        <v>61</v>
      </c>
      <c r="D116" t="s">
        <v>32</v>
      </c>
      <c r="E116" t="s">
        <v>87</v>
      </c>
      <c r="F116" t="s">
        <v>93</v>
      </c>
      <c r="G116">
        <v>40.799999999999997</v>
      </c>
      <c r="H116" t="s">
        <v>72</v>
      </c>
      <c r="I116">
        <v>1</v>
      </c>
      <c r="J116" t="s">
        <v>87</v>
      </c>
    </row>
    <row r="117" spans="1:10" x14ac:dyDescent="0.35">
      <c r="A117" s="4">
        <v>45819</v>
      </c>
      <c r="B117" t="s">
        <v>69</v>
      </c>
      <c r="C117">
        <v>61</v>
      </c>
      <c r="D117" t="s">
        <v>32</v>
      </c>
      <c r="E117" t="s">
        <v>87</v>
      </c>
      <c r="F117" t="s">
        <v>93</v>
      </c>
      <c r="G117">
        <v>14.4</v>
      </c>
      <c r="H117" t="s">
        <v>72</v>
      </c>
      <c r="I117">
        <v>1</v>
      </c>
      <c r="J117" t="s">
        <v>87</v>
      </c>
    </row>
    <row r="118" spans="1:10" x14ac:dyDescent="0.35">
      <c r="A118" s="4">
        <v>45819</v>
      </c>
      <c r="B118" t="s">
        <v>69</v>
      </c>
      <c r="C118">
        <v>61</v>
      </c>
      <c r="D118" t="s">
        <v>32</v>
      </c>
      <c r="E118" t="s">
        <v>87</v>
      </c>
      <c r="F118" t="s">
        <v>93</v>
      </c>
      <c r="G118">
        <v>15.2</v>
      </c>
      <c r="H118" t="s">
        <v>72</v>
      </c>
      <c r="I118">
        <v>1</v>
      </c>
      <c r="J118" t="s">
        <v>87</v>
      </c>
    </row>
    <row r="119" spans="1:10" x14ac:dyDescent="0.35">
      <c r="A119" s="4">
        <v>45819</v>
      </c>
      <c r="B119" t="s">
        <v>69</v>
      </c>
      <c r="C119">
        <v>61</v>
      </c>
      <c r="D119" t="s">
        <v>32</v>
      </c>
      <c r="E119" t="s">
        <v>87</v>
      </c>
      <c r="F119" t="s">
        <v>93</v>
      </c>
      <c r="G119">
        <v>18.600000000000001</v>
      </c>
      <c r="H119" t="s">
        <v>72</v>
      </c>
      <c r="I119">
        <v>1</v>
      </c>
      <c r="J119" t="s">
        <v>87</v>
      </c>
    </row>
    <row r="120" spans="1:10" x14ac:dyDescent="0.35">
      <c r="A120" s="4">
        <v>45819</v>
      </c>
      <c r="B120" t="s">
        <v>69</v>
      </c>
      <c r="C120">
        <v>61</v>
      </c>
      <c r="D120" t="s">
        <v>32</v>
      </c>
      <c r="E120" t="s">
        <v>87</v>
      </c>
      <c r="F120" t="s">
        <v>93</v>
      </c>
      <c r="G120">
        <f>7.4+7.3+9.7</f>
        <v>24.4</v>
      </c>
      <c r="H120" t="s">
        <v>72</v>
      </c>
      <c r="I120">
        <v>3</v>
      </c>
      <c r="J120" t="s">
        <v>87</v>
      </c>
    </row>
    <row r="121" spans="1:10" x14ac:dyDescent="0.35">
      <c r="A121" s="4">
        <v>45819</v>
      </c>
      <c r="B121" t="s">
        <v>69</v>
      </c>
      <c r="C121">
        <v>61</v>
      </c>
      <c r="D121" t="s">
        <v>32</v>
      </c>
      <c r="E121" t="s">
        <v>87</v>
      </c>
      <c r="F121" t="s">
        <v>93</v>
      </c>
      <c r="G121">
        <f>11.9+1.8</f>
        <v>13.700000000000001</v>
      </c>
      <c r="H121" t="s">
        <v>72</v>
      </c>
      <c r="I121">
        <v>2</v>
      </c>
      <c r="J121" t="s">
        <v>87</v>
      </c>
    </row>
    <row r="122" spans="1:10" x14ac:dyDescent="0.35">
      <c r="A122" s="4">
        <v>45819</v>
      </c>
      <c r="B122" t="s">
        <v>69</v>
      </c>
      <c r="C122">
        <v>61</v>
      </c>
      <c r="D122" t="s">
        <v>32</v>
      </c>
      <c r="E122" t="s">
        <v>87</v>
      </c>
      <c r="F122" t="s">
        <v>93</v>
      </c>
      <c r="G122">
        <v>19.899999999999999</v>
      </c>
      <c r="H122" t="s">
        <v>72</v>
      </c>
      <c r="I122">
        <v>1</v>
      </c>
      <c r="J122" t="s">
        <v>87</v>
      </c>
    </row>
    <row r="123" spans="1:10" x14ac:dyDescent="0.35">
      <c r="A123" s="4">
        <v>45819</v>
      </c>
      <c r="B123" t="s">
        <v>69</v>
      </c>
      <c r="C123">
        <v>61</v>
      </c>
      <c r="D123" t="s">
        <v>32</v>
      </c>
      <c r="E123" t="s">
        <v>87</v>
      </c>
      <c r="F123" t="s">
        <v>93</v>
      </c>
      <c r="G123">
        <v>38.6</v>
      </c>
      <c r="H123" t="s">
        <v>74</v>
      </c>
      <c r="I123">
        <v>1</v>
      </c>
      <c r="J123" t="s">
        <v>87</v>
      </c>
    </row>
    <row r="124" spans="1:10" x14ac:dyDescent="0.35">
      <c r="A124" s="4">
        <v>45819</v>
      </c>
      <c r="B124" t="s">
        <v>69</v>
      </c>
      <c r="C124">
        <v>61</v>
      </c>
      <c r="D124" t="s">
        <v>32</v>
      </c>
      <c r="E124" t="s">
        <v>87</v>
      </c>
      <c r="F124" t="s">
        <v>77</v>
      </c>
      <c r="G124">
        <v>16.100000000000001</v>
      </c>
      <c r="H124" t="s">
        <v>74</v>
      </c>
      <c r="I124">
        <v>1</v>
      </c>
      <c r="J124" t="s">
        <v>87</v>
      </c>
    </row>
    <row r="125" spans="1:10" x14ac:dyDescent="0.35">
      <c r="A125" s="4">
        <v>45819</v>
      </c>
      <c r="B125" t="s">
        <v>69</v>
      </c>
      <c r="C125">
        <v>61</v>
      </c>
      <c r="D125" t="s">
        <v>34</v>
      </c>
      <c r="E125" t="s">
        <v>87</v>
      </c>
      <c r="F125" t="s">
        <v>77</v>
      </c>
      <c r="G125">
        <f>5.9+2.8+16.5</f>
        <v>25.2</v>
      </c>
      <c r="H125" t="s">
        <v>72</v>
      </c>
      <c r="I125">
        <v>3</v>
      </c>
      <c r="J125" t="s">
        <v>87</v>
      </c>
    </row>
    <row r="126" spans="1:10" x14ac:dyDescent="0.35">
      <c r="A126" s="4">
        <v>45819</v>
      </c>
      <c r="B126" t="s">
        <v>69</v>
      </c>
      <c r="C126">
        <v>61</v>
      </c>
      <c r="D126" t="s">
        <v>34</v>
      </c>
      <c r="E126" t="s">
        <v>87</v>
      </c>
      <c r="F126" t="s">
        <v>93</v>
      </c>
      <c r="G126">
        <v>12.8</v>
      </c>
      <c r="H126" t="s">
        <v>72</v>
      </c>
      <c r="I126">
        <v>1</v>
      </c>
      <c r="J126" t="s">
        <v>87</v>
      </c>
    </row>
    <row r="127" spans="1:10" x14ac:dyDescent="0.35">
      <c r="A127" s="4">
        <v>45819</v>
      </c>
      <c r="B127" t="s">
        <v>69</v>
      </c>
      <c r="C127">
        <v>61</v>
      </c>
      <c r="D127" t="s">
        <v>34</v>
      </c>
      <c r="E127" t="s">
        <v>87</v>
      </c>
      <c r="F127" t="s">
        <v>90</v>
      </c>
      <c r="G127">
        <f>7.6+7+3+3.8</f>
        <v>21.400000000000002</v>
      </c>
      <c r="H127" t="s">
        <v>74</v>
      </c>
      <c r="I127">
        <v>4</v>
      </c>
      <c r="J127" t="s">
        <v>87</v>
      </c>
    </row>
    <row r="128" spans="1:10" x14ac:dyDescent="0.35">
      <c r="A128" s="4">
        <v>45819</v>
      </c>
      <c r="B128" t="s">
        <v>69</v>
      </c>
      <c r="C128">
        <v>61</v>
      </c>
      <c r="D128" t="s">
        <v>34</v>
      </c>
      <c r="E128" t="s">
        <v>87</v>
      </c>
      <c r="F128" t="s">
        <v>93</v>
      </c>
      <c r="G128">
        <v>14.6</v>
      </c>
      <c r="H128" t="s">
        <v>72</v>
      </c>
      <c r="I128">
        <v>1</v>
      </c>
      <c r="J128" t="s">
        <v>87</v>
      </c>
    </row>
    <row r="129" spans="1:10" x14ac:dyDescent="0.35">
      <c r="A129" s="4">
        <v>45819</v>
      </c>
      <c r="B129" t="s">
        <v>69</v>
      </c>
      <c r="C129">
        <v>61</v>
      </c>
      <c r="D129" t="s">
        <v>34</v>
      </c>
      <c r="E129" t="s">
        <v>87</v>
      </c>
      <c r="F129" t="s">
        <v>93</v>
      </c>
      <c r="G129">
        <f>8.2+8.6</f>
        <v>16.799999999999997</v>
      </c>
      <c r="H129" t="s">
        <v>72</v>
      </c>
      <c r="I129">
        <v>2</v>
      </c>
      <c r="J129" t="s">
        <v>70</v>
      </c>
    </row>
    <row r="130" spans="1:10" x14ac:dyDescent="0.35">
      <c r="A130" s="4">
        <v>45819</v>
      </c>
      <c r="B130" t="s">
        <v>69</v>
      </c>
      <c r="C130">
        <v>61</v>
      </c>
      <c r="D130" t="s">
        <v>34</v>
      </c>
      <c r="E130" t="s">
        <v>87</v>
      </c>
      <c r="F130" t="s">
        <v>93</v>
      </c>
      <c r="G130">
        <v>19.7</v>
      </c>
      <c r="H130" t="s">
        <v>72</v>
      </c>
      <c r="I130">
        <v>1</v>
      </c>
      <c r="J130" t="s">
        <v>87</v>
      </c>
    </row>
    <row r="131" spans="1:10" x14ac:dyDescent="0.35">
      <c r="A131" s="4">
        <v>45819</v>
      </c>
      <c r="B131" t="s">
        <v>69</v>
      </c>
      <c r="C131">
        <v>61</v>
      </c>
      <c r="D131" t="s">
        <v>34</v>
      </c>
      <c r="E131" t="s">
        <v>87</v>
      </c>
      <c r="F131" t="s">
        <v>93</v>
      </c>
      <c r="G131">
        <f>10.3+10.6+3.9</f>
        <v>24.799999999999997</v>
      </c>
      <c r="H131" t="s">
        <v>74</v>
      </c>
      <c r="I131">
        <v>3</v>
      </c>
      <c r="J131" t="s">
        <v>87</v>
      </c>
    </row>
    <row r="132" spans="1:10" x14ac:dyDescent="0.35">
      <c r="A132" s="4">
        <v>45819</v>
      </c>
      <c r="B132" t="s">
        <v>69</v>
      </c>
      <c r="C132">
        <v>61</v>
      </c>
      <c r="D132" t="s">
        <v>34</v>
      </c>
      <c r="E132" t="s">
        <v>87</v>
      </c>
      <c r="F132" t="s">
        <v>93</v>
      </c>
      <c r="G132">
        <v>12.6</v>
      </c>
      <c r="H132" t="s">
        <v>72</v>
      </c>
      <c r="I132">
        <v>1</v>
      </c>
      <c r="J132" t="s">
        <v>87</v>
      </c>
    </row>
    <row r="133" spans="1:10" x14ac:dyDescent="0.35">
      <c r="A133" s="4">
        <v>45819</v>
      </c>
      <c r="B133" t="s">
        <v>69</v>
      </c>
      <c r="C133">
        <v>61</v>
      </c>
      <c r="D133" t="s">
        <v>34</v>
      </c>
      <c r="E133" t="s">
        <v>87</v>
      </c>
      <c r="F133" t="s">
        <v>93</v>
      </c>
      <c r="G133">
        <f>14.3+19.4</f>
        <v>33.700000000000003</v>
      </c>
      <c r="H133" t="s">
        <v>72</v>
      </c>
      <c r="I133">
        <v>2</v>
      </c>
      <c r="J133" t="s">
        <v>87</v>
      </c>
    </row>
    <row r="134" spans="1:10" x14ac:dyDescent="0.35">
      <c r="A134" s="4">
        <v>45819</v>
      </c>
      <c r="B134" t="s">
        <v>69</v>
      </c>
      <c r="C134">
        <v>61</v>
      </c>
      <c r="D134" t="s">
        <v>36</v>
      </c>
      <c r="E134" t="s">
        <v>87</v>
      </c>
      <c r="F134" t="s">
        <v>93</v>
      </c>
      <c r="G134">
        <v>30.5</v>
      </c>
      <c r="H134" t="s">
        <v>72</v>
      </c>
      <c r="I134">
        <v>1</v>
      </c>
      <c r="J134" t="s">
        <v>87</v>
      </c>
    </row>
    <row r="135" spans="1:10" x14ac:dyDescent="0.35">
      <c r="A135" s="4">
        <v>45819</v>
      </c>
      <c r="B135" t="s">
        <v>69</v>
      </c>
      <c r="C135">
        <v>61</v>
      </c>
      <c r="D135" t="s">
        <v>36</v>
      </c>
      <c r="E135" t="s">
        <v>87</v>
      </c>
      <c r="F135" t="s">
        <v>93</v>
      </c>
      <c r="G135">
        <f>14.7+4.8</f>
        <v>19.5</v>
      </c>
      <c r="H135" t="s">
        <v>72</v>
      </c>
      <c r="I135">
        <v>2</v>
      </c>
      <c r="J135" t="s">
        <v>87</v>
      </c>
    </row>
    <row r="136" spans="1:10" x14ac:dyDescent="0.35">
      <c r="A136" s="4">
        <v>45819</v>
      </c>
      <c r="B136" t="s">
        <v>69</v>
      </c>
      <c r="C136">
        <v>61</v>
      </c>
      <c r="D136" t="s">
        <v>36</v>
      </c>
      <c r="E136" t="s">
        <v>87</v>
      </c>
      <c r="F136" t="s">
        <v>93</v>
      </c>
      <c r="G136">
        <v>21.4</v>
      </c>
      <c r="H136" t="s">
        <v>72</v>
      </c>
      <c r="I136">
        <v>1</v>
      </c>
      <c r="J136" t="s">
        <v>87</v>
      </c>
    </row>
    <row r="137" spans="1:10" x14ac:dyDescent="0.35">
      <c r="A137" s="4">
        <v>45819</v>
      </c>
      <c r="B137" t="s">
        <v>69</v>
      </c>
      <c r="C137">
        <v>61</v>
      </c>
      <c r="D137" t="s">
        <v>36</v>
      </c>
      <c r="E137" t="s">
        <v>87</v>
      </c>
      <c r="F137" t="s">
        <v>93</v>
      </c>
      <c r="G137">
        <f>5.6+13.6</f>
        <v>19.2</v>
      </c>
      <c r="H137" t="s">
        <v>72</v>
      </c>
      <c r="I137">
        <v>2</v>
      </c>
      <c r="J137" t="s">
        <v>87</v>
      </c>
    </row>
    <row r="138" spans="1:10" x14ac:dyDescent="0.35">
      <c r="A138" s="4">
        <v>45819</v>
      </c>
      <c r="B138" t="s">
        <v>69</v>
      </c>
      <c r="C138">
        <v>61</v>
      </c>
      <c r="D138" t="s">
        <v>36</v>
      </c>
      <c r="E138" t="s">
        <v>87</v>
      </c>
      <c r="F138" t="s">
        <v>93</v>
      </c>
      <c r="G138">
        <f>6.7+6.2</f>
        <v>12.9</v>
      </c>
      <c r="H138" t="s">
        <v>72</v>
      </c>
      <c r="I138">
        <v>2</v>
      </c>
      <c r="J138" t="s">
        <v>87</v>
      </c>
    </row>
    <row r="139" spans="1:10" x14ac:dyDescent="0.35">
      <c r="A139" s="4">
        <v>45819</v>
      </c>
      <c r="B139" t="s">
        <v>69</v>
      </c>
      <c r="C139">
        <v>61</v>
      </c>
      <c r="D139" t="s">
        <v>37</v>
      </c>
      <c r="E139" t="s">
        <v>87</v>
      </c>
      <c r="F139" t="s">
        <v>93</v>
      </c>
      <c r="G139">
        <f>15.7+8.9+15.4+2.1</f>
        <v>42.1</v>
      </c>
      <c r="H139" t="s">
        <v>72</v>
      </c>
      <c r="I139">
        <v>4</v>
      </c>
      <c r="J139" t="s">
        <v>87</v>
      </c>
    </row>
    <row r="140" spans="1:10" x14ac:dyDescent="0.35">
      <c r="A140" s="4">
        <v>45819</v>
      </c>
      <c r="B140" t="s">
        <v>69</v>
      </c>
      <c r="C140">
        <v>61</v>
      </c>
      <c r="D140" t="s">
        <v>37</v>
      </c>
      <c r="E140" t="s">
        <v>87</v>
      </c>
      <c r="F140" t="s">
        <v>77</v>
      </c>
      <c r="G140">
        <v>18.2</v>
      </c>
      <c r="H140" t="s">
        <v>72</v>
      </c>
      <c r="I140">
        <v>1</v>
      </c>
      <c r="J140" t="s">
        <v>70</v>
      </c>
    </row>
    <row r="141" spans="1:10" x14ac:dyDescent="0.35">
      <c r="A141" s="4">
        <v>45819</v>
      </c>
      <c r="B141" t="s">
        <v>69</v>
      </c>
      <c r="C141">
        <v>61</v>
      </c>
      <c r="D141" t="s">
        <v>37</v>
      </c>
      <c r="E141" t="s">
        <v>87</v>
      </c>
      <c r="F141" t="s">
        <v>93</v>
      </c>
      <c r="G141">
        <f>13.5+6.5</f>
        <v>20</v>
      </c>
      <c r="H141" t="s">
        <v>72</v>
      </c>
      <c r="I141">
        <v>2</v>
      </c>
      <c r="J141" t="s">
        <v>87</v>
      </c>
    </row>
    <row r="142" spans="1:10" x14ac:dyDescent="0.35">
      <c r="A142" s="4">
        <v>45819</v>
      </c>
      <c r="B142" t="s">
        <v>69</v>
      </c>
      <c r="C142">
        <v>61</v>
      </c>
      <c r="D142" t="s">
        <v>37</v>
      </c>
      <c r="E142" t="s">
        <v>87</v>
      </c>
      <c r="F142" t="s">
        <v>93</v>
      </c>
      <c r="G142">
        <f>9.9+3.2</f>
        <v>13.100000000000001</v>
      </c>
      <c r="H142" t="s">
        <v>72</v>
      </c>
      <c r="I142">
        <v>2</v>
      </c>
      <c r="J142" t="s">
        <v>87</v>
      </c>
    </row>
    <row r="143" spans="1:10" x14ac:dyDescent="0.35">
      <c r="A143" s="4">
        <v>45819</v>
      </c>
      <c r="B143" t="s">
        <v>69</v>
      </c>
      <c r="C143">
        <v>61</v>
      </c>
      <c r="D143" t="s">
        <v>37</v>
      </c>
      <c r="E143" t="s">
        <v>87</v>
      </c>
      <c r="F143" t="s">
        <v>93</v>
      </c>
      <c r="G143">
        <v>18.7</v>
      </c>
      <c r="H143" t="s">
        <v>72</v>
      </c>
      <c r="I143">
        <v>1</v>
      </c>
      <c r="J143" t="s">
        <v>87</v>
      </c>
    </row>
    <row r="144" spans="1:10" x14ac:dyDescent="0.35">
      <c r="A144" s="4">
        <v>45819</v>
      </c>
      <c r="B144" t="s">
        <v>69</v>
      </c>
      <c r="C144">
        <v>61</v>
      </c>
      <c r="D144" t="s">
        <v>37</v>
      </c>
      <c r="E144" t="s">
        <v>87</v>
      </c>
      <c r="F144" t="s">
        <v>93</v>
      </c>
      <c r="G144">
        <v>23.5</v>
      </c>
      <c r="H144" t="s">
        <v>72</v>
      </c>
      <c r="I144">
        <v>1</v>
      </c>
      <c r="J144" t="s">
        <v>87</v>
      </c>
    </row>
    <row r="145" spans="1:11" x14ac:dyDescent="0.35">
      <c r="A145" s="4">
        <v>45819</v>
      </c>
      <c r="B145" t="s">
        <v>69</v>
      </c>
      <c r="C145">
        <v>61</v>
      </c>
      <c r="D145" t="s">
        <v>37</v>
      </c>
      <c r="E145" t="s">
        <v>87</v>
      </c>
      <c r="F145" t="s">
        <v>93</v>
      </c>
      <c r="G145">
        <v>20.5</v>
      </c>
      <c r="H145" t="s">
        <v>72</v>
      </c>
      <c r="I145">
        <v>1</v>
      </c>
      <c r="J145" t="s">
        <v>87</v>
      </c>
    </row>
    <row r="146" spans="1:11" x14ac:dyDescent="0.35">
      <c r="A146" s="4">
        <v>45819</v>
      </c>
      <c r="B146" t="s">
        <v>69</v>
      </c>
      <c r="C146">
        <v>61</v>
      </c>
      <c r="D146" t="s">
        <v>37</v>
      </c>
      <c r="E146" t="s">
        <v>87</v>
      </c>
      <c r="F146" t="s">
        <v>77</v>
      </c>
      <c r="G146">
        <v>12.6</v>
      </c>
      <c r="H146" t="s">
        <v>72</v>
      </c>
      <c r="I146">
        <v>1</v>
      </c>
      <c r="J146" t="s">
        <v>87</v>
      </c>
    </row>
    <row r="147" spans="1:11" x14ac:dyDescent="0.35">
      <c r="A147" s="4">
        <v>45819</v>
      </c>
      <c r="B147" t="s">
        <v>69</v>
      </c>
      <c r="C147">
        <v>61</v>
      </c>
      <c r="D147" t="s">
        <v>37</v>
      </c>
      <c r="E147" t="s">
        <v>87</v>
      </c>
      <c r="F147" t="s">
        <v>93</v>
      </c>
      <c r="G147">
        <f>3.9+6.6+5.1+13.1</f>
        <v>28.7</v>
      </c>
      <c r="H147" t="s">
        <v>72</v>
      </c>
      <c r="I147">
        <v>4</v>
      </c>
      <c r="J147" t="s">
        <v>87</v>
      </c>
    </row>
    <row r="148" spans="1:11" x14ac:dyDescent="0.35">
      <c r="A148" s="4">
        <v>45819</v>
      </c>
      <c r="B148" t="s">
        <v>69</v>
      </c>
      <c r="C148">
        <v>61</v>
      </c>
      <c r="D148" t="s">
        <v>37</v>
      </c>
      <c r="E148" t="s">
        <v>87</v>
      </c>
      <c r="F148" t="s">
        <v>93</v>
      </c>
      <c r="G148">
        <f>26.1+6.2+2.6+1.4+2.2</f>
        <v>38.500000000000007</v>
      </c>
      <c r="H148" t="s">
        <v>72</v>
      </c>
      <c r="I148">
        <v>5</v>
      </c>
      <c r="J148" t="s">
        <v>87</v>
      </c>
    </row>
    <row r="149" spans="1:11" s="6" customFormat="1" x14ac:dyDescent="0.35">
      <c r="A149" s="5">
        <v>45820</v>
      </c>
      <c r="B149" s="6" t="s">
        <v>69</v>
      </c>
      <c r="C149" s="6">
        <v>62</v>
      </c>
      <c r="D149" s="6" t="s">
        <v>32</v>
      </c>
      <c r="E149" s="6" t="s">
        <v>70</v>
      </c>
      <c r="F149" s="6" t="s">
        <v>93</v>
      </c>
      <c r="G149" s="6">
        <f>4.4+2.5</f>
        <v>6.9</v>
      </c>
      <c r="H149" s="6" t="s">
        <v>72</v>
      </c>
      <c r="I149" s="6">
        <v>2</v>
      </c>
      <c r="J149" s="6" t="s">
        <v>87</v>
      </c>
    </row>
    <row r="150" spans="1:11" x14ac:dyDescent="0.35">
      <c r="A150" s="4">
        <v>45820</v>
      </c>
      <c r="B150" t="s">
        <v>69</v>
      </c>
      <c r="C150">
        <v>62</v>
      </c>
      <c r="D150" t="s">
        <v>32</v>
      </c>
      <c r="E150" t="s">
        <v>70</v>
      </c>
      <c r="F150" t="s">
        <v>71</v>
      </c>
      <c r="G150">
        <v>3.2</v>
      </c>
      <c r="H150" t="s">
        <v>72</v>
      </c>
      <c r="I150">
        <v>1</v>
      </c>
      <c r="J150" t="s">
        <v>87</v>
      </c>
    </row>
    <row r="151" spans="1:11" x14ac:dyDescent="0.35">
      <c r="A151" s="4">
        <v>45820</v>
      </c>
      <c r="B151" t="s">
        <v>69</v>
      </c>
      <c r="C151">
        <v>62</v>
      </c>
      <c r="D151" t="s">
        <v>32</v>
      </c>
      <c r="E151" t="s">
        <v>70</v>
      </c>
      <c r="F151" t="s">
        <v>75</v>
      </c>
      <c r="G151">
        <f>3+5.2</f>
        <v>8.1999999999999993</v>
      </c>
      <c r="H151" t="s">
        <v>72</v>
      </c>
      <c r="I151">
        <v>2</v>
      </c>
      <c r="J151" t="s">
        <v>87</v>
      </c>
      <c r="K151">
        <v>1</v>
      </c>
    </row>
    <row r="152" spans="1:11" x14ac:dyDescent="0.35">
      <c r="A152" s="4">
        <v>45820</v>
      </c>
      <c r="B152" t="s">
        <v>69</v>
      </c>
      <c r="C152">
        <v>62</v>
      </c>
      <c r="D152" t="s">
        <v>32</v>
      </c>
      <c r="E152" t="s">
        <v>70</v>
      </c>
      <c r="F152" t="s">
        <v>129</v>
      </c>
      <c r="G152">
        <f>4+3.1+2.8+3.5</f>
        <v>13.399999999999999</v>
      </c>
      <c r="H152" t="s">
        <v>72</v>
      </c>
      <c r="I152">
        <v>4</v>
      </c>
      <c r="J152" t="s">
        <v>87</v>
      </c>
    </row>
    <row r="153" spans="1:11" x14ac:dyDescent="0.35">
      <c r="A153" s="4">
        <v>45820</v>
      </c>
      <c r="B153" t="s">
        <v>69</v>
      </c>
      <c r="C153">
        <v>62</v>
      </c>
      <c r="D153" t="s">
        <v>32</v>
      </c>
      <c r="E153" t="s">
        <v>70</v>
      </c>
      <c r="F153" t="s">
        <v>77</v>
      </c>
      <c r="G153">
        <f>10.1+14.3</f>
        <v>24.4</v>
      </c>
      <c r="H153" t="s">
        <v>72</v>
      </c>
      <c r="I153">
        <v>2</v>
      </c>
      <c r="J153" t="s">
        <v>87</v>
      </c>
    </row>
    <row r="154" spans="1:11" x14ac:dyDescent="0.35">
      <c r="A154" s="4">
        <v>45820</v>
      </c>
      <c r="B154" t="s">
        <v>69</v>
      </c>
      <c r="C154">
        <v>62</v>
      </c>
      <c r="D154" t="s">
        <v>32</v>
      </c>
      <c r="E154" t="s">
        <v>70</v>
      </c>
      <c r="F154" t="s">
        <v>78</v>
      </c>
      <c r="G154">
        <v>2.8</v>
      </c>
      <c r="H154" t="s">
        <v>72</v>
      </c>
      <c r="I154">
        <v>1</v>
      </c>
      <c r="J154" t="s">
        <v>87</v>
      </c>
      <c r="K154">
        <v>1</v>
      </c>
    </row>
    <row r="155" spans="1:11" x14ac:dyDescent="0.35">
      <c r="A155" s="4">
        <v>45820</v>
      </c>
      <c r="B155" t="s">
        <v>69</v>
      </c>
      <c r="C155">
        <v>62</v>
      </c>
      <c r="D155" t="s">
        <v>32</v>
      </c>
      <c r="E155" t="s">
        <v>70</v>
      </c>
      <c r="F155" t="s">
        <v>75</v>
      </c>
      <c r="G155">
        <v>3.9</v>
      </c>
      <c r="H155" t="s">
        <v>72</v>
      </c>
      <c r="I155">
        <v>1</v>
      </c>
      <c r="J155" t="s">
        <v>70</v>
      </c>
      <c r="K155">
        <v>2</v>
      </c>
    </row>
    <row r="156" spans="1:11" x14ac:dyDescent="0.35">
      <c r="A156" s="4">
        <v>45820</v>
      </c>
      <c r="B156" t="s">
        <v>69</v>
      </c>
      <c r="C156">
        <v>62</v>
      </c>
      <c r="D156" t="s">
        <v>32</v>
      </c>
      <c r="E156" t="s">
        <v>70</v>
      </c>
      <c r="F156" t="s">
        <v>93</v>
      </c>
      <c r="G156">
        <v>9.9</v>
      </c>
      <c r="H156" t="s">
        <v>72</v>
      </c>
      <c r="I156">
        <v>1</v>
      </c>
      <c r="J156" t="s">
        <v>87</v>
      </c>
    </row>
    <row r="157" spans="1:11" x14ac:dyDescent="0.35">
      <c r="A157" s="4">
        <v>45820</v>
      </c>
      <c r="B157" t="s">
        <v>69</v>
      </c>
      <c r="C157">
        <v>62</v>
      </c>
      <c r="D157" t="s">
        <v>32</v>
      </c>
      <c r="E157" t="s">
        <v>70</v>
      </c>
      <c r="F157" t="s">
        <v>75</v>
      </c>
      <c r="G157">
        <f>1.4+1</f>
        <v>2.4</v>
      </c>
      <c r="H157" t="s">
        <v>72</v>
      </c>
      <c r="I157">
        <v>1</v>
      </c>
      <c r="J157" t="s">
        <v>87</v>
      </c>
      <c r="K157">
        <v>1</v>
      </c>
    </row>
    <row r="158" spans="1:11" x14ac:dyDescent="0.35">
      <c r="A158" s="4">
        <v>45820</v>
      </c>
      <c r="B158" t="s">
        <v>69</v>
      </c>
      <c r="C158">
        <v>62</v>
      </c>
      <c r="D158" t="s">
        <v>32</v>
      </c>
      <c r="E158" t="s">
        <v>70</v>
      </c>
      <c r="F158" t="s">
        <v>93</v>
      </c>
      <c r="G158">
        <v>8</v>
      </c>
      <c r="H158" t="s">
        <v>74</v>
      </c>
      <c r="I158">
        <v>1</v>
      </c>
      <c r="J158" t="s">
        <v>87</v>
      </c>
    </row>
    <row r="159" spans="1:11" x14ac:dyDescent="0.35">
      <c r="A159" s="4">
        <v>45820</v>
      </c>
      <c r="B159" t="s">
        <v>69</v>
      </c>
      <c r="C159">
        <v>62</v>
      </c>
      <c r="D159" t="s">
        <v>32</v>
      </c>
      <c r="E159" t="s">
        <v>70</v>
      </c>
      <c r="F159" t="s">
        <v>71</v>
      </c>
      <c r="G159">
        <f>4.5+2.5+1.8</f>
        <v>8.8000000000000007</v>
      </c>
      <c r="H159" t="s">
        <v>72</v>
      </c>
      <c r="I159">
        <v>3</v>
      </c>
      <c r="J159" t="s">
        <v>70</v>
      </c>
    </row>
    <row r="160" spans="1:11" x14ac:dyDescent="0.35">
      <c r="A160" s="4">
        <v>45820</v>
      </c>
      <c r="B160" t="s">
        <v>69</v>
      </c>
      <c r="C160">
        <v>62</v>
      </c>
      <c r="D160" t="s">
        <v>32</v>
      </c>
      <c r="E160" t="s">
        <v>70</v>
      </c>
      <c r="F160" t="s">
        <v>71</v>
      </c>
      <c r="G160">
        <v>2.5</v>
      </c>
      <c r="H160" t="s">
        <v>72</v>
      </c>
      <c r="I160">
        <v>1</v>
      </c>
      <c r="J160" t="s">
        <v>70</v>
      </c>
    </row>
    <row r="161" spans="1:11" x14ac:dyDescent="0.35">
      <c r="A161" s="4">
        <v>45820</v>
      </c>
      <c r="B161" t="s">
        <v>69</v>
      </c>
      <c r="C161">
        <v>62</v>
      </c>
      <c r="D161" t="s">
        <v>32</v>
      </c>
      <c r="E161" t="s">
        <v>70</v>
      </c>
      <c r="F161" t="s">
        <v>75</v>
      </c>
      <c r="G161">
        <v>4.3</v>
      </c>
      <c r="H161" t="s">
        <v>72</v>
      </c>
      <c r="I161">
        <v>1</v>
      </c>
      <c r="J161" t="s">
        <v>87</v>
      </c>
      <c r="K161">
        <v>1</v>
      </c>
    </row>
    <row r="162" spans="1:11" x14ac:dyDescent="0.35">
      <c r="A162" s="4">
        <v>45820</v>
      </c>
      <c r="B162" t="s">
        <v>69</v>
      </c>
      <c r="C162">
        <v>62</v>
      </c>
      <c r="D162" t="s">
        <v>32</v>
      </c>
      <c r="E162" t="s">
        <v>70</v>
      </c>
      <c r="F162" t="s">
        <v>71</v>
      </c>
      <c r="G162">
        <f>1.2+4+3.5</f>
        <v>8.6999999999999993</v>
      </c>
      <c r="H162" t="s">
        <v>72</v>
      </c>
      <c r="I162">
        <v>3</v>
      </c>
      <c r="J162" t="s">
        <v>87</v>
      </c>
    </row>
    <row r="163" spans="1:11" x14ac:dyDescent="0.35">
      <c r="A163" s="4">
        <v>45820</v>
      </c>
      <c r="B163" t="s">
        <v>69</v>
      </c>
      <c r="C163">
        <v>62</v>
      </c>
      <c r="D163" t="s">
        <v>32</v>
      </c>
      <c r="E163" t="s">
        <v>70</v>
      </c>
      <c r="F163" t="s">
        <v>75</v>
      </c>
      <c r="G163">
        <v>3.7</v>
      </c>
      <c r="H163" t="s">
        <v>72</v>
      </c>
      <c r="I163">
        <v>1</v>
      </c>
      <c r="J163" t="s">
        <v>87</v>
      </c>
      <c r="K163">
        <v>1</v>
      </c>
    </row>
    <row r="164" spans="1:11" x14ac:dyDescent="0.35">
      <c r="A164" s="4">
        <v>45820</v>
      </c>
      <c r="B164" t="s">
        <v>69</v>
      </c>
      <c r="C164">
        <v>62</v>
      </c>
      <c r="D164" t="s">
        <v>32</v>
      </c>
      <c r="E164" t="s">
        <v>70</v>
      </c>
      <c r="F164" t="s">
        <v>71</v>
      </c>
      <c r="G164">
        <v>3.9</v>
      </c>
      <c r="H164" t="s">
        <v>72</v>
      </c>
      <c r="I164">
        <v>1</v>
      </c>
      <c r="J164" t="s">
        <v>70</v>
      </c>
    </row>
    <row r="165" spans="1:11" x14ac:dyDescent="0.35">
      <c r="A165" s="4">
        <v>45820</v>
      </c>
      <c r="B165" t="s">
        <v>69</v>
      </c>
      <c r="C165">
        <v>62</v>
      </c>
      <c r="D165" t="s">
        <v>32</v>
      </c>
      <c r="E165" t="s">
        <v>70</v>
      </c>
      <c r="F165" t="s">
        <v>93</v>
      </c>
      <c r="G165">
        <f>4.1+1.7</f>
        <v>5.8</v>
      </c>
      <c r="H165" t="s">
        <v>72</v>
      </c>
      <c r="I165">
        <v>2</v>
      </c>
      <c r="J165" t="s">
        <v>87</v>
      </c>
    </row>
    <row r="166" spans="1:11" x14ac:dyDescent="0.35">
      <c r="A166" s="4">
        <v>45820</v>
      </c>
      <c r="B166" t="s">
        <v>69</v>
      </c>
      <c r="C166">
        <v>62</v>
      </c>
      <c r="D166" t="s">
        <v>32</v>
      </c>
      <c r="E166" t="s">
        <v>70</v>
      </c>
      <c r="F166" t="s">
        <v>93</v>
      </c>
      <c r="G166">
        <f>13.6+7.1</f>
        <v>20.7</v>
      </c>
      <c r="H166" t="s">
        <v>72</v>
      </c>
      <c r="I166">
        <v>2</v>
      </c>
      <c r="J166" t="s">
        <v>87</v>
      </c>
    </row>
    <row r="167" spans="1:11" x14ac:dyDescent="0.35">
      <c r="A167" s="4">
        <v>45820</v>
      </c>
      <c r="B167" t="s">
        <v>69</v>
      </c>
      <c r="C167">
        <v>62</v>
      </c>
      <c r="D167" t="s">
        <v>32</v>
      </c>
      <c r="E167" t="s">
        <v>70</v>
      </c>
      <c r="F167" t="s">
        <v>77</v>
      </c>
      <c r="G167">
        <v>4.5999999999999996</v>
      </c>
      <c r="H167" t="s">
        <v>72</v>
      </c>
      <c r="I167">
        <v>1</v>
      </c>
      <c r="J167" t="s">
        <v>87</v>
      </c>
    </row>
    <row r="168" spans="1:11" x14ac:dyDescent="0.35">
      <c r="A168" s="4">
        <v>45820</v>
      </c>
      <c r="B168" t="s">
        <v>69</v>
      </c>
      <c r="C168">
        <v>62</v>
      </c>
      <c r="D168" t="s">
        <v>32</v>
      </c>
      <c r="E168" t="s">
        <v>70</v>
      </c>
      <c r="F168" t="s">
        <v>92</v>
      </c>
      <c r="G168">
        <v>11.1</v>
      </c>
      <c r="H168" t="s">
        <v>72</v>
      </c>
      <c r="I168">
        <v>1</v>
      </c>
      <c r="J168" t="s">
        <v>87</v>
      </c>
    </row>
    <row r="169" spans="1:11" x14ac:dyDescent="0.35">
      <c r="A169" s="4">
        <v>45820</v>
      </c>
      <c r="B169" t="s">
        <v>69</v>
      </c>
      <c r="C169">
        <v>62</v>
      </c>
      <c r="D169" t="s">
        <v>34</v>
      </c>
      <c r="E169" t="s">
        <v>70</v>
      </c>
      <c r="F169" t="s">
        <v>75</v>
      </c>
      <c r="G169">
        <v>4.2</v>
      </c>
      <c r="H169" t="s">
        <v>72</v>
      </c>
      <c r="I169">
        <v>1</v>
      </c>
      <c r="J169" t="s">
        <v>87</v>
      </c>
      <c r="K169">
        <v>1</v>
      </c>
    </row>
    <row r="170" spans="1:11" x14ac:dyDescent="0.35">
      <c r="A170" s="4">
        <v>45820</v>
      </c>
      <c r="B170" t="s">
        <v>69</v>
      </c>
      <c r="C170">
        <v>62</v>
      </c>
      <c r="D170" t="s">
        <v>34</v>
      </c>
      <c r="E170" t="s">
        <v>70</v>
      </c>
      <c r="F170" t="s">
        <v>93</v>
      </c>
      <c r="G170">
        <f>18.2+15.8</f>
        <v>34</v>
      </c>
      <c r="H170" t="s">
        <v>72</v>
      </c>
      <c r="I170">
        <v>2</v>
      </c>
      <c r="J170" t="s">
        <v>87</v>
      </c>
    </row>
    <row r="171" spans="1:11" x14ac:dyDescent="0.35">
      <c r="A171" s="4">
        <v>45820</v>
      </c>
      <c r="B171" t="s">
        <v>69</v>
      </c>
      <c r="C171">
        <v>62</v>
      </c>
      <c r="D171" t="s">
        <v>34</v>
      </c>
      <c r="E171" t="s">
        <v>70</v>
      </c>
      <c r="F171" t="s">
        <v>90</v>
      </c>
      <c r="G171">
        <v>36.4</v>
      </c>
      <c r="H171" t="s">
        <v>74</v>
      </c>
      <c r="I171">
        <v>1</v>
      </c>
      <c r="J171" t="s">
        <v>87</v>
      </c>
    </row>
    <row r="172" spans="1:11" x14ac:dyDescent="0.35">
      <c r="A172" s="4">
        <v>45820</v>
      </c>
      <c r="B172" t="s">
        <v>69</v>
      </c>
      <c r="C172">
        <v>62</v>
      </c>
      <c r="D172" t="s">
        <v>34</v>
      </c>
      <c r="E172" t="s">
        <v>70</v>
      </c>
      <c r="F172" t="s">
        <v>93</v>
      </c>
      <c r="G172">
        <v>24.1</v>
      </c>
      <c r="H172" t="s">
        <v>72</v>
      </c>
      <c r="I172">
        <v>1</v>
      </c>
      <c r="J172" t="s">
        <v>70</v>
      </c>
    </row>
    <row r="173" spans="1:11" x14ac:dyDescent="0.35">
      <c r="A173" s="4">
        <v>45820</v>
      </c>
      <c r="B173" t="s">
        <v>69</v>
      </c>
      <c r="C173">
        <v>62</v>
      </c>
      <c r="D173" t="s">
        <v>34</v>
      </c>
      <c r="E173" t="s">
        <v>70</v>
      </c>
      <c r="F173" t="s">
        <v>93</v>
      </c>
      <c r="G173">
        <v>7.7</v>
      </c>
      <c r="H173" t="s">
        <v>72</v>
      </c>
      <c r="I173">
        <v>1</v>
      </c>
      <c r="J173" t="s">
        <v>87</v>
      </c>
    </row>
    <row r="174" spans="1:11" x14ac:dyDescent="0.35">
      <c r="A174" s="4">
        <v>45820</v>
      </c>
      <c r="B174" t="s">
        <v>69</v>
      </c>
      <c r="C174">
        <v>62</v>
      </c>
      <c r="D174" t="s">
        <v>34</v>
      </c>
      <c r="E174" t="s">
        <v>70</v>
      </c>
      <c r="F174" t="s">
        <v>93</v>
      </c>
      <c r="G174">
        <v>17.100000000000001</v>
      </c>
      <c r="H174" t="s">
        <v>72</v>
      </c>
      <c r="I174">
        <v>1</v>
      </c>
      <c r="J174" t="s">
        <v>87</v>
      </c>
    </row>
    <row r="175" spans="1:11" x14ac:dyDescent="0.35">
      <c r="A175" s="4">
        <v>45820</v>
      </c>
      <c r="B175" t="s">
        <v>69</v>
      </c>
      <c r="C175">
        <v>62</v>
      </c>
      <c r="D175" t="s">
        <v>34</v>
      </c>
      <c r="E175" t="s">
        <v>70</v>
      </c>
      <c r="F175" t="s">
        <v>93</v>
      </c>
      <c r="G175">
        <v>5.5</v>
      </c>
      <c r="H175" t="s">
        <v>72</v>
      </c>
      <c r="I175">
        <v>1</v>
      </c>
      <c r="J175" t="s">
        <v>87</v>
      </c>
    </row>
    <row r="176" spans="1:11" x14ac:dyDescent="0.35">
      <c r="A176" s="4">
        <v>45820</v>
      </c>
      <c r="B176" t="s">
        <v>69</v>
      </c>
      <c r="C176">
        <v>62</v>
      </c>
      <c r="D176" t="s">
        <v>34</v>
      </c>
      <c r="E176" t="s">
        <v>70</v>
      </c>
      <c r="F176" t="s">
        <v>93</v>
      </c>
      <c r="G176">
        <v>3.7</v>
      </c>
      <c r="H176" t="s">
        <v>72</v>
      </c>
      <c r="I176">
        <v>1</v>
      </c>
      <c r="J176" t="s">
        <v>87</v>
      </c>
    </row>
    <row r="177" spans="1:11" x14ac:dyDescent="0.35">
      <c r="A177" s="4">
        <v>45820</v>
      </c>
      <c r="B177" t="s">
        <v>69</v>
      </c>
      <c r="C177">
        <v>62</v>
      </c>
      <c r="D177" t="s">
        <v>34</v>
      </c>
      <c r="E177" t="s">
        <v>70</v>
      </c>
      <c r="F177" t="s">
        <v>75</v>
      </c>
      <c r="G177">
        <v>3.1</v>
      </c>
      <c r="H177" t="s">
        <v>72</v>
      </c>
      <c r="I177">
        <v>1</v>
      </c>
      <c r="J177" t="s">
        <v>87</v>
      </c>
      <c r="K177">
        <v>1</v>
      </c>
    </row>
    <row r="178" spans="1:11" x14ac:dyDescent="0.35">
      <c r="A178" s="4">
        <v>45820</v>
      </c>
      <c r="B178" t="s">
        <v>69</v>
      </c>
      <c r="C178">
        <v>62</v>
      </c>
      <c r="D178" t="s">
        <v>34</v>
      </c>
      <c r="E178" t="s">
        <v>70</v>
      </c>
      <c r="F178" t="s">
        <v>93</v>
      </c>
      <c r="G178">
        <v>9.5</v>
      </c>
      <c r="H178" t="s">
        <v>74</v>
      </c>
      <c r="I178">
        <v>1</v>
      </c>
      <c r="J178" t="s">
        <v>87</v>
      </c>
    </row>
    <row r="179" spans="1:11" x14ac:dyDescent="0.35">
      <c r="A179" s="4">
        <v>45820</v>
      </c>
      <c r="B179" t="s">
        <v>69</v>
      </c>
      <c r="C179">
        <v>62</v>
      </c>
      <c r="D179" t="s">
        <v>34</v>
      </c>
      <c r="E179" t="s">
        <v>70</v>
      </c>
      <c r="F179" t="s">
        <v>93</v>
      </c>
      <c r="G179">
        <v>2.6</v>
      </c>
      <c r="H179" t="s">
        <v>72</v>
      </c>
      <c r="I179">
        <v>1</v>
      </c>
      <c r="J179" t="s">
        <v>87</v>
      </c>
    </row>
    <row r="180" spans="1:11" x14ac:dyDescent="0.35">
      <c r="A180" s="4">
        <v>45820</v>
      </c>
      <c r="B180" t="s">
        <v>69</v>
      </c>
      <c r="C180">
        <v>62</v>
      </c>
      <c r="D180" t="s">
        <v>34</v>
      </c>
      <c r="E180" t="s">
        <v>70</v>
      </c>
      <c r="F180" t="s">
        <v>71</v>
      </c>
      <c r="G180">
        <v>4</v>
      </c>
      <c r="H180" t="s">
        <v>72</v>
      </c>
      <c r="I180">
        <v>1</v>
      </c>
      <c r="J180" t="s">
        <v>70</v>
      </c>
    </row>
    <row r="181" spans="1:11" x14ac:dyDescent="0.35">
      <c r="A181" s="4">
        <v>45820</v>
      </c>
      <c r="B181" t="s">
        <v>69</v>
      </c>
      <c r="C181">
        <v>62</v>
      </c>
      <c r="D181" t="s">
        <v>34</v>
      </c>
      <c r="E181" t="s">
        <v>70</v>
      </c>
      <c r="F181" t="s">
        <v>93</v>
      </c>
      <c r="G181">
        <v>15</v>
      </c>
      <c r="H181" t="s">
        <v>72</v>
      </c>
      <c r="I181">
        <v>1</v>
      </c>
      <c r="J181" t="s">
        <v>70</v>
      </c>
    </row>
    <row r="182" spans="1:11" x14ac:dyDescent="0.35">
      <c r="A182" s="4">
        <v>45820</v>
      </c>
      <c r="B182" t="s">
        <v>69</v>
      </c>
      <c r="C182">
        <v>62</v>
      </c>
      <c r="D182" t="s">
        <v>34</v>
      </c>
      <c r="E182" t="s">
        <v>70</v>
      </c>
      <c r="F182" t="s">
        <v>93</v>
      </c>
      <c r="G182">
        <v>14.8</v>
      </c>
      <c r="H182" t="s">
        <v>72</v>
      </c>
      <c r="I182">
        <v>1</v>
      </c>
      <c r="J182" t="s">
        <v>87</v>
      </c>
    </row>
    <row r="183" spans="1:11" x14ac:dyDescent="0.35">
      <c r="A183" s="4">
        <v>45820</v>
      </c>
      <c r="B183" t="s">
        <v>69</v>
      </c>
      <c r="C183">
        <v>62</v>
      </c>
      <c r="D183" t="s">
        <v>80</v>
      </c>
      <c r="E183" t="s">
        <v>70</v>
      </c>
      <c r="F183" t="s">
        <v>93</v>
      </c>
      <c r="G183">
        <f>16.9+9.2</f>
        <v>26.099999999999998</v>
      </c>
      <c r="H183" t="s">
        <v>72</v>
      </c>
      <c r="I183">
        <v>2</v>
      </c>
      <c r="J183" t="s">
        <v>87</v>
      </c>
    </row>
    <row r="184" spans="1:11" x14ac:dyDescent="0.35">
      <c r="A184" s="4">
        <v>45820</v>
      </c>
      <c r="B184" t="s">
        <v>69</v>
      </c>
      <c r="C184">
        <v>62</v>
      </c>
      <c r="D184" t="s">
        <v>34</v>
      </c>
      <c r="E184" t="s">
        <v>70</v>
      </c>
      <c r="F184" t="s">
        <v>93</v>
      </c>
      <c r="G184">
        <v>3.3</v>
      </c>
      <c r="H184" t="s">
        <v>72</v>
      </c>
      <c r="I184">
        <v>1</v>
      </c>
      <c r="J184" t="s">
        <v>87</v>
      </c>
    </row>
    <row r="185" spans="1:11" x14ac:dyDescent="0.35">
      <c r="A185" s="4">
        <v>45820</v>
      </c>
      <c r="B185" t="s">
        <v>69</v>
      </c>
      <c r="C185">
        <v>62</v>
      </c>
      <c r="D185" t="s">
        <v>34</v>
      </c>
      <c r="E185" t="s">
        <v>70</v>
      </c>
      <c r="F185" t="s">
        <v>90</v>
      </c>
      <c r="G185">
        <v>2.5</v>
      </c>
      <c r="H185" t="s">
        <v>74</v>
      </c>
      <c r="I185">
        <v>1</v>
      </c>
      <c r="J185" t="s">
        <v>87</v>
      </c>
    </row>
    <row r="186" spans="1:11" x14ac:dyDescent="0.35">
      <c r="A186" s="4">
        <v>45820</v>
      </c>
      <c r="B186" t="s">
        <v>69</v>
      </c>
      <c r="C186">
        <v>62</v>
      </c>
      <c r="D186" t="s">
        <v>36</v>
      </c>
      <c r="E186" t="s">
        <v>70</v>
      </c>
      <c r="F186" t="s">
        <v>93</v>
      </c>
      <c r="G186">
        <v>7.1</v>
      </c>
      <c r="H186" t="s">
        <v>72</v>
      </c>
      <c r="I186">
        <v>1</v>
      </c>
      <c r="J186" t="s">
        <v>87</v>
      </c>
    </row>
    <row r="187" spans="1:11" x14ac:dyDescent="0.35">
      <c r="A187" s="4">
        <v>45820</v>
      </c>
      <c r="B187" t="s">
        <v>69</v>
      </c>
      <c r="C187">
        <v>62</v>
      </c>
      <c r="D187" t="s">
        <v>34</v>
      </c>
      <c r="E187" t="s">
        <v>70</v>
      </c>
      <c r="F187" t="s">
        <v>77</v>
      </c>
      <c r="G187">
        <v>7.9</v>
      </c>
      <c r="H187" t="s">
        <v>72</v>
      </c>
      <c r="I187">
        <v>1</v>
      </c>
      <c r="J187" t="s">
        <v>87</v>
      </c>
    </row>
    <row r="188" spans="1:11" x14ac:dyDescent="0.35">
      <c r="A188" s="4">
        <v>45820</v>
      </c>
      <c r="B188" t="s">
        <v>69</v>
      </c>
      <c r="C188">
        <v>62</v>
      </c>
      <c r="D188" t="s">
        <v>36</v>
      </c>
      <c r="E188" t="s">
        <v>70</v>
      </c>
      <c r="F188" t="s">
        <v>93</v>
      </c>
      <c r="G188">
        <v>19.8</v>
      </c>
      <c r="H188" t="s">
        <v>72</v>
      </c>
      <c r="I188">
        <v>1</v>
      </c>
      <c r="J188" t="s">
        <v>87</v>
      </c>
    </row>
    <row r="189" spans="1:11" x14ac:dyDescent="0.35">
      <c r="A189" s="4">
        <v>45820</v>
      </c>
      <c r="B189" t="s">
        <v>69</v>
      </c>
      <c r="C189">
        <v>62</v>
      </c>
      <c r="D189" t="s">
        <v>36</v>
      </c>
      <c r="E189" t="s">
        <v>70</v>
      </c>
      <c r="F189" t="s">
        <v>75</v>
      </c>
      <c r="G189">
        <v>3.8</v>
      </c>
      <c r="H189" t="s">
        <v>72</v>
      </c>
      <c r="I189">
        <v>1</v>
      </c>
      <c r="J189" t="s">
        <v>87</v>
      </c>
      <c r="K189">
        <v>1</v>
      </c>
    </row>
    <row r="190" spans="1:11" x14ac:dyDescent="0.35">
      <c r="A190" s="4">
        <v>45820</v>
      </c>
      <c r="B190" t="s">
        <v>69</v>
      </c>
      <c r="C190">
        <v>62</v>
      </c>
      <c r="D190" t="s">
        <v>36</v>
      </c>
      <c r="E190" t="s">
        <v>70</v>
      </c>
      <c r="F190" t="s">
        <v>77</v>
      </c>
      <c r="G190">
        <v>6.4</v>
      </c>
      <c r="H190" t="s">
        <v>72</v>
      </c>
      <c r="I190">
        <v>1</v>
      </c>
      <c r="J190" t="s">
        <v>87</v>
      </c>
    </row>
    <row r="191" spans="1:11" x14ac:dyDescent="0.35">
      <c r="A191" s="4">
        <v>45820</v>
      </c>
      <c r="B191" t="s">
        <v>69</v>
      </c>
      <c r="C191">
        <v>62</v>
      </c>
      <c r="D191" t="s">
        <v>36</v>
      </c>
      <c r="E191" t="s">
        <v>70</v>
      </c>
      <c r="F191" t="s">
        <v>93</v>
      </c>
      <c r="G191">
        <v>12.9</v>
      </c>
      <c r="H191" t="s">
        <v>72</v>
      </c>
      <c r="I191">
        <v>1</v>
      </c>
      <c r="J191" t="s">
        <v>87</v>
      </c>
    </row>
    <row r="192" spans="1:11" x14ac:dyDescent="0.35">
      <c r="A192" s="4">
        <v>45820</v>
      </c>
      <c r="B192" t="s">
        <v>69</v>
      </c>
      <c r="C192">
        <v>62</v>
      </c>
      <c r="D192" t="s">
        <v>36</v>
      </c>
      <c r="E192" t="s">
        <v>70</v>
      </c>
      <c r="F192" t="s">
        <v>75</v>
      </c>
      <c r="G192">
        <v>3.3</v>
      </c>
      <c r="H192" t="s">
        <v>74</v>
      </c>
      <c r="I192">
        <v>1</v>
      </c>
      <c r="J192" t="s">
        <v>87</v>
      </c>
      <c r="K192">
        <v>5</v>
      </c>
    </row>
    <row r="193" spans="1:10" x14ac:dyDescent="0.35">
      <c r="A193" s="4">
        <v>45820</v>
      </c>
      <c r="B193" t="s">
        <v>69</v>
      </c>
      <c r="C193">
        <v>62</v>
      </c>
      <c r="D193" t="s">
        <v>36</v>
      </c>
      <c r="E193" t="s">
        <v>70</v>
      </c>
      <c r="F193" t="s">
        <v>93</v>
      </c>
      <c r="G193">
        <v>9.6</v>
      </c>
      <c r="H193" t="s">
        <v>72</v>
      </c>
      <c r="I193">
        <v>1</v>
      </c>
      <c r="J193" t="s">
        <v>87</v>
      </c>
    </row>
    <row r="194" spans="1:10" x14ac:dyDescent="0.35">
      <c r="A194" s="4">
        <v>45820</v>
      </c>
      <c r="B194" t="s">
        <v>69</v>
      </c>
      <c r="C194">
        <v>62</v>
      </c>
      <c r="D194" t="s">
        <v>37</v>
      </c>
      <c r="E194" t="s">
        <v>70</v>
      </c>
      <c r="F194" t="s">
        <v>92</v>
      </c>
      <c r="G194">
        <v>4.2</v>
      </c>
      <c r="H194" t="s">
        <v>72</v>
      </c>
      <c r="I194">
        <v>1</v>
      </c>
      <c r="J194" t="s">
        <v>87</v>
      </c>
    </row>
    <row r="195" spans="1:10" x14ac:dyDescent="0.35">
      <c r="A195" s="4">
        <v>45820</v>
      </c>
      <c r="B195" t="s">
        <v>69</v>
      </c>
      <c r="C195">
        <v>62</v>
      </c>
      <c r="D195" t="s">
        <v>37</v>
      </c>
      <c r="E195" t="s">
        <v>70</v>
      </c>
      <c r="F195" t="s">
        <v>77</v>
      </c>
      <c r="G195">
        <v>12.7</v>
      </c>
      <c r="H195" t="s">
        <v>72</v>
      </c>
      <c r="I195">
        <v>1</v>
      </c>
      <c r="J195" t="s">
        <v>87</v>
      </c>
    </row>
    <row r="196" spans="1:10" x14ac:dyDescent="0.35">
      <c r="A196" s="4">
        <v>45820</v>
      </c>
      <c r="B196" t="s">
        <v>69</v>
      </c>
      <c r="C196">
        <v>62</v>
      </c>
      <c r="D196" t="s">
        <v>37</v>
      </c>
      <c r="E196" t="s">
        <v>70</v>
      </c>
      <c r="F196" t="s">
        <v>77</v>
      </c>
      <c r="G196">
        <v>8</v>
      </c>
      <c r="H196" t="s">
        <v>72</v>
      </c>
      <c r="I196">
        <v>1</v>
      </c>
      <c r="J196" t="s">
        <v>87</v>
      </c>
    </row>
    <row r="197" spans="1:10" x14ac:dyDescent="0.35">
      <c r="A197" s="4">
        <v>45820</v>
      </c>
      <c r="B197" t="s">
        <v>69</v>
      </c>
      <c r="C197">
        <v>62</v>
      </c>
      <c r="D197" t="s">
        <v>37</v>
      </c>
      <c r="E197" t="s">
        <v>70</v>
      </c>
      <c r="F197" t="s">
        <v>93</v>
      </c>
      <c r="G197">
        <v>7.8</v>
      </c>
      <c r="H197" t="s">
        <v>72</v>
      </c>
      <c r="I197">
        <v>1</v>
      </c>
      <c r="J197" t="s">
        <v>87</v>
      </c>
    </row>
    <row r="198" spans="1:10" x14ac:dyDescent="0.35">
      <c r="A198" s="4">
        <v>45820</v>
      </c>
      <c r="B198" t="s">
        <v>69</v>
      </c>
      <c r="C198">
        <v>62</v>
      </c>
      <c r="D198" t="s">
        <v>37</v>
      </c>
      <c r="E198" t="s">
        <v>70</v>
      </c>
      <c r="F198" t="s">
        <v>93</v>
      </c>
      <c r="G198">
        <v>3.5</v>
      </c>
      <c r="H198" t="s">
        <v>74</v>
      </c>
      <c r="I198">
        <v>1</v>
      </c>
      <c r="J198" t="s">
        <v>87</v>
      </c>
    </row>
    <row r="199" spans="1:10" x14ac:dyDescent="0.35">
      <c r="A199" s="4">
        <v>45820</v>
      </c>
      <c r="B199" t="s">
        <v>69</v>
      </c>
      <c r="C199">
        <v>62</v>
      </c>
      <c r="D199" t="s">
        <v>37</v>
      </c>
      <c r="E199" t="s">
        <v>70</v>
      </c>
      <c r="F199" t="s">
        <v>93</v>
      </c>
      <c r="G199">
        <v>20</v>
      </c>
      <c r="H199" t="s">
        <v>72</v>
      </c>
      <c r="I199">
        <v>1</v>
      </c>
      <c r="J199" t="s">
        <v>70</v>
      </c>
    </row>
    <row r="200" spans="1:10" x14ac:dyDescent="0.35">
      <c r="A200" s="4">
        <v>45820</v>
      </c>
      <c r="B200" t="s">
        <v>69</v>
      </c>
      <c r="C200">
        <v>62</v>
      </c>
      <c r="D200" t="s">
        <v>37</v>
      </c>
      <c r="E200" t="s">
        <v>70</v>
      </c>
      <c r="F200" t="s">
        <v>93</v>
      </c>
      <c r="G200">
        <v>17.7</v>
      </c>
      <c r="H200" t="s">
        <v>72</v>
      </c>
      <c r="I200">
        <v>1</v>
      </c>
      <c r="J200" t="s">
        <v>87</v>
      </c>
    </row>
    <row r="201" spans="1:10" x14ac:dyDescent="0.35">
      <c r="A201" s="4">
        <v>45820</v>
      </c>
      <c r="B201" t="s">
        <v>69</v>
      </c>
      <c r="C201">
        <v>62</v>
      </c>
      <c r="D201" t="s">
        <v>37</v>
      </c>
      <c r="E201" t="s">
        <v>70</v>
      </c>
      <c r="F201" t="s">
        <v>93</v>
      </c>
      <c r="G201">
        <v>10.8</v>
      </c>
      <c r="H201" t="s">
        <v>72</v>
      </c>
      <c r="I201">
        <v>1</v>
      </c>
      <c r="J201" t="s">
        <v>87</v>
      </c>
    </row>
    <row r="202" spans="1:10" x14ac:dyDescent="0.35">
      <c r="A202" s="4">
        <v>45820</v>
      </c>
      <c r="B202" t="s">
        <v>69</v>
      </c>
      <c r="C202">
        <v>62</v>
      </c>
      <c r="D202" t="s">
        <v>37</v>
      </c>
      <c r="E202" t="s">
        <v>70</v>
      </c>
      <c r="F202" t="s">
        <v>93</v>
      </c>
      <c r="G202">
        <v>4.5999999999999996</v>
      </c>
      <c r="H202" t="s">
        <v>72</v>
      </c>
      <c r="I202">
        <v>1</v>
      </c>
      <c r="J202" t="s">
        <v>87</v>
      </c>
    </row>
    <row r="203" spans="1:10" x14ac:dyDescent="0.35">
      <c r="A203" s="4">
        <v>45820</v>
      </c>
      <c r="B203" t="s">
        <v>69</v>
      </c>
      <c r="C203">
        <v>62</v>
      </c>
      <c r="D203" t="s">
        <v>37</v>
      </c>
      <c r="E203" t="s">
        <v>70</v>
      </c>
      <c r="F203" t="s">
        <v>93</v>
      </c>
      <c r="G203">
        <v>8.1999999999999993</v>
      </c>
      <c r="H203" t="s">
        <v>72</v>
      </c>
      <c r="I203">
        <v>1</v>
      </c>
      <c r="J203" t="s">
        <v>87</v>
      </c>
    </row>
    <row r="204" spans="1:10" x14ac:dyDescent="0.35">
      <c r="A204" s="4">
        <v>45820</v>
      </c>
      <c r="B204" t="s">
        <v>69</v>
      </c>
      <c r="C204">
        <v>62</v>
      </c>
      <c r="D204" t="s">
        <v>37</v>
      </c>
      <c r="E204" t="s">
        <v>70</v>
      </c>
      <c r="F204" t="s">
        <v>93</v>
      </c>
      <c r="G204">
        <v>22</v>
      </c>
      <c r="H204" t="s">
        <v>72</v>
      </c>
      <c r="I204">
        <v>1</v>
      </c>
      <c r="J204" t="s">
        <v>87</v>
      </c>
    </row>
    <row r="205" spans="1:10" x14ac:dyDescent="0.35">
      <c r="A205" s="4">
        <v>45820</v>
      </c>
      <c r="B205" t="s">
        <v>69</v>
      </c>
      <c r="C205">
        <v>62</v>
      </c>
      <c r="D205" t="s">
        <v>37</v>
      </c>
      <c r="E205" t="s">
        <v>70</v>
      </c>
      <c r="F205" t="s">
        <v>86</v>
      </c>
      <c r="G205">
        <v>5.5</v>
      </c>
      <c r="H205" t="s">
        <v>74</v>
      </c>
      <c r="I205">
        <v>1</v>
      </c>
      <c r="J205" t="s">
        <v>87</v>
      </c>
    </row>
    <row r="206" spans="1:10" x14ac:dyDescent="0.35">
      <c r="A206" s="4">
        <v>45820</v>
      </c>
      <c r="B206" t="s">
        <v>69</v>
      </c>
      <c r="C206">
        <v>62</v>
      </c>
      <c r="D206" t="s">
        <v>37</v>
      </c>
      <c r="E206" t="s">
        <v>70</v>
      </c>
      <c r="F206" t="s">
        <v>93</v>
      </c>
      <c r="G206">
        <f>18.7+31.4</f>
        <v>50.099999999999994</v>
      </c>
      <c r="H206" t="s">
        <v>72</v>
      </c>
      <c r="I206">
        <v>2</v>
      </c>
      <c r="J206" t="s">
        <v>87</v>
      </c>
    </row>
    <row r="207" spans="1:10" x14ac:dyDescent="0.35">
      <c r="A207" s="4">
        <v>45820</v>
      </c>
      <c r="B207" t="s">
        <v>69</v>
      </c>
      <c r="C207">
        <v>62</v>
      </c>
      <c r="D207" t="s">
        <v>37</v>
      </c>
      <c r="E207" t="s">
        <v>70</v>
      </c>
      <c r="F207" t="s">
        <v>77</v>
      </c>
      <c r="G207">
        <v>8.6999999999999993</v>
      </c>
      <c r="H207" t="s">
        <v>72</v>
      </c>
      <c r="I207">
        <v>1</v>
      </c>
      <c r="J207" t="s">
        <v>87</v>
      </c>
    </row>
    <row r="208" spans="1:10" x14ac:dyDescent="0.35">
      <c r="A208" s="4">
        <v>45820</v>
      </c>
      <c r="B208" t="s">
        <v>69</v>
      </c>
      <c r="C208">
        <v>62</v>
      </c>
      <c r="D208" t="s">
        <v>37</v>
      </c>
      <c r="E208" t="s">
        <v>70</v>
      </c>
      <c r="F208" t="s">
        <v>93</v>
      </c>
      <c r="G208">
        <v>7.2</v>
      </c>
      <c r="H208" t="s">
        <v>72</v>
      </c>
      <c r="I208">
        <v>1</v>
      </c>
      <c r="J208" t="s">
        <v>70</v>
      </c>
    </row>
    <row r="209" spans="1:10" x14ac:dyDescent="0.35">
      <c r="A209" s="4">
        <v>45820</v>
      </c>
      <c r="B209" t="s">
        <v>69</v>
      </c>
      <c r="C209">
        <v>62</v>
      </c>
      <c r="D209" t="s">
        <v>37</v>
      </c>
      <c r="E209" t="s">
        <v>70</v>
      </c>
      <c r="F209" t="s">
        <v>93</v>
      </c>
      <c r="G209">
        <v>8.9</v>
      </c>
      <c r="H209" t="s">
        <v>74</v>
      </c>
      <c r="I209">
        <v>1</v>
      </c>
      <c r="J209" t="s">
        <v>87</v>
      </c>
    </row>
    <row r="210" spans="1:10" x14ac:dyDescent="0.35">
      <c r="A210" s="4">
        <v>45820</v>
      </c>
      <c r="B210" t="s">
        <v>69</v>
      </c>
      <c r="C210">
        <v>62</v>
      </c>
      <c r="D210" t="s">
        <v>32</v>
      </c>
      <c r="E210" t="s">
        <v>87</v>
      </c>
      <c r="F210" t="s">
        <v>135</v>
      </c>
      <c r="G210">
        <v>34.299999999999997</v>
      </c>
      <c r="H210" t="s">
        <v>74</v>
      </c>
      <c r="I210">
        <v>1</v>
      </c>
      <c r="J210" t="s">
        <v>87</v>
      </c>
    </row>
    <row r="211" spans="1:10" x14ac:dyDescent="0.35">
      <c r="A211" s="4">
        <v>45820</v>
      </c>
      <c r="B211" t="s">
        <v>69</v>
      </c>
      <c r="C211">
        <v>62</v>
      </c>
      <c r="D211" t="s">
        <v>32</v>
      </c>
      <c r="E211" t="s">
        <v>87</v>
      </c>
      <c r="F211" t="s">
        <v>130</v>
      </c>
      <c r="G211">
        <v>27</v>
      </c>
      <c r="H211" t="s">
        <v>72</v>
      </c>
      <c r="I211">
        <v>1</v>
      </c>
      <c r="J211" t="s">
        <v>87</v>
      </c>
    </row>
    <row r="212" spans="1:10" x14ac:dyDescent="0.35">
      <c r="A212" s="4">
        <v>45820</v>
      </c>
      <c r="B212" t="s">
        <v>69</v>
      </c>
      <c r="C212">
        <v>62</v>
      </c>
      <c r="D212" t="s">
        <v>32</v>
      </c>
      <c r="E212" t="s">
        <v>87</v>
      </c>
      <c r="F212" t="s">
        <v>130</v>
      </c>
      <c r="G212">
        <v>36.1</v>
      </c>
      <c r="H212" t="s">
        <v>72</v>
      </c>
      <c r="I212">
        <v>1</v>
      </c>
      <c r="J212" t="s">
        <v>70</v>
      </c>
    </row>
    <row r="213" spans="1:10" x14ac:dyDescent="0.35">
      <c r="A213" s="4">
        <v>45820</v>
      </c>
      <c r="B213" t="s">
        <v>69</v>
      </c>
      <c r="C213">
        <v>62</v>
      </c>
      <c r="D213" t="s">
        <v>32</v>
      </c>
      <c r="E213" t="s">
        <v>87</v>
      </c>
      <c r="F213" t="s">
        <v>135</v>
      </c>
      <c r="G213">
        <v>22</v>
      </c>
      <c r="H213" t="s">
        <v>72</v>
      </c>
      <c r="I213">
        <v>1</v>
      </c>
      <c r="J213" t="s">
        <v>87</v>
      </c>
    </row>
    <row r="214" spans="1:10" x14ac:dyDescent="0.35">
      <c r="A214" s="4">
        <v>45820</v>
      </c>
      <c r="B214" t="s">
        <v>69</v>
      </c>
      <c r="C214">
        <v>62</v>
      </c>
      <c r="D214" t="s">
        <v>32</v>
      </c>
      <c r="E214" t="s">
        <v>87</v>
      </c>
      <c r="F214" t="s">
        <v>135</v>
      </c>
      <c r="G214">
        <v>50.2</v>
      </c>
      <c r="H214" t="s">
        <v>72</v>
      </c>
      <c r="I214">
        <v>1</v>
      </c>
      <c r="J214" t="s">
        <v>87</v>
      </c>
    </row>
    <row r="215" spans="1:10" x14ac:dyDescent="0.35">
      <c r="A215" s="4">
        <v>45820</v>
      </c>
      <c r="B215" t="s">
        <v>69</v>
      </c>
      <c r="C215">
        <v>62</v>
      </c>
      <c r="D215" t="s">
        <v>32</v>
      </c>
      <c r="E215" t="s">
        <v>87</v>
      </c>
      <c r="F215" t="s">
        <v>135</v>
      </c>
      <c r="G215">
        <v>41.1</v>
      </c>
      <c r="H215" t="s">
        <v>72</v>
      </c>
      <c r="I215">
        <v>1</v>
      </c>
      <c r="J215" t="s">
        <v>87</v>
      </c>
    </row>
    <row r="216" spans="1:10" x14ac:dyDescent="0.35">
      <c r="A216" s="4">
        <v>45820</v>
      </c>
      <c r="B216" t="s">
        <v>69</v>
      </c>
      <c r="C216">
        <v>62</v>
      </c>
      <c r="D216" t="s">
        <v>34</v>
      </c>
      <c r="E216" t="s">
        <v>87</v>
      </c>
      <c r="F216" t="s">
        <v>93</v>
      </c>
      <c r="G216">
        <v>18.899999999999999</v>
      </c>
      <c r="H216" t="s">
        <v>72</v>
      </c>
      <c r="I216">
        <v>1</v>
      </c>
      <c r="J216" t="s">
        <v>87</v>
      </c>
    </row>
    <row r="217" spans="1:10" x14ac:dyDescent="0.35">
      <c r="A217" s="4">
        <v>45820</v>
      </c>
      <c r="B217" t="s">
        <v>69</v>
      </c>
      <c r="C217">
        <v>62</v>
      </c>
      <c r="D217" t="s">
        <v>34</v>
      </c>
      <c r="E217" t="s">
        <v>87</v>
      </c>
      <c r="F217" t="s">
        <v>93</v>
      </c>
      <c r="G217">
        <f>28.7+13+25.8+5.5</f>
        <v>73</v>
      </c>
      <c r="H217" t="s">
        <v>72</v>
      </c>
      <c r="I217">
        <v>4</v>
      </c>
      <c r="J217" t="s">
        <v>87</v>
      </c>
    </row>
    <row r="218" spans="1:10" x14ac:dyDescent="0.35">
      <c r="A218" s="4">
        <v>45820</v>
      </c>
      <c r="B218" t="s">
        <v>69</v>
      </c>
      <c r="C218">
        <v>62</v>
      </c>
      <c r="D218" t="s">
        <v>34</v>
      </c>
      <c r="E218" t="s">
        <v>87</v>
      </c>
      <c r="F218" t="s">
        <v>93</v>
      </c>
      <c r="G218">
        <f>24+6.3+12.5+10.8+18.3+44.2+11.6</f>
        <v>127.69999999999999</v>
      </c>
      <c r="H218" t="s">
        <v>74</v>
      </c>
      <c r="I218">
        <v>7</v>
      </c>
      <c r="J218" t="s">
        <v>87</v>
      </c>
    </row>
    <row r="219" spans="1:10" x14ac:dyDescent="0.35">
      <c r="A219" s="4">
        <v>45820</v>
      </c>
      <c r="B219" t="s">
        <v>69</v>
      </c>
      <c r="C219">
        <v>62</v>
      </c>
      <c r="D219" t="s">
        <v>34</v>
      </c>
      <c r="E219" t="s">
        <v>87</v>
      </c>
      <c r="F219" t="s">
        <v>93</v>
      </c>
      <c r="G219">
        <f>7.9+9.8+8.3+7</f>
        <v>33</v>
      </c>
      <c r="H219" t="s">
        <v>72</v>
      </c>
      <c r="I219">
        <v>4</v>
      </c>
      <c r="J219" t="s">
        <v>87</v>
      </c>
    </row>
    <row r="220" spans="1:10" x14ac:dyDescent="0.35">
      <c r="A220" s="4">
        <v>45820</v>
      </c>
      <c r="B220" t="s">
        <v>69</v>
      </c>
      <c r="C220">
        <v>62</v>
      </c>
      <c r="D220" t="s">
        <v>34</v>
      </c>
      <c r="E220" t="s">
        <v>87</v>
      </c>
      <c r="F220" t="s">
        <v>92</v>
      </c>
      <c r="G220">
        <v>14.1</v>
      </c>
      <c r="H220" t="s">
        <v>72</v>
      </c>
      <c r="I220">
        <v>1</v>
      </c>
      <c r="J220" t="s">
        <v>87</v>
      </c>
    </row>
    <row r="221" spans="1:10" x14ac:dyDescent="0.35">
      <c r="A221" s="4">
        <v>45820</v>
      </c>
      <c r="B221" t="s">
        <v>69</v>
      </c>
      <c r="C221">
        <v>62</v>
      </c>
      <c r="D221" t="s">
        <v>34</v>
      </c>
      <c r="E221" t="s">
        <v>87</v>
      </c>
      <c r="F221" t="s">
        <v>93</v>
      </c>
      <c r="G221">
        <f>17.6+3.2+9.9</f>
        <v>30.700000000000003</v>
      </c>
      <c r="H221" t="s">
        <v>72</v>
      </c>
      <c r="I221">
        <v>3</v>
      </c>
      <c r="J221" t="s">
        <v>87</v>
      </c>
    </row>
    <row r="222" spans="1:10" x14ac:dyDescent="0.35">
      <c r="A222" s="4">
        <v>45820</v>
      </c>
      <c r="B222" t="s">
        <v>69</v>
      </c>
      <c r="C222">
        <v>62</v>
      </c>
      <c r="D222" t="s">
        <v>34</v>
      </c>
      <c r="E222" t="s">
        <v>87</v>
      </c>
      <c r="F222" t="s">
        <v>93</v>
      </c>
      <c r="G222">
        <v>12.7</v>
      </c>
      <c r="H222" t="s">
        <v>72</v>
      </c>
      <c r="I222">
        <v>1</v>
      </c>
      <c r="J222" t="s">
        <v>87</v>
      </c>
    </row>
    <row r="223" spans="1:10" x14ac:dyDescent="0.35">
      <c r="A223" s="4">
        <v>45820</v>
      </c>
      <c r="B223" t="s">
        <v>69</v>
      </c>
      <c r="C223">
        <v>62</v>
      </c>
      <c r="D223" t="s">
        <v>34</v>
      </c>
      <c r="E223" t="s">
        <v>87</v>
      </c>
      <c r="F223" t="s">
        <v>93</v>
      </c>
      <c r="G223">
        <v>20</v>
      </c>
      <c r="H223" t="s">
        <v>72</v>
      </c>
      <c r="I223">
        <v>1</v>
      </c>
      <c r="J223" t="s">
        <v>87</v>
      </c>
    </row>
    <row r="224" spans="1:10" x14ac:dyDescent="0.35">
      <c r="A224" s="4">
        <v>45820</v>
      </c>
      <c r="B224" t="s">
        <v>69</v>
      </c>
      <c r="C224">
        <v>62</v>
      </c>
      <c r="D224" t="s">
        <v>34</v>
      </c>
      <c r="E224" t="s">
        <v>87</v>
      </c>
      <c r="F224" t="s">
        <v>93</v>
      </c>
      <c r="G224">
        <f>5.8+11.9</f>
        <v>17.7</v>
      </c>
      <c r="H224" t="s">
        <v>72</v>
      </c>
      <c r="I224">
        <v>2</v>
      </c>
      <c r="J224" t="s">
        <v>87</v>
      </c>
    </row>
    <row r="225" spans="1:10" x14ac:dyDescent="0.35">
      <c r="A225" s="4">
        <v>45820</v>
      </c>
      <c r="B225" t="s">
        <v>69</v>
      </c>
      <c r="C225">
        <v>62</v>
      </c>
      <c r="D225" t="s">
        <v>36</v>
      </c>
      <c r="E225" t="s">
        <v>87</v>
      </c>
      <c r="F225" t="s">
        <v>93</v>
      </c>
      <c r="G225">
        <v>20.5</v>
      </c>
      <c r="H225" t="s">
        <v>72</v>
      </c>
      <c r="I225">
        <v>1</v>
      </c>
      <c r="J225" t="s">
        <v>87</v>
      </c>
    </row>
    <row r="226" spans="1:10" x14ac:dyDescent="0.35">
      <c r="A226" s="4">
        <v>45820</v>
      </c>
      <c r="B226" t="s">
        <v>69</v>
      </c>
      <c r="C226">
        <v>62</v>
      </c>
      <c r="D226" t="s">
        <v>36</v>
      </c>
      <c r="E226" t="s">
        <v>87</v>
      </c>
      <c r="F226" t="s">
        <v>93</v>
      </c>
      <c r="G226">
        <f>6.8+5.4+21.5</f>
        <v>33.700000000000003</v>
      </c>
      <c r="H226" t="s">
        <v>72</v>
      </c>
      <c r="I226">
        <v>3</v>
      </c>
      <c r="J226" t="s">
        <v>87</v>
      </c>
    </row>
    <row r="227" spans="1:10" x14ac:dyDescent="0.35">
      <c r="A227" s="4">
        <v>45820</v>
      </c>
      <c r="B227" t="s">
        <v>69</v>
      </c>
      <c r="C227">
        <v>62</v>
      </c>
      <c r="D227" t="s">
        <v>36</v>
      </c>
      <c r="E227" t="s">
        <v>87</v>
      </c>
      <c r="F227" t="s">
        <v>77</v>
      </c>
      <c r="G227">
        <v>25.2</v>
      </c>
      <c r="H227" t="s">
        <v>72</v>
      </c>
      <c r="I227">
        <v>1</v>
      </c>
      <c r="J227" t="s">
        <v>87</v>
      </c>
    </row>
    <row r="228" spans="1:10" x14ac:dyDescent="0.35">
      <c r="A228" s="4">
        <v>45820</v>
      </c>
      <c r="B228" t="s">
        <v>69</v>
      </c>
      <c r="C228">
        <v>62</v>
      </c>
      <c r="D228" t="s">
        <v>36</v>
      </c>
      <c r="E228" t="s">
        <v>87</v>
      </c>
      <c r="F228" t="s">
        <v>93</v>
      </c>
      <c r="G228">
        <v>21.7</v>
      </c>
      <c r="H228" t="s">
        <v>72</v>
      </c>
      <c r="I228">
        <v>1</v>
      </c>
      <c r="J228" t="s">
        <v>87</v>
      </c>
    </row>
    <row r="229" spans="1:10" x14ac:dyDescent="0.35">
      <c r="A229" s="4">
        <v>45820</v>
      </c>
      <c r="B229" t="s">
        <v>69</v>
      </c>
      <c r="C229">
        <v>62</v>
      </c>
      <c r="D229" t="s">
        <v>36</v>
      </c>
      <c r="E229" t="s">
        <v>87</v>
      </c>
      <c r="F229" t="s">
        <v>93</v>
      </c>
      <c r="G229">
        <v>19.100000000000001</v>
      </c>
      <c r="H229" t="s">
        <v>72</v>
      </c>
      <c r="I229">
        <v>1</v>
      </c>
      <c r="J229" t="s">
        <v>87</v>
      </c>
    </row>
    <row r="230" spans="1:10" x14ac:dyDescent="0.35">
      <c r="A230" s="4">
        <v>45820</v>
      </c>
      <c r="B230" t="s">
        <v>69</v>
      </c>
      <c r="C230">
        <v>62</v>
      </c>
      <c r="D230" t="s">
        <v>36</v>
      </c>
      <c r="E230" t="s">
        <v>87</v>
      </c>
      <c r="F230" t="s">
        <v>93</v>
      </c>
      <c r="G230">
        <v>15.7</v>
      </c>
      <c r="H230" t="s">
        <v>72</v>
      </c>
      <c r="I230">
        <v>1</v>
      </c>
      <c r="J230" t="s">
        <v>87</v>
      </c>
    </row>
    <row r="231" spans="1:10" x14ac:dyDescent="0.35">
      <c r="A231" s="4">
        <v>45820</v>
      </c>
      <c r="B231" t="s">
        <v>69</v>
      </c>
      <c r="C231">
        <v>62</v>
      </c>
      <c r="D231" t="s">
        <v>36</v>
      </c>
      <c r="E231" t="s">
        <v>87</v>
      </c>
      <c r="F231" t="s">
        <v>93</v>
      </c>
      <c r="G231">
        <v>15.8</v>
      </c>
      <c r="H231" t="s">
        <v>72</v>
      </c>
      <c r="I231">
        <v>1</v>
      </c>
      <c r="J231" t="s">
        <v>87</v>
      </c>
    </row>
    <row r="232" spans="1:10" x14ac:dyDescent="0.35">
      <c r="A232" s="4">
        <v>45820</v>
      </c>
      <c r="B232" t="s">
        <v>69</v>
      </c>
      <c r="C232">
        <v>62</v>
      </c>
      <c r="D232" t="s">
        <v>36</v>
      </c>
      <c r="E232" t="s">
        <v>87</v>
      </c>
      <c r="F232" t="s">
        <v>93</v>
      </c>
      <c r="G232">
        <v>14.2</v>
      </c>
      <c r="H232" t="s">
        <v>72</v>
      </c>
      <c r="I232">
        <v>1</v>
      </c>
      <c r="J232" t="s">
        <v>70</v>
      </c>
    </row>
    <row r="233" spans="1:10" x14ac:dyDescent="0.35">
      <c r="A233" s="4">
        <v>45820</v>
      </c>
      <c r="B233" t="s">
        <v>69</v>
      </c>
      <c r="C233">
        <v>62</v>
      </c>
      <c r="D233" t="s">
        <v>36</v>
      </c>
      <c r="E233" t="s">
        <v>87</v>
      </c>
      <c r="F233" t="s">
        <v>93</v>
      </c>
      <c r="G233">
        <v>15.7</v>
      </c>
      <c r="H233" t="s">
        <v>72</v>
      </c>
      <c r="I233">
        <v>1</v>
      </c>
      <c r="J233" t="s">
        <v>87</v>
      </c>
    </row>
    <row r="234" spans="1:10" x14ac:dyDescent="0.35">
      <c r="A234" s="4">
        <v>45820</v>
      </c>
      <c r="B234" t="s">
        <v>69</v>
      </c>
      <c r="C234">
        <v>62</v>
      </c>
      <c r="D234" t="s">
        <v>36</v>
      </c>
      <c r="E234" t="s">
        <v>87</v>
      </c>
      <c r="F234" t="s">
        <v>93</v>
      </c>
      <c r="G234">
        <v>30.7</v>
      </c>
      <c r="H234" t="s">
        <v>72</v>
      </c>
      <c r="I234">
        <v>1</v>
      </c>
      <c r="J234" t="s">
        <v>70</v>
      </c>
    </row>
    <row r="235" spans="1:10" x14ac:dyDescent="0.35">
      <c r="A235" s="4">
        <v>45820</v>
      </c>
      <c r="B235" t="s">
        <v>69</v>
      </c>
      <c r="C235">
        <v>62</v>
      </c>
      <c r="D235" t="s">
        <v>37</v>
      </c>
      <c r="E235" t="s">
        <v>87</v>
      </c>
      <c r="F235" t="s">
        <v>92</v>
      </c>
      <c r="G235">
        <v>22.9</v>
      </c>
      <c r="H235" t="s">
        <v>72</v>
      </c>
      <c r="I235">
        <v>1</v>
      </c>
      <c r="J235" t="s">
        <v>87</v>
      </c>
    </row>
    <row r="236" spans="1:10" x14ac:dyDescent="0.35">
      <c r="A236" s="4">
        <v>45820</v>
      </c>
      <c r="B236" t="s">
        <v>69</v>
      </c>
      <c r="C236">
        <v>62</v>
      </c>
      <c r="D236" t="s">
        <v>37</v>
      </c>
      <c r="E236" t="s">
        <v>87</v>
      </c>
      <c r="F236" t="s">
        <v>93</v>
      </c>
      <c r="G236">
        <f>16.3+4.7</f>
        <v>21</v>
      </c>
      <c r="H236" t="s">
        <v>72</v>
      </c>
      <c r="I236">
        <v>2</v>
      </c>
      <c r="J236" t="s">
        <v>87</v>
      </c>
    </row>
    <row r="237" spans="1:10" x14ac:dyDescent="0.35">
      <c r="A237" s="4">
        <v>45820</v>
      </c>
      <c r="B237" t="s">
        <v>69</v>
      </c>
      <c r="C237">
        <v>62</v>
      </c>
      <c r="D237" t="s">
        <v>37</v>
      </c>
      <c r="E237" t="s">
        <v>87</v>
      </c>
      <c r="F237" t="s">
        <v>93</v>
      </c>
      <c r="G237">
        <f>14.7+12.8+12.7</f>
        <v>40.200000000000003</v>
      </c>
      <c r="H237" t="s">
        <v>72</v>
      </c>
      <c r="I237">
        <v>3</v>
      </c>
      <c r="J237" t="s">
        <v>87</v>
      </c>
    </row>
    <row r="238" spans="1:10" x14ac:dyDescent="0.35">
      <c r="A238" s="4">
        <v>45820</v>
      </c>
      <c r="B238" t="s">
        <v>69</v>
      </c>
      <c r="C238">
        <v>62</v>
      </c>
      <c r="D238" t="s">
        <v>37</v>
      </c>
      <c r="E238" t="s">
        <v>87</v>
      </c>
      <c r="F238" t="s">
        <v>90</v>
      </c>
      <c r="G238">
        <v>18.100000000000001</v>
      </c>
      <c r="H238" t="s">
        <v>74</v>
      </c>
      <c r="I238">
        <v>1</v>
      </c>
      <c r="J238" t="s">
        <v>87</v>
      </c>
    </row>
    <row r="239" spans="1:10" x14ac:dyDescent="0.35">
      <c r="A239" s="4">
        <v>45820</v>
      </c>
      <c r="B239" t="s">
        <v>69</v>
      </c>
      <c r="C239">
        <v>62</v>
      </c>
      <c r="D239" t="s">
        <v>37</v>
      </c>
      <c r="E239" t="s">
        <v>87</v>
      </c>
      <c r="F239" t="s">
        <v>77</v>
      </c>
      <c r="G239">
        <v>13.6</v>
      </c>
      <c r="H239" t="s">
        <v>72</v>
      </c>
      <c r="I239">
        <v>1</v>
      </c>
      <c r="J239" t="s">
        <v>87</v>
      </c>
    </row>
    <row r="240" spans="1:10" x14ac:dyDescent="0.35">
      <c r="A240" s="4">
        <v>45820</v>
      </c>
      <c r="B240" t="s">
        <v>69</v>
      </c>
      <c r="C240">
        <v>62</v>
      </c>
      <c r="D240" t="s">
        <v>37</v>
      </c>
      <c r="E240" t="s">
        <v>87</v>
      </c>
      <c r="F240" t="s">
        <v>79</v>
      </c>
      <c r="G240">
        <f>20.5+28.1</f>
        <v>48.6</v>
      </c>
      <c r="H240" t="s">
        <v>74</v>
      </c>
      <c r="I240">
        <v>2</v>
      </c>
      <c r="J240" t="s">
        <v>87</v>
      </c>
    </row>
    <row r="241" spans="1:12" x14ac:dyDescent="0.35">
      <c r="A241" s="4">
        <v>45820</v>
      </c>
      <c r="B241" t="s">
        <v>69</v>
      </c>
      <c r="C241">
        <v>62</v>
      </c>
      <c r="D241" t="s">
        <v>37</v>
      </c>
      <c r="E241" t="s">
        <v>87</v>
      </c>
      <c r="F241" t="s">
        <v>93</v>
      </c>
      <c r="G241">
        <f>18.7+4.4</f>
        <v>23.1</v>
      </c>
      <c r="H241" t="s">
        <v>72</v>
      </c>
      <c r="I241">
        <v>2</v>
      </c>
      <c r="J241" t="s">
        <v>87</v>
      </c>
    </row>
    <row r="242" spans="1:12" x14ac:dyDescent="0.35">
      <c r="A242" s="4">
        <v>45820</v>
      </c>
      <c r="B242" t="s">
        <v>69</v>
      </c>
      <c r="C242">
        <v>62</v>
      </c>
      <c r="D242" t="s">
        <v>37</v>
      </c>
      <c r="E242" t="s">
        <v>87</v>
      </c>
      <c r="F242" t="s">
        <v>93</v>
      </c>
      <c r="G242">
        <v>27.5</v>
      </c>
      <c r="H242" t="s">
        <v>72</v>
      </c>
      <c r="I242">
        <v>1</v>
      </c>
      <c r="J242" t="s">
        <v>87</v>
      </c>
    </row>
    <row r="243" spans="1:12" x14ac:dyDescent="0.35">
      <c r="A243" s="4">
        <v>45820</v>
      </c>
      <c r="B243" t="s">
        <v>69</v>
      </c>
      <c r="C243">
        <v>62</v>
      </c>
      <c r="D243" t="s">
        <v>37</v>
      </c>
      <c r="E243" t="s">
        <v>87</v>
      </c>
      <c r="F243" t="s">
        <v>93</v>
      </c>
      <c r="G243">
        <f>8.3+13.8</f>
        <v>22.1</v>
      </c>
      <c r="H243" t="s">
        <v>72</v>
      </c>
      <c r="I243">
        <v>2</v>
      </c>
      <c r="J243" t="s">
        <v>87</v>
      </c>
    </row>
    <row r="244" spans="1:12" x14ac:dyDescent="0.35">
      <c r="A244" s="4">
        <v>45820</v>
      </c>
      <c r="B244" t="s">
        <v>69</v>
      </c>
      <c r="C244">
        <v>62</v>
      </c>
      <c r="D244" t="s">
        <v>37</v>
      </c>
      <c r="E244" t="s">
        <v>87</v>
      </c>
      <c r="F244" t="s">
        <v>93</v>
      </c>
      <c r="G244">
        <f>8.8+11.4</f>
        <v>20.200000000000003</v>
      </c>
      <c r="H244" t="s">
        <v>72</v>
      </c>
      <c r="I244">
        <v>2</v>
      </c>
      <c r="J244" t="s">
        <v>87</v>
      </c>
    </row>
    <row r="245" spans="1:12" x14ac:dyDescent="0.35">
      <c r="A245" s="4">
        <v>45820</v>
      </c>
      <c r="B245" t="s">
        <v>69</v>
      </c>
      <c r="C245">
        <v>62</v>
      </c>
      <c r="D245" t="s">
        <v>37</v>
      </c>
      <c r="E245" t="s">
        <v>87</v>
      </c>
      <c r="F245" t="s">
        <v>93</v>
      </c>
      <c r="G245">
        <f>18.5+9.1</f>
        <v>27.6</v>
      </c>
      <c r="H245" t="s">
        <v>72</v>
      </c>
      <c r="I245">
        <v>2</v>
      </c>
      <c r="J245" t="s">
        <v>87</v>
      </c>
    </row>
    <row r="246" spans="1:12" x14ac:dyDescent="0.35">
      <c r="A246" s="4">
        <v>45820</v>
      </c>
      <c r="B246" t="s">
        <v>69</v>
      </c>
      <c r="C246">
        <v>62</v>
      </c>
      <c r="D246" t="s">
        <v>37</v>
      </c>
      <c r="E246" t="s">
        <v>87</v>
      </c>
      <c r="F246" t="s">
        <v>93</v>
      </c>
      <c r="G246">
        <v>19</v>
      </c>
      <c r="H246" t="s">
        <v>72</v>
      </c>
      <c r="I246">
        <v>1</v>
      </c>
      <c r="J246" t="s">
        <v>87</v>
      </c>
    </row>
    <row r="247" spans="1:12" x14ac:dyDescent="0.35">
      <c r="A247" s="4">
        <v>45820</v>
      </c>
      <c r="B247" t="s">
        <v>69</v>
      </c>
      <c r="C247">
        <v>62</v>
      </c>
      <c r="D247" t="s">
        <v>37</v>
      </c>
      <c r="E247" t="s">
        <v>87</v>
      </c>
      <c r="F247" t="s">
        <v>93</v>
      </c>
      <c r="G247">
        <v>16.399999999999999</v>
      </c>
      <c r="H247" t="s">
        <v>72</v>
      </c>
      <c r="I247">
        <v>1</v>
      </c>
      <c r="J247" t="s">
        <v>87</v>
      </c>
    </row>
    <row r="248" spans="1:12" x14ac:dyDescent="0.35">
      <c r="A248" s="4">
        <v>45820</v>
      </c>
      <c r="B248" t="s">
        <v>69</v>
      </c>
      <c r="C248">
        <v>62</v>
      </c>
      <c r="D248" t="s">
        <v>37</v>
      </c>
      <c r="E248" t="s">
        <v>87</v>
      </c>
      <c r="F248" t="s">
        <v>86</v>
      </c>
      <c r="G248">
        <v>19.100000000000001</v>
      </c>
      <c r="H248" t="s">
        <v>74</v>
      </c>
      <c r="I248">
        <v>1</v>
      </c>
      <c r="J248" t="s">
        <v>87</v>
      </c>
    </row>
    <row r="249" spans="1:12" x14ac:dyDescent="0.35">
      <c r="A249" s="4">
        <v>45820</v>
      </c>
      <c r="B249" t="s">
        <v>69</v>
      </c>
      <c r="C249">
        <v>62</v>
      </c>
      <c r="D249" t="s">
        <v>37</v>
      </c>
      <c r="E249" t="s">
        <v>87</v>
      </c>
      <c r="F249" t="s">
        <v>93</v>
      </c>
      <c r="G249">
        <v>15.2</v>
      </c>
      <c r="H249" t="s">
        <v>72</v>
      </c>
      <c r="I249">
        <v>1</v>
      </c>
      <c r="J249" t="s">
        <v>87</v>
      </c>
    </row>
    <row r="250" spans="1:12" x14ac:dyDescent="0.35">
      <c r="A250" s="5">
        <v>45820</v>
      </c>
      <c r="B250" s="6" t="s">
        <v>69</v>
      </c>
      <c r="C250" s="6">
        <v>63</v>
      </c>
      <c r="D250" s="6" t="s">
        <v>32</v>
      </c>
      <c r="E250" s="6" t="s">
        <v>70</v>
      </c>
      <c r="F250" s="6" t="s">
        <v>71</v>
      </c>
      <c r="G250" s="6">
        <v>2.9</v>
      </c>
      <c r="H250" s="6" t="s">
        <v>72</v>
      </c>
      <c r="I250" s="6">
        <v>1</v>
      </c>
      <c r="J250" s="6" t="s">
        <v>87</v>
      </c>
      <c r="K250" s="6"/>
      <c r="L250" s="6"/>
    </row>
    <row r="251" spans="1:12" x14ac:dyDescent="0.35">
      <c r="A251" s="4">
        <v>45820</v>
      </c>
      <c r="B251" t="s">
        <v>69</v>
      </c>
      <c r="C251">
        <v>63</v>
      </c>
      <c r="D251" t="s">
        <v>32</v>
      </c>
      <c r="E251" t="s">
        <v>70</v>
      </c>
      <c r="F251" t="s">
        <v>73</v>
      </c>
      <c r="G251">
        <v>135.1</v>
      </c>
      <c r="H251" t="s">
        <v>72</v>
      </c>
      <c r="I251">
        <v>7</v>
      </c>
      <c r="J251" t="s">
        <v>87</v>
      </c>
    </row>
    <row r="252" spans="1:12" x14ac:dyDescent="0.35">
      <c r="A252" s="4">
        <v>45820</v>
      </c>
      <c r="B252" t="s">
        <v>69</v>
      </c>
      <c r="C252">
        <v>63</v>
      </c>
      <c r="D252" t="s">
        <v>32</v>
      </c>
      <c r="E252" t="s">
        <v>70</v>
      </c>
      <c r="F252" t="s">
        <v>73</v>
      </c>
      <c r="G252">
        <v>22.2</v>
      </c>
      <c r="H252" t="s">
        <v>74</v>
      </c>
      <c r="I252">
        <v>1</v>
      </c>
      <c r="J252" t="s">
        <v>87</v>
      </c>
    </row>
    <row r="253" spans="1:12" x14ac:dyDescent="0.35">
      <c r="A253" s="4">
        <v>45820</v>
      </c>
      <c r="B253" t="s">
        <v>69</v>
      </c>
      <c r="C253">
        <v>63</v>
      </c>
      <c r="D253" t="s">
        <v>32</v>
      </c>
      <c r="E253" t="s">
        <v>70</v>
      </c>
      <c r="F253" t="s">
        <v>75</v>
      </c>
      <c r="G253">
        <v>4.4000000000000004</v>
      </c>
      <c r="H253" t="s">
        <v>72</v>
      </c>
      <c r="I253">
        <v>1</v>
      </c>
      <c r="J253" t="s">
        <v>87</v>
      </c>
      <c r="K253">
        <v>1</v>
      </c>
      <c r="L253" t="s">
        <v>76</v>
      </c>
    </row>
    <row r="254" spans="1:12" x14ac:dyDescent="0.35">
      <c r="A254" s="4">
        <v>45820</v>
      </c>
      <c r="B254" t="s">
        <v>69</v>
      </c>
      <c r="C254">
        <v>63</v>
      </c>
      <c r="D254" t="s">
        <v>32</v>
      </c>
      <c r="E254" t="s">
        <v>70</v>
      </c>
      <c r="F254" t="s">
        <v>75</v>
      </c>
      <c r="G254">
        <v>4.0999999999999996</v>
      </c>
      <c r="H254" t="s">
        <v>72</v>
      </c>
      <c r="I254">
        <v>1</v>
      </c>
      <c r="J254" t="s">
        <v>87</v>
      </c>
      <c r="K254">
        <v>1</v>
      </c>
    </row>
    <row r="255" spans="1:12" x14ac:dyDescent="0.35">
      <c r="A255" s="4">
        <v>45820</v>
      </c>
      <c r="B255" t="s">
        <v>69</v>
      </c>
      <c r="C255">
        <v>63</v>
      </c>
      <c r="D255" t="s">
        <v>32</v>
      </c>
      <c r="E255" t="s">
        <v>70</v>
      </c>
      <c r="F255" t="s">
        <v>77</v>
      </c>
      <c r="G255">
        <v>15.7</v>
      </c>
      <c r="H255" t="s">
        <v>72</v>
      </c>
      <c r="I255">
        <v>1</v>
      </c>
      <c r="J255" t="s">
        <v>70</v>
      </c>
    </row>
    <row r="256" spans="1:12" x14ac:dyDescent="0.35">
      <c r="A256" s="4">
        <v>45820</v>
      </c>
      <c r="B256" t="s">
        <v>69</v>
      </c>
      <c r="C256">
        <v>63</v>
      </c>
      <c r="D256" t="s">
        <v>32</v>
      </c>
      <c r="E256" t="s">
        <v>70</v>
      </c>
      <c r="F256" t="s">
        <v>77</v>
      </c>
      <c r="G256">
        <v>9</v>
      </c>
      <c r="H256" t="s">
        <v>72</v>
      </c>
      <c r="I256">
        <v>1</v>
      </c>
      <c r="J256" t="s">
        <v>70</v>
      </c>
    </row>
    <row r="257" spans="1:11" x14ac:dyDescent="0.35">
      <c r="A257" s="4">
        <v>45820</v>
      </c>
      <c r="B257" t="s">
        <v>69</v>
      </c>
      <c r="C257">
        <v>63</v>
      </c>
      <c r="D257" t="s">
        <v>32</v>
      </c>
      <c r="E257" t="s">
        <v>70</v>
      </c>
      <c r="F257" t="s">
        <v>75</v>
      </c>
      <c r="G257">
        <v>3.8</v>
      </c>
      <c r="H257" t="s">
        <v>72</v>
      </c>
      <c r="I257">
        <v>1</v>
      </c>
      <c r="J257" t="s">
        <v>87</v>
      </c>
      <c r="K257">
        <v>1</v>
      </c>
    </row>
    <row r="258" spans="1:11" x14ac:dyDescent="0.35">
      <c r="A258" s="4">
        <v>45820</v>
      </c>
      <c r="B258" t="s">
        <v>69</v>
      </c>
      <c r="C258">
        <v>63</v>
      </c>
      <c r="D258" t="s">
        <v>32</v>
      </c>
      <c r="E258" t="s">
        <v>70</v>
      </c>
      <c r="F258" t="s">
        <v>78</v>
      </c>
      <c r="G258">
        <v>6</v>
      </c>
      <c r="H258" t="s">
        <v>72</v>
      </c>
      <c r="I258">
        <v>1</v>
      </c>
      <c r="J258" t="s">
        <v>87</v>
      </c>
      <c r="K258">
        <v>1</v>
      </c>
    </row>
    <row r="259" spans="1:11" x14ac:dyDescent="0.35">
      <c r="A259" s="4">
        <v>45820</v>
      </c>
      <c r="B259" t="s">
        <v>69</v>
      </c>
      <c r="C259">
        <v>63</v>
      </c>
      <c r="D259" t="s">
        <v>32</v>
      </c>
      <c r="E259" t="s">
        <v>70</v>
      </c>
      <c r="F259" t="s">
        <v>71</v>
      </c>
      <c r="G259">
        <v>3.3</v>
      </c>
      <c r="H259" t="s">
        <v>74</v>
      </c>
      <c r="I259">
        <v>1</v>
      </c>
      <c r="J259" t="s">
        <v>87</v>
      </c>
    </row>
    <row r="260" spans="1:11" x14ac:dyDescent="0.35">
      <c r="A260" s="4">
        <v>45820</v>
      </c>
      <c r="B260" t="s">
        <v>69</v>
      </c>
      <c r="C260">
        <v>63</v>
      </c>
      <c r="D260" t="s">
        <v>32</v>
      </c>
      <c r="E260" t="s">
        <v>70</v>
      </c>
      <c r="F260" t="s">
        <v>75</v>
      </c>
      <c r="G260">
        <v>2.9</v>
      </c>
      <c r="H260" t="s">
        <v>72</v>
      </c>
      <c r="I260">
        <v>1</v>
      </c>
      <c r="J260" t="s">
        <v>87</v>
      </c>
      <c r="K260">
        <v>1</v>
      </c>
    </row>
    <row r="261" spans="1:11" x14ac:dyDescent="0.35">
      <c r="A261" s="4">
        <v>45820</v>
      </c>
      <c r="B261" t="s">
        <v>69</v>
      </c>
      <c r="C261">
        <v>63</v>
      </c>
      <c r="D261" t="s">
        <v>32</v>
      </c>
      <c r="E261" t="s">
        <v>70</v>
      </c>
      <c r="F261" t="s">
        <v>71</v>
      </c>
      <c r="G261">
        <v>4.4000000000000004</v>
      </c>
      <c r="H261" t="s">
        <v>72</v>
      </c>
      <c r="I261">
        <v>2</v>
      </c>
      <c r="J261" t="s">
        <v>87</v>
      </c>
    </row>
    <row r="262" spans="1:11" x14ac:dyDescent="0.35">
      <c r="A262" s="4">
        <v>45820</v>
      </c>
      <c r="B262" t="s">
        <v>69</v>
      </c>
      <c r="C262">
        <v>63</v>
      </c>
      <c r="D262" t="s">
        <v>32</v>
      </c>
      <c r="E262" t="s">
        <v>70</v>
      </c>
      <c r="F262" t="s">
        <v>71</v>
      </c>
      <c r="G262">
        <v>7.1</v>
      </c>
      <c r="H262" t="s">
        <v>74</v>
      </c>
      <c r="I262">
        <v>3</v>
      </c>
      <c r="J262" t="s">
        <v>87</v>
      </c>
    </row>
    <row r="263" spans="1:11" x14ac:dyDescent="0.35">
      <c r="A263" s="4">
        <v>45820</v>
      </c>
      <c r="B263" t="s">
        <v>69</v>
      </c>
      <c r="C263">
        <v>63</v>
      </c>
      <c r="D263" t="s">
        <v>32</v>
      </c>
      <c r="E263" t="s">
        <v>70</v>
      </c>
      <c r="F263" t="s">
        <v>71</v>
      </c>
      <c r="G263">
        <v>3.1</v>
      </c>
      <c r="H263" t="s">
        <v>72</v>
      </c>
      <c r="I263">
        <v>2</v>
      </c>
      <c r="J263" t="s">
        <v>70</v>
      </c>
    </row>
    <row r="264" spans="1:11" x14ac:dyDescent="0.35">
      <c r="A264" s="4">
        <v>45820</v>
      </c>
      <c r="B264" t="s">
        <v>69</v>
      </c>
      <c r="C264">
        <v>63</v>
      </c>
      <c r="D264" t="s">
        <v>32</v>
      </c>
      <c r="E264" t="s">
        <v>70</v>
      </c>
      <c r="F264" t="s">
        <v>71</v>
      </c>
      <c r="G264">
        <v>5.6</v>
      </c>
      <c r="H264" t="s">
        <v>74</v>
      </c>
      <c r="I264">
        <v>1</v>
      </c>
      <c r="J264" t="s">
        <v>87</v>
      </c>
    </row>
    <row r="265" spans="1:11" x14ac:dyDescent="0.35">
      <c r="A265" s="4">
        <v>45820</v>
      </c>
      <c r="B265" t="s">
        <v>69</v>
      </c>
      <c r="C265">
        <v>63</v>
      </c>
      <c r="D265" t="s">
        <v>32</v>
      </c>
      <c r="E265" t="s">
        <v>70</v>
      </c>
      <c r="F265" t="s">
        <v>73</v>
      </c>
      <c r="G265">
        <v>11.7</v>
      </c>
      <c r="H265" t="s">
        <v>72</v>
      </c>
      <c r="I265">
        <v>1</v>
      </c>
      <c r="J265" t="s">
        <v>87</v>
      </c>
    </row>
    <row r="266" spans="1:11" x14ac:dyDescent="0.35">
      <c r="A266" s="4">
        <v>45820</v>
      </c>
      <c r="B266" t="s">
        <v>69</v>
      </c>
      <c r="C266">
        <v>63</v>
      </c>
      <c r="D266" t="s">
        <v>32</v>
      </c>
      <c r="E266" t="s">
        <v>70</v>
      </c>
      <c r="F266" t="s">
        <v>71</v>
      </c>
      <c r="G266">
        <v>2.5</v>
      </c>
      <c r="H266" t="s">
        <v>74</v>
      </c>
      <c r="I266">
        <v>1</v>
      </c>
      <c r="J266" t="s">
        <v>87</v>
      </c>
    </row>
    <row r="267" spans="1:11" x14ac:dyDescent="0.35">
      <c r="A267" s="4">
        <v>45820</v>
      </c>
      <c r="B267" t="s">
        <v>69</v>
      </c>
      <c r="C267">
        <v>63</v>
      </c>
      <c r="D267" t="s">
        <v>32</v>
      </c>
      <c r="E267" t="s">
        <v>70</v>
      </c>
      <c r="F267" t="s">
        <v>75</v>
      </c>
      <c r="G267">
        <v>4.2</v>
      </c>
      <c r="H267" t="s">
        <v>72</v>
      </c>
      <c r="I267">
        <v>1</v>
      </c>
      <c r="J267" t="s">
        <v>87</v>
      </c>
      <c r="K267">
        <v>1</v>
      </c>
    </row>
    <row r="268" spans="1:11" x14ac:dyDescent="0.35">
      <c r="A268" s="4">
        <v>45820</v>
      </c>
      <c r="B268" t="s">
        <v>69</v>
      </c>
      <c r="C268">
        <v>63</v>
      </c>
      <c r="D268" t="s">
        <v>32</v>
      </c>
      <c r="E268" t="s">
        <v>70</v>
      </c>
      <c r="F268" t="s">
        <v>75</v>
      </c>
      <c r="G268">
        <v>8.1</v>
      </c>
      <c r="H268" t="s">
        <v>72</v>
      </c>
      <c r="I268">
        <v>2</v>
      </c>
      <c r="J268" t="s">
        <v>87</v>
      </c>
      <c r="K268">
        <v>1</v>
      </c>
    </row>
    <row r="269" spans="1:11" x14ac:dyDescent="0.35">
      <c r="A269" s="4">
        <v>45820</v>
      </c>
      <c r="B269" t="s">
        <v>69</v>
      </c>
      <c r="C269">
        <v>63</v>
      </c>
      <c r="D269" t="s">
        <v>34</v>
      </c>
      <c r="E269" t="s">
        <v>70</v>
      </c>
      <c r="F269" t="s">
        <v>79</v>
      </c>
      <c r="G269">
        <v>8.6999999999999993</v>
      </c>
      <c r="H269" t="s">
        <v>74</v>
      </c>
      <c r="I269">
        <v>1</v>
      </c>
      <c r="J269" t="s">
        <v>87</v>
      </c>
      <c r="K269">
        <v>5</v>
      </c>
    </row>
    <row r="270" spans="1:11" x14ac:dyDescent="0.35">
      <c r="A270" s="4">
        <v>45820</v>
      </c>
      <c r="B270" t="s">
        <v>69</v>
      </c>
      <c r="C270">
        <v>63</v>
      </c>
      <c r="D270" t="s">
        <v>34</v>
      </c>
      <c r="E270" t="s">
        <v>70</v>
      </c>
      <c r="F270" t="s">
        <v>71</v>
      </c>
      <c r="G270">
        <v>2.6</v>
      </c>
      <c r="H270" t="s">
        <v>74</v>
      </c>
      <c r="I270">
        <v>1</v>
      </c>
      <c r="J270" t="s">
        <v>87</v>
      </c>
    </row>
    <row r="271" spans="1:11" x14ac:dyDescent="0.35">
      <c r="A271" s="4">
        <v>45820</v>
      </c>
      <c r="B271" t="s">
        <v>69</v>
      </c>
      <c r="C271">
        <v>63</v>
      </c>
      <c r="D271" t="s">
        <v>34</v>
      </c>
      <c r="E271" t="s">
        <v>70</v>
      </c>
      <c r="F271" t="s">
        <v>75</v>
      </c>
      <c r="G271">
        <v>2.8</v>
      </c>
      <c r="H271" t="s">
        <v>72</v>
      </c>
      <c r="I271">
        <v>1</v>
      </c>
      <c r="J271" t="s">
        <v>87</v>
      </c>
      <c r="K271">
        <v>1</v>
      </c>
    </row>
    <row r="272" spans="1:11" x14ac:dyDescent="0.35">
      <c r="A272" s="4">
        <v>45820</v>
      </c>
      <c r="B272" t="s">
        <v>69</v>
      </c>
      <c r="C272">
        <v>63</v>
      </c>
      <c r="D272" t="s">
        <v>34</v>
      </c>
      <c r="E272" t="s">
        <v>70</v>
      </c>
      <c r="F272" t="s">
        <v>75</v>
      </c>
      <c r="G272">
        <v>2.9</v>
      </c>
      <c r="H272" t="s">
        <v>72</v>
      </c>
      <c r="I272">
        <v>1</v>
      </c>
      <c r="J272" t="s">
        <v>87</v>
      </c>
      <c r="K272">
        <v>1</v>
      </c>
    </row>
    <row r="273" spans="1:12" x14ac:dyDescent="0.35">
      <c r="A273" s="4">
        <v>45820</v>
      </c>
      <c r="B273" t="s">
        <v>69</v>
      </c>
      <c r="C273">
        <v>63</v>
      </c>
      <c r="D273" t="s">
        <v>34</v>
      </c>
      <c r="E273" t="s">
        <v>70</v>
      </c>
      <c r="F273" t="s">
        <v>75</v>
      </c>
      <c r="G273">
        <v>4.0999999999999996</v>
      </c>
      <c r="H273" t="s">
        <v>72</v>
      </c>
      <c r="I273">
        <v>1</v>
      </c>
      <c r="J273" t="s">
        <v>87</v>
      </c>
      <c r="K273">
        <v>1</v>
      </c>
    </row>
    <row r="274" spans="1:12" x14ac:dyDescent="0.35">
      <c r="A274" s="4">
        <v>45820</v>
      </c>
      <c r="B274" t="s">
        <v>69</v>
      </c>
      <c r="C274">
        <v>63</v>
      </c>
      <c r="D274" t="s">
        <v>34</v>
      </c>
      <c r="E274" t="s">
        <v>70</v>
      </c>
      <c r="F274" t="s">
        <v>75</v>
      </c>
      <c r="G274">
        <v>3.7</v>
      </c>
      <c r="H274" t="s">
        <v>72</v>
      </c>
      <c r="I274">
        <v>1</v>
      </c>
      <c r="J274" t="s">
        <v>87</v>
      </c>
      <c r="K274">
        <v>1</v>
      </c>
    </row>
    <row r="275" spans="1:12" x14ac:dyDescent="0.35">
      <c r="A275" s="4">
        <v>45820</v>
      </c>
      <c r="B275" t="s">
        <v>69</v>
      </c>
      <c r="C275">
        <v>63</v>
      </c>
      <c r="D275" t="s">
        <v>34</v>
      </c>
      <c r="E275" t="s">
        <v>70</v>
      </c>
      <c r="F275" t="s">
        <v>75</v>
      </c>
      <c r="G275">
        <v>6.6</v>
      </c>
      <c r="H275" t="s">
        <v>72</v>
      </c>
      <c r="I275">
        <v>1</v>
      </c>
      <c r="J275" t="s">
        <v>87</v>
      </c>
      <c r="K275">
        <v>1</v>
      </c>
    </row>
    <row r="276" spans="1:12" x14ac:dyDescent="0.35">
      <c r="A276" s="4">
        <v>45820</v>
      </c>
      <c r="B276" t="s">
        <v>69</v>
      </c>
      <c r="C276">
        <v>63</v>
      </c>
      <c r="D276" t="s">
        <v>34</v>
      </c>
      <c r="E276" t="s">
        <v>70</v>
      </c>
      <c r="F276" t="s">
        <v>75</v>
      </c>
      <c r="G276">
        <v>7.3</v>
      </c>
      <c r="H276" t="s">
        <v>72</v>
      </c>
      <c r="I276">
        <v>2</v>
      </c>
      <c r="J276" t="s">
        <v>87</v>
      </c>
      <c r="K276">
        <v>1</v>
      </c>
    </row>
    <row r="277" spans="1:12" x14ac:dyDescent="0.35">
      <c r="A277" s="4">
        <v>45820</v>
      </c>
      <c r="B277" t="s">
        <v>69</v>
      </c>
      <c r="C277">
        <v>63</v>
      </c>
      <c r="D277" t="s">
        <v>34</v>
      </c>
      <c r="E277" t="s">
        <v>70</v>
      </c>
      <c r="F277" t="s">
        <v>71</v>
      </c>
      <c r="G277">
        <v>4.5</v>
      </c>
      <c r="H277" t="s">
        <v>72</v>
      </c>
      <c r="I277">
        <v>1</v>
      </c>
      <c r="J277" t="s">
        <v>87</v>
      </c>
    </row>
    <row r="278" spans="1:12" x14ac:dyDescent="0.35">
      <c r="A278" s="4">
        <v>45820</v>
      </c>
      <c r="B278" t="s">
        <v>69</v>
      </c>
      <c r="C278">
        <v>63</v>
      </c>
      <c r="D278" t="s">
        <v>34</v>
      </c>
      <c r="E278" t="s">
        <v>70</v>
      </c>
      <c r="F278" t="s">
        <v>73</v>
      </c>
      <c r="G278">
        <v>26</v>
      </c>
      <c r="H278" t="s">
        <v>72</v>
      </c>
      <c r="I278">
        <v>1</v>
      </c>
      <c r="J278" t="s">
        <v>87</v>
      </c>
    </row>
    <row r="279" spans="1:12" x14ac:dyDescent="0.35">
      <c r="A279" s="4">
        <v>45820</v>
      </c>
      <c r="B279" t="s">
        <v>69</v>
      </c>
      <c r="C279">
        <v>63</v>
      </c>
      <c r="D279" t="s">
        <v>34</v>
      </c>
      <c r="E279" t="s">
        <v>70</v>
      </c>
      <c r="F279" t="s">
        <v>75</v>
      </c>
      <c r="G279">
        <v>3.9</v>
      </c>
      <c r="H279" t="s">
        <v>72</v>
      </c>
      <c r="I279">
        <v>1</v>
      </c>
      <c r="J279" t="s">
        <v>70</v>
      </c>
      <c r="K279">
        <v>2</v>
      </c>
    </row>
    <row r="280" spans="1:12" x14ac:dyDescent="0.35">
      <c r="A280" s="4">
        <v>45820</v>
      </c>
      <c r="B280" t="s">
        <v>69</v>
      </c>
      <c r="C280">
        <v>63</v>
      </c>
      <c r="D280" t="s">
        <v>34</v>
      </c>
      <c r="E280" t="s">
        <v>70</v>
      </c>
      <c r="F280" t="s">
        <v>75</v>
      </c>
      <c r="G280">
        <v>4.5999999999999996</v>
      </c>
      <c r="H280" t="s">
        <v>72</v>
      </c>
      <c r="I280">
        <v>1</v>
      </c>
      <c r="J280" t="s">
        <v>70</v>
      </c>
      <c r="K280">
        <v>2</v>
      </c>
    </row>
    <row r="281" spans="1:12" x14ac:dyDescent="0.35">
      <c r="A281" s="4">
        <v>45820</v>
      </c>
      <c r="B281" t="s">
        <v>69</v>
      </c>
      <c r="C281">
        <v>63</v>
      </c>
      <c r="D281" t="s">
        <v>34</v>
      </c>
      <c r="E281" t="s">
        <v>70</v>
      </c>
      <c r="F281" t="s">
        <v>75</v>
      </c>
      <c r="G281">
        <v>4.5</v>
      </c>
      <c r="H281" t="s">
        <v>72</v>
      </c>
      <c r="I281">
        <v>1</v>
      </c>
      <c r="J281" t="s">
        <v>70</v>
      </c>
      <c r="K281">
        <v>2</v>
      </c>
    </row>
    <row r="282" spans="1:12" x14ac:dyDescent="0.35">
      <c r="A282" s="4">
        <v>45820</v>
      </c>
      <c r="B282" t="s">
        <v>69</v>
      </c>
      <c r="C282">
        <v>63</v>
      </c>
      <c r="D282" t="s">
        <v>34</v>
      </c>
      <c r="E282" t="s">
        <v>70</v>
      </c>
      <c r="F282" t="s">
        <v>75</v>
      </c>
      <c r="G282">
        <v>6.7</v>
      </c>
      <c r="H282" t="s">
        <v>72</v>
      </c>
      <c r="I282">
        <v>1</v>
      </c>
      <c r="J282" t="s">
        <v>87</v>
      </c>
      <c r="K282">
        <v>1</v>
      </c>
      <c r="L282" t="s">
        <v>81</v>
      </c>
    </row>
    <row r="283" spans="1:12" x14ac:dyDescent="0.35">
      <c r="A283" s="4">
        <v>45820</v>
      </c>
      <c r="B283" t="s">
        <v>69</v>
      </c>
      <c r="C283">
        <v>63</v>
      </c>
      <c r="D283" t="s">
        <v>34</v>
      </c>
      <c r="E283" t="s">
        <v>70</v>
      </c>
      <c r="F283" t="s">
        <v>77</v>
      </c>
      <c r="G283">
        <v>5.7</v>
      </c>
      <c r="H283" t="s">
        <v>72</v>
      </c>
      <c r="I283">
        <v>1</v>
      </c>
      <c r="J283" t="s">
        <v>87</v>
      </c>
    </row>
    <row r="284" spans="1:12" x14ac:dyDescent="0.35">
      <c r="A284" s="4">
        <v>45820</v>
      </c>
      <c r="B284" t="s">
        <v>69</v>
      </c>
      <c r="C284">
        <v>63</v>
      </c>
      <c r="D284" t="s">
        <v>34</v>
      </c>
      <c r="E284" t="s">
        <v>70</v>
      </c>
      <c r="F284" t="s">
        <v>73</v>
      </c>
      <c r="G284">
        <v>27.3</v>
      </c>
      <c r="H284" t="s">
        <v>72</v>
      </c>
      <c r="I284">
        <v>5</v>
      </c>
      <c r="J284" t="s">
        <v>87</v>
      </c>
    </row>
    <row r="285" spans="1:12" x14ac:dyDescent="0.35">
      <c r="A285" s="4">
        <v>45820</v>
      </c>
      <c r="B285" t="s">
        <v>69</v>
      </c>
      <c r="C285">
        <v>63</v>
      </c>
      <c r="D285" t="s">
        <v>34</v>
      </c>
      <c r="E285" t="s">
        <v>70</v>
      </c>
      <c r="F285" t="s">
        <v>73</v>
      </c>
      <c r="G285">
        <v>2.7</v>
      </c>
      <c r="H285" t="s">
        <v>74</v>
      </c>
      <c r="I285">
        <v>1</v>
      </c>
      <c r="J285" t="s">
        <v>87</v>
      </c>
    </row>
    <row r="286" spans="1:12" x14ac:dyDescent="0.35">
      <c r="A286" s="4">
        <v>45820</v>
      </c>
      <c r="B286" t="s">
        <v>69</v>
      </c>
      <c r="C286">
        <v>63</v>
      </c>
      <c r="D286" t="s">
        <v>34</v>
      </c>
      <c r="E286" t="s">
        <v>70</v>
      </c>
      <c r="F286" t="s">
        <v>75</v>
      </c>
      <c r="G286">
        <v>2.9</v>
      </c>
      <c r="H286" t="s">
        <v>72</v>
      </c>
      <c r="I286">
        <v>1</v>
      </c>
      <c r="J286" t="s">
        <v>87</v>
      </c>
      <c r="K286">
        <v>1</v>
      </c>
      <c r="L286" t="s">
        <v>82</v>
      </c>
    </row>
    <row r="287" spans="1:12" x14ac:dyDescent="0.35">
      <c r="A287" s="4">
        <v>45820</v>
      </c>
      <c r="B287" t="s">
        <v>69</v>
      </c>
      <c r="C287">
        <v>63</v>
      </c>
      <c r="D287" t="s">
        <v>34</v>
      </c>
      <c r="E287" t="s">
        <v>70</v>
      </c>
      <c r="F287" t="s">
        <v>75</v>
      </c>
      <c r="G287">
        <v>3.7</v>
      </c>
      <c r="H287" t="s">
        <v>72</v>
      </c>
      <c r="I287">
        <v>1</v>
      </c>
      <c r="J287" t="s">
        <v>87</v>
      </c>
      <c r="K287">
        <v>1</v>
      </c>
    </row>
    <row r="288" spans="1:12" x14ac:dyDescent="0.35">
      <c r="A288" s="4">
        <v>45820</v>
      </c>
      <c r="B288" t="s">
        <v>69</v>
      </c>
      <c r="C288">
        <v>63</v>
      </c>
      <c r="D288" t="s">
        <v>34</v>
      </c>
      <c r="E288" t="s">
        <v>70</v>
      </c>
      <c r="F288" t="s">
        <v>77</v>
      </c>
      <c r="G288">
        <v>2.8</v>
      </c>
      <c r="H288" t="s">
        <v>72</v>
      </c>
      <c r="I288">
        <v>1</v>
      </c>
      <c r="J288" t="s">
        <v>87</v>
      </c>
    </row>
    <row r="289" spans="1:12" x14ac:dyDescent="0.35">
      <c r="A289" s="4">
        <v>45820</v>
      </c>
      <c r="B289" t="s">
        <v>69</v>
      </c>
      <c r="C289">
        <v>63</v>
      </c>
      <c r="D289" t="s">
        <v>34</v>
      </c>
      <c r="E289" t="s">
        <v>70</v>
      </c>
      <c r="F289" t="s">
        <v>75</v>
      </c>
      <c r="G289">
        <v>2.8</v>
      </c>
      <c r="H289" t="s">
        <v>72</v>
      </c>
      <c r="I289">
        <v>1</v>
      </c>
      <c r="J289" t="s">
        <v>87</v>
      </c>
      <c r="K289">
        <v>1</v>
      </c>
    </row>
    <row r="290" spans="1:12" x14ac:dyDescent="0.35">
      <c r="A290" s="4">
        <v>45820</v>
      </c>
      <c r="B290" t="s">
        <v>69</v>
      </c>
      <c r="C290">
        <v>63</v>
      </c>
      <c r="D290" t="s">
        <v>34</v>
      </c>
      <c r="E290" t="s">
        <v>70</v>
      </c>
      <c r="F290" t="s">
        <v>77</v>
      </c>
      <c r="G290">
        <v>2.5</v>
      </c>
      <c r="H290" t="s">
        <v>72</v>
      </c>
      <c r="I290">
        <v>1</v>
      </c>
      <c r="J290" t="s">
        <v>87</v>
      </c>
    </row>
    <row r="291" spans="1:12" x14ac:dyDescent="0.35">
      <c r="A291" s="4">
        <v>45820</v>
      </c>
      <c r="B291" t="s">
        <v>69</v>
      </c>
      <c r="C291">
        <v>63</v>
      </c>
      <c r="D291" t="s">
        <v>34</v>
      </c>
      <c r="E291" t="s">
        <v>70</v>
      </c>
      <c r="F291" t="s">
        <v>75</v>
      </c>
      <c r="G291">
        <v>4.4000000000000004</v>
      </c>
      <c r="H291" t="s">
        <v>72</v>
      </c>
      <c r="I291">
        <v>1</v>
      </c>
      <c r="J291" t="s">
        <v>87</v>
      </c>
      <c r="K291">
        <v>1</v>
      </c>
    </row>
    <row r="292" spans="1:12" x14ac:dyDescent="0.35">
      <c r="A292" s="4">
        <v>45820</v>
      </c>
      <c r="B292" t="s">
        <v>69</v>
      </c>
      <c r="C292">
        <v>63</v>
      </c>
      <c r="D292" t="s">
        <v>34</v>
      </c>
      <c r="E292" t="s">
        <v>70</v>
      </c>
      <c r="F292" t="s">
        <v>78</v>
      </c>
      <c r="G292">
        <v>3.9</v>
      </c>
      <c r="H292" t="s">
        <v>72</v>
      </c>
      <c r="I292">
        <v>1</v>
      </c>
      <c r="J292" t="s">
        <v>87</v>
      </c>
      <c r="K292">
        <v>1</v>
      </c>
    </row>
    <row r="293" spans="1:12" x14ac:dyDescent="0.35">
      <c r="A293" s="4">
        <v>45820</v>
      </c>
      <c r="B293" t="s">
        <v>69</v>
      </c>
      <c r="C293">
        <v>63</v>
      </c>
      <c r="D293" t="s">
        <v>34</v>
      </c>
      <c r="E293" t="s">
        <v>70</v>
      </c>
      <c r="F293" t="s">
        <v>77</v>
      </c>
      <c r="G293">
        <v>3.3</v>
      </c>
      <c r="H293" t="s">
        <v>72</v>
      </c>
      <c r="I293">
        <v>1</v>
      </c>
      <c r="J293" t="s">
        <v>87</v>
      </c>
    </row>
    <row r="294" spans="1:12" x14ac:dyDescent="0.35">
      <c r="A294" s="4">
        <v>45820</v>
      </c>
      <c r="B294" t="s">
        <v>69</v>
      </c>
      <c r="C294">
        <v>63</v>
      </c>
      <c r="D294" t="s">
        <v>36</v>
      </c>
      <c r="E294" t="s">
        <v>70</v>
      </c>
      <c r="F294" t="s">
        <v>71</v>
      </c>
      <c r="G294">
        <v>6</v>
      </c>
      <c r="H294" t="s">
        <v>74</v>
      </c>
      <c r="I294">
        <v>2</v>
      </c>
      <c r="J294" t="s">
        <v>87</v>
      </c>
    </row>
    <row r="295" spans="1:12" x14ac:dyDescent="0.35">
      <c r="A295" s="4">
        <v>45820</v>
      </c>
      <c r="B295" t="s">
        <v>69</v>
      </c>
      <c r="C295">
        <v>63</v>
      </c>
      <c r="D295" t="s">
        <v>36</v>
      </c>
      <c r="E295" t="s">
        <v>70</v>
      </c>
      <c r="F295" t="s">
        <v>73</v>
      </c>
      <c r="G295">
        <v>21.7</v>
      </c>
      <c r="H295" t="s">
        <v>74</v>
      </c>
      <c r="I295">
        <v>1</v>
      </c>
      <c r="J295" t="s">
        <v>87</v>
      </c>
    </row>
    <row r="296" spans="1:12" x14ac:dyDescent="0.35">
      <c r="A296" s="4">
        <v>45820</v>
      </c>
      <c r="B296" t="s">
        <v>69</v>
      </c>
      <c r="C296">
        <v>63</v>
      </c>
      <c r="D296" t="s">
        <v>36</v>
      </c>
      <c r="E296" t="s">
        <v>70</v>
      </c>
      <c r="F296" t="s">
        <v>75</v>
      </c>
      <c r="G296">
        <v>5</v>
      </c>
      <c r="H296" t="s">
        <v>72</v>
      </c>
      <c r="I296">
        <v>1</v>
      </c>
      <c r="J296" t="s">
        <v>87</v>
      </c>
      <c r="K296">
        <v>1</v>
      </c>
    </row>
    <row r="297" spans="1:12" x14ac:dyDescent="0.35">
      <c r="A297" s="4">
        <v>45820</v>
      </c>
      <c r="B297" t="s">
        <v>69</v>
      </c>
      <c r="C297">
        <v>63</v>
      </c>
      <c r="D297" t="s">
        <v>36</v>
      </c>
      <c r="E297" t="s">
        <v>70</v>
      </c>
      <c r="F297" t="s">
        <v>71</v>
      </c>
      <c r="G297">
        <f>2.5+2.4</f>
        <v>4.9000000000000004</v>
      </c>
      <c r="H297" t="s">
        <v>74</v>
      </c>
      <c r="I297">
        <v>2</v>
      </c>
      <c r="J297" t="s">
        <v>87</v>
      </c>
    </row>
    <row r="298" spans="1:12" x14ac:dyDescent="0.35">
      <c r="A298" s="4">
        <v>45820</v>
      </c>
      <c r="B298" t="s">
        <v>69</v>
      </c>
      <c r="C298">
        <v>63</v>
      </c>
      <c r="D298" t="s">
        <v>36</v>
      </c>
      <c r="E298" t="s">
        <v>70</v>
      </c>
      <c r="F298" t="s">
        <v>73</v>
      </c>
      <c r="G298">
        <v>22.1</v>
      </c>
      <c r="H298" t="s">
        <v>72</v>
      </c>
      <c r="I298">
        <v>1</v>
      </c>
      <c r="J298" t="s">
        <v>87</v>
      </c>
    </row>
    <row r="299" spans="1:12" x14ac:dyDescent="0.35">
      <c r="A299" s="4">
        <v>45820</v>
      </c>
      <c r="B299" t="s">
        <v>69</v>
      </c>
      <c r="C299">
        <v>63</v>
      </c>
      <c r="D299" t="s">
        <v>36</v>
      </c>
      <c r="E299" t="s">
        <v>70</v>
      </c>
      <c r="F299" t="s">
        <v>75</v>
      </c>
      <c r="G299">
        <v>3.5</v>
      </c>
      <c r="H299" t="s">
        <v>72</v>
      </c>
      <c r="I299">
        <v>1</v>
      </c>
      <c r="J299" t="s">
        <v>87</v>
      </c>
      <c r="K299">
        <v>1</v>
      </c>
    </row>
    <row r="300" spans="1:12" x14ac:dyDescent="0.35">
      <c r="A300" s="4">
        <v>45820</v>
      </c>
      <c r="B300" t="s">
        <v>69</v>
      </c>
      <c r="C300">
        <v>63</v>
      </c>
      <c r="D300" t="s">
        <v>36</v>
      </c>
      <c r="E300" t="s">
        <v>70</v>
      </c>
      <c r="F300" t="s">
        <v>75</v>
      </c>
      <c r="G300">
        <v>3.2</v>
      </c>
      <c r="H300" t="s">
        <v>72</v>
      </c>
      <c r="I300">
        <v>1</v>
      </c>
      <c r="J300" t="s">
        <v>70</v>
      </c>
      <c r="K300">
        <v>2</v>
      </c>
    </row>
    <row r="301" spans="1:12" x14ac:dyDescent="0.35">
      <c r="A301" s="4">
        <v>45820</v>
      </c>
      <c r="B301" t="s">
        <v>69</v>
      </c>
      <c r="C301">
        <v>63</v>
      </c>
      <c r="D301" t="s">
        <v>36</v>
      </c>
      <c r="E301" t="s">
        <v>70</v>
      </c>
      <c r="F301" t="s">
        <v>75</v>
      </c>
      <c r="G301">
        <v>4.4000000000000004</v>
      </c>
      <c r="H301" t="s">
        <v>72</v>
      </c>
      <c r="I301">
        <v>1</v>
      </c>
      <c r="J301" t="s">
        <v>70</v>
      </c>
      <c r="K301">
        <v>2</v>
      </c>
    </row>
    <row r="302" spans="1:12" x14ac:dyDescent="0.35">
      <c r="A302" s="4">
        <v>45820</v>
      </c>
      <c r="B302" t="s">
        <v>69</v>
      </c>
      <c r="C302">
        <v>63</v>
      </c>
      <c r="D302" t="s">
        <v>36</v>
      </c>
      <c r="E302" t="s">
        <v>70</v>
      </c>
      <c r="F302" t="s">
        <v>75</v>
      </c>
      <c r="G302">
        <v>4.8</v>
      </c>
      <c r="H302" t="s">
        <v>72</v>
      </c>
      <c r="I302">
        <v>1</v>
      </c>
      <c r="J302" t="s">
        <v>87</v>
      </c>
      <c r="K302">
        <v>1</v>
      </c>
      <c r="L302" t="s">
        <v>83</v>
      </c>
    </row>
    <row r="303" spans="1:12" x14ac:dyDescent="0.35">
      <c r="A303" s="4">
        <v>45820</v>
      </c>
      <c r="B303" t="s">
        <v>69</v>
      </c>
      <c r="C303">
        <v>63</v>
      </c>
      <c r="D303" t="s">
        <v>36</v>
      </c>
      <c r="E303" t="s">
        <v>70</v>
      </c>
      <c r="F303" t="s">
        <v>75</v>
      </c>
      <c r="G303">
        <v>6</v>
      </c>
      <c r="H303" t="s">
        <v>72</v>
      </c>
      <c r="I303">
        <v>1</v>
      </c>
      <c r="J303" t="s">
        <v>87</v>
      </c>
      <c r="K303">
        <v>1</v>
      </c>
    </row>
    <row r="304" spans="1:12" x14ac:dyDescent="0.35">
      <c r="A304" s="4">
        <v>45820</v>
      </c>
      <c r="B304" t="s">
        <v>69</v>
      </c>
      <c r="C304">
        <v>63</v>
      </c>
      <c r="D304" t="s">
        <v>36</v>
      </c>
      <c r="E304" t="s">
        <v>70</v>
      </c>
      <c r="F304" t="s">
        <v>75</v>
      </c>
      <c r="G304">
        <v>3</v>
      </c>
      <c r="H304" t="s">
        <v>72</v>
      </c>
      <c r="I304">
        <v>1</v>
      </c>
      <c r="J304" t="s">
        <v>87</v>
      </c>
      <c r="K304">
        <v>1</v>
      </c>
    </row>
    <row r="305" spans="1:11" x14ac:dyDescent="0.35">
      <c r="A305" s="4">
        <v>45820</v>
      </c>
      <c r="B305" t="s">
        <v>69</v>
      </c>
      <c r="C305">
        <v>63</v>
      </c>
      <c r="D305" t="s">
        <v>36</v>
      </c>
      <c r="E305" t="s">
        <v>70</v>
      </c>
      <c r="F305" t="s">
        <v>77</v>
      </c>
      <c r="G305">
        <v>3</v>
      </c>
      <c r="H305" t="s">
        <v>72</v>
      </c>
      <c r="I305">
        <v>1</v>
      </c>
      <c r="J305" t="s">
        <v>87</v>
      </c>
    </row>
    <row r="306" spans="1:11" x14ac:dyDescent="0.35">
      <c r="A306" s="4">
        <v>45820</v>
      </c>
      <c r="B306" t="s">
        <v>69</v>
      </c>
      <c r="C306">
        <v>63</v>
      </c>
      <c r="D306" t="s">
        <v>36</v>
      </c>
      <c r="E306" t="s">
        <v>70</v>
      </c>
      <c r="F306" t="s">
        <v>71</v>
      </c>
      <c r="G306">
        <v>2.7</v>
      </c>
      <c r="H306" t="s">
        <v>72</v>
      </c>
      <c r="I306">
        <v>1</v>
      </c>
      <c r="J306" t="s">
        <v>87</v>
      </c>
    </row>
    <row r="307" spans="1:11" x14ac:dyDescent="0.35">
      <c r="A307" s="4">
        <v>45820</v>
      </c>
      <c r="B307" t="s">
        <v>69</v>
      </c>
      <c r="C307">
        <v>63</v>
      </c>
      <c r="D307" t="s">
        <v>36</v>
      </c>
      <c r="E307" t="s">
        <v>70</v>
      </c>
      <c r="F307" t="s">
        <v>71</v>
      </c>
      <c r="G307">
        <f>5.1+1.4</f>
        <v>6.5</v>
      </c>
      <c r="H307" t="s">
        <v>72</v>
      </c>
      <c r="I307">
        <v>2</v>
      </c>
      <c r="J307" t="s">
        <v>87</v>
      </c>
    </row>
    <row r="308" spans="1:11" x14ac:dyDescent="0.35">
      <c r="A308" s="4">
        <v>45820</v>
      </c>
      <c r="B308" t="s">
        <v>69</v>
      </c>
      <c r="C308">
        <v>63</v>
      </c>
      <c r="D308" t="s">
        <v>36</v>
      </c>
      <c r="E308" t="s">
        <v>70</v>
      </c>
      <c r="F308" t="s">
        <v>75</v>
      </c>
      <c r="G308">
        <v>2.8</v>
      </c>
      <c r="H308" t="s">
        <v>72</v>
      </c>
      <c r="I308">
        <v>1</v>
      </c>
      <c r="J308" t="s">
        <v>87</v>
      </c>
      <c r="K308">
        <v>1</v>
      </c>
    </row>
    <row r="309" spans="1:11" x14ac:dyDescent="0.35">
      <c r="A309" s="4">
        <v>45820</v>
      </c>
      <c r="B309" t="s">
        <v>69</v>
      </c>
      <c r="C309">
        <v>63</v>
      </c>
      <c r="D309" t="s">
        <v>36</v>
      </c>
      <c r="E309" t="s">
        <v>70</v>
      </c>
      <c r="F309" t="s">
        <v>71</v>
      </c>
      <c r="G309">
        <f>1.7+4.6</f>
        <v>6.3</v>
      </c>
      <c r="H309" t="s">
        <v>72</v>
      </c>
      <c r="I309">
        <v>2</v>
      </c>
      <c r="J309" t="s">
        <v>87</v>
      </c>
    </row>
    <row r="310" spans="1:11" x14ac:dyDescent="0.35">
      <c r="A310" s="4">
        <v>45820</v>
      </c>
      <c r="B310" t="s">
        <v>69</v>
      </c>
      <c r="C310">
        <v>63</v>
      </c>
      <c r="D310" t="s">
        <v>36</v>
      </c>
      <c r="E310" t="s">
        <v>70</v>
      </c>
      <c r="F310" t="s">
        <v>75</v>
      </c>
      <c r="G310">
        <v>2.9</v>
      </c>
      <c r="H310" t="s">
        <v>72</v>
      </c>
      <c r="I310">
        <v>1</v>
      </c>
      <c r="J310" t="s">
        <v>87</v>
      </c>
      <c r="K310">
        <v>1</v>
      </c>
    </row>
    <row r="311" spans="1:11" x14ac:dyDescent="0.35">
      <c r="A311" s="4">
        <v>45820</v>
      </c>
      <c r="B311" t="s">
        <v>69</v>
      </c>
      <c r="C311">
        <v>63</v>
      </c>
      <c r="D311" t="s">
        <v>36</v>
      </c>
      <c r="E311" t="s">
        <v>70</v>
      </c>
      <c r="F311" t="s">
        <v>75</v>
      </c>
      <c r="G311">
        <v>4.4000000000000004</v>
      </c>
      <c r="H311" t="s">
        <v>72</v>
      </c>
      <c r="I311">
        <v>1</v>
      </c>
      <c r="J311" t="s">
        <v>70</v>
      </c>
      <c r="K311">
        <v>2</v>
      </c>
    </row>
    <row r="312" spans="1:11" x14ac:dyDescent="0.35">
      <c r="A312" s="4">
        <v>45820</v>
      </c>
      <c r="B312" t="s">
        <v>69</v>
      </c>
      <c r="C312">
        <v>63</v>
      </c>
      <c r="D312" t="s">
        <v>36</v>
      </c>
      <c r="E312" t="s">
        <v>70</v>
      </c>
      <c r="F312" t="s">
        <v>75</v>
      </c>
      <c r="G312">
        <v>5.6</v>
      </c>
      <c r="H312" t="s">
        <v>72</v>
      </c>
      <c r="I312">
        <v>1</v>
      </c>
      <c r="J312" t="s">
        <v>87</v>
      </c>
      <c r="K312">
        <v>1</v>
      </c>
    </row>
    <row r="313" spans="1:11" x14ac:dyDescent="0.35">
      <c r="A313" s="4">
        <v>45820</v>
      </c>
      <c r="B313" t="s">
        <v>69</v>
      </c>
      <c r="C313">
        <v>63</v>
      </c>
      <c r="D313" t="s">
        <v>36</v>
      </c>
      <c r="E313" t="s">
        <v>70</v>
      </c>
      <c r="F313" t="s">
        <v>75</v>
      </c>
      <c r="G313">
        <v>5.0999999999999996</v>
      </c>
      <c r="H313" t="s">
        <v>72</v>
      </c>
      <c r="I313">
        <v>1</v>
      </c>
      <c r="J313" t="s">
        <v>87</v>
      </c>
      <c r="K313">
        <v>1</v>
      </c>
    </row>
    <row r="314" spans="1:11" x14ac:dyDescent="0.35">
      <c r="A314" s="4">
        <v>45820</v>
      </c>
      <c r="B314" t="s">
        <v>69</v>
      </c>
      <c r="C314">
        <v>63</v>
      </c>
      <c r="D314" t="s">
        <v>36</v>
      </c>
      <c r="E314" t="s">
        <v>70</v>
      </c>
      <c r="F314" t="s">
        <v>75</v>
      </c>
      <c r="G314">
        <v>5.7</v>
      </c>
      <c r="H314" t="s">
        <v>72</v>
      </c>
      <c r="I314">
        <v>1</v>
      </c>
      <c r="J314" t="s">
        <v>87</v>
      </c>
      <c r="K314">
        <v>1</v>
      </c>
    </row>
    <row r="315" spans="1:11" x14ac:dyDescent="0.35">
      <c r="A315" s="4">
        <v>45820</v>
      </c>
      <c r="B315" t="s">
        <v>69</v>
      </c>
      <c r="C315">
        <v>63</v>
      </c>
      <c r="D315" t="s">
        <v>36</v>
      </c>
      <c r="E315" t="s">
        <v>70</v>
      </c>
      <c r="F315" t="s">
        <v>86</v>
      </c>
      <c r="G315">
        <v>20.3</v>
      </c>
      <c r="H315" t="s">
        <v>74</v>
      </c>
      <c r="I315">
        <v>1</v>
      </c>
      <c r="J315" t="s">
        <v>87</v>
      </c>
    </row>
    <row r="316" spans="1:11" x14ac:dyDescent="0.35">
      <c r="A316" s="4">
        <v>45820</v>
      </c>
      <c r="B316" t="s">
        <v>69</v>
      </c>
      <c r="C316">
        <v>63</v>
      </c>
      <c r="D316" t="s">
        <v>36</v>
      </c>
      <c r="E316" t="s">
        <v>70</v>
      </c>
      <c r="F316" t="s">
        <v>75</v>
      </c>
      <c r="G316">
        <v>3.5</v>
      </c>
      <c r="H316" t="s">
        <v>72</v>
      </c>
      <c r="I316">
        <v>1</v>
      </c>
      <c r="J316" t="s">
        <v>87</v>
      </c>
      <c r="K316">
        <v>1</v>
      </c>
    </row>
    <row r="317" spans="1:11" x14ac:dyDescent="0.35">
      <c r="A317" s="4">
        <v>45820</v>
      </c>
      <c r="B317" t="s">
        <v>69</v>
      </c>
      <c r="C317">
        <v>63</v>
      </c>
      <c r="D317" t="s">
        <v>36</v>
      </c>
      <c r="E317" t="s">
        <v>70</v>
      </c>
      <c r="F317" t="s">
        <v>86</v>
      </c>
      <c r="G317">
        <v>35.4</v>
      </c>
      <c r="H317" t="s">
        <v>74</v>
      </c>
      <c r="I317">
        <v>1</v>
      </c>
      <c r="J317" t="s">
        <v>87</v>
      </c>
    </row>
    <row r="318" spans="1:11" x14ac:dyDescent="0.35">
      <c r="A318" s="4">
        <v>45820</v>
      </c>
      <c r="B318" t="s">
        <v>69</v>
      </c>
      <c r="C318">
        <v>63</v>
      </c>
      <c r="D318" t="s">
        <v>36</v>
      </c>
      <c r="E318" t="s">
        <v>70</v>
      </c>
      <c r="F318" t="s">
        <v>77</v>
      </c>
      <c r="G318">
        <v>7</v>
      </c>
      <c r="H318" t="s">
        <v>72</v>
      </c>
      <c r="I318">
        <v>1</v>
      </c>
      <c r="J318" t="s">
        <v>87</v>
      </c>
    </row>
    <row r="319" spans="1:11" x14ac:dyDescent="0.35">
      <c r="A319" s="4">
        <v>45820</v>
      </c>
      <c r="B319" t="s">
        <v>69</v>
      </c>
      <c r="C319">
        <v>63</v>
      </c>
      <c r="D319" t="s">
        <v>36</v>
      </c>
      <c r="E319" t="s">
        <v>70</v>
      </c>
      <c r="F319" t="s">
        <v>75</v>
      </c>
      <c r="G319">
        <v>2.9</v>
      </c>
      <c r="H319" t="s">
        <v>72</v>
      </c>
      <c r="I319">
        <v>1</v>
      </c>
      <c r="J319" t="s">
        <v>87</v>
      </c>
      <c r="K319">
        <v>1</v>
      </c>
    </row>
    <row r="320" spans="1:11" x14ac:dyDescent="0.35">
      <c r="A320" s="4">
        <v>45820</v>
      </c>
      <c r="B320" t="s">
        <v>69</v>
      </c>
      <c r="C320">
        <v>63</v>
      </c>
      <c r="D320" t="s">
        <v>36</v>
      </c>
      <c r="E320" t="s">
        <v>70</v>
      </c>
      <c r="F320" t="s">
        <v>75</v>
      </c>
      <c r="G320">
        <v>7.5</v>
      </c>
      <c r="H320" t="s">
        <v>72</v>
      </c>
      <c r="I320">
        <v>1</v>
      </c>
      <c r="J320" t="s">
        <v>87</v>
      </c>
      <c r="K320">
        <v>1</v>
      </c>
    </row>
    <row r="321" spans="1:12" x14ac:dyDescent="0.35">
      <c r="A321" s="4">
        <v>45820</v>
      </c>
      <c r="B321" t="s">
        <v>69</v>
      </c>
      <c r="C321">
        <v>63</v>
      </c>
      <c r="D321" t="s">
        <v>36</v>
      </c>
      <c r="E321" t="s">
        <v>70</v>
      </c>
      <c r="F321" t="s">
        <v>75</v>
      </c>
      <c r="G321">
        <v>7.1</v>
      </c>
      <c r="H321" t="s">
        <v>72</v>
      </c>
      <c r="I321">
        <v>1</v>
      </c>
      <c r="J321" t="s">
        <v>70</v>
      </c>
      <c r="K321">
        <v>2</v>
      </c>
    </row>
    <row r="322" spans="1:12" x14ac:dyDescent="0.35">
      <c r="A322" s="4">
        <v>45820</v>
      </c>
      <c r="B322" t="s">
        <v>69</v>
      </c>
      <c r="C322">
        <v>63</v>
      </c>
      <c r="D322" t="s">
        <v>36</v>
      </c>
      <c r="E322" t="s">
        <v>70</v>
      </c>
      <c r="F322" t="s">
        <v>75</v>
      </c>
      <c r="G322">
        <v>2.5</v>
      </c>
      <c r="H322" t="s">
        <v>72</v>
      </c>
      <c r="I322">
        <v>1</v>
      </c>
      <c r="J322" t="s">
        <v>87</v>
      </c>
      <c r="K322">
        <v>1</v>
      </c>
    </row>
    <row r="323" spans="1:12" x14ac:dyDescent="0.35">
      <c r="A323" s="4">
        <v>45820</v>
      </c>
      <c r="B323" t="s">
        <v>69</v>
      </c>
      <c r="C323">
        <v>63</v>
      </c>
      <c r="D323" t="s">
        <v>36</v>
      </c>
      <c r="E323" t="s">
        <v>70</v>
      </c>
      <c r="F323" t="s">
        <v>75</v>
      </c>
      <c r="G323">
        <v>6.8</v>
      </c>
      <c r="H323" t="s">
        <v>72</v>
      </c>
      <c r="I323">
        <v>1</v>
      </c>
      <c r="J323" t="s">
        <v>70</v>
      </c>
      <c r="K323">
        <v>2</v>
      </c>
    </row>
    <row r="324" spans="1:12" x14ac:dyDescent="0.35">
      <c r="A324" s="4">
        <v>45820</v>
      </c>
      <c r="B324" t="s">
        <v>69</v>
      </c>
      <c r="C324">
        <v>63</v>
      </c>
      <c r="D324" t="s">
        <v>36</v>
      </c>
      <c r="E324" t="s">
        <v>70</v>
      </c>
      <c r="F324" t="s">
        <v>75</v>
      </c>
      <c r="G324">
        <v>4.9000000000000004</v>
      </c>
      <c r="H324" t="s">
        <v>72</v>
      </c>
      <c r="I324">
        <v>1</v>
      </c>
      <c r="J324" t="s">
        <v>87</v>
      </c>
      <c r="K324">
        <v>1</v>
      </c>
    </row>
    <row r="325" spans="1:12" x14ac:dyDescent="0.35">
      <c r="A325" s="4">
        <v>45820</v>
      </c>
      <c r="B325" t="s">
        <v>69</v>
      </c>
      <c r="C325">
        <v>63</v>
      </c>
      <c r="D325" t="s">
        <v>80</v>
      </c>
      <c r="E325" t="s">
        <v>70</v>
      </c>
      <c r="F325" t="s">
        <v>73</v>
      </c>
      <c r="G325">
        <v>29.9</v>
      </c>
      <c r="H325" t="s">
        <v>72</v>
      </c>
      <c r="I325">
        <v>1</v>
      </c>
      <c r="J325" t="s">
        <v>87</v>
      </c>
    </row>
    <row r="326" spans="1:12" x14ac:dyDescent="0.35">
      <c r="A326" s="4">
        <v>45820</v>
      </c>
      <c r="B326" t="s">
        <v>69</v>
      </c>
      <c r="C326">
        <v>63</v>
      </c>
      <c r="D326" t="s">
        <v>36</v>
      </c>
      <c r="E326" t="s">
        <v>70</v>
      </c>
      <c r="F326" t="s">
        <v>75</v>
      </c>
      <c r="G326">
        <v>5.5</v>
      </c>
      <c r="H326" t="s">
        <v>72</v>
      </c>
      <c r="I326">
        <v>1</v>
      </c>
      <c r="J326" t="s">
        <v>87</v>
      </c>
      <c r="K326">
        <v>1</v>
      </c>
    </row>
    <row r="327" spans="1:12" x14ac:dyDescent="0.35">
      <c r="A327" s="4">
        <v>45820</v>
      </c>
      <c r="B327" t="s">
        <v>69</v>
      </c>
      <c r="C327">
        <v>63</v>
      </c>
      <c r="D327" t="s">
        <v>36</v>
      </c>
      <c r="E327" t="s">
        <v>70</v>
      </c>
      <c r="F327" t="s">
        <v>75</v>
      </c>
      <c r="G327">
        <v>7.1</v>
      </c>
      <c r="H327" t="s">
        <v>72</v>
      </c>
      <c r="I327">
        <v>1</v>
      </c>
      <c r="J327" t="s">
        <v>87</v>
      </c>
      <c r="K327">
        <v>5</v>
      </c>
    </row>
    <row r="328" spans="1:12" x14ac:dyDescent="0.35">
      <c r="A328" s="4">
        <v>45820</v>
      </c>
      <c r="B328" t="s">
        <v>69</v>
      </c>
      <c r="C328">
        <v>63</v>
      </c>
      <c r="D328" t="s">
        <v>36</v>
      </c>
      <c r="E328" t="s">
        <v>70</v>
      </c>
      <c r="F328" t="s">
        <v>75</v>
      </c>
      <c r="G328">
        <f>8.5+3.2</f>
        <v>11.7</v>
      </c>
      <c r="H328" t="s">
        <v>72</v>
      </c>
      <c r="I328">
        <v>2</v>
      </c>
      <c r="J328" t="s">
        <v>70</v>
      </c>
      <c r="K328">
        <v>4</v>
      </c>
      <c r="L328" t="s">
        <v>81</v>
      </c>
    </row>
    <row r="329" spans="1:12" x14ac:dyDescent="0.35">
      <c r="A329" s="4">
        <v>45820</v>
      </c>
      <c r="B329" t="s">
        <v>69</v>
      </c>
      <c r="C329">
        <v>63</v>
      </c>
      <c r="D329" t="s">
        <v>37</v>
      </c>
      <c r="E329" t="s">
        <v>70</v>
      </c>
      <c r="F329" t="s">
        <v>75</v>
      </c>
      <c r="G329">
        <v>7</v>
      </c>
      <c r="H329" t="s">
        <v>72</v>
      </c>
      <c r="I329">
        <v>1</v>
      </c>
      <c r="J329" t="s">
        <v>70</v>
      </c>
      <c r="K329">
        <v>2</v>
      </c>
    </row>
    <row r="330" spans="1:12" x14ac:dyDescent="0.35">
      <c r="A330" s="4">
        <v>45820</v>
      </c>
      <c r="B330" t="s">
        <v>69</v>
      </c>
      <c r="C330">
        <v>63</v>
      </c>
      <c r="D330" t="s">
        <v>37</v>
      </c>
      <c r="E330" t="s">
        <v>70</v>
      </c>
      <c r="F330" t="s">
        <v>75</v>
      </c>
      <c r="G330">
        <v>2.6</v>
      </c>
      <c r="H330" t="s">
        <v>72</v>
      </c>
      <c r="I330">
        <v>1</v>
      </c>
      <c r="J330" t="s">
        <v>87</v>
      </c>
      <c r="K330">
        <v>1</v>
      </c>
    </row>
    <row r="331" spans="1:12" x14ac:dyDescent="0.35">
      <c r="A331" s="4">
        <v>45820</v>
      </c>
      <c r="B331" t="s">
        <v>69</v>
      </c>
      <c r="C331">
        <v>63</v>
      </c>
      <c r="D331" t="s">
        <v>37</v>
      </c>
      <c r="E331" t="s">
        <v>70</v>
      </c>
      <c r="F331" t="s">
        <v>75</v>
      </c>
      <c r="G331">
        <v>4.4000000000000004</v>
      </c>
      <c r="H331" t="s">
        <v>72</v>
      </c>
      <c r="I331">
        <v>1</v>
      </c>
      <c r="J331" t="s">
        <v>87</v>
      </c>
      <c r="K331">
        <v>1</v>
      </c>
    </row>
    <row r="332" spans="1:12" x14ac:dyDescent="0.35">
      <c r="A332" s="4">
        <v>45820</v>
      </c>
      <c r="B332" t="s">
        <v>69</v>
      </c>
      <c r="C332">
        <v>63</v>
      </c>
      <c r="D332" t="s">
        <v>37</v>
      </c>
      <c r="E332" t="s">
        <v>70</v>
      </c>
      <c r="F332" t="s">
        <v>75</v>
      </c>
      <c r="G332">
        <v>2.8</v>
      </c>
      <c r="H332" t="s">
        <v>72</v>
      </c>
      <c r="I332">
        <v>1</v>
      </c>
      <c r="J332" t="s">
        <v>87</v>
      </c>
      <c r="K332">
        <v>1</v>
      </c>
    </row>
    <row r="333" spans="1:12" x14ac:dyDescent="0.35">
      <c r="A333" s="4">
        <v>45820</v>
      </c>
      <c r="B333" t="s">
        <v>69</v>
      </c>
      <c r="C333">
        <v>63</v>
      </c>
      <c r="D333" t="s">
        <v>37</v>
      </c>
      <c r="E333" t="s">
        <v>70</v>
      </c>
      <c r="F333" t="s">
        <v>75</v>
      </c>
      <c r="G333">
        <v>4.9000000000000004</v>
      </c>
      <c r="H333" t="s">
        <v>72</v>
      </c>
      <c r="I333">
        <v>1</v>
      </c>
      <c r="J333" t="s">
        <v>70</v>
      </c>
      <c r="K333">
        <v>2</v>
      </c>
    </row>
    <row r="334" spans="1:12" x14ac:dyDescent="0.35">
      <c r="A334" s="4">
        <v>45820</v>
      </c>
      <c r="B334" t="s">
        <v>69</v>
      </c>
      <c r="C334">
        <v>63</v>
      </c>
      <c r="D334" t="s">
        <v>37</v>
      </c>
      <c r="E334" t="s">
        <v>70</v>
      </c>
      <c r="F334" t="s">
        <v>75</v>
      </c>
      <c r="G334">
        <v>5.3</v>
      </c>
      <c r="H334" t="s">
        <v>72</v>
      </c>
      <c r="I334">
        <v>1</v>
      </c>
      <c r="J334" t="s">
        <v>87</v>
      </c>
      <c r="K334">
        <v>1</v>
      </c>
    </row>
    <row r="335" spans="1:12" x14ac:dyDescent="0.35">
      <c r="A335" s="4">
        <v>45820</v>
      </c>
      <c r="B335" t="s">
        <v>69</v>
      </c>
      <c r="C335">
        <v>63</v>
      </c>
      <c r="D335" t="s">
        <v>37</v>
      </c>
      <c r="E335" t="s">
        <v>70</v>
      </c>
      <c r="F335" t="s">
        <v>75</v>
      </c>
      <c r="G335">
        <v>6.6</v>
      </c>
      <c r="H335" t="s">
        <v>72</v>
      </c>
      <c r="I335">
        <v>1</v>
      </c>
      <c r="J335" t="s">
        <v>87</v>
      </c>
      <c r="K335">
        <v>1</v>
      </c>
    </row>
    <row r="336" spans="1:12" x14ac:dyDescent="0.35">
      <c r="A336" s="4">
        <v>45820</v>
      </c>
      <c r="B336" t="s">
        <v>69</v>
      </c>
      <c r="C336">
        <v>63</v>
      </c>
      <c r="D336" t="s">
        <v>37</v>
      </c>
      <c r="E336" t="s">
        <v>70</v>
      </c>
      <c r="F336" t="s">
        <v>75</v>
      </c>
      <c r="G336">
        <v>2.9</v>
      </c>
      <c r="H336" t="s">
        <v>72</v>
      </c>
      <c r="I336">
        <v>1</v>
      </c>
      <c r="J336" t="s">
        <v>87</v>
      </c>
      <c r="K336">
        <v>1</v>
      </c>
    </row>
    <row r="337" spans="1:12" x14ac:dyDescent="0.35">
      <c r="A337" s="4">
        <v>45820</v>
      </c>
      <c r="B337" t="s">
        <v>69</v>
      </c>
      <c r="C337">
        <v>63</v>
      </c>
      <c r="D337" t="s">
        <v>37</v>
      </c>
      <c r="E337" t="s">
        <v>70</v>
      </c>
      <c r="F337" t="s">
        <v>75</v>
      </c>
      <c r="G337">
        <v>5.4</v>
      </c>
      <c r="H337" t="s">
        <v>72</v>
      </c>
      <c r="I337">
        <v>1</v>
      </c>
      <c r="J337" t="s">
        <v>87</v>
      </c>
      <c r="K337">
        <v>1</v>
      </c>
    </row>
    <row r="338" spans="1:12" x14ac:dyDescent="0.35">
      <c r="A338" s="4">
        <v>45820</v>
      </c>
      <c r="B338" t="s">
        <v>69</v>
      </c>
      <c r="C338">
        <v>63</v>
      </c>
      <c r="D338" t="s">
        <v>37</v>
      </c>
      <c r="E338" t="s">
        <v>70</v>
      </c>
      <c r="F338" t="s">
        <v>75</v>
      </c>
      <c r="G338">
        <v>5.4</v>
      </c>
      <c r="H338" t="s">
        <v>72</v>
      </c>
      <c r="I338">
        <v>1</v>
      </c>
      <c r="J338" t="s">
        <v>70</v>
      </c>
      <c r="K338">
        <v>2</v>
      </c>
    </row>
    <row r="339" spans="1:12" x14ac:dyDescent="0.35">
      <c r="A339" s="4">
        <v>45820</v>
      </c>
      <c r="B339" t="s">
        <v>69</v>
      </c>
      <c r="C339">
        <v>63</v>
      </c>
      <c r="D339" t="s">
        <v>37</v>
      </c>
      <c r="E339" t="s">
        <v>70</v>
      </c>
      <c r="F339" t="s">
        <v>75</v>
      </c>
      <c r="G339">
        <v>4.7</v>
      </c>
      <c r="H339" t="s">
        <v>72</v>
      </c>
      <c r="I339">
        <v>1</v>
      </c>
      <c r="J339" t="s">
        <v>70</v>
      </c>
      <c r="K339">
        <v>2</v>
      </c>
    </row>
    <row r="340" spans="1:12" x14ac:dyDescent="0.35">
      <c r="A340" s="4">
        <v>45820</v>
      </c>
      <c r="B340" t="s">
        <v>69</v>
      </c>
      <c r="C340">
        <v>63</v>
      </c>
      <c r="D340" t="s">
        <v>37</v>
      </c>
      <c r="E340" t="s">
        <v>70</v>
      </c>
      <c r="F340" t="s">
        <v>75</v>
      </c>
      <c r="G340">
        <v>8.3000000000000007</v>
      </c>
      <c r="H340" t="s">
        <v>74</v>
      </c>
      <c r="I340">
        <v>1</v>
      </c>
      <c r="J340" t="s">
        <v>87</v>
      </c>
      <c r="K340">
        <v>5</v>
      </c>
    </row>
    <row r="341" spans="1:12" x14ac:dyDescent="0.35">
      <c r="A341" s="4">
        <v>45820</v>
      </c>
      <c r="B341" t="s">
        <v>69</v>
      </c>
      <c r="C341">
        <v>63</v>
      </c>
      <c r="D341" t="s">
        <v>37</v>
      </c>
      <c r="E341" t="s">
        <v>70</v>
      </c>
      <c r="F341" t="s">
        <v>75</v>
      </c>
      <c r="G341">
        <v>8.4</v>
      </c>
      <c r="H341" t="s">
        <v>72</v>
      </c>
      <c r="I341">
        <v>1</v>
      </c>
      <c r="J341" t="s">
        <v>87</v>
      </c>
      <c r="K341">
        <v>1</v>
      </c>
    </row>
    <row r="342" spans="1:12" x14ac:dyDescent="0.35">
      <c r="A342" s="4">
        <v>45820</v>
      </c>
      <c r="B342" t="s">
        <v>69</v>
      </c>
      <c r="C342">
        <v>63</v>
      </c>
      <c r="D342" t="s">
        <v>37</v>
      </c>
      <c r="E342" t="s">
        <v>70</v>
      </c>
      <c r="F342" t="s">
        <v>75</v>
      </c>
      <c r="G342">
        <v>7.5</v>
      </c>
      <c r="H342" t="s">
        <v>72</v>
      </c>
      <c r="I342">
        <v>1</v>
      </c>
      <c r="J342" t="s">
        <v>70</v>
      </c>
      <c r="K342">
        <v>4</v>
      </c>
    </row>
    <row r="343" spans="1:12" x14ac:dyDescent="0.35">
      <c r="A343" s="4">
        <v>45820</v>
      </c>
      <c r="B343" t="s">
        <v>69</v>
      </c>
      <c r="C343">
        <v>63</v>
      </c>
      <c r="D343" t="s">
        <v>37</v>
      </c>
      <c r="E343" t="s">
        <v>70</v>
      </c>
      <c r="F343" t="s">
        <v>75</v>
      </c>
      <c r="G343">
        <v>4.5999999999999996</v>
      </c>
      <c r="H343" t="s">
        <v>72</v>
      </c>
      <c r="I343">
        <v>1</v>
      </c>
      <c r="J343" t="s">
        <v>87</v>
      </c>
      <c r="K343">
        <v>1</v>
      </c>
    </row>
    <row r="344" spans="1:12" x14ac:dyDescent="0.35">
      <c r="A344" s="4">
        <v>45820</v>
      </c>
      <c r="B344" t="s">
        <v>69</v>
      </c>
      <c r="C344">
        <v>63</v>
      </c>
      <c r="D344" t="s">
        <v>37</v>
      </c>
      <c r="E344" t="s">
        <v>70</v>
      </c>
      <c r="F344" t="s">
        <v>95</v>
      </c>
      <c r="G344">
        <v>9.1</v>
      </c>
      <c r="H344" t="s">
        <v>74</v>
      </c>
      <c r="I344">
        <v>1</v>
      </c>
      <c r="J344" t="s">
        <v>87</v>
      </c>
      <c r="K344">
        <v>5</v>
      </c>
      <c r="L344" t="s">
        <v>96</v>
      </c>
    </row>
    <row r="345" spans="1:12" x14ac:dyDescent="0.35">
      <c r="A345" s="4">
        <v>45820</v>
      </c>
      <c r="B345" t="s">
        <v>69</v>
      </c>
      <c r="C345">
        <v>63</v>
      </c>
      <c r="D345" t="s">
        <v>37</v>
      </c>
      <c r="E345" t="s">
        <v>70</v>
      </c>
      <c r="F345" t="s">
        <v>75</v>
      </c>
      <c r="G345">
        <v>8.3000000000000007</v>
      </c>
      <c r="H345" t="s">
        <v>72</v>
      </c>
      <c r="I345">
        <v>1</v>
      </c>
      <c r="J345" t="s">
        <v>70</v>
      </c>
      <c r="K345">
        <v>3</v>
      </c>
    </row>
    <row r="346" spans="1:12" x14ac:dyDescent="0.35">
      <c r="A346" s="4">
        <v>45820</v>
      </c>
      <c r="B346" t="s">
        <v>69</v>
      </c>
      <c r="C346">
        <v>63</v>
      </c>
      <c r="D346" t="s">
        <v>37</v>
      </c>
      <c r="E346" t="s">
        <v>70</v>
      </c>
      <c r="F346" t="s">
        <v>75</v>
      </c>
      <c r="G346">
        <v>2.5</v>
      </c>
      <c r="H346" t="s">
        <v>72</v>
      </c>
      <c r="I346">
        <v>1</v>
      </c>
      <c r="J346" t="s">
        <v>70</v>
      </c>
      <c r="K346">
        <v>2</v>
      </c>
    </row>
    <row r="347" spans="1:12" x14ac:dyDescent="0.35">
      <c r="A347" s="4">
        <v>45820</v>
      </c>
      <c r="B347" t="s">
        <v>69</v>
      </c>
      <c r="C347">
        <v>63</v>
      </c>
      <c r="D347" t="s">
        <v>37</v>
      </c>
      <c r="E347" t="s">
        <v>70</v>
      </c>
      <c r="F347" t="s">
        <v>75</v>
      </c>
      <c r="G347">
        <v>7</v>
      </c>
      <c r="H347" t="s">
        <v>72</v>
      </c>
      <c r="I347">
        <v>1</v>
      </c>
      <c r="J347" t="s">
        <v>70</v>
      </c>
      <c r="K347">
        <v>2</v>
      </c>
    </row>
    <row r="348" spans="1:12" x14ac:dyDescent="0.35">
      <c r="A348" s="4">
        <v>45820</v>
      </c>
      <c r="B348" t="s">
        <v>69</v>
      </c>
      <c r="C348">
        <v>63</v>
      </c>
      <c r="D348" t="s">
        <v>37</v>
      </c>
      <c r="E348" t="s">
        <v>70</v>
      </c>
      <c r="F348" t="s">
        <v>75</v>
      </c>
      <c r="G348">
        <v>3.8</v>
      </c>
      <c r="H348" t="s">
        <v>72</v>
      </c>
      <c r="I348">
        <v>1</v>
      </c>
      <c r="J348" t="s">
        <v>70</v>
      </c>
      <c r="K348">
        <v>2</v>
      </c>
      <c r="L348" t="s">
        <v>97</v>
      </c>
    </row>
    <row r="349" spans="1:12" x14ac:dyDescent="0.35">
      <c r="A349" s="4">
        <v>45820</v>
      </c>
      <c r="B349" t="s">
        <v>69</v>
      </c>
      <c r="C349">
        <v>63</v>
      </c>
      <c r="D349" t="s">
        <v>37</v>
      </c>
      <c r="E349" t="s">
        <v>70</v>
      </c>
      <c r="F349" t="s">
        <v>75</v>
      </c>
      <c r="G349">
        <v>8.5</v>
      </c>
      <c r="H349" t="s">
        <v>74</v>
      </c>
      <c r="I349">
        <v>1</v>
      </c>
      <c r="J349" t="s">
        <v>87</v>
      </c>
      <c r="K349">
        <v>5</v>
      </c>
    </row>
    <row r="350" spans="1:12" x14ac:dyDescent="0.35">
      <c r="A350" s="4">
        <v>45820</v>
      </c>
      <c r="B350" t="s">
        <v>69</v>
      </c>
      <c r="C350">
        <v>63</v>
      </c>
      <c r="D350" t="s">
        <v>37</v>
      </c>
      <c r="E350" t="s">
        <v>70</v>
      </c>
      <c r="F350" t="s">
        <v>75</v>
      </c>
      <c r="G350">
        <v>3.7</v>
      </c>
      <c r="H350" t="s">
        <v>72</v>
      </c>
      <c r="I350">
        <v>1</v>
      </c>
      <c r="J350" t="s">
        <v>87</v>
      </c>
      <c r="K350">
        <v>1</v>
      </c>
    </row>
    <row r="351" spans="1:12" x14ac:dyDescent="0.35">
      <c r="A351" s="4">
        <v>45820</v>
      </c>
      <c r="B351" t="s">
        <v>69</v>
      </c>
      <c r="C351">
        <v>63</v>
      </c>
      <c r="D351" t="s">
        <v>37</v>
      </c>
      <c r="E351" t="s">
        <v>70</v>
      </c>
      <c r="F351" t="s">
        <v>77</v>
      </c>
      <c r="G351">
        <v>3.9</v>
      </c>
      <c r="H351" t="s">
        <v>72</v>
      </c>
      <c r="I351">
        <v>1</v>
      </c>
      <c r="J351" t="s">
        <v>87</v>
      </c>
    </row>
    <row r="352" spans="1:12" x14ac:dyDescent="0.35">
      <c r="A352" s="4">
        <v>45820</v>
      </c>
      <c r="B352" t="s">
        <v>69</v>
      </c>
      <c r="C352">
        <v>63</v>
      </c>
      <c r="D352" t="s">
        <v>37</v>
      </c>
      <c r="E352" t="s">
        <v>70</v>
      </c>
      <c r="F352" t="s">
        <v>71</v>
      </c>
      <c r="G352">
        <v>2.7</v>
      </c>
      <c r="H352" t="s">
        <v>72</v>
      </c>
      <c r="I352">
        <v>1</v>
      </c>
      <c r="J352" t="s">
        <v>87</v>
      </c>
    </row>
    <row r="353" spans="1:12" x14ac:dyDescent="0.35">
      <c r="A353" s="4">
        <v>45820</v>
      </c>
      <c r="B353" t="s">
        <v>69</v>
      </c>
      <c r="C353">
        <v>63</v>
      </c>
      <c r="D353" t="s">
        <v>32</v>
      </c>
      <c r="E353" t="s">
        <v>87</v>
      </c>
      <c r="F353" t="s">
        <v>73</v>
      </c>
      <c r="G353">
        <f>35.9+34.7</f>
        <v>70.599999999999994</v>
      </c>
      <c r="H353" t="s">
        <v>72</v>
      </c>
      <c r="I353">
        <v>2</v>
      </c>
      <c r="J353" t="s">
        <v>87</v>
      </c>
    </row>
    <row r="354" spans="1:12" x14ac:dyDescent="0.35">
      <c r="A354" s="4">
        <v>45820</v>
      </c>
      <c r="B354" t="s">
        <v>69</v>
      </c>
      <c r="C354">
        <v>63</v>
      </c>
      <c r="D354" t="s">
        <v>32</v>
      </c>
      <c r="E354" t="s">
        <v>87</v>
      </c>
      <c r="F354" t="s">
        <v>77</v>
      </c>
      <c r="G354">
        <v>15.2</v>
      </c>
      <c r="H354" t="s">
        <v>74</v>
      </c>
      <c r="I354">
        <v>1</v>
      </c>
      <c r="J354" t="s">
        <v>87</v>
      </c>
    </row>
    <row r="355" spans="1:12" x14ac:dyDescent="0.35">
      <c r="A355" s="4">
        <v>45820</v>
      </c>
      <c r="B355" t="s">
        <v>69</v>
      </c>
      <c r="C355">
        <v>63</v>
      </c>
      <c r="D355" t="s">
        <v>32</v>
      </c>
      <c r="E355" t="s">
        <v>87</v>
      </c>
      <c r="F355" t="s">
        <v>73</v>
      </c>
      <c r="G355">
        <v>14</v>
      </c>
      <c r="H355" t="s">
        <v>72</v>
      </c>
      <c r="I355">
        <v>1</v>
      </c>
      <c r="J355" t="s">
        <v>87</v>
      </c>
    </row>
    <row r="356" spans="1:12" x14ac:dyDescent="0.35">
      <c r="A356" s="4">
        <v>45820</v>
      </c>
      <c r="B356" t="s">
        <v>69</v>
      </c>
      <c r="C356">
        <v>63</v>
      </c>
      <c r="D356" t="s">
        <v>32</v>
      </c>
      <c r="E356" t="s">
        <v>87</v>
      </c>
      <c r="F356" t="s">
        <v>73</v>
      </c>
      <c r="G356">
        <f>13.5+5.2</f>
        <v>18.7</v>
      </c>
      <c r="H356" t="s">
        <v>72</v>
      </c>
      <c r="I356">
        <v>2</v>
      </c>
      <c r="J356" t="s">
        <v>87</v>
      </c>
    </row>
    <row r="357" spans="1:12" x14ac:dyDescent="0.35">
      <c r="A357" s="4">
        <v>45820</v>
      </c>
      <c r="B357" t="s">
        <v>69</v>
      </c>
      <c r="C357">
        <v>63</v>
      </c>
      <c r="D357" t="s">
        <v>32</v>
      </c>
      <c r="E357" t="s">
        <v>87</v>
      </c>
      <c r="F357" t="s">
        <v>73</v>
      </c>
      <c r="G357">
        <f>9.7+3.9</f>
        <v>13.6</v>
      </c>
      <c r="H357" t="s">
        <v>72</v>
      </c>
      <c r="I357">
        <v>2</v>
      </c>
      <c r="J357" t="s">
        <v>87</v>
      </c>
    </row>
    <row r="358" spans="1:12" x14ac:dyDescent="0.35">
      <c r="A358" s="4">
        <v>45820</v>
      </c>
      <c r="B358" t="s">
        <v>69</v>
      </c>
      <c r="C358">
        <v>63</v>
      </c>
      <c r="D358" t="s">
        <v>32</v>
      </c>
      <c r="E358" t="s">
        <v>87</v>
      </c>
      <c r="F358" t="s">
        <v>93</v>
      </c>
      <c r="G358">
        <f>11.2+3.1</f>
        <v>14.299999999999999</v>
      </c>
      <c r="H358" t="s">
        <v>72</v>
      </c>
      <c r="I358">
        <v>2</v>
      </c>
      <c r="J358" t="s">
        <v>87</v>
      </c>
    </row>
    <row r="359" spans="1:12" x14ac:dyDescent="0.35">
      <c r="A359" s="4">
        <v>45820</v>
      </c>
      <c r="B359" t="s">
        <v>69</v>
      </c>
      <c r="C359">
        <v>63</v>
      </c>
      <c r="D359" t="s">
        <v>32</v>
      </c>
      <c r="E359" t="s">
        <v>87</v>
      </c>
      <c r="F359" t="s">
        <v>93</v>
      </c>
      <c r="G359">
        <f>11.4+3.3</f>
        <v>14.7</v>
      </c>
      <c r="H359" t="s">
        <v>72</v>
      </c>
      <c r="I359">
        <v>2</v>
      </c>
      <c r="J359" t="s">
        <v>87</v>
      </c>
    </row>
    <row r="360" spans="1:12" x14ac:dyDescent="0.35">
      <c r="A360" s="4">
        <v>45820</v>
      </c>
      <c r="B360" t="s">
        <v>69</v>
      </c>
      <c r="C360">
        <v>63</v>
      </c>
      <c r="D360" t="s">
        <v>32</v>
      </c>
      <c r="E360" t="s">
        <v>87</v>
      </c>
      <c r="F360" t="s">
        <v>93</v>
      </c>
      <c r="G360">
        <f>9.1+4.7</f>
        <v>13.8</v>
      </c>
      <c r="H360" t="s">
        <v>72</v>
      </c>
      <c r="I360">
        <v>2</v>
      </c>
      <c r="J360" t="s">
        <v>87</v>
      </c>
    </row>
    <row r="361" spans="1:12" x14ac:dyDescent="0.35">
      <c r="A361" s="4">
        <v>45820</v>
      </c>
      <c r="B361" t="s">
        <v>69</v>
      </c>
      <c r="C361">
        <v>63</v>
      </c>
      <c r="D361" t="s">
        <v>34</v>
      </c>
      <c r="E361" t="s">
        <v>87</v>
      </c>
      <c r="F361" t="s">
        <v>93</v>
      </c>
      <c r="G361">
        <f>25.3+67.2</f>
        <v>92.5</v>
      </c>
      <c r="H361" t="s">
        <v>72</v>
      </c>
      <c r="I361">
        <v>2</v>
      </c>
      <c r="J361" t="s">
        <v>87</v>
      </c>
    </row>
    <row r="362" spans="1:12" x14ac:dyDescent="0.35">
      <c r="A362" s="4">
        <v>45820</v>
      </c>
      <c r="B362" t="s">
        <v>69</v>
      </c>
      <c r="C362">
        <v>63</v>
      </c>
      <c r="D362" t="s">
        <v>34</v>
      </c>
      <c r="E362" t="s">
        <v>87</v>
      </c>
      <c r="F362" t="s">
        <v>93</v>
      </c>
      <c r="G362">
        <v>28</v>
      </c>
      <c r="H362" t="s">
        <v>72</v>
      </c>
      <c r="I362">
        <v>1</v>
      </c>
      <c r="J362" t="s">
        <v>70</v>
      </c>
    </row>
    <row r="363" spans="1:12" x14ac:dyDescent="0.35">
      <c r="A363" s="4">
        <v>45820</v>
      </c>
      <c r="B363" t="s">
        <v>69</v>
      </c>
      <c r="C363">
        <v>63</v>
      </c>
      <c r="D363" t="s">
        <v>34</v>
      </c>
      <c r="E363" t="s">
        <v>87</v>
      </c>
      <c r="F363" t="s">
        <v>93</v>
      </c>
      <c r="G363">
        <v>24.1</v>
      </c>
      <c r="H363" t="s">
        <v>74</v>
      </c>
      <c r="I363">
        <v>1</v>
      </c>
      <c r="J363" t="s">
        <v>87</v>
      </c>
    </row>
    <row r="364" spans="1:12" x14ac:dyDescent="0.35">
      <c r="A364" s="4">
        <v>45820</v>
      </c>
      <c r="B364" t="s">
        <v>69</v>
      </c>
      <c r="C364">
        <v>63</v>
      </c>
      <c r="D364" t="s">
        <v>34</v>
      </c>
      <c r="E364" t="s">
        <v>87</v>
      </c>
      <c r="F364" t="s">
        <v>75</v>
      </c>
      <c r="G364">
        <f>6+2.7+6.1+8.5</f>
        <v>23.299999999999997</v>
      </c>
      <c r="H364" t="s">
        <v>72</v>
      </c>
      <c r="I364">
        <v>4</v>
      </c>
      <c r="J364" t="s">
        <v>70</v>
      </c>
      <c r="K364">
        <v>3</v>
      </c>
      <c r="L364" t="s">
        <v>98</v>
      </c>
    </row>
    <row r="365" spans="1:12" x14ac:dyDescent="0.35">
      <c r="A365" s="4">
        <v>45820</v>
      </c>
      <c r="B365" t="s">
        <v>69</v>
      </c>
      <c r="C365">
        <v>63</v>
      </c>
      <c r="D365" t="s">
        <v>34</v>
      </c>
      <c r="E365" t="s">
        <v>87</v>
      </c>
      <c r="F365" t="s">
        <v>93</v>
      </c>
      <c r="G365">
        <f>11.1+6</f>
        <v>17.100000000000001</v>
      </c>
      <c r="H365" t="s">
        <v>72</v>
      </c>
      <c r="I365">
        <v>2</v>
      </c>
      <c r="J365" t="s">
        <v>70</v>
      </c>
    </row>
    <row r="366" spans="1:12" x14ac:dyDescent="0.35">
      <c r="A366" s="4">
        <v>45820</v>
      </c>
      <c r="B366" t="s">
        <v>69</v>
      </c>
      <c r="C366">
        <v>63</v>
      </c>
      <c r="D366" t="s">
        <v>34</v>
      </c>
      <c r="E366" t="s">
        <v>87</v>
      </c>
      <c r="F366" t="s">
        <v>93</v>
      </c>
      <c r="G366">
        <f>6.5+3.9+2.7</f>
        <v>13.100000000000001</v>
      </c>
      <c r="H366" t="s">
        <v>72</v>
      </c>
      <c r="I366">
        <v>3</v>
      </c>
      <c r="J366" t="s">
        <v>87</v>
      </c>
    </row>
    <row r="367" spans="1:12" x14ac:dyDescent="0.35">
      <c r="A367" s="4">
        <v>45820</v>
      </c>
      <c r="B367" t="s">
        <v>69</v>
      </c>
      <c r="C367">
        <v>63</v>
      </c>
      <c r="D367" t="s">
        <v>34</v>
      </c>
      <c r="E367" t="s">
        <v>87</v>
      </c>
      <c r="F367" t="s">
        <v>93</v>
      </c>
      <c r="G367">
        <f>20+40.5</f>
        <v>60.5</v>
      </c>
      <c r="H367" t="s">
        <v>72</v>
      </c>
      <c r="I367">
        <v>2</v>
      </c>
      <c r="J367" t="s">
        <v>70</v>
      </c>
    </row>
    <row r="368" spans="1:12" x14ac:dyDescent="0.35">
      <c r="A368" s="4">
        <v>45820</v>
      </c>
      <c r="B368" t="s">
        <v>69</v>
      </c>
      <c r="C368">
        <v>63</v>
      </c>
      <c r="D368" t="s">
        <v>36</v>
      </c>
      <c r="E368" t="s">
        <v>87</v>
      </c>
      <c r="F368" t="s">
        <v>93</v>
      </c>
      <c r="G368">
        <f>11.2+5.5+17.6+13.7+16.8+13+16.3</f>
        <v>94.1</v>
      </c>
      <c r="H368" t="s">
        <v>72</v>
      </c>
      <c r="I368">
        <v>7</v>
      </c>
      <c r="J368" t="s">
        <v>87</v>
      </c>
    </row>
    <row r="369" spans="1:12" x14ac:dyDescent="0.35">
      <c r="A369" s="4">
        <v>45820</v>
      </c>
      <c r="B369" t="s">
        <v>69</v>
      </c>
      <c r="C369">
        <v>63</v>
      </c>
      <c r="D369" t="s">
        <v>36</v>
      </c>
      <c r="E369" t="s">
        <v>87</v>
      </c>
      <c r="F369" t="s">
        <v>91</v>
      </c>
      <c r="G369">
        <v>37.299999999999997</v>
      </c>
      <c r="H369" t="s">
        <v>72</v>
      </c>
      <c r="I369">
        <v>1</v>
      </c>
      <c r="J369" t="s">
        <v>87</v>
      </c>
    </row>
    <row r="370" spans="1:12" x14ac:dyDescent="0.35">
      <c r="A370" s="4">
        <v>45820</v>
      </c>
      <c r="B370" t="s">
        <v>69</v>
      </c>
      <c r="C370">
        <v>63</v>
      </c>
      <c r="D370" t="s">
        <v>36</v>
      </c>
      <c r="E370" t="s">
        <v>87</v>
      </c>
      <c r="F370" t="s">
        <v>91</v>
      </c>
      <c r="G370">
        <v>25.9</v>
      </c>
      <c r="H370" t="s">
        <v>72</v>
      </c>
      <c r="I370">
        <v>1</v>
      </c>
      <c r="J370" t="s">
        <v>87</v>
      </c>
    </row>
    <row r="371" spans="1:12" x14ac:dyDescent="0.35">
      <c r="A371" s="4">
        <v>45820</v>
      </c>
      <c r="B371" t="s">
        <v>69</v>
      </c>
      <c r="C371">
        <v>63</v>
      </c>
      <c r="D371" t="s">
        <v>36</v>
      </c>
      <c r="E371" t="s">
        <v>87</v>
      </c>
      <c r="F371" t="s">
        <v>91</v>
      </c>
      <c r="G371">
        <v>46.6</v>
      </c>
      <c r="H371" t="s">
        <v>72</v>
      </c>
      <c r="I371">
        <v>1</v>
      </c>
      <c r="J371" t="s">
        <v>87</v>
      </c>
    </row>
    <row r="372" spans="1:12" x14ac:dyDescent="0.35">
      <c r="A372" s="4">
        <v>45820</v>
      </c>
      <c r="B372" t="s">
        <v>69</v>
      </c>
      <c r="C372">
        <v>63</v>
      </c>
      <c r="D372" t="s">
        <v>36</v>
      </c>
      <c r="E372" t="s">
        <v>70</v>
      </c>
      <c r="F372" t="s">
        <v>93</v>
      </c>
      <c r="G372">
        <f>13.9+31.1</f>
        <v>45</v>
      </c>
      <c r="H372" t="s">
        <v>74</v>
      </c>
      <c r="I372">
        <v>2</v>
      </c>
      <c r="J372" t="s">
        <v>87</v>
      </c>
    </row>
    <row r="373" spans="1:12" x14ac:dyDescent="0.35">
      <c r="A373" s="4">
        <v>45820</v>
      </c>
      <c r="B373" t="s">
        <v>69</v>
      </c>
      <c r="C373">
        <v>63</v>
      </c>
      <c r="D373" t="s">
        <v>36</v>
      </c>
      <c r="E373" t="s">
        <v>87</v>
      </c>
      <c r="F373" t="s">
        <v>93</v>
      </c>
      <c r="G373">
        <f>31.5+31.1+25.4</f>
        <v>88</v>
      </c>
      <c r="H373" t="s">
        <v>72</v>
      </c>
      <c r="I373">
        <v>3</v>
      </c>
      <c r="J373" t="s">
        <v>87</v>
      </c>
    </row>
    <row r="374" spans="1:12" x14ac:dyDescent="0.35">
      <c r="A374" s="4">
        <v>45820</v>
      </c>
      <c r="B374" t="s">
        <v>69</v>
      </c>
      <c r="C374">
        <v>63</v>
      </c>
      <c r="D374" t="s">
        <v>36</v>
      </c>
      <c r="E374" t="s">
        <v>87</v>
      </c>
      <c r="F374" t="s">
        <v>86</v>
      </c>
      <c r="G374">
        <v>17.100000000000001</v>
      </c>
      <c r="H374" t="s">
        <v>74</v>
      </c>
      <c r="I374">
        <v>1</v>
      </c>
      <c r="J374" t="s">
        <v>87</v>
      </c>
    </row>
    <row r="375" spans="1:12" x14ac:dyDescent="0.35">
      <c r="A375" s="4">
        <v>45820</v>
      </c>
      <c r="B375" t="s">
        <v>69</v>
      </c>
      <c r="C375">
        <v>63</v>
      </c>
      <c r="D375" t="s">
        <v>36</v>
      </c>
      <c r="E375" t="s">
        <v>87</v>
      </c>
      <c r="F375" t="s">
        <v>93</v>
      </c>
      <c r="G375">
        <f>15.3+7.7+7.1+7.5</f>
        <v>37.6</v>
      </c>
      <c r="H375" t="s">
        <v>72</v>
      </c>
      <c r="I375">
        <v>4</v>
      </c>
      <c r="J375" t="s">
        <v>87</v>
      </c>
    </row>
    <row r="376" spans="1:12" x14ac:dyDescent="0.35">
      <c r="A376" s="4">
        <v>45820</v>
      </c>
      <c r="B376" t="s">
        <v>69</v>
      </c>
      <c r="C376">
        <v>63</v>
      </c>
      <c r="D376" t="s">
        <v>36</v>
      </c>
      <c r="E376" t="s">
        <v>87</v>
      </c>
      <c r="F376" t="s">
        <v>77</v>
      </c>
      <c r="G376">
        <v>13.8</v>
      </c>
      <c r="H376" t="s">
        <v>72</v>
      </c>
      <c r="I376">
        <v>1</v>
      </c>
      <c r="J376" t="s">
        <v>87</v>
      </c>
    </row>
    <row r="377" spans="1:12" x14ac:dyDescent="0.35">
      <c r="A377" s="4">
        <v>45820</v>
      </c>
      <c r="B377" t="s">
        <v>69</v>
      </c>
      <c r="C377">
        <v>63</v>
      </c>
      <c r="D377" t="s">
        <v>36</v>
      </c>
      <c r="E377" t="s">
        <v>87</v>
      </c>
      <c r="F377" t="s">
        <v>77</v>
      </c>
      <c r="G377">
        <v>13</v>
      </c>
      <c r="H377" t="s">
        <v>74</v>
      </c>
      <c r="I377">
        <v>1</v>
      </c>
      <c r="J377" t="s">
        <v>87</v>
      </c>
    </row>
    <row r="378" spans="1:12" x14ac:dyDescent="0.35">
      <c r="A378" s="4">
        <v>45820</v>
      </c>
      <c r="B378" t="s">
        <v>69</v>
      </c>
      <c r="C378">
        <v>63</v>
      </c>
      <c r="D378" t="s">
        <v>36</v>
      </c>
      <c r="E378" t="s">
        <v>87</v>
      </c>
      <c r="F378" t="s">
        <v>93</v>
      </c>
      <c r="G378">
        <v>23.5</v>
      </c>
      <c r="H378" t="s">
        <v>72</v>
      </c>
      <c r="I378">
        <v>1</v>
      </c>
      <c r="J378" t="s">
        <v>87</v>
      </c>
    </row>
    <row r="379" spans="1:12" x14ac:dyDescent="0.35">
      <c r="A379" s="4">
        <v>45820</v>
      </c>
      <c r="B379" t="s">
        <v>69</v>
      </c>
      <c r="C379">
        <v>63</v>
      </c>
      <c r="D379" t="s">
        <v>37</v>
      </c>
      <c r="E379" t="s">
        <v>87</v>
      </c>
      <c r="F379" t="s">
        <v>77</v>
      </c>
      <c r="G379">
        <v>13.3</v>
      </c>
      <c r="H379" t="s">
        <v>72</v>
      </c>
      <c r="I379">
        <v>1</v>
      </c>
      <c r="J379" t="s">
        <v>87</v>
      </c>
    </row>
    <row r="380" spans="1:12" x14ac:dyDescent="0.35">
      <c r="A380" s="4">
        <v>45820</v>
      </c>
      <c r="B380" t="s">
        <v>69</v>
      </c>
      <c r="C380">
        <v>63</v>
      </c>
      <c r="D380" t="s">
        <v>36</v>
      </c>
      <c r="E380" t="s">
        <v>87</v>
      </c>
      <c r="F380" t="s">
        <v>86</v>
      </c>
      <c r="G380">
        <v>32.200000000000003</v>
      </c>
      <c r="H380" t="s">
        <v>74</v>
      </c>
      <c r="I380">
        <v>1</v>
      </c>
      <c r="J380" t="s">
        <v>87</v>
      </c>
    </row>
    <row r="381" spans="1:12" x14ac:dyDescent="0.35">
      <c r="A381" s="4">
        <v>45820</v>
      </c>
      <c r="B381" t="s">
        <v>69</v>
      </c>
      <c r="C381">
        <v>63</v>
      </c>
      <c r="D381" t="s">
        <v>37</v>
      </c>
      <c r="E381" t="s">
        <v>87</v>
      </c>
      <c r="F381" t="s">
        <v>90</v>
      </c>
      <c r="G381">
        <v>28</v>
      </c>
      <c r="H381" t="s">
        <v>74</v>
      </c>
      <c r="I381">
        <v>1</v>
      </c>
      <c r="J381" t="s">
        <v>87</v>
      </c>
    </row>
    <row r="382" spans="1:12" x14ac:dyDescent="0.35">
      <c r="A382" s="4">
        <v>45820</v>
      </c>
      <c r="B382" t="s">
        <v>69</v>
      </c>
      <c r="C382">
        <v>63</v>
      </c>
      <c r="D382" t="s">
        <v>37</v>
      </c>
      <c r="E382" t="s">
        <v>87</v>
      </c>
      <c r="F382" t="s">
        <v>77</v>
      </c>
      <c r="G382">
        <v>14.4</v>
      </c>
      <c r="H382" t="s">
        <v>72</v>
      </c>
      <c r="I382">
        <v>1</v>
      </c>
      <c r="J382" t="s">
        <v>87</v>
      </c>
    </row>
    <row r="383" spans="1:12" x14ac:dyDescent="0.35">
      <c r="A383" s="4">
        <v>45820</v>
      </c>
      <c r="B383" t="s">
        <v>69</v>
      </c>
      <c r="C383">
        <v>63</v>
      </c>
      <c r="D383" t="s">
        <v>37</v>
      </c>
      <c r="E383" t="s">
        <v>87</v>
      </c>
      <c r="F383" t="s">
        <v>75</v>
      </c>
      <c r="G383">
        <f>9.1+2.5</f>
        <v>11.6</v>
      </c>
      <c r="H383" t="s">
        <v>72</v>
      </c>
      <c r="I383">
        <v>2</v>
      </c>
      <c r="J383" t="s">
        <v>70</v>
      </c>
      <c r="K383">
        <v>3</v>
      </c>
      <c r="L383" t="s">
        <v>99</v>
      </c>
    </row>
    <row r="384" spans="1:12" x14ac:dyDescent="0.35">
      <c r="A384" s="4">
        <v>45820</v>
      </c>
      <c r="B384" t="s">
        <v>69</v>
      </c>
      <c r="C384">
        <v>63</v>
      </c>
      <c r="D384" t="s">
        <v>37</v>
      </c>
      <c r="E384" t="s">
        <v>87</v>
      </c>
      <c r="F384" t="s">
        <v>75</v>
      </c>
      <c r="G384">
        <v>11.2</v>
      </c>
      <c r="H384" t="s">
        <v>72</v>
      </c>
      <c r="I384">
        <v>1</v>
      </c>
      <c r="J384" t="s">
        <v>70</v>
      </c>
      <c r="K384">
        <v>2</v>
      </c>
      <c r="L384" t="s">
        <v>100</v>
      </c>
    </row>
    <row r="385" spans="1:10" x14ac:dyDescent="0.35">
      <c r="A385" s="4">
        <v>45820</v>
      </c>
      <c r="B385" t="s">
        <v>69</v>
      </c>
      <c r="C385">
        <v>63</v>
      </c>
      <c r="D385" t="s">
        <v>37</v>
      </c>
      <c r="E385" t="s">
        <v>87</v>
      </c>
      <c r="F385" t="s">
        <v>77</v>
      </c>
      <c r="G385">
        <f>13.6+3.9</f>
        <v>17.5</v>
      </c>
      <c r="H385" t="s">
        <v>72</v>
      </c>
      <c r="I385">
        <v>2</v>
      </c>
      <c r="J385" t="s">
        <v>87</v>
      </c>
    </row>
    <row r="386" spans="1:10" x14ac:dyDescent="0.35">
      <c r="A386" s="4">
        <v>45820</v>
      </c>
      <c r="B386" t="s">
        <v>69</v>
      </c>
      <c r="C386">
        <v>63</v>
      </c>
      <c r="D386" t="s">
        <v>37</v>
      </c>
      <c r="E386" t="s">
        <v>87</v>
      </c>
      <c r="F386" t="s">
        <v>93</v>
      </c>
      <c r="G386">
        <f>27.9+31.5+30.9+38.8</f>
        <v>129.1</v>
      </c>
      <c r="H386" t="s">
        <v>72</v>
      </c>
      <c r="I386">
        <v>4</v>
      </c>
      <c r="J386" t="s">
        <v>87</v>
      </c>
    </row>
    <row r="387" spans="1:10" x14ac:dyDescent="0.35">
      <c r="A387" s="4">
        <v>45820</v>
      </c>
      <c r="B387" t="s">
        <v>69</v>
      </c>
      <c r="C387">
        <v>63</v>
      </c>
      <c r="D387" t="s">
        <v>37</v>
      </c>
      <c r="E387" t="s">
        <v>87</v>
      </c>
      <c r="F387" t="s">
        <v>93</v>
      </c>
      <c r="G387">
        <v>28.9</v>
      </c>
      <c r="H387" t="s">
        <v>72</v>
      </c>
      <c r="I387">
        <v>1</v>
      </c>
      <c r="J387" t="s">
        <v>87</v>
      </c>
    </row>
    <row r="388" spans="1:10" s="6" customFormat="1" x14ac:dyDescent="0.35">
      <c r="A388" s="5">
        <v>45812</v>
      </c>
      <c r="B388" s="6" t="s">
        <v>131</v>
      </c>
      <c r="C388" s="6">
        <v>70</v>
      </c>
      <c r="D388" s="6" t="s">
        <v>32</v>
      </c>
      <c r="E388" s="6" t="s">
        <v>70</v>
      </c>
      <c r="F388" s="6" t="s">
        <v>90</v>
      </c>
      <c r="G388" s="6">
        <v>8.1999999999999993</v>
      </c>
      <c r="H388" s="6" t="s">
        <v>74</v>
      </c>
      <c r="I388" s="6">
        <v>1</v>
      </c>
      <c r="J388" s="6" t="s">
        <v>87</v>
      </c>
    </row>
    <row r="389" spans="1:10" x14ac:dyDescent="0.35">
      <c r="A389" s="4">
        <v>45812</v>
      </c>
      <c r="B389" t="s">
        <v>131</v>
      </c>
      <c r="C389">
        <v>70</v>
      </c>
      <c r="D389" t="s">
        <v>32</v>
      </c>
      <c r="E389" t="s">
        <v>70</v>
      </c>
      <c r="F389" t="s">
        <v>132</v>
      </c>
      <c r="G389">
        <v>54.2</v>
      </c>
      <c r="H389" t="s">
        <v>72</v>
      </c>
      <c r="I389">
        <v>1</v>
      </c>
      <c r="J389" t="s">
        <v>87</v>
      </c>
    </row>
    <row r="390" spans="1:10" x14ac:dyDescent="0.35">
      <c r="A390" s="4">
        <v>45812</v>
      </c>
      <c r="B390" t="s">
        <v>131</v>
      </c>
      <c r="C390">
        <v>70</v>
      </c>
      <c r="D390" t="s">
        <v>32</v>
      </c>
      <c r="E390" t="s">
        <v>70</v>
      </c>
      <c r="F390" t="s">
        <v>90</v>
      </c>
      <c r="G390">
        <v>4.8</v>
      </c>
      <c r="H390" t="s">
        <v>74</v>
      </c>
      <c r="I390">
        <v>1</v>
      </c>
      <c r="J390" t="s">
        <v>87</v>
      </c>
    </row>
    <row r="391" spans="1:10" x14ac:dyDescent="0.35">
      <c r="A391" s="4">
        <v>45812</v>
      </c>
      <c r="B391" t="s">
        <v>131</v>
      </c>
      <c r="C391">
        <v>70</v>
      </c>
      <c r="D391" t="s">
        <v>80</v>
      </c>
      <c r="E391" t="s">
        <v>70</v>
      </c>
      <c r="F391" t="s">
        <v>88</v>
      </c>
      <c r="G391">
        <f>3+4.5+5.1</f>
        <v>12.6</v>
      </c>
      <c r="H391" t="s">
        <v>72</v>
      </c>
      <c r="I391">
        <v>3</v>
      </c>
      <c r="J391" t="s">
        <v>87</v>
      </c>
    </row>
    <row r="392" spans="1:10" x14ac:dyDescent="0.35">
      <c r="A392" s="4">
        <v>45812</v>
      </c>
      <c r="B392" t="s">
        <v>131</v>
      </c>
      <c r="C392">
        <v>70</v>
      </c>
      <c r="D392" t="s">
        <v>80</v>
      </c>
      <c r="E392" t="s">
        <v>70</v>
      </c>
      <c r="F392" t="s">
        <v>88</v>
      </c>
      <c r="G392">
        <v>11.4</v>
      </c>
      <c r="H392" t="s">
        <v>74</v>
      </c>
      <c r="I392">
        <v>1</v>
      </c>
      <c r="J392" t="s">
        <v>87</v>
      </c>
    </row>
    <row r="393" spans="1:10" x14ac:dyDescent="0.35">
      <c r="A393" s="4">
        <v>45812</v>
      </c>
      <c r="B393" t="s">
        <v>131</v>
      </c>
      <c r="C393">
        <v>70</v>
      </c>
      <c r="D393" t="s">
        <v>32</v>
      </c>
      <c r="E393" t="s">
        <v>70</v>
      </c>
      <c r="F393" t="s">
        <v>88</v>
      </c>
      <c r="G393">
        <v>4.4000000000000004</v>
      </c>
      <c r="H393" t="s">
        <v>72</v>
      </c>
      <c r="I393">
        <v>1</v>
      </c>
      <c r="J393" t="s">
        <v>87</v>
      </c>
    </row>
    <row r="394" spans="1:10" x14ac:dyDescent="0.35">
      <c r="A394" s="4">
        <v>45812</v>
      </c>
      <c r="B394" t="s">
        <v>131</v>
      </c>
      <c r="C394">
        <v>70</v>
      </c>
      <c r="D394" t="s">
        <v>32</v>
      </c>
      <c r="E394" t="s">
        <v>70</v>
      </c>
      <c r="F394" t="s">
        <v>88</v>
      </c>
      <c r="G394">
        <f>7.2+2.3+2.4</f>
        <v>11.9</v>
      </c>
      <c r="H394" t="s">
        <v>72</v>
      </c>
      <c r="I394">
        <v>3</v>
      </c>
      <c r="J394" t="s">
        <v>87</v>
      </c>
    </row>
    <row r="395" spans="1:10" x14ac:dyDescent="0.35">
      <c r="A395" s="4">
        <v>45812</v>
      </c>
      <c r="B395" t="s">
        <v>131</v>
      </c>
      <c r="C395">
        <v>70</v>
      </c>
      <c r="D395" t="s">
        <v>32</v>
      </c>
      <c r="E395" t="s">
        <v>70</v>
      </c>
      <c r="F395" t="s">
        <v>88</v>
      </c>
      <c r="G395">
        <v>3.2</v>
      </c>
      <c r="H395" t="s">
        <v>72</v>
      </c>
      <c r="I395">
        <v>1</v>
      </c>
      <c r="J395" t="s">
        <v>87</v>
      </c>
    </row>
    <row r="396" spans="1:10" x14ac:dyDescent="0.35">
      <c r="A396" s="4">
        <v>45812</v>
      </c>
      <c r="B396" t="s">
        <v>131</v>
      </c>
      <c r="C396">
        <v>70</v>
      </c>
      <c r="D396" t="s">
        <v>32</v>
      </c>
      <c r="E396" t="s">
        <v>70</v>
      </c>
      <c r="F396" t="s">
        <v>132</v>
      </c>
      <c r="G396">
        <v>11</v>
      </c>
      <c r="H396" t="s">
        <v>72</v>
      </c>
      <c r="I396">
        <v>1</v>
      </c>
      <c r="J396" t="s">
        <v>87</v>
      </c>
    </row>
    <row r="397" spans="1:10" x14ac:dyDescent="0.35">
      <c r="A397" s="4">
        <v>45812</v>
      </c>
      <c r="B397" t="s">
        <v>131</v>
      </c>
      <c r="C397">
        <v>70</v>
      </c>
      <c r="D397" t="s">
        <v>34</v>
      </c>
      <c r="E397" t="s">
        <v>70</v>
      </c>
      <c r="F397" t="s">
        <v>88</v>
      </c>
      <c r="G397">
        <v>4.2</v>
      </c>
      <c r="H397" t="s">
        <v>72</v>
      </c>
      <c r="I397">
        <v>1</v>
      </c>
      <c r="J397" t="s">
        <v>87</v>
      </c>
    </row>
    <row r="398" spans="1:10" x14ac:dyDescent="0.35">
      <c r="A398" s="4">
        <v>45812</v>
      </c>
      <c r="B398" t="s">
        <v>131</v>
      </c>
      <c r="C398">
        <v>70</v>
      </c>
      <c r="D398" t="s">
        <v>32</v>
      </c>
      <c r="E398" t="s">
        <v>70</v>
      </c>
      <c r="F398" t="s">
        <v>88</v>
      </c>
      <c r="G398">
        <v>10.3</v>
      </c>
      <c r="H398" t="s">
        <v>72</v>
      </c>
      <c r="I398">
        <v>1</v>
      </c>
      <c r="J398" t="s">
        <v>87</v>
      </c>
    </row>
    <row r="399" spans="1:10" x14ac:dyDescent="0.35">
      <c r="A399" s="4">
        <v>45812</v>
      </c>
      <c r="B399" t="s">
        <v>131</v>
      </c>
      <c r="C399">
        <v>70</v>
      </c>
      <c r="D399" t="s">
        <v>32</v>
      </c>
      <c r="E399" t="s">
        <v>70</v>
      </c>
      <c r="F399" t="s">
        <v>88</v>
      </c>
      <c r="G399">
        <v>4.5</v>
      </c>
      <c r="H399" t="s">
        <v>74</v>
      </c>
      <c r="I399">
        <v>1</v>
      </c>
      <c r="J399" t="s">
        <v>87</v>
      </c>
    </row>
    <row r="400" spans="1:10" x14ac:dyDescent="0.35">
      <c r="A400" s="4">
        <v>45812</v>
      </c>
      <c r="B400" t="s">
        <v>131</v>
      </c>
      <c r="C400">
        <v>70</v>
      </c>
      <c r="D400" t="s">
        <v>34</v>
      </c>
      <c r="E400" t="s">
        <v>70</v>
      </c>
      <c r="F400" t="s">
        <v>133</v>
      </c>
      <c r="G400">
        <v>2.9</v>
      </c>
      <c r="H400" t="s">
        <v>72</v>
      </c>
      <c r="I400">
        <v>1</v>
      </c>
      <c r="J400" t="s">
        <v>70</v>
      </c>
    </row>
    <row r="401" spans="1:10" x14ac:dyDescent="0.35">
      <c r="A401" s="4">
        <v>45812</v>
      </c>
      <c r="B401" t="s">
        <v>131</v>
      </c>
      <c r="C401">
        <v>70</v>
      </c>
      <c r="D401" t="s">
        <v>34</v>
      </c>
      <c r="E401" t="s">
        <v>70</v>
      </c>
      <c r="F401" t="s">
        <v>133</v>
      </c>
      <c r="G401">
        <v>13.1</v>
      </c>
      <c r="H401" t="s">
        <v>72</v>
      </c>
      <c r="I401">
        <v>1</v>
      </c>
      <c r="J401" t="s">
        <v>87</v>
      </c>
    </row>
    <row r="402" spans="1:10" x14ac:dyDescent="0.35">
      <c r="A402" s="4">
        <v>45812</v>
      </c>
      <c r="B402" t="s">
        <v>131</v>
      </c>
      <c r="C402">
        <v>70</v>
      </c>
      <c r="D402" t="s">
        <v>34</v>
      </c>
      <c r="E402" t="s">
        <v>70</v>
      </c>
      <c r="F402" t="s">
        <v>88</v>
      </c>
      <c r="G402">
        <f>8.1+8.7+4.9</f>
        <v>21.699999999999996</v>
      </c>
      <c r="H402" t="s">
        <v>72</v>
      </c>
      <c r="I402">
        <v>3</v>
      </c>
      <c r="J402" t="s">
        <v>70</v>
      </c>
    </row>
    <row r="403" spans="1:10" x14ac:dyDescent="0.35">
      <c r="A403" s="4">
        <v>45812</v>
      </c>
      <c r="B403" t="s">
        <v>131</v>
      </c>
      <c r="C403">
        <v>70</v>
      </c>
      <c r="D403" t="s">
        <v>34</v>
      </c>
      <c r="E403" t="s">
        <v>70</v>
      </c>
      <c r="F403" t="s">
        <v>134</v>
      </c>
      <c r="G403">
        <v>29.9</v>
      </c>
      <c r="H403" t="s">
        <v>72</v>
      </c>
      <c r="I403">
        <v>1</v>
      </c>
      <c r="J403" t="s">
        <v>87</v>
      </c>
    </row>
    <row r="404" spans="1:10" x14ac:dyDescent="0.35">
      <c r="A404" s="4">
        <v>45812</v>
      </c>
      <c r="B404" t="s">
        <v>131</v>
      </c>
      <c r="C404">
        <v>70</v>
      </c>
      <c r="D404" t="s">
        <v>34</v>
      </c>
      <c r="E404" t="s">
        <v>70</v>
      </c>
      <c r="F404" t="s">
        <v>88</v>
      </c>
      <c r="G404">
        <v>2.7</v>
      </c>
      <c r="H404" t="s">
        <v>72</v>
      </c>
      <c r="I404">
        <v>1</v>
      </c>
      <c r="J404" t="s">
        <v>87</v>
      </c>
    </row>
    <row r="405" spans="1:10" x14ac:dyDescent="0.35">
      <c r="A405" s="4">
        <v>45812</v>
      </c>
      <c r="B405" t="s">
        <v>131</v>
      </c>
      <c r="C405">
        <v>70</v>
      </c>
      <c r="D405" t="s">
        <v>34</v>
      </c>
      <c r="E405" t="s">
        <v>70</v>
      </c>
      <c r="F405" t="s">
        <v>88</v>
      </c>
      <c r="G405">
        <v>3.5</v>
      </c>
      <c r="H405" t="s">
        <v>72</v>
      </c>
      <c r="I405">
        <v>1</v>
      </c>
      <c r="J405" t="s">
        <v>87</v>
      </c>
    </row>
    <row r="406" spans="1:10" x14ac:dyDescent="0.35">
      <c r="A406" s="4">
        <v>45812</v>
      </c>
      <c r="B406" t="s">
        <v>131</v>
      </c>
      <c r="C406">
        <v>70</v>
      </c>
      <c r="D406" t="s">
        <v>34</v>
      </c>
      <c r="E406" t="s">
        <v>70</v>
      </c>
      <c r="F406" t="s">
        <v>88</v>
      </c>
      <c r="G406">
        <v>4.2</v>
      </c>
      <c r="H406" t="s">
        <v>72</v>
      </c>
      <c r="I406">
        <v>1</v>
      </c>
      <c r="J406" t="s">
        <v>87</v>
      </c>
    </row>
    <row r="407" spans="1:10" x14ac:dyDescent="0.35">
      <c r="A407" s="4">
        <v>45812</v>
      </c>
      <c r="B407" t="s">
        <v>131</v>
      </c>
      <c r="C407">
        <v>70</v>
      </c>
      <c r="D407" t="s">
        <v>34</v>
      </c>
      <c r="E407" t="s">
        <v>70</v>
      </c>
      <c r="F407" t="s">
        <v>88</v>
      </c>
      <c r="G407">
        <v>5</v>
      </c>
      <c r="H407" t="s">
        <v>72</v>
      </c>
      <c r="I407">
        <v>1</v>
      </c>
      <c r="J407" t="s">
        <v>87</v>
      </c>
    </row>
    <row r="408" spans="1:10" x14ac:dyDescent="0.35">
      <c r="A408" s="4">
        <v>45812</v>
      </c>
      <c r="B408" t="s">
        <v>131</v>
      </c>
      <c r="C408">
        <v>70</v>
      </c>
      <c r="D408" t="s">
        <v>36</v>
      </c>
      <c r="E408" t="s">
        <v>70</v>
      </c>
      <c r="F408" t="s">
        <v>88</v>
      </c>
      <c r="G408">
        <v>6.1</v>
      </c>
      <c r="H408" t="s">
        <v>72</v>
      </c>
      <c r="I408">
        <v>1</v>
      </c>
      <c r="J408" t="s">
        <v>87</v>
      </c>
    </row>
    <row r="409" spans="1:10" x14ac:dyDescent="0.35">
      <c r="A409" s="4">
        <v>45812</v>
      </c>
      <c r="B409" t="s">
        <v>131</v>
      </c>
      <c r="C409">
        <v>70</v>
      </c>
      <c r="D409" t="s">
        <v>36</v>
      </c>
      <c r="E409" t="s">
        <v>70</v>
      </c>
      <c r="F409" t="s">
        <v>93</v>
      </c>
      <c r="G409">
        <f>43.2+29.5</f>
        <v>72.7</v>
      </c>
      <c r="H409" t="s">
        <v>72</v>
      </c>
      <c r="I409">
        <v>2</v>
      </c>
      <c r="J409" t="s">
        <v>87</v>
      </c>
    </row>
    <row r="410" spans="1:10" x14ac:dyDescent="0.35">
      <c r="A410" s="4">
        <v>45812</v>
      </c>
      <c r="B410" t="s">
        <v>131</v>
      </c>
      <c r="C410">
        <v>70</v>
      </c>
      <c r="D410" t="s">
        <v>36</v>
      </c>
      <c r="E410" t="s">
        <v>70</v>
      </c>
      <c r="F410" t="s">
        <v>88</v>
      </c>
      <c r="G410">
        <v>6.8</v>
      </c>
      <c r="H410" t="s">
        <v>72</v>
      </c>
      <c r="I410">
        <v>1</v>
      </c>
      <c r="J410" t="s">
        <v>87</v>
      </c>
    </row>
    <row r="411" spans="1:10" x14ac:dyDescent="0.35">
      <c r="A411" s="4">
        <v>45812</v>
      </c>
      <c r="B411" t="s">
        <v>131</v>
      </c>
      <c r="C411">
        <v>70</v>
      </c>
      <c r="D411" t="s">
        <v>36</v>
      </c>
      <c r="E411" t="s">
        <v>70</v>
      </c>
      <c r="F411" t="s">
        <v>88</v>
      </c>
      <c r="G411">
        <f>4.3+3.2</f>
        <v>7.5</v>
      </c>
      <c r="H411" t="s">
        <v>72</v>
      </c>
      <c r="I411">
        <v>2</v>
      </c>
      <c r="J411" t="s">
        <v>70</v>
      </c>
    </row>
    <row r="412" spans="1:10" x14ac:dyDescent="0.35">
      <c r="A412" s="4">
        <v>45812</v>
      </c>
      <c r="B412" t="s">
        <v>131</v>
      </c>
      <c r="C412">
        <v>70</v>
      </c>
      <c r="D412" t="s">
        <v>36</v>
      </c>
      <c r="E412" t="s">
        <v>70</v>
      </c>
      <c r="F412" t="s">
        <v>136</v>
      </c>
      <c r="G412">
        <v>22.3</v>
      </c>
      <c r="H412" t="s">
        <v>72</v>
      </c>
      <c r="I412">
        <v>1</v>
      </c>
      <c r="J412" t="s">
        <v>87</v>
      </c>
    </row>
    <row r="413" spans="1:10" x14ac:dyDescent="0.35">
      <c r="A413" s="4">
        <v>45812</v>
      </c>
      <c r="B413" t="s">
        <v>131</v>
      </c>
      <c r="C413">
        <v>70</v>
      </c>
      <c r="D413" t="s">
        <v>37</v>
      </c>
      <c r="E413" t="s">
        <v>70</v>
      </c>
      <c r="F413" t="s">
        <v>88</v>
      </c>
      <c r="G413">
        <f>6+2.4</f>
        <v>8.4</v>
      </c>
      <c r="H413" t="s">
        <v>72</v>
      </c>
      <c r="I413">
        <v>2</v>
      </c>
      <c r="J413" t="s">
        <v>70</v>
      </c>
    </row>
    <row r="414" spans="1:10" x14ac:dyDescent="0.35">
      <c r="A414" s="4">
        <v>45812</v>
      </c>
      <c r="B414" t="s">
        <v>131</v>
      </c>
      <c r="C414">
        <v>70</v>
      </c>
      <c r="D414" t="s">
        <v>37</v>
      </c>
      <c r="E414" t="s">
        <v>70</v>
      </c>
      <c r="F414" t="s">
        <v>88</v>
      </c>
      <c r="G414">
        <v>2.7</v>
      </c>
      <c r="H414" t="s">
        <v>72</v>
      </c>
      <c r="I414">
        <v>1</v>
      </c>
      <c r="J414" t="s">
        <v>87</v>
      </c>
    </row>
    <row r="415" spans="1:10" x14ac:dyDescent="0.35">
      <c r="A415" s="4">
        <v>45812</v>
      </c>
      <c r="B415" t="s">
        <v>131</v>
      </c>
      <c r="C415">
        <v>70</v>
      </c>
      <c r="D415" t="s">
        <v>37</v>
      </c>
      <c r="E415" t="s">
        <v>70</v>
      </c>
      <c r="F415" t="s">
        <v>88</v>
      </c>
      <c r="G415">
        <v>5.7</v>
      </c>
      <c r="H415" t="s">
        <v>72</v>
      </c>
      <c r="I415">
        <v>1</v>
      </c>
      <c r="J415" t="s">
        <v>87</v>
      </c>
    </row>
    <row r="416" spans="1:10" x14ac:dyDescent="0.35">
      <c r="A416" s="4">
        <v>45812</v>
      </c>
      <c r="B416" t="s">
        <v>131</v>
      </c>
      <c r="C416">
        <v>70</v>
      </c>
      <c r="D416" t="s">
        <v>32</v>
      </c>
      <c r="E416" t="s">
        <v>87</v>
      </c>
      <c r="F416" t="s">
        <v>137</v>
      </c>
      <c r="G416">
        <v>13.1</v>
      </c>
      <c r="H416" t="s">
        <v>72</v>
      </c>
      <c r="I416">
        <v>1</v>
      </c>
      <c r="J416" t="s">
        <v>87</v>
      </c>
    </row>
    <row r="417" spans="1:10" x14ac:dyDescent="0.35">
      <c r="A417" s="4">
        <v>45812</v>
      </c>
      <c r="B417" t="s">
        <v>131</v>
      </c>
      <c r="C417">
        <v>70</v>
      </c>
      <c r="D417" t="s">
        <v>32</v>
      </c>
      <c r="E417" t="s">
        <v>87</v>
      </c>
      <c r="F417" t="s">
        <v>93</v>
      </c>
      <c r="G417">
        <v>52.6</v>
      </c>
      <c r="H417" t="s">
        <v>72</v>
      </c>
      <c r="I417">
        <v>1</v>
      </c>
      <c r="J417" t="s">
        <v>87</v>
      </c>
    </row>
    <row r="418" spans="1:10" x14ac:dyDescent="0.35">
      <c r="A418" s="4">
        <v>45812</v>
      </c>
      <c r="B418" t="s">
        <v>131</v>
      </c>
      <c r="C418">
        <v>70</v>
      </c>
      <c r="D418" t="s">
        <v>34</v>
      </c>
      <c r="E418" t="s">
        <v>87</v>
      </c>
      <c r="F418" t="s">
        <v>93</v>
      </c>
      <c r="G418">
        <v>44.5</v>
      </c>
      <c r="H418" t="s">
        <v>72</v>
      </c>
      <c r="I418">
        <v>1</v>
      </c>
      <c r="J418" t="s">
        <v>87</v>
      </c>
    </row>
    <row r="419" spans="1:10" x14ac:dyDescent="0.35">
      <c r="A419" s="4">
        <v>45812</v>
      </c>
      <c r="B419" t="s">
        <v>131</v>
      </c>
      <c r="C419">
        <v>70</v>
      </c>
      <c r="D419" t="s">
        <v>32</v>
      </c>
      <c r="E419" t="s">
        <v>87</v>
      </c>
      <c r="F419" t="s">
        <v>77</v>
      </c>
      <c r="G419">
        <v>20.9</v>
      </c>
      <c r="H419" t="s">
        <v>74</v>
      </c>
      <c r="I419">
        <v>1</v>
      </c>
      <c r="J419" t="s">
        <v>87</v>
      </c>
    </row>
    <row r="420" spans="1:10" x14ac:dyDescent="0.35">
      <c r="A420" s="4">
        <v>45812</v>
      </c>
      <c r="B420" t="s">
        <v>131</v>
      </c>
      <c r="C420">
        <v>70</v>
      </c>
      <c r="D420" t="s">
        <v>34</v>
      </c>
      <c r="E420" t="s">
        <v>87</v>
      </c>
      <c r="F420" t="s">
        <v>93</v>
      </c>
      <c r="G420">
        <v>11.5</v>
      </c>
      <c r="H420" t="s">
        <v>72</v>
      </c>
      <c r="I420">
        <v>1</v>
      </c>
      <c r="J420" t="s">
        <v>87</v>
      </c>
    </row>
    <row r="421" spans="1:10" x14ac:dyDescent="0.35">
      <c r="A421" s="4">
        <v>45812</v>
      </c>
      <c r="B421" t="s">
        <v>131</v>
      </c>
      <c r="C421">
        <v>70</v>
      </c>
      <c r="D421" t="s">
        <v>34</v>
      </c>
      <c r="E421" t="s">
        <v>87</v>
      </c>
      <c r="F421" t="s">
        <v>93</v>
      </c>
      <c r="G421">
        <v>14.2</v>
      </c>
      <c r="H421" t="s">
        <v>72</v>
      </c>
      <c r="I421">
        <v>1</v>
      </c>
      <c r="J421" t="s">
        <v>87</v>
      </c>
    </row>
    <row r="422" spans="1:10" x14ac:dyDescent="0.35">
      <c r="A422" s="4">
        <v>45812</v>
      </c>
      <c r="B422" t="s">
        <v>131</v>
      </c>
      <c r="C422">
        <v>70</v>
      </c>
      <c r="D422" t="s">
        <v>34</v>
      </c>
      <c r="E422" t="s">
        <v>87</v>
      </c>
      <c r="F422" t="s">
        <v>89</v>
      </c>
      <c r="G422">
        <f>8+29.7</f>
        <v>37.700000000000003</v>
      </c>
      <c r="H422" t="s">
        <v>72</v>
      </c>
      <c r="I422">
        <v>2</v>
      </c>
      <c r="J422" t="s">
        <v>87</v>
      </c>
    </row>
    <row r="423" spans="1:10" x14ac:dyDescent="0.35">
      <c r="A423" s="4">
        <v>45812</v>
      </c>
      <c r="B423" t="s">
        <v>131</v>
      </c>
      <c r="C423">
        <v>70</v>
      </c>
      <c r="D423" t="s">
        <v>34</v>
      </c>
      <c r="E423" t="s">
        <v>87</v>
      </c>
      <c r="F423" t="s">
        <v>89</v>
      </c>
      <c r="G423">
        <f>16.1+6.9</f>
        <v>23</v>
      </c>
      <c r="H423" t="s">
        <v>72</v>
      </c>
      <c r="I423">
        <v>2</v>
      </c>
      <c r="J423" t="s">
        <v>87</v>
      </c>
    </row>
    <row r="424" spans="1:10" x14ac:dyDescent="0.35">
      <c r="A424" s="4">
        <v>45812</v>
      </c>
      <c r="B424" t="s">
        <v>131</v>
      </c>
      <c r="C424">
        <v>70</v>
      </c>
      <c r="D424" t="s">
        <v>34</v>
      </c>
      <c r="E424" t="s">
        <v>87</v>
      </c>
      <c r="F424" t="s">
        <v>138</v>
      </c>
      <c r="G424">
        <v>28.7</v>
      </c>
      <c r="H424" t="s">
        <v>72</v>
      </c>
      <c r="I424">
        <v>1</v>
      </c>
      <c r="J424" t="s">
        <v>87</v>
      </c>
    </row>
    <row r="425" spans="1:10" x14ac:dyDescent="0.35">
      <c r="A425" s="4">
        <v>45812</v>
      </c>
      <c r="B425" t="s">
        <v>131</v>
      </c>
      <c r="C425">
        <v>70</v>
      </c>
      <c r="D425" t="s">
        <v>34</v>
      </c>
      <c r="E425" t="s">
        <v>87</v>
      </c>
      <c r="F425" t="s">
        <v>132</v>
      </c>
      <c r="G425">
        <v>52</v>
      </c>
      <c r="H425" t="s">
        <v>72</v>
      </c>
      <c r="I425">
        <v>1</v>
      </c>
      <c r="J425" t="s">
        <v>87</v>
      </c>
    </row>
    <row r="426" spans="1:10" x14ac:dyDescent="0.35">
      <c r="A426" s="4">
        <v>45812</v>
      </c>
      <c r="B426" t="s">
        <v>131</v>
      </c>
      <c r="C426">
        <v>70</v>
      </c>
      <c r="D426" t="s">
        <v>36</v>
      </c>
      <c r="E426" t="s">
        <v>87</v>
      </c>
      <c r="F426" t="s">
        <v>92</v>
      </c>
      <c r="G426">
        <v>20.9</v>
      </c>
      <c r="H426" t="s">
        <v>72</v>
      </c>
      <c r="I426">
        <v>1</v>
      </c>
      <c r="J426" t="s">
        <v>87</v>
      </c>
    </row>
    <row r="427" spans="1:10" x14ac:dyDescent="0.35">
      <c r="A427" s="4">
        <v>45812</v>
      </c>
      <c r="B427" t="s">
        <v>131</v>
      </c>
      <c r="C427">
        <v>70</v>
      </c>
      <c r="D427" t="s">
        <v>36</v>
      </c>
      <c r="E427" t="s">
        <v>87</v>
      </c>
      <c r="F427" t="s">
        <v>139</v>
      </c>
      <c r="G427">
        <f>26.1+21+22.2+19.3+30.8</f>
        <v>119.39999999999999</v>
      </c>
      <c r="H427" t="s">
        <v>72</v>
      </c>
      <c r="I427">
        <v>5</v>
      </c>
      <c r="J427" t="s">
        <v>87</v>
      </c>
    </row>
    <row r="428" spans="1:10" x14ac:dyDescent="0.35">
      <c r="A428" s="4">
        <v>45812</v>
      </c>
      <c r="B428" t="s">
        <v>131</v>
      </c>
      <c r="C428">
        <v>70</v>
      </c>
      <c r="D428" t="s">
        <v>36</v>
      </c>
      <c r="E428" t="s">
        <v>87</v>
      </c>
      <c r="F428" t="s">
        <v>88</v>
      </c>
      <c r="G428">
        <f>5.2+7+6.6</f>
        <v>18.799999999999997</v>
      </c>
      <c r="H428" t="s">
        <v>74</v>
      </c>
      <c r="I428">
        <v>3</v>
      </c>
      <c r="J428" t="s">
        <v>87</v>
      </c>
    </row>
    <row r="429" spans="1:10" x14ac:dyDescent="0.35">
      <c r="A429" s="4">
        <v>45812</v>
      </c>
      <c r="B429" t="s">
        <v>131</v>
      </c>
      <c r="C429">
        <v>70</v>
      </c>
      <c r="D429" t="s">
        <v>36</v>
      </c>
      <c r="E429" t="s">
        <v>87</v>
      </c>
      <c r="F429" t="s">
        <v>92</v>
      </c>
      <c r="G429">
        <v>35.299999999999997</v>
      </c>
      <c r="H429" t="s">
        <v>72</v>
      </c>
      <c r="I429">
        <v>1</v>
      </c>
      <c r="J429" t="s">
        <v>87</v>
      </c>
    </row>
    <row r="430" spans="1:10" x14ac:dyDescent="0.35">
      <c r="A430" s="4">
        <v>45812</v>
      </c>
      <c r="B430" t="s">
        <v>131</v>
      </c>
      <c r="C430">
        <v>70</v>
      </c>
      <c r="D430" t="s">
        <v>36</v>
      </c>
      <c r="E430" t="s">
        <v>87</v>
      </c>
      <c r="F430" t="s">
        <v>88</v>
      </c>
      <c r="G430">
        <f>4.9+6.6+4.5</f>
        <v>16</v>
      </c>
      <c r="H430" t="s">
        <v>72</v>
      </c>
      <c r="I430">
        <v>3</v>
      </c>
      <c r="J430" t="s">
        <v>87</v>
      </c>
    </row>
    <row r="431" spans="1:10" x14ac:dyDescent="0.35">
      <c r="A431" s="4">
        <v>45812</v>
      </c>
      <c r="B431" t="s">
        <v>131</v>
      </c>
      <c r="C431">
        <v>70</v>
      </c>
      <c r="D431" t="s">
        <v>36</v>
      </c>
      <c r="E431" t="s">
        <v>87</v>
      </c>
      <c r="F431" t="s">
        <v>140</v>
      </c>
      <c r="G431">
        <v>51.4</v>
      </c>
      <c r="H431" t="s">
        <v>72</v>
      </c>
      <c r="I431">
        <v>1</v>
      </c>
      <c r="J431" t="s">
        <v>87</v>
      </c>
    </row>
    <row r="432" spans="1:10" x14ac:dyDescent="0.35">
      <c r="A432" s="4">
        <v>45812</v>
      </c>
      <c r="B432" t="s">
        <v>131</v>
      </c>
      <c r="C432">
        <v>70</v>
      </c>
      <c r="D432" t="s">
        <v>36</v>
      </c>
      <c r="E432" t="s">
        <v>87</v>
      </c>
      <c r="F432" t="s">
        <v>89</v>
      </c>
      <c r="G432">
        <v>30.7</v>
      </c>
      <c r="H432" t="s">
        <v>72</v>
      </c>
      <c r="I432">
        <v>1</v>
      </c>
      <c r="J432" t="s">
        <v>87</v>
      </c>
    </row>
    <row r="433" spans="1:12" x14ac:dyDescent="0.35">
      <c r="A433" s="4">
        <v>45812</v>
      </c>
      <c r="B433" t="s">
        <v>131</v>
      </c>
      <c r="C433">
        <v>70</v>
      </c>
      <c r="D433" t="s">
        <v>36</v>
      </c>
      <c r="E433" t="s">
        <v>87</v>
      </c>
      <c r="F433" t="s">
        <v>89</v>
      </c>
      <c r="G433">
        <v>24.4</v>
      </c>
      <c r="H433" t="s">
        <v>72</v>
      </c>
      <c r="I433">
        <v>1</v>
      </c>
      <c r="J433" t="s">
        <v>87</v>
      </c>
    </row>
    <row r="434" spans="1:12" x14ac:dyDescent="0.35">
      <c r="A434" s="4">
        <v>45812</v>
      </c>
      <c r="B434" t="s">
        <v>131</v>
      </c>
      <c r="C434">
        <v>70</v>
      </c>
      <c r="D434" t="s">
        <v>37</v>
      </c>
      <c r="E434" t="s">
        <v>87</v>
      </c>
      <c r="F434" t="s">
        <v>77</v>
      </c>
      <c r="G434">
        <v>12.8</v>
      </c>
      <c r="H434" t="s">
        <v>72</v>
      </c>
      <c r="I434">
        <v>1</v>
      </c>
      <c r="J434" t="s">
        <v>87</v>
      </c>
    </row>
    <row r="435" spans="1:12" x14ac:dyDescent="0.35">
      <c r="A435" s="4">
        <v>45812</v>
      </c>
      <c r="B435" t="s">
        <v>131</v>
      </c>
      <c r="C435">
        <v>70</v>
      </c>
      <c r="D435" t="s">
        <v>37</v>
      </c>
      <c r="E435" t="s">
        <v>87</v>
      </c>
      <c r="F435" t="s">
        <v>79</v>
      </c>
      <c r="G435">
        <v>12.8</v>
      </c>
      <c r="H435" t="s">
        <v>74</v>
      </c>
      <c r="I435">
        <v>1</v>
      </c>
      <c r="J435" t="s">
        <v>87</v>
      </c>
      <c r="K435">
        <v>5</v>
      </c>
      <c r="L435" t="s">
        <v>141</v>
      </c>
    </row>
    <row r="436" spans="1:12" x14ac:dyDescent="0.35">
      <c r="A436" s="4">
        <v>45812</v>
      </c>
      <c r="B436" t="s">
        <v>131</v>
      </c>
      <c r="C436">
        <v>70</v>
      </c>
      <c r="D436" t="s">
        <v>37</v>
      </c>
      <c r="E436" t="s">
        <v>87</v>
      </c>
      <c r="F436" t="s">
        <v>89</v>
      </c>
      <c r="G436">
        <v>20.100000000000001</v>
      </c>
      <c r="H436" t="s">
        <v>72</v>
      </c>
      <c r="I436">
        <v>1</v>
      </c>
      <c r="J436" t="s">
        <v>87</v>
      </c>
    </row>
    <row r="437" spans="1:12" x14ac:dyDescent="0.35">
      <c r="A437" s="4">
        <v>45812</v>
      </c>
      <c r="B437" t="s">
        <v>131</v>
      </c>
      <c r="C437">
        <v>70</v>
      </c>
      <c r="D437" t="s">
        <v>37</v>
      </c>
      <c r="E437" t="s">
        <v>87</v>
      </c>
      <c r="F437" t="s">
        <v>136</v>
      </c>
      <c r="G437">
        <v>29.6</v>
      </c>
      <c r="H437" t="s">
        <v>72</v>
      </c>
      <c r="I437">
        <v>1</v>
      </c>
      <c r="J437" t="s">
        <v>87</v>
      </c>
    </row>
    <row r="438" spans="1:12" x14ac:dyDescent="0.35">
      <c r="A438" s="4">
        <v>45812</v>
      </c>
      <c r="B438" t="s">
        <v>131</v>
      </c>
      <c r="C438">
        <v>70</v>
      </c>
      <c r="D438" t="s">
        <v>37</v>
      </c>
      <c r="E438" t="s">
        <v>87</v>
      </c>
      <c r="F438" t="s">
        <v>138</v>
      </c>
      <c r="G438">
        <v>34.1</v>
      </c>
      <c r="H438" t="s">
        <v>72</v>
      </c>
      <c r="I438">
        <v>1</v>
      </c>
      <c r="J438" t="s">
        <v>87</v>
      </c>
    </row>
    <row r="439" spans="1:12" x14ac:dyDescent="0.35">
      <c r="A439" s="4">
        <v>45812</v>
      </c>
      <c r="B439" t="s">
        <v>131</v>
      </c>
      <c r="C439">
        <v>70</v>
      </c>
      <c r="D439" t="s">
        <v>37</v>
      </c>
      <c r="E439" t="s">
        <v>87</v>
      </c>
      <c r="F439" t="s">
        <v>88</v>
      </c>
      <c r="G439">
        <f>7.1+4.9+7.9</f>
        <v>19.899999999999999</v>
      </c>
      <c r="H439" t="s">
        <v>72</v>
      </c>
      <c r="I439">
        <v>3</v>
      </c>
      <c r="J439" t="s">
        <v>87</v>
      </c>
    </row>
    <row r="440" spans="1:12" x14ac:dyDescent="0.35">
      <c r="A440" s="4">
        <v>45812</v>
      </c>
      <c r="B440" t="s">
        <v>131</v>
      </c>
      <c r="C440">
        <v>70</v>
      </c>
      <c r="D440" t="s">
        <v>37</v>
      </c>
      <c r="E440" t="s">
        <v>87</v>
      </c>
      <c r="F440" t="s">
        <v>77</v>
      </c>
      <c r="G440">
        <v>22.1</v>
      </c>
      <c r="H440" t="s">
        <v>74</v>
      </c>
      <c r="I440">
        <v>1</v>
      </c>
      <c r="J440" t="s">
        <v>87</v>
      </c>
    </row>
    <row r="441" spans="1:12" x14ac:dyDescent="0.35">
      <c r="A441" s="4">
        <v>45812</v>
      </c>
      <c r="B441" t="s">
        <v>131</v>
      </c>
      <c r="C441">
        <v>70</v>
      </c>
      <c r="D441" t="s">
        <v>37</v>
      </c>
      <c r="E441" t="s">
        <v>87</v>
      </c>
      <c r="F441" t="s">
        <v>77</v>
      </c>
      <c r="G441">
        <v>12.7</v>
      </c>
      <c r="H441" t="s">
        <v>72</v>
      </c>
      <c r="I441">
        <v>1</v>
      </c>
      <c r="J441" t="s">
        <v>87</v>
      </c>
    </row>
    <row r="442" spans="1:12" x14ac:dyDescent="0.35">
      <c r="A442" s="4">
        <v>45812</v>
      </c>
      <c r="B442" t="s">
        <v>131</v>
      </c>
      <c r="C442">
        <v>70</v>
      </c>
      <c r="D442" t="s">
        <v>37</v>
      </c>
      <c r="E442" t="s">
        <v>87</v>
      </c>
      <c r="F442" t="s">
        <v>92</v>
      </c>
      <c r="G442">
        <v>36.9</v>
      </c>
      <c r="H442" t="s">
        <v>72</v>
      </c>
      <c r="I442">
        <v>1</v>
      </c>
      <c r="J442" t="s">
        <v>87</v>
      </c>
    </row>
    <row r="443" spans="1:12" x14ac:dyDescent="0.35">
      <c r="A443" s="4">
        <v>45812</v>
      </c>
      <c r="B443" t="s">
        <v>131</v>
      </c>
      <c r="C443">
        <v>70</v>
      </c>
      <c r="D443" t="s">
        <v>37</v>
      </c>
      <c r="E443" t="s">
        <v>87</v>
      </c>
      <c r="F443" t="s">
        <v>142</v>
      </c>
      <c r="G443">
        <v>16.5</v>
      </c>
      <c r="H443" t="s">
        <v>72</v>
      </c>
      <c r="I443">
        <v>1</v>
      </c>
      <c r="J443" t="s">
        <v>87</v>
      </c>
    </row>
    <row r="444" spans="1:12" x14ac:dyDescent="0.35">
      <c r="A444" s="4">
        <v>45812</v>
      </c>
      <c r="B444" t="s">
        <v>131</v>
      </c>
      <c r="C444">
        <v>70</v>
      </c>
      <c r="D444" t="s">
        <v>37</v>
      </c>
      <c r="E444" t="s">
        <v>87</v>
      </c>
      <c r="F444" t="s">
        <v>86</v>
      </c>
      <c r="G444">
        <f>23.4+50.6+24.7</f>
        <v>98.7</v>
      </c>
      <c r="H444" t="s">
        <v>72</v>
      </c>
      <c r="I444">
        <v>3</v>
      </c>
      <c r="J444" t="s">
        <v>87</v>
      </c>
      <c r="L444" t="s">
        <v>143</v>
      </c>
    </row>
    <row r="445" spans="1:12" x14ac:dyDescent="0.35">
      <c r="A445" s="4">
        <v>45812</v>
      </c>
      <c r="B445" t="s">
        <v>131</v>
      </c>
      <c r="C445">
        <v>70</v>
      </c>
      <c r="D445" t="s">
        <v>37</v>
      </c>
      <c r="E445" t="s">
        <v>87</v>
      </c>
      <c r="F445" t="s">
        <v>90</v>
      </c>
      <c r="G445">
        <v>23.5</v>
      </c>
      <c r="H445" t="s">
        <v>74</v>
      </c>
      <c r="I445">
        <v>1</v>
      </c>
      <c r="J445" t="s">
        <v>87</v>
      </c>
    </row>
    <row r="446" spans="1:12" x14ac:dyDescent="0.35">
      <c r="A446" s="4">
        <v>45812</v>
      </c>
      <c r="B446" t="s">
        <v>131</v>
      </c>
      <c r="C446">
        <v>70</v>
      </c>
      <c r="D446" t="s">
        <v>36</v>
      </c>
      <c r="E446" t="s">
        <v>87</v>
      </c>
      <c r="F446" t="s">
        <v>138</v>
      </c>
      <c r="G446">
        <v>18</v>
      </c>
      <c r="H446" t="s">
        <v>72</v>
      </c>
      <c r="I446">
        <v>1</v>
      </c>
      <c r="J446" t="s">
        <v>87</v>
      </c>
    </row>
    <row r="447" spans="1:12" s="6" customFormat="1" x14ac:dyDescent="0.35">
      <c r="A447" s="5">
        <v>45811</v>
      </c>
      <c r="B447" s="6" t="s">
        <v>131</v>
      </c>
      <c r="C447" s="6">
        <v>71</v>
      </c>
      <c r="D447" s="6" t="s">
        <v>32</v>
      </c>
      <c r="E447" s="6" t="s">
        <v>70</v>
      </c>
      <c r="F447" s="6" t="s">
        <v>90</v>
      </c>
      <c r="G447" s="6">
        <v>44.5</v>
      </c>
      <c r="H447" s="6" t="s">
        <v>74</v>
      </c>
      <c r="I447" s="6">
        <v>1</v>
      </c>
      <c r="J447" s="6" t="s">
        <v>87</v>
      </c>
    </row>
    <row r="448" spans="1:12" x14ac:dyDescent="0.35">
      <c r="A448" s="4">
        <v>45811</v>
      </c>
      <c r="B448" t="s">
        <v>131</v>
      </c>
      <c r="C448">
        <v>71</v>
      </c>
      <c r="D448" t="s">
        <v>32</v>
      </c>
      <c r="E448" t="s">
        <v>70</v>
      </c>
      <c r="F448" t="s">
        <v>93</v>
      </c>
      <c r="G448">
        <v>8</v>
      </c>
      <c r="H448" t="s">
        <v>72</v>
      </c>
      <c r="I448">
        <v>1</v>
      </c>
      <c r="J448" t="s">
        <v>87</v>
      </c>
    </row>
    <row r="449" spans="1:10" x14ac:dyDescent="0.35">
      <c r="A449" s="4">
        <v>45811</v>
      </c>
      <c r="B449" t="s">
        <v>131</v>
      </c>
      <c r="C449">
        <v>71</v>
      </c>
      <c r="D449" t="s">
        <v>32</v>
      </c>
      <c r="E449" t="s">
        <v>70</v>
      </c>
      <c r="F449" t="s">
        <v>90</v>
      </c>
      <c r="G449">
        <v>2.8</v>
      </c>
      <c r="H449" t="s">
        <v>74</v>
      </c>
      <c r="I449">
        <v>1</v>
      </c>
      <c r="J449" t="s">
        <v>87</v>
      </c>
    </row>
    <row r="450" spans="1:10" x14ac:dyDescent="0.35">
      <c r="A450" s="4">
        <v>45811</v>
      </c>
      <c r="B450" t="s">
        <v>131</v>
      </c>
      <c r="C450">
        <v>71</v>
      </c>
      <c r="D450" t="s">
        <v>32</v>
      </c>
      <c r="E450" t="s">
        <v>70</v>
      </c>
      <c r="F450" t="s">
        <v>93</v>
      </c>
      <c r="G450">
        <v>8.1</v>
      </c>
      <c r="H450" t="s">
        <v>72</v>
      </c>
      <c r="I450">
        <v>1</v>
      </c>
      <c r="J450" t="s">
        <v>70</v>
      </c>
    </row>
    <row r="451" spans="1:10" x14ac:dyDescent="0.35">
      <c r="A451" s="4">
        <v>45811</v>
      </c>
      <c r="B451" t="s">
        <v>131</v>
      </c>
      <c r="C451">
        <v>71</v>
      </c>
      <c r="D451" t="s">
        <v>32</v>
      </c>
      <c r="E451" t="s">
        <v>70</v>
      </c>
      <c r="F451" t="s">
        <v>93</v>
      </c>
      <c r="G451">
        <v>17.899999999999999</v>
      </c>
      <c r="H451" t="s">
        <v>72</v>
      </c>
      <c r="I451">
        <v>1</v>
      </c>
      <c r="J451" t="s">
        <v>87</v>
      </c>
    </row>
    <row r="452" spans="1:10" x14ac:dyDescent="0.35">
      <c r="A452" s="4">
        <v>45811</v>
      </c>
      <c r="B452" t="s">
        <v>131</v>
      </c>
      <c r="C452">
        <v>71</v>
      </c>
      <c r="D452" t="s">
        <v>32</v>
      </c>
      <c r="E452" t="s">
        <v>70</v>
      </c>
      <c r="F452" t="s">
        <v>93</v>
      </c>
      <c r="G452">
        <v>2.9</v>
      </c>
      <c r="H452" t="s">
        <v>72</v>
      </c>
      <c r="I452">
        <v>1</v>
      </c>
      <c r="J452" t="s">
        <v>70</v>
      </c>
    </row>
    <row r="453" spans="1:10" x14ac:dyDescent="0.35">
      <c r="A453" s="4">
        <v>45811</v>
      </c>
      <c r="B453" t="s">
        <v>131</v>
      </c>
      <c r="C453">
        <v>71</v>
      </c>
      <c r="D453" t="s">
        <v>32</v>
      </c>
      <c r="E453" t="s">
        <v>70</v>
      </c>
      <c r="F453" t="s">
        <v>93</v>
      </c>
      <c r="G453">
        <v>6.9</v>
      </c>
      <c r="H453" t="s">
        <v>72</v>
      </c>
      <c r="I453">
        <v>1</v>
      </c>
      <c r="J453" t="s">
        <v>87</v>
      </c>
    </row>
    <row r="454" spans="1:10" x14ac:dyDescent="0.35">
      <c r="A454" s="4">
        <v>45811</v>
      </c>
      <c r="B454" t="s">
        <v>131</v>
      </c>
      <c r="C454">
        <v>71</v>
      </c>
      <c r="D454" t="s">
        <v>32</v>
      </c>
      <c r="E454" t="s">
        <v>70</v>
      </c>
      <c r="F454" t="s">
        <v>93</v>
      </c>
      <c r="G454">
        <v>8.8000000000000007</v>
      </c>
      <c r="H454" t="s">
        <v>72</v>
      </c>
      <c r="I454">
        <v>1</v>
      </c>
      <c r="J454" t="s">
        <v>87</v>
      </c>
    </row>
    <row r="455" spans="1:10" x14ac:dyDescent="0.35">
      <c r="A455" s="4">
        <v>45811</v>
      </c>
      <c r="B455" t="s">
        <v>131</v>
      </c>
      <c r="C455">
        <v>71</v>
      </c>
      <c r="D455" t="s">
        <v>32</v>
      </c>
      <c r="E455" t="s">
        <v>70</v>
      </c>
      <c r="F455" t="s">
        <v>93</v>
      </c>
      <c r="G455">
        <v>8.1</v>
      </c>
      <c r="H455" t="s">
        <v>72</v>
      </c>
      <c r="I455">
        <v>1</v>
      </c>
      <c r="J455" t="s">
        <v>87</v>
      </c>
    </row>
    <row r="456" spans="1:10" x14ac:dyDescent="0.35">
      <c r="A456" s="4">
        <v>45811</v>
      </c>
      <c r="B456" t="s">
        <v>131</v>
      </c>
      <c r="C456">
        <v>71</v>
      </c>
      <c r="D456" t="s">
        <v>32</v>
      </c>
      <c r="E456" t="s">
        <v>70</v>
      </c>
      <c r="F456" t="s">
        <v>77</v>
      </c>
      <c r="G456">
        <v>10.8</v>
      </c>
      <c r="H456" t="s">
        <v>72</v>
      </c>
      <c r="I456">
        <v>1</v>
      </c>
      <c r="J456" t="s">
        <v>87</v>
      </c>
    </row>
    <row r="457" spans="1:10" x14ac:dyDescent="0.35">
      <c r="A457" s="4">
        <v>45811</v>
      </c>
      <c r="B457" t="s">
        <v>131</v>
      </c>
      <c r="C457">
        <v>71</v>
      </c>
      <c r="D457" t="s">
        <v>32</v>
      </c>
      <c r="E457" t="s">
        <v>70</v>
      </c>
      <c r="F457" t="s">
        <v>93</v>
      </c>
      <c r="G457">
        <v>22.8</v>
      </c>
      <c r="H457" t="s">
        <v>72</v>
      </c>
      <c r="I457">
        <v>1</v>
      </c>
      <c r="J457" t="s">
        <v>87</v>
      </c>
    </row>
    <row r="458" spans="1:10" x14ac:dyDescent="0.35">
      <c r="A458" s="4">
        <v>45811</v>
      </c>
      <c r="B458" t="s">
        <v>131</v>
      </c>
      <c r="C458">
        <v>71</v>
      </c>
      <c r="D458" t="s">
        <v>32</v>
      </c>
      <c r="E458" t="s">
        <v>70</v>
      </c>
      <c r="F458" t="s">
        <v>90</v>
      </c>
      <c r="G458">
        <v>17.8</v>
      </c>
      <c r="H458" t="s">
        <v>74</v>
      </c>
      <c r="I458">
        <v>1</v>
      </c>
      <c r="J458" t="s">
        <v>87</v>
      </c>
    </row>
    <row r="459" spans="1:10" x14ac:dyDescent="0.35">
      <c r="A459" s="4">
        <v>45811</v>
      </c>
      <c r="B459" t="s">
        <v>131</v>
      </c>
      <c r="C459">
        <v>71</v>
      </c>
      <c r="D459" t="s">
        <v>32</v>
      </c>
      <c r="E459" t="s">
        <v>70</v>
      </c>
      <c r="F459" t="s">
        <v>93</v>
      </c>
      <c r="G459">
        <v>13.3</v>
      </c>
      <c r="H459" t="s">
        <v>72</v>
      </c>
      <c r="I459">
        <v>1</v>
      </c>
      <c r="J459" t="s">
        <v>87</v>
      </c>
    </row>
    <row r="460" spans="1:10" x14ac:dyDescent="0.35">
      <c r="A460" s="4">
        <v>45811</v>
      </c>
      <c r="B460" t="s">
        <v>131</v>
      </c>
      <c r="C460">
        <v>71</v>
      </c>
      <c r="D460" t="s">
        <v>32</v>
      </c>
      <c r="E460" t="s">
        <v>70</v>
      </c>
      <c r="F460" t="s">
        <v>93</v>
      </c>
      <c r="G460">
        <v>9.5</v>
      </c>
      <c r="H460" t="s">
        <v>72</v>
      </c>
      <c r="I460">
        <v>1</v>
      </c>
      <c r="J460" t="s">
        <v>87</v>
      </c>
    </row>
    <row r="461" spans="1:10" x14ac:dyDescent="0.35">
      <c r="A461" s="4">
        <v>45811</v>
      </c>
      <c r="B461" t="s">
        <v>131</v>
      </c>
      <c r="C461">
        <v>71</v>
      </c>
      <c r="D461" t="s">
        <v>32</v>
      </c>
      <c r="E461" t="s">
        <v>70</v>
      </c>
      <c r="F461" t="s">
        <v>90</v>
      </c>
      <c r="G461">
        <v>3.1</v>
      </c>
      <c r="H461" t="s">
        <v>74</v>
      </c>
      <c r="I461">
        <v>1</v>
      </c>
      <c r="J461" t="s">
        <v>87</v>
      </c>
    </row>
    <row r="462" spans="1:10" x14ac:dyDescent="0.35">
      <c r="A462" s="4">
        <v>45811</v>
      </c>
      <c r="B462" t="s">
        <v>131</v>
      </c>
      <c r="C462">
        <v>71</v>
      </c>
      <c r="D462" t="s">
        <v>32</v>
      </c>
      <c r="E462" t="s">
        <v>70</v>
      </c>
      <c r="F462" t="s">
        <v>90</v>
      </c>
      <c r="G462">
        <v>6</v>
      </c>
      <c r="H462" t="s">
        <v>74</v>
      </c>
      <c r="I462">
        <v>1</v>
      </c>
      <c r="J462" t="s">
        <v>87</v>
      </c>
    </row>
    <row r="463" spans="1:10" x14ac:dyDescent="0.35">
      <c r="A463" s="4">
        <v>45811</v>
      </c>
      <c r="B463" t="s">
        <v>131</v>
      </c>
      <c r="C463">
        <v>71</v>
      </c>
      <c r="D463" t="s">
        <v>80</v>
      </c>
      <c r="E463" t="s">
        <v>70</v>
      </c>
      <c r="F463" t="s">
        <v>93</v>
      </c>
      <c r="G463">
        <v>19</v>
      </c>
      <c r="H463" t="s">
        <v>72</v>
      </c>
      <c r="I463">
        <v>1</v>
      </c>
      <c r="J463" t="s">
        <v>87</v>
      </c>
    </row>
    <row r="464" spans="1:10" x14ac:dyDescent="0.35">
      <c r="A464" s="4">
        <v>45811</v>
      </c>
      <c r="B464" t="s">
        <v>131</v>
      </c>
      <c r="C464">
        <v>71</v>
      </c>
      <c r="D464" t="s">
        <v>34</v>
      </c>
      <c r="E464" t="s">
        <v>70</v>
      </c>
      <c r="F464" t="s">
        <v>93</v>
      </c>
      <c r="G464">
        <v>10.6</v>
      </c>
      <c r="H464" t="s">
        <v>72</v>
      </c>
      <c r="I464">
        <v>1</v>
      </c>
      <c r="J464" t="s">
        <v>87</v>
      </c>
    </row>
    <row r="465" spans="1:11" x14ac:dyDescent="0.35">
      <c r="A465" s="4">
        <v>45811</v>
      </c>
      <c r="B465" t="s">
        <v>131</v>
      </c>
      <c r="C465">
        <v>71</v>
      </c>
      <c r="D465" t="s">
        <v>34</v>
      </c>
      <c r="E465" t="s">
        <v>70</v>
      </c>
      <c r="F465" t="s">
        <v>77</v>
      </c>
      <c r="G465">
        <v>8.5</v>
      </c>
      <c r="H465" t="s">
        <v>72</v>
      </c>
      <c r="I465">
        <v>1</v>
      </c>
      <c r="J465" t="s">
        <v>87</v>
      </c>
    </row>
    <row r="466" spans="1:11" x14ac:dyDescent="0.35">
      <c r="A466" s="4">
        <v>45811</v>
      </c>
      <c r="B466" t="s">
        <v>131</v>
      </c>
      <c r="C466">
        <v>71</v>
      </c>
      <c r="D466" t="s">
        <v>34</v>
      </c>
      <c r="E466" t="s">
        <v>70</v>
      </c>
      <c r="F466" t="s">
        <v>93</v>
      </c>
      <c r="G466">
        <v>7.9</v>
      </c>
      <c r="H466" t="s">
        <v>72</v>
      </c>
      <c r="I466">
        <v>1</v>
      </c>
      <c r="J466" t="s">
        <v>87</v>
      </c>
    </row>
    <row r="467" spans="1:11" x14ac:dyDescent="0.35">
      <c r="A467" s="4">
        <v>45811</v>
      </c>
      <c r="B467" t="s">
        <v>131</v>
      </c>
      <c r="C467">
        <v>71</v>
      </c>
      <c r="D467" t="s">
        <v>34</v>
      </c>
      <c r="E467" t="s">
        <v>70</v>
      </c>
      <c r="F467" t="s">
        <v>90</v>
      </c>
      <c r="G467">
        <v>6.1</v>
      </c>
      <c r="H467" t="s">
        <v>74</v>
      </c>
      <c r="I467">
        <v>1</v>
      </c>
      <c r="J467" t="s">
        <v>87</v>
      </c>
    </row>
    <row r="468" spans="1:11" x14ac:dyDescent="0.35">
      <c r="A468" s="4">
        <v>45811</v>
      </c>
      <c r="B468" t="s">
        <v>131</v>
      </c>
      <c r="C468">
        <v>71</v>
      </c>
      <c r="D468" t="s">
        <v>36</v>
      </c>
      <c r="E468" t="s">
        <v>70</v>
      </c>
      <c r="F468" t="s">
        <v>93</v>
      </c>
      <c r="G468">
        <v>22.3</v>
      </c>
      <c r="H468" t="s">
        <v>72</v>
      </c>
      <c r="I468">
        <v>1</v>
      </c>
      <c r="J468" t="s">
        <v>87</v>
      </c>
    </row>
    <row r="469" spans="1:11" x14ac:dyDescent="0.35">
      <c r="A469" s="4">
        <v>45811</v>
      </c>
      <c r="B469" t="s">
        <v>131</v>
      </c>
      <c r="C469">
        <v>71</v>
      </c>
      <c r="D469" t="s">
        <v>36</v>
      </c>
      <c r="E469" t="s">
        <v>70</v>
      </c>
      <c r="F469" t="s">
        <v>88</v>
      </c>
      <c r="G469">
        <v>4</v>
      </c>
      <c r="H469" t="s">
        <v>72</v>
      </c>
      <c r="I469">
        <v>1</v>
      </c>
      <c r="J469" t="s">
        <v>70</v>
      </c>
    </row>
    <row r="470" spans="1:11" x14ac:dyDescent="0.35">
      <c r="A470" s="4">
        <v>45811</v>
      </c>
      <c r="B470" t="s">
        <v>131</v>
      </c>
      <c r="C470">
        <v>71</v>
      </c>
      <c r="D470" t="s">
        <v>36</v>
      </c>
      <c r="E470" t="s">
        <v>70</v>
      </c>
      <c r="F470" t="s">
        <v>88</v>
      </c>
      <c r="G470">
        <f>3.3+2.1</f>
        <v>5.4</v>
      </c>
      <c r="H470" t="s">
        <v>72</v>
      </c>
      <c r="I470">
        <v>2</v>
      </c>
      <c r="J470" t="s">
        <v>70</v>
      </c>
    </row>
    <row r="471" spans="1:11" x14ac:dyDescent="0.35">
      <c r="A471" s="4">
        <v>45811</v>
      </c>
      <c r="B471" t="s">
        <v>131</v>
      </c>
      <c r="C471">
        <v>71</v>
      </c>
      <c r="D471" t="s">
        <v>36</v>
      </c>
      <c r="E471" t="s">
        <v>70</v>
      </c>
      <c r="F471" t="s">
        <v>90</v>
      </c>
      <c r="G471">
        <v>7</v>
      </c>
      <c r="H471" t="s">
        <v>74</v>
      </c>
      <c r="I471">
        <v>1</v>
      </c>
      <c r="J471" t="s">
        <v>87</v>
      </c>
    </row>
    <row r="472" spans="1:11" x14ac:dyDescent="0.35">
      <c r="A472" s="4">
        <v>45811</v>
      </c>
      <c r="B472" t="s">
        <v>131</v>
      </c>
      <c r="C472">
        <v>71</v>
      </c>
      <c r="D472" t="s">
        <v>36</v>
      </c>
      <c r="E472" t="s">
        <v>70</v>
      </c>
      <c r="F472" t="s">
        <v>90</v>
      </c>
      <c r="G472">
        <v>7.8</v>
      </c>
      <c r="H472" t="s">
        <v>74</v>
      </c>
      <c r="I472">
        <v>1</v>
      </c>
      <c r="J472" t="s">
        <v>87</v>
      </c>
    </row>
    <row r="473" spans="1:11" x14ac:dyDescent="0.35">
      <c r="A473" s="4">
        <v>45811</v>
      </c>
      <c r="B473" t="s">
        <v>131</v>
      </c>
      <c r="C473">
        <v>71</v>
      </c>
      <c r="D473" t="s">
        <v>36</v>
      </c>
      <c r="E473" t="s">
        <v>70</v>
      </c>
      <c r="F473" t="s">
        <v>90</v>
      </c>
      <c r="G473">
        <v>5.8</v>
      </c>
      <c r="H473" t="s">
        <v>74</v>
      </c>
      <c r="I473">
        <v>1</v>
      </c>
      <c r="J473" t="s">
        <v>87</v>
      </c>
    </row>
    <row r="474" spans="1:11" x14ac:dyDescent="0.35">
      <c r="A474" s="4">
        <v>45811</v>
      </c>
      <c r="B474" t="s">
        <v>131</v>
      </c>
      <c r="C474">
        <v>71</v>
      </c>
      <c r="D474" t="s">
        <v>36</v>
      </c>
      <c r="E474" t="s">
        <v>70</v>
      </c>
      <c r="F474" t="s">
        <v>92</v>
      </c>
      <c r="G474">
        <v>4.5</v>
      </c>
      <c r="H474" t="s">
        <v>72</v>
      </c>
      <c r="I474">
        <v>1</v>
      </c>
      <c r="J474" t="s">
        <v>87</v>
      </c>
    </row>
    <row r="475" spans="1:11" x14ac:dyDescent="0.35">
      <c r="A475" s="4">
        <v>45811</v>
      </c>
      <c r="B475" t="s">
        <v>131</v>
      </c>
      <c r="C475">
        <v>71</v>
      </c>
      <c r="D475" t="s">
        <v>36</v>
      </c>
      <c r="E475" t="s">
        <v>70</v>
      </c>
      <c r="F475" t="s">
        <v>77</v>
      </c>
      <c r="G475">
        <v>20.6</v>
      </c>
      <c r="H475" t="s">
        <v>72</v>
      </c>
      <c r="I475">
        <v>1</v>
      </c>
      <c r="J475" t="s">
        <v>87</v>
      </c>
    </row>
    <row r="476" spans="1:11" x14ac:dyDescent="0.35">
      <c r="A476" s="4">
        <v>45811</v>
      </c>
      <c r="B476" t="s">
        <v>131</v>
      </c>
      <c r="C476">
        <v>71</v>
      </c>
      <c r="D476" t="s">
        <v>36</v>
      </c>
      <c r="E476" t="s">
        <v>70</v>
      </c>
      <c r="F476" t="s">
        <v>95</v>
      </c>
      <c r="G476">
        <f>3.6+1.6</f>
        <v>5.2</v>
      </c>
      <c r="H476" t="s">
        <v>72</v>
      </c>
      <c r="I476">
        <v>2</v>
      </c>
      <c r="J476" t="s">
        <v>87</v>
      </c>
      <c r="K476">
        <v>1</v>
      </c>
    </row>
    <row r="477" spans="1:11" x14ac:dyDescent="0.35">
      <c r="A477" s="4">
        <v>45811</v>
      </c>
      <c r="B477" t="s">
        <v>131</v>
      </c>
      <c r="C477">
        <v>71</v>
      </c>
      <c r="D477" t="s">
        <v>37</v>
      </c>
      <c r="E477" t="s">
        <v>70</v>
      </c>
      <c r="F477" t="s">
        <v>93</v>
      </c>
      <c r="G477">
        <f>17.3+47.3+39.8+14.3</f>
        <v>118.69999999999999</v>
      </c>
      <c r="H477" t="s">
        <v>72</v>
      </c>
      <c r="I477">
        <v>4</v>
      </c>
      <c r="J477" t="s">
        <v>87</v>
      </c>
    </row>
    <row r="478" spans="1:11" x14ac:dyDescent="0.35">
      <c r="A478" s="4">
        <v>45811</v>
      </c>
      <c r="B478" t="s">
        <v>131</v>
      </c>
      <c r="C478">
        <v>71</v>
      </c>
      <c r="D478" t="s">
        <v>37</v>
      </c>
      <c r="E478" t="s">
        <v>70</v>
      </c>
      <c r="F478" t="s">
        <v>77</v>
      </c>
      <c r="G478">
        <v>9.5</v>
      </c>
      <c r="H478" t="s">
        <v>72</v>
      </c>
      <c r="I478">
        <v>1</v>
      </c>
      <c r="J478" t="s">
        <v>87</v>
      </c>
    </row>
    <row r="479" spans="1:11" x14ac:dyDescent="0.35">
      <c r="A479" s="4">
        <v>45811</v>
      </c>
      <c r="B479" t="s">
        <v>131</v>
      </c>
      <c r="C479">
        <v>71</v>
      </c>
      <c r="D479" t="s">
        <v>37</v>
      </c>
      <c r="E479" t="s">
        <v>70</v>
      </c>
      <c r="F479" t="s">
        <v>75</v>
      </c>
      <c r="G479">
        <v>3.8</v>
      </c>
      <c r="H479" t="s">
        <v>72</v>
      </c>
      <c r="I479">
        <v>1</v>
      </c>
      <c r="J479" t="s">
        <v>87</v>
      </c>
      <c r="K479">
        <v>1</v>
      </c>
    </row>
    <row r="480" spans="1:11" x14ac:dyDescent="0.35">
      <c r="A480" s="4">
        <v>45811</v>
      </c>
      <c r="B480" t="s">
        <v>131</v>
      </c>
      <c r="C480">
        <v>71</v>
      </c>
      <c r="D480" t="s">
        <v>37</v>
      </c>
      <c r="E480" t="s">
        <v>70</v>
      </c>
      <c r="F480" t="s">
        <v>90</v>
      </c>
      <c r="G480">
        <v>10.7</v>
      </c>
      <c r="H480" t="s">
        <v>74</v>
      </c>
      <c r="I480">
        <v>1</v>
      </c>
      <c r="J480" t="s">
        <v>87</v>
      </c>
    </row>
    <row r="481" spans="1:10" x14ac:dyDescent="0.35">
      <c r="A481" s="4">
        <v>45811</v>
      </c>
      <c r="B481" t="s">
        <v>131</v>
      </c>
      <c r="C481">
        <v>71</v>
      </c>
      <c r="D481" t="s">
        <v>37</v>
      </c>
      <c r="E481" t="s">
        <v>70</v>
      </c>
      <c r="F481" t="s">
        <v>90</v>
      </c>
      <c r="G481">
        <v>27.9</v>
      </c>
      <c r="H481" t="s">
        <v>74</v>
      </c>
      <c r="I481">
        <v>1</v>
      </c>
      <c r="J481" t="s">
        <v>87</v>
      </c>
    </row>
    <row r="482" spans="1:10" x14ac:dyDescent="0.35">
      <c r="A482" s="4">
        <v>45811</v>
      </c>
      <c r="B482" t="s">
        <v>131</v>
      </c>
      <c r="C482">
        <v>71</v>
      </c>
      <c r="D482" t="s">
        <v>37</v>
      </c>
      <c r="E482" t="s">
        <v>70</v>
      </c>
      <c r="F482" t="s">
        <v>93</v>
      </c>
      <c r="G482">
        <v>7</v>
      </c>
      <c r="H482" t="s">
        <v>72</v>
      </c>
      <c r="I482">
        <v>1</v>
      </c>
      <c r="J482" t="s">
        <v>87</v>
      </c>
    </row>
    <row r="483" spans="1:10" x14ac:dyDescent="0.35">
      <c r="A483" s="4">
        <v>45811</v>
      </c>
      <c r="B483" t="s">
        <v>131</v>
      </c>
      <c r="C483">
        <v>71</v>
      </c>
      <c r="D483" t="s">
        <v>32</v>
      </c>
      <c r="E483" t="s">
        <v>87</v>
      </c>
      <c r="F483" t="s">
        <v>93</v>
      </c>
      <c r="G483">
        <v>40.299999999999997</v>
      </c>
      <c r="H483" t="s">
        <v>72</v>
      </c>
      <c r="I483">
        <v>1</v>
      </c>
      <c r="J483" t="s">
        <v>87</v>
      </c>
    </row>
    <row r="484" spans="1:10" x14ac:dyDescent="0.35">
      <c r="A484" s="4">
        <v>45811</v>
      </c>
      <c r="B484" t="s">
        <v>131</v>
      </c>
      <c r="C484">
        <v>71</v>
      </c>
      <c r="D484" t="s">
        <v>32</v>
      </c>
      <c r="E484" t="s">
        <v>87</v>
      </c>
      <c r="F484" t="s">
        <v>93</v>
      </c>
      <c r="G484">
        <f>9.6+55.1</f>
        <v>64.7</v>
      </c>
      <c r="H484" t="s">
        <v>72</v>
      </c>
      <c r="I484">
        <v>2</v>
      </c>
      <c r="J484" t="s">
        <v>87</v>
      </c>
    </row>
    <row r="485" spans="1:10" x14ac:dyDescent="0.35">
      <c r="A485" s="4">
        <v>45811</v>
      </c>
      <c r="B485" t="s">
        <v>131</v>
      </c>
      <c r="C485">
        <v>71</v>
      </c>
      <c r="D485" t="s">
        <v>32</v>
      </c>
      <c r="E485" t="s">
        <v>87</v>
      </c>
      <c r="F485" t="s">
        <v>93</v>
      </c>
      <c r="G485">
        <f>47.1+10.5</f>
        <v>57.6</v>
      </c>
      <c r="H485" t="s">
        <v>72</v>
      </c>
      <c r="I485">
        <v>2</v>
      </c>
      <c r="J485" t="s">
        <v>87</v>
      </c>
    </row>
    <row r="486" spans="1:10" x14ac:dyDescent="0.35">
      <c r="A486" s="4">
        <v>45811</v>
      </c>
      <c r="B486" t="s">
        <v>131</v>
      </c>
      <c r="C486">
        <v>71</v>
      </c>
      <c r="D486" t="s">
        <v>32</v>
      </c>
      <c r="E486" t="s">
        <v>87</v>
      </c>
      <c r="F486" t="s">
        <v>90</v>
      </c>
      <c r="G486">
        <v>35.6</v>
      </c>
      <c r="H486" t="s">
        <v>74</v>
      </c>
      <c r="I486">
        <v>1</v>
      </c>
      <c r="J486" t="s">
        <v>87</v>
      </c>
    </row>
    <row r="487" spans="1:10" x14ac:dyDescent="0.35">
      <c r="A487" s="4">
        <v>45811</v>
      </c>
      <c r="B487" t="s">
        <v>131</v>
      </c>
      <c r="C487">
        <v>71</v>
      </c>
      <c r="D487" t="s">
        <v>32</v>
      </c>
      <c r="E487" t="s">
        <v>87</v>
      </c>
      <c r="F487" t="s">
        <v>93</v>
      </c>
      <c r="G487">
        <v>29.1</v>
      </c>
      <c r="H487" t="s">
        <v>72</v>
      </c>
      <c r="I487">
        <v>1</v>
      </c>
      <c r="J487" t="s">
        <v>87</v>
      </c>
    </row>
    <row r="488" spans="1:10" x14ac:dyDescent="0.35">
      <c r="A488" s="4">
        <v>45811</v>
      </c>
      <c r="B488" t="s">
        <v>131</v>
      </c>
      <c r="C488">
        <v>71</v>
      </c>
      <c r="D488" t="s">
        <v>32</v>
      </c>
      <c r="E488" t="s">
        <v>87</v>
      </c>
      <c r="F488" t="s">
        <v>93</v>
      </c>
      <c r="G488">
        <v>50.9</v>
      </c>
      <c r="H488" t="s">
        <v>72</v>
      </c>
      <c r="I488">
        <v>1</v>
      </c>
      <c r="J488" t="s">
        <v>87</v>
      </c>
    </row>
    <row r="489" spans="1:10" x14ac:dyDescent="0.35">
      <c r="A489" s="4">
        <v>45811</v>
      </c>
      <c r="B489" t="s">
        <v>131</v>
      </c>
      <c r="C489">
        <v>71</v>
      </c>
      <c r="D489" t="s">
        <v>34</v>
      </c>
      <c r="E489" t="s">
        <v>87</v>
      </c>
      <c r="F489" t="s">
        <v>93</v>
      </c>
      <c r="G489">
        <v>13.5</v>
      </c>
      <c r="H489" t="s">
        <v>72</v>
      </c>
      <c r="I489">
        <v>1</v>
      </c>
      <c r="J489" t="s">
        <v>87</v>
      </c>
    </row>
    <row r="490" spans="1:10" x14ac:dyDescent="0.35">
      <c r="A490" s="4">
        <v>45811</v>
      </c>
      <c r="B490" t="s">
        <v>131</v>
      </c>
      <c r="C490">
        <v>71</v>
      </c>
      <c r="D490" t="s">
        <v>34</v>
      </c>
      <c r="E490" t="s">
        <v>87</v>
      </c>
      <c r="F490" t="s">
        <v>93</v>
      </c>
      <c r="G490">
        <v>21.7</v>
      </c>
      <c r="H490" t="s">
        <v>72</v>
      </c>
      <c r="I490">
        <v>1</v>
      </c>
      <c r="J490" t="s">
        <v>87</v>
      </c>
    </row>
    <row r="491" spans="1:10" x14ac:dyDescent="0.35">
      <c r="A491" s="4">
        <v>45811</v>
      </c>
      <c r="B491" t="s">
        <v>131</v>
      </c>
      <c r="C491">
        <v>71</v>
      </c>
      <c r="D491" t="s">
        <v>34</v>
      </c>
      <c r="E491" t="s">
        <v>87</v>
      </c>
      <c r="F491" t="s">
        <v>93</v>
      </c>
      <c r="G491">
        <v>26</v>
      </c>
      <c r="H491" t="s">
        <v>72</v>
      </c>
      <c r="I491">
        <v>1</v>
      </c>
      <c r="J491" t="s">
        <v>87</v>
      </c>
    </row>
    <row r="492" spans="1:10" x14ac:dyDescent="0.35">
      <c r="A492" s="4">
        <v>45811</v>
      </c>
      <c r="B492" t="s">
        <v>131</v>
      </c>
      <c r="C492">
        <v>71</v>
      </c>
      <c r="D492" t="s">
        <v>34</v>
      </c>
      <c r="E492" t="s">
        <v>87</v>
      </c>
      <c r="F492" t="s">
        <v>93</v>
      </c>
      <c r="G492">
        <v>21.2</v>
      </c>
      <c r="H492" t="s">
        <v>72</v>
      </c>
      <c r="I492">
        <v>1</v>
      </c>
      <c r="J492" t="s">
        <v>87</v>
      </c>
    </row>
    <row r="493" spans="1:10" x14ac:dyDescent="0.35">
      <c r="A493" s="4">
        <v>45811</v>
      </c>
      <c r="B493" t="s">
        <v>131</v>
      </c>
      <c r="C493">
        <v>71</v>
      </c>
      <c r="D493" t="s">
        <v>34</v>
      </c>
      <c r="E493" t="s">
        <v>87</v>
      </c>
      <c r="F493" t="s">
        <v>93</v>
      </c>
      <c r="G493">
        <f>16.2+11.8</f>
        <v>28</v>
      </c>
      <c r="H493" t="s">
        <v>72</v>
      </c>
      <c r="I493">
        <v>2</v>
      </c>
      <c r="J493" t="s">
        <v>87</v>
      </c>
    </row>
    <row r="494" spans="1:10" x14ac:dyDescent="0.35">
      <c r="A494" s="4">
        <v>45811</v>
      </c>
      <c r="B494" t="s">
        <v>131</v>
      </c>
      <c r="C494">
        <v>71</v>
      </c>
      <c r="D494" t="s">
        <v>34</v>
      </c>
      <c r="E494" t="s">
        <v>87</v>
      </c>
      <c r="F494" t="s">
        <v>93</v>
      </c>
      <c r="G494">
        <f>58.6+8.6</f>
        <v>67.2</v>
      </c>
      <c r="H494" t="s">
        <v>72</v>
      </c>
      <c r="I494">
        <v>2</v>
      </c>
      <c r="J494" t="s">
        <v>87</v>
      </c>
    </row>
    <row r="495" spans="1:10" x14ac:dyDescent="0.35">
      <c r="A495" s="4">
        <v>45811</v>
      </c>
      <c r="B495" t="s">
        <v>131</v>
      </c>
      <c r="C495">
        <v>71</v>
      </c>
      <c r="D495" t="s">
        <v>34</v>
      </c>
      <c r="E495" t="s">
        <v>87</v>
      </c>
      <c r="F495" t="s">
        <v>93</v>
      </c>
      <c r="G495">
        <v>19.7</v>
      </c>
      <c r="H495" t="s">
        <v>72</v>
      </c>
      <c r="I495">
        <v>1</v>
      </c>
      <c r="J495" t="s">
        <v>87</v>
      </c>
    </row>
    <row r="496" spans="1:10" x14ac:dyDescent="0.35">
      <c r="A496" s="4">
        <v>45811</v>
      </c>
      <c r="B496" t="s">
        <v>131</v>
      </c>
      <c r="C496">
        <v>71</v>
      </c>
      <c r="D496" t="s">
        <v>34</v>
      </c>
      <c r="E496" t="s">
        <v>87</v>
      </c>
      <c r="F496" t="s">
        <v>93</v>
      </c>
      <c r="G496">
        <v>30.3</v>
      </c>
      <c r="H496" t="s">
        <v>72</v>
      </c>
      <c r="I496">
        <v>1</v>
      </c>
      <c r="J496" t="s">
        <v>87</v>
      </c>
    </row>
    <row r="497" spans="1:12" x14ac:dyDescent="0.35">
      <c r="A497" s="4">
        <v>45811</v>
      </c>
      <c r="B497" t="s">
        <v>131</v>
      </c>
      <c r="C497">
        <v>71</v>
      </c>
      <c r="D497" t="s">
        <v>34</v>
      </c>
      <c r="E497" t="s">
        <v>87</v>
      </c>
      <c r="F497" t="s">
        <v>90</v>
      </c>
      <c r="G497">
        <v>22</v>
      </c>
      <c r="H497" t="s">
        <v>74</v>
      </c>
      <c r="I497">
        <v>1</v>
      </c>
      <c r="J497" t="s">
        <v>87</v>
      </c>
    </row>
    <row r="498" spans="1:12" x14ac:dyDescent="0.35">
      <c r="A498" s="4">
        <v>45811</v>
      </c>
      <c r="B498" t="s">
        <v>131</v>
      </c>
      <c r="C498">
        <v>71</v>
      </c>
      <c r="D498" t="s">
        <v>34</v>
      </c>
      <c r="E498" t="s">
        <v>87</v>
      </c>
      <c r="F498" t="s">
        <v>77</v>
      </c>
      <c r="G498">
        <v>17.3</v>
      </c>
      <c r="H498" t="s">
        <v>72</v>
      </c>
      <c r="I498">
        <v>1</v>
      </c>
      <c r="J498" t="s">
        <v>87</v>
      </c>
    </row>
    <row r="499" spans="1:12" x14ac:dyDescent="0.35">
      <c r="A499" s="4">
        <v>45811</v>
      </c>
      <c r="B499" t="s">
        <v>131</v>
      </c>
      <c r="C499">
        <v>71</v>
      </c>
      <c r="D499" t="s">
        <v>36</v>
      </c>
      <c r="E499" t="s">
        <v>87</v>
      </c>
      <c r="F499" t="s">
        <v>93</v>
      </c>
      <c r="G499">
        <f>13.2+13.3</f>
        <v>26.5</v>
      </c>
      <c r="H499" t="s">
        <v>72</v>
      </c>
      <c r="I499">
        <v>2</v>
      </c>
      <c r="J499" t="s">
        <v>87</v>
      </c>
    </row>
    <row r="500" spans="1:12" x14ac:dyDescent="0.35">
      <c r="A500" s="4">
        <v>45811</v>
      </c>
      <c r="B500" t="s">
        <v>131</v>
      </c>
      <c r="C500">
        <v>71</v>
      </c>
      <c r="D500" t="s">
        <v>36</v>
      </c>
      <c r="E500" t="s">
        <v>87</v>
      </c>
      <c r="F500" t="s">
        <v>92</v>
      </c>
      <c r="G500">
        <v>19.5</v>
      </c>
      <c r="H500" t="s">
        <v>72</v>
      </c>
      <c r="I500">
        <v>1</v>
      </c>
      <c r="J500" t="s">
        <v>87</v>
      </c>
    </row>
    <row r="501" spans="1:12" x14ac:dyDescent="0.35">
      <c r="A501" s="4">
        <v>45811</v>
      </c>
      <c r="B501" t="s">
        <v>131</v>
      </c>
      <c r="C501">
        <v>71</v>
      </c>
      <c r="D501" t="s">
        <v>36</v>
      </c>
      <c r="E501" t="s">
        <v>87</v>
      </c>
      <c r="F501" t="s">
        <v>77</v>
      </c>
      <c r="G501">
        <v>34.700000000000003</v>
      </c>
      <c r="H501" t="s">
        <v>72</v>
      </c>
      <c r="I501">
        <v>1</v>
      </c>
      <c r="J501" t="s">
        <v>87</v>
      </c>
    </row>
    <row r="502" spans="1:12" x14ac:dyDescent="0.35">
      <c r="A502" s="4">
        <v>45811</v>
      </c>
      <c r="B502" t="s">
        <v>131</v>
      </c>
      <c r="C502">
        <v>71</v>
      </c>
      <c r="D502" t="s">
        <v>36</v>
      </c>
      <c r="E502" t="s">
        <v>87</v>
      </c>
      <c r="F502" t="s">
        <v>77</v>
      </c>
      <c r="G502">
        <v>20.5</v>
      </c>
      <c r="H502" t="s">
        <v>72</v>
      </c>
      <c r="I502">
        <v>1</v>
      </c>
      <c r="J502" t="s">
        <v>87</v>
      </c>
    </row>
    <row r="503" spans="1:12" x14ac:dyDescent="0.35">
      <c r="A503" s="4">
        <v>45811</v>
      </c>
      <c r="B503" t="s">
        <v>131</v>
      </c>
      <c r="C503">
        <v>71</v>
      </c>
      <c r="D503" t="s">
        <v>36</v>
      </c>
      <c r="E503" t="s">
        <v>87</v>
      </c>
      <c r="F503" t="s">
        <v>93</v>
      </c>
      <c r="G503">
        <v>14.3</v>
      </c>
      <c r="H503" t="s">
        <v>72</v>
      </c>
      <c r="I503">
        <v>1</v>
      </c>
      <c r="J503" t="s">
        <v>87</v>
      </c>
    </row>
    <row r="504" spans="1:12" x14ac:dyDescent="0.35">
      <c r="A504" s="4">
        <v>45811</v>
      </c>
      <c r="B504" t="s">
        <v>131</v>
      </c>
      <c r="C504">
        <v>71</v>
      </c>
      <c r="D504" t="s">
        <v>36</v>
      </c>
      <c r="E504" t="s">
        <v>87</v>
      </c>
      <c r="F504" t="s">
        <v>77</v>
      </c>
      <c r="G504">
        <v>20.3</v>
      </c>
      <c r="H504" t="s">
        <v>72</v>
      </c>
      <c r="I504">
        <v>1</v>
      </c>
      <c r="J504" t="s">
        <v>87</v>
      </c>
    </row>
    <row r="505" spans="1:12" x14ac:dyDescent="0.35">
      <c r="A505" s="4">
        <v>45811</v>
      </c>
      <c r="B505" t="s">
        <v>131</v>
      </c>
      <c r="C505">
        <v>71</v>
      </c>
      <c r="D505" t="s">
        <v>36</v>
      </c>
      <c r="E505" t="s">
        <v>87</v>
      </c>
      <c r="F505" t="s">
        <v>93</v>
      </c>
      <c r="G505">
        <f>32.6+23+24+21.7+24.1+15.4+27.5+18.7</f>
        <v>187</v>
      </c>
      <c r="H505" t="s">
        <v>72</v>
      </c>
      <c r="I505">
        <v>8</v>
      </c>
      <c r="J505" t="s">
        <v>87</v>
      </c>
    </row>
    <row r="506" spans="1:12" x14ac:dyDescent="0.35">
      <c r="A506" s="4">
        <v>45811</v>
      </c>
      <c r="B506" t="s">
        <v>131</v>
      </c>
      <c r="C506">
        <v>71</v>
      </c>
      <c r="D506" t="s">
        <v>36</v>
      </c>
      <c r="E506" t="s">
        <v>87</v>
      </c>
      <c r="F506" t="s">
        <v>93</v>
      </c>
      <c r="G506">
        <v>23.5</v>
      </c>
      <c r="H506" t="s">
        <v>72</v>
      </c>
      <c r="I506">
        <v>1</v>
      </c>
      <c r="J506" t="s">
        <v>87</v>
      </c>
    </row>
    <row r="507" spans="1:12" x14ac:dyDescent="0.35">
      <c r="A507" s="4">
        <v>45811</v>
      </c>
      <c r="B507" t="s">
        <v>131</v>
      </c>
      <c r="C507">
        <v>71</v>
      </c>
      <c r="D507" t="s">
        <v>36</v>
      </c>
      <c r="E507" t="s">
        <v>87</v>
      </c>
      <c r="F507" t="s">
        <v>93</v>
      </c>
      <c r="G507">
        <v>58.7</v>
      </c>
      <c r="H507" t="s">
        <v>72</v>
      </c>
      <c r="I507">
        <v>1</v>
      </c>
      <c r="J507" t="s">
        <v>87</v>
      </c>
    </row>
    <row r="508" spans="1:12" x14ac:dyDescent="0.35">
      <c r="A508" s="4">
        <v>45811</v>
      </c>
      <c r="B508" t="s">
        <v>131</v>
      </c>
      <c r="C508">
        <v>71</v>
      </c>
      <c r="D508" t="s">
        <v>37</v>
      </c>
      <c r="E508" t="s">
        <v>87</v>
      </c>
      <c r="F508" t="s">
        <v>93</v>
      </c>
      <c r="G508">
        <v>15.7</v>
      </c>
      <c r="H508" t="s">
        <v>72</v>
      </c>
      <c r="I508">
        <v>1</v>
      </c>
      <c r="J508" t="s">
        <v>87</v>
      </c>
    </row>
    <row r="509" spans="1:12" x14ac:dyDescent="0.35">
      <c r="A509" s="4">
        <v>45811</v>
      </c>
      <c r="B509" t="s">
        <v>131</v>
      </c>
      <c r="C509">
        <v>71</v>
      </c>
      <c r="D509" t="s">
        <v>37</v>
      </c>
      <c r="E509" t="s">
        <v>87</v>
      </c>
      <c r="F509" t="s">
        <v>92</v>
      </c>
      <c r="G509">
        <v>22.4</v>
      </c>
      <c r="H509" t="s">
        <v>72</v>
      </c>
      <c r="I509">
        <v>1</v>
      </c>
      <c r="J509" t="s">
        <v>87</v>
      </c>
    </row>
    <row r="510" spans="1:12" x14ac:dyDescent="0.35">
      <c r="A510" s="4">
        <v>45811</v>
      </c>
      <c r="B510" t="s">
        <v>131</v>
      </c>
      <c r="C510">
        <v>71</v>
      </c>
      <c r="D510" t="s">
        <v>37</v>
      </c>
      <c r="E510" t="s">
        <v>87</v>
      </c>
      <c r="F510" t="s">
        <v>75</v>
      </c>
      <c r="G510">
        <v>14.7</v>
      </c>
      <c r="H510" t="s">
        <v>72</v>
      </c>
      <c r="I510">
        <v>1</v>
      </c>
      <c r="J510" t="s">
        <v>87</v>
      </c>
      <c r="K510">
        <v>1</v>
      </c>
      <c r="L510" t="s">
        <v>144</v>
      </c>
    </row>
    <row r="511" spans="1:12" x14ac:dyDescent="0.35">
      <c r="A511" s="4">
        <v>45811</v>
      </c>
      <c r="B511" t="s">
        <v>131</v>
      </c>
      <c r="C511">
        <v>71</v>
      </c>
      <c r="D511" t="s">
        <v>37</v>
      </c>
      <c r="E511" t="s">
        <v>87</v>
      </c>
      <c r="F511" t="s">
        <v>93</v>
      </c>
      <c r="G511">
        <v>64.8</v>
      </c>
      <c r="H511" t="s">
        <v>72</v>
      </c>
      <c r="I511">
        <v>1</v>
      </c>
      <c r="J511" t="s">
        <v>87</v>
      </c>
    </row>
    <row r="512" spans="1:12" x14ac:dyDescent="0.35">
      <c r="A512" s="4">
        <v>45811</v>
      </c>
      <c r="B512" t="s">
        <v>131</v>
      </c>
      <c r="C512">
        <v>71</v>
      </c>
      <c r="D512" t="s">
        <v>37</v>
      </c>
      <c r="E512" t="s">
        <v>87</v>
      </c>
      <c r="F512" t="s">
        <v>93</v>
      </c>
      <c r="G512">
        <v>68.7</v>
      </c>
      <c r="H512" t="s">
        <v>72</v>
      </c>
      <c r="I512">
        <v>1</v>
      </c>
      <c r="J512" t="s">
        <v>87</v>
      </c>
    </row>
    <row r="513" spans="1:11" x14ac:dyDescent="0.35">
      <c r="A513" s="4">
        <v>45811</v>
      </c>
      <c r="B513" t="s">
        <v>131</v>
      </c>
      <c r="C513">
        <v>71</v>
      </c>
      <c r="D513" t="s">
        <v>37</v>
      </c>
      <c r="E513" t="s">
        <v>87</v>
      </c>
      <c r="F513" t="s">
        <v>93</v>
      </c>
      <c r="G513">
        <f>13.5+56.1</f>
        <v>69.599999999999994</v>
      </c>
      <c r="H513" t="s">
        <v>72</v>
      </c>
      <c r="I513">
        <v>2</v>
      </c>
      <c r="J513" t="s">
        <v>87</v>
      </c>
    </row>
    <row r="514" spans="1:11" x14ac:dyDescent="0.35">
      <c r="A514" s="4">
        <v>45811</v>
      </c>
      <c r="B514" t="s">
        <v>131</v>
      </c>
      <c r="C514">
        <v>71</v>
      </c>
      <c r="D514" t="s">
        <v>37</v>
      </c>
      <c r="E514" t="s">
        <v>87</v>
      </c>
      <c r="F514" t="s">
        <v>90</v>
      </c>
      <c r="G514">
        <f>16.5+7.6</f>
        <v>24.1</v>
      </c>
      <c r="H514" t="s">
        <v>74</v>
      </c>
      <c r="I514">
        <v>2</v>
      </c>
      <c r="J514" t="s">
        <v>87</v>
      </c>
    </row>
    <row r="515" spans="1:11" x14ac:dyDescent="0.35">
      <c r="A515" s="4">
        <v>45811</v>
      </c>
      <c r="B515" t="s">
        <v>131</v>
      </c>
      <c r="C515">
        <v>71</v>
      </c>
      <c r="D515" t="s">
        <v>37</v>
      </c>
      <c r="E515" t="s">
        <v>87</v>
      </c>
      <c r="F515" t="s">
        <v>93</v>
      </c>
      <c r="G515">
        <v>42.2</v>
      </c>
      <c r="H515" t="s">
        <v>72</v>
      </c>
      <c r="I515">
        <v>1</v>
      </c>
      <c r="J515" t="s">
        <v>87</v>
      </c>
    </row>
    <row r="516" spans="1:11" x14ac:dyDescent="0.35">
      <c r="A516" s="4">
        <v>45811</v>
      </c>
      <c r="B516" t="s">
        <v>131</v>
      </c>
      <c r="C516">
        <v>71</v>
      </c>
      <c r="D516" t="s">
        <v>32</v>
      </c>
      <c r="E516" t="s">
        <v>87</v>
      </c>
      <c r="F516" t="s">
        <v>90</v>
      </c>
      <c r="G516">
        <v>20.3</v>
      </c>
      <c r="H516" t="s">
        <v>74</v>
      </c>
      <c r="I516">
        <v>1</v>
      </c>
      <c r="J516" t="s">
        <v>87</v>
      </c>
    </row>
    <row r="517" spans="1:11" x14ac:dyDescent="0.35">
      <c r="A517" s="4">
        <v>45811</v>
      </c>
      <c r="B517" t="s">
        <v>131</v>
      </c>
      <c r="C517">
        <v>71</v>
      </c>
      <c r="D517" t="s">
        <v>32</v>
      </c>
      <c r="E517" t="s">
        <v>87</v>
      </c>
      <c r="F517" t="s">
        <v>93</v>
      </c>
      <c r="G517">
        <v>38.5</v>
      </c>
      <c r="H517" t="s">
        <v>72</v>
      </c>
      <c r="I517">
        <v>1</v>
      </c>
      <c r="J517" t="s">
        <v>87</v>
      </c>
    </row>
    <row r="518" spans="1:11" s="6" customFormat="1" x14ac:dyDescent="0.35">
      <c r="A518" s="5">
        <v>45812</v>
      </c>
      <c r="B518" s="6" t="s">
        <v>131</v>
      </c>
      <c r="C518" s="6">
        <v>72</v>
      </c>
      <c r="D518" s="6" t="s">
        <v>32</v>
      </c>
      <c r="E518" s="6" t="s">
        <v>70</v>
      </c>
      <c r="F518" s="6" t="s">
        <v>95</v>
      </c>
      <c r="G518" s="6">
        <v>3.4</v>
      </c>
      <c r="H518" s="6" t="s">
        <v>74</v>
      </c>
      <c r="I518" s="6">
        <v>1</v>
      </c>
      <c r="J518" s="6" t="s">
        <v>87</v>
      </c>
      <c r="K518" s="6">
        <v>5</v>
      </c>
    </row>
    <row r="519" spans="1:11" x14ac:dyDescent="0.35">
      <c r="A519" s="4">
        <v>45812</v>
      </c>
      <c r="B519" t="s">
        <v>131</v>
      </c>
      <c r="C519">
        <v>72</v>
      </c>
      <c r="D519" t="s">
        <v>32</v>
      </c>
      <c r="E519" t="s">
        <v>70</v>
      </c>
      <c r="F519" t="s">
        <v>93</v>
      </c>
      <c r="G519">
        <v>5.0999999999999996</v>
      </c>
      <c r="H519" t="s">
        <v>72</v>
      </c>
      <c r="I519">
        <v>1</v>
      </c>
      <c r="J519" t="s">
        <v>87</v>
      </c>
    </row>
    <row r="520" spans="1:11" x14ac:dyDescent="0.35">
      <c r="A520" s="4">
        <v>45812</v>
      </c>
      <c r="B520" t="s">
        <v>131</v>
      </c>
      <c r="C520">
        <v>72</v>
      </c>
      <c r="D520" t="s">
        <v>32</v>
      </c>
      <c r="E520" t="s">
        <v>70</v>
      </c>
      <c r="F520" t="s">
        <v>88</v>
      </c>
      <c r="G520">
        <v>3.9</v>
      </c>
      <c r="H520" t="s">
        <v>72</v>
      </c>
      <c r="I520">
        <v>1</v>
      </c>
      <c r="J520" t="s">
        <v>87</v>
      </c>
    </row>
    <row r="521" spans="1:11" x14ac:dyDescent="0.35">
      <c r="A521" s="4">
        <v>45812</v>
      </c>
      <c r="B521" t="s">
        <v>131</v>
      </c>
      <c r="C521">
        <v>72</v>
      </c>
      <c r="D521" t="s">
        <v>32</v>
      </c>
      <c r="E521" t="s">
        <v>70</v>
      </c>
      <c r="F521" t="s">
        <v>88</v>
      </c>
      <c r="G521">
        <f>1.3+1.5+4.3+3.8</f>
        <v>10.899999999999999</v>
      </c>
      <c r="H521" t="s">
        <v>72</v>
      </c>
      <c r="I521">
        <v>4</v>
      </c>
      <c r="J521" t="s">
        <v>70</v>
      </c>
    </row>
    <row r="522" spans="1:11" x14ac:dyDescent="0.35">
      <c r="A522" s="4">
        <v>45812</v>
      </c>
      <c r="B522" t="s">
        <v>131</v>
      </c>
      <c r="C522">
        <v>72</v>
      </c>
      <c r="D522" t="s">
        <v>32</v>
      </c>
      <c r="E522" t="s">
        <v>70</v>
      </c>
      <c r="F522" t="s">
        <v>95</v>
      </c>
      <c r="G522">
        <v>5.3</v>
      </c>
      <c r="H522" t="s">
        <v>72</v>
      </c>
      <c r="I522">
        <v>1</v>
      </c>
      <c r="J522" t="s">
        <v>87</v>
      </c>
      <c r="K522">
        <v>1</v>
      </c>
    </row>
    <row r="523" spans="1:11" x14ac:dyDescent="0.35">
      <c r="A523" s="4">
        <v>45812</v>
      </c>
      <c r="B523" t="s">
        <v>131</v>
      </c>
      <c r="C523">
        <v>72</v>
      </c>
      <c r="D523" t="s">
        <v>32</v>
      </c>
      <c r="E523" t="s">
        <v>70</v>
      </c>
      <c r="F523" t="s">
        <v>95</v>
      </c>
      <c r="G523">
        <v>4.3</v>
      </c>
      <c r="H523" t="s">
        <v>74</v>
      </c>
      <c r="I523">
        <v>1</v>
      </c>
      <c r="J523" t="s">
        <v>87</v>
      </c>
      <c r="K523">
        <v>5</v>
      </c>
    </row>
    <row r="524" spans="1:11" x14ac:dyDescent="0.35">
      <c r="A524" s="4">
        <v>45812</v>
      </c>
      <c r="B524" t="s">
        <v>131</v>
      </c>
      <c r="C524">
        <v>72</v>
      </c>
      <c r="D524" t="s">
        <v>32</v>
      </c>
      <c r="E524" t="s">
        <v>70</v>
      </c>
      <c r="F524" t="s">
        <v>88</v>
      </c>
      <c r="G524">
        <v>4.7</v>
      </c>
      <c r="H524" t="s">
        <v>74</v>
      </c>
      <c r="I524">
        <v>1</v>
      </c>
      <c r="J524" t="s">
        <v>87</v>
      </c>
    </row>
    <row r="525" spans="1:11" x14ac:dyDescent="0.35">
      <c r="A525" s="4">
        <v>45812</v>
      </c>
      <c r="B525" t="s">
        <v>131</v>
      </c>
      <c r="C525">
        <v>72</v>
      </c>
      <c r="D525" t="s">
        <v>32</v>
      </c>
      <c r="E525" t="s">
        <v>70</v>
      </c>
      <c r="F525" t="s">
        <v>88</v>
      </c>
      <c r="G525">
        <f>4.5+2.5</f>
        <v>7</v>
      </c>
      <c r="H525" t="s">
        <v>72</v>
      </c>
      <c r="I525">
        <v>2</v>
      </c>
      <c r="J525" t="s">
        <v>87</v>
      </c>
    </row>
    <row r="526" spans="1:11" x14ac:dyDescent="0.35">
      <c r="A526" s="4">
        <v>45812</v>
      </c>
      <c r="B526" t="s">
        <v>131</v>
      </c>
      <c r="C526">
        <v>72</v>
      </c>
      <c r="D526" t="s">
        <v>32</v>
      </c>
      <c r="E526" t="s">
        <v>70</v>
      </c>
      <c r="F526" t="s">
        <v>88</v>
      </c>
      <c r="G526">
        <f>2.3+1.3</f>
        <v>3.5999999999999996</v>
      </c>
      <c r="H526" t="s">
        <v>72</v>
      </c>
      <c r="I526">
        <v>2</v>
      </c>
      <c r="J526" t="s">
        <v>87</v>
      </c>
    </row>
    <row r="527" spans="1:11" x14ac:dyDescent="0.35">
      <c r="A527" s="4">
        <v>45812</v>
      </c>
      <c r="B527" t="s">
        <v>131</v>
      </c>
      <c r="C527">
        <v>72</v>
      </c>
      <c r="D527" t="s">
        <v>32</v>
      </c>
      <c r="E527" t="s">
        <v>70</v>
      </c>
      <c r="F527" t="s">
        <v>88</v>
      </c>
      <c r="G527">
        <v>4.2</v>
      </c>
      <c r="H527" t="s">
        <v>72</v>
      </c>
      <c r="I527">
        <v>1</v>
      </c>
      <c r="J527" t="s">
        <v>87</v>
      </c>
    </row>
    <row r="528" spans="1:11" x14ac:dyDescent="0.35">
      <c r="A528" s="4">
        <v>45812</v>
      </c>
      <c r="B528" t="s">
        <v>131</v>
      </c>
      <c r="C528">
        <v>72</v>
      </c>
      <c r="D528" t="s">
        <v>32</v>
      </c>
      <c r="E528" t="s">
        <v>70</v>
      </c>
      <c r="F528" t="s">
        <v>88</v>
      </c>
      <c r="G528">
        <v>6.8</v>
      </c>
      <c r="H528" t="s">
        <v>72</v>
      </c>
      <c r="I528">
        <v>1</v>
      </c>
      <c r="J528" t="s">
        <v>70</v>
      </c>
    </row>
    <row r="529" spans="1:12" x14ac:dyDescent="0.35">
      <c r="A529" s="4">
        <v>45812</v>
      </c>
      <c r="B529" t="s">
        <v>131</v>
      </c>
      <c r="C529">
        <v>72</v>
      </c>
      <c r="D529" t="s">
        <v>32</v>
      </c>
      <c r="E529" t="s">
        <v>70</v>
      </c>
      <c r="F529" t="s">
        <v>95</v>
      </c>
      <c r="G529">
        <v>7.7</v>
      </c>
      <c r="H529" t="s">
        <v>72</v>
      </c>
      <c r="I529">
        <v>1</v>
      </c>
      <c r="J529" t="s">
        <v>87</v>
      </c>
      <c r="K529">
        <v>1</v>
      </c>
    </row>
    <row r="530" spans="1:12" x14ac:dyDescent="0.35">
      <c r="A530" s="4">
        <v>45812</v>
      </c>
      <c r="B530" t="s">
        <v>131</v>
      </c>
      <c r="C530">
        <v>72</v>
      </c>
      <c r="D530" t="s">
        <v>32</v>
      </c>
      <c r="E530" t="s">
        <v>70</v>
      </c>
      <c r="F530" t="s">
        <v>95</v>
      </c>
      <c r="G530">
        <v>3.5</v>
      </c>
      <c r="H530" t="s">
        <v>74</v>
      </c>
      <c r="I530">
        <v>1</v>
      </c>
      <c r="J530" t="s">
        <v>87</v>
      </c>
      <c r="K530">
        <v>5</v>
      </c>
      <c r="L530" t="s">
        <v>145</v>
      </c>
    </row>
    <row r="531" spans="1:12" x14ac:dyDescent="0.35">
      <c r="A531" s="4">
        <v>45812</v>
      </c>
      <c r="B531" t="s">
        <v>131</v>
      </c>
      <c r="C531">
        <v>72</v>
      </c>
      <c r="D531" t="s">
        <v>32</v>
      </c>
      <c r="E531" t="s">
        <v>70</v>
      </c>
      <c r="F531" t="s">
        <v>88</v>
      </c>
      <c r="G531">
        <v>2.5</v>
      </c>
      <c r="H531" t="s">
        <v>72</v>
      </c>
      <c r="I531">
        <v>1</v>
      </c>
      <c r="J531" t="s">
        <v>87</v>
      </c>
    </row>
    <row r="532" spans="1:12" x14ac:dyDescent="0.35">
      <c r="A532" s="4">
        <v>45812</v>
      </c>
      <c r="B532" t="s">
        <v>131</v>
      </c>
      <c r="C532">
        <v>72</v>
      </c>
      <c r="D532" t="s">
        <v>32</v>
      </c>
      <c r="E532" t="s">
        <v>70</v>
      </c>
      <c r="F532" t="s">
        <v>88</v>
      </c>
      <c r="G532">
        <f>1.5+7.7</f>
        <v>9.1999999999999993</v>
      </c>
      <c r="H532" t="s">
        <v>72</v>
      </c>
      <c r="I532">
        <v>2</v>
      </c>
      <c r="J532" t="s">
        <v>87</v>
      </c>
    </row>
    <row r="533" spans="1:12" x14ac:dyDescent="0.35">
      <c r="A533" s="4">
        <v>45812</v>
      </c>
      <c r="B533" t="s">
        <v>131</v>
      </c>
      <c r="C533">
        <v>72</v>
      </c>
      <c r="D533" t="s">
        <v>32</v>
      </c>
      <c r="E533" t="s">
        <v>70</v>
      </c>
      <c r="F533" t="s">
        <v>88</v>
      </c>
      <c r="G533">
        <v>6.5</v>
      </c>
      <c r="H533" t="s">
        <v>72</v>
      </c>
      <c r="I533">
        <v>1</v>
      </c>
      <c r="J533" t="s">
        <v>70</v>
      </c>
    </row>
    <row r="534" spans="1:12" x14ac:dyDescent="0.35">
      <c r="A534" s="4">
        <v>45812</v>
      </c>
      <c r="B534" t="s">
        <v>131</v>
      </c>
      <c r="C534">
        <v>72</v>
      </c>
      <c r="D534" t="s">
        <v>32</v>
      </c>
      <c r="E534" t="s">
        <v>70</v>
      </c>
      <c r="F534" t="s">
        <v>95</v>
      </c>
      <c r="G534">
        <v>3.5</v>
      </c>
      <c r="H534" t="s">
        <v>72</v>
      </c>
      <c r="I534">
        <v>1</v>
      </c>
      <c r="J534" t="s">
        <v>87</v>
      </c>
      <c r="K534">
        <v>1</v>
      </c>
    </row>
    <row r="535" spans="1:12" x14ac:dyDescent="0.35">
      <c r="A535" s="4">
        <v>45812</v>
      </c>
      <c r="B535" t="s">
        <v>131</v>
      </c>
      <c r="C535">
        <v>72</v>
      </c>
      <c r="D535" t="s">
        <v>32</v>
      </c>
      <c r="E535" t="s">
        <v>70</v>
      </c>
      <c r="F535" t="s">
        <v>95</v>
      </c>
      <c r="G535">
        <v>4</v>
      </c>
      <c r="H535" t="s">
        <v>72</v>
      </c>
      <c r="I535">
        <v>1</v>
      </c>
      <c r="J535" t="s">
        <v>87</v>
      </c>
      <c r="K535">
        <v>1</v>
      </c>
    </row>
    <row r="536" spans="1:12" x14ac:dyDescent="0.35">
      <c r="A536" s="4">
        <v>45812</v>
      </c>
      <c r="B536" t="s">
        <v>131</v>
      </c>
      <c r="C536">
        <v>72</v>
      </c>
      <c r="D536" t="s">
        <v>32</v>
      </c>
      <c r="E536" t="s">
        <v>70</v>
      </c>
      <c r="F536" t="s">
        <v>95</v>
      </c>
      <c r="G536">
        <v>5.2</v>
      </c>
      <c r="H536" t="s">
        <v>72</v>
      </c>
      <c r="I536">
        <v>1</v>
      </c>
      <c r="J536" t="s">
        <v>87</v>
      </c>
      <c r="K536">
        <v>1</v>
      </c>
    </row>
    <row r="537" spans="1:12" x14ac:dyDescent="0.35">
      <c r="A537" s="4">
        <v>45812</v>
      </c>
      <c r="B537" t="s">
        <v>131</v>
      </c>
      <c r="C537">
        <v>72</v>
      </c>
      <c r="D537" t="s">
        <v>32</v>
      </c>
      <c r="E537" t="s">
        <v>70</v>
      </c>
      <c r="F537" t="s">
        <v>95</v>
      </c>
      <c r="G537">
        <v>7.7</v>
      </c>
      <c r="H537" t="s">
        <v>72</v>
      </c>
      <c r="I537">
        <v>1</v>
      </c>
      <c r="J537" t="s">
        <v>70</v>
      </c>
      <c r="K537">
        <v>4</v>
      </c>
    </row>
    <row r="538" spans="1:12" x14ac:dyDescent="0.35">
      <c r="A538" s="4">
        <v>45812</v>
      </c>
      <c r="B538" t="s">
        <v>131</v>
      </c>
      <c r="C538">
        <v>72</v>
      </c>
      <c r="D538" t="s">
        <v>32</v>
      </c>
      <c r="E538" t="s">
        <v>70</v>
      </c>
      <c r="F538" t="s">
        <v>95</v>
      </c>
      <c r="G538">
        <v>5.5</v>
      </c>
      <c r="H538" t="s">
        <v>72</v>
      </c>
      <c r="I538">
        <v>1</v>
      </c>
      <c r="J538" t="s">
        <v>70</v>
      </c>
      <c r="K538">
        <v>2</v>
      </c>
    </row>
    <row r="539" spans="1:12" x14ac:dyDescent="0.35">
      <c r="A539" s="4">
        <v>45812</v>
      </c>
      <c r="B539" t="s">
        <v>131</v>
      </c>
      <c r="C539">
        <v>72</v>
      </c>
      <c r="D539" t="s">
        <v>32</v>
      </c>
      <c r="E539" t="s">
        <v>70</v>
      </c>
      <c r="F539" t="s">
        <v>95</v>
      </c>
      <c r="G539">
        <v>4.9000000000000004</v>
      </c>
      <c r="H539" t="s">
        <v>72</v>
      </c>
      <c r="I539">
        <v>1</v>
      </c>
      <c r="J539" t="s">
        <v>87</v>
      </c>
      <c r="K539">
        <v>1</v>
      </c>
    </row>
    <row r="540" spans="1:12" x14ac:dyDescent="0.35">
      <c r="A540" s="4">
        <v>45812</v>
      </c>
      <c r="B540" t="s">
        <v>131</v>
      </c>
      <c r="C540">
        <v>72</v>
      </c>
      <c r="D540" t="s">
        <v>32</v>
      </c>
      <c r="E540" t="s">
        <v>70</v>
      </c>
      <c r="F540" t="s">
        <v>88</v>
      </c>
      <c r="G540">
        <v>3.2</v>
      </c>
      <c r="H540" t="s">
        <v>72</v>
      </c>
      <c r="I540">
        <v>1</v>
      </c>
      <c r="J540" t="s">
        <v>87</v>
      </c>
    </row>
    <row r="541" spans="1:12" x14ac:dyDescent="0.35">
      <c r="A541" s="4">
        <v>45812</v>
      </c>
      <c r="B541" t="s">
        <v>131</v>
      </c>
      <c r="C541">
        <v>72</v>
      </c>
      <c r="D541" t="s">
        <v>32</v>
      </c>
      <c r="E541" t="s">
        <v>70</v>
      </c>
      <c r="F541" t="s">
        <v>75</v>
      </c>
      <c r="G541">
        <v>2.8</v>
      </c>
      <c r="H541" t="s">
        <v>72</v>
      </c>
      <c r="I541">
        <v>1</v>
      </c>
      <c r="J541" t="s">
        <v>70</v>
      </c>
      <c r="K541">
        <v>2</v>
      </c>
    </row>
    <row r="542" spans="1:12" x14ac:dyDescent="0.35">
      <c r="A542" s="4">
        <v>45812</v>
      </c>
      <c r="B542" t="s">
        <v>131</v>
      </c>
      <c r="C542">
        <v>72</v>
      </c>
      <c r="D542" t="s">
        <v>34</v>
      </c>
      <c r="E542" t="s">
        <v>70</v>
      </c>
      <c r="F542" t="s">
        <v>95</v>
      </c>
      <c r="G542">
        <f>6.3+8.5</f>
        <v>14.8</v>
      </c>
      <c r="H542" t="s">
        <v>74</v>
      </c>
      <c r="I542">
        <v>2</v>
      </c>
      <c r="J542" t="s">
        <v>87</v>
      </c>
      <c r="K542">
        <v>5</v>
      </c>
    </row>
    <row r="543" spans="1:12" x14ac:dyDescent="0.35">
      <c r="A543" s="4">
        <v>45812</v>
      </c>
      <c r="B543" t="s">
        <v>131</v>
      </c>
      <c r="C543">
        <v>72</v>
      </c>
      <c r="D543" t="s">
        <v>34</v>
      </c>
      <c r="E543" t="s">
        <v>70</v>
      </c>
      <c r="F543" t="s">
        <v>95</v>
      </c>
      <c r="G543">
        <v>5.0999999999999996</v>
      </c>
      <c r="H543" t="s">
        <v>72</v>
      </c>
      <c r="I543">
        <v>1</v>
      </c>
      <c r="J543" t="s">
        <v>70</v>
      </c>
      <c r="K543">
        <v>4</v>
      </c>
    </row>
    <row r="544" spans="1:12" x14ac:dyDescent="0.35">
      <c r="A544" s="4">
        <v>45812</v>
      </c>
      <c r="B544" t="s">
        <v>131</v>
      </c>
      <c r="C544">
        <v>72</v>
      </c>
      <c r="D544" t="s">
        <v>34</v>
      </c>
      <c r="E544" t="s">
        <v>70</v>
      </c>
      <c r="F544" t="s">
        <v>88</v>
      </c>
      <c r="G544">
        <f>2.5+1</f>
        <v>3.5</v>
      </c>
      <c r="H544" t="s">
        <v>72</v>
      </c>
      <c r="I544">
        <v>2</v>
      </c>
      <c r="J544" t="s">
        <v>70</v>
      </c>
    </row>
    <row r="545" spans="1:11" x14ac:dyDescent="0.35">
      <c r="A545" s="4">
        <v>45812</v>
      </c>
      <c r="B545" t="s">
        <v>131</v>
      </c>
      <c r="C545">
        <v>72</v>
      </c>
      <c r="D545" t="s">
        <v>34</v>
      </c>
      <c r="E545" t="s">
        <v>70</v>
      </c>
      <c r="F545" t="s">
        <v>95</v>
      </c>
      <c r="G545">
        <v>10.199999999999999</v>
      </c>
      <c r="H545" t="s">
        <v>72</v>
      </c>
      <c r="I545">
        <v>1</v>
      </c>
      <c r="J545" t="s">
        <v>87</v>
      </c>
      <c r="K545">
        <v>1</v>
      </c>
    </row>
    <row r="546" spans="1:11" x14ac:dyDescent="0.35">
      <c r="A546" s="4">
        <v>45812</v>
      </c>
      <c r="B546" t="s">
        <v>131</v>
      </c>
      <c r="C546">
        <v>72</v>
      </c>
      <c r="D546" t="s">
        <v>34</v>
      </c>
      <c r="E546" t="s">
        <v>70</v>
      </c>
      <c r="F546" t="s">
        <v>92</v>
      </c>
      <c r="G546">
        <v>4.5</v>
      </c>
      <c r="H546" t="s">
        <v>72</v>
      </c>
      <c r="I546">
        <v>1</v>
      </c>
      <c r="J546" t="s">
        <v>87</v>
      </c>
    </row>
    <row r="547" spans="1:11" x14ac:dyDescent="0.35">
      <c r="A547" s="4">
        <v>45812</v>
      </c>
      <c r="B547" t="s">
        <v>131</v>
      </c>
      <c r="C547">
        <v>72</v>
      </c>
      <c r="D547" t="s">
        <v>34</v>
      </c>
      <c r="E547" t="s">
        <v>70</v>
      </c>
      <c r="F547" t="s">
        <v>75</v>
      </c>
      <c r="G547">
        <v>6.7</v>
      </c>
      <c r="H547" t="s">
        <v>72</v>
      </c>
      <c r="I547">
        <v>1</v>
      </c>
      <c r="J547" t="s">
        <v>70</v>
      </c>
      <c r="K547">
        <v>2</v>
      </c>
    </row>
    <row r="548" spans="1:11" x14ac:dyDescent="0.35">
      <c r="A548" s="4">
        <v>45812</v>
      </c>
      <c r="B548" t="s">
        <v>131</v>
      </c>
      <c r="C548">
        <v>72</v>
      </c>
      <c r="D548" t="s">
        <v>34</v>
      </c>
      <c r="E548" t="s">
        <v>70</v>
      </c>
      <c r="F548" t="s">
        <v>95</v>
      </c>
      <c r="G548">
        <v>4.8</v>
      </c>
      <c r="H548" t="s">
        <v>74</v>
      </c>
      <c r="I548">
        <v>1</v>
      </c>
      <c r="J548" t="s">
        <v>87</v>
      </c>
      <c r="K548">
        <v>5</v>
      </c>
    </row>
    <row r="549" spans="1:11" x14ac:dyDescent="0.35">
      <c r="A549" s="4">
        <v>45812</v>
      </c>
      <c r="B549" t="s">
        <v>131</v>
      </c>
      <c r="C549">
        <v>72</v>
      </c>
      <c r="D549" t="s">
        <v>34</v>
      </c>
      <c r="E549" t="s">
        <v>70</v>
      </c>
      <c r="F549" t="s">
        <v>95</v>
      </c>
      <c r="G549">
        <v>7</v>
      </c>
      <c r="H549" t="s">
        <v>72</v>
      </c>
      <c r="I549">
        <v>1</v>
      </c>
      <c r="J549" t="s">
        <v>87</v>
      </c>
      <c r="K549">
        <v>1</v>
      </c>
    </row>
    <row r="550" spans="1:11" x14ac:dyDescent="0.35">
      <c r="A550" s="4">
        <v>45812</v>
      </c>
      <c r="B550" t="s">
        <v>131</v>
      </c>
      <c r="C550">
        <v>72</v>
      </c>
      <c r="D550" t="s">
        <v>34</v>
      </c>
      <c r="E550" t="s">
        <v>70</v>
      </c>
      <c r="F550" t="s">
        <v>95</v>
      </c>
      <c r="G550">
        <v>8.1999999999999993</v>
      </c>
      <c r="H550" t="s">
        <v>72</v>
      </c>
      <c r="I550">
        <v>1</v>
      </c>
      <c r="J550" t="s">
        <v>87</v>
      </c>
      <c r="K550">
        <v>1</v>
      </c>
    </row>
    <row r="551" spans="1:11" x14ac:dyDescent="0.35">
      <c r="A551" s="4">
        <v>45812</v>
      </c>
      <c r="B551" t="s">
        <v>131</v>
      </c>
      <c r="C551">
        <v>72</v>
      </c>
      <c r="D551" t="s">
        <v>34</v>
      </c>
      <c r="E551" t="s">
        <v>70</v>
      </c>
      <c r="F551" t="s">
        <v>75</v>
      </c>
      <c r="G551">
        <v>4.2</v>
      </c>
      <c r="H551" t="s">
        <v>72</v>
      </c>
      <c r="I551">
        <v>1</v>
      </c>
      <c r="J551" t="s">
        <v>87</v>
      </c>
      <c r="K551">
        <v>1</v>
      </c>
    </row>
    <row r="552" spans="1:11" x14ac:dyDescent="0.35">
      <c r="A552" s="4">
        <v>45812</v>
      </c>
      <c r="B552" t="s">
        <v>131</v>
      </c>
      <c r="C552">
        <v>72</v>
      </c>
      <c r="D552" t="s">
        <v>34</v>
      </c>
      <c r="E552" t="s">
        <v>70</v>
      </c>
      <c r="F552" t="s">
        <v>95</v>
      </c>
      <c r="G552">
        <v>5.5</v>
      </c>
      <c r="H552" t="s">
        <v>72</v>
      </c>
      <c r="I552">
        <v>1</v>
      </c>
      <c r="J552" t="s">
        <v>87</v>
      </c>
      <c r="K552">
        <v>1</v>
      </c>
    </row>
    <row r="553" spans="1:11" x14ac:dyDescent="0.35">
      <c r="A553" s="4">
        <v>45812</v>
      </c>
      <c r="B553" t="s">
        <v>131</v>
      </c>
      <c r="C553">
        <v>72</v>
      </c>
      <c r="D553" t="s">
        <v>34</v>
      </c>
      <c r="E553" t="s">
        <v>70</v>
      </c>
      <c r="F553" t="s">
        <v>95</v>
      </c>
      <c r="G553">
        <v>9.3000000000000007</v>
      </c>
      <c r="H553" t="s">
        <v>72</v>
      </c>
      <c r="I553">
        <v>1</v>
      </c>
      <c r="J553" t="s">
        <v>70</v>
      </c>
      <c r="K553">
        <v>2</v>
      </c>
    </row>
    <row r="554" spans="1:11" x14ac:dyDescent="0.35">
      <c r="A554" s="4">
        <v>45812</v>
      </c>
      <c r="B554" t="s">
        <v>131</v>
      </c>
      <c r="C554">
        <v>72</v>
      </c>
      <c r="D554" t="s">
        <v>34</v>
      </c>
      <c r="E554" t="s">
        <v>70</v>
      </c>
      <c r="F554" t="s">
        <v>95</v>
      </c>
      <c r="G554">
        <v>9.5</v>
      </c>
      <c r="H554" t="s">
        <v>72</v>
      </c>
      <c r="I554">
        <v>1</v>
      </c>
      <c r="J554" t="s">
        <v>70</v>
      </c>
      <c r="K554">
        <v>4</v>
      </c>
    </row>
    <row r="555" spans="1:11" x14ac:dyDescent="0.35">
      <c r="A555" s="4">
        <v>45812</v>
      </c>
      <c r="B555" t="s">
        <v>131</v>
      </c>
      <c r="C555">
        <v>72</v>
      </c>
      <c r="D555" t="s">
        <v>34</v>
      </c>
      <c r="E555" t="s">
        <v>70</v>
      </c>
      <c r="F555" t="s">
        <v>88</v>
      </c>
      <c r="G555">
        <v>4.3</v>
      </c>
      <c r="H555" t="s">
        <v>74</v>
      </c>
      <c r="I555">
        <v>1</v>
      </c>
      <c r="J555" t="s">
        <v>87</v>
      </c>
    </row>
    <row r="556" spans="1:11" x14ac:dyDescent="0.35">
      <c r="A556" s="4">
        <v>45812</v>
      </c>
      <c r="B556" t="s">
        <v>131</v>
      </c>
      <c r="C556">
        <v>72</v>
      </c>
      <c r="D556" t="s">
        <v>34</v>
      </c>
      <c r="E556" t="s">
        <v>70</v>
      </c>
      <c r="F556" t="s">
        <v>95</v>
      </c>
      <c r="G556">
        <v>3.7</v>
      </c>
      <c r="H556" t="s">
        <v>72</v>
      </c>
      <c r="I556">
        <v>1</v>
      </c>
      <c r="J556" t="s">
        <v>87</v>
      </c>
      <c r="K556">
        <v>1</v>
      </c>
    </row>
    <row r="557" spans="1:11" x14ac:dyDescent="0.35">
      <c r="A557" s="4">
        <v>45812</v>
      </c>
      <c r="B557" t="s">
        <v>131</v>
      </c>
      <c r="C557">
        <v>72</v>
      </c>
      <c r="D557" t="s">
        <v>34</v>
      </c>
      <c r="E557" t="s">
        <v>70</v>
      </c>
      <c r="F557" t="s">
        <v>95</v>
      </c>
      <c r="G557">
        <v>8.5</v>
      </c>
      <c r="H557" t="s">
        <v>74</v>
      </c>
      <c r="I557">
        <v>1</v>
      </c>
      <c r="J557" t="s">
        <v>87</v>
      </c>
      <c r="K557">
        <v>5</v>
      </c>
    </row>
    <row r="558" spans="1:11" x14ac:dyDescent="0.35">
      <c r="A558" s="4">
        <v>45812</v>
      </c>
      <c r="B558" t="s">
        <v>131</v>
      </c>
      <c r="C558">
        <v>72</v>
      </c>
      <c r="D558" t="s">
        <v>34</v>
      </c>
      <c r="E558" t="s">
        <v>70</v>
      </c>
      <c r="F558" t="s">
        <v>90</v>
      </c>
      <c r="G558">
        <v>45.3</v>
      </c>
      <c r="H558" t="s">
        <v>74</v>
      </c>
      <c r="I558">
        <v>1</v>
      </c>
      <c r="J558" t="s">
        <v>87</v>
      </c>
    </row>
    <row r="559" spans="1:11" x14ac:dyDescent="0.35">
      <c r="A559" s="4">
        <v>45812</v>
      </c>
      <c r="B559" t="s">
        <v>131</v>
      </c>
      <c r="C559">
        <v>72</v>
      </c>
      <c r="D559" t="s">
        <v>34</v>
      </c>
      <c r="E559" t="s">
        <v>70</v>
      </c>
      <c r="F559" t="s">
        <v>92</v>
      </c>
      <c r="G559">
        <v>8.4</v>
      </c>
      <c r="H559" t="s">
        <v>72</v>
      </c>
      <c r="I559">
        <v>1</v>
      </c>
      <c r="J559" t="s">
        <v>87</v>
      </c>
    </row>
    <row r="560" spans="1:11" x14ac:dyDescent="0.35">
      <c r="A560" s="4">
        <v>45812</v>
      </c>
      <c r="B560" t="s">
        <v>131</v>
      </c>
      <c r="C560">
        <v>72</v>
      </c>
      <c r="D560" t="s">
        <v>34</v>
      </c>
      <c r="E560" t="s">
        <v>70</v>
      </c>
      <c r="F560" t="s">
        <v>95</v>
      </c>
      <c r="G560">
        <v>5.2</v>
      </c>
      <c r="H560" t="s">
        <v>72</v>
      </c>
      <c r="I560">
        <v>1</v>
      </c>
      <c r="J560" t="s">
        <v>87</v>
      </c>
      <c r="K560">
        <v>1</v>
      </c>
    </row>
    <row r="561" spans="1:12" x14ac:dyDescent="0.35">
      <c r="A561" s="4">
        <v>45812</v>
      </c>
      <c r="B561" t="s">
        <v>131</v>
      </c>
      <c r="C561">
        <v>72</v>
      </c>
      <c r="D561" t="s">
        <v>34</v>
      </c>
      <c r="E561" t="s">
        <v>70</v>
      </c>
      <c r="F561" t="s">
        <v>95</v>
      </c>
      <c r="G561">
        <f>3.5+4.9</f>
        <v>8.4</v>
      </c>
      <c r="H561" t="s">
        <v>72</v>
      </c>
      <c r="I561">
        <v>2</v>
      </c>
      <c r="J561" t="s">
        <v>70</v>
      </c>
      <c r="K561">
        <v>2</v>
      </c>
    </row>
    <row r="562" spans="1:12" x14ac:dyDescent="0.35">
      <c r="A562" s="4">
        <v>45812</v>
      </c>
      <c r="B562" t="s">
        <v>131</v>
      </c>
      <c r="C562">
        <v>72</v>
      </c>
      <c r="D562" t="s">
        <v>34</v>
      </c>
      <c r="E562" t="s">
        <v>70</v>
      </c>
      <c r="F562" t="s">
        <v>95</v>
      </c>
      <c r="G562">
        <v>3</v>
      </c>
      <c r="H562" t="s">
        <v>72</v>
      </c>
      <c r="I562">
        <v>1</v>
      </c>
      <c r="J562" t="s">
        <v>87</v>
      </c>
      <c r="K562">
        <v>1</v>
      </c>
    </row>
    <row r="563" spans="1:12" x14ac:dyDescent="0.35">
      <c r="A563" s="4">
        <v>45812</v>
      </c>
      <c r="B563" t="s">
        <v>131</v>
      </c>
      <c r="C563">
        <v>72</v>
      </c>
      <c r="D563" t="s">
        <v>34</v>
      </c>
      <c r="E563" t="s">
        <v>70</v>
      </c>
      <c r="F563" t="s">
        <v>95</v>
      </c>
      <c r="G563">
        <v>4.9000000000000004</v>
      </c>
      <c r="H563" t="s">
        <v>72</v>
      </c>
      <c r="I563">
        <v>1</v>
      </c>
      <c r="J563" t="s">
        <v>87</v>
      </c>
      <c r="K563">
        <v>1</v>
      </c>
    </row>
    <row r="564" spans="1:12" x14ac:dyDescent="0.35">
      <c r="A564" s="4">
        <v>45812</v>
      </c>
      <c r="B564" t="s">
        <v>131</v>
      </c>
      <c r="C564">
        <v>72</v>
      </c>
      <c r="D564" t="s">
        <v>34</v>
      </c>
      <c r="E564" t="s">
        <v>70</v>
      </c>
      <c r="F564" t="s">
        <v>92</v>
      </c>
      <c r="G564">
        <v>6.7</v>
      </c>
      <c r="H564" t="s">
        <v>72</v>
      </c>
      <c r="I564">
        <v>1</v>
      </c>
      <c r="J564" t="s">
        <v>87</v>
      </c>
    </row>
    <row r="565" spans="1:12" x14ac:dyDescent="0.35">
      <c r="A565" s="4">
        <v>45812</v>
      </c>
      <c r="B565" t="s">
        <v>131</v>
      </c>
      <c r="C565">
        <v>72</v>
      </c>
      <c r="D565" t="s">
        <v>34</v>
      </c>
      <c r="E565" t="s">
        <v>70</v>
      </c>
      <c r="F565" t="s">
        <v>95</v>
      </c>
      <c r="G565">
        <v>3.6</v>
      </c>
      <c r="H565" t="s">
        <v>72</v>
      </c>
      <c r="I565">
        <v>1</v>
      </c>
      <c r="J565" t="s">
        <v>87</v>
      </c>
      <c r="K565">
        <v>1</v>
      </c>
    </row>
    <row r="566" spans="1:12" x14ac:dyDescent="0.35">
      <c r="A566" s="4">
        <v>45812</v>
      </c>
      <c r="B566" t="s">
        <v>131</v>
      </c>
      <c r="C566">
        <v>72</v>
      </c>
      <c r="D566" t="s">
        <v>36</v>
      </c>
      <c r="E566" t="s">
        <v>70</v>
      </c>
      <c r="F566" t="s">
        <v>95</v>
      </c>
      <c r="G566">
        <v>2.9</v>
      </c>
      <c r="H566" t="s">
        <v>72</v>
      </c>
      <c r="I566">
        <v>1</v>
      </c>
      <c r="J566" t="s">
        <v>87</v>
      </c>
      <c r="K566">
        <v>1</v>
      </c>
    </row>
    <row r="567" spans="1:12" x14ac:dyDescent="0.35">
      <c r="A567" s="4">
        <v>45812</v>
      </c>
      <c r="B567" t="s">
        <v>131</v>
      </c>
      <c r="C567">
        <v>72</v>
      </c>
      <c r="D567" t="s">
        <v>36</v>
      </c>
      <c r="E567" t="s">
        <v>70</v>
      </c>
      <c r="F567" t="s">
        <v>95</v>
      </c>
      <c r="G567">
        <v>6.8</v>
      </c>
      <c r="H567" t="s">
        <v>72</v>
      </c>
      <c r="I567">
        <v>1</v>
      </c>
      <c r="J567" t="s">
        <v>70</v>
      </c>
      <c r="K567">
        <v>3</v>
      </c>
    </row>
    <row r="568" spans="1:12" x14ac:dyDescent="0.35">
      <c r="A568" s="4">
        <v>45812</v>
      </c>
      <c r="B568" t="s">
        <v>131</v>
      </c>
      <c r="C568">
        <v>72</v>
      </c>
      <c r="D568" t="s">
        <v>36</v>
      </c>
      <c r="E568" t="s">
        <v>70</v>
      </c>
      <c r="F568" t="s">
        <v>95</v>
      </c>
      <c r="G568">
        <v>5.9</v>
      </c>
      <c r="H568" t="s">
        <v>72</v>
      </c>
      <c r="I568">
        <v>1</v>
      </c>
      <c r="J568" t="s">
        <v>87</v>
      </c>
      <c r="K568">
        <v>1</v>
      </c>
    </row>
    <row r="569" spans="1:12" x14ac:dyDescent="0.35">
      <c r="A569" s="4">
        <v>45812</v>
      </c>
      <c r="B569" t="s">
        <v>131</v>
      </c>
      <c r="C569">
        <v>72</v>
      </c>
      <c r="D569" t="s">
        <v>36</v>
      </c>
      <c r="E569" t="s">
        <v>70</v>
      </c>
      <c r="F569" t="s">
        <v>95</v>
      </c>
      <c r="G569">
        <v>4</v>
      </c>
      <c r="H569" t="s">
        <v>72</v>
      </c>
      <c r="I569">
        <v>1</v>
      </c>
      <c r="J569" t="s">
        <v>87</v>
      </c>
      <c r="K569">
        <v>1</v>
      </c>
    </row>
    <row r="570" spans="1:12" x14ac:dyDescent="0.35">
      <c r="A570" s="4">
        <v>45812</v>
      </c>
      <c r="B570" t="s">
        <v>131</v>
      </c>
      <c r="C570">
        <v>72</v>
      </c>
      <c r="D570" t="s">
        <v>36</v>
      </c>
      <c r="E570" t="s">
        <v>70</v>
      </c>
      <c r="F570" t="s">
        <v>95</v>
      </c>
      <c r="G570">
        <v>7.6</v>
      </c>
      <c r="H570" t="s">
        <v>74</v>
      </c>
      <c r="I570">
        <v>1</v>
      </c>
      <c r="J570" t="s">
        <v>87</v>
      </c>
      <c r="K570">
        <v>5</v>
      </c>
    </row>
    <row r="571" spans="1:12" x14ac:dyDescent="0.35">
      <c r="A571" s="4">
        <v>45812</v>
      </c>
      <c r="B571" t="s">
        <v>131</v>
      </c>
      <c r="C571">
        <v>72</v>
      </c>
      <c r="D571" t="s">
        <v>36</v>
      </c>
      <c r="E571" t="s">
        <v>70</v>
      </c>
      <c r="F571" t="s">
        <v>95</v>
      </c>
      <c r="G571">
        <v>3</v>
      </c>
      <c r="H571" t="s">
        <v>72</v>
      </c>
      <c r="I571">
        <v>1</v>
      </c>
      <c r="J571" t="s">
        <v>87</v>
      </c>
      <c r="K571">
        <v>1</v>
      </c>
    </row>
    <row r="572" spans="1:12" x14ac:dyDescent="0.35">
      <c r="A572" s="4">
        <v>45812</v>
      </c>
      <c r="B572" t="s">
        <v>131</v>
      </c>
      <c r="C572">
        <v>72</v>
      </c>
      <c r="D572" t="s">
        <v>36</v>
      </c>
      <c r="E572" t="s">
        <v>70</v>
      </c>
      <c r="F572" t="s">
        <v>75</v>
      </c>
      <c r="G572">
        <v>5.9</v>
      </c>
      <c r="H572" t="s">
        <v>72</v>
      </c>
      <c r="I572">
        <v>1</v>
      </c>
      <c r="J572" t="s">
        <v>87</v>
      </c>
      <c r="K572">
        <v>1</v>
      </c>
    </row>
    <row r="573" spans="1:12" x14ac:dyDescent="0.35">
      <c r="A573" s="4">
        <v>45812</v>
      </c>
      <c r="B573" t="s">
        <v>131</v>
      </c>
      <c r="C573">
        <v>72</v>
      </c>
      <c r="D573" t="s">
        <v>36</v>
      </c>
      <c r="E573" t="s">
        <v>70</v>
      </c>
      <c r="F573" t="s">
        <v>95</v>
      </c>
      <c r="G573">
        <v>6.2</v>
      </c>
      <c r="H573" t="s">
        <v>72</v>
      </c>
      <c r="I573">
        <v>1</v>
      </c>
      <c r="J573" t="s">
        <v>87</v>
      </c>
      <c r="K573">
        <v>1</v>
      </c>
    </row>
    <row r="574" spans="1:12" x14ac:dyDescent="0.35">
      <c r="A574" s="4">
        <v>45812</v>
      </c>
      <c r="B574" t="s">
        <v>131</v>
      </c>
      <c r="C574">
        <v>72</v>
      </c>
      <c r="D574" t="s">
        <v>36</v>
      </c>
      <c r="E574" t="s">
        <v>70</v>
      </c>
      <c r="F574" t="s">
        <v>95</v>
      </c>
      <c r="G574">
        <v>3.7</v>
      </c>
      <c r="H574" t="s">
        <v>72</v>
      </c>
      <c r="I574">
        <v>1</v>
      </c>
      <c r="J574" t="s">
        <v>87</v>
      </c>
      <c r="K574">
        <v>1</v>
      </c>
    </row>
    <row r="575" spans="1:12" x14ac:dyDescent="0.35">
      <c r="A575" s="4">
        <v>45812</v>
      </c>
      <c r="B575" t="s">
        <v>131</v>
      </c>
      <c r="C575">
        <v>72</v>
      </c>
      <c r="D575" t="s">
        <v>36</v>
      </c>
      <c r="E575" t="s">
        <v>70</v>
      </c>
      <c r="F575" t="s">
        <v>95</v>
      </c>
      <c r="G575">
        <v>7.1</v>
      </c>
      <c r="H575" t="s">
        <v>72</v>
      </c>
      <c r="I575">
        <v>1</v>
      </c>
      <c r="J575" t="s">
        <v>70</v>
      </c>
      <c r="K575">
        <v>4</v>
      </c>
      <c r="L575" t="s">
        <v>147</v>
      </c>
    </row>
    <row r="576" spans="1:12" x14ac:dyDescent="0.35">
      <c r="A576" s="4">
        <v>45812</v>
      </c>
      <c r="B576" t="s">
        <v>131</v>
      </c>
      <c r="C576">
        <v>72</v>
      </c>
      <c r="D576" t="s">
        <v>36</v>
      </c>
      <c r="E576" t="s">
        <v>70</v>
      </c>
      <c r="F576" t="s">
        <v>95</v>
      </c>
      <c r="G576">
        <v>5.7</v>
      </c>
      <c r="H576" t="s">
        <v>74</v>
      </c>
      <c r="I576">
        <v>1</v>
      </c>
      <c r="J576" t="s">
        <v>87</v>
      </c>
      <c r="K576">
        <v>5</v>
      </c>
    </row>
    <row r="577" spans="1:11" x14ac:dyDescent="0.35">
      <c r="A577" s="4">
        <v>45812</v>
      </c>
      <c r="B577" t="s">
        <v>131</v>
      </c>
      <c r="C577">
        <v>72</v>
      </c>
      <c r="D577" t="s">
        <v>36</v>
      </c>
      <c r="E577" t="s">
        <v>70</v>
      </c>
      <c r="F577" t="s">
        <v>88</v>
      </c>
      <c r="G577">
        <v>3.7</v>
      </c>
      <c r="H577" t="s">
        <v>72</v>
      </c>
      <c r="I577">
        <v>1</v>
      </c>
      <c r="J577" t="s">
        <v>87</v>
      </c>
    </row>
    <row r="578" spans="1:11" x14ac:dyDescent="0.35">
      <c r="A578" s="4">
        <v>45812</v>
      </c>
      <c r="B578" t="s">
        <v>131</v>
      </c>
      <c r="C578">
        <v>72</v>
      </c>
      <c r="D578" t="s">
        <v>36</v>
      </c>
      <c r="E578" t="s">
        <v>70</v>
      </c>
      <c r="F578" t="s">
        <v>95</v>
      </c>
      <c r="G578">
        <v>5.5</v>
      </c>
      <c r="H578" t="s">
        <v>74</v>
      </c>
      <c r="I578">
        <v>1</v>
      </c>
      <c r="J578" t="s">
        <v>87</v>
      </c>
      <c r="K578">
        <v>5</v>
      </c>
    </row>
    <row r="579" spans="1:11" x14ac:dyDescent="0.35">
      <c r="A579" s="4">
        <v>45812</v>
      </c>
      <c r="B579" t="s">
        <v>131</v>
      </c>
      <c r="C579">
        <v>72</v>
      </c>
      <c r="D579" t="s">
        <v>36</v>
      </c>
      <c r="E579" t="s">
        <v>70</v>
      </c>
      <c r="F579" t="s">
        <v>95</v>
      </c>
      <c r="G579">
        <v>5.4</v>
      </c>
      <c r="H579" t="s">
        <v>72</v>
      </c>
      <c r="I579">
        <v>1</v>
      </c>
      <c r="J579" t="s">
        <v>70</v>
      </c>
      <c r="K579">
        <v>3</v>
      </c>
    </row>
    <row r="580" spans="1:11" x14ac:dyDescent="0.35">
      <c r="A580" s="4">
        <v>45812</v>
      </c>
      <c r="B580" t="s">
        <v>131</v>
      </c>
      <c r="C580">
        <v>72</v>
      </c>
      <c r="D580" t="s">
        <v>36</v>
      </c>
      <c r="E580" t="s">
        <v>70</v>
      </c>
      <c r="F580" t="s">
        <v>95</v>
      </c>
      <c r="G580">
        <v>2.9</v>
      </c>
      <c r="H580" t="s">
        <v>72</v>
      </c>
      <c r="I580">
        <v>1</v>
      </c>
      <c r="J580" t="s">
        <v>87</v>
      </c>
      <c r="K580">
        <v>1</v>
      </c>
    </row>
    <row r="581" spans="1:11" x14ac:dyDescent="0.35">
      <c r="A581" s="4">
        <v>45812</v>
      </c>
      <c r="B581" t="s">
        <v>131</v>
      </c>
      <c r="C581">
        <v>72</v>
      </c>
      <c r="D581" t="s">
        <v>36</v>
      </c>
      <c r="E581" t="s">
        <v>70</v>
      </c>
      <c r="F581" t="s">
        <v>90</v>
      </c>
      <c r="G581">
        <v>3.5</v>
      </c>
      <c r="H581" t="s">
        <v>74</v>
      </c>
      <c r="I581">
        <v>1</v>
      </c>
      <c r="J581" t="s">
        <v>87</v>
      </c>
    </row>
    <row r="582" spans="1:11" x14ac:dyDescent="0.35">
      <c r="A582" s="4">
        <v>45812</v>
      </c>
      <c r="B582" t="s">
        <v>131</v>
      </c>
      <c r="C582">
        <v>72</v>
      </c>
      <c r="D582" t="s">
        <v>36</v>
      </c>
      <c r="E582" t="s">
        <v>70</v>
      </c>
      <c r="F582" t="s">
        <v>95</v>
      </c>
      <c r="G582">
        <v>8.1</v>
      </c>
      <c r="H582" t="s">
        <v>72</v>
      </c>
      <c r="I582">
        <v>1</v>
      </c>
      <c r="J582" t="s">
        <v>87</v>
      </c>
      <c r="K582">
        <v>1</v>
      </c>
    </row>
    <row r="583" spans="1:11" x14ac:dyDescent="0.35">
      <c r="A583" s="4">
        <v>45812</v>
      </c>
      <c r="B583" t="s">
        <v>131</v>
      </c>
      <c r="C583">
        <v>72</v>
      </c>
      <c r="D583" t="s">
        <v>36</v>
      </c>
      <c r="E583" t="s">
        <v>70</v>
      </c>
      <c r="F583" t="s">
        <v>95</v>
      </c>
      <c r="G583">
        <v>4.3</v>
      </c>
      <c r="H583" t="s">
        <v>74</v>
      </c>
      <c r="I583">
        <v>1</v>
      </c>
      <c r="J583" t="s">
        <v>87</v>
      </c>
      <c r="K583">
        <v>5</v>
      </c>
    </row>
    <row r="584" spans="1:11" x14ac:dyDescent="0.35">
      <c r="A584" s="4">
        <v>45812</v>
      </c>
      <c r="B584" t="s">
        <v>131</v>
      </c>
      <c r="C584">
        <v>72</v>
      </c>
      <c r="D584" t="s">
        <v>37</v>
      </c>
      <c r="E584" t="s">
        <v>70</v>
      </c>
      <c r="F584" t="s">
        <v>88</v>
      </c>
      <c r="G584">
        <v>5.8</v>
      </c>
      <c r="H584" t="s">
        <v>72</v>
      </c>
      <c r="I584">
        <v>1</v>
      </c>
      <c r="J584" t="s">
        <v>70</v>
      </c>
    </row>
    <row r="585" spans="1:11" x14ac:dyDescent="0.35">
      <c r="A585" s="4">
        <v>45812</v>
      </c>
      <c r="B585" t="s">
        <v>131</v>
      </c>
      <c r="C585">
        <v>72</v>
      </c>
      <c r="D585" t="s">
        <v>37</v>
      </c>
      <c r="E585" t="s">
        <v>70</v>
      </c>
      <c r="F585" t="s">
        <v>71</v>
      </c>
      <c r="G585">
        <f>1.5+1.6</f>
        <v>3.1</v>
      </c>
      <c r="H585" t="s">
        <v>72</v>
      </c>
      <c r="I585">
        <v>2</v>
      </c>
      <c r="J585" t="s">
        <v>87</v>
      </c>
    </row>
    <row r="586" spans="1:11" x14ac:dyDescent="0.35">
      <c r="A586" s="4">
        <v>45812</v>
      </c>
      <c r="B586" t="s">
        <v>131</v>
      </c>
      <c r="C586">
        <v>72</v>
      </c>
      <c r="D586" t="s">
        <v>37</v>
      </c>
      <c r="E586" t="s">
        <v>70</v>
      </c>
      <c r="F586" t="s">
        <v>88</v>
      </c>
      <c r="G586">
        <v>2.7</v>
      </c>
      <c r="H586" t="s">
        <v>72</v>
      </c>
      <c r="I586">
        <v>1</v>
      </c>
      <c r="J586" t="s">
        <v>70</v>
      </c>
    </row>
    <row r="587" spans="1:11" x14ac:dyDescent="0.35">
      <c r="A587" s="4">
        <v>45812</v>
      </c>
      <c r="B587" t="s">
        <v>131</v>
      </c>
      <c r="C587">
        <v>72</v>
      </c>
      <c r="D587" t="s">
        <v>37</v>
      </c>
      <c r="E587" t="s">
        <v>70</v>
      </c>
      <c r="F587" t="s">
        <v>88</v>
      </c>
      <c r="G587">
        <v>3.3</v>
      </c>
      <c r="H587" t="s">
        <v>72</v>
      </c>
      <c r="I587">
        <v>1</v>
      </c>
      <c r="J587" t="s">
        <v>70</v>
      </c>
    </row>
    <row r="588" spans="1:11" x14ac:dyDescent="0.35">
      <c r="A588" s="4">
        <v>45812</v>
      </c>
      <c r="B588" t="s">
        <v>131</v>
      </c>
      <c r="C588">
        <v>72</v>
      </c>
      <c r="D588" t="s">
        <v>37</v>
      </c>
      <c r="E588" t="s">
        <v>70</v>
      </c>
      <c r="F588" t="s">
        <v>88</v>
      </c>
      <c r="G588">
        <v>5.7</v>
      </c>
      <c r="H588" t="s">
        <v>72</v>
      </c>
      <c r="I588">
        <v>1</v>
      </c>
      <c r="J588" t="s">
        <v>70</v>
      </c>
    </row>
    <row r="589" spans="1:11" x14ac:dyDescent="0.35">
      <c r="A589" s="4">
        <v>45812</v>
      </c>
      <c r="B589" t="s">
        <v>131</v>
      </c>
      <c r="C589">
        <v>72</v>
      </c>
      <c r="D589" t="s">
        <v>37</v>
      </c>
      <c r="E589" t="s">
        <v>70</v>
      </c>
      <c r="F589" t="s">
        <v>88</v>
      </c>
      <c r="G589">
        <v>5.6</v>
      </c>
      <c r="H589" t="s">
        <v>72</v>
      </c>
      <c r="I589">
        <v>1</v>
      </c>
      <c r="J589" t="s">
        <v>70</v>
      </c>
    </row>
    <row r="590" spans="1:11" x14ac:dyDescent="0.35">
      <c r="A590" s="4">
        <v>45812</v>
      </c>
      <c r="B590" t="s">
        <v>131</v>
      </c>
      <c r="C590">
        <v>72</v>
      </c>
      <c r="D590" t="s">
        <v>37</v>
      </c>
      <c r="E590" t="s">
        <v>70</v>
      </c>
      <c r="F590" t="s">
        <v>88</v>
      </c>
      <c r="G590">
        <v>5.9</v>
      </c>
      <c r="H590" t="s">
        <v>74</v>
      </c>
      <c r="I590">
        <v>1</v>
      </c>
      <c r="J590" t="s">
        <v>87</v>
      </c>
    </row>
    <row r="591" spans="1:11" x14ac:dyDescent="0.35">
      <c r="A591" s="4">
        <v>45812</v>
      </c>
      <c r="B591" t="s">
        <v>131</v>
      </c>
      <c r="C591">
        <v>72</v>
      </c>
      <c r="D591" t="s">
        <v>37</v>
      </c>
      <c r="E591" t="s">
        <v>70</v>
      </c>
      <c r="F591" t="s">
        <v>88</v>
      </c>
      <c r="G591">
        <v>4.7</v>
      </c>
      <c r="H591" t="s">
        <v>72</v>
      </c>
      <c r="I591">
        <v>1</v>
      </c>
      <c r="J591" t="s">
        <v>70</v>
      </c>
    </row>
    <row r="592" spans="1:11" x14ac:dyDescent="0.35">
      <c r="A592" s="4">
        <v>45812</v>
      </c>
      <c r="B592" t="s">
        <v>131</v>
      </c>
      <c r="C592">
        <v>72</v>
      </c>
      <c r="D592" t="s">
        <v>37</v>
      </c>
      <c r="E592" t="s">
        <v>70</v>
      </c>
      <c r="F592" t="s">
        <v>95</v>
      </c>
      <c r="G592">
        <v>4.7</v>
      </c>
      <c r="H592" t="s">
        <v>72</v>
      </c>
      <c r="I592">
        <v>1</v>
      </c>
      <c r="J592" t="s">
        <v>87</v>
      </c>
      <c r="K592">
        <v>1</v>
      </c>
    </row>
    <row r="593" spans="1:12" x14ac:dyDescent="0.35">
      <c r="A593" s="4">
        <v>45812</v>
      </c>
      <c r="B593" t="s">
        <v>131</v>
      </c>
      <c r="C593">
        <v>72</v>
      </c>
      <c r="D593" t="s">
        <v>37</v>
      </c>
      <c r="E593" t="s">
        <v>70</v>
      </c>
      <c r="F593" t="s">
        <v>95</v>
      </c>
      <c r="G593">
        <v>2.5</v>
      </c>
      <c r="H593" t="s">
        <v>72</v>
      </c>
      <c r="I593">
        <v>1</v>
      </c>
      <c r="J593" t="s">
        <v>87</v>
      </c>
      <c r="K593">
        <v>1</v>
      </c>
    </row>
    <row r="594" spans="1:12" x14ac:dyDescent="0.35">
      <c r="A594" s="4">
        <v>45812</v>
      </c>
      <c r="B594" t="s">
        <v>131</v>
      </c>
      <c r="C594">
        <v>72</v>
      </c>
      <c r="D594" t="s">
        <v>37</v>
      </c>
      <c r="E594" t="s">
        <v>70</v>
      </c>
      <c r="F594" t="s">
        <v>95</v>
      </c>
      <c r="G594">
        <f>1.6+3.6</f>
        <v>5.2</v>
      </c>
      <c r="H594" t="s">
        <v>72</v>
      </c>
      <c r="I594">
        <v>2</v>
      </c>
      <c r="J594" t="s">
        <v>87</v>
      </c>
      <c r="K594">
        <v>1</v>
      </c>
    </row>
    <row r="595" spans="1:12" x14ac:dyDescent="0.35">
      <c r="A595" s="4">
        <v>45812</v>
      </c>
      <c r="B595" t="s">
        <v>131</v>
      </c>
      <c r="C595">
        <v>72</v>
      </c>
      <c r="D595" t="s">
        <v>37</v>
      </c>
      <c r="E595" t="s">
        <v>70</v>
      </c>
      <c r="F595" t="s">
        <v>88</v>
      </c>
      <c r="G595">
        <v>3.9</v>
      </c>
      <c r="H595" t="s">
        <v>72</v>
      </c>
      <c r="I595">
        <v>1</v>
      </c>
      <c r="J595" t="s">
        <v>70</v>
      </c>
    </row>
    <row r="596" spans="1:12" x14ac:dyDescent="0.35">
      <c r="A596" s="4">
        <v>45812</v>
      </c>
      <c r="B596" t="s">
        <v>131</v>
      </c>
      <c r="C596">
        <v>72</v>
      </c>
      <c r="D596" t="s">
        <v>37</v>
      </c>
      <c r="E596" t="s">
        <v>70</v>
      </c>
      <c r="F596" t="s">
        <v>88</v>
      </c>
      <c r="G596">
        <v>5.4</v>
      </c>
      <c r="H596" t="s">
        <v>72</v>
      </c>
      <c r="I596">
        <v>1</v>
      </c>
      <c r="J596" t="s">
        <v>70</v>
      </c>
    </row>
    <row r="597" spans="1:12" x14ac:dyDescent="0.35">
      <c r="A597" s="4">
        <v>45812</v>
      </c>
      <c r="B597" t="s">
        <v>131</v>
      </c>
      <c r="C597">
        <v>72</v>
      </c>
      <c r="D597" t="s">
        <v>37</v>
      </c>
      <c r="E597" t="s">
        <v>70</v>
      </c>
      <c r="F597" t="s">
        <v>88</v>
      </c>
      <c r="G597">
        <v>6.8</v>
      </c>
      <c r="H597" t="s">
        <v>72</v>
      </c>
      <c r="I597">
        <v>1</v>
      </c>
      <c r="J597" t="s">
        <v>70</v>
      </c>
    </row>
    <row r="598" spans="1:12" x14ac:dyDescent="0.35">
      <c r="A598" s="4">
        <v>45812</v>
      </c>
      <c r="B598" t="s">
        <v>131</v>
      </c>
      <c r="C598">
        <v>72</v>
      </c>
      <c r="D598" t="s">
        <v>37</v>
      </c>
      <c r="E598" t="s">
        <v>70</v>
      </c>
      <c r="F598" t="s">
        <v>146</v>
      </c>
      <c r="G598">
        <f>3.3+1.6</f>
        <v>4.9000000000000004</v>
      </c>
      <c r="H598" t="s">
        <v>72</v>
      </c>
      <c r="I598">
        <v>2</v>
      </c>
      <c r="J598" t="s">
        <v>87</v>
      </c>
    </row>
    <row r="599" spans="1:12" x14ac:dyDescent="0.35">
      <c r="A599" s="4">
        <v>45812</v>
      </c>
      <c r="B599" t="s">
        <v>131</v>
      </c>
      <c r="C599">
        <v>72</v>
      </c>
      <c r="D599" t="s">
        <v>37</v>
      </c>
      <c r="E599" t="s">
        <v>70</v>
      </c>
      <c r="F599" t="s">
        <v>88</v>
      </c>
      <c r="G599">
        <f>2.6+1.3</f>
        <v>3.9000000000000004</v>
      </c>
      <c r="H599" t="s">
        <v>72</v>
      </c>
      <c r="I599">
        <v>2</v>
      </c>
      <c r="J599" t="s">
        <v>87</v>
      </c>
    </row>
    <row r="600" spans="1:12" x14ac:dyDescent="0.35">
      <c r="A600" s="4">
        <v>45812</v>
      </c>
      <c r="B600" t="s">
        <v>131</v>
      </c>
      <c r="C600">
        <v>72</v>
      </c>
      <c r="D600" t="s">
        <v>80</v>
      </c>
      <c r="E600" t="s">
        <v>70</v>
      </c>
      <c r="F600" t="s">
        <v>142</v>
      </c>
      <c r="G600">
        <v>37.700000000000003</v>
      </c>
      <c r="H600" t="s">
        <v>74</v>
      </c>
      <c r="I600">
        <v>1</v>
      </c>
      <c r="J600" t="s">
        <v>87</v>
      </c>
    </row>
    <row r="601" spans="1:12" x14ac:dyDescent="0.35">
      <c r="A601" s="4">
        <v>45812</v>
      </c>
      <c r="B601" t="s">
        <v>131</v>
      </c>
      <c r="C601">
        <v>72</v>
      </c>
      <c r="D601" t="s">
        <v>32</v>
      </c>
      <c r="E601" t="s">
        <v>87</v>
      </c>
      <c r="F601" t="s">
        <v>142</v>
      </c>
      <c r="G601">
        <v>35.200000000000003</v>
      </c>
      <c r="H601" t="s">
        <v>74</v>
      </c>
      <c r="I601">
        <v>1</v>
      </c>
      <c r="J601" t="s">
        <v>87</v>
      </c>
    </row>
    <row r="602" spans="1:12" x14ac:dyDescent="0.35">
      <c r="A602" s="4">
        <v>45812</v>
      </c>
      <c r="B602" t="s">
        <v>131</v>
      </c>
      <c r="C602">
        <v>72</v>
      </c>
      <c r="D602" t="s">
        <v>32</v>
      </c>
      <c r="E602" t="s">
        <v>87</v>
      </c>
      <c r="F602" t="s">
        <v>142</v>
      </c>
      <c r="G602">
        <v>24.3</v>
      </c>
      <c r="H602" t="s">
        <v>74</v>
      </c>
      <c r="I602">
        <v>1</v>
      </c>
      <c r="J602" t="s">
        <v>87</v>
      </c>
    </row>
    <row r="603" spans="1:12" x14ac:dyDescent="0.35">
      <c r="A603" s="4">
        <v>45812</v>
      </c>
      <c r="B603" t="s">
        <v>131</v>
      </c>
      <c r="C603">
        <v>72</v>
      </c>
      <c r="D603" t="s">
        <v>32</v>
      </c>
      <c r="E603" t="s">
        <v>87</v>
      </c>
      <c r="F603" t="s">
        <v>142</v>
      </c>
      <c r="G603">
        <v>38</v>
      </c>
      <c r="H603" t="s">
        <v>74</v>
      </c>
      <c r="I603">
        <v>1</v>
      </c>
      <c r="J603" t="s">
        <v>87</v>
      </c>
    </row>
    <row r="604" spans="1:12" x14ac:dyDescent="0.35">
      <c r="A604" s="4">
        <v>45812</v>
      </c>
      <c r="B604" t="s">
        <v>131</v>
      </c>
      <c r="C604">
        <v>72</v>
      </c>
      <c r="D604" t="s">
        <v>34</v>
      </c>
      <c r="E604" t="s">
        <v>87</v>
      </c>
      <c r="F604" t="s">
        <v>95</v>
      </c>
      <c r="G604">
        <v>10.5</v>
      </c>
      <c r="H604" t="s">
        <v>72</v>
      </c>
      <c r="I604">
        <v>1</v>
      </c>
      <c r="J604" t="s">
        <v>70</v>
      </c>
      <c r="K604">
        <v>3</v>
      </c>
      <c r="L604" t="s">
        <v>148</v>
      </c>
    </row>
    <row r="605" spans="1:12" x14ac:dyDescent="0.35">
      <c r="A605" s="4">
        <v>45812</v>
      </c>
      <c r="B605" t="s">
        <v>131</v>
      </c>
      <c r="C605">
        <v>72</v>
      </c>
      <c r="D605" t="s">
        <v>34</v>
      </c>
      <c r="E605" t="s">
        <v>87</v>
      </c>
      <c r="F605" t="s">
        <v>95</v>
      </c>
      <c r="G605">
        <v>11.4</v>
      </c>
      <c r="H605" t="s">
        <v>72</v>
      </c>
      <c r="I605">
        <v>1</v>
      </c>
      <c r="J605" t="s">
        <v>87</v>
      </c>
      <c r="K605">
        <v>1</v>
      </c>
    </row>
    <row r="606" spans="1:12" x14ac:dyDescent="0.35">
      <c r="A606" s="4">
        <v>45812</v>
      </c>
      <c r="B606" t="s">
        <v>131</v>
      </c>
      <c r="C606">
        <v>72</v>
      </c>
      <c r="D606" t="s">
        <v>34</v>
      </c>
      <c r="E606" t="s">
        <v>87</v>
      </c>
      <c r="F606" t="s">
        <v>89</v>
      </c>
      <c r="G606">
        <v>18.399999999999999</v>
      </c>
      <c r="H606" t="s">
        <v>72</v>
      </c>
      <c r="I606">
        <v>1</v>
      </c>
      <c r="J606" t="s">
        <v>87</v>
      </c>
    </row>
    <row r="607" spans="1:12" x14ac:dyDescent="0.35">
      <c r="A607" s="4">
        <v>45812</v>
      </c>
      <c r="B607" t="s">
        <v>131</v>
      </c>
      <c r="C607">
        <v>72</v>
      </c>
      <c r="D607" t="s">
        <v>34</v>
      </c>
      <c r="E607" t="s">
        <v>87</v>
      </c>
      <c r="F607" t="s">
        <v>142</v>
      </c>
      <c r="G607">
        <v>39.799999999999997</v>
      </c>
      <c r="H607" t="s">
        <v>74</v>
      </c>
      <c r="I607">
        <v>1</v>
      </c>
      <c r="J607" t="s">
        <v>87</v>
      </c>
    </row>
    <row r="608" spans="1:12" x14ac:dyDescent="0.35">
      <c r="A608" s="4">
        <v>45812</v>
      </c>
      <c r="B608" t="s">
        <v>131</v>
      </c>
      <c r="C608">
        <v>72</v>
      </c>
      <c r="D608" t="s">
        <v>34</v>
      </c>
      <c r="E608" t="s">
        <v>87</v>
      </c>
      <c r="F608" t="s">
        <v>142</v>
      </c>
      <c r="G608">
        <v>34.299999999999997</v>
      </c>
      <c r="H608" t="s">
        <v>74</v>
      </c>
      <c r="I608">
        <v>1</v>
      </c>
      <c r="J608" t="s">
        <v>87</v>
      </c>
    </row>
    <row r="609" spans="1:10" x14ac:dyDescent="0.35">
      <c r="A609" s="4">
        <v>45812</v>
      </c>
      <c r="B609" t="s">
        <v>131</v>
      </c>
      <c r="C609">
        <v>72</v>
      </c>
      <c r="D609" t="s">
        <v>34</v>
      </c>
      <c r="E609" t="s">
        <v>87</v>
      </c>
      <c r="F609" t="s">
        <v>142</v>
      </c>
      <c r="G609">
        <v>42</v>
      </c>
      <c r="H609" t="s">
        <v>74</v>
      </c>
      <c r="I609">
        <v>1</v>
      </c>
      <c r="J609" t="s">
        <v>87</v>
      </c>
    </row>
    <row r="610" spans="1:10" x14ac:dyDescent="0.35">
      <c r="A610" s="4">
        <v>45812</v>
      </c>
      <c r="B610" t="s">
        <v>131</v>
      </c>
      <c r="C610">
        <v>72</v>
      </c>
      <c r="D610" t="s">
        <v>34</v>
      </c>
      <c r="E610" t="s">
        <v>87</v>
      </c>
      <c r="F610" t="s">
        <v>93</v>
      </c>
      <c r="G610">
        <v>20.8</v>
      </c>
      <c r="H610" t="s">
        <v>72</v>
      </c>
      <c r="I610">
        <v>1</v>
      </c>
      <c r="J610" t="s">
        <v>87</v>
      </c>
    </row>
    <row r="611" spans="1:10" x14ac:dyDescent="0.35">
      <c r="A611" s="4">
        <v>45812</v>
      </c>
      <c r="B611" t="s">
        <v>131</v>
      </c>
      <c r="C611">
        <v>72</v>
      </c>
      <c r="D611" t="s">
        <v>34</v>
      </c>
      <c r="E611" t="s">
        <v>87</v>
      </c>
      <c r="F611" t="s">
        <v>88</v>
      </c>
      <c r="G611">
        <f>6.3+6.2</f>
        <v>12.5</v>
      </c>
      <c r="H611" t="s">
        <v>72</v>
      </c>
      <c r="I611">
        <v>2</v>
      </c>
      <c r="J611" t="s">
        <v>87</v>
      </c>
    </row>
    <row r="612" spans="1:10" x14ac:dyDescent="0.35">
      <c r="A612" s="4">
        <v>45812</v>
      </c>
      <c r="B612" t="s">
        <v>131</v>
      </c>
      <c r="C612">
        <v>72</v>
      </c>
      <c r="D612" t="s">
        <v>34</v>
      </c>
      <c r="E612" t="s">
        <v>87</v>
      </c>
      <c r="F612" t="s">
        <v>142</v>
      </c>
      <c r="G612">
        <v>18.100000000000001</v>
      </c>
      <c r="H612" t="s">
        <v>74</v>
      </c>
      <c r="I612">
        <v>1</v>
      </c>
      <c r="J612" t="s">
        <v>87</v>
      </c>
    </row>
    <row r="613" spans="1:10" x14ac:dyDescent="0.35">
      <c r="A613" s="4">
        <v>45812</v>
      </c>
      <c r="B613" t="s">
        <v>131</v>
      </c>
      <c r="C613">
        <v>72</v>
      </c>
      <c r="D613" t="s">
        <v>36</v>
      </c>
      <c r="E613" t="s">
        <v>87</v>
      </c>
      <c r="F613" t="s">
        <v>142</v>
      </c>
      <c r="G613">
        <v>31.8</v>
      </c>
      <c r="H613" t="s">
        <v>74</v>
      </c>
      <c r="I613">
        <v>1</v>
      </c>
      <c r="J613" t="s">
        <v>87</v>
      </c>
    </row>
    <row r="614" spans="1:10" x14ac:dyDescent="0.35">
      <c r="A614" s="4">
        <v>45812</v>
      </c>
      <c r="B614" t="s">
        <v>131</v>
      </c>
      <c r="C614">
        <v>72</v>
      </c>
      <c r="D614" t="s">
        <v>36</v>
      </c>
      <c r="E614" t="s">
        <v>87</v>
      </c>
      <c r="F614" t="s">
        <v>89</v>
      </c>
      <c r="G614">
        <v>28.4</v>
      </c>
      <c r="H614" t="s">
        <v>72</v>
      </c>
      <c r="I614">
        <v>1</v>
      </c>
      <c r="J614" t="s">
        <v>87</v>
      </c>
    </row>
    <row r="615" spans="1:10" x14ac:dyDescent="0.35">
      <c r="A615" s="4">
        <v>45812</v>
      </c>
      <c r="B615" t="s">
        <v>131</v>
      </c>
      <c r="C615">
        <v>72</v>
      </c>
      <c r="D615" t="s">
        <v>36</v>
      </c>
      <c r="E615" t="s">
        <v>87</v>
      </c>
      <c r="F615" t="s">
        <v>142</v>
      </c>
      <c r="G615">
        <v>36.799999999999997</v>
      </c>
      <c r="H615" t="s">
        <v>74</v>
      </c>
      <c r="I615">
        <v>1</v>
      </c>
      <c r="J615" t="s">
        <v>87</v>
      </c>
    </row>
    <row r="616" spans="1:10" x14ac:dyDescent="0.35">
      <c r="A616" s="4">
        <v>45812</v>
      </c>
      <c r="B616" t="s">
        <v>131</v>
      </c>
      <c r="C616">
        <v>72</v>
      </c>
      <c r="D616" t="s">
        <v>36</v>
      </c>
      <c r="E616" t="s">
        <v>87</v>
      </c>
      <c r="F616" t="s">
        <v>142</v>
      </c>
      <c r="G616">
        <v>36.700000000000003</v>
      </c>
      <c r="H616" t="s">
        <v>74</v>
      </c>
      <c r="I616">
        <v>1</v>
      </c>
      <c r="J616" t="s">
        <v>87</v>
      </c>
    </row>
    <row r="617" spans="1:10" x14ac:dyDescent="0.35">
      <c r="A617" s="4">
        <v>45812</v>
      </c>
      <c r="B617" t="s">
        <v>131</v>
      </c>
      <c r="C617">
        <v>72</v>
      </c>
      <c r="D617" t="s">
        <v>36</v>
      </c>
      <c r="E617" t="s">
        <v>87</v>
      </c>
      <c r="F617" t="s">
        <v>134</v>
      </c>
      <c r="G617">
        <v>29.8</v>
      </c>
      <c r="H617" t="s">
        <v>72</v>
      </c>
      <c r="I617">
        <v>1</v>
      </c>
      <c r="J617" t="s">
        <v>87</v>
      </c>
    </row>
    <row r="618" spans="1:10" x14ac:dyDescent="0.35">
      <c r="A618" s="4">
        <v>45812</v>
      </c>
      <c r="B618" t="s">
        <v>131</v>
      </c>
      <c r="C618">
        <v>72</v>
      </c>
      <c r="D618" t="s">
        <v>36</v>
      </c>
      <c r="E618" t="s">
        <v>87</v>
      </c>
      <c r="F618" t="s">
        <v>93</v>
      </c>
      <c r="G618">
        <f>22.7+7.5</f>
        <v>30.2</v>
      </c>
      <c r="H618" t="s">
        <v>72</v>
      </c>
      <c r="I618">
        <v>2</v>
      </c>
      <c r="J618" t="s">
        <v>87</v>
      </c>
    </row>
    <row r="619" spans="1:10" x14ac:dyDescent="0.35">
      <c r="A619" s="4">
        <v>45812</v>
      </c>
      <c r="B619" t="s">
        <v>131</v>
      </c>
      <c r="C619">
        <v>72</v>
      </c>
      <c r="D619" t="s">
        <v>37</v>
      </c>
      <c r="E619" t="s">
        <v>87</v>
      </c>
      <c r="F619" t="s">
        <v>88</v>
      </c>
      <c r="G619">
        <f>6.1+7.3</f>
        <v>13.399999999999999</v>
      </c>
      <c r="H619" t="s">
        <v>72</v>
      </c>
      <c r="I619">
        <v>2</v>
      </c>
      <c r="J619" t="s">
        <v>70</v>
      </c>
    </row>
    <row r="620" spans="1:10" x14ac:dyDescent="0.35">
      <c r="A620" s="4">
        <v>45812</v>
      </c>
      <c r="B620" t="s">
        <v>131</v>
      </c>
      <c r="C620">
        <v>72</v>
      </c>
      <c r="D620" t="s">
        <v>37</v>
      </c>
      <c r="E620" t="s">
        <v>87</v>
      </c>
      <c r="F620" t="s">
        <v>142</v>
      </c>
      <c r="G620">
        <v>40.200000000000003</v>
      </c>
      <c r="H620" t="s">
        <v>74</v>
      </c>
      <c r="I620">
        <v>1</v>
      </c>
      <c r="J620" t="s">
        <v>87</v>
      </c>
    </row>
    <row r="621" spans="1:10" x14ac:dyDescent="0.35">
      <c r="A621" s="4">
        <v>45812</v>
      </c>
      <c r="B621" t="s">
        <v>131</v>
      </c>
      <c r="C621">
        <v>72</v>
      </c>
      <c r="D621" t="s">
        <v>37</v>
      </c>
      <c r="E621" t="s">
        <v>87</v>
      </c>
      <c r="F621" t="s">
        <v>142</v>
      </c>
      <c r="G621">
        <v>22.7</v>
      </c>
      <c r="H621" t="s">
        <v>74</v>
      </c>
      <c r="I621">
        <v>1</v>
      </c>
      <c r="J621" t="s">
        <v>87</v>
      </c>
    </row>
    <row r="622" spans="1:10" x14ac:dyDescent="0.35">
      <c r="A622" s="4">
        <v>45812</v>
      </c>
      <c r="B622" t="s">
        <v>131</v>
      </c>
      <c r="C622">
        <v>72</v>
      </c>
      <c r="D622" t="s">
        <v>37</v>
      </c>
      <c r="E622" t="s">
        <v>87</v>
      </c>
      <c r="F622" t="s">
        <v>142</v>
      </c>
      <c r="G622">
        <v>35.700000000000003</v>
      </c>
      <c r="H622" t="s">
        <v>74</v>
      </c>
      <c r="I622">
        <v>1</v>
      </c>
      <c r="J622" t="s">
        <v>87</v>
      </c>
    </row>
    <row r="623" spans="1:10" x14ac:dyDescent="0.35">
      <c r="A623" s="4">
        <v>45812</v>
      </c>
      <c r="B623" t="s">
        <v>131</v>
      </c>
      <c r="C623">
        <v>72</v>
      </c>
      <c r="D623" t="s">
        <v>37</v>
      </c>
      <c r="E623" t="s">
        <v>87</v>
      </c>
      <c r="F623" t="s">
        <v>142</v>
      </c>
      <c r="G623">
        <v>35</v>
      </c>
      <c r="H623" t="s">
        <v>74</v>
      </c>
      <c r="I623">
        <v>1</v>
      </c>
      <c r="J623" t="s">
        <v>87</v>
      </c>
    </row>
    <row r="624" spans="1:10" x14ac:dyDescent="0.35">
      <c r="A624" s="4">
        <v>45812</v>
      </c>
      <c r="B624" t="s">
        <v>131</v>
      </c>
      <c r="C624">
        <v>72</v>
      </c>
      <c r="D624" t="s">
        <v>37</v>
      </c>
      <c r="E624" t="s">
        <v>87</v>
      </c>
      <c r="F624" t="s">
        <v>89</v>
      </c>
      <c r="G624">
        <v>20.2</v>
      </c>
      <c r="H624" t="s">
        <v>74</v>
      </c>
      <c r="I624">
        <v>1</v>
      </c>
      <c r="J624" t="s">
        <v>87</v>
      </c>
    </row>
    <row r="625" spans="1:11" x14ac:dyDescent="0.35">
      <c r="A625" s="4">
        <v>45812</v>
      </c>
      <c r="B625" t="s">
        <v>131</v>
      </c>
      <c r="C625">
        <v>72</v>
      </c>
      <c r="D625" t="s">
        <v>37</v>
      </c>
      <c r="E625" t="s">
        <v>87</v>
      </c>
      <c r="F625" t="s">
        <v>90</v>
      </c>
      <c r="G625">
        <v>26.5</v>
      </c>
      <c r="H625" t="s">
        <v>74</v>
      </c>
      <c r="I625">
        <v>1</v>
      </c>
      <c r="J625" t="s">
        <v>87</v>
      </c>
    </row>
    <row r="626" spans="1:11" x14ac:dyDescent="0.35">
      <c r="A626" s="4">
        <v>45812</v>
      </c>
      <c r="B626" t="s">
        <v>131</v>
      </c>
      <c r="C626">
        <v>72</v>
      </c>
      <c r="D626" t="s">
        <v>32</v>
      </c>
      <c r="E626" t="s">
        <v>87</v>
      </c>
      <c r="F626" t="s">
        <v>90</v>
      </c>
      <c r="G626">
        <v>27.8</v>
      </c>
      <c r="H626" t="s">
        <v>74</v>
      </c>
      <c r="I626">
        <v>1</v>
      </c>
      <c r="J626" t="s">
        <v>87</v>
      </c>
    </row>
    <row r="627" spans="1:11" x14ac:dyDescent="0.35">
      <c r="A627" s="4">
        <v>45812</v>
      </c>
      <c r="B627" t="s">
        <v>131</v>
      </c>
      <c r="C627">
        <v>72</v>
      </c>
      <c r="D627" t="s">
        <v>32</v>
      </c>
      <c r="E627" t="s">
        <v>87</v>
      </c>
      <c r="F627" t="s">
        <v>139</v>
      </c>
      <c r="G627">
        <v>27.2</v>
      </c>
      <c r="H627" t="s">
        <v>72</v>
      </c>
      <c r="I627">
        <v>1</v>
      </c>
      <c r="J627" t="s">
        <v>87</v>
      </c>
    </row>
    <row r="628" spans="1:11" x14ac:dyDescent="0.35">
      <c r="A628" s="4">
        <v>45812</v>
      </c>
      <c r="B628" t="s">
        <v>131</v>
      </c>
      <c r="C628">
        <v>72</v>
      </c>
      <c r="D628" t="s">
        <v>32</v>
      </c>
      <c r="E628" t="s">
        <v>87</v>
      </c>
      <c r="F628" t="s">
        <v>142</v>
      </c>
      <c r="G628">
        <v>26.8</v>
      </c>
      <c r="H628" t="s">
        <v>74</v>
      </c>
      <c r="I628">
        <v>1</v>
      </c>
      <c r="J628" t="s">
        <v>87</v>
      </c>
    </row>
    <row r="629" spans="1:11" x14ac:dyDescent="0.35">
      <c r="A629" s="4">
        <v>45812</v>
      </c>
      <c r="B629" t="s">
        <v>131</v>
      </c>
      <c r="C629">
        <v>72</v>
      </c>
      <c r="D629" t="s">
        <v>32</v>
      </c>
      <c r="E629" t="s">
        <v>87</v>
      </c>
      <c r="F629" t="s">
        <v>89</v>
      </c>
      <c r="G629">
        <v>14.1</v>
      </c>
      <c r="H629" t="s">
        <v>72</v>
      </c>
      <c r="I629">
        <v>1</v>
      </c>
      <c r="J629" t="s">
        <v>87</v>
      </c>
    </row>
    <row r="630" spans="1:11" x14ac:dyDescent="0.35">
      <c r="A630" s="4">
        <v>45812</v>
      </c>
      <c r="B630" t="s">
        <v>131</v>
      </c>
      <c r="C630">
        <v>72</v>
      </c>
      <c r="D630" t="s">
        <v>32</v>
      </c>
      <c r="E630" t="s">
        <v>87</v>
      </c>
      <c r="F630" t="s">
        <v>95</v>
      </c>
      <c r="G630">
        <v>11.2</v>
      </c>
      <c r="H630" t="s">
        <v>72</v>
      </c>
      <c r="I630">
        <v>1</v>
      </c>
      <c r="J630" t="s">
        <v>70</v>
      </c>
      <c r="K630">
        <v>4</v>
      </c>
    </row>
    <row r="631" spans="1:11" x14ac:dyDescent="0.35">
      <c r="A631" s="4">
        <v>45812</v>
      </c>
      <c r="B631" t="s">
        <v>131</v>
      </c>
      <c r="C631">
        <v>72</v>
      </c>
      <c r="D631" t="s">
        <v>32</v>
      </c>
      <c r="E631" t="s">
        <v>87</v>
      </c>
      <c r="F631" t="s">
        <v>139</v>
      </c>
      <c r="G631">
        <v>20.3</v>
      </c>
      <c r="H631" t="s">
        <v>72</v>
      </c>
      <c r="I631">
        <v>1</v>
      </c>
      <c r="J631" t="s">
        <v>87</v>
      </c>
    </row>
    <row r="632" spans="1:11" s="6" customFormat="1" x14ac:dyDescent="0.35">
      <c r="A632" s="5">
        <v>45807</v>
      </c>
      <c r="B632" s="6" t="s">
        <v>131</v>
      </c>
      <c r="C632" s="6">
        <v>76</v>
      </c>
      <c r="D632" s="6" t="s">
        <v>36</v>
      </c>
      <c r="E632" s="6" t="s">
        <v>70</v>
      </c>
      <c r="F632" s="6" t="s">
        <v>75</v>
      </c>
      <c r="G632" s="6">
        <f>3.1+1.5</f>
        <v>4.5999999999999996</v>
      </c>
      <c r="H632" s="6" t="s">
        <v>72</v>
      </c>
      <c r="I632" s="6">
        <v>2</v>
      </c>
      <c r="J632" s="6" t="s">
        <v>87</v>
      </c>
      <c r="K632" s="6">
        <v>1</v>
      </c>
    </row>
    <row r="633" spans="1:11" x14ac:dyDescent="0.35">
      <c r="A633" s="4">
        <v>45807</v>
      </c>
      <c r="B633" t="s">
        <v>131</v>
      </c>
      <c r="C633">
        <v>76</v>
      </c>
      <c r="D633" t="s">
        <v>36</v>
      </c>
      <c r="E633" t="s">
        <v>70</v>
      </c>
      <c r="F633" t="s">
        <v>77</v>
      </c>
      <c r="G633">
        <v>16.3</v>
      </c>
      <c r="H633" t="s">
        <v>74</v>
      </c>
      <c r="I633">
        <v>1</v>
      </c>
      <c r="J633" t="s">
        <v>87</v>
      </c>
    </row>
    <row r="634" spans="1:11" x14ac:dyDescent="0.35">
      <c r="A634" s="4">
        <v>45807</v>
      </c>
      <c r="B634" t="s">
        <v>131</v>
      </c>
      <c r="C634">
        <v>76</v>
      </c>
      <c r="D634" t="s">
        <v>37</v>
      </c>
      <c r="E634" t="s">
        <v>70</v>
      </c>
      <c r="F634" t="s">
        <v>93</v>
      </c>
      <c r="G634">
        <v>39.9</v>
      </c>
      <c r="H634" t="s">
        <v>72</v>
      </c>
      <c r="I634">
        <v>1</v>
      </c>
      <c r="J634" t="s">
        <v>70</v>
      </c>
    </row>
    <row r="635" spans="1:11" x14ac:dyDescent="0.35">
      <c r="A635" s="4">
        <v>45807</v>
      </c>
      <c r="B635" t="s">
        <v>131</v>
      </c>
      <c r="C635">
        <v>76</v>
      </c>
      <c r="D635" t="s">
        <v>37</v>
      </c>
      <c r="E635" t="s">
        <v>70</v>
      </c>
      <c r="F635" t="s">
        <v>93</v>
      </c>
      <c r="G635">
        <v>26.8</v>
      </c>
      <c r="H635" t="s">
        <v>72</v>
      </c>
      <c r="I635">
        <v>1</v>
      </c>
      <c r="J635" t="s">
        <v>87</v>
      </c>
    </row>
    <row r="636" spans="1:11" x14ac:dyDescent="0.35">
      <c r="A636" s="4">
        <v>45807</v>
      </c>
      <c r="B636" t="s">
        <v>131</v>
      </c>
      <c r="C636">
        <v>76</v>
      </c>
      <c r="D636" t="s">
        <v>37</v>
      </c>
      <c r="E636" t="s">
        <v>70</v>
      </c>
      <c r="F636" t="s">
        <v>93</v>
      </c>
      <c r="G636">
        <v>57</v>
      </c>
      <c r="H636" t="s">
        <v>72</v>
      </c>
      <c r="I636">
        <v>1</v>
      </c>
      <c r="J636" t="s">
        <v>87</v>
      </c>
    </row>
    <row r="637" spans="1:11" x14ac:dyDescent="0.35">
      <c r="A637" s="4">
        <v>45807</v>
      </c>
      <c r="B637" t="s">
        <v>131</v>
      </c>
      <c r="C637">
        <v>76</v>
      </c>
      <c r="D637" t="s">
        <v>37</v>
      </c>
      <c r="E637" t="s">
        <v>70</v>
      </c>
      <c r="F637" t="s">
        <v>93</v>
      </c>
      <c r="G637">
        <v>38.1</v>
      </c>
      <c r="H637" t="s">
        <v>72</v>
      </c>
      <c r="I637">
        <v>1</v>
      </c>
      <c r="J637" t="s">
        <v>87</v>
      </c>
    </row>
    <row r="638" spans="1:11" x14ac:dyDescent="0.35">
      <c r="A638" s="4">
        <v>45807</v>
      </c>
      <c r="B638" t="s">
        <v>131</v>
      </c>
      <c r="C638">
        <v>76</v>
      </c>
      <c r="D638" t="s">
        <v>32</v>
      </c>
      <c r="E638" t="s">
        <v>87</v>
      </c>
      <c r="F638" t="s">
        <v>89</v>
      </c>
      <c r="G638">
        <f>12+17+12.8+18.5+27.3</f>
        <v>87.6</v>
      </c>
      <c r="H638" t="s">
        <v>72</v>
      </c>
      <c r="I638">
        <v>5</v>
      </c>
      <c r="J638" t="s">
        <v>87</v>
      </c>
    </row>
    <row r="639" spans="1:11" x14ac:dyDescent="0.35">
      <c r="A639" s="4">
        <v>45807</v>
      </c>
      <c r="B639" t="s">
        <v>131</v>
      </c>
      <c r="C639">
        <v>76</v>
      </c>
      <c r="D639" t="s">
        <v>32</v>
      </c>
      <c r="E639" t="s">
        <v>87</v>
      </c>
      <c r="F639" t="s">
        <v>93</v>
      </c>
      <c r="G639">
        <v>48.3</v>
      </c>
      <c r="H639" t="s">
        <v>72</v>
      </c>
      <c r="I639">
        <v>1</v>
      </c>
      <c r="J639" t="s">
        <v>87</v>
      </c>
    </row>
    <row r="640" spans="1:11" x14ac:dyDescent="0.35">
      <c r="A640" s="4">
        <v>45807</v>
      </c>
      <c r="B640" t="s">
        <v>131</v>
      </c>
      <c r="C640">
        <v>76</v>
      </c>
      <c r="D640" t="s">
        <v>32</v>
      </c>
      <c r="E640" t="s">
        <v>87</v>
      </c>
      <c r="F640" t="s">
        <v>93</v>
      </c>
      <c r="G640">
        <v>40.4</v>
      </c>
      <c r="H640" t="s">
        <v>72</v>
      </c>
      <c r="I640">
        <v>1</v>
      </c>
      <c r="J640" t="s">
        <v>87</v>
      </c>
    </row>
    <row r="641" spans="1:10" x14ac:dyDescent="0.35">
      <c r="A641" s="4">
        <v>45807</v>
      </c>
      <c r="B641" t="s">
        <v>131</v>
      </c>
      <c r="C641">
        <v>76</v>
      </c>
      <c r="D641" t="s">
        <v>32</v>
      </c>
      <c r="E641" t="s">
        <v>87</v>
      </c>
      <c r="F641" t="s">
        <v>93</v>
      </c>
      <c r="G641">
        <v>43.1</v>
      </c>
      <c r="H641" t="s">
        <v>72</v>
      </c>
      <c r="I641">
        <v>1</v>
      </c>
      <c r="J641" t="s">
        <v>87</v>
      </c>
    </row>
    <row r="642" spans="1:10" x14ac:dyDescent="0.35">
      <c r="A642" s="4">
        <v>45807</v>
      </c>
      <c r="B642" t="s">
        <v>131</v>
      </c>
      <c r="C642">
        <v>76</v>
      </c>
      <c r="D642" t="s">
        <v>32</v>
      </c>
      <c r="E642" t="s">
        <v>87</v>
      </c>
      <c r="F642" t="s">
        <v>90</v>
      </c>
      <c r="G642">
        <v>54.9</v>
      </c>
      <c r="H642" t="s">
        <v>74</v>
      </c>
      <c r="I642">
        <v>1</v>
      </c>
      <c r="J642" t="s">
        <v>87</v>
      </c>
    </row>
    <row r="643" spans="1:10" x14ac:dyDescent="0.35">
      <c r="A643" s="4">
        <v>45807</v>
      </c>
      <c r="B643" t="s">
        <v>131</v>
      </c>
      <c r="C643">
        <v>76</v>
      </c>
      <c r="D643" t="s">
        <v>32</v>
      </c>
      <c r="E643" t="s">
        <v>87</v>
      </c>
      <c r="F643" t="s">
        <v>88</v>
      </c>
      <c r="G643">
        <f>4.9+5.5</f>
        <v>10.4</v>
      </c>
      <c r="H643" t="s">
        <v>74</v>
      </c>
      <c r="I643">
        <v>2</v>
      </c>
      <c r="J643" t="s">
        <v>87</v>
      </c>
    </row>
    <row r="644" spans="1:10" x14ac:dyDescent="0.35">
      <c r="A644" s="4">
        <v>45807</v>
      </c>
      <c r="B644" t="s">
        <v>131</v>
      </c>
      <c r="C644">
        <v>76</v>
      </c>
      <c r="D644" t="s">
        <v>34</v>
      </c>
      <c r="E644" t="s">
        <v>87</v>
      </c>
      <c r="F644" t="s">
        <v>139</v>
      </c>
      <c r="G644">
        <v>48.9</v>
      </c>
      <c r="H644" t="s">
        <v>72</v>
      </c>
      <c r="I644">
        <v>1</v>
      </c>
      <c r="J644" t="s">
        <v>87</v>
      </c>
    </row>
    <row r="645" spans="1:10" x14ac:dyDescent="0.35">
      <c r="A645" s="4">
        <v>45807</v>
      </c>
      <c r="B645" t="s">
        <v>131</v>
      </c>
      <c r="C645">
        <v>76</v>
      </c>
      <c r="D645" t="s">
        <v>34</v>
      </c>
      <c r="E645" t="s">
        <v>87</v>
      </c>
      <c r="F645" t="s">
        <v>90</v>
      </c>
      <c r="G645">
        <v>16.5</v>
      </c>
      <c r="H645" t="s">
        <v>74</v>
      </c>
      <c r="I645">
        <v>1</v>
      </c>
      <c r="J645" t="s">
        <v>87</v>
      </c>
    </row>
    <row r="646" spans="1:10" x14ac:dyDescent="0.35">
      <c r="A646" s="4">
        <v>45807</v>
      </c>
      <c r="B646" t="s">
        <v>131</v>
      </c>
      <c r="C646">
        <v>76</v>
      </c>
      <c r="D646" t="s">
        <v>34</v>
      </c>
      <c r="E646" t="s">
        <v>87</v>
      </c>
      <c r="F646" t="s">
        <v>89</v>
      </c>
      <c r="G646">
        <v>12.5</v>
      </c>
      <c r="H646" t="s">
        <v>72</v>
      </c>
      <c r="I646">
        <v>1</v>
      </c>
      <c r="J646" t="s">
        <v>87</v>
      </c>
    </row>
    <row r="647" spans="1:10" x14ac:dyDescent="0.35">
      <c r="A647" s="4">
        <v>45807</v>
      </c>
      <c r="B647" t="s">
        <v>131</v>
      </c>
      <c r="C647">
        <v>76</v>
      </c>
      <c r="D647" t="s">
        <v>34</v>
      </c>
      <c r="E647" t="s">
        <v>87</v>
      </c>
      <c r="F647" t="s">
        <v>89</v>
      </c>
      <c r="G647">
        <v>13.8</v>
      </c>
      <c r="H647" t="s">
        <v>72</v>
      </c>
      <c r="I647">
        <v>1</v>
      </c>
      <c r="J647" t="s">
        <v>87</v>
      </c>
    </row>
    <row r="648" spans="1:10" x14ac:dyDescent="0.35">
      <c r="A648" s="4">
        <v>45807</v>
      </c>
      <c r="B648" t="s">
        <v>131</v>
      </c>
      <c r="C648">
        <v>76</v>
      </c>
      <c r="D648" t="s">
        <v>34</v>
      </c>
      <c r="E648" t="s">
        <v>87</v>
      </c>
      <c r="F648" t="s">
        <v>89</v>
      </c>
      <c r="G648">
        <v>27</v>
      </c>
      <c r="H648" t="s">
        <v>72</v>
      </c>
      <c r="I648">
        <v>1</v>
      </c>
      <c r="J648" t="s">
        <v>87</v>
      </c>
    </row>
    <row r="649" spans="1:10" x14ac:dyDescent="0.35">
      <c r="A649" s="4">
        <v>45807</v>
      </c>
      <c r="B649" t="s">
        <v>131</v>
      </c>
      <c r="C649">
        <v>76</v>
      </c>
      <c r="D649" t="s">
        <v>34</v>
      </c>
      <c r="E649" t="s">
        <v>87</v>
      </c>
      <c r="F649" t="s">
        <v>93</v>
      </c>
      <c r="G649">
        <v>22.5</v>
      </c>
      <c r="H649" t="s">
        <v>72</v>
      </c>
      <c r="I649">
        <v>1</v>
      </c>
      <c r="J649" t="s">
        <v>87</v>
      </c>
    </row>
    <row r="650" spans="1:10" x14ac:dyDescent="0.35">
      <c r="A650" s="4">
        <v>45807</v>
      </c>
      <c r="B650" t="s">
        <v>131</v>
      </c>
      <c r="C650">
        <v>76</v>
      </c>
      <c r="D650" t="s">
        <v>34</v>
      </c>
      <c r="E650" t="s">
        <v>87</v>
      </c>
      <c r="F650" t="s">
        <v>93</v>
      </c>
      <c r="G650">
        <v>42.1</v>
      </c>
      <c r="H650" t="s">
        <v>72</v>
      </c>
      <c r="I650">
        <v>1</v>
      </c>
      <c r="J650" t="s">
        <v>87</v>
      </c>
    </row>
    <row r="651" spans="1:10" x14ac:dyDescent="0.35">
      <c r="A651" s="4">
        <v>45807</v>
      </c>
      <c r="B651" t="s">
        <v>131</v>
      </c>
      <c r="C651">
        <v>76</v>
      </c>
      <c r="D651" t="s">
        <v>36</v>
      </c>
      <c r="E651" t="s">
        <v>87</v>
      </c>
      <c r="F651" t="s">
        <v>93</v>
      </c>
      <c r="G651">
        <v>19.600000000000001</v>
      </c>
      <c r="H651" t="s">
        <v>72</v>
      </c>
      <c r="I651">
        <v>1</v>
      </c>
      <c r="J651" t="s">
        <v>87</v>
      </c>
    </row>
    <row r="652" spans="1:10" x14ac:dyDescent="0.35">
      <c r="A652" s="4">
        <v>45807</v>
      </c>
      <c r="B652" t="s">
        <v>131</v>
      </c>
      <c r="C652">
        <v>76</v>
      </c>
      <c r="D652" t="s">
        <v>36</v>
      </c>
      <c r="E652" t="s">
        <v>87</v>
      </c>
      <c r="F652" t="s">
        <v>93</v>
      </c>
      <c r="G652">
        <v>74.3</v>
      </c>
      <c r="H652" t="s">
        <v>72</v>
      </c>
      <c r="I652">
        <v>1</v>
      </c>
      <c r="J652" t="s">
        <v>87</v>
      </c>
    </row>
    <row r="653" spans="1:10" x14ac:dyDescent="0.35">
      <c r="A653" s="4">
        <v>45807</v>
      </c>
      <c r="B653" t="s">
        <v>131</v>
      </c>
      <c r="C653">
        <v>76</v>
      </c>
      <c r="D653" t="s">
        <v>36</v>
      </c>
      <c r="E653" t="s">
        <v>87</v>
      </c>
      <c r="F653" t="s">
        <v>89</v>
      </c>
      <c r="G653">
        <v>20.2</v>
      </c>
      <c r="H653" t="s">
        <v>72</v>
      </c>
      <c r="I653">
        <v>1</v>
      </c>
      <c r="J653" t="s">
        <v>70</v>
      </c>
    </row>
    <row r="654" spans="1:10" x14ac:dyDescent="0.35">
      <c r="A654" s="4">
        <v>45807</v>
      </c>
      <c r="B654" t="s">
        <v>131</v>
      </c>
      <c r="C654">
        <v>76</v>
      </c>
      <c r="D654" t="s">
        <v>36</v>
      </c>
      <c r="E654" t="s">
        <v>87</v>
      </c>
      <c r="F654" t="s">
        <v>77</v>
      </c>
      <c r="G654">
        <v>14.9</v>
      </c>
      <c r="H654" t="s">
        <v>72</v>
      </c>
      <c r="I654">
        <v>1</v>
      </c>
      <c r="J654" t="s">
        <v>87</v>
      </c>
    </row>
    <row r="655" spans="1:10" x14ac:dyDescent="0.35">
      <c r="A655" s="4">
        <v>45807</v>
      </c>
      <c r="B655" t="s">
        <v>131</v>
      </c>
      <c r="C655">
        <v>76</v>
      </c>
      <c r="D655" t="s">
        <v>36</v>
      </c>
      <c r="E655" t="s">
        <v>87</v>
      </c>
      <c r="F655" t="s">
        <v>89</v>
      </c>
      <c r="G655">
        <v>20</v>
      </c>
      <c r="H655" t="s">
        <v>72</v>
      </c>
      <c r="I655">
        <v>1</v>
      </c>
      <c r="J655" t="s">
        <v>87</v>
      </c>
    </row>
    <row r="656" spans="1:10" x14ac:dyDescent="0.35">
      <c r="A656" s="4">
        <v>45807</v>
      </c>
      <c r="B656" t="s">
        <v>131</v>
      </c>
      <c r="C656">
        <v>76</v>
      </c>
      <c r="D656" t="s">
        <v>36</v>
      </c>
      <c r="E656" t="s">
        <v>87</v>
      </c>
      <c r="F656" t="s">
        <v>93</v>
      </c>
      <c r="G656">
        <f>17.7+20.8</f>
        <v>38.5</v>
      </c>
      <c r="H656" t="s">
        <v>72</v>
      </c>
      <c r="I656">
        <v>2</v>
      </c>
      <c r="J656" t="s">
        <v>87</v>
      </c>
    </row>
    <row r="657" spans="1:10" x14ac:dyDescent="0.35">
      <c r="A657" s="4">
        <v>45807</v>
      </c>
      <c r="B657" t="s">
        <v>131</v>
      </c>
      <c r="C657">
        <v>76</v>
      </c>
      <c r="D657" t="s">
        <v>36</v>
      </c>
      <c r="E657" t="s">
        <v>87</v>
      </c>
      <c r="F657" t="s">
        <v>93</v>
      </c>
      <c r="G657">
        <v>53.2</v>
      </c>
      <c r="H657" t="s">
        <v>72</v>
      </c>
      <c r="I657">
        <v>1</v>
      </c>
      <c r="J657" t="s">
        <v>87</v>
      </c>
    </row>
    <row r="658" spans="1:10" x14ac:dyDescent="0.35">
      <c r="A658" s="4">
        <v>45807</v>
      </c>
      <c r="B658" t="s">
        <v>131</v>
      </c>
      <c r="C658">
        <v>76</v>
      </c>
      <c r="D658" t="s">
        <v>37</v>
      </c>
      <c r="E658" t="s">
        <v>87</v>
      </c>
      <c r="F658" t="s">
        <v>93</v>
      </c>
      <c r="G658">
        <v>14.8</v>
      </c>
      <c r="H658" t="s">
        <v>72</v>
      </c>
      <c r="I658">
        <v>1</v>
      </c>
      <c r="J658" t="s">
        <v>87</v>
      </c>
    </row>
    <row r="659" spans="1:10" x14ac:dyDescent="0.35">
      <c r="A659" s="4">
        <v>45807</v>
      </c>
      <c r="B659" t="s">
        <v>131</v>
      </c>
      <c r="C659">
        <v>76</v>
      </c>
      <c r="D659" t="s">
        <v>37</v>
      </c>
      <c r="E659" t="s">
        <v>87</v>
      </c>
      <c r="F659" t="s">
        <v>93</v>
      </c>
      <c r="G659">
        <v>32.799999999999997</v>
      </c>
      <c r="H659" t="s">
        <v>72</v>
      </c>
      <c r="I659">
        <v>1</v>
      </c>
      <c r="J659" t="s">
        <v>87</v>
      </c>
    </row>
    <row r="660" spans="1:10" x14ac:dyDescent="0.35">
      <c r="A660" s="4">
        <v>45807</v>
      </c>
      <c r="B660" t="s">
        <v>131</v>
      </c>
      <c r="C660">
        <v>76</v>
      </c>
      <c r="D660" t="s">
        <v>37</v>
      </c>
      <c r="E660" t="s">
        <v>87</v>
      </c>
      <c r="F660" t="s">
        <v>93</v>
      </c>
      <c r="G660">
        <v>51</v>
      </c>
      <c r="H660" t="s">
        <v>72</v>
      </c>
      <c r="I660">
        <v>1</v>
      </c>
      <c r="J660" t="s">
        <v>87</v>
      </c>
    </row>
    <row r="661" spans="1:10" x14ac:dyDescent="0.35">
      <c r="A661" s="4">
        <v>45807</v>
      </c>
      <c r="B661" t="s">
        <v>131</v>
      </c>
      <c r="C661">
        <v>76</v>
      </c>
      <c r="D661" t="s">
        <v>37</v>
      </c>
      <c r="E661" t="s">
        <v>87</v>
      </c>
      <c r="F661" t="s">
        <v>93</v>
      </c>
      <c r="G661">
        <v>72.900000000000006</v>
      </c>
      <c r="H661" t="s">
        <v>72</v>
      </c>
      <c r="I661">
        <v>1</v>
      </c>
      <c r="J661" t="s">
        <v>87</v>
      </c>
    </row>
    <row r="662" spans="1:10" s="6" customFormat="1" x14ac:dyDescent="0.35">
      <c r="A662" s="5">
        <v>45806</v>
      </c>
      <c r="B662" s="6" t="s">
        <v>131</v>
      </c>
      <c r="C662" s="6">
        <v>77</v>
      </c>
      <c r="D662" s="6" t="s">
        <v>80</v>
      </c>
      <c r="E662" s="6" t="s">
        <v>70</v>
      </c>
      <c r="F662" s="6" t="s">
        <v>93</v>
      </c>
      <c r="G662" s="6">
        <v>38.200000000000003</v>
      </c>
      <c r="H662" s="6" t="s">
        <v>72</v>
      </c>
      <c r="I662" s="6">
        <v>1</v>
      </c>
      <c r="J662" s="6" t="s">
        <v>87</v>
      </c>
    </row>
    <row r="663" spans="1:10" x14ac:dyDescent="0.35">
      <c r="A663" s="4">
        <v>45806</v>
      </c>
      <c r="B663" t="s">
        <v>131</v>
      </c>
      <c r="C663">
        <v>77</v>
      </c>
      <c r="D663" t="s">
        <v>32</v>
      </c>
      <c r="E663" t="s">
        <v>70</v>
      </c>
      <c r="F663" t="s">
        <v>89</v>
      </c>
      <c r="G663">
        <v>16.899999999999999</v>
      </c>
      <c r="H663" t="s">
        <v>72</v>
      </c>
      <c r="I663">
        <v>1</v>
      </c>
      <c r="J663" t="s">
        <v>70</v>
      </c>
    </row>
    <row r="664" spans="1:10" x14ac:dyDescent="0.35">
      <c r="A664" s="4">
        <v>45806</v>
      </c>
      <c r="B664" t="s">
        <v>131</v>
      </c>
      <c r="C664">
        <v>77</v>
      </c>
      <c r="D664" t="s">
        <v>36</v>
      </c>
      <c r="E664" t="s">
        <v>70</v>
      </c>
      <c r="F664" t="s">
        <v>88</v>
      </c>
      <c r="G664">
        <v>4</v>
      </c>
      <c r="H664" t="s">
        <v>74</v>
      </c>
      <c r="I664">
        <v>1</v>
      </c>
      <c r="J664" t="s">
        <v>87</v>
      </c>
    </row>
    <row r="665" spans="1:10" x14ac:dyDescent="0.35">
      <c r="A665" s="4">
        <v>45806</v>
      </c>
      <c r="B665" t="s">
        <v>131</v>
      </c>
      <c r="C665">
        <v>77</v>
      </c>
      <c r="D665" t="s">
        <v>36</v>
      </c>
      <c r="E665" t="s">
        <v>70</v>
      </c>
      <c r="F665" t="s">
        <v>90</v>
      </c>
      <c r="G665">
        <v>14.5</v>
      </c>
      <c r="H665" t="s">
        <v>74</v>
      </c>
      <c r="I665">
        <v>1</v>
      </c>
      <c r="J665" t="s">
        <v>87</v>
      </c>
    </row>
    <row r="666" spans="1:10" x14ac:dyDescent="0.35">
      <c r="A666" s="4">
        <v>45806</v>
      </c>
      <c r="B666" t="s">
        <v>131</v>
      </c>
      <c r="C666">
        <v>77</v>
      </c>
      <c r="D666" t="s">
        <v>36</v>
      </c>
      <c r="E666" t="s">
        <v>70</v>
      </c>
      <c r="F666" t="s">
        <v>77</v>
      </c>
      <c r="G666">
        <v>8.4</v>
      </c>
      <c r="H666" t="s">
        <v>74</v>
      </c>
      <c r="I666">
        <v>1</v>
      </c>
      <c r="J666" t="s">
        <v>87</v>
      </c>
    </row>
    <row r="667" spans="1:10" x14ac:dyDescent="0.35">
      <c r="A667" s="4">
        <v>45806</v>
      </c>
      <c r="B667" t="s">
        <v>131</v>
      </c>
      <c r="C667">
        <v>77</v>
      </c>
      <c r="D667" t="s">
        <v>36</v>
      </c>
      <c r="E667" t="s">
        <v>70</v>
      </c>
      <c r="F667" t="s">
        <v>77</v>
      </c>
      <c r="G667">
        <v>5.6</v>
      </c>
      <c r="H667" t="s">
        <v>74</v>
      </c>
      <c r="I667">
        <v>1</v>
      </c>
      <c r="J667" t="s">
        <v>87</v>
      </c>
    </row>
    <row r="668" spans="1:10" x14ac:dyDescent="0.35">
      <c r="A668" s="4">
        <v>45806</v>
      </c>
      <c r="B668" t="s">
        <v>131</v>
      </c>
      <c r="C668">
        <v>77</v>
      </c>
      <c r="D668" t="s">
        <v>36</v>
      </c>
      <c r="E668" t="s">
        <v>70</v>
      </c>
      <c r="F668" t="s">
        <v>90</v>
      </c>
      <c r="G668">
        <v>15.3</v>
      </c>
      <c r="H668" t="s">
        <v>74</v>
      </c>
      <c r="I668">
        <v>1</v>
      </c>
      <c r="J668" t="s">
        <v>87</v>
      </c>
    </row>
    <row r="669" spans="1:10" x14ac:dyDescent="0.35">
      <c r="A669" s="4">
        <v>45806</v>
      </c>
      <c r="B669" t="s">
        <v>131</v>
      </c>
      <c r="C669">
        <v>77</v>
      </c>
      <c r="D669" t="s">
        <v>37</v>
      </c>
      <c r="E669" t="s">
        <v>70</v>
      </c>
      <c r="F669" t="s">
        <v>77</v>
      </c>
      <c r="G669">
        <v>15.8</v>
      </c>
      <c r="H669" t="s">
        <v>72</v>
      </c>
      <c r="I669">
        <v>1</v>
      </c>
      <c r="J669" t="s">
        <v>70</v>
      </c>
    </row>
    <row r="670" spans="1:10" x14ac:dyDescent="0.35">
      <c r="A670" s="4">
        <v>45806</v>
      </c>
      <c r="B670" t="s">
        <v>131</v>
      </c>
      <c r="C670">
        <v>77</v>
      </c>
      <c r="D670" t="s">
        <v>32</v>
      </c>
      <c r="E670" t="s">
        <v>87</v>
      </c>
      <c r="F670" t="s">
        <v>93</v>
      </c>
      <c r="G670">
        <v>175</v>
      </c>
      <c r="H670" t="s">
        <v>72</v>
      </c>
      <c r="I670">
        <v>1</v>
      </c>
      <c r="J670" t="s">
        <v>87</v>
      </c>
    </row>
    <row r="671" spans="1:10" x14ac:dyDescent="0.35">
      <c r="A671" s="4">
        <v>45806</v>
      </c>
      <c r="B671" t="s">
        <v>131</v>
      </c>
      <c r="C671">
        <v>77</v>
      </c>
      <c r="D671" t="s">
        <v>32</v>
      </c>
      <c r="E671" t="s">
        <v>87</v>
      </c>
      <c r="F671" t="s">
        <v>77</v>
      </c>
      <c r="G671">
        <v>16.2</v>
      </c>
      <c r="H671" t="s">
        <v>72</v>
      </c>
      <c r="I671">
        <v>1</v>
      </c>
      <c r="J671" t="s">
        <v>87</v>
      </c>
    </row>
    <row r="672" spans="1:10" x14ac:dyDescent="0.35">
      <c r="A672" s="4">
        <v>45806</v>
      </c>
      <c r="B672" t="s">
        <v>131</v>
      </c>
      <c r="C672">
        <v>77</v>
      </c>
      <c r="D672" t="s">
        <v>32</v>
      </c>
      <c r="E672" t="s">
        <v>87</v>
      </c>
      <c r="F672" t="s">
        <v>77</v>
      </c>
      <c r="G672">
        <v>19.3</v>
      </c>
      <c r="H672" t="s">
        <v>72</v>
      </c>
      <c r="I672">
        <v>1</v>
      </c>
      <c r="J672" t="s">
        <v>87</v>
      </c>
    </row>
    <row r="673" spans="1:10" x14ac:dyDescent="0.35">
      <c r="A673" s="4">
        <v>45806</v>
      </c>
      <c r="B673" t="s">
        <v>131</v>
      </c>
      <c r="C673">
        <v>77</v>
      </c>
      <c r="D673" t="s">
        <v>32</v>
      </c>
      <c r="E673" t="s">
        <v>87</v>
      </c>
      <c r="F673" t="s">
        <v>88</v>
      </c>
      <c r="G673">
        <f>6.6+6.2+5.5</f>
        <v>18.3</v>
      </c>
      <c r="H673" t="s">
        <v>72</v>
      </c>
      <c r="I673">
        <v>3</v>
      </c>
      <c r="J673" t="s">
        <v>87</v>
      </c>
    </row>
    <row r="674" spans="1:10" x14ac:dyDescent="0.35">
      <c r="A674" s="4">
        <v>45806</v>
      </c>
      <c r="B674" t="s">
        <v>131</v>
      </c>
      <c r="C674">
        <v>77</v>
      </c>
      <c r="D674" t="s">
        <v>34</v>
      </c>
      <c r="E674" t="s">
        <v>87</v>
      </c>
      <c r="F674" t="s">
        <v>77</v>
      </c>
      <c r="G674">
        <f>26.9+6.1</f>
        <v>33</v>
      </c>
      <c r="H674" t="s">
        <v>72</v>
      </c>
      <c r="I674">
        <v>2</v>
      </c>
      <c r="J674" t="s">
        <v>87</v>
      </c>
    </row>
    <row r="675" spans="1:10" x14ac:dyDescent="0.35">
      <c r="A675" s="4">
        <v>45806</v>
      </c>
      <c r="B675" t="s">
        <v>131</v>
      </c>
      <c r="C675">
        <v>77</v>
      </c>
      <c r="D675" t="s">
        <v>34</v>
      </c>
      <c r="E675" t="s">
        <v>87</v>
      </c>
      <c r="F675" t="s">
        <v>77</v>
      </c>
      <c r="G675">
        <v>23.8</v>
      </c>
      <c r="H675" t="s">
        <v>72</v>
      </c>
      <c r="I675">
        <v>1</v>
      </c>
      <c r="J675" t="s">
        <v>87</v>
      </c>
    </row>
    <row r="676" spans="1:10" x14ac:dyDescent="0.35">
      <c r="A676" s="4">
        <v>45806</v>
      </c>
      <c r="B676" t="s">
        <v>131</v>
      </c>
      <c r="C676">
        <v>77</v>
      </c>
      <c r="D676" t="s">
        <v>34</v>
      </c>
      <c r="E676" t="s">
        <v>87</v>
      </c>
      <c r="F676" t="s">
        <v>93</v>
      </c>
      <c r="G676">
        <v>83.7</v>
      </c>
      <c r="H676" t="s">
        <v>72</v>
      </c>
      <c r="I676">
        <v>1</v>
      </c>
      <c r="J676" t="s">
        <v>87</v>
      </c>
    </row>
    <row r="677" spans="1:10" x14ac:dyDescent="0.35">
      <c r="A677" s="4">
        <v>45806</v>
      </c>
      <c r="B677" t="s">
        <v>131</v>
      </c>
      <c r="C677">
        <v>77</v>
      </c>
      <c r="D677" t="s">
        <v>34</v>
      </c>
      <c r="E677" t="s">
        <v>87</v>
      </c>
      <c r="F677" t="s">
        <v>89</v>
      </c>
      <c r="G677">
        <f>21.6+4.5+7.9</f>
        <v>34</v>
      </c>
      <c r="H677" t="s">
        <v>72</v>
      </c>
      <c r="I677">
        <v>3</v>
      </c>
      <c r="J677" t="s">
        <v>87</v>
      </c>
    </row>
    <row r="678" spans="1:10" x14ac:dyDescent="0.35">
      <c r="A678" s="4">
        <v>45806</v>
      </c>
      <c r="B678" t="s">
        <v>131</v>
      </c>
      <c r="C678">
        <v>77</v>
      </c>
      <c r="D678" t="s">
        <v>34</v>
      </c>
      <c r="E678" t="s">
        <v>87</v>
      </c>
      <c r="F678" t="s">
        <v>93</v>
      </c>
      <c r="G678">
        <v>36.6</v>
      </c>
      <c r="H678" t="s">
        <v>72</v>
      </c>
      <c r="I678">
        <v>1</v>
      </c>
      <c r="J678" t="s">
        <v>87</v>
      </c>
    </row>
    <row r="679" spans="1:10" x14ac:dyDescent="0.35">
      <c r="A679" s="4">
        <v>45806</v>
      </c>
      <c r="B679" t="s">
        <v>131</v>
      </c>
      <c r="C679">
        <v>77</v>
      </c>
      <c r="D679" t="s">
        <v>36</v>
      </c>
      <c r="E679" t="s">
        <v>87</v>
      </c>
      <c r="F679" t="s">
        <v>138</v>
      </c>
      <c r="G679">
        <v>35.6</v>
      </c>
      <c r="H679" t="s">
        <v>72</v>
      </c>
      <c r="I679">
        <v>1</v>
      </c>
      <c r="J679" t="s">
        <v>87</v>
      </c>
    </row>
    <row r="680" spans="1:10" x14ac:dyDescent="0.35">
      <c r="A680" s="4">
        <v>45806</v>
      </c>
      <c r="B680" t="s">
        <v>131</v>
      </c>
      <c r="C680">
        <v>77</v>
      </c>
      <c r="D680" t="s">
        <v>36</v>
      </c>
      <c r="E680" t="s">
        <v>87</v>
      </c>
      <c r="F680" t="s">
        <v>90</v>
      </c>
      <c r="G680">
        <v>31.7</v>
      </c>
      <c r="H680" t="s">
        <v>74</v>
      </c>
      <c r="I680">
        <v>1</v>
      </c>
      <c r="J680" t="s">
        <v>87</v>
      </c>
    </row>
    <row r="681" spans="1:10" x14ac:dyDescent="0.35">
      <c r="A681" s="4">
        <v>45806</v>
      </c>
      <c r="B681" t="s">
        <v>131</v>
      </c>
      <c r="C681">
        <v>77</v>
      </c>
      <c r="D681" t="s">
        <v>36</v>
      </c>
      <c r="E681" t="s">
        <v>87</v>
      </c>
      <c r="F681" t="s">
        <v>89</v>
      </c>
      <c r="G681">
        <v>17.5</v>
      </c>
      <c r="H681" t="s">
        <v>72</v>
      </c>
      <c r="I681">
        <v>1</v>
      </c>
      <c r="J681" t="s">
        <v>87</v>
      </c>
    </row>
    <row r="682" spans="1:10" x14ac:dyDescent="0.35">
      <c r="A682" s="4">
        <v>45806</v>
      </c>
      <c r="B682" t="s">
        <v>131</v>
      </c>
      <c r="C682">
        <v>77</v>
      </c>
      <c r="D682" t="s">
        <v>36</v>
      </c>
      <c r="E682" t="s">
        <v>87</v>
      </c>
      <c r="F682" t="s">
        <v>89</v>
      </c>
      <c r="G682">
        <v>17</v>
      </c>
      <c r="H682" t="s">
        <v>72</v>
      </c>
      <c r="I682">
        <v>1</v>
      </c>
      <c r="J682" t="s">
        <v>70</v>
      </c>
    </row>
    <row r="683" spans="1:10" x14ac:dyDescent="0.35">
      <c r="A683" s="4">
        <v>45806</v>
      </c>
      <c r="B683" t="s">
        <v>131</v>
      </c>
      <c r="C683">
        <v>77</v>
      </c>
      <c r="D683" t="s">
        <v>36</v>
      </c>
      <c r="E683" t="s">
        <v>87</v>
      </c>
      <c r="F683" t="s">
        <v>93</v>
      </c>
      <c r="G683">
        <v>101</v>
      </c>
      <c r="H683" t="s">
        <v>72</v>
      </c>
      <c r="I683">
        <v>1</v>
      </c>
      <c r="J683" t="s">
        <v>87</v>
      </c>
    </row>
    <row r="684" spans="1:10" x14ac:dyDescent="0.35">
      <c r="A684" s="4">
        <v>45806</v>
      </c>
      <c r="B684" t="s">
        <v>131</v>
      </c>
      <c r="C684">
        <v>77</v>
      </c>
      <c r="D684" t="s">
        <v>36</v>
      </c>
      <c r="E684" t="s">
        <v>87</v>
      </c>
      <c r="F684" t="s">
        <v>90</v>
      </c>
      <c r="G684">
        <f>8.5+11.8</f>
        <v>20.3</v>
      </c>
      <c r="H684" t="s">
        <v>74</v>
      </c>
      <c r="I684">
        <v>2</v>
      </c>
      <c r="J684" t="s">
        <v>87</v>
      </c>
    </row>
    <row r="685" spans="1:10" x14ac:dyDescent="0.35">
      <c r="A685" s="4">
        <v>45806</v>
      </c>
      <c r="B685" t="s">
        <v>131</v>
      </c>
      <c r="C685">
        <v>77</v>
      </c>
      <c r="D685" t="s">
        <v>36</v>
      </c>
      <c r="E685" t="s">
        <v>87</v>
      </c>
      <c r="F685" t="s">
        <v>89</v>
      </c>
      <c r="G685">
        <v>18.8</v>
      </c>
      <c r="H685" t="s">
        <v>72</v>
      </c>
      <c r="I685">
        <v>1</v>
      </c>
      <c r="J685" t="s">
        <v>87</v>
      </c>
    </row>
    <row r="686" spans="1:10" x14ac:dyDescent="0.35">
      <c r="A686" s="4">
        <v>45806</v>
      </c>
      <c r="B686" t="s">
        <v>131</v>
      </c>
      <c r="C686">
        <v>77</v>
      </c>
      <c r="D686" t="s">
        <v>37</v>
      </c>
      <c r="E686" t="s">
        <v>87</v>
      </c>
      <c r="F686" t="s">
        <v>93</v>
      </c>
      <c r="G686">
        <v>73.5</v>
      </c>
      <c r="H686" t="s">
        <v>72</v>
      </c>
      <c r="I686">
        <v>1</v>
      </c>
      <c r="J686" t="s">
        <v>87</v>
      </c>
    </row>
    <row r="687" spans="1:10" x14ac:dyDescent="0.35">
      <c r="A687" s="4">
        <v>45806</v>
      </c>
      <c r="B687" t="s">
        <v>131</v>
      </c>
      <c r="C687">
        <v>77</v>
      </c>
      <c r="D687" t="s">
        <v>37</v>
      </c>
      <c r="E687" t="s">
        <v>87</v>
      </c>
      <c r="F687" t="s">
        <v>90</v>
      </c>
      <c r="G687">
        <v>13.8</v>
      </c>
      <c r="H687" t="s">
        <v>74</v>
      </c>
      <c r="I687">
        <v>1</v>
      </c>
      <c r="J687" t="s">
        <v>87</v>
      </c>
    </row>
    <row r="688" spans="1:10" x14ac:dyDescent="0.35">
      <c r="A688" s="4">
        <v>45806</v>
      </c>
      <c r="B688" t="s">
        <v>131</v>
      </c>
      <c r="C688">
        <v>77</v>
      </c>
      <c r="D688" t="s">
        <v>37</v>
      </c>
      <c r="E688" t="s">
        <v>87</v>
      </c>
      <c r="F688" t="s">
        <v>93</v>
      </c>
      <c r="G688">
        <v>42.2</v>
      </c>
      <c r="H688" t="s">
        <v>72</v>
      </c>
      <c r="I688">
        <v>1</v>
      </c>
      <c r="J688" t="s">
        <v>87</v>
      </c>
    </row>
    <row r="689" spans="1:10" x14ac:dyDescent="0.35">
      <c r="A689" s="4">
        <v>45806</v>
      </c>
      <c r="B689" t="s">
        <v>131</v>
      </c>
      <c r="C689">
        <v>77</v>
      </c>
      <c r="D689" t="s">
        <v>37</v>
      </c>
      <c r="E689" t="s">
        <v>87</v>
      </c>
      <c r="F689" t="s">
        <v>93</v>
      </c>
      <c r="G689">
        <f>21.2+15.6</f>
        <v>36.799999999999997</v>
      </c>
      <c r="H689" t="s">
        <v>72</v>
      </c>
      <c r="I689">
        <v>2</v>
      </c>
      <c r="J689" t="s">
        <v>87</v>
      </c>
    </row>
    <row r="690" spans="1:10" s="6" customFormat="1" x14ac:dyDescent="0.35">
      <c r="A690" s="5">
        <v>45806</v>
      </c>
      <c r="B690" s="6" t="s">
        <v>131</v>
      </c>
      <c r="C690" s="6">
        <v>78</v>
      </c>
      <c r="D690" s="6" t="s">
        <v>80</v>
      </c>
      <c r="E690" s="6" t="s">
        <v>70</v>
      </c>
      <c r="F690" s="6" t="s">
        <v>93</v>
      </c>
      <c r="G690" s="6">
        <v>25.8</v>
      </c>
      <c r="H690" s="6" t="s">
        <v>72</v>
      </c>
      <c r="I690" s="6">
        <v>1</v>
      </c>
      <c r="J690" s="6" t="s">
        <v>87</v>
      </c>
    </row>
    <row r="691" spans="1:10" x14ac:dyDescent="0.35">
      <c r="A691" s="4">
        <v>45806</v>
      </c>
      <c r="B691" t="s">
        <v>131</v>
      </c>
      <c r="C691">
        <v>78</v>
      </c>
      <c r="D691" t="s">
        <v>32</v>
      </c>
      <c r="E691" t="s">
        <v>70</v>
      </c>
      <c r="F691" t="s">
        <v>88</v>
      </c>
      <c r="G691">
        <v>3.2</v>
      </c>
      <c r="H691" t="s">
        <v>72</v>
      </c>
      <c r="I691">
        <v>1</v>
      </c>
      <c r="J691" t="s">
        <v>87</v>
      </c>
    </row>
    <row r="692" spans="1:10" x14ac:dyDescent="0.35">
      <c r="A692" s="4">
        <v>45806</v>
      </c>
      <c r="B692" t="s">
        <v>131</v>
      </c>
      <c r="C692">
        <v>78</v>
      </c>
      <c r="D692" t="s">
        <v>32</v>
      </c>
      <c r="E692" t="s">
        <v>70</v>
      </c>
      <c r="F692" t="s">
        <v>77</v>
      </c>
      <c r="G692">
        <v>5.2</v>
      </c>
      <c r="H692" t="s">
        <v>72</v>
      </c>
      <c r="I692">
        <v>1</v>
      </c>
      <c r="J692" t="s">
        <v>87</v>
      </c>
    </row>
    <row r="693" spans="1:10" x14ac:dyDescent="0.35">
      <c r="A693" s="4">
        <v>45806</v>
      </c>
      <c r="B693" t="s">
        <v>131</v>
      </c>
      <c r="C693">
        <v>78</v>
      </c>
      <c r="D693" t="s">
        <v>32</v>
      </c>
      <c r="E693" t="s">
        <v>70</v>
      </c>
      <c r="F693" t="s">
        <v>75</v>
      </c>
      <c r="G693">
        <v>5.5</v>
      </c>
      <c r="H693" t="s">
        <v>72</v>
      </c>
      <c r="I693">
        <v>1</v>
      </c>
      <c r="J693" t="s">
        <v>87</v>
      </c>
    </row>
    <row r="694" spans="1:10" x14ac:dyDescent="0.35">
      <c r="A694" s="4">
        <v>45806</v>
      </c>
      <c r="B694" t="s">
        <v>131</v>
      </c>
      <c r="C694">
        <v>78</v>
      </c>
      <c r="D694" t="s">
        <v>32</v>
      </c>
      <c r="E694" t="s">
        <v>70</v>
      </c>
      <c r="F694" t="s">
        <v>75</v>
      </c>
      <c r="G694">
        <v>2.9</v>
      </c>
      <c r="H694" t="s">
        <v>72</v>
      </c>
      <c r="I694">
        <v>1</v>
      </c>
      <c r="J694" t="s">
        <v>87</v>
      </c>
    </row>
    <row r="695" spans="1:10" x14ac:dyDescent="0.35">
      <c r="A695" s="4">
        <v>45806</v>
      </c>
      <c r="B695" t="s">
        <v>131</v>
      </c>
      <c r="C695">
        <v>78</v>
      </c>
      <c r="D695" t="s">
        <v>32</v>
      </c>
      <c r="E695" t="s">
        <v>70</v>
      </c>
      <c r="F695" t="s">
        <v>95</v>
      </c>
      <c r="G695">
        <v>5.2</v>
      </c>
      <c r="H695" t="s">
        <v>72</v>
      </c>
      <c r="I695">
        <v>1</v>
      </c>
      <c r="J695" t="s">
        <v>87</v>
      </c>
    </row>
    <row r="696" spans="1:10" x14ac:dyDescent="0.35">
      <c r="A696" s="4">
        <v>45806</v>
      </c>
      <c r="B696" t="s">
        <v>131</v>
      </c>
      <c r="C696">
        <v>78</v>
      </c>
      <c r="D696" t="s">
        <v>32</v>
      </c>
      <c r="E696" t="s">
        <v>70</v>
      </c>
      <c r="F696" t="s">
        <v>77</v>
      </c>
      <c r="G696">
        <v>10.5</v>
      </c>
      <c r="H696" t="s">
        <v>74</v>
      </c>
      <c r="I696">
        <v>1</v>
      </c>
      <c r="J696" t="s">
        <v>87</v>
      </c>
    </row>
    <row r="697" spans="1:10" x14ac:dyDescent="0.35">
      <c r="A697" s="4">
        <v>45806</v>
      </c>
      <c r="B697" t="s">
        <v>131</v>
      </c>
      <c r="C697">
        <v>78</v>
      </c>
      <c r="D697" t="s">
        <v>32</v>
      </c>
      <c r="E697" t="s">
        <v>70</v>
      </c>
      <c r="F697" t="s">
        <v>90</v>
      </c>
      <c r="G697">
        <v>6.6</v>
      </c>
      <c r="H697" t="s">
        <v>74</v>
      </c>
      <c r="I697">
        <v>1</v>
      </c>
      <c r="J697" t="s">
        <v>87</v>
      </c>
    </row>
    <row r="698" spans="1:10" x14ac:dyDescent="0.35">
      <c r="A698" s="4">
        <v>45806</v>
      </c>
      <c r="B698" t="s">
        <v>131</v>
      </c>
      <c r="C698">
        <v>78</v>
      </c>
      <c r="D698" t="s">
        <v>32</v>
      </c>
      <c r="E698" t="s">
        <v>70</v>
      </c>
      <c r="F698" t="s">
        <v>93</v>
      </c>
      <c r="G698">
        <v>19.600000000000001</v>
      </c>
      <c r="H698" t="s">
        <v>72</v>
      </c>
      <c r="I698">
        <v>1</v>
      </c>
      <c r="J698" t="s">
        <v>87</v>
      </c>
    </row>
    <row r="699" spans="1:10" x14ac:dyDescent="0.35">
      <c r="A699" s="4">
        <v>45806</v>
      </c>
      <c r="B699" t="s">
        <v>131</v>
      </c>
      <c r="C699">
        <v>78</v>
      </c>
      <c r="D699" t="s">
        <v>32</v>
      </c>
      <c r="E699" t="s">
        <v>70</v>
      </c>
      <c r="F699" t="s">
        <v>75</v>
      </c>
      <c r="G699">
        <v>3.1</v>
      </c>
      <c r="H699" t="s">
        <v>72</v>
      </c>
      <c r="I699">
        <v>1</v>
      </c>
      <c r="J699" t="s">
        <v>87</v>
      </c>
    </row>
    <row r="700" spans="1:10" x14ac:dyDescent="0.35">
      <c r="A700" s="4">
        <v>45806</v>
      </c>
      <c r="B700" t="s">
        <v>131</v>
      </c>
      <c r="C700">
        <v>78</v>
      </c>
      <c r="D700" t="s">
        <v>32</v>
      </c>
      <c r="E700" t="s">
        <v>70</v>
      </c>
      <c r="F700" t="s">
        <v>93</v>
      </c>
      <c r="G700">
        <v>49.1</v>
      </c>
      <c r="H700" t="s">
        <v>72</v>
      </c>
      <c r="I700">
        <v>1</v>
      </c>
      <c r="J700" t="s">
        <v>87</v>
      </c>
    </row>
    <row r="701" spans="1:10" x14ac:dyDescent="0.35">
      <c r="A701" s="4">
        <v>45806</v>
      </c>
      <c r="B701" t="s">
        <v>131</v>
      </c>
      <c r="C701">
        <v>78</v>
      </c>
      <c r="D701" t="s">
        <v>32</v>
      </c>
      <c r="E701" t="s">
        <v>70</v>
      </c>
      <c r="F701" t="s">
        <v>75</v>
      </c>
      <c r="G701">
        <v>2.7</v>
      </c>
      <c r="H701" t="s">
        <v>72</v>
      </c>
      <c r="I701">
        <v>1</v>
      </c>
      <c r="J701" t="s">
        <v>87</v>
      </c>
    </row>
    <row r="702" spans="1:10" x14ac:dyDescent="0.35">
      <c r="A702" s="4">
        <v>45806</v>
      </c>
      <c r="B702" t="s">
        <v>131</v>
      </c>
      <c r="C702">
        <v>78</v>
      </c>
      <c r="D702" t="s">
        <v>32</v>
      </c>
      <c r="E702" t="s">
        <v>70</v>
      </c>
      <c r="F702" t="s">
        <v>75</v>
      </c>
      <c r="G702">
        <v>2.8</v>
      </c>
      <c r="H702" t="s">
        <v>72</v>
      </c>
      <c r="I702">
        <v>1</v>
      </c>
      <c r="J702" t="s">
        <v>87</v>
      </c>
    </row>
    <row r="703" spans="1:10" x14ac:dyDescent="0.35">
      <c r="A703" s="4">
        <v>45806</v>
      </c>
      <c r="B703" t="s">
        <v>131</v>
      </c>
      <c r="C703">
        <v>78</v>
      </c>
      <c r="D703" t="s">
        <v>32</v>
      </c>
      <c r="E703" t="s">
        <v>70</v>
      </c>
      <c r="F703" t="s">
        <v>75</v>
      </c>
      <c r="G703">
        <v>3.1</v>
      </c>
      <c r="H703" t="s">
        <v>72</v>
      </c>
      <c r="I703">
        <v>1</v>
      </c>
      <c r="J703" t="s">
        <v>87</v>
      </c>
    </row>
    <row r="704" spans="1:10" x14ac:dyDescent="0.35">
      <c r="A704" s="4">
        <v>45806</v>
      </c>
      <c r="B704" t="s">
        <v>131</v>
      </c>
      <c r="C704">
        <v>78</v>
      </c>
      <c r="D704" t="s">
        <v>32</v>
      </c>
      <c r="E704" t="s">
        <v>70</v>
      </c>
      <c r="F704" t="s">
        <v>75</v>
      </c>
      <c r="G704">
        <v>3.3</v>
      </c>
      <c r="H704" t="s">
        <v>72</v>
      </c>
      <c r="I704">
        <v>1</v>
      </c>
      <c r="J704" t="s">
        <v>87</v>
      </c>
    </row>
    <row r="705" spans="1:10" x14ac:dyDescent="0.35">
      <c r="A705" s="4">
        <v>45806</v>
      </c>
      <c r="B705" t="s">
        <v>131</v>
      </c>
      <c r="C705">
        <v>78</v>
      </c>
      <c r="D705" t="s">
        <v>32</v>
      </c>
      <c r="E705" t="s">
        <v>70</v>
      </c>
      <c r="F705" t="s">
        <v>75</v>
      </c>
      <c r="G705">
        <v>3.2</v>
      </c>
      <c r="H705" t="s">
        <v>72</v>
      </c>
      <c r="I705">
        <v>1</v>
      </c>
      <c r="J705" t="s">
        <v>87</v>
      </c>
    </row>
    <row r="706" spans="1:10" x14ac:dyDescent="0.35">
      <c r="A706" s="4">
        <v>45806</v>
      </c>
      <c r="B706" t="s">
        <v>131</v>
      </c>
      <c r="C706">
        <v>78</v>
      </c>
      <c r="D706" t="s">
        <v>32</v>
      </c>
      <c r="E706" t="s">
        <v>70</v>
      </c>
      <c r="F706" t="s">
        <v>79</v>
      </c>
      <c r="G706">
        <v>3.3</v>
      </c>
      <c r="H706" t="s">
        <v>74</v>
      </c>
      <c r="I706">
        <v>1</v>
      </c>
      <c r="J706" t="s">
        <v>87</v>
      </c>
    </row>
    <row r="707" spans="1:10" x14ac:dyDescent="0.35">
      <c r="A707" s="4">
        <v>45806</v>
      </c>
      <c r="B707" t="s">
        <v>131</v>
      </c>
      <c r="C707">
        <v>78</v>
      </c>
      <c r="D707" t="s">
        <v>34</v>
      </c>
      <c r="E707" t="s">
        <v>70</v>
      </c>
      <c r="F707" t="s">
        <v>75</v>
      </c>
      <c r="G707">
        <v>3</v>
      </c>
      <c r="H707" t="s">
        <v>72</v>
      </c>
      <c r="I707">
        <v>1</v>
      </c>
      <c r="J707" t="s">
        <v>87</v>
      </c>
    </row>
    <row r="708" spans="1:10" x14ac:dyDescent="0.35">
      <c r="A708" s="4">
        <v>45806</v>
      </c>
      <c r="B708" t="s">
        <v>131</v>
      </c>
      <c r="C708">
        <v>78</v>
      </c>
      <c r="D708" t="s">
        <v>34</v>
      </c>
      <c r="E708" t="s">
        <v>70</v>
      </c>
      <c r="F708" t="s">
        <v>75</v>
      </c>
      <c r="G708">
        <v>2.5</v>
      </c>
      <c r="H708" t="s">
        <v>72</v>
      </c>
      <c r="I708">
        <v>1</v>
      </c>
      <c r="J708" t="s">
        <v>87</v>
      </c>
    </row>
    <row r="709" spans="1:10" x14ac:dyDescent="0.35">
      <c r="A709" s="4">
        <v>45806</v>
      </c>
      <c r="B709" t="s">
        <v>131</v>
      </c>
      <c r="C709">
        <v>78</v>
      </c>
      <c r="D709" t="s">
        <v>34</v>
      </c>
      <c r="E709" t="s">
        <v>70</v>
      </c>
      <c r="F709" t="s">
        <v>75</v>
      </c>
      <c r="G709">
        <v>3.1</v>
      </c>
      <c r="H709" t="s">
        <v>72</v>
      </c>
      <c r="I709">
        <v>1</v>
      </c>
      <c r="J709" t="s">
        <v>87</v>
      </c>
    </row>
    <row r="710" spans="1:10" x14ac:dyDescent="0.35">
      <c r="A710" s="4">
        <v>45806</v>
      </c>
      <c r="B710" t="s">
        <v>131</v>
      </c>
      <c r="C710">
        <v>78</v>
      </c>
      <c r="D710" t="s">
        <v>34</v>
      </c>
      <c r="E710" t="s">
        <v>70</v>
      </c>
      <c r="F710" t="s">
        <v>75</v>
      </c>
      <c r="G710">
        <v>4</v>
      </c>
      <c r="H710" t="s">
        <v>72</v>
      </c>
      <c r="I710">
        <v>1</v>
      </c>
      <c r="J710" t="s">
        <v>87</v>
      </c>
    </row>
    <row r="711" spans="1:10" x14ac:dyDescent="0.35">
      <c r="A711" s="4">
        <v>45806</v>
      </c>
      <c r="B711" t="s">
        <v>131</v>
      </c>
      <c r="C711">
        <v>78</v>
      </c>
      <c r="D711" t="s">
        <v>34</v>
      </c>
      <c r="E711" t="s">
        <v>70</v>
      </c>
      <c r="F711" t="s">
        <v>77</v>
      </c>
      <c r="G711">
        <v>20.5</v>
      </c>
      <c r="H711" t="s">
        <v>72</v>
      </c>
      <c r="I711">
        <v>1</v>
      </c>
      <c r="J711" t="s">
        <v>87</v>
      </c>
    </row>
    <row r="712" spans="1:10" x14ac:dyDescent="0.35">
      <c r="A712" s="4">
        <v>45806</v>
      </c>
      <c r="B712" t="s">
        <v>131</v>
      </c>
      <c r="C712">
        <v>78</v>
      </c>
      <c r="D712" t="s">
        <v>34</v>
      </c>
      <c r="E712" t="s">
        <v>70</v>
      </c>
      <c r="F712" t="s">
        <v>75</v>
      </c>
      <c r="G712">
        <v>3.5</v>
      </c>
      <c r="H712" t="s">
        <v>72</v>
      </c>
      <c r="I712">
        <v>1</v>
      </c>
      <c r="J712" t="s">
        <v>87</v>
      </c>
    </row>
    <row r="713" spans="1:10" x14ac:dyDescent="0.35">
      <c r="A713" s="4">
        <v>45806</v>
      </c>
      <c r="B713" t="s">
        <v>131</v>
      </c>
      <c r="C713">
        <v>78</v>
      </c>
      <c r="D713" t="s">
        <v>34</v>
      </c>
      <c r="E713" t="s">
        <v>70</v>
      </c>
      <c r="F713" t="s">
        <v>75</v>
      </c>
      <c r="G713">
        <v>3.1</v>
      </c>
      <c r="H713" t="s">
        <v>72</v>
      </c>
      <c r="I713">
        <v>1</v>
      </c>
      <c r="J713" t="s">
        <v>87</v>
      </c>
    </row>
    <row r="714" spans="1:10" x14ac:dyDescent="0.35">
      <c r="A714" s="4">
        <v>45806</v>
      </c>
      <c r="B714" t="s">
        <v>131</v>
      </c>
      <c r="C714">
        <v>78</v>
      </c>
      <c r="D714" t="s">
        <v>34</v>
      </c>
      <c r="E714" t="s">
        <v>70</v>
      </c>
      <c r="F714" t="s">
        <v>75</v>
      </c>
      <c r="G714">
        <v>3.8</v>
      </c>
      <c r="H714" t="s">
        <v>72</v>
      </c>
      <c r="I714">
        <v>1</v>
      </c>
      <c r="J714" t="s">
        <v>87</v>
      </c>
    </row>
    <row r="715" spans="1:10" x14ac:dyDescent="0.35">
      <c r="A715" s="4">
        <v>45806</v>
      </c>
      <c r="B715" t="s">
        <v>131</v>
      </c>
      <c r="C715">
        <v>78</v>
      </c>
      <c r="D715" t="s">
        <v>36</v>
      </c>
      <c r="E715" t="s">
        <v>70</v>
      </c>
      <c r="F715" t="s">
        <v>93</v>
      </c>
      <c r="G715">
        <v>28.8</v>
      </c>
      <c r="H715" t="s">
        <v>72</v>
      </c>
      <c r="I715">
        <v>1</v>
      </c>
      <c r="J715" t="s">
        <v>87</v>
      </c>
    </row>
    <row r="716" spans="1:10" x14ac:dyDescent="0.35">
      <c r="A716" s="4">
        <v>45806</v>
      </c>
      <c r="B716" t="s">
        <v>131</v>
      </c>
      <c r="C716">
        <v>78</v>
      </c>
      <c r="D716" t="s">
        <v>36</v>
      </c>
      <c r="E716" t="s">
        <v>70</v>
      </c>
      <c r="F716" t="s">
        <v>77</v>
      </c>
      <c r="G716">
        <v>20.6</v>
      </c>
      <c r="H716" t="s">
        <v>72</v>
      </c>
      <c r="I716">
        <v>1</v>
      </c>
      <c r="J716" t="s">
        <v>87</v>
      </c>
    </row>
    <row r="717" spans="1:10" x14ac:dyDescent="0.35">
      <c r="A717" s="4">
        <v>45806</v>
      </c>
      <c r="B717" t="s">
        <v>131</v>
      </c>
      <c r="C717">
        <v>78</v>
      </c>
      <c r="D717" t="s">
        <v>32</v>
      </c>
      <c r="E717" t="s">
        <v>87</v>
      </c>
      <c r="F717" t="s">
        <v>77</v>
      </c>
      <c r="G717">
        <v>20.5</v>
      </c>
      <c r="H717" t="s">
        <v>72</v>
      </c>
      <c r="I717">
        <v>1</v>
      </c>
      <c r="J717" t="s">
        <v>87</v>
      </c>
    </row>
    <row r="718" spans="1:10" x14ac:dyDescent="0.35">
      <c r="A718" s="4">
        <v>45806</v>
      </c>
      <c r="B718" t="s">
        <v>131</v>
      </c>
      <c r="C718">
        <v>78</v>
      </c>
      <c r="D718" t="s">
        <v>32</v>
      </c>
      <c r="E718" t="s">
        <v>87</v>
      </c>
      <c r="F718" t="s">
        <v>90</v>
      </c>
      <c r="G718">
        <v>15.5</v>
      </c>
      <c r="H718" t="s">
        <v>72</v>
      </c>
      <c r="I718">
        <v>1</v>
      </c>
      <c r="J718" t="s">
        <v>87</v>
      </c>
    </row>
    <row r="719" spans="1:10" x14ac:dyDescent="0.35">
      <c r="A719" s="4">
        <v>45806</v>
      </c>
      <c r="B719" t="s">
        <v>131</v>
      </c>
      <c r="C719">
        <v>78</v>
      </c>
      <c r="D719" t="s">
        <v>32</v>
      </c>
      <c r="E719" t="s">
        <v>87</v>
      </c>
      <c r="F719" t="s">
        <v>89</v>
      </c>
      <c r="G719">
        <v>18.7</v>
      </c>
      <c r="H719" t="s">
        <v>72</v>
      </c>
      <c r="I719">
        <v>1</v>
      </c>
      <c r="J719" t="s">
        <v>87</v>
      </c>
    </row>
    <row r="720" spans="1:10" x14ac:dyDescent="0.35">
      <c r="A720" s="4">
        <v>45806</v>
      </c>
      <c r="B720" t="s">
        <v>131</v>
      </c>
      <c r="C720">
        <v>78</v>
      </c>
      <c r="D720" t="s">
        <v>32</v>
      </c>
      <c r="E720" t="s">
        <v>87</v>
      </c>
      <c r="F720" t="s">
        <v>93</v>
      </c>
      <c r="G720">
        <v>20.7</v>
      </c>
      <c r="H720" t="s">
        <v>72</v>
      </c>
      <c r="I720">
        <v>1</v>
      </c>
      <c r="J720" t="s">
        <v>87</v>
      </c>
    </row>
    <row r="721" spans="1:10" x14ac:dyDescent="0.35">
      <c r="A721" s="4">
        <v>45806</v>
      </c>
      <c r="B721" t="s">
        <v>131</v>
      </c>
      <c r="C721">
        <v>78</v>
      </c>
      <c r="D721" t="s">
        <v>32</v>
      </c>
      <c r="E721" t="s">
        <v>87</v>
      </c>
      <c r="F721" t="s">
        <v>149</v>
      </c>
      <c r="G721">
        <v>22.7</v>
      </c>
      <c r="H721" t="s">
        <v>72</v>
      </c>
      <c r="I721">
        <v>1</v>
      </c>
      <c r="J721" t="s">
        <v>87</v>
      </c>
    </row>
    <row r="722" spans="1:10" x14ac:dyDescent="0.35">
      <c r="A722" s="4">
        <v>45806</v>
      </c>
      <c r="B722" t="s">
        <v>131</v>
      </c>
      <c r="C722">
        <v>78</v>
      </c>
      <c r="D722" t="s">
        <v>32</v>
      </c>
      <c r="E722" t="s">
        <v>87</v>
      </c>
      <c r="F722" t="s">
        <v>93</v>
      </c>
      <c r="G722">
        <v>14.4</v>
      </c>
      <c r="H722" t="s">
        <v>72</v>
      </c>
      <c r="I722">
        <v>1</v>
      </c>
      <c r="J722" t="s">
        <v>87</v>
      </c>
    </row>
    <row r="723" spans="1:10" x14ac:dyDescent="0.35">
      <c r="A723" s="4">
        <v>45806</v>
      </c>
      <c r="B723" t="s">
        <v>131</v>
      </c>
      <c r="C723">
        <v>78</v>
      </c>
      <c r="D723" t="s">
        <v>32</v>
      </c>
      <c r="E723" t="s">
        <v>87</v>
      </c>
      <c r="F723" t="s">
        <v>90</v>
      </c>
      <c r="G723">
        <v>32.799999999999997</v>
      </c>
      <c r="H723" t="s">
        <v>74</v>
      </c>
      <c r="I723">
        <v>1</v>
      </c>
      <c r="J723" t="s">
        <v>87</v>
      </c>
    </row>
    <row r="724" spans="1:10" x14ac:dyDescent="0.35">
      <c r="A724" s="4">
        <v>45806</v>
      </c>
      <c r="B724" t="s">
        <v>131</v>
      </c>
      <c r="C724">
        <v>78</v>
      </c>
      <c r="D724" t="s">
        <v>32</v>
      </c>
      <c r="E724" t="s">
        <v>87</v>
      </c>
      <c r="F724" t="s">
        <v>93</v>
      </c>
      <c r="G724">
        <v>53.5</v>
      </c>
      <c r="H724" t="s">
        <v>72</v>
      </c>
      <c r="I724">
        <v>1</v>
      </c>
      <c r="J724" t="s">
        <v>87</v>
      </c>
    </row>
    <row r="725" spans="1:10" x14ac:dyDescent="0.35">
      <c r="A725" s="4">
        <v>45806</v>
      </c>
      <c r="B725" t="s">
        <v>131</v>
      </c>
      <c r="C725">
        <v>78</v>
      </c>
      <c r="D725" t="s">
        <v>32</v>
      </c>
      <c r="E725" t="s">
        <v>87</v>
      </c>
      <c r="F725" t="s">
        <v>89</v>
      </c>
      <c r="G725">
        <f>15.1+31</f>
        <v>46.1</v>
      </c>
      <c r="H725" t="s">
        <v>72</v>
      </c>
      <c r="I725">
        <v>2</v>
      </c>
      <c r="J725" t="s">
        <v>70</v>
      </c>
    </row>
    <row r="726" spans="1:10" x14ac:dyDescent="0.35">
      <c r="A726" s="4">
        <v>45806</v>
      </c>
      <c r="B726" t="s">
        <v>131</v>
      </c>
      <c r="C726">
        <v>78</v>
      </c>
      <c r="D726" t="s">
        <v>34</v>
      </c>
      <c r="E726" t="s">
        <v>87</v>
      </c>
      <c r="F726" t="s">
        <v>93</v>
      </c>
      <c r="G726">
        <v>23.6</v>
      </c>
      <c r="H726" t="s">
        <v>72</v>
      </c>
      <c r="I726">
        <v>1</v>
      </c>
      <c r="J726" t="s">
        <v>87</v>
      </c>
    </row>
    <row r="727" spans="1:10" x14ac:dyDescent="0.35">
      <c r="A727" s="4">
        <v>45806</v>
      </c>
      <c r="B727" t="s">
        <v>131</v>
      </c>
      <c r="C727">
        <v>78</v>
      </c>
      <c r="D727" t="s">
        <v>34</v>
      </c>
      <c r="E727" t="s">
        <v>87</v>
      </c>
      <c r="F727" t="s">
        <v>93</v>
      </c>
      <c r="G727">
        <v>24.5</v>
      </c>
      <c r="H727" t="s">
        <v>72</v>
      </c>
      <c r="I727">
        <v>1</v>
      </c>
      <c r="J727" t="s">
        <v>87</v>
      </c>
    </row>
    <row r="728" spans="1:10" x14ac:dyDescent="0.35">
      <c r="A728" s="4">
        <v>45806</v>
      </c>
      <c r="B728" t="s">
        <v>131</v>
      </c>
      <c r="C728">
        <v>78</v>
      </c>
      <c r="D728" t="s">
        <v>34</v>
      </c>
      <c r="E728" t="s">
        <v>87</v>
      </c>
      <c r="F728" t="s">
        <v>93</v>
      </c>
      <c r="G728">
        <v>46.7</v>
      </c>
      <c r="H728" t="s">
        <v>72</v>
      </c>
      <c r="I728">
        <v>1</v>
      </c>
      <c r="J728" t="s">
        <v>70</v>
      </c>
    </row>
    <row r="729" spans="1:10" x14ac:dyDescent="0.35">
      <c r="A729" s="4">
        <v>45806</v>
      </c>
      <c r="B729" t="s">
        <v>131</v>
      </c>
      <c r="C729">
        <v>78</v>
      </c>
      <c r="D729" t="s">
        <v>34</v>
      </c>
      <c r="E729" t="s">
        <v>87</v>
      </c>
      <c r="F729" t="s">
        <v>93</v>
      </c>
      <c r="G729">
        <v>29.8</v>
      </c>
      <c r="H729" t="s">
        <v>72</v>
      </c>
      <c r="I729">
        <v>1</v>
      </c>
      <c r="J729" t="s">
        <v>87</v>
      </c>
    </row>
    <row r="730" spans="1:10" x14ac:dyDescent="0.35">
      <c r="A730" s="4">
        <v>45806</v>
      </c>
      <c r="B730" t="s">
        <v>131</v>
      </c>
      <c r="C730">
        <v>78</v>
      </c>
      <c r="D730" t="s">
        <v>34</v>
      </c>
      <c r="E730" t="s">
        <v>87</v>
      </c>
      <c r="F730" t="s">
        <v>93</v>
      </c>
      <c r="G730">
        <v>20.3</v>
      </c>
      <c r="H730" t="s">
        <v>72</v>
      </c>
      <c r="I730">
        <v>1</v>
      </c>
      <c r="J730" t="s">
        <v>87</v>
      </c>
    </row>
    <row r="731" spans="1:10" x14ac:dyDescent="0.35">
      <c r="A731" s="4">
        <v>45806</v>
      </c>
      <c r="B731" t="s">
        <v>131</v>
      </c>
      <c r="C731">
        <v>78</v>
      </c>
      <c r="D731" t="s">
        <v>34</v>
      </c>
      <c r="E731" t="s">
        <v>87</v>
      </c>
      <c r="F731" t="s">
        <v>77</v>
      </c>
      <c r="G731">
        <v>13</v>
      </c>
      <c r="H731" t="s">
        <v>72</v>
      </c>
      <c r="I731">
        <v>1</v>
      </c>
      <c r="J731" t="s">
        <v>87</v>
      </c>
    </row>
    <row r="732" spans="1:10" x14ac:dyDescent="0.35">
      <c r="A732" s="4">
        <v>45806</v>
      </c>
      <c r="B732" t="s">
        <v>131</v>
      </c>
      <c r="C732">
        <v>78</v>
      </c>
      <c r="D732" t="s">
        <v>34</v>
      </c>
      <c r="E732" t="s">
        <v>87</v>
      </c>
      <c r="F732" t="s">
        <v>93</v>
      </c>
      <c r="G732">
        <v>31.2</v>
      </c>
      <c r="H732" t="s">
        <v>72</v>
      </c>
      <c r="I732">
        <v>1</v>
      </c>
      <c r="J732" t="s">
        <v>87</v>
      </c>
    </row>
    <row r="733" spans="1:10" x14ac:dyDescent="0.35">
      <c r="A733" s="4">
        <v>45806</v>
      </c>
      <c r="B733" t="s">
        <v>131</v>
      </c>
      <c r="C733">
        <v>78</v>
      </c>
      <c r="D733" t="s">
        <v>34</v>
      </c>
      <c r="E733" t="s">
        <v>87</v>
      </c>
      <c r="F733" t="s">
        <v>88</v>
      </c>
      <c r="G733">
        <f>7.2+2.9+5.8+5.5+2.5+1.4</f>
        <v>25.299999999999997</v>
      </c>
      <c r="H733" t="s">
        <v>72</v>
      </c>
      <c r="I733">
        <v>6</v>
      </c>
      <c r="J733" t="s">
        <v>87</v>
      </c>
    </row>
    <row r="734" spans="1:10" x14ac:dyDescent="0.35">
      <c r="A734" s="4">
        <v>45806</v>
      </c>
      <c r="B734" t="s">
        <v>131</v>
      </c>
      <c r="C734">
        <v>78</v>
      </c>
      <c r="D734" t="s">
        <v>36</v>
      </c>
      <c r="E734" t="s">
        <v>87</v>
      </c>
      <c r="F734" t="s">
        <v>89</v>
      </c>
      <c r="G734">
        <v>48.2</v>
      </c>
      <c r="H734" t="s">
        <v>72</v>
      </c>
      <c r="I734">
        <v>1</v>
      </c>
      <c r="J734" t="s">
        <v>87</v>
      </c>
    </row>
    <row r="735" spans="1:10" x14ac:dyDescent="0.35">
      <c r="A735" s="4">
        <v>45806</v>
      </c>
      <c r="B735" t="s">
        <v>131</v>
      </c>
      <c r="C735">
        <v>78</v>
      </c>
      <c r="D735" t="s">
        <v>36</v>
      </c>
      <c r="E735" t="s">
        <v>87</v>
      </c>
      <c r="F735" t="s">
        <v>90</v>
      </c>
      <c r="G735">
        <v>22.1</v>
      </c>
      <c r="H735" t="s">
        <v>74</v>
      </c>
      <c r="I735">
        <v>1</v>
      </c>
      <c r="J735" t="s">
        <v>87</v>
      </c>
    </row>
    <row r="736" spans="1:10" x14ac:dyDescent="0.35">
      <c r="A736" s="4">
        <v>45806</v>
      </c>
      <c r="B736" t="s">
        <v>131</v>
      </c>
      <c r="C736">
        <v>78</v>
      </c>
      <c r="D736" t="s">
        <v>36</v>
      </c>
      <c r="E736" t="s">
        <v>87</v>
      </c>
      <c r="F736" t="s">
        <v>93</v>
      </c>
      <c r="G736">
        <v>15.9</v>
      </c>
      <c r="H736" t="s">
        <v>72</v>
      </c>
      <c r="I736">
        <v>1</v>
      </c>
      <c r="J736" t="s">
        <v>87</v>
      </c>
    </row>
    <row r="737" spans="1:10" x14ac:dyDescent="0.35">
      <c r="A737" s="4">
        <v>45806</v>
      </c>
      <c r="B737" t="s">
        <v>131</v>
      </c>
      <c r="C737">
        <v>78</v>
      </c>
      <c r="D737" t="s">
        <v>36</v>
      </c>
      <c r="E737" t="s">
        <v>87</v>
      </c>
      <c r="F737" t="s">
        <v>89</v>
      </c>
      <c r="G737">
        <f>25+17.8</f>
        <v>42.8</v>
      </c>
      <c r="H737" t="s">
        <v>72</v>
      </c>
      <c r="I737">
        <v>2</v>
      </c>
      <c r="J737" t="s">
        <v>87</v>
      </c>
    </row>
    <row r="738" spans="1:10" x14ac:dyDescent="0.35">
      <c r="A738" s="4">
        <v>45806</v>
      </c>
      <c r="B738" t="s">
        <v>131</v>
      </c>
      <c r="C738">
        <v>78</v>
      </c>
      <c r="D738" t="s">
        <v>36</v>
      </c>
      <c r="E738" t="s">
        <v>87</v>
      </c>
      <c r="F738" t="s">
        <v>90</v>
      </c>
      <c r="G738">
        <v>13.5</v>
      </c>
      <c r="H738" t="s">
        <v>74</v>
      </c>
      <c r="I738">
        <v>1</v>
      </c>
      <c r="J738" t="s">
        <v>87</v>
      </c>
    </row>
    <row r="739" spans="1:10" x14ac:dyDescent="0.35">
      <c r="A739" s="4">
        <v>45806</v>
      </c>
      <c r="B739" t="s">
        <v>131</v>
      </c>
      <c r="C739">
        <v>78</v>
      </c>
      <c r="D739" t="s">
        <v>36</v>
      </c>
      <c r="E739" t="s">
        <v>87</v>
      </c>
      <c r="F739" t="s">
        <v>88</v>
      </c>
      <c r="G739">
        <f>7.6+8</f>
        <v>15.6</v>
      </c>
      <c r="H739" t="s">
        <v>72</v>
      </c>
      <c r="I739">
        <v>2</v>
      </c>
      <c r="J739" t="s">
        <v>87</v>
      </c>
    </row>
    <row r="740" spans="1:10" x14ac:dyDescent="0.35">
      <c r="A740" s="4">
        <v>45806</v>
      </c>
      <c r="B740" t="s">
        <v>131</v>
      </c>
      <c r="C740">
        <v>78</v>
      </c>
      <c r="D740" t="s">
        <v>36</v>
      </c>
      <c r="E740" t="s">
        <v>87</v>
      </c>
      <c r="F740" t="s">
        <v>93</v>
      </c>
      <c r="G740">
        <v>49.5</v>
      </c>
      <c r="H740" t="s">
        <v>72</v>
      </c>
      <c r="I740">
        <v>1</v>
      </c>
      <c r="J740" t="s">
        <v>87</v>
      </c>
    </row>
    <row r="741" spans="1:10" x14ac:dyDescent="0.35">
      <c r="A741" s="4">
        <v>45806</v>
      </c>
      <c r="B741" t="s">
        <v>131</v>
      </c>
      <c r="C741">
        <v>78</v>
      </c>
      <c r="D741" t="s">
        <v>36</v>
      </c>
      <c r="E741" t="s">
        <v>87</v>
      </c>
      <c r="F741" t="s">
        <v>93</v>
      </c>
      <c r="G741">
        <f>48.6+12.6</f>
        <v>61.2</v>
      </c>
      <c r="H741" t="s">
        <v>72</v>
      </c>
      <c r="I741">
        <v>2</v>
      </c>
      <c r="J741" t="s">
        <v>87</v>
      </c>
    </row>
    <row r="742" spans="1:10" x14ac:dyDescent="0.35">
      <c r="A742" s="4">
        <v>45806</v>
      </c>
      <c r="B742" t="s">
        <v>131</v>
      </c>
      <c r="C742">
        <v>78</v>
      </c>
      <c r="D742" t="s">
        <v>37</v>
      </c>
      <c r="E742" t="s">
        <v>87</v>
      </c>
      <c r="F742" t="s">
        <v>93</v>
      </c>
      <c r="G742">
        <f>20.1+5.2</f>
        <v>25.3</v>
      </c>
      <c r="H742" t="s">
        <v>72</v>
      </c>
      <c r="I742">
        <v>2</v>
      </c>
      <c r="J742" t="s">
        <v>87</v>
      </c>
    </row>
    <row r="743" spans="1:10" x14ac:dyDescent="0.35">
      <c r="A743" s="4">
        <v>45806</v>
      </c>
      <c r="B743" t="s">
        <v>131</v>
      </c>
      <c r="C743">
        <v>78</v>
      </c>
      <c r="D743" t="s">
        <v>37</v>
      </c>
      <c r="E743" t="s">
        <v>87</v>
      </c>
      <c r="F743" t="s">
        <v>90</v>
      </c>
      <c r="G743">
        <v>49.7</v>
      </c>
      <c r="H743" t="s">
        <v>74</v>
      </c>
      <c r="I743">
        <v>1</v>
      </c>
      <c r="J743" t="s">
        <v>87</v>
      </c>
    </row>
    <row r="744" spans="1:10" x14ac:dyDescent="0.35">
      <c r="A744" s="4">
        <v>45806</v>
      </c>
      <c r="B744" t="s">
        <v>131</v>
      </c>
      <c r="C744">
        <v>78</v>
      </c>
      <c r="D744" t="s">
        <v>37</v>
      </c>
      <c r="E744" t="s">
        <v>87</v>
      </c>
      <c r="F744" t="s">
        <v>93</v>
      </c>
      <c r="G744">
        <f>21.1+74.5</f>
        <v>95.6</v>
      </c>
      <c r="H744" t="s">
        <v>72</v>
      </c>
      <c r="I744">
        <v>2</v>
      </c>
      <c r="J744" t="s">
        <v>87</v>
      </c>
    </row>
    <row r="745" spans="1:10" x14ac:dyDescent="0.35">
      <c r="A745" s="4">
        <v>45806</v>
      </c>
      <c r="B745" t="s">
        <v>131</v>
      </c>
      <c r="C745">
        <v>78</v>
      </c>
      <c r="D745" t="s">
        <v>37</v>
      </c>
      <c r="E745" t="s">
        <v>87</v>
      </c>
      <c r="F745" t="s">
        <v>77</v>
      </c>
      <c r="G745">
        <v>14.6</v>
      </c>
      <c r="H745" t="s">
        <v>72</v>
      </c>
      <c r="I745">
        <v>1</v>
      </c>
      <c r="J745" t="s">
        <v>87</v>
      </c>
    </row>
    <row r="746" spans="1:10" x14ac:dyDescent="0.35">
      <c r="A746" s="4">
        <v>45806</v>
      </c>
      <c r="B746" t="s">
        <v>131</v>
      </c>
      <c r="C746">
        <v>78</v>
      </c>
      <c r="D746" t="s">
        <v>37</v>
      </c>
      <c r="E746" t="s">
        <v>87</v>
      </c>
      <c r="F746" t="s">
        <v>93</v>
      </c>
      <c r="G746">
        <f>25+46.6</f>
        <v>71.599999999999994</v>
      </c>
      <c r="H746" t="s">
        <v>72</v>
      </c>
      <c r="I746">
        <v>2</v>
      </c>
      <c r="J746" t="s">
        <v>87</v>
      </c>
    </row>
    <row r="747" spans="1:10" s="6" customFormat="1" x14ac:dyDescent="0.35">
      <c r="A747" s="5">
        <v>45805</v>
      </c>
      <c r="B747" s="6" t="s">
        <v>131</v>
      </c>
      <c r="C747" s="6">
        <v>103</v>
      </c>
      <c r="D747" s="6" t="s">
        <v>32</v>
      </c>
      <c r="E747" s="6" t="s">
        <v>70</v>
      </c>
      <c r="F747" s="6" t="s">
        <v>93</v>
      </c>
      <c r="G747" s="6">
        <v>11.9</v>
      </c>
      <c r="H747" s="6" t="s">
        <v>72</v>
      </c>
      <c r="I747" s="6">
        <v>1</v>
      </c>
      <c r="J747" s="6" t="s">
        <v>87</v>
      </c>
    </row>
    <row r="748" spans="1:10" x14ac:dyDescent="0.35">
      <c r="A748" s="4">
        <v>45805</v>
      </c>
      <c r="B748" t="s">
        <v>131</v>
      </c>
      <c r="C748">
        <v>103</v>
      </c>
      <c r="D748" t="s">
        <v>32</v>
      </c>
      <c r="E748" t="s">
        <v>70</v>
      </c>
      <c r="F748" t="s">
        <v>93</v>
      </c>
      <c r="G748">
        <v>23.7</v>
      </c>
      <c r="H748" t="s">
        <v>72</v>
      </c>
      <c r="I748">
        <v>1</v>
      </c>
      <c r="J748" t="s">
        <v>87</v>
      </c>
    </row>
    <row r="749" spans="1:10" x14ac:dyDescent="0.35">
      <c r="A749" s="4">
        <v>45805</v>
      </c>
      <c r="B749" t="s">
        <v>131</v>
      </c>
      <c r="C749">
        <v>103</v>
      </c>
      <c r="D749" t="s">
        <v>32</v>
      </c>
      <c r="E749" t="s">
        <v>70</v>
      </c>
      <c r="F749" t="s">
        <v>93</v>
      </c>
      <c r="G749">
        <v>7.1</v>
      </c>
      <c r="H749" t="s">
        <v>72</v>
      </c>
      <c r="I749">
        <v>1</v>
      </c>
      <c r="J749" t="s">
        <v>87</v>
      </c>
    </row>
    <row r="750" spans="1:10" x14ac:dyDescent="0.35">
      <c r="A750" s="4">
        <v>45805</v>
      </c>
      <c r="B750" t="s">
        <v>131</v>
      </c>
      <c r="C750">
        <v>103</v>
      </c>
      <c r="D750" t="s">
        <v>32</v>
      </c>
      <c r="E750" t="s">
        <v>70</v>
      </c>
      <c r="F750" t="s">
        <v>93</v>
      </c>
      <c r="G750">
        <v>7.9</v>
      </c>
      <c r="H750" t="s">
        <v>72</v>
      </c>
      <c r="I750">
        <v>1</v>
      </c>
      <c r="J750" t="s">
        <v>87</v>
      </c>
    </row>
    <row r="751" spans="1:10" x14ac:dyDescent="0.35">
      <c r="A751" s="4">
        <v>45805</v>
      </c>
      <c r="B751" t="s">
        <v>131</v>
      </c>
      <c r="C751">
        <v>103</v>
      </c>
      <c r="D751" t="s">
        <v>34</v>
      </c>
      <c r="E751" t="s">
        <v>70</v>
      </c>
      <c r="F751" t="s">
        <v>77</v>
      </c>
      <c r="G751">
        <v>15.5</v>
      </c>
      <c r="H751" t="s">
        <v>74</v>
      </c>
      <c r="I751">
        <v>1</v>
      </c>
      <c r="J751" t="s">
        <v>87</v>
      </c>
    </row>
    <row r="752" spans="1:10" x14ac:dyDescent="0.35">
      <c r="A752" s="4">
        <v>45805</v>
      </c>
      <c r="B752" t="s">
        <v>131</v>
      </c>
      <c r="C752">
        <v>103</v>
      </c>
      <c r="D752" t="s">
        <v>34</v>
      </c>
      <c r="E752" t="s">
        <v>70</v>
      </c>
      <c r="F752" t="s">
        <v>90</v>
      </c>
      <c r="G752">
        <v>21</v>
      </c>
      <c r="H752" t="s">
        <v>74</v>
      </c>
      <c r="I752">
        <v>1</v>
      </c>
      <c r="J752" t="s">
        <v>87</v>
      </c>
    </row>
    <row r="753" spans="1:10" x14ac:dyDescent="0.35">
      <c r="A753" s="4">
        <v>45805</v>
      </c>
      <c r="B753" t="s">
        <v>131</v>
      </c>
      <c r="C753">
        <v>103</v>
      </c>
      <c r="D753" t="s">
        <v>34</v>
      </c>
      <c r="E753" t="s">
        <v>70</v>
      </c>
      <c r="F753" t="s">
        <v>93</v>
      </c>
      <c r="G753">
        <v>10.5</v>
      </c>
      <c r="H753" t="s">
        <v>72</v>
      </c>
      <c r="I753">
        <v>1</v>
      </c>
      <c r="J753" t="s">
        <v>87</v>
      </c>
    </row>
    <row r="754" spans="1:10" x14ac:dyDescent="0.35">
      <c r="A754" s="4">
        <v>45805</v>
      </c>
      <c r="B754" t="s">
        <v>131</v>
      </c>
      <c r="C754">
        <v>103</v>
      </c>
      <c r="D754" t="s">
        <v>34</v>
      </c>
      <c r="E754" t="s">
        <v>70</v>
      </c>
      <c r="F754" t="s">
        <v>93</v>
      </c>
      <c r="G754">
        <v>5.9</v>
      </c>
      <c r="H754" t="s">
        <v>72</v>
      </c>
      <c r="I754">
        <v>1</v>
      </c>
      <c r="J754" t="s">
        <v>87</v>
      </c>
    </row>
    <row r="755" spans="1:10" x14ac:dyDescent="0.35">
      <c r="A755" s="4">
        <v>45805</v>
      </c>
      <c r="B755" t="s">
        <v>131</v>
      </c>
      <c r="C755">
        <v>103</v>
      </c>
      <c r="D755" t="s">
        <v>37</v>
      </c>
      <c r="E755" t="s">
        <v>87</v>
      </c>
      <c r="F755" t="s">
        <v>77</v>
      </c>
      <c r="G755">
        <v>14.3</v>
      </c>
      <c r="H755" t="s">
        <v>74</v>
      </c>
      <c r="I755">
        <v>1</v>
      </c>
      <c r="J755" t="s">
        <v>87</v>
      </c>
    </row>
    <row r="756" spans="1:10" x14ac:dyDescent="0.35">
      <c r="A756" s="4">
        <v>45805</v>
      </c>
      <c r="B756" t="s">
        <v>131</v>
      </c>
      <c r="C756">
        <v>103</v>
      </c>
      <c r="D756" t="s">
        <v>36</v>
      </c>
      <c r="E756" t="s">
        <v>70</v>
      </c>
      <c r="F756" t="s">
        <v>89</v>
      </c>
      <c r="G756">
        <f>5.6+13.8</f>
        <v>19.399999999999999</v>
      </c>
      <c r="H756" t="s">
        <v>72</v>
      </c>
      <c r="I756">
        <v>2</v>
      </c>
      <c r="J756" t="s">
        <v>70</v>
      </c>
    </row>
    <row r="757" spans="1:10" x14ac:dyDescent="0.35">
      <c r="A757" s="4">
        <v>45805</v>
      </c>
      <c r="B757" t="s">
        <v>131</v>
      </c>
      <c r="C757">
        <v>103</v>
      </c>
      <c r="D757" t="s">
        <v>37</v>
      </c>
      <c r="E757" t="s">
        <v>70</v>
      </c>
      <c r="F757" t="s">
        <v>93</v>
      </c>
      <c r="G757">
        <v>24.5</v>
      </c>
      <c r="H757" t="s">
        <v>72</v>
      </c>
      <c r="I757">
        <v>1</v>
      </c>
      <c r="J757" t="s">
        <v>87</v>
      </c>
    </row>
    <row r="758" spans="1:10" x14ac:dyDescent="0.35">
      <c r="A758" s="4">
        <v>45805</v>
      </c>
      <c r="B758" t="s">
        <v>131</v>
      </c>
      <c r="C758">
        <v>103</v>
      </c>
      <c r="D758" t="s">
        <v>37</v>
      </c>
      <c r="E758" t="s">
        <v>70</v>
      </c>
      <c r="F758" t="s">
        <v>138</v>
      </c>
      <c r="G758">
        <v>8.3000000000000007</v>
      </c>
      <c r="H758" t="s">
        <v>72</v>
      </c>
      <c r="I758">
        <v>1</v>
      </c>
      <c r="J758" t="s">
        <v>87</v>
      </c>
    </row>
    <row r="759" spans="1:10" x14ac:dyDescent="0.35">
      <c r="A759" s="4">
        <v>45805</v>
      </c>
      <c r="B759" t="s">
        <v>131</v>
      </c>
      <c r="C759">
        <v>103</v>
      </c>
      <c r="D759" t="s">
        <v>32</v>
      </c>
      <c r="E759" t="s">
        <v>87</v>
      </c>
      <c r="F759" t="s">
        <v>93</v>
      </c>
      <c r="G759">
        <v>31.2</v>
      </c>
      <c r="H759" t="s">
        <v>72</v>
      </c>
      <c r="I759">
        <v>1</v>
      </c>
      <c r="J759" t="s">
        <v>87</v>
      </c>
    </row>
    <row r="760" spans="1:10" x14ac:dyDescent="0.35">
      <c r="A760" s="4">
        <v>45805</v>
      </c>
      <c r="B760" t="s">
        <v>131</v>
      </c>
      <c r="C760">
        <v>103</v>
      </c>
      <c r="D760" t="s">
        <v>32</v>
      </c>
      <c r="E760" t="s">
        <v>87</v>
      </c>
      <c r="F760" t="s">
        <v>90</v>
      </c>
      <c r="G760">
        <v>20.5</v>
      </c>
      <c r="H760" t="s">
        <v>74</v>
      </c>
      <c r="I760">
        <v>1</v>
      </c>
      <c r="J760" t="s">
        <v>87</v>
      </c>
    </row>
    <row r="761" spans="1:10" x14ac:dyDescent="0.35">
      <c r="A761" s="4">
        <v>45805</v>
      </c>
      <c r="B761" t="s">
        <v>131</v>
      </c>
      <c r="C761">
        <v>103</v>
      </c>
      <c r="D761" t="s">
        <v>32</v>
      </c>
      <c r="E761" t="s">
        <v>87</v>
      </c>
      <c r="F761" t="s">
        <v>93</v>
      </c>
      <c r="G761">
        <f>19.1+22.6+26.8+33</f>
        <v>101.5</v>
      </c>
      <c r="H761" t="s">
        <v>72</v>
      </c>
      <c r="I761">
        <v>4</v>
      </c>
      <c r="J761" t="s">
        <v>87</v>
      </c>
    </row>
    <row r="762" spans="1:10" x14ac:dyDescent="0.35">
      <c r="A762" s="4">
        <v>45805</v>
      </c>
      <c r="B762" t="s">
        <v>131</v>
      </c>
      <c r="C762">
        <v>103</v>
      </c>
      <c r="D762" t="s">
        <v>32</v>
      </c>
      <c r="E762" t="s">
        <v>87</v>
      </c>
      <c r="F762" t="s">
        <v>77</v>
      </c>
      <c r="G762">
        <v>14.3</v>
      </c>
      <c r="H762" t="s">
        <v>72</v>
      </c>
      <c r="I762">
        <v>1</v>
      </c>
      <c r="J762" t="s">
        <v>87</v>
      </c>
    </row>
    <row r="763" spans="1:10" x14ac:dyDescent="0.35">
      <c r="A763" s="4">
        <v>45805</v>
      </c>
      <c r="B763" t="s">
        <v>131</v>
      </c>
      <c r="C763">
        <v>103</v>
      </c>
      <c r="D763" t="s">
        <v>34</v>
      </c>
      <c r="E763" t="s">
        <v>87</v>
      </c>
      <c r="F763" t="s">
        <v>93</v>
      </c>
      <c r="G763">
        <v>16</v>
      </c>
      <c r="H763" t="s">
        <v>72</v>
      </c>
      <c r="I763">
        <v>1</v>
      </c>
      <c r="J763" t="s">
        <v>87</v>
      </c>
    </row>
    <row r="764" spans="1:10" x14ac:dyDescent="0.35">
      <c r="A764" s="4">
        <v>45805</v>
      </c>
      <c r="B764" t="s">
        <v>131</v>
      </c>
      <c r="C764">
        <v>103</v>
      </c>
      <c r="D764" t="s">
        <v>34</v>
      </c>
      <c r="E764" t="s">
        <v>87</v>
      </c>
      <c r="F764" t="s">
        <v>77</v>
      </c>
      <c r="G764">
        <v>13.1</v>
      </c>
      <c r="H764" t="s">
        <v>72</v>
      </c>
      <c r="I764">
        <v>1</v>
      </c>
      <c r="J764" t="s">
        <v>87</v>
      </c>
    </row>
    <row r="765" spans="1:10" x14ac:dyDescent="0.35">
      <c r="A765" s="4">
        <v>45805</v>
      </c>
      <c r="B765" t="s">
        <v>131</v>
      </c>
      <c r="C765">
        <v>103</v>
      </c>
      <c r="D765" t="s">
        <v>36</v>
      </c>
      <c r="E765" t="s">
        <v>87</v>
      </c>
      <c r="F765" t="s">
        <v>93</v>
      </c>
      <c r="G765">
        <f>9.9+7.5+5.5+7.6</f>
        <v>30.5</v>
      </c>
      <c r="H765" t="s">
        <v>72</v>
      </c>
      <c r="I765">
        <v>4</v>
      </c>
      <c r="J765" t="s">
        <v>87</v>
      </c>
    </row>
    <row r="766" spans="1:10" x14ac:dyDescent="0.35">
      <c r="A766" s="4">
        <v>45805</v>
      </c>
      <c r="B766" t="s">
        <v>131</v>
      </c>
      <c r="C766">
        <v>103</v>
      </c>
      <c r="D766" t="s">
        <v>36</v>
      </c>
      <c r="E766" t="s">
        <v>87</v>
      </c>
      <c r="F766" t="s">
        <v>93</v>
      </c>
      <c r="G766">
        <v>18.2</v>
      </c>
      <c r="H766" t="s">
        <v>72</v>
      </c>
      <c r="I766">
        <v>1</v>
      </c>
      <c r="J766" t="s">
        <v>87</v>
      </c>
    </row>
    <row r="767" spans="1:10" x14ac:dyDescent="0.35">
      <c r="A767" s="4">
        <v>45805</v>
      </c>
      <c r="B767" t="s">
        <v>131</v>
      </c>
      <c r="C767">
        <v>103</v>
      </c>
      <c r="D767" t="s">
        <v>36</v>
      </c>
      <c r="E767" t="s">
        <v>87</v>
      </c>
      <c r="F767" t="s">
        <v>93</v>
      </c>
      <c r="G767">
        <f>16+12.2</f>
        <v>28.2</v>
      </c>
      <c r="H767" t="s">
        <v>72</v>
      </c>
      <c r="I767">
        <v>2</v>
      </c>
      <c r="J767" t="s">
        <v>87</v>
      </c>
    </row>
    <row r="768" spans="1:10" x14ac:dyDescent="0.35">
      <c r="A768" s="4">
        <v>45805</v>
      </c>
      <c r="B768" t="s">
        <v>131</v>
      </c>
      <c r="C768">
        <v>103</v>
      </c>
      <c r="D768" t="s">
        <v>36</v>
      </c>
      <c r="E768" t="s">
        <v>87</v>
      </c>
      <c r="F768" t="s">
        <v>77</v>
      </c>
      <c r="G768">
        <v>12.7</v>
      </c>
      <c r="H768" t="s">
        <v>72</v>
      </c>
      <c r="I768">
        <v>1</v>
      </c>
      <c r="J768" t="s">
        <v>87</v>
      </c>
    </row>
    <row r="769" spans="1:10" x14ac:dyDescent="0.35">
      <c r="A769" s="4">
        <v>45805</v>
      </c>
      <c r="B769" t="s">
        <v>131</v>
      </c>
      <c r="C769">
        <v>103</v>
      </c>
      <c r="D769" t="s">
        <v>36</v>
      </c>
      <c r="E769" t="s">
        <v>87</v>
      </c>
      <c r="F769" t="s">
        <v>89</v>
      </c>
      <c r="G769">
        <f>10.2+6.3</f>
        <v>16.5</v>
      </c>
      <c r="H769" t="s">
        <v>72</v>
      </c>
      <c r="I769">
        <v>2</v>
      </c>
      <c r="J769" t="s">
        <v>87</v>
      </c>
    </row>
    <row r="770" spans="1:10" x14ac:dyDescent="0.35">
      <c r="A770" s="4">
        <v>45805</v>
      </c>
      <c r="B770" t="s">
        <v>131</v>
      </c>
      <c r="C770">
        <v>103</v>
      </c>
      <c r="D770" t="s">
        <v>36</v>
      </c>
      <c r="E770" t="s">
        <v>87</v>
      </c>
      <c r="F770" t="s">
        <v>89</v>
      </c>
      <c r="G770">
        <v>24.9</v>
      </c>
      <c r="H770" t="s">
        <v>74</v>
      </c>
      <c r="I770">
        <v>1</v>
      </c>
      <c r="J770" t="s">
        <v>87</v>
      </c>
    </row>
    <row r="771" spans="1:10" x14ac:dyDescent="0.35">
      <c r="A771" s="4">
        <v>45805</v>
      </c>
      <c r="B771" t="s">
        <v>131</v>
      </c>
      <c r="C771">
        <v>103</v>
      </c>
      <c r="D771" t="s">
        <v>36</v>
      </c>
      <c r="E771" t="s">
        <v>87</v>
      </c>
      <c r="F771" t="s">
        <v>93</v>
      </c>
      <c r="G771">
        <v>16.7</v>
      </c>
      <c r="H771" t="s">
        <v>72</v>
      </c>
      <c r="I771">
        <v>1</v>
      </c>
      <c r="J771" t="s">
        <v>87</v>
      </c>
    </row>
    <row r="772" spans="1:10" x14ac:dyDescent="0.35">
      <c r="A772" s="4">
        <v>45805</v>
      </c>
      <c r="B772" t="s">
        <v>131</v>
      </c>
      <c r="C772">
        <v>103</v>
      </c>
      <c r="D772" t="s">
        <v>36</v>
      </c>
      <c r="E772" t="s">
        <v>87</v>
      </c>
      <c r="F772" t="s">
        <v>93</v>
      </c>
      <c r="G772">
        <v>12.8</v>
      </c>
      <c r="H772" t="s">
        <v>72</v>
      </c>
      <c r="I772">
        <v>1</v>
      </c>
      <c r="J772" t="s">
        <v>87</v>
      </c>
    </row>
    <row r="773" spans="1:10" x14ac:dyDescent="0.35">
      <c r="A773" s="4">
        <v>45805</v>
      </c>
      <c r="B773" t="s">
        <v>131</v>
      </c>
      <c r="C773">
        <v>103</v>
      </c>
      <c r="D773" t="s">
        <v>37</v>
      </c>
      <c r="E773" t="s">
        <v>87</v>
      </c>
      <c r="F773" t="s">
        <v>93</v>
      </c>
      <c r="G773">
        <v>22.4</v>
      </c>
      <c r="H773" t="s">
        <v>72</v>
      </c>
      <c r="I773">
        <v>1</v>
      </c>
      <c r="J773" t="s">
        <v>70</v>
      </c>
    </row>
    <row r="774" spans="1:10" x14ac:dyDescent="0.35">
      <c r="A774" s="4">
        <v>45805</v>
      </c>
      <c r="B774" t="s">
        <v>131</v>
      </c>
      <c r="C774">
        <v>103</v>
      </c>
      <c r="D774" t="s">
        <v>37</v>
      </c>
      <c r="E774" t="s">
        <v>87</v>
      </c>
      <c r="F774" t="s">
        <v>77</v>
      </c>
      <c r="G774">
        <v>13</v>
      </c>
      <c r="H774" t="s">
        <v>72</v>
      </c>
      <c r="I774">
        <v>1</v>
      </c>
      <c r="J774" t="s">
        <v>87</v>
      </c>
    </row>
    <row r="775" spans="1:10" x14ac:dyDescent="0.35">
      <c r="A775" s="4">
        <v>45805</v>
      </c>
      <c r="B775" t="s">
        <v>131</v>
      </c>
      <c r="C775">
        <v>103</v>
      </c>
      <c r="D775" t="s">
        <v>37</v>
      </c>
      <c r="E775" t="s">
        <v>87</v>
      </c>
      <c r="F775" t="s">
        <v>77</v>
      </c>
      <c r="G775">
        <v>14.4</v>
      </c>
      <c r="H775" t="s">
        <v>72</v>
      </c>
      <c r="I775">
        <v>1</v>
      </c>
      <c r="J775" t="s">
        <v>87</v>
      </c>
    </row>
    <row r="776" spans="1:10" x14ac:dyDescent="0.35">
      <c r="A776" s="4">
        <v>45805</v>
      </c>
      <c r="B776" t="s">
        <v>131</v>
      </c>
      <c r="C776">
        <v>103</v>
      </c>
      <c r="D776" t="s">
        <v>37</v>
      </c>
      <c r="E776" t="s">
        <v>87</v>
      </c>
      <c r="F776" t="s">
        <v>77</v>
      </c>
      <c r="G776">
        <v>18.7</v>
      </c>
      <c r="H776" t="s">
        <v>72</v>
      </c>
      <c r="I776">
        <v>1</v>
      </c>
      <c r="J776" t="s">
        <v>87</v>
      </c>
    </row>
    <row r="777" spans="1:10" x14ac:dyDescent="0.35">
      <c r="A777" s="4">
        <v>45805</v>
      </c>
      <c r="B777" t="s">
        <v>131</v>
      </c>
      <c r="C777">
        <v>103</v>
      </c>
      <c r="D777" t="s">
        <v>37</v>
      </c>
      <c r="E777" t="s">
        <v>87</v>
      </c>
      <c r="F777" t="s">
        <v>77</v>
      </c>
      <c r="G777">
        <v>13.8</v>
      </c>
      <c r="H777" t="s">
        <v>72</v>
      </c>
      <c r="I777">
        <v>1</v>
      </c>
      <c r="J777" t="s">
        <v>87</v>
      </c>
    </row>
    <row r="778" spans="1:10" x14ac:dyDescent="0.35">
      <c r="A778" s="4">
        <v>45805</v>
      </c>
      <c r="B778" t="s">
        <v>131</v>
      </c>
      <c r="C778">
        <v>103</v>
      </c>
      <c r="D778" t="s">
        <v>37</v>
      </c>
      <c r="E778" t="s">
        <v>87</v>
      </c>
      <c r="F778" t="s">
        <v>77</v>
      </c>
      <c r="G778">
        <v>14.1</v>
      </c>
      <c r="H778" t="s">
        <v>72</v>
      </c>
      <c r="I778">
        <v>1</v>
      </c>
      <c r="J778" t="s">
        <v>87</v>
      </c>
    </row>
    <row r="779" spans="1:10" x14ac:dyDescent="0.35">
      <c r="A779" s="4">
        <v>45805</v>
      </c>
      <c r="B779" t="s">
        <v>131</v>
      </c>
      <c r="C779">
        <v>103</v>
      </c>
      <c r="D779" t="s">
        <v>37</v>
      </c>
      <c r="E779" t="s">
        <v>87</v>
      </c>
      <c r="F779" t="s">
        <v>90</v>
      </c>
      <c r="G779">
        <v>13.7</v>
      </c>
      <c r="H779" t="s">
        <v>74</v>
      </c>
      <c r="I779">
        <v>1</v>
      </c>
      <c r="J779" t="s">
        <v>87</v>
      </c>
    </row>
    <row r="780" spans="1:10" x14ac:dyDescent="0.35">
      <c r="A780" s="4">
        <v>45805</v>
      </c>
      <c r="B780" t="s">
        <v>131</v>
      </c>
      <c r="C780">
        <v>103</v>
      </c>
      <c r="D780" t="s">
        <v>37</v>
      </c>
      <c r="E780" t="s">
        <v>87</v>
      </c>
      <c r="F780" t="s">
        <v>88</v>
      </c>
      <c r="G780">
        <f>7.3+6.7</f>
        <v>14</v>
      </c>
      <c r="H780" t="s">
        <v>72</v>
      </c>
      <c r="I780">
        <v>2</v>
      </c>
      <c r="J780" t="s">
        <v>70</v>
      </c>
    </row>
    <row r="781" spans="1:10" x14ac:dyDescent="0.35">
      <c r="A781" s="4">
        <v>45805</v>
      </c>
      <c r="B781" t="s">
        <v>131</v>
      </c>
      <c r="C781">
        <v>103</v>
      </c>
      <c r="D781" t="s">
        <v>37</v>
      </c>
      <c r="E781" t="s">
        <v>87</v>
      </c>
      <c r="F781" t="s">
        <v>89</v>
      </c>
      <c r="G781">
        <v>36.6</v>
      </c>
      <c r="H781" t="s">
        <v>72</v>
      </c>
      <c r="I781">
        <v>1</v>
      </c>
      <c r="J781" t="s">
        <v>87</v>
      </c>
    </row>
    <row r="782" spans="1:10" x14ac:dyDescent="0.35">
      <c r="A782" s="4">
        <v>45805</v>
      </c>
      <c r="B782" t="s">
        <v>131</v>
      </c>
      <c r="C782">
        <v>103</v>
      </c>
      <c r="D782" t="s">
        <v>37</v>
      </c>
      <c r="E782" t="s">
        <v>87</v>
      </c>
      <c r="F782" t="s">
        <v>88</v>
      </c>
      <c r="G782">
        <f>7.7+7.7</f>
        <v>15.4</v>
      </c>
      <c r="H782" t="s">
        <v>72</v>
      </c>
      <c r="I782">
        <v>2</v>
      </c>
      <c r="J782" t="s">
        <v>87</v>
      </c>
    </row>
    <row r="783" spans="1:10" x14ac:dyDescent="0.35">
      <c r="A783" s="4">
        <v>45805</v>
      </c>
      <c r="B783" t="s">
        <v>131</v>
      </c>
      <c r="C783">
        <v>103</v>
      </c>
      <c r="D783" t="s">
        <v>37</v>
      </c>
      <c r="E783" t="s">
        <v>87</v>
      </c>
      <c r="F783" t="s">
        <v>93</v>
      </c>
      <c r="G783">
        <f>63.6+69</f>
        <v>132.6</v>
      </c>
      <c r="H783" t="s">
        <v>72</v>
      </c>
      <c r="I783">
        <v>2</v>
      </c>
      <c r="J783" t="s">
        <v>87</v>
      </c>
    </row>
    <row r="784" spans="1:10" x14ac:dyDescent="0.35">
      <c r="A784" s="4">
        <v>45805</v>
      </c>
      <c r="B784" t="s">
        <v>131</v>
      </c>
      <c r="C784">
        <v>103</v>
      </c>
      <c r="D784" t="s">
        <v>37</v>
      </c>
      <c r="E784" t="s">
        <v>87</v>
      </c>
      <c r="F784" t="s">
        <v>93</v>
      </c>
      <c r="G784">
        <v>20.9</v>
      </c>
      <c r="H784" t="s">
        <v>72</v>
      </c>
      <c r="I784">
        <v>1</v>
      </c>
      <c r="J784" t="s">
        <v>87</v>
      </c>
    </row>
    <row r="785" spans="1:10" x14ac:dyDescent="0.35">
      <c r="A785" s="4">
        <v>45805</v>
      </c>
      <c r="B785" t="s">
        <v>131</v>
      </c>
      <c r="C785">
        <v>103</v>
      </c>
      <c r="D785" t="s">
        <v>37</v>
      </c>
      <c r="E785" t="s">
        <v>87</v>
      </c>
      <c r="F785" t="s">
        <v>93</v>
      </c>
      <c r="G785">
        <f>18+10.4</f>
        <v>28.4</v>
      </c>
      <c r="H785" t="s">
        <v>72</v>
      </c>
      <c r="I785">
        <v>2</v>
      </c>
      <c r="J785" t="s">
        <v>87</v>
      </c>
    </row>
  </sheetData>
  <phoneticPr fontId="2" type="noConversion"/>
  <conditionalFormatting sqref="E1:E1048576 F149:F249 F389:F446 F448:F785">
    <cfRule type="cellIs" dxfId="4" priority="3" operator="equal">
      <formula>"y"</formula>
    </cfRule>
  </conditionalFormatting>
  <conditionalFormatting sqref="H1:H387 H389:H446 H448:H770">
    <cfRule type="cellIs" dxfId="3" priority="5" operator="equal">
      <formula>"dead"</formula>
    </cfRule>
  </conditionalFormatting>
  <conditionalFormatting sqref="I1:I1048576">
    <cfRule type="colorScale" priority="2">
      <colorScale>
        <cfvo type="min"/>
        <cfvo type="max"/>
        <color theme="4" tint="0.39997558519241921"/>
        <color rgb="FFFFFF00"/>
      </colorScale>
    </cfRule>
  </conditionalFormatting>
  <conditionalFormatting sqref="I193:I196 I250:I387 I1:I191">
    <cfRule type="colorScale" priority="6">
      <colorScale>
        <cfvo type="min"/>
        <cfvo type="max"/>
        <color theme="4" tint="0.59999389629810485"/>
        <color rgb="FFFFEF9C"/>
      </colorScale>
    </cfRule>
  </conditionalFormatting>
  <conditionalFormatting sqref="J1:J1048576">
    <cfRule type="cellIs" dxfId="2" priority="1" operator="equal">
      <formula>"y"</formula>
    </cfRule>
  </conditionalFormatting>
  <conditionalFormatting sqref="J1:K184 J185:J191 J193:J198 J200:J207 J209:J233 J250:K387">
    <cfRule type="cellIs" dxfId="1" priority="4" operator="equal">
      <formula>"y"</formula>
    </cfRule>
    <cfRule type="cellIs" dxfId="0" priority="7" operator="equal">
      <formula>"y"</formula>
    </cfRule>
  </conditionalFormatting>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185814-4398-410D-8BDF-999FB1E9A4E6}">
  <dimension ref="A1:N101"/>
  <sheetViews>
    <sheetView workbookViewId="0">
      <pane ySplit="1" topLeftCell="A89" activePane="bottomLeft" state="frozen"/>
      <selection pane="bottomLeft" activeCell="N99" sqref="N99"/>
    </sheetView>
  </sheetViews>
  <sheetFormatPr defaultRowHeight="14.5" x14ac:dyDescent="0.35"/>
  <sheetData>
    <row r="1" spans="1:14" ht="72.5" x14ac:dyDescent="0.35">
      <c r="A1" s="1" t="s">
        <v>6</v>
      </c>
      <c r="B1" s="1" t="s">
        <v>101</v>
      </c>
      <c r="C1" s="1" t="s">
        <v>102</v>
      </c>
      <c r="D1" s="1" t="s">
        <v>103</v>
      </c>
      <c r="E1" s="7" t="s">
        <v>104</v>
      </c>
      <c r="F1" s="7" t="s">
        <v>105</v>
      </c>
      <c r="G1" s="7" t="s">
        <v>106</v>
      </c>
      <c r="H1" s="7" t="s">
        <v>107</v>
      </c>
      <c r="I1" s="8" t="s">
        <v>108</v>
      </c>
      <c r="J1" s="8" t="s">
        <v>109</v>
      </c>
      <c r="K1" s="8" t="s">
        <v>110</v>
      </c>
      <c r="L1" s="8" t="s">
        <v>111</v>
      </c>
      <c r="M1" s="9" t="s">
        <v>112</v>
      </c>
      <c r="N1" s="1" t="s">
        <v>113</v>
      </c>
    </row>
    <row r="2" spans="1:14" x14ac:dyDescent="0.35">
      <c r="A2">
        <v>92</v>
      </c>
      <c r="B2" t="s">
        <v>114</v>
      </c>
      <c r="C2">
        <v>0</v>
      </c>
      <c r="D2">
        <v>8</v>
      </c>
      <c r="E2">
        <v>1</v>
      </c>
      <c r="F2">
        <v>0</v>
      </c>
      <c r="G2">
        <v>1</v>
      </c>
      <c r="H2">
        <v>0</v>
      </c>
      <c r="I2">
        <v>0</v>
      </c>
      <c r="J2">
        <v>0</v>
      </c>
      <c r="K2">
        <v>2</v>
      </c>
      <c r="L2">
        <v>1</v>
      </c>
      <c r="M2">
        <v>4.0599999999999996</v>
      </c>
      <c r="N2" t="s">
        <v>115</v>
      </c>
    </row>
    <row r="3" spans="1:14" x14ac:dyDescent="0.35">
      <c r="A3">
        <v>92</v>
      </c>
      <c r="B3" t="s">
        <v>116</v>
      </c>
      <c r="C3">
        <v>0</v>
      </c>
      <c r="D3">
        <v>3.5</v>
      </c>
      <c r="E3">
        <v>1</v>
      </c>
      <c r="F3">
        <v>0</v>
      </c>
      <c r="G3">
        <v>0</v>
      </c>
      <c r="H3">
        <v>0</v>
      </c>
      <c r="I3">
        <v>0</v>
      </c>
      <c r="J3">
        <v>1</v>
      </c>
      <c r="K3">
        <v>0</v>
      </c>
      <c r="L3">
        <v>2</v>
      </c>
      <c r="M3">
        <v>4.0599999999999996</v>
      </c>
    </row>
    <row r="4" spans="1:14" x14ac:dyDescent="0.35">
      <c r="A4">
        <v>92</v>
      </c>
      <c r="B4" t="s">
        <v>117</v>
      </c>
      <c r="C4">
        <v>0</v>
      </c>
      <c r="D4">
        <v>8</v>
      </c>
      <c r="E4">
        <v>0</v>
      </c>
      <c r="F4">
        <v>0</v>
      </c>
      <c r="G4">
        <v>0</v>
      </c>
      <c r="H4">
        <v>0</v>
      </c>
      <c r="I4">
        <v>1</v>
      </c>
      <c r="J4">
        <v>1</v>
      </c>
      <c r="K4">
        <v>0</v>
      </c>
      <c r="L4">
        <v>0</v>
      </c>
      <c r="M4">
        <v>4.0599999999999996</v>
      </c>
    </row>
    <row r="5" spans="1:14" x14ac:dyDescent="0.35">
      <c r="A5">
        <v>92</v>
      </c>
      <c r="B5" t="s">
        <v>118</v>
      </c>
      <c r="C5">
        <v>0</v>
      </c>
      <c r="D5">
        <v>8</v>
      </c>
      <c r="E5">
        <v>2</v>
      </c>
      <c r="F5">
        <v>0</v>
      </c>
      <c r="G5">
        <v>0</v>
      </c>
      <c r="H5">
        <v>0</v>
      </c>
      <c r="I5">
        <v>2</v>
      </c>
      <c r="J5">
        <v>2</v>
      </c>
      <c r="K5">
        <v>1</v>
      </c>
      <c r="L5">
        <v>2</v>
      </c>
      <c r="M5">
        <v>4.0599999999999996</v>
      </c>
    </row>
    <row r="6" spans="1:14" x14ac:dyDescent="0.35">
      <c r="A6">
        <v>93</v>
      </c>
      <c r="B6" t="s">
        <v>114</v>
      </c>
      <c r="C6">
        <v>0</v>
      </c>
      <c r="D6">
        <v>3.5</v>
      </c>
      <c r="E6">
        <v>1</v>
      </c>
      <c r="F6">
        <v>3</v>
      </c>
      <c r="G6">
        <v>0</v>
      </c>
      <c r="H6">
        <v>0</v>
      </c>
      <c r="I6">
        <v>1</v>
      </c>
      <c r="J6">
        <v>0</v>
      </c>
      <c r="K6">
        <v>0</v>
      </c>
      <c r="L6">
        <v>1</v>
      </c>
      <c r="M6">
        <v>4.0599999999999996</v>
      </c>
    </row>
    <row r="7" spans="1:14" x14ac:dyDescent="0.35">
      <c r="A7">
        <v>93</v>
      </c>
      <c r="B7" t="s">
        <v>116</v>
      </c>
      <c r="C7">
        <v>0</v>
      </c>
      <c r="D7">
        <v>3.5</v>
      </c>
      <c r="E7">
        <v>0</v>
      </c>
      <c r="F7">
        <v>0</v>
      </c>
      <c r="G7">
        <v>1</v>
      </c>
      <c r="H7">
        <v>0</v>
      </c>
      <c r="I7">
        <v>1</v>
      </c>
      <c r="J7">
        <v>0</v>
      </c>
      <c r="K7">
        <v>0</v>
      </c>
      <c r="L7">
        <v>0</v>
      </c>
      <c r="M7">
        <v>4.0599999999999996</v>
      </c>
      <c r="N7" t="s">
        <v>119</v>
      </c>
    </row>
    <row r="8" spans="1:14" x14ac:dyDescent="0.35">
      <c r="A8">
        <v>93</v>
      </c>
      <c r="B8" t="s">
        <v>117</v>
      </c>
      <c r="C8">
        <v>0</v>
      </c>
      <c r="D8">
        <v>15.5</v>
      </c>
      <c r="E8">
        <v>0</v>
      </c>
      <c r="F8">
        <v>0</v>
      </c>
      <c r="G8">
        <v>0</v>
      </c>
      <c r="H8">
        <v>0</v>
      </c>
      <c r="I8">
        <v>2</v>
      </c>
      <c r="J8">
        <v>1</v>
      </c>
      <c r="K8">
        <v>0</v>
      </c>
      <c r="L8">
        <v>0</v>
      </c>
      <c r="M8">
        <v>4.0599999999999996</v>
      </c>
    </row>
    <row r="9" spans="1:14" x14ac:dyDescent="0.35">
      <c r="A9">
        <v>93</v>
      </c>
      <c r="B9" t="s">
        <v>118</v>
      </c>
      <c r="C9">
        <v>0</v>
      </c>
      <c r="D9">
        <v>3.5</v>
      </c>
      <c r="E9">
        <v>0</v>
      </c>
      <c r="F9">
        <v>0</v>
      </c>
      <c r="G9">
        <v>0</v>
      </c>
      <c r="H9">
        <v>0</v>
      </c>
      <c r="I9">
        <v>1</v>
      </c>
      <c r="J9">
        <v>0</v>
      </c>
      <c r="K9">
        <v>0</v>
      </c>
      <c r="L9">
        <v>0</v>
      </c>
      <c r="M9">
        <v>4.0599999999999996</v>
      </c>
      <c r="N9" t="s">
        <v>120</v>
      </c>
    </row>
    <row r="10" spans="1:14" x14ac:dyDescent="0.35">
      <c r="A10">
        <v>4</v>
      </c>
      <c r="B10" t="s">
        <v>114</v>
      </c>
      <c r="C10">
        <v>0</v>
      </c>
      <c r="D10">
        <v>8</v>
      </c>
      <c r="E10">
        <v>0</v>
      </c>
      <c r="F10">
        <v>0</v>
      </c>
      <c r="G10">
        <v>0</v>
      </c>
      <c r="H10">
        <v>0</v>
      </c>
      <c r="I10">
        <v>3</v>
      </c>
      <c r="J10">
        <v>0</v>
      </c>
      <c r="K10">
        <v>1</v>
      </c>
      <c r="L10">
        <v>2</v>
      </c>
      <c r="M10">
        <v>4.0599999999999996</v>
      </c>
    </row>
    <row r="11" spans="1:14" x14ac:dyDescent="0.35">
      <c r="A11">
        <v>4</v>
      </c>
      <c r="B11" t="s">
        <v>116</v>
      </c>
      <c r="C11">
        <v>0</v>
      </c>
      <c r="D11">
        <v>1</v>
      </c>
      <c r="E11">
        <v>0</v>
      </c>
      <c r="F11">
        <v>0</v>
      </c>
      <c r="G11">
        <v>0</v>
      </c>
      <c r="H11">
        <v>0</v>
      </c>
      <c r="I11">
        <v>0</v>
      </c>
      <c r="J11">
        <v>0</v>
      </c>
      <c r="K11">
        <v>1</v>
      </c>
      <c r="L11">
        <v>0</v>
      </c>
      <c r="M11">
        <v>4.0599999999999996</v>
      </c>
    </row>
    <row r="12" spans="1:14" x14ac:dyDescent="0.35">
      <c r="A12">
        <v>4</v>
      </c>
      <c r="B12" t="s">
        <v>117</v>
      </c>
      <c r="C12">
        <v>0</v>
      </c>
      <c r="D12">
        <v>1</v>
      </c>
      <c r="E12">
        <v>0</v>
      </c>
      <c r="F12">
        <v>0</v>
      </c>
      <c r="G12">
        <v>0</v>
      </c>
      <c r="H12">
        <v>0</v>
      </c>
      <c r="I12">
        <v>0</v>
      </c>
      <c r="J12">
        <v>1</v>
      </c>
      <c r="K12">
        <v>0</v>
      </c>
      <c r="L12">
        <v>0</v>
      </c>
      <c r="M12">
        <v>4.0599999999999996</v>
      </c>
    </row>
    <row r="13" spans="1:14" x14ac:dyDescent="0.35">
      <c r="A13">
        <v>4</v>
      </c>
      <c r="B13" t="s">
        <v>118</v>
      </c>
      <c r="C13">
        <v>0</v>
      </c>
      <c r="D13">
        <v>3.5</v>
      </c>
      <c r="E13">
        <v>0</v>
      </c>
      <c r="F13">
        <v>0</v>
      </c>
      <c r="G13">
        <v>0</v>
      </c>
      <c r="H13">
        <v>0</v>
      </c>
      <c r="I13">
        <v>0</v>
      </c>
      <c r="J13">
        <v>0</v>
      </c>
      <c r="K13">
        <v>0</v>
      </c>
      <c r="L13">
        <v>1</v>
      </c>
      <c r="M13">
        <v>4.0599999999999996</v>
      </c>
    </row>
    <row r="14" spans="1:14" x14ac:dyDescent="0.35">
      <c r="A14">
        <v>6</v>
      </c>
      <c r="B14" t="s">
        <v>114</v>
      </c>
      <c r="C14">
        <v>0</v>
      </c>
      <c r="D14">
        <v>15.5</v>
      </c>
      <c r="E14">
        <v>0</v>
      </c>
      <c r="F14">
        <v>0</v>
      </c>
      <c r="G14">
        <v>0</v>
      </c>
      <c r="H14">
        <v>0</v>
      </c>
      <c r="I14">
        <v>0</v>
      </c>
      <c r="J14">
        <v>0</v>
      </c>
      <c r="K14">
        <v>3</v>
      </c>
      <c r="L14">
        <v>3</v>
      </c>
      <c r="M14">
        <v>4.0599999999999996</v>
      </c>
    </row>
    <row r="15" spans="1:14" x14ac:dyDescent="0.35">
      <c r="A15">
        <v>6</v>
      </c>
      <c r="B15" t="s">
        <v>116</v>
      </c>
      <c r="C15">
        <v>0</v>
      </c>
      <c r="D15">
        <v>0</v>
      </c>
      <c r="E15">
        <v>0</v>
      </c>
      <c r="F15">
        <v>0</v>
      </c>
      <c r="G15">
        <v>0</v>
      </c>
      <c r="H15">
        <v>0</v>
      </c>
      <c r="I15">
        <v>0</v>
      </c>
      <c r="J15">
        <v>0</v>
      </c>
      <c r="K15">
        <v>0</v>
      </c>
      <c r="L15">
        <v>0</v>
      </c>
      <c r="M15">
        <v>4.0599999999999996</v>
      </c>
    </row>
    <row r="16" spans="1:14" x14ac:dyDescent="0.35">
      <c r="A16">
        <v>6</v>
      </c>
      <c r="B16" t="s">
        <v>117</v>
      </c>
      <c r="C16">
        <v>0</v>
      </c>
      <c r="D16">
        <v>8</v>
      </c>
      <c r="E16">
        <v>0</v>
      </c>
      <c r="F16">
        <v>0</v>
      </c>
      <c r="G16">
        <v>0</v>
      </c>
      <c r="H16">
        <v>0</v>
      </c>
      <c r="I16">
        <v>2</v>
      </c>
      <c r="J16">
        <v>1</v>
      </c>
      <c r="K16">
        <v>0</v>
      </c>
      <c r="L16">
        <v>0</v>
      </c>
      <c r="M16">
        <v>4.0599999999999996</v>
      </c>
      <c r="N16" t="s">
        <v>121</v>
      </c>
    </row>
    <row r="17" spans="1:14" x14ac:dyDescent="0.35">
      <c r="A17">
        <v>6</v>
      </c>
      <c r="B17" t="s">
        <v>118</v>
      </c>
      <c r="C17">
        <v>0</v>
      </c>
      <c r="D17">
        <v>0</v>
      </c>
      <c r="E17">
        <v>0</v>
      </c>
      <c r="F17">
        <v>0</v>
      </c>
      <c r="G17">
        <v>0</v>
      </c>
      <c r="H17">
        <v>0</v>
      </c>
      <c r="I17">
        <v>0</v>
      </c>
      <c r="J17">
        <v>0</v>
      </c>
      <c r="K17">
        <v>0</v>
      </c>
      <c r="L17">
        <v>0</v>
      </c>
      <c r="M17">
        <v>4.0599999999999996</v>
      </c>
      <c r="N17" t="s">
        <v>121</v>
      </c>
    </row>
    <row r="18" spans="1:14" x14ac:dyDescent="0.35">
      <c r="A18">
        <v>94</v>
      </c>
      <c r="B18" t="s">
        <v>114</v>
      </c>
      <c r="C18">
        <v>0</v>
      </c>
      <c r="D18">
        <v>1</v>
      </c>
      <c r="E18">
        <v>0</v>
      </c>
      <c r="F18">
        <v>0</v>
      </c>
      <c r="G18">
        <v>0</v>
      </c>
      <c r="H18">
        <v>1</v>
      </c>
      <c r="I18">
        <v>0</v>
      </c>
      <c r="J18">
        <v>0</v>
      </c>
      <c r="K18">
        <v>0</v>
      </c>
      <c r="L18">
        <v>0</v>
      </c>
      <c r="M18">
        <v>4.0599999999999996</v>
      </c>
    </row>
    <row r="19" spans="1:14" x14ac:dyDescent="0.35">
      <c r="A19">
        <v>94</v>
      </c>
      <c r="B19" t="s">
        <v>116</v>
      </c>
      <c r="C19">
        <v>0</v>
      </c>
      <c r="D19">
        <v>55.5</v>
      </c>
      <c r="E19">
        <v>2</v>
      </c>
      <c r="F19">
        <v>2</v>
      </c>
      <c r="G19">
        <v>6</v>
      </c>
      <c r="H19">
        <v>0</v>
      </c>
      <c r="I19">
        <v>2</v>
      </c>
      <c r="J19">
        <v>1</v>
      </c>
      <c r="K19">
        <v>7</v>
      </c>
      <c r="L19">
        <v>5</v>
      </c>
      <c r="M19">
        <v>4.0599999999999996</v>
      </c>
    </row>
    <row r="20" spans="1:14" x14ac:dyDescent="0.35">
      <c r="A20">
        <v>94</v>
      </c>
      <c r="B20" t="s">
        <v>117</v>
      </c>
      <c r="C20">
        <v>0</v>
      </c>
      <c r="D20">
        <v>25.5</v>
      </c>
      <c r="E20">
        <v>3</v>
      </c>
      <c r="F20">
        <v>0</v>
      </c>
      <c r="G20">
        <v>1</v>
      </c>
      <c r="H20">
        <v>5</v>
      </c>
      <c r="I20">
        <v>2</v>
      </c>
      <c r="J20">
        <v>2</v>
      </c>
      <c r="K20">
        <v>1</v>
      </c>
      <c r="L20">
        <v>4</v>
      </c>
      <c r="M20">
        <v>4.0599999999999996</v>
      </c>
    </row>
    <row r="21" spans="1:14" x14ac:dyDescent="0.35">
      <c r="A21">
        <v>94</v>
      </c>
      <c r="B21" t="s">
        <v>118</v>
      </c>
      <c r="C21">
        <v>0</v>
      </c>
      <c r="D21">
        <v>15.5</v>
      </c>
      <c r="E21">
        <v>0</v>
      </c>
      <c r="F21">
        <v>0</v>
      </c>
      <c r="G21">
        <v>0</v>
      </c>
      <c r="H21">
        <v>2</v>
      </c>
      <c r="I21">
        <v>1</v>
      </c>
      <c r="J21">
        <v>1</v>
      </c>
      <c r="K21">
        <v>4</v>
      </c>
      <c r="L21">
        <v>0</v>
      </c>
      <c r="M21">
        <v>4.0599999999999996</v>
      </c>
    </row>
    <row r="22" spans="1:14" x14ac:dyDescent="0.35">
      <c r="A22">
        <v>95</v>
      </c>
      <c r="B22" t="s">
        <v>114</v>
      </c>
      <c r="C22">
        <v>0</v>
      </c>
      <c r="D22">
        <v>65.5</v>
      </c>
      <c r="E22">
        <v>1</v>
      </c>
      <c r="F22">
        <v>6</v>
      </c>
      <c r="G22">
        <v>10</v>
      </c>
      <c r="H22">
        <v>2</v>
      </c>
      <c r="I22">
        <v>5</v>
      </c>
      <c r="J22">
        <v>1</v>
      </c>
      <c r="K22">
        <v>6</v>
      </c>
      <c r="L22">
        <v>3</v>
      </c>
      <c r="M22">
        <v>4.0599999999999996</v>
      </c>
    </row>
    <row r="23" spans="1:14" x14ac:dyDescent="0.35">
      <c r="A23">
        <v>95</v>
      </c>
      <c r="B23" t="s">
        <v>116</v>
      </c>
      <c r="C23">
        <v>0</v>
      </c>
      <c r="D23">
        <v>8</v>
      </c>
      <c r="E23">
        <v>5</v>
      </c>
      <c r="F23">
        <v>2</v>
      </c>
      <c r="G23">
        <v>0</v>
      </c>
      <c r="H23">
        <v>5</v>
      </c>
      <c r="I23">
        <v>3</v>
      </c>
      <c r="J23">
        <v>0</v>
      </c>
      <c r="K23">
        <v>0</v>
      </c>
      <c r="L23">
        <v>1</v>
      </c>
      <c r="M23">
        <v>4.0599999999999996</v>
      </c>
    </row>
    <row r="24" spans="1:14" x14ac:dyDescent="0.35">
      <c r="A24">
        <v>95</v>
      </c>
      <c r="B24" t="s">
        <v>117</v>
      </c>
      <c r="C24">
        <v>0</v>
      </c>
      <c r="D24">
        <v>15.5</v>
      </c>
      <c r="E24">
        <v>0</v>
      </c>
      <c r="F24">
        <v>0</v>
      </c>
      <c r="G24">
        <v>0</v>
      </c>
      <c r="H24">
        <v>0</v>
      </c>
      <c r="I24">
        <v>1</v>
      </c>
      <c r="J24">
        <v>3</v>
      </c>
      <c r="K24">
        <v>1</v>
      </c>
      <c r="L24">
        <v>2</v>
      </c>
      <c r="M24">
        <v>4.0599999999999996</v>
      </c>
    </row>
    <row r="25" spans="1:14" x14ac:dyDescent="0.35">
      <c r="A25">
        <v>95</v>
      </c>
      <c r="B25" t="s">
        <v>118</v>
      </c>
      <c r="C25">
        <v>0</v>
      </c>
      <c r="D25">
        <v>15.5</v>
      </c>
      <c r="E25">
        <v>2</v>
      </c>
      <c r="F25">
        <v>0</v>
      </c>
      <c r="G25">
        <v>1</v>
      </c>
      <c r="H25">
        <v>0</v>
      </c>
      <c r="I25">
        <v>2</v>
      </c>
      <c r="J25">
        <v>2</v>
      </c>
      <c r="K25">
        <v>3</v>
      </c>
      <c r="L25">
        <v>1</v>
      </c>
      <c r="M25">
        <v>4.0599999999999996</v>
      </c>
    </row>
    <row r="26" spans="1:14" x14ac:dyDescent="0.35">
      <c r="A26" s="6">
        <v>106</v>
      </c>
      <c r="B26" s="6" t="s">
        <v>114</v>
      </c>
      <c r="C26" s="6">
        <v>0</v>
      </c>
      <c r="D26" s="6">
        <v>15.5</v>
      </c>
      <c r="E26" s="6">
        <v>0</v>
      </c>
      <c r="F26" s="6">
        <v>0</v>
      </c>
      <c r="G26" s="6">
        <v>0</v>
      </c>
      <c r="H26" s="6">
        <v>0</v>
      </c>
      <c r="I26" s="6">
        <v>5</v>
      </c>
      <c r="J26" s="6">
        <v>2</v>
      </c>
      <c r="K26" s="6">
        <v>0</v>
      </c>
      <c r="L26" s="6">
        <v>1</v>
      </c>
      <c r="M26" s="6">
        <v>4.0599999999999996</v>
      </c>
      <c r="N26" s="6"/>
    </row>
    <row r="27" spans="1:14" x14ac:dyDescent="0.35">
      <c r="A27">
        <v>106</v>
      </c>
      <c r="B27" t="s">
        <v>116</v>
      </c>
      <c r="C27">
        <v>0</v>
      </c>
      <c r="D27">
        <v>0</v>
      </c>
      <c r="E27">
        <v>0</v>
      </c>
      <c r="F27">
        <v>0</v>
      </c>
      <c r="G27">
        <v>0</v>
      </c>
      <c r="H27">
        <v>0</v>
      </c>
      <c r="I27">
        <v>0</v>
      </c>
      <c r="J27">
        <v>0</v>
      </c>
      <c r="K27">
        <v>0</v>
      </c>
      <c r="L27">
        <v>0</v>
      </c>
      <c r="M27">
        <v>4.0599999999999996</v>
      </c>
    </row>
    <row r="28" spans="1:14" x14ac:dyDescent="0.35">
      <c r="A28">
        <v>106</v>
      </c>
      <c r="B28" t="s">
        <v>117</v>
      </c>
      <c r="C28">
        <v>0</v>
      </c>
      <c r="D28">
        <v>0</v>
      </c>
      <c r="E28">
        <v>0</v>
      </c>
      <c r="F28">
        <v>0</v>
      </c>
      <c r="G28">
        <v>0</v>
      </c>
      <c r="H28">
        <v>0</v>
      </c>
      <c r="I28">
        <v>0</v>
      </c>
      <c r="J28">
        <v>0</v>
      </c>
      <c r="K28">
        <v>0</v>
      </c>
      <c r="L28">
        <v>0</v>
      </c>
      <c r="M28">
        <v>4.0599999999999996</v>
      </c>
    </row>
    <row r="29" spans="1:14" x14ac:dyDescent="0.35">
      <c r="A29">
        <v>106</v>
      </c>
      <c r="B29" t="s">
        <v>118</v>
      </c>
      <c r="C29">
        <v>0</v>
      </c>
      <c r="D29">
        <v>0</v>
      </c>
      <c r="E29">
        <v>0</v>
      </c>
      <c r="F29">
        <v>0</v>
      </c>
      <c r="G29">
        <v>0</v>
      </c>
      <c r="H29">
        <v>0</v>
      </c>
      <c r="I29">
        <v>0</v>
      </c>
      <c r="J29">
        <v>0</v>
      </c>
      <c r="K29">
        <v>0</v>
      </c>
      <c r="L29">
        <v>0</v>
      </c>
      <c r="M29">
        <v>4.0599999999999996</v>
      </c>
    </row>
    <row r="30" spans="1:14" x14ac:dyDescent="0.35">
      <c r="A30">
        <v>107</v>
      </c>
      <c r="B30" t="s">
        <v>114</v>
      </c>
      <c r="C30">
        <v>0</v>
      </c>
      <c r="D30">
        <v>8</v>
      </c>
      <c r="E30">
        <v>0</v>
      </c>
      <c r="F30">
        <v>0</v>
      </c>
      <c r="G30">
        <v>0</v>
      </c>
      <c r="H30">
        <v>0</v>
      </c>
      <c r="I30">
        <v>0</v>
      </c>
      <c r="J30">
        <v>1</v>
      </c>
      <c r="K30">
        <v>1</v>
      </c>
      <c r="L30">
        <v>0</v>
      </c>
      <c r="M30">
        <v>4.0599999999999996</v>
      </c>
    </row>
    <row r="31" spans="1:14" x14ac:dyDescent="0.35">
      <c r="A31">
        <v>107</v>
      </c>
      <c r="B31" t="s">
        <v>116</v>
      </c>
      <c r="C31">
        <v>0</v>
      </c>
      <c r="D31">
        <v>0</v>
      </c>
      <c r="E31">
        <v>0</v>
      </c>
      <c r="F31">
        <v>0</v>
      </c>
      <c r="G31">
        <v>0</v>
      </c>
      <c r="H31">
        <v>0</v>
      </c>
      <c r="I31">
        <v>0</v>
      </c>
      <c r="J31">
        <v>0</v>
      </c>
      <c r="K31">
        <v>0</v>
      </c>
      <c r="L31">
        <v>0</v>
      </c>
      <c r="M31">
        <v>4.0599999999999996</v>
      </c>
    </row>
    <row r="32" spans="1:14" x14ac:dyDescent="0.35">
      <c r="A32">
        <v>107</v>
      </c>
      <c r="B32" t="s">
        <v>117</v>
      </c>
      <c r="C32">
        <v>0</v>
      </c>
      <c r="D32">
        <v>0</v>
      </c>
      <c r="E32">
        <v>0</v>
      </c>
      <c r="F32">
        <v>0</v>
      </c>
      <c r="G32">
        <v>0</v>
      </c>
      <c r="H32">
        <v>0</v>
      </c>
      <c r="I32">
        <v>0</v>
      </c>
      <c r="J32">
        <v>0</v>
      </c>
      <c r="K32">
        <v>0</v>
      </c>
      <c r="L32">
        <v>0</v>
      </c>
      <c r="M32">
        <v>4.0599999999999996</v>
      </c>
    </row>
    <row r="33" spans="1:14" x14ac:dyDescent="0.35">
      <c r="A33">
        <v>107</v>
      </c>
      <c r="B33" t="s">
        <v>118</v>
      </c>
      <c r="C33">
        <v>0</v>
      </c>
      <c r="D33">
        <v>0</v>
      </c>
      <c r="E33">
        <v>0</v>
      </c>
      <c r="F33">
        <v>0</v>
      </c>
      <c r="G33">
        <v>0</v>
      </c>
      <c r="H33">
        <v>0</v>
      </c>
      <c r="I33">
        <v>0</v>
      </c>
      <c r="J33">
        <v>0</v>
      </c>
      <c r="K33">
        <v>0</v>
      </c>
      <c r="L33">
        <v>0</v>
      </c>
      <c r="M33">
        <v>4.0599999999999996</v>
      </c>
    </row>
    <row r="34" spans="1:14" x14ac:dyDescent="0.35">
      <c r="A34">
        <v>1</v>
      </c>
      <c r="B34" t="s">
        <v>114</v>
      </c>
      <c r="C34">
        <v>0</v>
      </c>
      <c r="D34">
        <v>3.5</v>
      </c>
      <c r="E34">
        <v>0</v>
      </c>
      <c r="F34">
        <v>0</v>
      </c>
      <c r="G34">
        <v>1</v>
      </c>
      <c r="H34">
        <v>0</v>
      </c>
      <c r="I34">
        <v>1</v>
      </c>
      <c r="J34">
        <v>0</v>
      </c>
      <c r="K34">
        <v>1</v>
      </c>
      <c r="L34">
        <v>1</v>
      </c>
      <c r="M34">
        <v>4.0599999999999996</v>
      </c>
    </row>
    <row r="35" spans="1:14" x14ac:dyDescent="0.35">
      <c r="A35">
        <v>1</v>
      </c>
      <c r="B35" t="s">
        <v>116</v>
      </c>
      <c r="C35">
        <v>0</v>
      </c>
      <c r="D35">
        <v>8</v>
      </c>
      <c r="E35">
        <v>0</v>
      </c>
      <c r="F35">
        <v>1</v>
      </c>
      <c r="G35">
        <v>1</v>
      </c>
      <c r="H35">
        <v>0</v>
      </c>
      <c r="I35">
        <v>1</v>
      </c>
      <c r="J35">
        <v>2</v>
      </c>
      <c r="K35">
        <v>0</v>
      </c>
      <c r="L35">
        <v>3</v>
      </c>
      <c r="M35">
        <v>4.0599999999999996</v>
      </c>
    </row>
    <row r="36" spans="1:14" x14ac:dyDescent="0.35">
      <c r="A36">
        <v>1</v>
      </c>
      <c r="B36" t="s">
        <v>117</v>
      </c>
      <c r="C36">
        <v>0</v>
      </c>
      <c r="D36">
        <v>15.5</v>
      </c>
      <c r="E36">
        <v>0</v>
      </c>
      <c r="F36">
        <v>0</v>
      </c>
      <c r="G36">
        <v>1</v>
      </c>
      <c r="H36">
        <v>1</v>
      </c>
      <c r="I36">
        <v>3</v>
      </c>
      <c r="J36">
        <v>2</v>
      </c>
      <c r="K36">
        <v>2</v>
      </c>
      <c r="L36">
        <v>1</v>
      </c>
      <c r="M36">
        <v>4.0599999999999996</v>
      </c>
    </row>
    <row r="37" spans="1:14" x14ac:dyDescent="0.35">
      <c r="A37">
        <v>1</v>
      </c>
      <c r="B37" t="s">
        <v>118</v>
      </c>
      <c r="C37">
        <v>0</v>
      </c>
      <c r="D37">
        <v>8</v>
      </c>
      <c r="E37">
        <v>0</v>
      </c>
      <c r="F37">
        <v>0</v>
      </c>
      <c r="G37">
        <v>1</v>
      </c>
      <c r="H37">
        <v>0</v>
      </c>
      <c r="I37">
        <v>3</v>
      </c>
      <c r="J37">
        <v>1</v>
      </c>
      <c r="K37">
        <v>5</v>
      </c>
      <c r="L37">
        <v>0</v>
      </c>
      <c r="M37">
        <v>4.0599999999999996</v>
      </c>
    </row>
    <row r="38" spans="1:14" x14ac:dyDescent="0.35">
      <c r="A38">
        <v>2</v>
      </c>
      <c r="B38" t="s">
        <v>114</v>
      </c>
      <c r="C38">
        <v>0</v>
      </c>
      <c r="D38">
        <v>0</v>
      </c>
      <c r="E38">
        <v>0</v>
      </c>
      <c r="F38">
        <v>0</v>
      </c>
      <c r="G38">
        <v>0</v>
      </c>
      <c r="H38">
        <v>0</v>
      </c>
      <c r="I38">
        <v>0</v>
      </c>
      <c r="J38">
        <v>0</v>
      </c>
      <c r="K38">
        <v>0</v>
      </c>
      <c r="L38">
        <v>0</v>
      </c>
      <c r="M38">
        <v>4.0599999999999996</v>
      </c>
    </row>
    <row r="39" spans="1:14" x14ac:dyDescent="0.35">
      <c r="A39">
        <v>2</v>
      </c>
      <c r="B39" t="s">
        <v>116</v>
      </c>
      <c r="C39">
        <v>0</v>
      </c>
      <c r="D39">
        <v>0</v>
      </c>
      <c r="E39">
        <v>0</v>
      </c>
      <c r="F39">
        <v>0</v>
      </c>
      <c r="G39">
        <v>0</v>
      </c>
      <c r="H39">
        <v>0</v>
      </c>
      <c r="I39">
        <v>0</v>
      </c>
      <c r="J39">
        <v>0</v>
      </c>
      <c r="K39">
        <v>0</v>
      </c>
      <c r="L39">
        <v>0</v>
      </c>
      <c r="M39">
        <v>4.0599999999999996</v>
      </c>
    </row>
    <row r="40" spans="1:14" x14ac:dyDescent="0.35">
      <c r="A40">
        <v>2</v>
      </c>
      <c r="B40" t="s">
        <v>117</v>
      </c>
      <c r="C40">
        <v>0</v>
      </c>
      <c r="D40">
        <v>0</v>
      </c>
      <c r="E40">
        <v>0</v>
      </c>
      <c r="F40">
        <v>0</v>
      </c>
      <c r="G40">
        <v>0</v>
      </c>
      <c r="H40">
        <v>0</v>
      </c>
      <c r="I40">
        <v>0</v>
      </c>
      <c r="J40">
        <v>0</v>
      </c>
      <c r="K40">
        <v>0</v>
      </c>
      <c r="L40">
        <v>0</v>
      </c>
      <c r="M40">
        <v>4.0599999999999996</v>
      </c>
    </row>
    <row r="41" spans="1:14" x14ac:dyDescent="0.35">
      <c r="A41">
        <v>2</v>
      </c>
      <c r="B41" t="s">
        <v>118</v>
      </c>
      <c r="C41">
        <v>0</v>
      </c>
      <c r="D41">
        <v>0.5</v>
      </c>
      <c r="E41">
        <v>0</v>
      </c>
      <c r="F41">
        <v>0</v>
      </c>
      <c r="G41">
        <v>0</v>
      </c>
      <c r="H41">
        <v>1</v>
      </c>
      <c r="I41">
        <v>0</v>
      </c>
      <c r="J41">
        <v>0</v>
      </c>
      <c r="K41">
        <v>0</v>
      </c>
      <c r="L41">
        <v>0</v>
      </c>
      <c r="M41">
        <v>4.0599999999999996</v>
      </c>
    </row>
    <row r="42" spans="1:14" x14ac:dyDescent="0.35">
      <c r="A42">
        <v>3</v>
      </c>
      <c r="B42" t="s">
        <v>114</v>
      </c>
      <c r="C42">
        <v>0</v>
      </c>
      <c r="D42">
        <v>0</v>
      </c>
      <c r="E42">
        <v>0</v>
      </c>
      <c r="F42">
        <v>0</v>
      </c>
      <c r="G42">
        <v>0</v>
      </c>
      <c r="H42">
        <v>0</v>
      </c>
      <c r="I42">
        <v>0</v>
      </c>
      <c r="J42">
        <v>0</v>
      </c>
      <c r="K42">
        <v>0</v>
      </c>
      <c r="L42">
        <v>0</v>
      </c>
      <c r="M42">
        <v>4.0599999999999996</v>
      </c>
    </row>
    <row r="43" spans="1:14" x14ac:dyDescent="0.35">
      <c r="A43">
        <v>3</v>
      </c>
      <c r="B43" t="s">
        <v>116</v>
      </c>
      <c r="C43">
        <v>0</v>
      </c>
      <c r="D43">
        <v>0</v>
      </c>
      <c r="E43">
        <v>0</v>
      </c>
      <c r="F43">
        <v>0</v>
      </c>
      <c r="G43">
        <v>0</v>
      </c>
      <c r="H43">
        <v>0</v>
      </c>
      <c r="I43">
        <v>0</v>
      </c>
      <c r="J43">
        <v>0</v>
      </c>
      <c r="K43">
        <v>0</v>
      </c>
      <c r="L43">
        <v>0</v>
      </c>
      <c r="M43">
        <v>4.0599999999999996</v>
      </c>
    </row>
    <row r="44" spans="1:14" x14ac:dyDescent="0.35">
      <c r="A44">
        <v>3</v>
      </c>
      <c r="B44" t="s">
        <v>117</v>
      </c>
      <c r="C44">
        <v>0</v>
      </c>
      <c r="D44">
        <v>0</v>
      </c>
      <c r="E44">
        <v>0</v>
      </c>
      <c r="F44">
        <v>0</v>
      </c>
      <c r="G44">
        <v>0</v>
      </c>
      <c r="H44">
        <v>0</v>
      </c>
      <c r="I44">
        <v>0</v>
      </c>
      <c r="J44">
        <v>0</v>
      </c>
      <c r="K44">
        <v>0</v>
      </c>
      <c r="L44">
        <v>0</v>
      </c>
      <c r="M44">
        <v>4.0599999999999996</v>
      </c>
    </row>
    <row r="45" spans="1:14" x14ac:dyDescent="0.35">
      <c r="A45">
        <v>3</v>
      </c>
      <c r="B45" t="s">
        <v>118</v>
      </c>
      <c r="C45">
        <v>0</v>
      </c>
      <c r="D45">
        <v>0</v>
      </c>
      <c r="E45">
        <v>0</v>
      </c>
      <c r="F45">
        <v>0</v>
      </c>
      <c r="G45">
        <v>0</v>
      </c>
      <c r="H45">
        <v>0</v>
      </c>
      <c r="I45">
        <v>0</v>
      </c>
      <c r="J45">
        <v>0</v>
      </c>
      <c r="K45">
        <v>0</v>
      </c>
      <c r="L45">
        <v>0</v>
      </c>
      <c r="M45">
        <v>4.0599999999999996</v>
      </c>
    </row>
    <row r="46" spans="1:14" x14ac:dyDescent="0.35">
      <c r="A46" s="6">
        <v>96</v>
      </c>
      <c r="B46" s="6" t="s">
        <v>114</v>
      </c>
      <c r="C46" s="6">
        <v>0</v>
      </c>
      <c r="D46" s="6">
        <v>25.5</v>
      </c>
      <c r="E46" s="6">
        <v>1</v>
      </c>
      <c r="F46" s="6">
        <v>0</v>
      </c>
      <c r="G46" s="6">
        <v>2</v>
      </c>
      <c r="H46" s="6">
        <v>4</v>
      </c>
      <c r="I46" s="6">
        <v>4</v>
      </c>
      <c r="J46" s="6">
        <v>1</v>
      </c>
      <c r="K46" s="6">
        <v>5</v>
      </c>
      <c r="L46" s="6">
        <v>1</v>
      </c>
      <c r="M46">
        <v>4.0599999999999996</v>
      </c>
      <c r="N46" s="6"/>
    </row>
    <row r="47" spans="1:14" x14ac:dyDescent="0.35">
      <c r="A47">
        <v>96</v>
      </c>
      <c r="B47" t="s">
        <v>116</v>
      </c>
      <c r="C47">
        <v>0</v>
      </c>
      <c r="D47">
        <v>55.5</v>
      </c>
      <c r="E47">
        <v>5</v>
      </c>
      <c r="F47">
        <v>4</v>
      </c>
      <c r="G47">
        <v>4</v>
      </c>
      <c r="H47">
        <v>3</v>
      </c>
      <c r="I47">
        <v>2</v>
      </c>
      <c r="J47">
        <v>2</v>
      </c>
      <c r="K47">
        <v>6</v>
      </c>
      <c r="L47">
        <v>4</v>
      </c>
      <c r="M47">
        <v>4.0599999999999996</v>
      </c>
    </row>
    <row r="48" spans="1:14" x14ac:dyDescent="0.35">
      <c r="A48">
        <v>96</v>
      </c>
      <c r="B48" t="s">
        <v>117</v>
      </c>
      <c r="C48">
        <v>0</v>
      </c>
      <c r="D48">
        <v>15.5</v>
      </c>
      <c r="E48">
        <v>1</v>
      </c>
      <c r="F48">
        <v>0</v>
      </c>
      <c r="G48">
        <v>0</v>
      </c>
      <c r="H48">
        <v>1</v>
      </c>
      <c r="I48">
        <v>0</v>
      </c>
      <c r="J48">
        <v>1</v>
      </c>
      <c r="K48">
        <v>0</v>
      </c>
      <c r="L48">
        <v>3</v>
      </c>
      <c r="M48">
        <v>4.0599999999999996</v>
      </c>
    </row>
    <row r="49" spans="1:13" x14ac:dyDescent="0.35">
      <c r="A49">
        <v>96</v>
      </c>
      <c r="B49" t="s">
        <v>118</v>
      </c>
      <c r="C49">
        <v>0</v>
      </c>
      <c r="D49">
        <v>15.5</v>
      </c>
      <c r="E49">
        <v>2</v>
      </c>
      <c r="F49">
        <v>0</v>
      </c>
      <c r="G49">
        <v>1</v>
      </c>
      <c r="H49">
        <v>0</v>
      </c>
      <c r="I49">
        <v>1</v>
      </c>
      <c r="J49">
        <v>0</v>
      </c>
      <c r="K49">
        <v>1</v>
      </c>
      <c r="L49">
        <v>4</v>
      </c>
      <c r="M49">
        <v>4.0599999999999996</v>
      </c>
    </row>
    <row r="50" spans="1:13" x14ac:dyDescent="0.35">
      <c r="A50">
        <v>97</v>
      </c>
      <c r="B50" t="s">
        <v>114</v>
      </c>
      <c r="C50">
        <v>0</v>
      </c>
      <c r="D50">
        <v>8</v>
      </c>
      <c r="E50">
        <v>0</v>
      </c>
      <c r="F50">
        <v>0</v>
      </c>
      <c r="G50">
        <v>0</v>
      </c>
      <c r="H50">
        <v>0</v>
      </c>
      <c r="I50">
        <v>0</v>
      </c>
      <c r="J50">
        <v>3</v>
      </c>
      <c r="K50">
        <v>1</v>
      </c>
      <c r="L50">
        <v>3</v>
      </c>
      <c r="M50">
        <v>4.0599999999999996</v>
      </c>
    </row>
    <row r="51" spans="1:13" x14ac:dyDescent="0.35">
      <c r="A51">
        <v>97</v>
      </c>
      <c r="B51" t="s">
        <v>116</v>
      </c>
      <c r="C51">
        <v>0</v>
      </c>
      <c r="D51">
        <v>25.5</v>
      </c>
      <c r="E51">
        <v>1</v>
      </c>
      <c r="F51">
        <v>1</v>
      </c>
      <c r="G51">
        <v>0</v>
      </c>
      <c r="H51">
        <v>1</v>
      </c>
      <c r="I51">
        <v>3</v>
      </c>
      <c r="J51">
        <v>1</v>
      </c>
      <c r="K51">
        <v>0</v>
      </c>
      <c r="L51">
        <v>0</v>
      </c>
      <c r="M51">
        <v>4.0599999999999996</v>
      </c>
    </row>
    <row r="52" spans="1:13" x14ac:dyDescent="0.35">
      <c r="A52">
        <v>97</v>
      </c>
      <c r="B52" t="s">
        <v>117</v>
      </c>
      <c r="C52">
        <v>0</v>
      </c>
      <c r="D52">
        <v>45.5</v>
      </c>
      <c r="E52">
        <v>0</v>
      </c>
      <c r="F52">
        <v>3</v>
      </c>
      <c r="G52">
        <v>3</v>
      </c>
      <c r="H52">
        <v>0</v>
      </c>
      <c r="I52">
        <v>4</v>
      </c>
      <c r="J52">
        <v>2</v>
      </c>
      <c r="K52">
        <v>7</v>
      </c>
      <c r="L52">
        <v>2</v>
      </c>
      <c r="M52">
        <v>4.0599999999999996</v>
      </c>
    </row>
    <row r="53" spans="1:13" x14ac:dyDescent="0.35">
      <c r="A53">
        <v>97</v>
      </c>
      <c r="B53" t="s">
        <v>118</v>
      </c>
      <c r="C53">
        <v>0</v>
      </c>
      <c r="D53">
        <v>85.5</v>
      </c>
      <c r="E53">
        <v>12</v>
      </c>
      <c r="F53">
        <v>3</v>
      </c>
      <c r="G53">
        <v>2</v>
      </c>
      <c r="H53">
        <v>3</v>
      </c>
      <c r="I53">
        <v>6</v>
      </c>
      <c r="J53">
        <v>6</v>
      </c>
      <c r="K53">
        <v>5</v>
      </c>
      <c r="L53">
        <v>6</v>
      </c>
      <c r="M53">
        <v>4.0599999999999996</v>
      </c>
    </row>
    <row r="54" spans="1:13" x14ac:dyDescent="0.35">
      <c r="A54">
        <v>98</v>
      </c>
      <c r="B54" t="s">
        <v>114</v>
      </c>
      <c r="C54">
        <v>0</v>
      </c>
      <c r="D54">
        <v>0</v>
      </c>
      <c r="E54">
        <v>0</v>
      </c>
      <c r="F54">
        <v>0</v>
      </c>
      <c r="G54">
        <v>0</v>
      </c>
      <c r="H54">
        <v>0</v>
      </c>
      <c r="I54">
        <v>0</v>
      </c>
      <c r="J54">
        <v>0</v>
      </c>
      <c r="K54">
        <v>0</v>
      </c>
      <c r="L54">
        <v>0</v>
      </c>
      <c r="M54">
        <v>4.0599999999999996</v>
      </c>
    </row>
    <row r="55" spans="1:13" x14ac:dyDescent="0.35">
      <c r="A55">
        <v>98</v>
      </c>
      <c r="B55" t="s">
        <v>116</v>
      </c>
      <c r="C55">
        <v>0</v>
      </c>
      <c r="D55">
        <v>35.5</v>
      </c>
      <c r="E55">
        <v>3</v>
      </c>
      <c r="F55">
        <v>0</v>
      </c>
      <c r="G55">
        <v>3</v>
      </c>
      <c r="H55">
        <v>4</v>
      </c>
      <c r="I55">
        <v>3</v>
      </c>
      <c r="J55">
        <v>2</v>
      </c>
      <c r="K55">
        <v>0</v>
      </c>
      <c r="L55">
        <v>1</v>
      </c>
      <c r="M55">
        <v>4.0599999999999996</v>
      </c>
    </row>
    <row r="56" spans="1:13" x14ac:dyDescent="0.35">
      <c r="A56">
        <v>98</v>
      </c>
      <c r="B56" t="s">
        <v>117</v>
      </c>
      <c r="C56">
        <v>0</v>
      </c>
      <c r="D56">
        <v>8</v>
      </c>
      <c r="E56">
        <v>0</v>
      </c>
      <c r="F56">
        <v>0</v>
      </c>
      <c r="G56">
        <v>3</v>
      </c>
      <c r="H56">
        <v>0</v>
      </c>
      <c r="I56">
        <v>0</v>
      </c>
      <c r="J56">
        <v>1</v>
      </c>
      <c r="K56">
        <v>0</v>
      </c>
      <c r="L56">
        <v>0</v>
      </c>
      <c r="M56">
        <v>4.0599999999999996</v>
      </c>
    </row>
    <row r="57" spans="1:13" x14ac:dyDescent="0.35">
      <c r="A57">
        <v>98</v>
      </c>
      <c r="B57" t="s">
        <v>118</v>
      </c>
      <c r="C57">
        <v>0</v>
      </c>
      <c r="D57">
        <v>8</v>
      </c>
      <c r="E57">
        <v>0</v>
      </c>
      <c r="F57">
        <v>1</v>
      </c>
      <c r="G57">
        <v>7</v>
      </c>
      <c r="H57">
        <v>0</v>
      </c>
      <c r="I57">
        <v>0</v>
      </c>
      <c r="J57">
        <v>0</v>
      </c>
      <c r="K57">
        <v>0</v>
      </c>
      <c r="L57">
        <v>0</v>
      </c>
      <c r="M57">
        <v>4.0599999999999996</v>
      </c>
    </row>
    <row r="58" spans="1:13" x14ac:dyDescent="0.35">
      <c r="A58">
        <v>99</v>
      </c>
      <c r="B58" t="s">
        <v>114</v>
      </c>
      <c r="C58">
        <v>0</v>
      </c>
      <c r="D58">
        <v>0</v>
      </c>
      <c r="E58">
        <v>0</v>
      </c>
      <c r="F58">
        <v>0</v>
      </c>
      <c r="G58">
        <v>0</v>
      </c>
      <c r="H58">
        <v>0</v>
      </c>
      <c r="I58">
        <v>0</v>
      </c>
      <c r="J58">
        <v>0</v>
      </c>
      <c r="K58">
        <v>0</v>
      </c>
      <c r="L58">
        <v>0</v>
      </c>
      <c r="M58">
        <v>4.0599999999999996</v>
      </c>
    </row>
    <row r="59" spans="1:13" x14ac:dyDescent="0.35">
      <c r="A59">
        <v>99</v>
      </c>
      <c r="B59" t="s">
        <v>116</v>
      </c>
      <c r="C59">
        <v>0</v>
      </c>
      <c r="D59">
        <v>0</v>
      </c>
      <c r="E59">
        <v>0</v>
      </c>
      <c r="F59">
        <v>0</v>
      </c>
      <c r="G59">
        <v>0</v>
      </c>
      <c r="H59">
        <v>0</v>
      </c>
      <c r="I59">
        <v>0</v>
      </c>
      <c r="J59">
        <v>0</v>
      </c>
      <c r="K59">
        <v>0</v>
      </c>
      <c r="L59">
        <v>0</v>
      </c>
      <c r="M59">
        <v>4.0599999999999996</v>
      </c>
    </row>
    <row r="60" spans="1:13" x14ac:dyDescent="0.35">
      <c r="A60">
        <v>99</v>
      </c>
      <c r="B60" t="s">
        <v>117</v>
      </c>
      <c r="C60">
        <v>0</v>
      </c>
      <c r="D60">
        <v>25.5</v>
      </c>
      <c r="E60">
        <v>0</v>
      </c>
      <c r="F60">
        <v>0</v>
      </c>
      <c r="G60">
        <v>0</v>
      </c>
      <c r="H60">
        <v>0</v>
      </c>
      <c r="I60">
        <v>0</v>
      </c>
      <c r="J60">
        <v>0</v>
      </c>
      <c r="K60">
        <v>13</v>
      </c>
      <c r="L60">
        <v>0</v>
      </c>
      <c r="M60">
        <v>4.0599999999999996</v>
      </c>
    </row>
    <row r="61" spans="1:13" x14ac:dyDescent="0.35">
      <c r="A61">
        <v>99</v>
      </c>
      <c r="B61" t="s">
        <v>118</v>
      </c>
      <c r="C61">
        <v>0</v>
      </c>
      <c r="D61">
        <v>0.5</v>
      </c>
      <c r="E61">
        <v>0</v>
      </c>
      <c r="F61">
        <v>2</v>
      </c>
      <c r="G61">
        <v>0</v>
      </c>
      <c r="H61">
        <v>0</v>
      </c>
      <c r="I61">
        <v>0</v>
      </c>
      <c r="J61">
        <v>0</v>
      </c>
      <c r="K61">
        <v>0</v>
      </c>
      <c r="L61">
        <v>0</v>
      </c>
      <c r="M61">
        <v>4.0599999999999996</v>
      </c>
    </row>
    <row r="62" spans="1:13" x14ac:dyDescent="0.35">
      <c r="A62">
        <v>49</v>
      </c>
      <c r="B62" t="s">
        <v>114</v>
      </c>
      <c r="C62">
        <v>0</v>
      </c>
      <c r="D62">
        <v>75.5</v>
      </c>
      <c r="E62">
        <v>10</v>
      </c>
      <c r="F62">
        <v>9</v>
      </c>
      <c r="G62">
        <v>5</v>
      </c>
      <c r="H62">
        <v>6</v>
      </c>
      <c r="I62">
        <v>3</v>
      </c>
      <c r="J62">
        <v>7</v>
      </c>
      <c r="K62">
        <v>3</v>
      </c>
      <c r="L62">
        <v>3</v>
      </c>
      <c r="M62">
        <v>4.0599999999999996</v>
      </c>
    </row>
    <row r="63" spans="1:13" x14ac:dyDescent="0.35">
      <c r="A63">
        <v>49</v>
      </c>
      <c r="B63" t="s">
        <v>116</v>
      </c>
      <c r="C63">
        <v>0</v>
      </c>
      <c r="D63">
        <v>35.5</v>
      </c>
      <c r="E63">
        <v>4</v>
      </c>
      <c r="F63">
        <v>0</v>
      </c>
      <c r="G63">
        <v>1</v>
      </c>
      <c r="H63">
        <v>7</v>
      </c>
      <c r="I63">
        <v>2</v>
      </c>
      <c r="J63">
        <v>2</v>
      </c>
      <c r="K63">
        <v>5</v>
      </c>
      <c r="L63">
        <v>7</v>
      </c>
      <c r="M63">
        <v>4.0599999999999996</v>
      </c>
    </row>
    <row r="64" spans="1:13" x14ac:dyDescent="0.35">
      <c r="A64">
        <v>49</v>
      </c>
      <c r="B64" t="s">
        <v>117</v>
      </c>
      <c r="C64">
        <v>0</v>
      </c>
      <c r="D64">
        <v>8</v>
      </c>
      <c r="E64">
        <v>1</v>
      </c>
      <c r="F64">
        <v>4</v>
      </c>
      <c r="G64">
        <v>8</v>
      </c>
      <c r="H64">
        <v>4</v>
      </c>
      <c r="I64">
        <v>0</v>
      </c>
      <c r="J64">
        <v>1</v>
      </c>
      <c r="K64">
        <v>2</v>
      </c>
      <c r="L64">
        <v>2</v>
      </c>
      <c r="M64">
        <v>4.0599999999999996</v>
      </c>
    </row>
    <row r="65" spans="1:13" x14ac:dyDescent="0.35">
      <c r="A65">
        <v>49</v>
      </c>
      <c r="B65" t="s">
        <v>118</v>
      </c>
      <c r="C65">
        <v>0</v>
      </c>
      <c r="D65">
        <v>25.5</v>
      </c>
      <c r="E65">
        <v>1</v>
      </c>
      <c r="F65">
        <v>0</v>
      </c>
      <c r="G65">
        <v>1</v>
      </c>
      <c r="H65">
        <v>5</v>
      </c>
      <c r="I65">
        <v>2</v>
      </c>
      <c r="J65">
        <v>1</v>
      </c>
      <c r="K65">
        <v>2</v>
      </c>
      <c r="L65">
        <v>2</v>
      </c>
      <c r="M65">
        <v>4.0599999999999996</v>
      </c>
    </row>
    <row r="66" spans="1:13" x14ac:dyDescent="0.35">
      <c r="A66">
        <v>50</v>
      </c>
      <c r="B66" t="s">
        <v>114</v>
      </c>
      <c r="C66">
        <v>0</v>
      </c>
      <c r="D66">
        <v>15.5</v>
      </c>
      <c r="E66">
        <v>1</v>
      </c>
      <c r="F66">
        <v>0</v>
      </c>
      <c r="G66">
        <v>0</v>
      </c>
      <c r="H66">
        <v>0</v>
      </c>
      <c r="I66">
        <v>1</v>
      </c>
      <c r="J66">
        <v>1</v>
      </c>
      <c r="K66">
        <v>0</v>
      </c>
      <c r="L66">
        <v>3</v>
      </c>
      <c r="M66">
        <v>4.0599999999999996</v>
      </c>
    </row>
    <row r="67" spans="1:13" x14ac:dyDescent="0.35">
      <c r="A67">
        <v>50</v>
      </c>
      <c r="B67" t="s">
        <v>116</v>
      </c>
      <c r="C67">
        <v>0</v>
      </c>
      <c r="D67">
        <v>45.5</v>
      </c>
      <c r="E67">
        <v>3</v>
      </c>
      <c r="F67">
        <v>1</v>
      </c>
      <c r="G67">
        <v>2</v>
      </c>
      <c r="H67">
        <v>2</v>
      </c>
      <c r="I67">
        <v>3</v>
      </c>
      <c r="J67">
        <v>3</v>
      </c>
      <c r="K67">
        <v>0</v>
      </c>
      <c r="L67">
        <v>3</v>
      </c>
      <c r="M67">
        <v>4.0599999999999996</v>
      </c>
    </row>
    <row r="68" spans="1:13" x14ac:dyDescent="0.35">
      <c r="A68">
        <v>50</v>
      </c>
      <c r="B68" t="s">
        <v>117</v>
      </c>
      <c r="C68">
        <v>0</v>
      </c>
      <c r="D68">
        <v>8</v>
      </c>
      <c r="E68">
        <v>1</v>
      </c>
      <c r="F68">
        <v>2</v>
      </c>
      <c r="G68">
        <v>0</v>
      </c>
      <c r="H68">
        <v>2</v>
      </c>
      <c r="I68">
        <v>0</v>
      </c>
      <c r="J68">
        <v>0</v>
      </c>
      <c r="K68">
        <v>3</v>
      </c>
      <c r="L68">
        <v>1</v>
      </c>
      <c r="M68">
        <v>4.0599999999999996</v>
      </c>
    </row>
    <row r="69" spans="1:13" x14ac:dyDescent="0.35">
      <c r="A69">
        <v>50</v>
      </c>
      <c r="B69" t="s">
        <v>118</v>
      </c>
      <c r="C69">
        <v>0</v>
      </c>
      <c r="D69">
        <v>8</v>
      </c>
      <c r="E69">
        <v>3</v>
      </c>
      <c r="F69">
        <v>2</v>
      </c>
      <c r="G69">
        <v>1</v>
      </c>
      <c r="H69">
        <v>0</v>
      </c>
      <c r="I69">
        <v>0</v>
      </c>
      <c r="J69">
        <v>3</v>
      </c>
      <c r="K69">
        <v>2</v>
      </c>
      <c r="L69">
        <v>0</v>
      </c>
      <c r="M69">
        <v>4.0599999999999996</v>
      </c>
    </row>
    <row r="70" spans="1:13" x14ac:dyDescent="0.35">
      <c r="A70">
        <v>53</v>
      </c>
      <c r="B70" t="s">
        <v>114</v>
      </c>
      <c r="C70">
        <v>0</v>
      </c>
      <c r="D70">
        <v>25.5</v>
      </c>
      <c r="E70">
        <v>0</v>
      </c>
      <c r="F70">
        <v>0</v>
      </c>
      <c r="G70">
        <v>0</v>
      </c>
      <c r="H70">
        <v>2</v>
      </c>
      <c r="I70">
        <v>2</v>
      </c>
      <c r="J70">
        <v>1</v>
      </c>
      <c r="K70">
        <v>2</v>
      </c>
      <c r="L70">
        <v>5</v>
      </c>
      <c r="M70">
        <v>4.0599999999999996</v>
      </c>
    </row>
    <row r="71" spans="1:13" x14ac:dyDescent="0.35">
      <c r="A71">
        <v>53</v>
      </c>
      <c r="B71" t="s">
        <v>116</v>
      </c>
      <c r="C71">
        <v>0</v>
      </c>
      <c r="D71">
        <v>35.5</v>
      </c>
      <c r="E71">
        <v>3</v>
      </c>
      <c r="F71">
        <v>0</v>
      </c>
      <c r="G71">
        <v>0</v>
      </c>
      <c r="H71">
        <v>2</v>
      </c>
      <c r="I71">
        <v>3</v>
      </c>
      <c r="J71">
        <v>5</v>
      </c>
      <c r="K71">
        <v>2</v>
      </c>
      <c r="L71">
        <v>2</v>
      </c>
      <c r="M71">
        <v>4.0599999999999996</v>
      </c>
    </row>
    <row r="72" spans="1:13" x14ac:dyDescent="0.35">
      <c r="A72">
        <v>53</v>
      </c>
      <c r="B72" t="s">
        <v>117</v>
      </c>
      <c r="C72">
        <v>0</v>
      </c>
      <c r="D72">
        <v>3.5</v>
      </c>
      <c r="E72">
        <v>4</v>
      </c>
      <c r="F72">
        <v>0</v>
      </c>
      <c r="G72">
        <v>0</v>
      </c>
      <c r="H72">
        <v>0</v>
      </c>
      <c r="I72">
        <v>1</v>
      </c>
      <c r="J72">
        <v>0</v>
      </c>
      <c r="K72">
        <v>0</v>
      </c>
      <c r="L72">
        <v>1</v>
      </c>
      <c r="M72">
        <v>4.0599999999999996</v>
      </c>
    </row>
    <row r="73" spans="1:13" x14ac:dyDescent="0.35">
      <c r="A73">
        <v>53</v>
      </c>
      <c r="B73" t="s">
        <v>118</v>
      </c>
      <c r="C73">
        <v>0</v>
      </c>
      <c r="D73">
        <v>3.5</v>
      </c>
      <c r="E73">
        <v>2</v>
      </c>
      <c r="F73">
        <v>2</v>
      </c>
      <c r="G73">
        <v>1</v>
      </c>
      <c r="H73">
        <v>2</v>
      </c>
      <c r="I73">
        <v>0</v>
      </c>
      <c r="J73">
        <v>0</v>
      </c>
      <c r="K73">
        <v>0</v>
      </c>
      <c r="L73">
        <v>0</v>
      </c>
      <c r="M73">
        <v>4.0599999999999996</v>
      </c>
    </row>
    <row r="74" spans="1:13" s="6" customFormat="1" x14ac:dyDescent="0.35">
      <c r="A74" s="6">
        <v>108</v>
      </c>
      <c r="B74" s="6" t="s">
        <v>114</v>
      </c>
      <c r="C74" s="6">
        <v>0</v>
      </c>
      <c r="D74" s="6">
        <v>0</v>
      </c>
      <c r="E74" s="6">
        <v>0</v>
      </c>
      <c r="F74" s="6">
        <v>0</v>
      </c>
      <c r="G74" s="6">
        <v>0</v>
      </c>
      <c r="H74" s="6">
        <v>0</v>
      </c>
      <c r="I74" s="6">
        <v>0</v>
      </c>
      <c r="J74" s="6">
        <v>0</v>
      </c>
      <c r="K74" s="6">
        <v>0</v>
      </c>
      <c r="L74" s="6">
        <v>0</v>
      </c>
      <c r="M74">
        <v>4.0599999999999996</v>
      </c>
    </row>
    <row r="75" spans="1:13" x14ac:dyDescent="0.35">
      <c r="A75">
        <v>108</v>
      </c>
      <c r="B75" t="s">
        <v>116</v>
      </c>
      <c r="C75">
        <v>0</v>
      </c>
      <c r="D75">
        <v>0</v>
      </c>
      <c r="E75">
        <v>0</v>
      </c>
      <c r="F75">
        <v>0</v>
      </c>
      <c r="G75">
        <v>0</v>
      </c>
      <c r="H75">
        <v>0</v>
      </c>
      <c r="I75">
        <v>0</v>
      </c>
      <c r="J75">
        <v>0</v>
      </c>
      <c r="K75">
        <v>0</v>
      </c>
      <c r="L75">
        <v>0</v>
      </c>
      <c r="M75">
        <v>4.0599999999999996</v>
      </c>
    </row>
    <row r="76" spans="1:13" x14ac:dyDescent="0.35">
      <c r="A76">
        <v>108</v>
      </c>
      <c r="B76" t="s">
        <v>117</v>
      </c>
      <c r="C76">
        <v>0</v>
      </c>
      <c r="D76">
        <v>0</v>
      </c>
      <c r="E76">
        <v>0</v>
      </c>
      <c r="F76">
        <v>0</v>
      </c>
      <c r="G76">
        <v>0</v>
      </c>
      <c r="H76">
        <v>0</v>
      </c>
      <c r="I76">
        <v>0</v>
      </c>
      <c r="J76">
        <v>0</v>
      </c>
      <c r="K76">
        <v>0</v>
      </c>
      <c r="L76">
        <v>0</v>
      </c>
      <c r="M76">
        <v>4.0599999999999996</v>
      </c>
    </row>
    <row r="77" spans="1:13" x14ac:dyDescent="0.35">
      <c r="A77">
        <v>108</v>
      </c>
      <c r="B77" t="s">
        <v>118</v>
      </c>
      <c r="C77">
        <v>0</v>
      </c>
      <c r="D77">
        <v>0</v>
      </c>
      <c r="E77">
        <v>0</v>
      </c>
      <c r="F77">
        <v>0</v>
      </c>
      <c r="G77">
        <v>0</v>
      </c>
      <c r="H77">
        <v>0</v>
      </c>
      <c r="I77">
        <v>0</v>
      </c>
      <c r="J77">
        <v>0</v>
      </c>
      <c r="K77">
        <v>0</v>
      </c>
      <c r="L77">
        <v>0</v>
      </c>
      <c r="M77">
        <v>4.0599999999999996</v>
      </c>
    </row>
    <row r="78" spans="1:13" x14ac:dyDescent="0.35">
      <c r="A78">
        <v>104</v>
      </c>
      <c r="B78" t="s">
        <v>114</v>
      </c>
      <c r="C78">
        <v>0</v>
      </c>
      <c r="D78">
        <v>0</v>
      </c>
      <c r="E78">
        <v>0</v>
      </c>
      <c r="F78">
        <v>0</v>
      </c>
      <c r="G78">
        <v>0</v>
      </c>
      <c r="H78">
        <v>0</v>
      </c>
      <c r="I78">
        <v>0</v>
      </c>
      <c r="J78">
        <v>0</v>
      </c>
      <c r="K78">
        <v>0</v>
      </c>
      <c r="L78">
        <v>0</v>
      </c>
      <c r="M78">
        <v>4.0599999999999996</v>
      </c>
    </row>
    <row r="79" spans="1:13" x14ac:dyDescent="0.35">
      <c r="A79">
        <v>104</v>
      </c>
      <c r="B79" t="s">
        <v>116</v>
      </c>
      <c r="C79">
        <v>0</v>
      </c>
      <c r="D79">
        <v>0</v>
      </c>
      <c r="E79">
        <v>0</v>
      </c>
      <c r="F79">
        <v>0</v>
      </c>
      <c r="G79">
        <v>0</v>
      </c>
      <c r="H79">
        <v>0</v>
      </c>
      <c r="I79">
        <v>0</v>
      </c>
      <c r="J79">
        <v>0</v>
      </c>
      <c r="K79">
        <v>0</v>
      </c>
      <c r="L79">
        <v>0</v>
      </c>
      <c r="M79">
        <v>4.0599999999999996</v>
      </c>
    </row>
    <row r="80" spans="1:13" x14ac:dyDescent="0.35">
      <c r="A80">
        <v>104</v>
      </c>
      <c r="B80" t="s">
        <v>117</v>
      </c>
      <c r="C80">
        <v>0</v>
      </c>
      <c r="D80">
        <v>3.5</v>
      </c>
      <c r="E80">
        <v>0</v>
      </c>
      <c r="F80">
        <v>0</v>
      </c>
      <c r="G80">
        <v>0</v>
      </c>
      <c r="H80">
        <v>0</v>
      </c>
      <c r="I80">
        <v>0</v>
      </c>
      <c r="J80">
        <v>0</v>
      </c>
      <c r="K80">
        <v>1</v>
      </c>
      <c r="L80">
        <v>0</v>
      </c>
      <c r="M80">
        <v>4.0599999999999996</v>
      </c>
    </row>
    <row r="81" spans="1:14" x14ac:dyDescent="0.35">
      <c r="A81">
        <v>104</v>
      </c>
      <c r="B81" t="s">
        <v>118</v>
      </c>
      <c r="C81">
        <v>0</v>
      </c>
      <c r="D81">
        <v>8</v>
      </c>
      <c r="E81">
        <v>0</v>
      </c>
      <c r="F81">
        <v>0</v>
      </c>
      <c r="G81">
        <v>0</v>
      </c>
      <c r="H81">
        <v>0</v>
      </c>
      <c r="I81">
        <v>2</v>
      </c>
      <c r="J81">
        <v>0</v>
      </c>
      <c r="K81">
        <v>0</v>
      </c>
      <c r="L81">
        <v>1</v>
      </c>
      <c r="M81">
        <v>4.0599999999999996</v>
      </c>
    </row>
    <row r="82" spans="1:14" x14ac:dyDescent="0.35">
      <c r="A82">
        <v>103</v>
      </c>
      <c r="B82" t="s">
        <v>114</v>
      </c>
      <c r="C82">
        <v>0</v>
      </c>
      <c r="D82">
        <v>0</v>
      </c>
      <c r="E82">
        <v>0</v>
      </c>
      <c r="F82">
        <v>0</v>
      </c>
      <c r="G82">
        <v>0</v>
      </c>
      <c r="H82">
        <v>0</v>
      </c>
      <c r="I82">
        <v>0</v>
      </c>
      <c r="J82">
        <v>0</v>
      </c>
      <c r="K82">
        <v>0</v>
      </c>
      <c r="L82">
        <v>0</v>
      </c>
      <c r="M82">
        <v>4.0599999999999996</v>
      </c>
      <c r="N82" t="s">
        <v>225</v>
      </c>
    </row>
    <row r="83" spans="1:14" x14ac:dyDescent="0.35">
      <c r="A83">
        <v>103</v>
      </c>
      <c r="B83" t="s">
        <v>116</v>
      </c>
      <c r="C83">
        <v>0</v>
      </c>
      <c r="D83">
        <v>0</v>
      </c>
      <c r="E83">
        <v>0</v>
      </c>
      <c r="F83">
        <v>0</v>
      </c>
      <c r="G83">
        <v>0</v>
      </c>
      <c r="H83">
        <v>0</v>
      </c>
      <c r="I83">
        <v>0</v>
      </c>
      <c r="J83">
        <v>0</v>
      </c>
      <c r="K83">
        <v>0</v>
      </c>
      <c r="L83">
        <v>0</v>
      </c>
      <c r="M83">
        <v>4.0599999999999996</v>
      </c>
    </row>
    <row r="84" spans="1:14" x14ac:dyDescent="0.35">
      <c r="A84">
        <v>103</v>
      </c>
      <c r="B84" t="s">
        <v>117</v>
      </c>
      <c r="C84">
        <v>0</v>
      </c>
      <c r="D84">
        <v>0</v>
      </c>
      <c r="E84">
        <v>0</v>
      </c>
      <c r="F84">
        <v>0</v>
      </c>
      <c r="G84">
        <v>0</v>
      </c>
      <c r="H84">
        <v>0</v>
      </c>
      <c r="I84">
        <v>0</v>
      </c>
      <c r="J84">
        <v>0</v>
      </c>
      <c r="K84">
        <v>0</v>
      </c>
      <c r="L84">
        <v>0</v>
      </c>
      <c r="M84">
        <v>4.0599999999999996</v>
      </c>
    </row>
    <row r="85" spans="1:14" x14ac:dyDescent="0.35">
      <c r="A85">
        <v>103</v>
      </c>
      <c r="B85" t="s">
        <v>118</v>
      </c>
      <c r="C85">
        <v>0</v>
      </c>
      <c r="D85">
        <v>0</v>
      </c>
      <c r="E85">
        <v>0</v>
      </c>
      <c r="F85">
        <v>0</v>
      </c>
      <c r="G85">
        <v>0</v>
      </c>
      <c r="H85">
        <v>0</v>
      </c>
      <c r="I85">
        <v>0</v>
      </c>
      <c r="J85">
        <v>0</v>
      </c>
      <c r="K85">
        <v>0</v>
      </c>
      <c r="L85">
        <v>0</v>
      </c>
      <c r="M85">
        <v>4.0599999999999996</v>
      </c>
    </row>
    <row r="86" spans="1:14" x14ac:dyDescent="0.35">
      <c r="A86">
        <v>105</v>
      </c>
      <c r="B86" t="s">
        <v>114</v>
      </c>
      <c r="C86">
        <v>0</v>
      </c>
      <c r="D86">
        <v>0</v>
      </c>
      <c r="E86">
        <v>0</v>
      </c>
      <c r="F86">
        <v>0</v>
      </c>
      <c r="G86">
        <v>0</v>
      </c>
      <c r="H86">
        <v>0</v>
      </c>
      <c r="I86">
        <v>0</v>
      </c>
      <c r="J86">
        <v>0</v>
      </c>
      <c r="K86">
        <v>0</v>
      </c>
      <c r="L86">
        <v>0</v>
      </c>
      <c r="M86">
        <v>4.0599999999999996</v>
      </c>
    </row>
    <row r="87" spans="1:14" x14ac:dyDescent="0.35">
      <c r="A87">
        <v>105</v>
      </c>
      <c r="B87" t="s">
        <v>116</v>
      </c>
      <c r="C87">
        <v>0</v>
      </c>
      <c r="D87">
        <v>0</v>
      </c>
      <c r="E87">
        <v>0</v>
      </c>
      <c r="F87">
        <v>0</v>
      </c>
      <c r="G87">
        <v>0</v>
      </c>
      <c r="H87">
        <v>0</v>
      </c>
      <c r="I87">
        <v>0</v>
      </c>
      <c r="J87">
        <v>0</v>
      </c>
      <c r="K87">
        <v>0</v>
      </c>
      <c r="L87">
        <v>0</v>
      </c>
      <c r="M87">
        <v>4.0599999999999996</v>
      </c>
    </row>
    <row r="88" spans="1:14" x14ac:dyDescent="0.35">
      <c r="A88">
        <v>105</v>
      </c>
      <c r="B88" t="s">
        <v>117</v>
      </c>
      <c r="C88">
        <v>0</v>
      </c>
      <c r="D88">
        <v>3.5</v>
      </c>
      <c r="E88">
        <v>0</v>
      </c>
      <c r="F88">
        <v>0</v>
      </c>
      <c r="G88">
        <v>0</v>
      </c>
      <c r="H88">
        <v>0</v>
      </c>
      <c r="I88">
        <v>0</v>
      </c>
      <c r="J88">
        <v>0</v>
      </c>
      <c r="K88">
        <v>0</v>
      </c>
      <c r="L88">
        <v>1</v>
      </c>
      <c r="M88">
        <v>4.0599999999999996</v>
      </c>
    </row>
    <row r="89" spans="1:14" x14ac:dyDescent="0.35">
      <c r="A89">
        <v>105</v>
      </c>
      <c r="B89" t="s">
        <v>118</v>
      </c>
      <c r="C89">
        <v>0</v>
      </c>
      <c r="D89">
        <v>0</v>
      </c>
      <c r="E89">
        <v>0</v>
      </c>
      <c r="F89">
        <v>0</v>
      </c>
      <c r="G89">
        <v>0</v>
      </c>
      <c r="H89">
        <v>0</v>
      </c>
      <c r="I89">
        <v>0</v>
      </c>
      <c r="J89">
        <v>0</v>
      </c>
      <c r="K89">
        <v>0</v>
      </c>
      <c r="L89">
        <v>0</v>
      </c>
      <c r="M89">
        <v>4.0599999999999996</v>
      </c>
    </row>
    <row r="90" spans="1:14" x14ac:dyDescent="0.35">
      <c r="A90">
        <v>61</v>
      </c>
      <c r="B90" t="s">
        <v>114</v>
      </c>
      <c r="C90">
        <v>0</v>
      </c>
      <c r="D90">
        <v>0</v>
      </c>
      <c r="E90">
        <v>0</v>
      </c>
      <c r="F90">
        <v>0</v>
      </c>
      <c r="G90">
        <v>0</v>
      </c>
      <c r="H90">
        <v>0</v>
      </c>
      <c r="I90">
        <v>0</v>
      </c>
      <c r="J90">
        <v>0</v>
      </c>
      <c r="K90">
        <v>0</v>
      </c>
      <c r="L90">
        <v>0</v>
      </c>
      <c r="M90">
        <v>4.0599999999999996</v>
      </c>
      <c r="N90" t="s">
        <v>226</v>
      </c>
    </row>
    <row r="91" spans="1:14" x14ac:dyDescent="0.35">
      <c r="A91">
        <v>61</v>
      </c>
      <c r="B91" t="s">
        <v>116</v>
      </c>
      <c r="C91">
        <v>0</v>
      </c>
      <c r="D91">
        <v>0</v>
      </c>
      <c r="E91">
        <v>0</v>
      </c>
      <c r="F91">
        <v>0</v>
      </c>
      <c r="G91">
        <v>0</v>
      </c>
      <c r="H91">
        <v>0</v>
      </c>
      <c r="I91">
        <v>0</v>
      </c>
      <c r="J91">
        <v>0</v>
      </c>
      <c r="K91">
        <v>0</v>
      </c>
      <c r="L91">
        <v>0</v>
      </c>
      <c r="M91">
        <v>4.0599999999999996</v>
      </c>
    </row>
    <row r="92" spans="1:14" x14ac:dyDescent="0.35">
      <c r="A92">
        <v>61</v>
      </c>
      <c r="B92" t="s">
        <v>117</v>
      </c>
      <c r="C92">
        <v>0</v>
      </c>
      <c r="D92">
        <v>0</v>
      </c>
      <c r="E92">
        <v>0</v>
      </c>
      <c r="F92">
        <v>0</v>
      </c>
      <c r="G92">
        <v>0</v>
      </c>
      <c r="H92">
        <v>0</v>
      </c>
      <c r="I92">
        <v>0</v>
      </c>
      <c r="J92">
        <v>0</v>
      </c>
      <c r="K92">
        <v>0</v>
      </c>
      <c r="L92">
        <v>0</v>
      </c>
      <c r="M92">
        <v>4.0599999999999996</v>
      </c>
      <c r="N92" t="s">
        <v>227</v>
      </c>
    </row>
    <row r="93" spans="1:14" x14ac:dyDescent="0.35">
      <c r="A93">
        <v>61</v>
      </c>
      <c r="B93" t="s">
        <v>118</v>
      </c>
      <c r="C93">
        <v>0</v>
      </c>
      <c r="D93">
        <v>0</v>
      </c>
      <c r="E93">
        <v>0</v>
      </c>
      <c r="F93">
        <v>0</v>
      </c>
      <c r="G93">
        <v>0</v>
      </c>
      <c r="H93">
        <v>0</v>
      </c>
      <c r="I93">
        <v>0</v>
      </c>
      <c r="J93">
        <v>0</v>
      </c>
      <c r="K93">
        <v>0</v>
      </c>
      <c r="L93">
        <v>0</v>
      </c>
      <c r="M93">
        <v>4.0599999999999996</v>
      </c>
      <c r="N93" t="s">
        <v>228</v>
      </c>
    </row>
    <row r="94" spans="1:14" x14ac:dyDescent="0.35">
      <c r="A94">
        <v>23</v>
      </c>
      <c r="B94" t="s">
        <v>114</v>
      </c>
      <c r="C94">
        <v>0</v>
      </c>
      <c r="D94">
        <v>0</v>
      </c>
      <c r="E94">
        <v>0</v>
      </c>
      <c r="F94">
        <v>0</v>
      </c>
      <c r="G94">
        <v>0</v>
      </c>
      <c r="H94">
        <v>0</v>
      </c>
      <c r="I94">
        <v>0</v>
      </c>
      <c r="J94">
        <v>0</v>
      </c>
      <c r="K94">
        <v>0</v>
      </c>
      <c r="L94">
        <v>0</v>
      </c>
      <c r="M94">
        <v>4.0599999999999996</v>
      </c>
      <c r="N94" t="s">
        <v>229</v>
      </c>
    </row>
    <row r="95" spans="1:14" x14ac:dyDescent="0.35">
      <c r="A95">
        <v>23</v>
      </c>
      <c r="B95" t="s">
        <v>116</v>
      </c>
      <c r="C95">
        <v>0</v>
      </c>
      <c r="D95">
        <v>8</v>
      </c>
      <c r="E95">
        <v>0</v>
      </c>
      <c r="F95">
        <v>0</v>
      </c>
      <c r="G95">
        <v>0</v>
      </c>
      <c r="H95">
        <v>0</v>
      </c>
      <c r="I95">
        <v>0</v>
      </c>
      <c r="J95">
        <v>0</v>
      </c>
      <c r="K95">
        <v>0</v>
      </c>
      <c r="L95">
        <v>4</v>
      </c>
      <c r="M95">
        <v>4.0599999999999996</v>
      </c>
      <c r="N95" t="s">
        <v>230</v>
      </c>
    </row>
    <row r="96" spans="1:14" x14ac:dyDescent="0.35">
      <c r="A96">
        <v>23</v>
      </c>
      <c r="B96" t="s">
        <v>117</v>
      </c>
      <c r="C96">
        <v>0</v>
      </c>
      <c r="D96">
        <v>0</v>
      </c>
      <c r="E96">
        <v>0</v>
      </c>
      <c r="F96">
        <v>0</v>
      </c>
      <c r="G96">
        <v>0</v>
      </c>
      <c r="H96">
        <v>0</v>
      </c>
      <c r="I96">
        <v>0</v>
      </c>
      <c r="J96">
        <v>0</v>
      </c>
      <c r="K96">
        <v>0</v>
      </c>
      <c r="L96">
        <v>0</v>
      </c>
      <c r="M96">
        <v>4.0599999999999996</v>
      </c>
    </row>
    <row r="97" spans="1:13" x14ac:dyDescent="0.35">
      <c r="A97">
        <v>23</v>
      </c>
      <c r="B97" t="s">
        <v>118</v>
      </c>
      <c r="C97">
        <v>0</v>
      </c>
      <c r="D97">
        <v>0</v>
      </c>
      <c r="E97">
        <v>0</v>
      </c>
      <c r="F97">
        <v>0</v>
      </c>
      <c r="G97">
        <v>0</v>
      </c>
      <c r="H97">
        <v>0</v>
      </c>
      <c r="I97">
        <v>0</v>
      </c>
      <c r="J97">
        <v>0</v>
      </c>
      <c r="K97">
        <v>0</v>
      </c>
      <c r="L97">
        <v>0</v>
      </c>
      <c r="M97">
        <v>4.0599999999999996</v>
      </c>
    </row>
    <row r="98" spans="1:13" x14ac:dyDescent="0.35">
      <c r="A98">
        <v>66</v>
      </c>
      <c r="B98" t="s">
        <v>114</v>
      </c>
      <c r="C98">
        <v>0</v>
      </c>
      <c r="D98">
        <v>8</v>
      </c>
      <c r="E98">
        <v>0</v>
      </c>
      <c r="F98">
        <v>0</v>
      </c>
      <c r="G98">
        <v>0</v>
      </c>
      <c r="H98">
        <v>0</v>
      </c>
      <c r="I98">
        <v>0</v>
      </c>
      <c r="J98">
        <v>2</v>
      </c>
      <c r="K98">
        <v>0</v>
      </c>
      <c r="L98">
        <v>0</v>
      </c>
      <c r="M98">
        <v>4.0599999999999996</v>
      </c>
    </row>
    <row r="99" spans="1:13" x14ac:dyDescent="0.35">
      <c r="A99">
        <v>66</v>
      </c>
      <c r="B99" t="s">
        <v>116</v>
      </c>
      <c r="C99">
        <v>0</v>
      </c>
      <c r="D99">
        <v>0</v>
      </c>
      <c r="E99">
        <v>0</v>
      </c>
      <c r="F99">
        <v>0</v>
      </c>
      <c r="G99">
        <v>0</v>
      </c>
      <c r="H99">
        <v>0</v>
      </c>
      <c r="I99">
        <v>0</v>
      </c>
      <c r="J99">
        <v>0</v>
      </c>
      <c r="K99">
        <v>0</v>
      </c>
      <c r="L99">
        <v>0</v>
      </c>
      <c r="M99">
        <v>4.0599999999999996</v>
      </c>
    </row>
    <row r="100" spans="1:13" x14ac:dyDescent="0.35">
      <c r="A100">
        <v>66</v>
      </c>
      <c r="B100" t="s">
        <v>117</v>
      </c>
      <c r="C100">
        <v>0</v>
      </c>
      <c r="D100">
        <v>3.5</v>
      </c>
      <c r="E100">
        <v>0</v>
      </c>
      <c r="F100">
        <v>0</v>
      </c>
      <c r="G100">
        <v>0</v>
      </c>
      <c r="H100">
        <v>0</v>
      </c>
      <c r="I100">
        <v>2</v>
      </c>
      <c r="J100">
        <v>0</v>
      </c>
      <c r="K100">
        <v>0</v>
      </c>
      <c r="L100">
        <v>0</v>
      </c>
      <c r="M100">
        <v>4.0599999999999996</v>
      </c>
    </row>
    <row r="101" spans="1:13" x14ac:dyDescent="0.35">
      <c r="A101">
        <v>66</v>
      </c>
      <c r="B101" t="s">
        <v>118</v>
      </c>
      <c r="C101">
        <v>0</v>
      </c>
      <c r="D101">
        <v>0</v>
      </c>
      <c r="E101">
        <v>0</v>
      </c>
      <c r="F101">
        <v>0</v>
      </c>
      <c r="G101">
        <v>0</v>
      </c>
      <c r="H101">
        <v>0</v>
      </c>
      <c r="I101">
        <v>0</v>
      </c>
      <c r="J101">
        <v>0</v>
      </c>
      <c r="K101">
        <v>0</v>
      </c>
      <c r="L101">
        <v>0</v>
      </c>
      <c r="M101">
        <v>4.0599999999999996</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F7F843-3E6B-47F9-B781-393B3656CEC9}">
  <dimension ref="A1:M53"/>
  <sheetViews>
    <sheetView workbookViewId="0">
      <pane ySplit="1" topLeftCell="A50" activePane="bottomLeft" state="frozen"/>
      <selection pane="bottomLeft" activeCell="K57" sqref="K57"/>
    </sheetView>
  </sheetViews>
  <sheetFormatPr defaultRowHeight="14.5" x14ac:dyDescent="0.35"/>
  <sheetData>
    <row r="1" spans="1:13" ht="72.5" x14ac:dyDescent="0.35">
      <c r="A1" s="1" t="s">
        <v>6</v>
      </c>
      <c r="B1" s="1" t="s">
        <v>41</v>
      </c>
      <c r="C1" s="1" t="s">
        <v>44</v>
      </c>
      <c r="D1" s="1" t="s">
        <v>122</v>
      </c>
      <c r="E1" s="1" t="s">
        <v>123</v>
      </c>
      <c r="F1" s="1" t="s">
        <v>85</v>
      </c>
      <c r="G1" s="1" t="s">
        <v>48</v>
      </c>
      <c r="H1" s="1" t="s">
        <v>49</v>
      </c>
      <c r="I1" s="1" t="s">
        <v>124</v>
      </c>
      <c r="J1" s="1" t="s">
        <v>51</v>
      </c>
      <c r="K1" s="1" t="s">
        <v>52</v>
      </c>
      <c r="L1" s="1" t="s">
        <v>125</v>
      </c>
      <c r="M1" s="1" t="s">
        <v>126</v>
      </c>
    </row>
    <row r="2" spans="1:13" x14ac:dyDescent="0.35">
      <c r="A2">
        <v>92</v>
      </c>
      <c r="B2" t="s">
        <v>32</v>
      </c>
      <c r="C2" t="s">
        <v>61</v>
      </c>
      <c r="F2" t="s">
        <v>61</v>
      </c>
      <c r="G2" t="s">
        <v>61</v>
      </c>
      <c r="H2" t="s">
        <v>61</v>
      </c>
      <c r="I2" t="s">
        <v>61</v>
      </c>
      <c r="J2" t="s">
        <v>61</v>
      </c>
      <c r="K2" t="s">
        <v>61</v>
      </c>
      <c r="L2" t="s">
        <v>61</v>
      </c>
    </row>
    <row r="3" spans="1:13" x14ac:dyDescent="0.35">
      <c r="A3">
        <v>92</v>
      </c>
      <c r="B3" t="s">
        <v>34</v>
      </c>
      <c r="C3" t="s">
        <v>61</v>
      </c>
      <c r="F3" t="s">
        <v>61</v>
      </c>
      <c r="G3" t="s">
        <v>61</v>
      </c>
      <c r="H3" t="s">
        <v>61</v>
      </c>
      <c r="I3" t="s">
        <v>61</v>
      </c>
      <c r="J3" t="s">
        <v>61</v>
      </c>
      <c r="K3" t="s">
        <v>61</v>
      </c>
      <c r="L3" t="s">
        <v>61</v>
      </c>
    </row>
    <row r="4" spans="1:13" x14ac:dyDescent="0.35">
      <c r="A4">
        <v>92</v>
      </c>
      <c r="B4" t="s">
        <v>36</v>
      </c>
      <c r="C4" t="s">
        <v>61</v>
      </c>
      <c r="F4" t="s">
        <v>61</v>
      </c>
      <c r="G4" t="s">
        <v>61</v>
      </c>
      <c r="H4" t="s">
        <v>61</v>
      </c>
      <c r="I4" t="s">
        <v>61</v>
      </c>
      <c r="J4" t="s">
        <v>61</v>
      </c>
      <c r="K4" t="s">
        <v>61</v>
      </c>
      <c r="L4" t="s">
        <v>61</v>
      </c>
    </row>
    <row r="5" spans="1:13" x14ac:dyDescent="0.35">
      <c r="A5">
        <v>92</v>
      </c>
      <c r="B5" t="s">
        <v>37</v>
      </c>
      <c r="C5" t="s">
        <v>127</v>
      </c>
      <c r="D5" t="s">
        <v>87</v>
      </c>
      <c r="E5" t="s">
        <v>70</v>
      </c>
      <c r="F5">
        <v>1</v>
      </c>
      <c r="G5" t="s">
        <v>87</v>
      </c>
      <c r="H5" t="s">
        <v>87</v>
      </c>
      <c r="I5" t="s">
        <v>70</v>
      </c>
      <c r="J5" t="s">
        <v>87</v>
      </c>
      <c r="K5" t="s">
        <v>87</v>
      </c>
      <c r="L5">
        <v>100</v>
      </c>
    </row>
    <row r="6" spans="1:13" x14ac:dyDescent="0.35">
      <c r="A6">
        <v>93</v>
      </c>
      <c r="B6" t="s">
        <v>32</v>
      </c>
      <c r="C6" t="s">
        <v>61</v>
      </c>
      <c r="F6">
        <v>0</v>
      </c>
      <c r="G6" t="s">
        <v>61</v>
      </c>
      <c r="H6" t="s">
        <v>61</v>
      </c>
      <c r="I6" t="s">
        <v>61</v>
      </c>
      <c r="J6" t="s">
        <v>61</v>
      </c>
      <c r="K6" t="s">
        <v>61</v>
      </c>
      <c r="L6" t="s">
        <v>61</v>
      </c>
    </row>
    <row r="7" spans="1:13" x14ac:dyDescent="0.35">
      <c r="A7">
        <v>93</v>
      </c>
      <c r="B7" t="s">
        <v>34</v>
      </c>
      <c r="C7" t="s">
        <v>61</v>
      </c>
      <c r="F7">
        <v>0</v>
      </c>
      <c r="G7" t="s">
        <v>61</v>
      </c>
      <c r="H7" t="s">
        <v>61</v>
      </c>
      <c r="I7" t="s">
        <v>61</v>
      </c>
      <c r="J7" t="s">
        <v>61</v>
      </c>
      <c r="K7" t="s">
        <v>61</v>
      </c>
      <c r="L7" t="s">
        <v>61</v>
      </c>
    </row>
    <row r="8" spans="1:13" x14ac:dyDescent="0.35">
      <c r="A8">
        <v>93</v>
      </c>
      <c r="B8" t="s">
        <v>36</v>
      </c>
      <c r="C8" t="s">
        <v>61</v>
      </c>
      <c r="F8">
        <v>0</v>
      </c>
      <c r="G8" t="s">
        <v>61</v>
      </c>
      <c r="H8" t="s">
        <v>61</v>
      </c>
      <c r="I8" t="s">
        <v>61</v>
      </c>
      <c r="J8" t="s">
        <v>61</v>
      </c>
      <c r="K8" t="s">
        <v>61</v>
      </c>
      <c r="L8" t="s">
        <v>61</v>
      </c>
    </row>
    <row r="9" spans="1:13" x14ac:dyDescent="0.35">
      <c r="A9">
        <v>93</v>
      </c>
      <c r="B9" t="s">
        <v>37</v>
      </c>
      <c r="C9" t="s">
        <v>61</v>
      </c>
      <c r="F9">
        <v>0</v>
      </c>
      <c r="G9" t="s">
        <v>61</v>
      </c>
      <c r="H9" t="s">
        <v>61</v>
      </c>
      <c r="I9" t="s">
        <v>61</v>
      </c>
      <c r="J9" t="s">
        <v>61</v>
      </c>
      <c r="K9" t="s">
        <v>61</v>
      </c>
      <c r="L9" t="s">
        <v>61</v>
      </c>
    </row>
    <row r="10" spans="1:13" x14ac:dyDescent="0.35">
      <c r="A10">
        <v>4</v>
      </c>
      <c r="B10" t="s">
        <v>32</v>
      </c>
      <c r="C10" t="s">
        <v>61</v>
      </c>
      <c r="F10">
        <v>0</v>
      </c>
      <c r="G10" t="s">
        <v>61</v>
      </c>
      <c r="H10" t="s">
        <v>61</v>
      </c>
      <c r="I10" t="s">
        <v>61</v>
      </c>
      <c r="J10" t="s">
        <v>61</v>
      </c>
      <c r="K10" t="s">
        <v>61</v>
      </c>
      <c r="L10" t="s">
        <v>61</v>
      </c>
    </row>
    <row r="11" spans="1:13" x14ac:dyDescent="0.35">
      <c r="A11">
        <v>4</v>
      </c>
      <c r="B11" t="s">
        <v>34</v>
      </c>
      <c r="C11" t="s">
        <v>61</v>
      </c>
      <c r="F11">
        <v>0</v>
      </c>
      <c r="G11" t="s">
        <v>61</v>
      </c>
      <c r="H11" t="s">
        <v>61</v>
      </c>
      <c r="I11" t="s">
        <v>61</v>
      </c>
      <c r="J11" t="s">
        <v>61</v>
      </c>
      <c r="K11" t="s">
        <v>61</v>
      </c>
      <c r="L11" t="s">
        <v>61</v>
      </c>
    </row>
    <row r="12" spans="1:13" x14ac:dyDescent="0.35">
      <c r="A12">
        <v>4</v>
      </c>
      <c r="B12" t="s">
        <v>36</v>
      </c>
      <c r="C12" t="s">
        <v>61</v>
      </c>
      <c r="F12">
        <v>0</v>
      </c>
      <c r="G12" t="s">
        <v>61</v>
      </c>
      <c r="H12" t="s">
        <v>61</v>
      </c>
      <c r="I12" t="s">
        <v>61</v>
      </c>
      <c r="J12" t="s">
        <v>61</v>
      </c>
      <c r="K12" t="s">
        <v>61</v>
      </c>
      <c r="L12" t="s">
        <v>61</v>
      </c>
    </row>
    <row r="13" spans="1:13" x14ac:dyDescent="0.35">
      <c r="A13">
        <v>4</v>
      </c>
      <c r="B13" t="s">
        <v>37</v>
      </c>
      <c r="C13" t="s">
        <v>61</v>
      </c>
      <c r="F13">
        <v>0</v>
      </c>
      <c r="G13" t="s">
        <v>61</v>
      </c>
      <c r="H13" t="s">
        <v>61</v>
      </c>
      <c r="I13" t="s">
        <v>61</v>
      </c>
      <c r="J13" t="s">
        <v>61</v>
      </c>
      <c r="K13" t="s">
        <v>61</v>
      </c>
      <c r="L13" t="s">
        <v>61</v>
      </c>
    </row>
    <row r="14" spans="1:13" x14ac:dyDescent="0.35">
      <c r="A14">
        <v>6</v>
      </c>
      <c r="B14" t="s">
        <v>32</v>
      </c>
      <c r="C14" t="s">
        <v>61</v>
      </c>
      <c r="F14">
        <v>0</v>
      </c>
      <c r="G14" t="s">
        <v>61</v>
      </c>
      <c r="H14" t="s">
        <v>61</v>
      </c>
      <c r="I14" t="s">
        <v>61</v>
      </c>
      <c r="J14" t="s">
        <v>61</v>
      </c>
      <c r="K14" t="s">
        <v>61</v>
      </c>
      <c r="L14" t="s">
        <v>61</v>
      </c>
    </row>
    <row r="15" spans="1:13" x14ac:dyDescent="0.35">
      <c r="A15">
        <v>6</v>
      </c>
      <c r="B15" t="s">
        <v>34</v>
      </c>
      <c r="C15" t="s">
        <v>127</v>
      </c>
      <c r="D15" t="s">
        <v>87</v>
      </c>
      <c r="E15" t="s">
        <v>70</v>
      </c>
      <c r="F15">
        <v>3</v>
      </c>
      <c r="G15" t="s">
        <v>87</v>
      </c>
      <c r="H15" t="s">
        <v>87</v>
      </c>
      <c r="I15" t="s">
        <v>70</v>
      </c>
      <c r="J15" t="s">
        <v>87</v>
      </c>
      <c r="K15" t="s">
        <v>87</v>
      </c>
      <c r="L15">
        <v>33</v>
      </c>
    </row>
    <row r="16" spans="1:13" x14ac:dyDescent="0.35">
      <c r="A16">
        <v>6</v>
      </c>
      <c r="B16" t="s">
        <v>36</v>
      </c>
      <c r="C16" t="s">
        <v>61</v>
      </c>
      <c r="F16">
        <v>0</v>
      </c>
      <c r="G16" t="s">
        <v>61</v>
      </c>
      <c r="H16" t="s">
        <v>61</v>
      </c>
      <c r="I16" t="s">
        <v>61</v>
      </c>
      <c r="J16" t="s">
        <v>61</v>
      </c>
      <c r="K16" t="s">
        <v>61</v>
      </c>
      <c r="L16" t="s">
        <v>61</v>
      </c>
    </row>
    <row r="17" spans="1:13" x14ac:dyDescent="0.35">
      <c r="A17">
        <v>6</v>
      </c>
      <c r="B17" t="s">
        <v>37</v>
      </c>
      <c r="C17" t="s">
        <v>127</v>
      </c>
      <c r="D17" t="s">
        <v>87</v>
      </c>
      <c r="E17" t="s">
        <v>70</v>
      </c>
      <c r="F17">
        <v>1</v>
      </c>
      <c r="G17" t="s">
        <v>87</v>
      </c>
      <c r="H17" t="s">
        <v>87</v>
      </c>
      <c r="I17" t="s">
        <v>70</v>
      </c>
      <c r="J17" t="s">
        <v>87</v>
      </c>
      <c r="K17" t="s">
        <v>70</v>
      </c>
      <c r="L17">
        <v>100</v>
      </c>
    </row>
    <row r="18" spans="1:13" x14ac:dyDescent="0.35">
      <c r="A18">
        <v>106</v>
      </c>
      <c r="B18" t="s">
        <v>32</v>
      </c>
      <c r="C18" t="s">
        <v>128</v>
      </c>
      <c r="F18">
        <v>1</v>
      </c>
      <c r="G18" t="s">
        <v>87</v>
      </c>
      <c r="H18" t="s">
        <v>87</v>
      </c>
      <c r="I18" t="s">
        <v>87</v>
      </c>
      <c r="J18" t="s">
        <v>87</v>
      </c>
      <c r="K18" t="s">
        <v>87</v>
      </c>
      <c r="L18">
        <v>0</v>
      </c>
    </row>
    <row r="19" spans="1:13" x14ac:dyDescent="0.35">
      <c r="A19">
        <v>106</v>
      </c>
      <c r="B19" t="s">
        <v>34</v>
      </c>
      <c r="C19" t="s">
        <v>128</v>
      </c>
      <c r="F19">
        <v>3</v>
      </c>
      <c r="G19" t="s">
        <v>87</v>
      </c>
      <c r="H19" t="s">
        <v>87</v>
      </c>
      <c r="I19" t="s">
        <v>87</v>
      </c>
      <c r="J19" t="s">
        <v>87</v>
      </c>
      <c r="K19" t="s">
        <v>87</v>
      </c>
      <c r="L19">
        <v>0</v>
      </c>
    </row>
    <row r="20" spans="1:13" x14ac:dyDescent="0.35">
      <c r="A20">
        <v>106</v>
      </c>
      <c r="B20" t="s">
        <v>36</v>
      </c>
      <c r="C20" t="s">
        <v>127</v>
      </c>
      <c r="D20" t="s">
        <v>87</v>
      </c>
      <c r="E20" t="s">
        <v>70</v>
      </c>
      <c r="F20">
        <v>6</v>
      </c>
      <c r="G20" t="s">
        <v>87</v>
      </c>
      <c r="H20" t="s">
        <v>87</v>
      </c>
      <c r="I20" t="s">
        <v>87</v>
      </c>
      <c r="J20" t="s">
        <v>87</v>
      </c>
      <c r="K20" t="s">
        <v>87</v>
      </c>
      <c r="L20">
        <v>0</v>
      </c>
    </row>
    <row r="21" spans="1:13" x14ac:dyDescent="0.35">
      <c r="A21">
        <v>106</v>
      </c>
      <c r="B21" t="s">
        <v>37</v>
      </c>
      <c r="C21" t="s">
        <v>128</v>
      </c>
      <c r="F21">
        <v>2</v>
      </c>
      <c r="G21" t="s">
        <v>87</v>
      </c>
      <c r="H21" t="s">
        <v>87</v>
      </c>
      <c r="I21" t="s">
        <v>87</v>
      </c>
      <c r="J21" t="s">
        <v>87</v>
      </c>
      <c r="K21" t="s">
        <v>87</v>
      </c>
      <c r="L21">
        <v>0</v>
      </c>
    </row>
    <row r="22" spans="1:13" x14ac:dyDescent="0.35">
      <c r="A22">
        <v>107</v>
      </c>
      <c r="B22" t="s">
        <v>32</v>
      </c>
      <c r="C22" t="s">
        <v>61</v>
      </c>
      <c r="F22">
        <v>0</v>
      </c>
      <c r="G22" t="s">
        <v>61</v>
      </c>
      <c r="H22" t="s">
        <v>61</v>
      </c>
      <c r="I22" t="s">
        <v>61</v>
      </c>
      <c r="J22" t="s">
        <v>61</v>
      </c>
      <c r="K22" t="s">
        <v>61</v>
      </c>
      <c r="L22" t="s">
        <v>61</v>
      </c>
    </row>
    <row r="23" spans="1:13" x14ac:dyDescent="0.35">
      <c r="A23">
        <v>107</v>
      </c>
      <c r="B23" t="s">
        <v>34</v>
      </c>
      <c r="C23" t="s">
        <v>61</v>
      </c>
      <c r="F23">
        <v>0</v>
      </c>
      <c r="G23" t="s">
        <v>61</v>
      </c>
      <c r="H23" t="s">
        <v>61</v>
      </c>
      <c r="I23" t="s">
        <v>61</v>
      </c>
      <c r="J23" t="s">
        <v>61</v>
      </c>
      <c r="K23" t="s">
        <v>61</v>
      </c>
      <c r="L23" t="s">
        <v>61</v>
      </c>
    </row>
    <row r="24" spans="1:13" x14ac:dyDescent="0.35">
      <c r="A24">
        <v>107</v>
      </c>
      <c r="B24" t="s">
        <v>36</v>
      </c>
      <c r="C24" t="s">
        <v>61</v>
      </c>
      <c r="F24">
        <v>0</v>
      </c>
      <c r="G24" t="s">
        <v>61</v>
      </c>
      <c r="H24" t="s">
        <v>61</v>
      </c>
      <c r="I24" t="s">
        <v>61</v>
      </c>
      <c r="J24" t="s">
        <v>61</v>
      </c>
      <c r="K24" t="s">
        <v>61</v>
      </c>
      <c r="L24" t="s">
        <v>61</v>
      </c>
    </row>
    <row r="25" spans="1:13" x14ac:dyDescent="0.35">
      <c r="A25">
        <v>107</v>
      </c>
      <c r="B25" t="s">
        <v>37</v>
      </c>
      <c r="C25" t="s">
        <v>127</v>
      </c>
      <c r="D25" t="s">
        <v>87</v>
      </c>
      <c r="E25" t="s">
        <v>70</v>
      </c>
      <c r="F25">
        <v>3</v>
      </c>
      <c r="G25" t="s">
        <v>87</v>
      </c>
      <c r="H25" t="s">
        <v>87</v>
      </c>
      <c r="I25" t="s">
        <v>70</v>
      </c>
      <c r="J25" t="s">
        <v>87</v>
      </c>
      <c r="K25" t="s">
        <v>87</v>
      </c>
      <c r="L25">
        <v>33</v>
      </c>
    </row>
    <row r="26" spans="1:13" x14ac:dyDescent="0.35">
      <c r="A26">
        <v>108</v>
      </c>
      <c r="B26" t="s">
        <v>32</v>
      </c>
      <c r="C26" t="s">
        <v>61</v>
      </c>
      <c r="F26">
        <v>0</v>
      </c>
      <c r="G26" t="s">
        <v>61</v>
      </c>
      <c r="H26" t="s">
        <v>61</v>
      </c>
      <c r="I26" t="s">
        <v>61</v>
      </c>
      <c r="J26" t="s">
        <v>61</v>
      </c>
      <c r="K26" t="s">
        <v>61</v>
      </c>
      <c r="L26" t="s">
        <v>61</v>
      </c>
    </row>
    <row r="27" spans="1:13" x14ac:dyDescent="0.35">
      <c r="A27">
        <v>108</v>
      </c>
      <c r="B27" t="s">
        <v>34</v>
      </c>
      <c r="C27" t="s">
        <v>61</v>
      </c>
      <c r="F27">
        <v>0</v>
      </c>
      <c r="G27" t="s">
        <v>61</v>
      </c>
      <c r="H27" t="s">
        <v>61</v>
      </c>
      <c r="I27" t="s">
        <v>61</v>
      </c>
      <c r="J27" t="s">
        <v>61</v>
      </c>
      <c r="K27" t="s">
        <v>61</v>
      </c>
      <c r="L27" t="s">
        <v>61</v>
      </c>
    </row>
    <row r="28" spans="1:13" x14ac:dyDescent="0.35">
      <c r="A28">
        <v>108</v>
      </c>
      <c r="B28" t="s">
        <v>36</v>
      </c>
      <c r="C28" t="s">
        <v>61</v>
      </c>
      <c r="F28">
        <v>0</v>
      </c>
      <c r="G28" t="s">
        <v>61</v>
      </c>
      <c r="H28" t="s">
        <v>61</v>
      </c>
      <c r="I28" t="s">
        <v>61</v>
      </c>
      <c r="J28" t="s">
        <v>61</v>
      </c>
      <c r="K28" t="s">
        <v>61</v>
      </c>
      <c r="L28" t="s">
        <v>61</v>
      </c>
    </row>
    <row r="29" spans="1:13" x14ac:dyDescent="0.35">
      <c r="A29">
        <v>108</v>
      </c>
      <c r="B29" t="s">
        <v>37</v>
      </c>
      <c r="C29" t="s">
        <v>127</v>
      </c>
      <c r="D29" t="s">
        <v>87</v>
      </c>
      <c r="E29" t="s">
        <v>70</v>
      </c>
      <c r="F29">
        <v>1</v>
      </c>
      <c r="G29" t="s">
        <v>87</v>
      </c>
      <c r="H29" t="s">
        <v>87</v>
      </c>
      <c r="I29" t="s">
        <v>87</v>
      </c>
      <c r="J29" t="s">
        <v>87</v>
      </c>
      <c r="K29" t="s">
        <v>87</v>
      </c>
      <c r="L29">
        <v>0</v>
      </c>
    </row>
    <row r="30" spans="1:13" x14ac:dyDescent="0.35">
      <c r="A30">
        <v>104</v>
      </c>
      <c r="B30" t="s">
        <v>34</v>
      </c>
      <c r="C30" t="s">
        <v>61</v>
      </c>
      <c r="F30">
        <v>0</v>
      </c>
      <c r="G30" t="s">
        <v>61</v>
      </c>
      <c r="H30" t="s">
        <v>61</v>
      </c>
      <c r="I30" t="s">
        <v>61</v>
      </c>
      <c r="J30" t="s">
        <v>61</v>
      </c>
      <c r="K30" t="s">
        <v>61</v>
      </c>
      <c r="L30" t="s">
        <v>61</v>
      </c>
    </row>
    <row r="31" spans="1:13" x14ac:dyDescent="0.35">
      <c r="A31">
        <v>104</v>
      </c>
      <c r="B31" t="s">
        <v>32</v>
      </c>
      <c r="C31" t="s">
        <v>127</v>
      </c>
      <c r="D31" t="s">
        <v>87</v>
      </c>
      <c r="E31" t="s">
        <v>70</v>
      </c>
      <c r="F31">
        <v>2</v>
      </c>
      <c r="G31" t="s">
        <v>87</v>
      </c>
      <c r="H31" t="s">
        <v>87</v>
      </c>
      <c r="I31" t="s">
        <v>87</v>
      </c>
      <c r="J31" t="s">
        <v>87</v>
      </c>
      <c r="K31" t="s">
        <v>87</v>
      </c>
      <c r="L31">
        <v>0</v>
      </c>
    </row>
    <row r="32" spans="1:13" x14ac:dyDescent="0.35">
      <c r="A32">
        <v>104</v>
      </c>
      <c r="B32" t="s">
        <v>37</v>
      </c>
      <c r="C32" t="s">
        <v>127</v>
      </c>
      <c r="D32" t="s">
        <v>87</v>
      </c>
      <c r="E32" t="s">
        <v>70</v>
      </c>
      <c r="F32">
        <v>3</v>
      </c>
      <c r="G32" t="s">
        <v>87</v>
      </c>
      <c r="H32" t="s">
        <v>87</v>
      </c>
      <c r="I32" t="s">
        <v>87</v>
      </c>
      <c r="J32" t="s">
        <v>70</v>
      </c>
      <c r="K32" t="s">
        <v>87</v>
      </c>
      <c r="L32">
        <v>33</v>
      </c>
      <c r="M32" t="s">
        <v>231</v>
      </c>
    </row>
    <row r="33" spans="1:12" x14ac:dyDescent="0.35">
      <c r="A33">
        <v>104</v>
      </c>
      <c r="B33" t="s">
        <v>36</v>
      </c>
      <c r="C33" t="s">
        <v>127</v>
      </c>
      <c r="D33" t="s">
        <v>87</v>
      </c>
      <c r="E33" t="s">
        <v>70</v>
      </c>
      <c r="F33">
        <v>3</v>
      </c>
      <c r="G33" t="s">
        <v>87</v>
      </c>
      <c r="H33" t="s">
        <v>87</v>
      </c>
      <c r="I33" t="s">
        <v>87</v>
      </c>
      <c r="J33" t="s">
        <v>87</v>
      </c>
      <c r="K33" t="s">
        <v>87</v>
      </c>
      <c r="L33">
        <v>0</v>
      </c>
    </row>
    <row r="34" spans="1:12" x14ac:dyDescent="0.35">
      <c r="A34">
        <v>103</v>
      </c>
      <c r="B34" t="s">
        <v>32</v>
      </c>
      <c r="C34" t="s">
        <v>61</v>
      </c>
      <c r="F34">
        <v>0</v>
      </c>
      <c r="G34" t="s">
        <v>61</v>
      </c>
      <c r="H34" t="s">
        <v>61</v>
      </c>
      <c r="I34" t="s">
        <v>61</v>
      </c>
      <c r="J34" t="s">
        <v>61</v>
      </c>
      <c r="K34" t="s">
        <v>61</v>
      </c>
      <c r="L34" t="s">
        <v>61</v>
      </c>
    </row>
    <row r="35" spans="1:12" x14ac:dyDescent="0.35">
      <c r="A35">
        <v>103</v>
      </c>
      <c r="B35" t="s">
        <v>34</v>
      </c>
      <c r="C35" t="s">
        <v>61</v>
      </c>
      <c r="F35">
        <v>0</v>
      </c>
      <c r="G35" t="s">
        <v>61</v>
      </c>
      <c r="H35" t="s">
        <v>61</v>
      </c>
      <c r="I35" t="s">
        <v>61</v>
      </c>
      <c r="J35" t="s">
        <v>61</v>
      </c>
      <c r="K35" t="s">
        <v>61</v>
      </c>
      <c r="L35" t="s">
        <v>61</v>
      </c>
    </row>
    <row r="36" spans="1:12" x14ac:dyDescent="0.35">
      <c r="A36">
        <v>103</v>
      </c>
      <c r="B36" t="s">
        <v>36</v>
      </c>
      <c r="C36" t="s">
        <v>61</v>
      </c>
      <c r="F36">
        <v>0</v>
      </c>
      <c r="G36" t="s">
        <v>61</v>
      </c>
      <c r="H36" t="s">
        <v>61</v>
      </c>
      <c r="I36" t="s">
        <v>61</v>
      </c>
      <c r="J36" t="s">
        <v>61</v>
      </c>
      <c r="K36" t="s">
        <v>61</v>
      </c>
      <c r="L36" t="s">
        <v>61</v>
      </c>
    </row>
    <row r="37" spans="1:12" x14ac:dyDescent="0.35">
      <c r="A37">
        <v>103</v>
      </c>
      <c r="B37" t="s">
        <v>37</v>
      </c>
      <c r="C37" t="s">
        <v>61</v>
      </c>
      <c r="F37">
        <v>0</v>
      </c>
      <c r="G37" t="s">
        <v>61</v>
      </c>
      <c r="H37" t="s">
        <v>61</v>
      </c>
      <c r="I37" t="s">
        <v>61</v>
      </c>
      <c r="J37" t="s">
        <v>61</v>
      </c>
      <c r="K37" t="s">
        <v>61</v>
      </c>
      <c r="L37" t="s">
        <v>61</v>
      </c>
    </row>
    <row r="38" spans="1:12" x14ac:dyDescent="0.35">
      <c r="A38">
        <v>105</v>
      </c>
      <c r="B38" t="s">
        <v>32</v>
      </c>
      <c r="C38" t="s">
        <v>61</v>
      </c>
      <c r="F38">
        <v>0</v>
      </c>
      <c r="G38" t="s">
        <v>61</v>
      </c>
      <c r="H38" t="s">
        <v>61</v>
      </c>
      <c r="I38" t="s">
        <v>61</v>
      </c>
      <c r="J38" t="s">
        <v>61</v>
      </c>
      <c r="K38" t="s">
        <v>61</v>
      </c>
      <c r="L38" t="s">
        <v>61</v>
      </c>
    </row>
    <row r="39" spans="1:12" x14ac:dyDescent="0.35">
      <c r="A39">
        <v>105</v>
      </c>
      <c r="B39" t="s">
        <v>34</v>
      </c>
      <c r="C39" t="s">
        <v>61</v>
      </c>
      <c r="F39">
        <v>0</v>
      </c>
      <c r="G39" t="s">
        <v>61</v>
      </c>
      <c r="H39" t="s">
        <v>61</v>
      </c>
      <c r="I39" t="s">
        <v>61</v>
      </c>
      <c r="J39" t="s">
        <v>61</v>
      </c>
      <c r="K39" t="s">
        <v>61</v>
      </c>
      <c r="L39" t="s">
        <v>61</v>
      </c>
    </row>
    <row r="40" spans="1:12" x14ac:dyDescent="0.35">
      <c r="A40">
        <v>105</v>
      </c>
      <c r="B40" t="s">
        <v>36</v>
      </c>
      <c r="C40" t="s">
        <v>127</v>
      </c>
      <c r="D40" t="s">
        <v>87</v>
      </c>
      <c r="E40" t="s">
        <v>70</v>
      </c>
      <c r="F40">
        <v>1</v>
      </c>
    </row>
    <row r="41" spans="1:12" x14ac:dyDescent="0.35">
      <c r="A41">
        <v>105</v>
      </c>
      <c r="B41" t="s">
        <v>37</v>
      </c>
      <c r="C41" t="s">
        <v>61</v>
      </c>
      <c r="F41">
        <v>0</v>
      </c>
      <c r="G41" t="s">
        <v>61</v>
      </c>
      <c r="H41" t="s">
        <v>61</v>
      </c>
      <c r="I41" t="s">
        <v>61</v>
      </c>
      <c r="J41" t="s">
        <v>61</v>
      </c>
      <c r="K41" t="s">
        <v>61</v>
      </c>
      <c r="L41" t="s">
        <v>61</v>
      </c>
    </row>
    <row r="42" spans="1:12" x14ac:dyDescent="0.35">
      <c r="A42">
        <v>61</v>
      </c>
      <c r="B42" t="s">
        <v>32</v>
      </c>
      <c r="C42" t="s">
        <v>127</v>
      </c>
      <c r="D42" t="s">
        <v>87</v>
      </c>
      <c r="E42" t="s">
        <v>70</v>
      </c>
      <c r="F42">
        <v>1</v>
      </c>
      <c r="G42" t="s">
        <v>87</v>
      </c>
      <c r="H42" t="s">
        <v>87</v>
      </c>
      <c r="I42" t="s">
        <v>70</v>
      </c>
      <c r="J42" t="s">
        <v>87</v>
      </c>
      <c r="K42" t="s">
        <v>87</v>
      </c>
      <c r="L42">
        <v>100</v>
      </c>
    </row>
    <row r="43" spans="1:12" x14ac:dyDescent="0.35">
      <c r="A43">
        <v>61</v>
      </c>
      <c r="B43" t="s">
        <v>34</v>
      </c>
      <c r="C43" t="s">
        <v>127</v>
      </c>
      <c r="D43" t="s">
        <v>87</v>
      </c>
      <c r="E43" t="s">
        <v>70</v>
      </c>
      <c r="F43">
        <v>1</v>
      </c>
      <c r="G43" t="s">
        <v>87</v>
      </c>
      <c r="H43" t="s">
        <v>87</v>
      </c>
      <c r="I43" t="s">
        <v>87</v>
      </c>
      <c r="J43" t="s">
        <v>87</v>
      </c>
      <c r="K43" t="s">
        <v>87</v>
      </c>
      <c r="L43">
        <v>0</v>
      </c>
    </row>
    <row r="44" spans="1:12" x14ac:dyDescent="0.35">
      <c r="A44">
        <v>61</v>
      </c>
      <c r="B44" t="s">
        <v>36</v>
      </c>
      <c r="C44" t="s">
        <v>127</v>
      </c>
      <c r="D44" t="s">
        <v>87</v>
      </c>
      <c r="E44" t="s">
        <v>70</v>
      </c>
      <c r="F44">
        <v>1</v>
      </c>
      <c r="G44" t="s">
        <v>87</v>
      </c>
      <c r="H44" t="s">
        <v>87</v>
      </c>
      <c r="I44" t="s">
        <v>70</v>
      </c>
      <c r="J44" t="s">
        <v>70</v>
      </c>
      <c r="K44" t="s">
        <v>70</v>
      </c>
      <c r="L44">
        <v>100</v>
      </c>
    </row>
    <row r="45" spans="1:12" x14ac:dyDescent="0.35">
      <c r="A45">
        <v>61</v>
      </c>
      <c r="B45" t="s">
        <v>37</v>
      </c>
      <c r="C45" t="s">
        <v>127</v>
      </c>
      <c r="D45" t="s">
        <v>87</v>
      </c>
      <c r="E45" t="s">
        <v>70</v>
      </c>
      <c r="F45">
        <v>1</v>
      </c>
      <c r="G45" t="s">
        <v>87</v>
      </c>
      <c r="H45" t="s">
        <v>87</v>
      </c>
      <c r="I45" t="s">
        <v>87</v>
      </c>
      <c r="J45" t="s">
        <v>87</v>
      </c>
      <c r="K45" t="s">
        <v>87</v>
      </c>
      <c r="L45">
        <v>0</v>
      </c>
    </row>
    <row r="46" spans="1:12" x14ac:dyDescent="0.35">
      <c r="A46">
        <v>23</v>
      </c>
      <c r="B46" t="s">
        <v>32</v>
      </c>
      <c r="C46" t="s">
        <v>61</v>
      </c>
      <c r="F46">
        <v>0</v>
      </c>
      <c r="G46" t="s">
        <v>61</v>
      </c>
      <c r="H46" t="s">
        <v>61</v>
      </c>
      <c r="I46" t="s">
        <v>61</v>
      </c>
      <c r="J46" t="s">
        <v>61</v>
      </c>
      <c r="K46" t="s">
        <v>61</v>
      </c>
      <c r="L46" t="s">
        <v>61</v>
      </c>
    </row>
    <row r="47" spans="1:12" x14ac:dyDescent="0.35">
      <c r="A47">
        <v>23</v>
      </c>
      <c r="B47" t="s">
        <v>34</v>
      </c>
      <c r="C47" t="s">
        <v>61</v>
      </c>
      <c r="F47">
        <v>0</v>
      </c>
      <c r="G47" t="s">
        <v>61</v>
      </c>
      <c r="H47" t="s">
        <v>61</v>
      </c>
      <c r="I47" t="s">
        <v>61</v>
      </c>
      <c r="J47" t="s">
        <v>61</v>
      </c>
      <c r="K47" t="s">
        <v>61</v>
      </c>
      <c r="L47" t="s">
        <v>61</v>
      </c>
    </row>
    <row r="48" spans="1:12" x14ac:dyDescent="0.35">
      <c r="A48">
        <v>23</v>
      </c>
      <c r="B48" t="s">
        <v>36</v>
      </c>
      <c r="C48" t="s">
        <v>61</v>
      </c>
      <c r="F48">
        <v>0</v>
      </c>
      <c r="G48" t="s">
        <v>61</v>
      </c>
      <c r="H48" t="s">
        <v>61</v>
      </c>
      <c r="I48" t="s">
        <v>61</v>
      </c>
      <c r="J48" t="s">
        <v>61</v>
      </c>
      <c r="K48" t="s">
        <v>61</v>
      </c>
      <c r="L48" t="s">
        <v>61</v>
      </c>
    </row>
    <row r="49" spans="1:12" x14ac:dyDescent="0.35">
      <c r="A49">
        <v>23</v>
      </c>
      <c r="B49" t="s">
        <v>37</v>
      </c>
      <c r="C49" t="s">
        <v>61</v>
      </c>
      <c r="F49">
        <v>0</v>
      </c>
      <c r="G49" t="s">
        <v>61</v>
      </c>
      <c r="H49" t="s">
        <v>61</v>
      </c>
      <c r="I49" t="s">
        <v>61</v>
      </c>
      <c r="J49" t="s">
        <v>61</v>
      </c>
      <c r="K49" t="s">
        <v>61</v>
      </c>
      <c r="L49" t="s">
        <v>61</v>
      </c>
    </row>
    <row r="50" spans="1:12" x14ac:dyDescent="0.35">
      <c r="A50">
        <v>66</v>
      </c>
      <c r="B50" t="s">
        <v>32</v>
      </c>
      <c r="C50" t="s">
        <v>127</v>
      </c>
      <c r="D50" t="s">
        <v>87</v>
      </c>
      <c r="E50" t="s">
        <v>70</v>
      </c>
      <c r="F50">
        <v>1</v>
      </c>
      <c r="G50" t="s">
        <v>87</v>
      </c>
      <c r="H50" t="s">
        <v>87</v>
      </c>
      <c r="I50" t="s">
        <v>87</v>
      </c>
      <c r="J50" t="s">
        <v>87</v>
      </c>
      <c r="K50" t="s">
        <v>87</v>
      </c>
      <c r="L50">
        <v>0</v>
      </c>
    </row>
    <row r="51" spans="1:12" x14ac:dyDescent="0.35">
      <c r="A51">
        <v>66</v>
      </c>
      <c r="B51" t="s">
        <v>34</v>
      </c>
      <c r="C51" t="s">
        <v>127</v>
      </c>
      <c r="D51" t="s">
        <v>87</v>
      </c>
      <c r="E51" t="s">
        <v>70</v>
      </c>
      <c r="F51">
        <v>7</v>
      </c>
      <c r="G51" t="s">
        <v>87</v>
      </c>
      <c r="H51" t="s">
        <v>87</v>
      </c>
      <c r="I51" t="s">
        <v>70</v>
      </c>
      <c r="J51" t="s">
        <v>70</v>
      </c>
      <c r="K51" t="s">
        <v>70</v>
      </c>
      <c r="L51">
        <f>4/7</f>
        <v>0.5714285714285714</v>
      </c>
    </row>
    <row r="52" spans="1:12" x14ac:dyDescent="0.35">
      <c r="A52">
        <v>66</v>
      </c>
      <c r="B52" t="s">
        <v>36</v>
      </c>
      <c r="C52" t="s">
        <v>127</v>
      </c>
      <c r="D52" t="s">
        <v>87</v>
      </c>
      <c r="E52" t="s">
        <v>70</v>
      </c>
      <c r="F52">
        <v>1</v>
      </c>
      <c r="G52" t="s">
        <v>87</v>
      </c>
      <c r="H52" t="s">
        <v>87</v>
      </c>
      <c r="I52" t="s">
        <v>87</v>
      </c>
      <c r="J52" t="s">
        <v>70</v>
      </c>
      <c r="K52" t="s">
        <v>87</v>
      </c>
      <c r="L52">
        <v>100</v>
      </c>
    </row>
    <row r="53" spans="1:12" x14ac:dyDescent="0.35">
      <c r="A53">
        <v>66</v>
      </c>
      <c r="B53" t="s">
        <v>37</v>
      </c>
      <c r="C53" t="s">
        <v>61</v>
      </c>
      <c r="F53">
        <v>0</v>
      </c>
      <c r="G53" t="s">
        <v>61</v>
      </c>
      <c r="H53" t="s">
        <v>61</v>
      </c>
      <c r="I53" t="s">
        <v>61</v>
      </c>
      <c r="J53" t="s">
        <v>61</v>
      </c>
      <c r="K53" t="s">
        <v>61</v>
      </c>
      <c r="L53" t="s">
        <v>61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metadata</vt:lpstr>
      <vt:lpstr>plot_percent_cover_2025</vt:lpstr>
      <vt:lpstr>ash_trees_2025</vt:lpstr>
      <vt:lpstr>trees_2025</vt:lpstr>
      <vt:lpstr>ash_seedlings_2025</vt:lpstr>
      <vt:lpstr>ash_saplings_2025</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Aaron Tayal</dc:creator>
  <cp:lastModifiedBy>Aaron Tayal</cp:lastModifiedBy>
  <dcterms:created xsi:type="dcterms:W3CDTF">2025-06-16T17:55:10Z</dcterms:created>
  <dcterms:modified xsi:type="dcterms:W3CDTF">2025-07-01T14:24:34Z</dcterms:modified>
</cp:coreProperties>
</file>