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 documentId="13_ncr:1_{9D00DFDD-D44C-40CC-9A5D-C1C9304CB73A}" xr6:coauthVersionLast="47" xr6:coauthVersionMax="47" xr10:uidLastSave="{B8D7EF20-7B66-4487-AE70-FFC3DEE314E1}"/>
  <bookViews>
    <workbookView xWindow="-110" yWindow="-110" windowWidth="19420" windowHeight="10420" firstSheet="1" activeTab="1" xr2:uid="{D8A15C32-A4CC-43B1-99C9-25143577D14B}"/>
  </bookViews>
  <sheets>
    <sheet name="metadata" sheetId="1" r:id="rId1"/>
    <sheet name="plot_percent_cover_2025" sheetId="2" r:id="rId2"/>
    <sheet name="ash_trees_2025" sheetId="3" r:id="rId3"/>
    <sheet name="trees_2025" sheetId="4" r:id="rId4"/>
    <sheet name="ash_seedlings_2025" sheetId="5" r:id="rId5"/>
    <sheet name="ash_saplings_2025"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85" i="4" l="1"/>
  <c r="G284" i="4"/>
  <c r="G282" i="4"/>
  <c r="G274" i="4"/>
  <c r="G272" i="4"/>
  <c r="G271" i="4"/>
  <c r="G267" i="4"/>
  <c r="G266" i="4"/>
  <c r="G265" i="4"/>
  <c r="G264" i="4"/>
  <c r="G263" i="4"/>
  <c r="G260" i="4"/>
  <c r="G259" i="4"/>
  <c r="G258" i="4"/>
  <c r="G257" i="4"/>
  <c r="G256" i="4"/>
  <c r="G255" i="4"/>
  <c r="G252" i="4"/>
  <c r="G227" i="4"/>
  <c r="G208" i="4"/>
  <c r="G206" i="4"/>
  <c r="G196" i="4"/>
  <c r="G148" i="4"/>
  <c r="G147" i="4"/>
  <c r="G142" i="4"/>
  <c r="G141" i="4"/>
  <c r="G139" i="4"/>
  <c r="G138" i="4"/>
  <c r="G137" i="4"/>
  <c r="G135" i="4"/>
  <c r="G133" i="4"/>
  <c r="G131" i="4"/>
  <c r="G129" i="4"/>
  <c r="G127" i="4"/>
  <c r="G125" i="4"/>
  <c r="G121" i="4"/>
  <c r="G120" i="4"/>
  <c r="G113" i="4"/>
  <c r="G112" i="4"/>
  <c r="G111" i="4"/>
  <c r="G110" i="4"/>
  <c r="G109" i="4"/>
  <c r="G108" i="4"/>
  <c r="G107" i="4"/>
  <c r="G106" i="4"/>
  <c r="G98" i="4"/>
  <c r="G97" i="4"/>
  <c r="G90" i="4"/>
  <c r="G89" i="4"/>
  <c r="G87" i="4"/>
  <c r="G82" i="4"/>
  <c r="G81" i="4"/>
  <c r="G78" i="4"/>
  <c r="G76" i="4"/>
  <c r="G75" i="4"/>
  <c r="G69" i="4"/>
  <c r="G65" i="4"/>
  <c r="G61" i="4"/>
  <c r="G56" i="4"/>
  <c r="G53" i="4"/>
  <c r="G48" i="4"/>
  <c r="G42" i="4"/>
  <c r="G39" i="4"/>
  <c r="G37" i="4"/>
  <c r="G35" i="4"/>
  <c r="G24" i="4"/>
  <c r="G13" i="4"/>
</calcChain>
</file>

<file path=xl/sharedStrings.xml><?xml version="1.0" encoding="utf-8"?>
<sst xmlns="http://schemas.openxmlformats.org/spreadsheetml/2006/main" count="2250" uniqueCount="130">
  <si>
    <t>This datasheet will include ash trees AND non-ash trees. It will include any trees bigger than 12.5 cm DBH in the 18 meter plot, and any trees bigger than 2.5 cm DBH in the subplot. Note the difference in diameter threshold: before we were recording any ash trees bigger than 10 cm DBH in the main plot, but we decided to set the cutoff at 12.5 cm DBH for the main plot for non-ash trees. When entering the data, I'll copy the ash trees into this datasheet as well, as long as they are above 12.5 cm in the 18 m, or 2.5 cm in the 8 m.</t>
  </si>
  <si>
    <t>ash_plot_centers</t>
  </si>
  <si>
    <t>See the file: "EAB_Michigan_2024_raw_data_photos_removed.xlsx". I put the plot center data collected in 2025 into that file.</t>
  </si>
  <si>
    <t>plot_percent_cover_2025</t>
  </si>
  <si>
    <t>This datasheet records data for each quadrant of the entire 18 meter radius for 2025. I (Aaron) stood at about 8 meters from the center and looked both outward and towards the center to make estimates. I stood in the NE, SE, SW, or NW directions. I walked around within the quadrant for about 1 minute as well. I estimated percent cover for each plant taxon or group. Percent covers do not necessarily add up to 100 percent, due to overlap. Percent cover estimates may have some amount of error because it is difficult to make estimates for such a large area.</t>
  </si>
  <si>
    <t>plot_percent_cover_date</t>
  </si>
  <si>
    <t>center_tree_number</t>
  </si>
  <si>
    <t>quadrant</t>
  </si>
  <si>
    <t>water_depth_high</t>
  </si>
  <si>
    <t>Height of the water above the ground at the highest elevation location within the 18 m quadrant. Measured in cm. Likely influenced by rainfall.</t>
  </si>
  <si>
    <t>water_depth_mid</t>
  </si>
  <si>
    <t>Height of the water above the ground at an "average" elevation location within the 18 m quadrant. Measured in cm. Likely influenced by rainfall.</t>
  </si>
  <si>
    <t>water_depth_low</t>
  </si>
  <si>
    <t>Height of the water above the ground at the lowest elevation location within the 18 m quadrant. Measured in cm. Likely influenced by rainfall.</t>
  </si>
  <si>
    <t>water</t>
  </si>
  <si>
    <t>Amount of ground covered by visible water on the surface. Likely influenced by rainfall.</t>
  </si>
  <si>
    <t>graminoids</t>
  </si>
  <si>
    <t>grasses, sedges, cattails</t>
  </si>
  <si>
    <t>skunk_cabbage</t>
  </si>
  <si>
    <t>ferns</t>
  </si>
  <si>
    <t>spicebush</t>
  </si>
  <si>
    <t>ilex</t>
  </si>
  <si>
    <t>glossy_buckthorn</t>
  </si>
  <si>
    <t>not including common buckthorn</t>
  </si>
  <si>
    <t>poison_sumac</t>
  </si>
  <si>
    <t>other_woody_shrub</t>
  </si>
  <si>
    <t>includes dogwood, currants, and others: see notes</t>
  </si>
  <si>
    <t>total_herbaceous_forbs_except_skunk_cabbage</t>
  </si>
  <si>
    <t>notes</t>
  </si>
  <si>
    <t>ash_trees_2025</t>
  </si>
  <si>
    <t>This datasheet will include only ash trees. It will include any trees bigger than 10 cm DBH in the 18 meter plot, and any trees bigger than 2.5 cm DBH in the subplot. This datasheet contains extra columns for recording the sign and symptom information about the ash trees.</t>
  </si>
  <si>
    <t>trees_2025</t>
  </si>
  <si>
    <t>NE</t>
  </si>
  <si>
    <t>dogwood</t>
  </si>
  <si>
    <t>SE</t>
  </si>
  <si>
    <t>multiflora rose</t>
  </si>
  <si>
    <t>SW</t>
  </si>
  <si>
    <t>NW</t>
  </si>
  <si>
    <t>autumn olive</t>
  </si>
  <si>
    <t>stream runs through</t>
  </si>
  <si>
    <t>ribes</t>
  </si>
  <si>
    <t>quadrant_NE_SE_SW_NW</t>
  </si>
  <si>
    <t>compass_direction</t>
  </si>
  <si>
    <t>distance_to_center_meters</t>
  </si>
  <si>
    <t>ash_species</t>
  </si>
  <si>
    <t>diameter_at_137_cm_in_cm</t>
  </si>
  <si>
    <t>canopy_condition_1_5</t>
  </si>
  <si>
    <t>crown_class_D_C_I_S</t>
  </si>
  <si>
    <t>EAB_exit_holes_y_n</t>
  </si>
  <si>
    <t>woodpecker_marks_y_n</t>
  </si>
  <si>
    <t>ash_bark_splitting_y_n</t>
  </si>
  <si>
    <t>epicormic_sprouts_y_n</t>
  </si>
  <si>
    <t>basal_sprouts_y_n</t>
  </si>
  <si>
    <t>galleries_y_n</t>
  </si>
  <si>
    <t>number_of_EAB_exit_holes_from_125_to_175_cm</t>
  </si>
  <si>
    <t>number_of_woodpecker_marks_from_125_to_175_cm</t>
  </si>
  <si>
    <t>tree_tag_info</t>
  </si>
  <si>
    <t>ash_trees_notes</t>
  </si>
  <si>
    <t>leaflet_stalk_length_mm</t>
  </si>
  <si>
    <t>epicormic_sprouts_old_new</t>
  </si>
  <si>
    <t>none</t>
  </si>
  <si>
    <t>NA</t>
  </si>
  <si>
    <t>trees_date_surveyed</t>
  </si>
  <si>
    <t>park</t>
  </si>
  <si>
    <t>inside_8_meters_y_n</t>
  </si>
  <si>
    <t>species</t>
  </si>
  <si>
    <t>living_or_dead</t>
  </si>
  <si>
    <t>canopy_condition_if_ash</t>
  </si>
  <si>
    <t>trees_notes</t>
  </si>
  <si>
    <t>Island Lake</t>
  </si>
  <si>
    <t>y</t>
  </si>
  <si>
    <t>Frangula alnus</t>
  </si>
  <si>
    <t>living</t>
  </si>
  <si>
    <t>Acer saccharinum</t>
  </si>
  <si>
    <t>dead</t>
  </si>
  <si>
    <t>FRPE</t>
  </si>
  <si>
    <t>Tagged - Ash 7 - 8-18-09</t>
  </si>
  <si>
    <t>Ulmus sp.</t>
  </si>
  <si>
    <t>Fraxinus section Melioides</t>
  </si>
  <si>
    <t>Fraxinus sp.</t>
  </si>
  <si>
    <t>center</t>
  </si>
  <si>
    <t>epicormics 1-2 yrs old</t>
  </si>
  <si>
    <t>Tagged - Ash 5 - 8-18-09</t>
  </si>
  <si>
    <t>Elm</t>
  </si>
  <si>
    <t>epicormic sprout fresh</t>
  </si>
  <si>
    <t>declining_y_n</t>
  </si>
  <si>
    <t>number_of_stems</t>
  </si>
  <si>
    <t>Acer sp.</t>
  </si>
  <si>
    <t>n</t>
  </si>
  <si>
    <t>Carpinus caroliniana</t>
  </si>
  <si>
    <t>Tilia americana</t>
  </si>
  <si>
    <t>Unknown</t>
  </si>
  <si>
    <t>Populus deltoides</t>
  </si>
  <si>
    <t>Quercus bicolor</t>
  </si>
  <si>
    <t>asac</t>
  </si>
  <si>
    <t>Carya ovata</t>
  </si>
  <si>
    <t>FRNI</t>
  </si>
  <si>
    <t>Tagged Fraxinus 9: 8-04-11</t>
  </si>
  <si>
    <t>Tagged Ash 1: 8-18-09</t>
  </si>
  <si>
    <t>bark splitting - epicormic and basal sprouts - EAB galleries - woodpecker marks</t>
  </si>
  <si>
    <t>basal and epicormic sprouts - bark split - woodpecker marks</t>
  </si>
  <si>
    <t>bark split - epicormic sprout</t>
  </si>
  <si>
    <t>microplot_NESW</t>
  </si>
  <si>
    <t>number_new_with_cotyledons</t>
  </si>
  <si>
    <t>percent_cover_0_0.5_1_3.5_8_15.5_25.5_etc</t>
  </si>
  <si>
    <t>northeast_number_established_short</t>
  </si>
  <si>
    <t>southeast_number_established_short</t>
  </si>
  <si>
    <t>southwest_number_established_short</t>
  </si>
  <si>
    <t>northwest_number_established_short</t>
  </si>
  <si>
    <t>northeast_number_established_tall</t>
  </si>
  <si>
    <t>southeast_number_established_tall</t>
  </si>
  <si>
    <t>southwest_number_established_tall</t>
  </si>
  <si>
    <t>northwest_number_established_tall</t>
  </si>
  <si>
    <t>area_of_microplot_m_squared</t>
  </si>
  <si>
    <t>ash_seedlings_notes</t>
  </si>
  <si>
    <t>N</t>
  </si>
  <si>
    <t>sedges</t>
  </si>
  <si>
    <t>E</t>
  </si>
  <si>
    <t>S</t>
  </si>
  <si>
    <t>W</t>
  </si>
  <si>
    <t>oak seedlings</t>
  </si>
  <si>
    <t>virginia creeper</t>
  </si>
  <si>
    <t>underwater</t>
  </si>
  <si>
    <t>black_ash_present_y_n</t>
  </si>
  <si>
    <t>green_white_pumpkin_ash_present_y_n</t>
  </si>
  <si>
    <t>ash_bark_splitting_y_n </t>
  </si>
  <si>
    <t>percent_stems_with_signs_or_symptoms</t>
  </si>
  <si>
    <t>ash_saplings_notes</t>
  </si>
  <si>
    <t>green</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</si>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</sst>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14" fontId="0" fillId="0" borderId="0" xfId="0" applyNumberFormat="1"/>
    <xf numFmtId="14" fontId="0" fillId="2" borderId="0" xfId="0" applyNumberFormat="1" applyFill="1"/>
    <xf numFmtId="0" fontId="0" fillId="2" borderId="0" xfId="0" applyFill="1"/>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cellXfs>
  <cellStyles count="1">
    <cellStyle name="Normal" xfId="0" builtinId="0"/>
  </cellStyles>
  <dxfs count="5">
    <dxf>
      <fill>
        <patternFill>
          <bgColor theme="9" tint="0.59996337778862885"/>
        </patternFill>
      </fill>
    </dxf>
    <dxf>
      <fill>
        <patternFill>
          <bgColor theme="9" tint="0.59996337778862885"/>
        </patternFill>
      </fill>
    </dxf>
    <dxf>
      <fill>
        <patternFill>
          <bgColor theme="5" tint="0.39994506668294322"/>
        </patternFill>
      </fill>
    </dxf>
    <dxf>
      <fill>
        <patternFill>
          <bgColor theme="7" tint="-0.24994659260841701"/>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37D58-78F1-410A-A87A-C086B7622DF0}">
  <dimension ref="A2:B97"/>
  <sheetViews>
    <sheetView workbookViewId="0">
      <selection activeCell="B7" sqref="B7"/>
    </sheetView>
  </sheetViews>
  <sheetFormatPr defaultRowHeight="14.5" x14ac:dyDescent="0.35"/>
  <cols>
    <col min="1" max="1" width="30.7265625" customWidth="1"/>
    <col min="2" max="2" width="127.6328125" customWidth="1"/>
  </cols>
  <sheetData>
    <row r="2" spans="1:2" x14ac:dyDescent="0.35">
      <c r="A2" s="2" t="s">
        <v>1</v>
      </c>
      <c r="B2" t="s">
        <v>2</v>
      </c>
    </row>
    <row r="7" spans="1:2" ht="15" customHeight="1" x14ac:dyDescent="0.35"/>
    <row r="8" spans="1:2" ht="59.5" customHeight="1" x14ac:dyDescent="0.35">
      <c r="A8" s="2" t="s">
        <v>3</v>
      </c>
      <c r="B8" s="1" t="s">
        <v>4</v>
      </c>
    </row>
    <row r="9" spans="1:2" x14ac:dyDescent="0.35">
      <c r="A9" t="s">
        <v>5</v>
      </c>
    </row>
    <row r="10" spans="1:2" x14ac:dyDescent="0.35">
      <c r="A10" s="1" t="s">
        <v>6</v>
      </c>
    </row>
    <row r="11" spans="1:2" x14ac:dyDescent="0.35">
      <c r="A11" t="s">
        <v>7</v>
      </c>
    </row>
    <row r="12" spans="1:2" x14ac:dyDescent="0.35">
      <c r="A12" t="s">
        <v>8</v>
      </c>
      <c r="B12" t="s">
        <v>9</v>
      </c>
    </row>
    <row r="13" spans="1:2" x14ac:dyDescent="0.35">
      <c r="A13" t="s">
        <v>10</v>
      </c>
      <c r="B13" t="s">
        <v>11</v>
      </c>
    </row>
    <row r="14" spans="1:2" x14ac:dyDescent="0.35">
      <c r="A14" t="s">
        <v>12</v>
      </c>
      <c r="B14" t="s">
        <v>13</v>
      </c>
    </row>
    <row r="15" spans="1:2" x14ac:dyDescent="0.35">
      <c r="A15" t="s">
        <v>14</v>
      </c>
      <c r="B15" t="s">
        <v>15</v>
      </c>
    </row>
    <row r="16" spans="1:2" x14ac:dyDescent="0.35">
      <c r="A16" t="s">
        <v>16</v>
      </c>
      <c r="B16" t="s">
        <v>17</v>
      </c>
    </row>
    <row r="17" spans="1:2" x14ac:dyDescent="0.35">
      <c r="A17" t="s">
        <v>18</v>
      </c>
    </row>
    <row r="18" spans="1:2" x14ac:dyDescent="0.35">
      <c r="A18" t="s">
        <v>19</v>
      </c>
    </row>
    <row r="19" spans="1:2" x14ac:dyDescent="0.35">
      <c r="A19" t="s">
        <v>20</v>
      </c>
    </row>
    <row r="20" spans="1:2" x14ac:dyDescent="0.35">
      <c r="A20" t="s">
        <v>21</v>
      </c>
    </row>
    <row r="21" spans="1:2" x14ac:dyDescent="0.35">
      <c r="A21" t="s">
        <v>22</v>
      </c>
      <c r="B21" t="s">
        <v>23</v>
      </c>
    </row>
    <row r="22" spans="1:2" x14ac:dyDescent="0.35">
      <c r="A22" t="s">
        <v>24</v>
      </c>
    </row>
    <row r="23" spans="1:2" x14ac:dyDescent="0.35">
      <c r="A23" t="s">
        <v>25</v>
      </c>
      <c r="B23" t="s">
        <v>26</v>
      </c>
    </row>
    <row r="24" spans="1:2" ht="29" x14ac:dyDescent="0.35">
      <c r="A24" s="1" t="s">
        <v>27</v>
      </c>
    </row>
    <row r="25" spans="1:2" x14ac:dyDescent="0.35">
      <c r="A25" t="s">
        <v>28</v>
      </c>
    </row>
    <row r="26" spans="1:2" x14ac:dyDescent="0.35">
      <c r="A26" s="2"/>
    </row>
    <row r="27" spans="1:2" ht="29" x14ac:dyDescent="0.35">
      <c r="A27" s="2" t="s">
        <v>29</v>
      </c>
      <c r="B27" s="1" t="s">
        <v>30</v>
      </c>
    </row>
    <row r="28" spans="1:2" x14ac:dyDescent="0.35">
      <c r="A28" s="2"/>
    </row>
    <row r="29" spans="1:2" x14ac:dyDescent="0.35">
      <c r="A29" s="2"/>
    </row>
    <row r="30" spans="1:2" ht="58" x14ac:dyDescent="0.35">
      <c r="A30" s="2" t="s">
        <v>31</v>
      </c>
      <c r="B30" s="1" t="s">
        <v>0</v>
      </c>
    </row>
    <row r="31" spans="1:2" x14ac:dyDescent="0.35">
      <c r="A31" s="2"/>
    </row>
    <row r="32" spans="1:2" x14ac:dyDescent="0.35">
      <c r="A32" s="2"/>
    </row>
    <row r="33" spans="1:1" x14ac:dyDescent="0.35">
      <c r="A33" s="2"/>
    </row>
    <row r="34" spans="1:1" x14ac:dyDescent="0.35">
      <c r="A34" s="2"/>
    </row>
    <row r="35" spans="1:1" x14ac:dyDescent="0.35">
      <c r="A35" s="2"/>
    </row>
    <row r="36" spans="1:1" x14ac:dyDescent="0.35">
      <c r="A36" s="2"/>
    </row>
    <row r="37" spans="1:1" x14ac:dyDescent="0.35">
      <c r="A37" s="2"/>
    </row>
    <row r="38" spans="1:1" x14ac:dyDescent="0.35">
      <c r="A38" s="2"/>
    </row>
    <row r="39" spans="1:1" x14ac:dyDescent="0.35">
      <c r="A39" s="2"/>
    </row>
    <row r="40" spans="1:1" x14ac:dyDescent="0.35">
      <c r="A40" s="2"/>
    </row>
    <row r="41" spans="1:1" x14ac:dyDescent="0.35">
      <c r="A41" s="2"/>
    </row>
    <row r="42" spans="1:1" x14ac:dyDescent="0.35">
      <c r="A42" s="2"/>
    </row>
    <row r="43" spans="1:1" x14ac:dyDescent="0.35">
      <c r="A43" s="2"/>
    </row>
    <row r="44" spans="1:1" x14ac:dyDescent="0.35">
      <c r="A44" s="2"/>
    </row>
    <row r="45" spans="1:1" x14ac:dyDescent="0.35">
      <c r="A45" s="2"/>
    </row>
    <row r="46" spans="1:1" x14ac:dyDescent="0.35">
      <c r="A46" s="2"/>
    </row>
    <row r="47" spans="1:1" x14ac:dyDescent="0.35">
      <c r="A47" s="2"/>
    </row>
    <row r="48" spans="1:1" x14ac:dyDescent="0.35">
      <c r="A48" s="2"/>
    </row>
    <row r="49" spans="1:1" x14ac:dyDescent="0.35">
      <c r="A49" s="2"/>
    </row>
    <row r="50" spans="1:1" x14ac:dyDescent="0.35">
      <c r="A50" s="2"/>
    </row>
    <row r="51" spans="1:1" x14ac:dyDescent="0.35">
      <c r="A51" s="2"/>
    </row>
    <row r="52" spans="1:1" x14ac:dyDescent="0.35">
      <c r="A52" s="2"/>
    </row>
    <row r="53" spans="1:1" x14ac:dyDescent="0.35">
      <c r="A53" s="2"/>
    </row>
    <row r="54" spans="1:1" x14ac:dyDescent="0.35">
      <c r="A54" s="2"/>
    </row>
    <row r="55" spans="1:1" x14ac:dyDescent="0.35">
      <c r="A55" s="2"/>
    </row>
    <row r="56" spans="1:1" x14ac:dyDescent="0.35">
      <c r="A56" s="2"/>
    </row>
    <row r="57" spans="1:1" x14ac:dyDescent="0.35">
      <c r="A57" s="2"/>
    </row>
    <row r="58" spans="1:1" x14ac:dyDescent="0.35">
      <c r="A58" s="2"/>
    </row>
    <row r="59" spans="1:1" x14ac:dyDescent="0.35">
      <c r="A59" s="2"/>
    </row>
    <row r="60" spans="1:1" x14ac:dyDescent="0.35">
      <c r="A60" s="2"/>
    </row>
    <row r="61" spans="1:1" x14ac:dyDescent="0.35">
      <c r="A61" s="2"/>
    </row>
    <row r="62" spans="1:1" x14ac:dyDescent="0.35">
      <c r="A62" s="2"/>
    </row>
    <row r="63" spans="1:1" x14ac:dyDescent="0.35">
      <c r="A63" s="2"/>
    </row>
    <row r="64" spans="1:1" x14ac:dyDescent="0.35">
      <c r="A64" s="2"/>
    </row>
    <row r="65" spans="1:1" x14ac:dyDescent="0.35">
      <c r="A65" s="2"/>
    </row>
    <row r="66" spans="1:1" x14ac:dyDescent="0.35">
      <c r="A66" s="2"/>
    </row>
    <row r="67" spans="1:1" x14ac:dyDescent="0.35">
      <c r="A67" s="2"/>
    </row>
    <row r="68" spans="1:1" x14ac:dyDescent="0.35">
      <c r="A68" s="2"/>
    </row>
    <row r="69" spans="1:1" x14ac:dyDescent="0.35">
      <c r="A69" s="2"/>
    </row>
    <row r="70" spans="1:1" x14ac:dyDescent="0.35">
      <c r="A70" s="2"/>
    </row>
    <row r="71" spans="1:1" x14ac:dyDescent="0.35">
      <c r="A71" s="2"/>
    </row>
    <row r="72" spans="1:1" x14ac:dyDescent="0.35">
      <c r="A72" s="2"/>
    </row>
    <row r="73" spans="1:1" x14ac:dyDescent="0.35">
      <c r="A73" s="2"/>
    </row>
    <row r="74" spans="1:1" x14ac:dyDescent="0.35">
      <c r="A74" s="2"/>
    </row>
    <row r="75" spans="1:1" x14ac:dyDescent="0.35">
      <c r="A75" s="2"/>
    </row>
    <row r="76" spans="1:1" x14ac:dyDescent="0.35">
      <c r="A76" s="2"/>
    </row>
    <row r="77" spans="1:1" x14ac:dyDescent="0.35">
      <c r="A77" s="2"/>
    </row>
    <row r="78" spans="1:1" x14ac:dyDescent="0.35">
      <c r="A78" s="2"/>
    </row>
    <row r="79" spans="1:1" x14ac:dyDescent="0.35">
      <c r="A79" s="2"/>
    </row>
    <row r="80" spans="1:1" x14ac:dyDescent="0.35">
      <c r="A80" s="2"/>
    </row>
    <row r="81" spans="1:1" x14ac:dyDescent="0.35">
      <c r="A81" s="2"/>
    </row>
    <row r="82" spans="1:1" x14ac:dyDescent="0.35">
      <c r="A82" s="2"/>
    </row>
    <row r="83" spans="1:1" x14ac:dyDescent="0.35">
      <c r="A83" s="2"/>
    </row>
    <row r="84" spans="1:1" x14ac:dyDescent="0.35">
      <c r="A84" s="2"/>
    </row>
    <row r="85" spans="1:1" x14ac:dyDescent="0.35">
      <c r="A85" s="2"/>
    </row>
    <row r="86" spans="1:1" x14ac:dyDescent="0.35">
      <c r="A86" s="2"/>
    </row>
    <row r="87" spans="1:1" x14ac:dyDescent="0.35">
      <c r="A87" s="2"/>
    </row>
    <row r="88" spans="1:1" x14ac:dyDescent="0.35">
      <c r="A88" s="2"/>
    </row>
    <row r="89" spans="1:1" x14ac:dyDescent="0.35">
      <c r="A89" s="2"/>
    </row>
    <row r="90" spans="1:1" x14ac:dyDescent="0.35">
      <c r="A90" s="2"/>
    </row>
    <row r="91" spans="1:1" x14ac:dyDescent="0.35">
      <c r="A91" s="2"/>
    </row>
    <row r="92" spans="1:1" x14ac:dyDescent="0.35">
      <c r="A92" s="2"/>
    </row>
    <row r="93" spans="1:1" x14ac:dyDescent="0.35">
      <c r="A93" s="2"/>
    </row>
    <row r="94" spans="1:1" x14ac:dyDescent="0.35">
      <c r="A94" s="2"/>
    </row>
    <row r="95" spans="1:1" x14ac:dyDescent="0.35">
      <c r="A95" s="2"/>
    </row>
    <row r="96" spans="1:1" x14ac:dyDescent="0.35">
      <c r="A96" s="2"/>
    </row>
    <row r="97" spans="1:1" x14ac:dyDescent="0.35">
      <c r="A97"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F5EC-8622-407A-AF1E-6D608EE1461D}">
  <dimension ref="A1:Q13"/>
  <sheetViews>
    <sheetView tabSelected="1" workbookViewId="0">
      <selection activeCell="C13" sqref="C13"/>
    </sheetView>
  </sheetViews>
  <sheetFormatPr defaultRowHeight="14.5" x14ac:dyDescent="0.35"/>
  <cols>
    <col min="1" max="1" width="11.90625" customWidth="1"/>
    <col min="2" max="2" width="11.1796875" customWidth="1"/>
    <col min="17" max="17" width="18.26953125" customWidth="1"/>
  </cols>
  <sheetData>
    <row r="1" spans="1:17" ht="87" x14ac:dyDescent="0.35">
      <c r="A1" s="3" t="s">
        <v>5</v>
      </c>
      <c r="B1" s="3" t="s">
        <v>6</v>
      </c>
      <c r="C1" s="2" t="s">
        <v>7</v>
      </c>
      <c r="D1" s="2" t="s">
        <v>8</v>
      </c>
      <c r="E1" s="2" t="s">
        <v>10</v>
      </c>
      <c r="F1" s="2" t="s">
        <v>12</v>
      </c>
      <c r="G1" s="2" t="s">
        <v>14</v>
      </c>
      <c r="H1" s="2" t="s">
        <v>16</v>
      </c>
      <c r="I1" s="2" t="s">
        <v>18</v>
      </c>
      <c r="J1" s="2" t="s">
        <v>19</v>
      </c>
      <c r="K1" s="2" t="s">
        <v>20</v>
      </c>
      <c r="L1" s="2" t="s">
        <v>21</v>
      </c>
      <c r="M1" s="2" t="s">
        <v>22</v>
      </c>
      <c r="N1" s="2" t="s">
        <v>24</v>
      </c>
      <c r="O1" s="2" t="s">
        <v>25</v>
      </c>
      <c r="P1" s="3" t="s">
        <v>27</v>
      </c>
      <c r="Q1" s="2" t="s">
        <v>28</v>
      </c>
    </row>
    <row r="2" spans="1:17" x14ac:dyDescent="0.35">
      <c r="A2" s="4">
        <v>45799</v>
      </c>
      <c r="B2">
        <v>106</v>
      </c>
      <c r="C2" t="s">
        <v>32</v>
      </c>
      <c r="D2">
        <v>0</v>
      </c>
      <c r="E2">
        <v>0</v>
      </c>
      <c r="F2">
        <v>8</v>
      </c>
      <c r="G2">
        <v>8</v>
      </c>
      <c r="H2">
        <v>85.5</v>
      </c>
      <c r="I2">
        <v>35.5</v>
      </c>
      <c r="J2">
        <v>8</v>
      </c>
      <c r="K2">
        <v>1</v>
      </c>
      <c r="L2">
        <v>0</v>
      </c>
      <c r="M2">
        <v>0</v>
      </c>
      <c r="N2">
        <v>0</v>
      </c>
      <c r="O2">
        <v>3.5</v>
      </c>
      <c r="P2">
        <v>3.5</v>
      </c>
      <c r="Q2" t="s">
        <v>33</v>
      </c>
    </row>
    <row r="3" spans="1:17" x14ac:dyDescent="0.35">
      <c r="A3" s="4">
        <v>45799</v>
      </c>
      <c r="B3">
        <v>106</v>
      </c>
      <c r="C3" t="s">
        <v>34</v>
      </c>
      <c r="D3">
        <v>0</v>
      </c>
      <c r="E3">
        <v>5</v>
      </c>
      <c r="F3">
        <v>50</v>
      </c>
      <c r="G3">
        <v>25.5</v>
      </c>
      <c r="H3">
        <v>15.5</v>
      </c>
      <c r="I3">
        <v>25.5</v>
      </c>
      <c r="J3">
        <v>3.5</v>
      </c>
      <c r="K3">
        <v>0</v>
      </c>
      <c r="L3">
        <v>0</v>
      </c>
      <c r="M3">
        <v>0</v>
      </c>
      <c r="N3">
        <v>0</v>
      </c>
      <c r="O3">
        <v>3.5</v>
      </c>
      <c r="P3">
        <v>1</v>
      </c>
      <c r="Q3" t="s">
        <v>35</v>
      </c>
    </row>
    <row r="4" spans="1:17" x14ac:dyDescent="0.35">
      <c r="A4" s="4">
        <v>45799</v>
      </c>
      <c r="B4">
        <v>106</v>
      </c>
      <c r="C4" t="s">
        <v>36</v>
      </c>
      <c r="D4">
        <v>0</v>
      </c>
      <c r="E4">
        <v>0</v>
      </c>
      <c r="F4">
        <v>15</v>
      </c>
      <c r="G4">
        <v>8</v>
      </c>
      <c r="H4">
        <v>85.5</v>
      </c>
      <c r="I4">
        <v>75.5</v>
      </c>
      <c r="J4">
        <v>0</v>
      </c>
      <c r="K4">
        <v>1</v>
      </c>
      <c r="L4">
        <v>0</v>
      </c>
      <c r="M4">
        <v>0</v>
      </c>
      <c r="N4">
        <v>0</v>
      </c>
      <c r="O4">
        <v>3.5</v>
      </c>
      <c r="P4">
        <v>1</v>
      </c>
    </row>
    <row r="5" spans="1:17" x14ac:dyDescent="0.35">
      <c r="A5" s="4">
        <v>45799</v>
      </c>
      <c r="B5">
        <v>106</v>
      </c>
      <c r="C5" t="s">
        <v>37</v>
      </c>
      <c r="D5">
        <v>0</v>
      </c>
      <c r="E5">
        <v>0</v>
      </c>
      <c r="F5">
        <v>5</v>
      </c>
      <c r="G5">
        <v>8</v>
      </c>
      <c r="H5">
        <v>65.5</v>
      </c>
      <c r="I5">
        <v>55.5</v>
      </c>
      <c r="J5">
        <v>3.5</v>
      </c>
      <c r="K5">
        <v>1</v>
      </c>
      <c r="L5">
        <v>0</v>
      </c>
      <c r="M5">
        <v>1</v>
      </c>
      <c r="N5">
        <v>0</v>
      </c>
      <c r="O5">
        <v>3.5</v>
      </c>
      <c r="P5">
        <v>1</v>
      </c>
    </row>
    <row r="6" spans="1:17" x14ac:dyDescent="0.35">
      <c r="A6" s="4">
        <v>45799</v>
      </c>
      <c r="B6">
        <v>107</v>
      </c>
      <c r="C6" t="s">
        <v>32</v>
      </c>
      <c r="D6">
        <v>0</v>
      </c>
      <c r="E6">
        <v>0</v>
      </c>
      <c r="F6">
        <v>8</v>
      </c>
      <c r="G6">
        <v>15.5</v>
      </c>
      <c r="H6">
        <v>35.5</v>
      </c>
      <c r="I6">
        <v>35.5</v>
      </c>
      <c r="J6">
        <v>8</v>
      </c>
      <c r="K6">
        <v>0</v>
      </c>
      <c r="L6">
        <v>0</v>
      </c>
      <c r="M6">
        <v>0</v>
      </c>
      <c r="N6">
        <v>0</v>
      </c>
      <c r="O6">
        <v>3.5</v>
      </c>
      <c r="P6">
        <v>3.5</v>
      </c>
      <c r="Q6" t="s">
        <v>38</v>
      </c>
    </row>
    <row r="7" spans="1:17" x14ac:dyDescent="0.35">
      <c r="A7" s="4">
        <v>45799</v>
      </c>
      <c r="B7">
        <v>107</v>
      </c>
      <c r="C7" t="s">
        <v>34</v>
      </c>
      <c r="D7">
        <v>0</v>
      </c>
      <c r="E7">
        <v>0</v>
      </c>
      <c r="F7">
        <v>65</v>
      </c>
      <c r="G7">
        <v>15.5</v>
      </c>
      <c r="H7">
        <v>8</v>
      </c>
      <c r="I7">
        <v>55.5</v>
      </c>
      <c r="J7">
        <v>8</v>
      </c>
      <c r="K7">
        <v>0</v>
      </c>
      <c r="L7">
        <v>0</v>
      </c>
      <c r="M7">
        <v>0</v>
      </c>
      <c r="N7">
        <v>0</v>
      </c>
      <c r="O7">
        <v>0</v>
      </c>
      <c r="P7">
        <v>1</v>
      </c>
      <c r="Q7" t="s">
        <v>39</v>
      </c>
    </row>
    <row r="8" spans="1:17" x14ac:dyDescent="0.35">
      <c r="A8" s="4">
        <v>45799</v>
      </c>
      <c r="B8">
        <v>107</v>
      </c>
      <c r="C8" t="s">
        <v>36</v>
      </c>
      <c r="D8">
        <v>0</v>
      </c>
      <c r="E8">
        <v>0</v>
      </c>
      <c r="F8">
        <v>25</v>
      </c>
      <c r="G8">
        <v>15.5</v>
      </c>
      <c r="H8">
        <v>25.5</v>
      </c>
      <c r="I8">
        <v>35.5</v>
      </c>
      <c r="J8">
        <v>3.5</v>
      </c>
      <c r="K8">
        <v>0</v>
      </c>
      <c r="L8">
        <v>0</v>
      </c>
      <c r="M8">
        <v>0</v>
      </c>
      <c r="N8">
        <v>0</v>
      </c>
      <c r="O8">
        <v>1</v>
      </c>
      <c r="P8">
        <v>0</v>
      </c>
      <c r="Q8" t="s">
        <v>40</v>
      </c>
    </row>
    <row r="9" spans="1:17" x14ac:dyDescent="0.35">
      <c r="A9" s="4">
        <v>45799</v>
      </c>
      <c r="B9">
        <v>107</v>
      </c>
      <c r="C9" t="s">
        <v>37</v>
      </c>
      <c r="D9">
        <v>0</v>
      </c>
      <c r="E9">
        <v>0</v>
      </c>
      <c r="F9">
        <v>20</v>
      </c>
      <c r="G9">
        <v>15.5</v>
      </c>
      <c r="H9">
        <v>45.5</v>
      </c>
      <c r="I9">
        <v>25.5</v>
      </c>
      <c r="J9">
        <v>3.5</v>
      </c>
      <c r="K9">
        <v>0</v>
      </c>
      <c r="L9">
        <v>0</v>
      </c>
      <c r="M9">
        <v>0</v>
      </c>
      <c r="N9">
        <v>0</v>
      </c>
      <c r="O9">
        <v>0</v>
      </c>
      <c r="P9">
        <v>1</v>
      </c>
    </row>
    <row r="10" spans="1:17" x14ac:dyDescent="0.35">
      <c r="A10" s="4">
        <v>45800</v>
      </c>
      <c r="B10">
        <v>40</v>
      </c>
      <c r="C10" t="s">
        <v>32</v>
      </c>
      <c r="D10">
        <v>0</v>
      </c>
      <c r="E10">
        <v>0</v>
      </c>
      <c r="F10">
        <v>0</v>
      </c>
      <c r="G10">
        <v>1</v>
      </c>
      <c r="H10">
        <v>95.5</v>
      </c>
      <c r="I10">
        <v>55.5</v>
      </c>
      <c r="J10">
        <v>3.5</v>
      </c>
      <c r="K10">
        <v>1</v>
      </c>
      <c r="L10">
        <v>0</v>
      </c>
      <c r="M10">
        <v>1</v>
      </c>
      <c r="N10">
        <v>3.5</v>
      </c>
      <c r="O10">
        <v>1</v>
      </c>
      <c r="P10">
        <v>8</v>
      </c>
    </row>
    <row r="11" spans="1:17" x14ac:dyDescent="0.35">
      <c r="A11" s="4">
        <v>45800</v>
      </c>
      <c r="B11">
        <v>40</v>
      </c>
      <c r="C11" t="s">
        <v>34</v>
      </c>
      <c r="D11">
        <v>0</v>
      </c>
      <c r="E11">
        <v>0</v>
      </c>
      <c r="F11">
        <v>5</v>
      </c>
      <c r="G11">
        <v>15.5</v>
      </c>
      <c r="H11">
        <v>95.5</v>
      </c>
      <c r="I11">
        <v>8</v>
      </c>
      <c r="J11">
        <v>3.5</v>
      </c>
      <c r="K11">
        <v>0</v>
      </c>
      <c r="L11">
        <v>0</v>
      </c>
      <c r="M11">
        <v>0</v>
      </c>
      <c r="N11">
        <v>1</v>
      </c>
      <c r="O11">
        <v>3.5</v>
      </c>
      <c r="P11">
        <v>3.5</v>
      </c>
    </row>
    <row r="12" spans="1:17" x14ac:dyDescent="0.35">
      <c r="A12" s="4">
        <v>45800</v>
      </c>
      <c r="B12">
        <v>40</v>
      </c>
      <c r="C12" t="s">
        <v>36</v>
      </c>
      <c r="D12">
        <v>0</v>
      </c>
      <c r="E12">
        <v>0</v>
      </c>
      <c r="F12">
        <v>12</v>
      </c>
      <c r="G12">
        <v>8</v>
      </c>
      <c r="H12">
        <v>95.5</v>
      </c>
      <c r="I12">
        <v>3.5</v>
      </c>
      <c r="J12">
        <v>8</v>
      </c>
      <c r="K12">
        <v>0</v>
      </c>
      <c r="L12">
        <v>0</v>
      </c>
      <c r="M12">
        <v>0</v>
      </c>
      <c r="N12">
        <v>3.5</v>
      </c>
      <c r="O12">
        <v>3.5</v>
      </c>
      <c r="P12">
        <v>3.5</v>
      </c>
    </row>
    <row r="13" spans="1:17" x14ac:dyDescent="0.35">
      <c r="A13" s="4">
        <v>45800</v>
      </c>
      <c r="B13">
        <v>40</v>
      </c>
      <c r="C13" t="s">
        <v>37</v>
      </c>
      <c r="D13">
        <v>0</v>
      </c>
      <c r="E13">
        <v>0</v>
      </c>
      <c r="F13">
        <v>5</v>
      </c>
      <c r="G13">
        <v>1</v>
      </c>
      <c r="H13">
        <v>95.5</v>
      </c>
      <c r="I13">
        <v>35.5</v>
      </c>
      <c r="J13">
        <v>8</v>
      </c>
      <c r="K13">
        <v>1</v>
      </c>
      <c r="L13">
        <v>0</v>
      </c>
      <c r="M13">
        <v>0</v>
      </c>
      <c r="N13">
        <v>3.5</v>
      </c>
      <c r="O13">
        <v>1</v>
      </c>
      <c r="P13">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7F1CB-2734-4D3A-95DA-2F7E16BA4504}">
  <dimension ref="A1:T8"/>
  <sheetViews>
    <sheetView workbookViewId="0">
      <selection activeCell="A2" sqref="A2:XFD2"/>
    </sheetView>
  </sheetViews>
  <sheetFormatPr defaultRowHeight="14.5" x14ac:dyDescent="0.35"/>
  <sheetData>
    <row r="1" spans="1:20" ht="101.5" x14ac:dyDescent="0.35">
      <c r="A1" s="3" t="s">
        <v>6</v>
      </c>
      <c r="B1" s="3" t="s">
        <v>41</v>
      </c>
      <c r="C1" s="3" t="s">
        <v>42</v>
      </c>
      <c r="D1" s="3" t="s">
        <v>43</v>
      </c>
      <c r="E1" s="3" t="s">
        <v>44</v>
      </c>
      <c r="F1" s="3" t="s">
        <v>45</v>
      </c>
      <c r="G1" s="3" t="s">
        <v>46</v>
      </c>
      <c r="H1" s="3" t="s">
        <v>47</v>
      </c>
      <c r="I1" s="3" t="s">
        <v>48</v>
      </c>
      <c r="J1" s="3" t="s">
        <v>49</v>
      </c>
      <c r="K1" s="3" t="s">
        <v>50</v>
      </c>
      <c r="L1" s="3" t="s">
        <v>51</v>
      </c>
      <c r="M1" s="3" t="s">
        <v>52</v>
      </c>
      <c r="N1" s="3" t="s">
        <v>53</v>
      </c>
      <c r="O1" s="3" t="s">
        <v>54</v>
      </c>
      <c r="P1" s="3" t="s">
        <v>55</v>
      </c>
      <c r="Q1" s="3" t="s">
        <v>56</v>
      </c>
      <c r="R1" s="3" t="s">
        <v>57</v>
      </c>
      <c r="S1" s="3" t="s">
        <v>58</v>
      </c>
      <c r="T1" s="3" t="s">
        <v>59</v>
      </c>
    </row>
    <row r="2" spans="1:20" x14ac:dyDescent="0.35">
      <c r="A2">
        <v>91</v>
      </c>
      <c r="B2" t="s">
        <v>60</v>
      </c>
      <c r="C2" t="s">
        <v>61</v>
      </c>
      <c r="D2" t="s">
        <v>61</v>
      </c>
      <c r="E2" t="s">
        <v>61</v>
      </c>
      <c r="F2" t="s">
        <v>61</v>
      </c>
      <c r="G2" t="s">
        <v>61</v>
      </c>
      <c r="H2" t="s">
        <v>61</v>
      </c>
      <c r="I2" t="s">
        <v>61</v>
      </c>
      <c r="J2" t="s">
        <v>61</v>
      </c>
      <c r="K2" t="s">
        <v>61</v>
      </c>
      <c r="L2" t="s">
        <v>61</v>
      </c>
      <c r="M2" t="s">
        <v>61</v>
      </c>
      <c r="N2" t="s">
        <v>61</v>
      </c>
      <c r="O2" t="s">
        <v>61</v>
      </c>
      <c r="P2" t="s">
        <v>61</v>
      </c>
      <c r="Q2" t="s">
        <v>61</v>
      </c>
      <c r="R2" t="s">
        <v>61</v>
      </c>
      <c r="S2" t="s">
        <v>61</v>
      </c>
      <c r="T2" t="s">
        <v>61</v>
      </c>
    </row>
    <row r="3" spans="1:20" x14ac:dyDescent="0.35">
      <c r="A3">
        <v>92</v>
      </c>
      <c r="B3" t="s">
        <v>60</v>
      </c>
      <c r="C3" t="s">
        <v>61</v>
      </c>
      <c r="D3" t="s">
        <v>61</v>
      </c>
      <c r="E3" t="s">
        <v>61</v>
      </c>
      <c r="F3" t="s">
        <v>61</v>
      </c>
      <c r="G3" t="s">
        <v>61</v>
      </c>
      <c r="H3" t="s">
        <v>61</v>
      </c>
      <c r="I3" t="s">
        <v>61</v>
      </c>
      <c r="J3" t="s">
        <v>61</v>
      </c>
      <c r="K3" t="s">
        <v>61</v>
      </c>
      <c r="L3" t="s">
        <v>61</v>
      </c>
      <c r="M3" t="s">
        <v>61</v>
      </c>
      <c r="N3" t="s">
        <v>61</v>
      </c>
      <c r="O3" t="s">
        <v>61</v>
      </c>
      <c r="P3" t="s">
        <v>61</v>
      </c>
      <c r="Q3" t="s">
        <v>61</v>
      </c>
      <c r="R3" t="s">
        <v>61</v>
      </c>
      <c r="S3" t="s">
        <v>61</v>
      </c>
      <c r="T3" t="s">
        <v>61</v>
      </c>
    </row>
    <row r="4" spans="1:20" x14ac:dyDescent="0.35">
      <c r="A4">
        <v>93</v>
      </c>
      <c r="B4" t="s">
        <v>60</v>
      </c>
      <c r="C4" t="s">
        <v>61</v>
      </c>
      <c r="D4" t="s">
        <v>61</v>
      </c>
      <c r="E4" t="s">
        <v>61</v>
      </c>
      <c r="F4" t="s">
        <v>61</v>
      </c>
      <c r="G4" t="s">
        <v>61</v>
      </c>
      <c r="H4" t="s">
        <v>61</v>
      </c>
      <c r="I4" t="s">
        <v>61</v>
      </c>
      <c r="J4" t="s">
        <v>61</v>
      </c>
      <c r="K4" t="s">
        <v>61</v>
      </c>
      <c r="L4" t="s">
        <v>61</v>
      </c>
      <c r="M4" t="s">
        <v>61</v>
      </c>
      <c r="N4" t="s">
        <v>61</v>
      </c>
      <c r="O4" t="s">
        <v>61</v>
      </c>
      <c r="P4" t="s">
        <v>61</v>
      </c>
      <c r="Q4" t="s">
        <v>61</v>
      </c>
      <c r="R4" t="s">
        <v>61</v>
      </c>
      <c r="S4" t="s">
        <v>61</v>
      </c>
      <c r="T4" t="s">
        <v>61</v>
      </c>
    </row>
    <row r="5" spans="1:20" x14ac:dyDescent="0.35">
      <c r="A5">
        <v>4</v>
      </c>
      <c r="B5" t="s">
        <v>60</v>
      </c>
      <c r="C5" t="s">
        <v>61</v>
      </c>
      <c r="D5" t="s">
        <v>61</v>
      </c>
      <c r="E5" t="s">
        <v>61</v>
      </c>
      <c r="F5" t="s">
        <v>61</v>
      </c>
      <c r="G5" t="s">
        <v>61</v>
      </c>
      <c r="H5" t="s">
        <v>61</v>
      </c>
      <c r="I5" t="s">
        <v>61</v>
      </c>
      <c r="J5" t="s">
        <v>61</v>
      </c>
      <c r="K5" t="s">
        <v>61</v>
      </c>
      <c r="L5" t="s">
        <v>61</v>
      </c>
      <c r="M5" t="s">
        <v>61</v>
      </c>
      <c r="N5" t="s">
        <v>61</v>
      </c>
      <c r="O5" t="s">
        <v>61</v>
      </c>
      <c r="P5" t="s">
        <v>61</v>
      </c>
      <c r="Q5" t="s">
        <v>61</v>
      </c>
      <c r="R5" t="s">
        <v>61</v>
      </c>
      <c r="S5" t="s">
        <v>61</v>
      </c>
      <c r="T5" t="s">
        <v>61</v>
      </c>
    </row>
    <row r="6" spans="1:20" x14ac:dyDescent="0.35">
      <c r="A6">
        <v>6</v>
      </c>
      <c r="B6" t="s">
        <v>60</v>
      </c>
      <c r="C6" t="s">
        <v>61</v>
      </c>
      <c r="D6" t="s">
        <v>61</v>
      </c>
      <c r="E6" t="s">
        <v>61</v>
      </c>
      <c r="F6" t="s">
        <v>61</v>
      </c>
      <c r="G6" t="s">
        <v>61</v>
      </c>
      <c r="H6" t="s">
        <v>61</v>
      </c>
      <c r="I6" t="s">
        <v>61</v>
      </c>
      <c r="J6" t="s">
        <v>61</v>
      </c>
      <c r="K6" t="s">
        <v>61</v>
      </c>
      <c r="L6" t="s">
        <v>61</v>
      </c>
      <c r="M6" t="s">
        <v>61</v>
      </c>
      <c r="N6" t="s">
        <v>61</v>
      </c>
      <c r="O6" t="s">
        <v>61</v>
      </c>
      <c r="P6" t="s">
        <v>61</v>
      </c>
      <c r="Q6" t="s">
        <v>61</v>
      </c>
      <c r="R6" t="s">
        <v>61</v>
      </c>
      <c r="S6" t="s">
        <v>61</v>
      </c>
      <c r="T6" t="s">
        <v>61</v>
      </c>
    </row>
    <row r="7" spans="1:20" x14ac:dyDescent="0.35">
      <c r="A7">
        <v>106</v>
      </c>
      <c r="B7" t="s">
        <v>60</v>
      </c>
      <c r="C7" t="s">
        <v>61</v>
      </c>
      <c r="D7" t="s">
        <v>61</v>
      </c>
      <c r="E7" t="s">
        <v>61</v>
      </c>
      <c r="F7" t="s">
        <v>61</v>
      </c>
      <c r="G7" t="s">
        <v>61</v>
      </c>
      <c r="H7" t="s">
        <v>61</v>
      </c>
      <c r="I7" t="s">
        <v>61</v>
      </c>
      <c r="J7" t="s">
        <v>61</v>
      </c>
      <c r="K7" t="s">
        <v>61</v>
      </c>
      <c r="L7" t="s">
        <v>61</v>
      </c>
      <c r="M7" t="s">
        <v>61</v>
      </c>
      <c r="N7" t="s">
        <v>61</v>
      </c>
      <c r="O7" t="s">
        <v>61</v>
      </c>
      <c r="P7" t="s">
        <v>61</v>
      </c>
      <c r="Q7" t="s">
        <v>61</v>
      </c>
      <c r="R7" t="s">
        <v>61</v>
      </c>
      <c r="S7" t="s">
        <v>61</v>
      </c>
      <c r="T7" t="s">
        <v>61</v>
      </c>
    </row>
    <row r="8" spans="1:20" x14ac:dyDescent="0.35">
      <c r="A8">
        <v>107</v>
      </c>
      <c r="B8" t="s">
        <v>60</v>
      </c>
      <c r="C8" t="s">
        <v>61</v>
      </c>
      <c r="D8" t="s">
        <v>61</v>
      </c>
      <c r="E8" t="s">
        <v>61</v>
      </c>
      <c r="F8" t="s">
        <v>61</v>
      </c>
      <c r="G8" t="s">
        <v>61</v>
      </c>
      <c r="H8" t="s">
        <v>61</v>
      </c>
      <c r="I8" t="s">
        <v>61</v>
      </c>
      <c r="J8" t="s">
        <v>61</v>
      </c>
      <c r="K8" t="s">
        <v>61</v>
      </c>
      <c r="L8" t="s">
        <v>61</v>
      </c>
      <c r="M8" t="s">
        <v>61</v>
      </c>
      <c r="N8" t="s">
        <v>61</v>
      </c>
      <c r="O8" t="s">
        <v>61</v>
      </c>
      <c r="P8" t="s">
        <v>61</v>
      </c>
      <c r="Q8" t="s">
        <v>61</v>
      </c>
      <c r="R8" t="s">
        <v>61</v>
      </c>
      <c r="S8" t="s">
        <v>61</v>
      </c>
      <c r="T8" t="s">
        <v>61</v>
      </c>
    </row>
  </sheetData>
  <conditionalFormatting sqref="L1:L8">
    <cfRule type="cellIs" dxfId="4" priority="1" operator="equal">
      <formul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A4A4A-692F-44C4-ACFF-8D3F8A1088A9}">
  <dimension ref="A1:L286"/>
  <sheetViews>
    <sheetView topLeftCell="A262" workbookViewId="0">
      <selection activeCell="J10" sqref="J10"/>
    </sheetView>
  </sheetViews>
  <sheetFormatPr defaultRowHeight="14.5" x14ac:dyDescent="0.35"/>
  <cols>
    <col min="1" max="1" width="9.08984375" bestFit="1" customWidth="1"/>
    <col min="10" max="10" width="23.36328125" customWidth="1"/>
  </cols>
  <sheetData>
    <row r="1" spans="1:12" ht="58" x14ac:dyDescent="0.35">
      <c r="A1" s="3" t="s">
        <v>62</v>
      </c>
      <c r="B1" s="3" t="s">
        <v>63</v>
      </c>
      <c r="C1" s="3" t="s">
        <v>6</v>
      </c>
      <c r="D1" s="3" t="s">
        <v>41</v>
      </c>
      <c r="E1" s="3" t="s">
        <v>64</v>
      </c>
      <c r="F1" s="3" t="s">
        <v>65</v>
      </c>
      <c r="G1" s="3" t="s">
        <v>45</v>
      </c>
      <c r="H1" s="3" t="s">
        <v>66</v>
      </c>
      <c r="I1" s="3" t="s">
        <v>67</v>
      </c>
      <c r="J1" s="3" t="s">
        <v>85</v>
      </c>
      <c r="K1" s="3" t="s">
        <v>86</v>
      </c>
      <c r="L1" s="3" t="s">
        <v>68</v>
      </c>
    </row>
    <row r="2" spans="1:12" x14ac:dyDescent="0.35">
      <c r="A2" s="5">
        <v>45821</v>
      </c>
      <c r="B2" s="6" t="s">
        <v>69</v>
      </c>
      <c r="C2" s="6">
        <v>23</v>
      </c>
      <c r="D2" s="6" t="s">
        <v>80</v>
      </c>
      <c r="E2" s="6" t="s">
        <v>70</v>
      </c>
      <c r="F2" s="6" t="s">
        <v>87</v>
      </c>
      <c r="G2" s="6">
        <v>59.4</v>
      </c>
      <c r="H2" s="6" t="s">
        <v>72</v>
      </c>
      <c r="I2" s="6"/>
      <c r="J2" t="s">
        <v>88</v>
      </c>
      <c r="K2">
        <v>1</v>
      </c>
      <c r="L2" s="6"/>
    </row>
    <row r="3" spans="1:12" x14ac:dyDescent="0.35">
      <c r="A3" s="4">
        <v>45821</v>
      </c>
      <c r="B3" t="s">
        <v>69</v>
      </c>
      <c r="C3">
        <v>23</v>
      </c>
      <c r="D3" t="s">
        <v>32</v>
      </c>
      <c r="E3" t="s">
        <v>70</v>
      </c>
      <c r="F3" t="s">
        <v>77</v>
      </c>
      <c r="G3">
        <v>4.8</v>
      </c>
      <c r="H3" t="s">
        <v>72</v>
      </c>
      <c r="J3" t="s">
        <v>88</v>
      </c>
      <c r="K3">
        <v>1</v>
      </c>
    </row>
    <row r="4" spans="1:12" x14ac:dyDescent="0.35">
      <c r="A4" s="4">
        <v>45821</v>
      </c>
      <c r="B4" t="s">
        <v>69</v>
      </c>
      <c r="C4">
        <v>23</v>
      </c>
      <c r="D4" t="s">
        <v>32</v>
      </c>
      <c r="E4" t="s">
        <v>70</v>
      </c>
      <c r="F4" t="s">
        <v>89</v>
      </c>
      <c r="G4">
        <v>3.1</v>
      </c>
      <c r="H4" t="s">
        <v>74</v>
      </c>
      <c r="J4" t="s">
        <v>88</v>
      </c>
      <c r="K4">
        <v>1</v>
      </c>
    </row>
    <row r="5" spans="1:12" x14ac:dyDescent="0.35">
      <c r="A5" s="4">
        <v>45821</v>
      </c>
      <c r="B5" t="s">
        <v>69</v>
      </c>
      <c r="C5">
        <v>23</v>
      </c>
      <c r="D5" t="s">
        <v>32</v>
      </c>
      <c r="E5" t="s">
        <v>70</v>
      </c>
      <c r="F5" t="s">
        <v>90</v>
      </c>
      <c r="G5">
        <v>19.7</v>
      </c>
      <c r="H5" t="s">
        <v>72</v>
      </c>
      <c r="J5" t="s">
        <v>88</v>
      </c>
      <c r="K5">
        <v>1</v>
      </c>
    </row>
    <row r="6" spans="1:12" x14ac:dyDescent="0.35">
      <c r="A6" s="4">
        <v>45821</v>
      </c>
      <c r="B6" t="s">
        <v>69</v>
      </c>
      <c r="C6">
        <v>23</v>
      </c>
      <c r="D6" t="s">
        <v>32</v>
      </c>
      <c r="E6" t="s">
        <v>70</v>
      </c>
      <c r="F6" t="s">
        <v>91</v>
      </c>
      <c r="G6">
        <v>9.8000000000000007</v>
      </c>
      <c r="H6" t="s">
        <v>74</v>
      </c>
      <c r="J6" t="s">
        <v>88</v>
      </c>
      <c r="K6">
        <v>1</v>
      </c>
    </row>
    <row r="7" spans="1:12" x14ac:dyDescent="0.35">
      <c r="A7" s="4">
        <v>45821</v>
      </c>
      <c r="B7" t="s">
        <v>69</v>
      </c>
      <c r="C7">
        <v>23</v>
      </c>
      <c r="D7" t="s">
        <v>32</v>
      </c>
      <c r="E7" t="s">
        <v>70</v>
      </c>
      <c r="F7" t="s">
        <v>89</v>
      </c>
      <c r="G7">
        <v>5.0999999999999996</v>
      </c>
      <c r="H7" t="s">
        <v>72</v>
      </c>
      <c r="J7" t="s">
        <v>88</v>
      </c>
      <c r="K7">
        <v>1</v>
      </c>
    </row>
    <row r="8" spans="1:12" x14ac:dyDescent="0.35">
      <c r="A8" s="4">
        <v>45821</v>
      </c>
      <c r="B8" t="s">
        <v>69</v>
      </c>
      <c r="C8">
        <v>23</v>
      </c>
      <c r="D8" t="s">
        <v>32</v>
      </c>
      <c r="E8" t="s">
        <v>70</v>
      </c>
      <c r="F8" t="s">
        <v>92</v>
      </c>
      <c r="G8">
        <v>136</v>
      </c>
      <c r="H8" t="s">
        <v>72</v>
      </c>
      <c r="J8" t="s">
        <v>88</v>
      </c>
      <c r="K8">
        <v>1</v>
      </c>
    </row>
    <row r="9" spans="1:12" x14ac:dyDescent="0.35">
      <c r="A9" s="4">
        <v>45821</v>
      </c>
      <c r="B9" t="s">
        <v>69</v>
      </c>
      <c r="C9">
        <v>23</v>
      </c>
      <c r="D9" t="s">
        <v>34</v>
      </c>
      <c r="E9" t="s">
        <v>70</v>
      </c>
      <c r="F9" t="s">
        <v>93</v>
      </c>
      <c r="G9">
        <v>8.6999999999999993</v>
      </c>
      <c r="H9" t="s">
        <v>72</v>
      </c>
      <c r="J9" t="s">
        <v>88</v>
      </c>
      <c r="K9">
        <v>1</v>
      </c>
    </row>
    <row r="10" spans="1:12" x14ac:dyDescent="0.35">
      <c r="A10" s="4">
        <v>45821</v>
      </c>
      <c r="B10" t="s">
        <v>69</v>
      </c>
      <c r="C10">
        <v>23</v>
      </c>
      <c r="D10" t="s">
        <v>34</v>
      </c>
      <c r="E10" t="s">
        <v>70</v>
      </c>
      <c r="F10" t="s">
        <v>77</v>
      </c>
      <c r="G10">
        <v>5.8</v>
      </c>
      <c r="H10" t="s">
        <v>74</v>
      </c>
      <c r="J10" t="s">
        <v>88</v>
      </c>
      <c r="K10">
        <v>1</v>
      </c>
    </row>
    <row r="11" spans="1:12" x14ac:dyDescent="0.35">
      <c r="A11" s="4">
        <v>45821</v>
      </c>
      <c r="B11" t="s">
        <v>69</v>
      </c>
      <c r="C11">
        <v>23</v>
      </c>
      <c r="D11" t="s">
        <v>34</v>
      </c>
      <c r="E11" t="s">
        <v>70</v>
      </c>
      <c r="F11" t="s">
        <v>77</v>
      </c>
      <c r="G11">
        <v>12.1</v>
      </c>
      <c r="H11" t="s">
        <v>74</v>
      </c>
      <c r="J11" t="s">
        <v>88</v>
      </c>
      <c r="K11">
        <v>1</v>
      </c>
    </row>
    <row r="12" spans="1:12" x14ac:dyDescent="0.35">
      <c r="A12" s="4">
        <v>45821</v>
      </c>
      <c r="B12" t="s">
        <v>69</v>
      </c>
      <c r="C12">
        <v>23</v>
      </c>
      <c r="D12" t="s">
        <v>34</v>
      </c>
      <c r="E12" t="s">
        <v>70</v>
      </c>
      <c r="F12" t="s">
        <v>77</v>
      </c>
      <c r="G12">
        <v>12.8</v>
      </c>
      <c r="H12" t="s">
        <v>72</v>
      </c>
      <c r="J12" t="s">
        <v>88</v>
      </c>
      <c r="K12">
        <v>1</v>
      </c>
    </row>
    <row r="13" spans="1:12" x14ac:dyDescent="0.35">
      <c r="A13" s="4">
        <v>45821</v>
      </c>
      <c r="B13" t="s">
        <v>69</v>
      </c>
      <c r="C13">
        <v>23</v>
      </c>
      <c r="D13" t="s">
        <v>34</v>
      </c>
      <c r="E13" t="s">
        <v>70</v>
      </c>
      <c r="F13" t="s">
        <v>77</v>
      </c>
      <c r="G13">
        <f>13.2+4.7</f>
        <v>17.899999999999999</v>
      </c>
      <c r="H13" t="s">
        <v>74</v>
      </c>
      <c r="J13" t="s">
        <v>88</v>
      </c>
      <c r="K13">
        <v>2</v>
      </c>
    </row>
    <row r="14" spans="1:12" x14ac:dyDescent="0.35">
      <c r="A14" s="4">
        <v>45821</v>
      </c>
      <c r="B14" t="s">
        <v>69</v>
      </c>
      <c r="C14">
        <v>23</v>
      </c>
      <c r="D14" t="s">
        <v>34</v>
      </c>
      <c r="E14" t="s">
        <v>70</v>
      </c>
      <c r="F14" t="s">
        <v>94</v>
      </c>
      <c r="G14">
        <v>24.9</v>
      </c>
      <c r="H14" t="s">
        <v>72</v>
      </c>
      <c r="J14" t="s">
        <v>88</v>
      </c>
      <c r="K14">
        <v>1</v>
      </c>
    </row>
    <row r="15" spans="1:12" x14ac:dyDescent="0.35">
      <c r="A15" s="4">
        <v>45821</v>
      </c>
      <c r="B15" t="s">
        <v>69</v>
      </c>
      <c r="C15">
        <v>23</v>
      </c>
      <c r="D15" t="s">
        <v>34</v>
      </c>
      <c r="E15" t="s">
        <v>70</v>
      </c>
      <c r="F15" t="s">
        <v>77</v>
      </c>
      <c r="G15">
        <v>8.3000000000000007</v>
      </c>
      <c r="H15" t="s">
        <v>74</v>
      </c>
      <c r="J15" t="s">
        <v>88</v>
      </c>
      <c r="K15">
        <v>1</v>
      </c>
    </row>
    <row r="16" spans="1:12" x14ac:dyDescent="0.35">
      <c r="A16" s="4">
        <v>45821</v>
      </c>
      <c r="B16" t="s">
        <v>69</v>
      </c>
      <c r="C16">
        <v>23</v>
      </c>
      <c r="D16" t="s">
        <v>34</v>
      </c>
      <c r="E16" t="s">
        <v>70</v>
      </c>
      <c r="F16" t="s">
        <v>77</v>
      </c>
      <c r="G16">
        <v>5.0999999999999996</v>
      </c>
      <c r="H16" t="s">
        <v>74</v>
      </c>
      <c r="J16" t="s">
        <v>88</v>
      </c>
      <c r="K16">
        <v>1</v>
      </c>
    </row>
    <row r="17" spans="1:11" x14ac:dyDescent="0.35">
      <c r="A17" s="4">
        <v>45821</v>
      </c>
      <c r="B17" t="s">
        <v>69</v>
      </c>
      <c r="C17">
        <v>23</v>
      </c>
      <c r="D17" t="s">
        <v>36</v>
      </c>
      <c r="E17" t="s">
        <v>70</v>
      </c>
      <c r="F17" t="s">
        <v>77</v>
      </c>
      <c r="G17">
        <v>9.8000000000000007</v>
      </c>
      <c r="H17" t="s">
        <v>72</v>
      </c>
      <c r="J17" t="s">
        <v>88</v>
      </c>
      <c r="K17">
        <v>1</v>
      </c>
    </row>
    <row r="18" spans="1:11" x14ac:dyDescent="0.35">
      <c r="A18" s="4">
        <v>45821</v>
      </c>
      <c r="B18" t="s">
        <v>69</v>
      </c>
      <c r="C18">
        <v>23</v>
      </c>
      <c r="D18" t="s">
        <v>36</v>
      </c>
      <c r="E18" t="s">
        <v>70</v>
      </c>
      <c r="F18" t="s">
        <v>77</v>
      </c>
      <c r="G18">
        <v>7.2</v>
      </c>
      <c r="H18" t="s">
        <v>74</v>
      </c>
      <c r="J18" t="s">
        <v>88</v>
      </c>
      <c r="K18">
        <v>1</v>
      </c>
    </row>
    <row r="19" spans="1:11" x14ac:dyDescent="0.35">
      <c r="A19" s="4">
        <v>45821</v>
      </c>
      <c r="B19" t="s">
        <v>69</v>
      </c>
      <c r="C19">
        <v>23</v>
      </c>
      <c r="D19" t="s">
        <v>36</v>
      </c>
      <c r="E19" t="s">
        <v>70</v>
      </c>
      <c r="F19" t="s">
        <v>77</v>
      </c>
      <c r="G19">
        <v>4.7</v>
      </c>
      <c r="H19" t="s">
        <v>74</v>
      </c>
      <c r="J19" t="s">
        <v>88</v>
      </c>
      <c r="K19">
        <v>1</v>
      </c>
    </row>
    <row r="20" spans="1:11" x14ac:dyDescent="0.35">
      <c r="A20" s="4">
        <v>45821</v>
      </c>
      <c r="B20" t="s">
        <v>69</v>
      </c>
      <c r="C20">
        <v>23</v>
      </c>
      <c r="D20" t="s">
        <v>36</v>
      </c>
      <c r="E20" t="s">
        <v>70</v>
      </c>
      <c r="F20" t="s">
        <v>77</v>
      </c>
      <c r="G20">
        <v>13.3</v>
      </c>
      <c r="H20" t="s">
        <v>74</v>
      </c>
      <c r="J20" t="s">
        <v>88</v>
      </c>
      <c r="K20">
        <v>1</v>
      </c>
    </row>
    <row r="21" spans="1:11" x14ac:dyDescent="0.35">
      <c r="A21" s="4">
        <v>45821</v>
      </c>
      <c r="B21" t="s">
        <v>69</v>
      </c>
      <c r="C21">
        <v>23</v>
      </c>
      <c r="D21" t="s">
        <v>36</v>
      </c>
      <c r="E21" t="s">
        <v>70</v>
      </c>
      <c r="F21" t="s">
        <v>77</v>
      </c>
      <c r="G21">
        <v>5.6</v>
      </c>
      <c r="H21" t="s">
        <v>72</v>
      </c>
      <c r="J21" t="s">
        <v>88</v>
      </c>
      <c r="K21">
        <v>1</v>
      </c>
    </row>
    <row r="22" spans="1:11" x14ac:dyDescent="0.35">
      <c r="A22" s="4">
        <v>45821</v>
      </c>
      <c r="B22" t="s">
        <v>69</v>
      </c>
      <c r="C22">
        <v>23</v>
      </c>
      <c r="D22" t="s">
        <v>36</v>
      </c>
      <c r="E22" t="s">
        <v>70</v>
      </c>
      <c r="F22" t="s">
        <v>91</v>
      </c>
      <c r="G22">
        <v>4.2</v>
      </c>
      <c r="H22" t="s">
        <v>74</v>
      </c>
      <c r="J22" t="s">
        <v>88</v>
      </c>
      <c r="K22">
        <v>1</v>
      </c>
    </row>
    <row r="23" spans="1:11" x14ac:dyDescent="0.35">
      <c r="A23" s="4">
        <v>45821</v>
      </c>
      <c r="B23" t="s">
        <v>69</v>
      </c>
      <c r="C23">
        <v>23</v>
      </c>
      <c r="D23" t="s">
        <v>36</v>
      </c>
      <c r="E23" t="s">
        <v>70</v>
      </c>
      <c r="F23" t="s">
        <v>91</v>
      </c>
      <c r="G23">
        <v>5.3</v>
      </c>
      <c r="H23" t="s">
        <v>74</v>
      </c>
      <c r="J23" t="s">
        <v>88</v>
      </c>
      <c r="K23">
        <v>1</v>
      </c>
    </row>
    <row r="24" spans="1:11" x14ac:dyDescent="0.35">
      <c r="A24" s="4">
        <v>45821</v>
      </c>
      <c r="B24" t="s">
        <v>69</v>
      </c>
      <c r="C24">
        <v>23</v>
      </c>
      <c r="D24" t="s">
        <v>36</v>
      </c>
      <c r="E24" t="s">
        <v>70</v>
      </c>
      <c r="F24" t="s">
        <v>77</v>
      </c>
      <c r="G24">
        <f>8.3+10.5+2.4</f>
        <v>21.2</v>
      </c>
      <c r="H24" t="s">
        <v>74</v>
      </c>
      <c r="J24" t="s">
        <v>88</v>
      </c>
      <c r="K24">
        <v>2</v>
      </c>
    </row>
    <row r="25" spans="1:11" x14ac:dyDescent="0.35">
      <c r="A25" s="4">
        <v>45821</v>
      </c>
      <c r="B25" t="s">
        <v>69</v>
      </c>
      <c r="C25">
        <v>23</v>
      </c>
      <c r="D25" t="s">
        <v>36</v>
      </c>
      <c r="E25" t="s">
        <v>70</v>
      </c>
      <c r="F25" t="s">
        <v>77</v>
      </c>
      <c r="G25">
        <v>4.5</v>
      </c>
      <c r="H25" t="s">
        <v>72</v>
      </c>
      <c r="J25" t="s">
        <v>88</v>
      </c>
      <c r="K25">
        <v>1</v>
      </c>
    </row>
    <row r="26" spans="1:11" x14ac:dyDescent="0.35">
      <c r="A26" s="4">
        <v>45821</v>
      </c>
      <c r="B26" t="s">
        <v>69</v>
      </c>
      <c r="C26">
        <v>23</v>
      </c>
      <c r="D26" t="s">
        <v>37</v>
      </c>
      <c r="E26" t="s">
        <v>70</v>
      </c>
      <c r="F26" t="s">
        <v>93</v>
      </c>
      <c r="G26">
        <v>13.2</v>
      </c>
      <c r="H26" t="s">
        <v>72</v>
      </c>
      <c r="J26" t="s">
        <v>88</v>
      </c>
      <c r="K26">
        <v>1</v>
      </c>
    </row>
    <row r="27" spans="1:11" x14ac:dyDescent="0.35">
      <c r="A27" s="4">
        <v>45821</v>
      </c>
      <c r="B27" t="s">
        <v>69</v>
      </c>
      <c r="C27">
        <v>23</v>
      </c>
      <c r="D27" t="s">
        <v>37</v>
      </c>
      <c r="E27" t="s">
        <v>70</v>
      </c>
      <c r="F27" t="s">
        <v>77</v>
      </c>
      <c r="G27">
        <v>13.8</v>
      </c>
      <c r="H27" t="s">
        <v>72</v>
      </c>
      <c r="J27" t="s">
        <v>88</v>
      </c>
      <c r="K27">
        <v>1</v>
      </c>
    </row>
    <row r="28" spans="1:11" x14ac:dyDescent="0.35">
      <c r="A28" s="4">
        <v>45821</v>
      </c>
      <c r="B28" t="s">
        <v>69</v>
      </c>
      <c r="C28">
        <v>23</v>
      </c>
      <c r="D28" t="s">
        <v>37</v>
      </c>
      <c r="E28" t="s">
        <v>70</v>
      </c>
      <c r="F28" t="s">
        <v>77</v>
      </c>
      <c r="G28">
        <v>18.7</v>
      </c>
      <c r="H28" t="s">
        <v>72</v>
      </c>
      <c r="J28" t="s">
        <v>88</v>
      </c>
      <c r="K28">
        <v>1</v>
      </c>
    </row>
    <row r="29" spans="1:11" x14ac:dyDescent="0.35">
      <c r="A29" s="4">
        <v>45821</v>
      </c>
      <c r="B29" t="s">
        <v>69</v>
      </c>
      <c r="C29">
        <v>23</v>
      </c>
      <c r="D29" t="s">
        <v>37</v>
      </c>
      <c r="E29" t="s">
        <v>70</v>
      </c>
      <c r="F29" t="s">
        <v>77</v>
      </c>
      <c r="G29">
        <v>10.199999999999999</v>
      </c>
      <c r="H29" t="s">
        <v>72</v>
      </c>
      <c r="J29" t="s">
        <v>88</v>
      </c>
      <c r="K29">
        <v>1</v>
      </c>
    </row>
    <row r="30" spans="1:11" x14ac:dyDescent="0.35">
      <c r="A30" s="4">
        <v>45821</v>
      </c>
      <c r="B30" t="s">
        <v>69</v>
      </c>
      <c r="C30">
        <v>23</v>
      </c>
      <c r="D30" t="s">
        <v>37</v>
      </c>
      <c r="E30" t="s">
        <v>70</v>
      </c>
      <c r="F30" t="s">
        <v>91</v>
      </c>
      <c r="G30">
        <v>5.0999999999999996</v>
      </c>
      <c r="H30" t="s">
        <v>74</v>
      </c>
      <c r="J30" t="s">
        <v>88</v>
      </c>
      <c r="K30">
        <v>1</v>
      </c>
    </row>
    <row r="31" spans="1:11" x14ac:dyDescent="0.35">
      <c r="A31" s="4">
        <v>45821</v>
      </c>
      <c r="B31" t="s">
        <v>69</v>
      </c>
      <c r="C31">
        <v>23</v>
      </c>
      <c r="D31" t="s">
        <v>32</v>
      </c>
      <c r="E31" t="s">
        <v>88</v>
      </c>
      <c r="F31" t="s">
        <v>90</v>
      </c>
      <c r="G31">
        <v>16.899999999999999</v>
      </c>
      <c r="H31" t="s">
        <v>72</v>
      </c>
      <c r="J31" t="s">
        <v>88</v>
      </c>
      <c r="K31">
        <v>1</v>
      </c>
    </row>
    <row r="32" spans="1:11" x14ac:dyDescent="0.35">
      <c r="A32" s="4">
        <v>45821</v>
      </c>
      <c r="B32" t="s">
        <v>69</v>
      </c>
      <c r="C32">
        <v>23</v>
      </c>
      <c r="D32" t="s">
        <v>32</v>
      </c>
      <c r="E32" t="s">
        <v>88</v>
      </c>
      <c r="F32" t="s">
        <v>77</v>
      </c>
      <c r="G32">
        <v>12.7</v>
      </c>
      <c r="H32" t="s">
        <v>72</v>
      </c>
      <c r="J32" t="s">
        <v>88</v>
      </c>
      <c r="K32">
        <v>1</v>
      </c>
    </row>
    <row r="33" spans="1:11" x14ac:dyDescent="0.35">
      <c r="A33" s="4">
        <v>45821</v>
      </c>
      <c r="B33" t="s">
        <v>69</v>
      </c>
      <c r="C33">
        <v>23</v>
      </c>
      <c r="D33" t="s">
        <v>32</v>
      </c>
      <c r="E33" t="s">
        <v>88</v>
      </c>
      <c r="F33" t="s">
        <v>94</v>
      </c>
      <c r="G33">
        <v>16.899999999999999</v>
      </c>
      <c r="H33" t="s">
        <v>72</v>
      </c>
      <c r="J33" t="s">
        <v>88</v>
      </c>
      <c r="K33">
        <v>1</v>
      </c>
    </row>
    <row r="34" spans="1:11" x14ac:dyDescent="0.35">
      <c r="A34" s="4">
        <v>45821</v>
      </c>
      <c r="B34" t="s">
        <v>69</v>
      </c>
      <c r="C34">
        <v>23</v>
      </c>
      <c r="D34" t="s">
        <v>32</v>
      </c>
      <c r="E34" t="s">
        <v>88</v>
      </c>
      <c r="F34" t="s">
        <v>94</v>
      </c>
      <c r="G34">
        <v>14.8</v>
      </c>
      <c r="H34" t="s">
        <v>72</v>
      </c>
      <c r="J34" t="s">
        <v>88</v>
      </c>
      <c r="K34">
        <v>1</v>
      </c>
    </row>
    <row r="35" spans="1:11" x14ac:dyDescent="0.35">
      <c r="A35" s="4">
        <v>45821</v>
      </c>
      <c r="B35" t="s">
        <v>69</v>
      </c>
      <c r="C35">
        <v>23</v>
      </c>
      <c r="D35" t="s">
        <v>32</v>
      </c>
      <c r="E35" t="s">
        <v>88</v>
      </c>
      <c r="F35" t="s">
        <v>94</v>
      </c>
      <c r="G35">
        <f>38.1+5.7+6.7</f>
        <v>50.500000000000007</v>
      </c>
      <c r="H35" t="s">
        <v>72</v>
      </c>
      <c r="J35" t="s">
        <v>88</v>
      </c>
      <c r="K35">
        <v>3</v>
      </c>
    </row>
    <row r="36" spans="1:11" x14ac:dyDescent="0.35">
      <c r="A36" s="4">
        <v>45821</v>
      </c>
      <c r="B36" t="s">
        <v>69</v>
      </c>
      <c r="C36">
        <v>23</v>
      </c>
      <c r="D36" t="s">
        <v>32</v>
      </c>
      <c r="E36" t="s">
        <v>88</v>
      </c>
      <c r="F36" t="s">
        <v>95</v>
      </c>
      <c r="G36">
        <v>12.5</v>
      </c>
      <c r="H36" t="s">
        <v>72</v>
      </c>
      <c r="J36" t="s">
        <v>88</v>
      </c>
      <c r="K36">
        <v>1</v>
      </c>
    </row>
    <row r="37" spans="1:11" x14ac:dyDescent="0.35">
      <c r="A37" s="4">
        <v>45821</v>
      </c>
      <c r="B37" t="s">
        <v>69</v>
      </c>
      <c r="C37">
        <v>23</v>
      </c>
      <c r="D37" t="s">
        <v>32</v>
      </c>
      <c r="E37" t="s">
        <v>88</v>
      </c>
      <c r="F37" t="s">
        <v>94</v>
      </c>
      <c r="G37">
        <f>35.7+3</f>
        <v>38.700000000000003</v>
      </c>
      <c r="H37" t="s">
        <v>72</v>
      </c>
      <c r="J37" t="s">
        <v>88</v>
      </c>
      <c r="K37">
        <v>2</v>
      </c>
    </row>
    <row r="38" spans="1:11" x14ac:dyDescent="0.35">
      <c r="A38" s="4">
        <v>45821</v>
      </c>
      <c r="B38" t="s">
        <v>69</v>
      </c>
      <c r="C38">
        <v>23</v>
      </c>
      <c r="D38" t="s">
        <v>32</v>
      </c>
      <c r="E38" t="s">
        <v>88</v>
      </c>
      <c r="F38" t="s">
        <v>94</v>
      </c>
      <c r="G38">
        <v>36.299999999999997</v>
      </c>
      <c r="H38" t="s">
        <v>72</v>
      </c>
      <c r="J38" t="s">
        <v>88</v>
      </c>
      <c r="K38">
        <v>1</v>
      </c>
    </row>
    <row r="39" spans="1:11" x14ac:dyDescent="0.35">
      <c r="A39" s="4">
        <v>45821</v>
      </c>
      <c r="B39" t="s">
        <v>69</v>
      </c>
      <c r="C39">
        <v>23</v>
      </c>
      <c r="D39" t="s">
        <v>34</v>
      </c>
      <c r="E39" t="s">
        <v>88</v>
      </c>
      <c r="F39" t="s">
        <v>94</v>
      </c>
      <c r="G39">
        <f>70.5+48.4</f>
        <v>118.9</v>
      </c>
      <c r="H39" t="s">
        <v>72</v>
      </c>
      <c r="J39" t="s">
        <v>88</v>
      </c>
      <c r="K39">
        <v>2</v>
      </c>
    </row>
    <row r="40" spans="1:11" x14ac:dyDescent="0.35">
      <c r="A40" s="4">
        <v>45821</v>
      </c>
      <c r="B40" t="s">
        <v>69</v>
      </c>
      <c r="C40">
        <v>23</v>
      </c>
      <c r="D40" t="s">
        <v>34</v>
      </c>
      <c r="E40" t="s">
        <v>88</v>
      </c>
      <c r="F40" t="s">
        <v>77</v>
      </c>
      <c r="G40">
        <v>12.6</v>
      </c>
      <c r="H40" t="s">
        <v>72</v>
      </c>
      <c r="J40" t="s">
        <v>88</v>
      </c>
      <c r="K40">
        <v>1</v>
      </c>
    </row>
    <row r="41" spans="1:11" x14ac:dyDescent="0.35">
      <c r="A41" s="4">
        <v>45821</v>
      </c>
      <c r="B41" t="s">
        <v>69</v>
      </c>
      <c r="C41">
        <v>23</v>
      </c>
      <c r="D41" t="s">
        <v>34</v>
      </c>
      <c r="E41" t="s">
        <v>88</v>
      </c>
      <c r="F41" t="s">
        <v>94</v>
      </c>
      <c r="G41">
        <v>48.5</v>
      </c>
      <c r="H41" t="s">
        <v>72</v>
      </c>
      <c r="J41" t="s">
        <v>88</v>
      </c>
      <c r="K41">
        <v>1</v>
      </c>
    </row>
    <row r="42" spans="1:11" x14ac:dyDescent="0.35">
      <c r="A42" s="4">
        <v>45821</v>
      </c>
      <c r="B42" t="s">
        <v>69</v>
      </c>
      <c r="C42">
        <v>23</v>
      </c>
      <c r="D42" t="s">
        <v>34</v>
      </c>
      <c r="E42" t="s">
        <v>88</v>
      </c>
      <c r="F42" t="s">
        <v>95</v>
      </c>
      <c r="G42">
        <f>9.7+35.9</f>
        <v>45.599999999999994</v>
      </c>
      <c r="H42" t="s">
        <v>72</v>
      </c>
      <c r="J42" t="s">
        <v>88</v>
      </c>
      <c r="K42">
        <v>2</v>
      </c>
    </row>
    <row r="43" spans="1:11" x14ac:dyDescent="0.35">
      <c r="A43" s="4">
        <v>45821</v>
      </c>
      <c r="B43" t="s">
        <v>69</v>
      </c>
      <c r="C43">
        <v>23</v>
      </c>
      <c r="D43" t="s">
        <v>34</v>
      </c>
      <c r="E43" t="s">
        <v>88</v>
      </c>
      <c r="F43" t="s">
        <v>93</v>
      </c>
      <c r="G43">
        <v>49.4</v>
      </c>
      <c r="H43" t="s">
        <v>72</v>
      </c>
      <c r="J43" t="s">
        <v>88</v>
      </c>
      <c r="K43">
        <v>1</v>
      </c>
    </row>
    <row r="44" spans="1:11" x14ac:dyDescent="0.35">
      <c r="A44" s="4">
        <v>45821</v>
      </c>
      <c r="B44" t="s">
        <v>69</v>
      </c>
      <c r="C44">
        <v>23</v>
      </c>
      <c r="D44" t="s">
        <v>36</v>
      </c>
      <c r="E44" t="s">
        <v>88</v>
      </c>
      <c r="F44" t="s">
        <v>94</v>
      </c>
      <c r="G44">
        <v>73.2</v>
      </c>
      <c r="H44" t="s">
        <v>72</v>
      </c>
      <c r="J44" t="s">
        <v>88</v>
      </c>
      <c r="K44">
        <v>1</v>
      </c>
    </row>
    <row r="45" spans="1:11" x14ac:dyDescent="0.35">
      <c r="A45" s="4">
        <v>45821</v>
      </c>
      <c r="B45" t="s">
        <v>69</v>
      </c>
      <c r="C45">
        <v>23</v>
      </c>
      <c r="D45" t="s">
        <v>36</v>
      </c>
      <c r="E45" t="s">
        <v>88</v>
      </c>
      <c r="F45" t="s">
        <v>77</v>
      </c>
      <c r="G45">
        <v>23.4</v>
      </c>
      <c r="H45" t="s">
        <v>72</v>
      </c>
      <c r="J45" t="s">
        <v>88</v>
      </c>
      <c r="K45">
        <v>1</v>
      </c>
    </row>
    <row r="46" spans="1:11" x14ac:dyDescent="0.35">
      <c r="A46" s="4">
        <v>45821</v>
      </c>
      <c r="B46" t="s">
        <v>69</v>
      </c>
      <c r="C46">
        <v>23</v>
      </c>
      <c r="D46" t="s">
        <v>36</v>
      </c>
      <c r="E46" t="s">
        <v>88</v>
      </c>
      <c r="F46" t="s">
        <v>77</v>
      </c>
      <c r="G46">
        <v>15</v>
      </c>
      <c r="H46" t="s">
        <v>72</v>
      </c>
      <c r="J46" t="s">
        <v>88</v>
      </c>
      <c r="K46">
        <v>1</v>
      </c>
    </row>
    <row r="47" spans="1:11" x14ac:dyDescent="0.35">
      <c r="A47" s="4">
        <v>45821</v>
      </c>
      <c r="B47" t="s">
        <v>69</v>
      </c>
      <c r="C47">
        <v>23</v>
      </c>
      <c r="D47" t="s">
        <v>36</v>
      </c>
      <c r="E47" t="s">
        <v>88</v>
      </c>
      <c r="F47" t="s">
        <v>77</v>
      </c>
      <c r="G47">
        <v>12.9</v>
      </c>
      <c r="H47" t="s">
        <v>74</v>
      </c>
      <c r="J47" t="s">
        <v>88</v>
      </c>
      <c r="K47">
        <v>1</v>
      </c>
    </row>
    <row r="48" spans="1:11" x14ac:dyDescent="0.35">
      <c r="A48" s="4">
        <v>45821</v>
      </c>
      <c r="B48" t="s">
        <v>69</v>
      </c>
      <c r="C48">
        <v>23</v>
      </c>
      <c r="D48" t="s">
        <v>36</v>
      </c>
      <c r="E48" t="s">
        <v>88</v>
      </c>
      <c r="F48" t="s">
        <v>94</v>
      </c>
      <c r="G48">
        <f>14.7+60.8</f>
        <v>75.5</v>
      </c>
      <c r="H48" t="s">
        <v>72</v>
      </c>
      <c r="J48" t="s">
        <v>88</v>
      </c>
      <c r="K48">
        <v>2</v>
      </c>
    </row>
    <row r="49" spans="1:12" x14ac:dyDescent="0.35">
      <c r="A49" s="4">
        <v>45821</v>
      </c>
      <c r="B49" t="s">
        <v>69</v>
      </c>
      <c r="C49">
        <v>23</v>
      </c>
      <c r="D49" t="s">
        <v>37</v>
      </c>
      <c r="E49" t="s">
        <v>88</v>
      </c>
      <c r="F49" t="s">
        <v>94</v>
      </c>
      <c r="G49">
        <v>15.7</v>
      </c>
      <c r="H49" t="s">
        <v>72</v>
      </c>
      <c r="J49" t="s">
        <v>88</v>
      </c>
      <c r="K49">
        <v>1</v>
      </c>
    </row>
    <row r="50" spans="1:12" x14ac:dyDescent="0.35">
      <c r="A50" s="4">
        <v>45821</v>
      </c>
      <c r="B50" t="s">
        <v>69</v>
      </c>
      <c r="C50">
        <v>23</v>
      </c>
      <c r="D50" t="s">
        <v>37</v>
      </c>
      <c r="E50" t="s">
        <v>88</v>
      </c>
      <c r="F50" t="s">
        <v>94</v>
      </c>
      <c r="G50">
        <v>76</v>
      </c>
      <c r="H50" t="s">
        <v>72</v>
      </c>
      <c r="J50" t="s">
        <v>88</v>
      </c>
      <c r="K50">
        <v>1</v>
      </c>
    </row>
    <row r="51" spans="1:12" x14ac:dyDescent="0.35">
      <c r="A51" s="4">
        <v>45821</v>
      </c>
      <c r="B51" t="s">
        <v>69</v>
      </c>
      <c r="C51">
        <v>23</v>
      </c>
      <c r="D51" t="s">
        <v>37</v>
      </c>
      <c r="E51" t="s">
        <v>88</v>
      </c>
      <c r="F51" t="s">
        <v>94</v>
      </c>
      <c r="G51">
        <v>67.5</v>
      </c>
      <c r="H51" t="s">
        <v>72</v>
      </c>
      <c r="J51" t="s">
        <v>88</v>
      </c>
      <c r="K51">
        <v>1</v>
      </c>
    </row>
    <row r="52" spans="1:12" x14ac:dyDescent="0.35">
      <c r="A52" s="4">
        <v>45821</v>
      </c>
      <c r="B52" t="s">
        <v>69</v>
      </c>
      <c r="C52">
        <v>23</v>
      </c>
      <c r="D52" t="s">
        <v>37</v>
      </c>
      <c r="E52" t="s">
        <v>88</v>
      </c>
      <c r="F52" t="s">
        <v>87</v>
      </c>
      <c r="G52">
        <v>104.6</v>
      </c>
      <c r="H52" t="s">
        <v>72</v>
      </c>
      <c r="J52" t="s">
        <v>88</v>
      </c>
      <c r="K52">
        <v>1</v>
      </c>
    </row>
    <row r="53" spans="1:12" x14ac:dyDescent="0.35">
      <c r="A53" s="4">
        <v>45819</v>
      </c>
      <c r="B53" s="6" t="s">
        <v>69</v>
      </c>
      <c r="C53" s="6">
        <v>61</v>
      </c>
      <c r="D53" s="6" t="s">
        <v>80</v>
      </c>
      <c r="E53" s="6" t="s">
        <v>70</v>
      </c>
      <c r="F53" s="6" t="s">
        <v>73</v>
      </c>
      <c r="G53" s="6">
        <f>2.3+5.6+2+3.1</f>
        <v>12.999999999999998</v>
      </c>
      <c r="H53" s="6" t="s">
        <v>72</v>
      </c>
      <c r="I53" s="6"/>
      <c r="J53" t="s">
        <v>88</v>
      </c>
      <c r="K53">
        <v>4</v>
      </c>
      <c r="L53" s="6"/>
    </row>
    <row r="54" spans="1:12" x14ac:dyDescent="0.35">
      <c r="A54" s="4">
        <v>45819</v>
      </c>
      <c r="B54" t="s">
        <v>69</v>
      </c>
      <c r="C54">
        <v>61</v>
      </c>
      <c r="D54" t="s">
        <v>32</v>
      </c>
      <c r="E54" t="s">
        <v>70</v>
      </c>
      <c r="F54" t="s">
        <v>71</v>
      </c>
      <c r="G54">
        <v>3.4</v>
      </c>
      <c r="H54" t="s">
        <v>72</v>
      </c>
      <c r="J54" t="s">
        <v>88</v>
      </c>
      <c r="K54">
        <v>1</v>
      </c>
    </row>
    <row r="55" spans="1:12" x14ac:dyDescent="0.35">
      <c r="A55" s="4">
        <v>45819</v>
      </c>
      <c r="B55" t="s">
        <v>69</v>
      </c>
      <c r="C55">
        <v>61</v>
      </c>
      <c r="D55" t="s">
        <v>32</v>
      </c>
      <c r="E55" t="s">
        <v>70</v>
      </c>
      <c r="F55" t="s">
        <v>94</v>
      </c>
      <c r="G55">
        <v>6.1</v>
      </c>
      <c r="H55" t="s">
        <v>72</v>
      </c>
      <c r="J55" t="s">
        <v>88</v>
      </c>
      <c r="K55">
        <v>1</v>
      </c>
    </row>
    <row r="56" spans="1:12" x14ac:dyDescent="0.35">
      <c r="A56" s="4">
        <v>45819</v>
      </c>
      <c r="B56" t="s">
        <v>69</v>
      </c>
      <c r="C56">
        <v>61</v>
      </c>
      <c r="D56" t="s">
        <v>32</v>
      </c>
      <c r="E56" t="s">
        <v>88</v>
      </c>
      <c r="F56" t="s">
        <v>94</v>
      </c>
      <c r="G56">
        <f>6.1+3+7.2+7</f>
        <v>23.3</v>
      </c>
      <c r="H56" t="s">
        <v>72</v>
      </c>
      <c r="J56" t="s">
        <v>88</v>
      </c>
      <c r="K56">
        <v>4</v>
      </c>
    </row>
    <row r="57" spans="1:12" x14ac:dyDescent="0.35">
      <c r="A57" s="4">
        <v>45819</v>
      </c>
      <c r="B57" t="s">
        <v>69</v>
      </c>
      <c r="C57">
        <v>61</v>
      </c>
      <c r="D57" t="s">
        <v>32</v>
      </c>
      <c r="E57" t="s">
        <v>70</v>
      </c>
      <c r="F57" t="s">
        <v>94</v>
      </c>
      <c r="G57">
        <v>3.2</v>
      </c>
      <c r="H57" t="s">
        <v>72</v>
      </c>
      <c r="J57" t="s">
        <v>88</v>
      </c>
      <c r="K57">
        <v>1</v>
      </c>
    </row>
    <row r="58" spans="1:12" x14ac:dyDescent="0.35">
      <c r="A58" s="4">
        <v>45819</v>
      </c>
      <c r="B58" t="s">
        <v>69</v>
      </c>
      <c r="C58">
        <v>61</v>
      </c>
      <c r="D58" t="s">
        <v>32</v>
      </c>
      <c r="E58" t="s">
        <v>70</v>
      </c>
      <c r="F58" t="s">
        <v>94</v>
      </c>
      <c r="G58">
        <v>4</v>
      </c>
      <c r="H58" t="s">
        <v>72</v>
      </c>
      <c r="J58" t="s">
        <v>88</v>
      </c>
      <c r="K58">
        <v>1</v>
      </c>
    </row>
    <row r="59" spans="1:12" x14ac:dyDescent="0.35">
      <c r="A59" s="4">
        <v>45819</v>
      </c>
      <c r="B59" t="s">
        <v>69</v>
      </c>
      <c r="C59">
        <v>61</v>
      </c>
      <c r="D59" t="s">
        <v>32</v>
      </c>
      <c r="E59" t="s">
        <v>70</v>
      </c>
      <c r="F59" t="s">
        <v>94</v>
      </c>
      <c r="G59">
        <v>6.2</v>
      </c>
      <c r="H59" t="s">
        <v>72</v>
      </c>
      <c r="J59" t="s">
        <v>88</v>
      </c>
      <c r="K59">
        <v>1</v>
      </c>
    </row>
    <row r="60" spans="1:12" x14ac:dyDescent="0.35">
      <c r="A60" s="4">
        <v>45819</v>
      </c>
      <c r="B60" t="s">
        <v>69</v>
      </c>
      <c r="C60">
        <v>61</v>
      </c>
      <c r="D60" t="s">
        <v>32</v>
      </c>
      <c r="E60" t="s">
        <v>70</v>
      </c>
      <c r="F60" t="s">
        <v>94</v>
      </c>
      <c r="G60">
        <v>6.7</v>
      </c>
      <c r="H60" t="s">
        <v>72</v>
      </c>
      <c r="J60" t="s">
        <v>88</v>
      </c>
      <c r="K60">
        <v>1</v>
      </c>
    </row>
    <row r="61" spans="1:12" x14ac:dyDescent="0.35">
      <c r="A61" s="4">
        <v>45819</v>
      </c>
      <c r="B61" t="s">
        <v>69</v>
      </c>
      <c r="C61">
        <v>61</v>
      </c>
      <c r="D61" t="s">
        <v>32</v>
      </c>
      <c r="E61" t="s">
        <v>70</v>
      </c>
      <c r="F61" t="s">
        <v>94</v>
      </c>
      <c r="G61">
        <f>6.7+2.9</f>
        <v>9.6</v>
      </c>
      <c r="H61" t="s">
        <v>72</v>
      </c>
      <c r="J61" t="s">
        <v>88</v>
      </c>
      <c r="K61">
        <v>2</v>
      </c>
    </row>
    <row r="62" spans="1:12" x14ac:dyDescent="0.35">
      <c r="A62" s="4">
        <v>45819</v>
      </c>
      <c r="B62" t="s">
        <v>69</v>
      </c>
      <c r="C62">
        <v>61</v>
      </c>
      <c r="D62" t="s">
        <v>32</v>
      </c>
      <c r="E62" t="s">
        <v>70</v>
      </c>
      <c r="F62" t="s">
        <v>94</v>
      </c>
      <c r="G62">
        <v>8.1999999999999993</v>
      </c>
      <c r="H62" t="s">
        <v>72</v>
      </c>
      <c r="J62" t="s">
        <v>88</v>
      </c>
      <c r="K62">
        <v>1</v>
      </c>
    </row>
    <row r="63" spans="1:12" x14ac:dyDescent="0.35">
      <c r="A63" s="4">
        <v>45819</v>
      </c>
      <c r="B63" t="s">
        <v>69</v>
      </c>
      <c r="C63">
        <v>61</v>
      </c>
      <c r="D63" t="s">
        <v>34</v>
      </c>
      <c r="E63" t="s">
        <v>70</v>
      </c>
      <c r="F63" t="s">
        <v>94</v>
      </c>
      <c r="G63">
        <v>11.1</v>
      </c>
      <c r="H63" t="s">
        <v>72</v>
      </c>
      <c r="J63" t="s">
        <v>88</v>
      </c>
      <c r="K63">
        <v>1</v>
      </c>
    </row>
    <row r="64" spans="1:12" x14ac:dyDescent="0.35">
      <c r="A64" s="4">
        <v>45819</v>
      </c>
      <c r="B64" t="s">
        <v>69</v>
      </c>
      <c r="C64">
        <v>61</v>
      </c>
      <c r="D64" t="s">
        <v>34</v>
      </c>
      <c r="E64" t="s">
        <v>70</v>
      </c>
      <c r="F64" t="s">
        <v>94</v>
      </c>
      <c r="G64">
        <v>18.8</v>
      </c>
      <c r="H64" t="s">
        <v>72</v>
      </c>
      <c r="J64" t="s">
        <v>88</v>
      </c>
      <c r="K64">
        <v>1</v>
      </c>
    </row>
    <row r="65" spans="1:11" x14ac:dyDescent="0.35">
      <c r="A65" s="4">
        <v>45819</v>
      </c>
      <c r="B65" t="s">
        <v>69</v>
      </c>
      <c r="C65">
        <v>61</v>
      </c>
      <c r="D65" t="s">
        <v>34</v>
      </c>
      <c r="E65" t="s">
        <v>70</v>
      </c>
      <c r="F65" t="s">
        <v>71</v>
      </c>
      <c r="G65">
        <f>2.9+2.6+0.9</f>
        <v>6.4</v>
      </c>
      <c r="H65" t="s">
        <v>72</v>
      </c>
      <c r="J65" t="s">
        <v>88</v>
      </c>
      <c r="K65">
        <v>3</v>
      </c>
    </row>
    <row r="66" spans="1:11" x14ac:dyDescent="0.35">
      <c r="A66" s="4">
        <v>45819</v>
      </c>
      <c r="B66" t="s">
        <v>69</v>
      </c>
      <c r="C66">
        <v>61</v>
      </c>
      <c r="D66" t="s">
        <v>34</v>
      </c>
      <c r="E66" t="s">
        <v>70</v>
      </c>
      <c r="F66" t="s">
        <v>94</v>
      </c>
      <c r="G66">
        <v>11.9</v>
      </c>
      <c r="H66" t="s">
        <v>72</v>
      </c>
      <c r="J66" t="s">
        <v>88</v>
      </c>
      <c r="K66">
        <v>1</v>
      </c>
    </row>
    <row r="67" spans="1:11" x14ac:dyDescent="0.35">
      <c r="A67" s="4">
        <v>45819</v>
      </c>
      <c r="B67" t="s">
        <v>69</v>
      </c>
      <c r="C67">
        <v>61</v>
      </c>
      <c r="D67" t="s">
        <v>34</v>
      </c>
      <c r="E67" t="s">
        <v>70</v>
      </c>
      <c r="F67" t="s">
        <v>77</v>
      </c>
      <c r="G67">
        <v>13.6</v>
      </c>
      <c r="H67" t="s">
        <v>72</v>
      </c>
      <c r="J67" t="s">
        <v>88</v>
      </c>
      <c r="K67">
        <v>1</v>
      </c>
    </row>
    <row r="68" spans="1:11" x14ac:dyDescent="0.35">
      <c r="A68" s="4">
        <v>45819</v>
      </c>
      <c r="B68" t="s">
        <v>69</v>
      </c>
      <c r="C68">
        <v>61</v>
      </c>
      <c r="D68" t="s">
        <v>34</v>
      </c>
      <c r="E68" t="s">
        <v>70</v>
      </c>
      <c r="F68" t="s">
        <v>93</v>
      </c>
      <c r="G68">
        <v>3.3</v>
      </c>
      <c r="H68" t="s">
        <v>72</v>
      </c>
      <c r="J68" t="s">
        <v>88</v>
      </c>
      <c r="K68">
        <v>1</v>
      </c>
    </row>
    <row r="69" spans="1:11" x14ac:dyDescent="0.35">
      <c r="A69" s="4">
        <v>45819</v>
      </c>
      <c r="B69" t="s">
        <v>69</v>
      </c>
      <c r="C69">
        <v>61</v>
      </c>
      <c r="D69" t="s">
        <v>34</v>
      </c>
      <c r="E69" t="s">
        <v>70</v>
      </c>
      <c r="F69" t="s">
        <v>71</v>
      </c>
      <c r="G69">
        <f>3.2+2</f>
        <v>5.2</v>
      </c>
      <c r="H69" t="s">
        <v>72</v>
      </c>
      <c r="J69" t="s">
        <v>88</v>
      </c>
      <c r="K69">
        <v>2</v>
      </c>
    </row>
    <row r="70" spans="1:11" x14ac:dyDescent="0.35">
      <c r="A70" s="4">
        <v>45819</v>
      </c>
      <c r="B70" t="s">
        <v>69</v>
      </c>
      <c r="C70">
        <v>61</v>
      </c>
      <c r="D70" t="s">
        <v>34</v>
      </c>
      <c r="E70" t="s">
        <v>70</v>
      </c>
      <c r="F70" t="s">
        <v>77</v>
      </c>
      <c r="G70">
        <v>2.6</v>
      </c>
      <c r="H70" t="s">
        <v>72</v>
      </c>
      <c r="J70" t="s">
        <v>88</v>
      </c>
      <c r="K70">
        <v>1</v>
      </c>
    </row>
    <row r="71" spans="1:11" x14ac:dyDescent="0.35">
      <c r="A71" s="4">
        <v>45819</v>
      </c>
      <c r="B71" t="s">
        <v>69</v>
      </c>
      <c r="C71">
        <v>61</v>
      </c>
      <c r="D71" t="s">
        <v>34</v>
      </c>
      <c r="E71" t="s">
        <v>70</v>
      </c>
      <c r="F71" t="s">
        <v>71</v>
      </c>
      <c r="G71">
        <v>2.5</v>
      </c>
      <c r="H71" t="s">
        <v>74</v>
      </c>
      <c r="J71" t="s">
        <v>88</v>
      </c>
      <c r="K71">
        <v>1</v>
      </c>
    </row>
    <row r="72" spans="1:11" x14ac:dyDescent="0.35">
      <c r="A72" s="4">
        <v>45819</v>
      </c>
      <c r="B72" t="s">
        <v>69</v>
      </c>
      <c r="C72">
        <v>61</v>
      </c>
      <c r="D72" t="s">
        <v>34</v>
      </c>
      <c r="E72" t="s">
        <v>70</v>
      </c>
      <c r="F72" t="s">
        <v>77</v>
      </c>
      <c r="G72">
        <v>14.6</v>
      </c>
      <c r="H72" t="s">
        <v>72</v>
      </c>
      <c r="J72" t="s">
        <v>88</v>
      </c>
      <c r="K72">
        <v>1</v>
      </c>
    </row>
    <row r="73" spans="1:11" x14ac:dyDescent="0.35">
      <c r="A73" s="4">
        <v>45819</v>
      </c>
      <c r="B73" t="s">
        <v>69</v>
      </c>
      <c r="C73">
        <v>61</v>
      </c>
      <c r="D73" t="s">
        <v>36</v>
      </c>
      <c r="E73" t="s">
        <v>70</v>
      </c>
      <c r="F73" t="s">
        <v>71</v>
      </c>
      <c r="G73">
        <v>2.5</v>
      </c>
      <c r="H73" t="s">
        <v>72</v>
      </c>
      <c r="J73" t="s">
        <v>88</v>
      </c>
      <c r="K73">
        <v>1</v>
      </c>
    </row>
    <row r="74" spans="1:11" x14ac:dyDescent="0.35">
      <c r="A74" s="4">
        <v>45819</v>
      </c>
      <c r="B74" t="s">
        <v>69</v>
      </c>
      <c r="C74">
        <v>61</v>
      </c>
      <c r="D74" t="s">
        <v>36</v>
      </c>
      <c r="E74" t="s">
        <v>70</v>
      </c>
      <c r="F74" t="s">
        <v>77</v>
      </c>
      <c r="G74">
        <v>6.9</v>
      </c>
      <c r="H74" t="s">
        <v>72</v>
      </c>
      <c r="J74" t="s">
        <v>88</v>
      </c>
      <c r="K74">
        <v>1</v>
      </c>
    </row>
    <row r="75" spans="1:11" x14ac:dyDescent="0.35">
      <c r="A75" s="4">
        <v>45819</v>
      </c>
      <c r="B75" t="s">
        <v>69</v>
      </c>
      <c r="C75">
        <v>61</v>
      </c>
      <c r="D75" t="s">
        <v>36</v>
      </c>
      <c r="E75" t="s">
        <v>70</v>
      </c>
      <c r="F75" t="s">
        <v>94</v>
      </c>
      <c r="G75">
        <f>4.2+33+8.2</f>
        <v>45.400000000000006</v>
      </c>
      <c r="H75" t="s">
        <v>72</v>
      </c>
      <c r="J75" t="s">
        <v>88</v>
      </c>
      <c r="K75">
        <v>3</v>
      </c>
    </row>
    <row r="76" spans="1:11" x14ac:dyDescent="0.35">
      <c r="A76" s="4">
        <v>45819</v>
      </c>
      <c r="B76" t="s">
        <v>69</v>
      </c>
      <c r="C76">
        <v>61</v>
      </c>
      <c r="D76" t="s">
        <v>36</v>
      </c>
      <c r="E76" t="s">
        <v>70</v>
      </c>
      <c r="F76" t="s">
        <v>71</v>
      </c>
      <c r="G76">
        <f>4.1+3.1+2</f>
        <v>9.1999999999999993</v>
      </c>
      <c r="H76" t="s">
        <v>72</v>
      </c>
      <c r="J76" t="s">
        <v>70</v>
      </c>
      <c r="K76">
        <v>3</v>
      </c>
    </row>
    <row r="77" spans="1:11" x14ac:dyDescent="0.35">
      <c r="A77" s="4">
        <v>45819</v>
      </c>
      <c r="B77" t="s">
        <v>69</v>
      </c>
      <c r="C77">
        <v>61</v>
      </c>
      <c r="D77" t="s">
        <v>36</v>
      </c>
      <c r="E77" t="s">
        <v>70</v>
      </c>
      <c r="F77" t="s">
        <v>94</v>
      </c>
      <c r="G77">
        <v>5.4</v>
      </c>
      <c r="H77" t="s">
        <v>74</v>
      </c>
      <c r="J77" t="s">
        <v>88</v>
      </c>
      <c r="K77">
        <v>1</v>
      </c>
    </row>
    <row r="78" spans="1:11" x14ac:dyDescent="0.35">
      <c r="A78" s="4">
        <v>45819</v>
      </c>
      <c r="B78" t="s">
        <v>69</v>
      </c>
      <c r="C78">
        <v>61</v>
      </c>
      <c r="D78" t="s">
        <v>36</v>
      </c>
      <c r="E78" t="s">
        <v>70</v>
      </c>
      <c r="F78" t="s">
        <v>71</v>
      </c>
      <c r="G78">
        <f>1.7+5.1</f>
        <v>6.8</v>
      </c>
      <c r="H78" t="s">
        <v>72</v>
      </c>
      <c r="J78" t="s">
        <v>70</v>
      </c>
      <c r="K78">
        <v>2</v>
      </c>
    </row>
    <row r="79" spans="1:11" x14ac:dyDescent="0.35">
      <c r="A79" s="4">
        <v>45819</v>
      </c>
      <c r="B79" t="s">
        <v>69</v>
      </c>
      <c r="C79">
        <v>61</v>
      </c>
      <c r="D79" t="s">
        <v>36</v>
      </c>
      <c r="E79" t="s">
        <v>70</v>
      </c>
      <c r="F79" t="s">
        <v>77</v>
      </c>
      <c r="G79">
        <v>3.5</v>
      </c>
      <c r="H79" t="s">
        <v>72</v>
      </c>
      <c r="J79" t="s">
        <v>88</v>
      </c>
      <c r="K79">
        <v>1</v>
      </c>
    </row>
    <row r="80" spans="1:11" x14ac:dyDescent="0.35">
      <c r="A80" s="4">
        <v>45819</v>
      </c>
      <c r="B80" t="s">
        <v>69</v>
      </c>
      <c r="C80">
        <v>61</v>
      </c>
      <c r="D80" t="s">
        <v>36</v>
      </c>
      <c r="E80" t="s">
        <v>70</v>
      </c>
      <c r="F80" t="s">
        <v>94</v>
      </c>
      <c r="G80">
        <v>15</v>
      </c>
      <c r="H80" t="s">
        <v>72</v>
      </c>
      <c r="J80" t="s">
        <v>88</v>
      </c>
      <c r="K80">
        <v>1</v>
      </c>
    </row>
    <row r="81" spans="1:11" x14ac:dyDescent="0.35">
      <c r="A81" s="4">
        <v>45819</v>
      </c>
      <c r="B81" t="s">
        <v>69</v>
      </c>
      <c r="C81">
        <v>61</v>
      </c>
      <c r="D81" t="s">
        <v>36</v>
      </c>
      <c r="E81" t="s">
        <v>70</v>
      </c>
      <c r="F81" t="s">
        <v>71</v>
      </c>
      <c r="G81">
        <f>4.1+2.8</f>
        <v>6.8999999999999995</v>
      </c>
      <c r="H81" t="s">
        <v>72</v>
      </c>
      <c r="J81" t="s">
        <v>88</v>
      </c>
      <c r="K81">
        <v>2</v>
      </c>
    </row>
    <row r="82" spans="1:11" x14ac:dyDescent="0.35">
      <c r="A82" s="4">
        <v>45819</v>
      </c>
      <c r="B82" t="s">
        <v>69</v>
      </c>
      <c r="C82">
        <v>61</v>
      </c>
      <c r="D82" t="s">
        <v>36</v>
      </c>
      <c r="E82" t="s">
        <v>70</v>
      </c>
      <c r="F82" t="s">
        <v>71</v>
      </c>
      <c r="G82">
        <f>4.2+1.5</f>
        <v>5.7</v>
      </c>
      <c r="H82" t="s">
        <v>72</v>
      </c>
      <c r="J82" t="s">
        <v>88</v>
      </c>
      <c r="K82">
        <v>2</v>
      </c>
    </row>
    <row r="83" spans="1:11" x14ac:dyDescent="0.35">
      <c r="A83" s="4">
        <v>45819</v>
      </c>
      <c r="B83" t="s">
        <v>69</v>
      </c>
      <c r="C83">
        <v>61</v>
      </c>
      <c r="D83" t="s">
        <v>36</v>
      </c>
      <c r="E83" t="s">
        <v>70</v>
      </c>
      <c r="F83" t="s">
        <v>71</v>
      </c>
      <c r="G83">
        <v>4.5</v>
      </c>
      <c r="H83" t="s">
        <v>72</v>
      </c>
      <c r="J83" t="s">
        <v>88</v>
      </c>
      <c r="K83">
        <v>1</v>
      </c>
    </row>
    <row r="84" spans="1:11" x14ac:dyDescent="0.35">
      <c r="A84" s="4">
        <v>45819</v>
      </c>
      <c r="B84" t="s">
        <v>69</v>
      </c>
      <c r="C84">
        <v>61</v>
      </c>
      <c r="D84" t="s">
        <v>36</v>
      </c>
      <c r="E84" t="s">
        <v>70</v>
      </c>
      <c r="F84" t="s">
        <v>71</v>
      </c>
      <c r="G84">
        <v>2.9</v>
      </c>
      <c r="H84" t="s">
        <v>72</v>
      </c>
      <c r="J84" t="s">
        <v>88</v>
      </c>
      <c r="K84">
        <v>1</v>
      </c>
    </row>
    <row r="85" spans="1:11" x14ac:dyDescent="0.35">
      <c r="A85" s="4">
        <v>45819</v>
      </c>
      <c r="B85" t="s">
        <v>69</v>
      </c>
      <c r="C85">
        <v>61</v>
      </c>
      <c r="D85" t="s">
        <v>36</v>
      </c>
      <c r="E85" t="s">
        <v>70</v>
      </c>
      <c r="F85" t="s">
        <v>94</v>
      </c>
      <c r="G85">
        <v>3.1</v>
      </c>
      <c r="H85" t="s">
        <v>72</v>
      </c>
      <c r="J85" t="s">
        <v>88</v>
      </c>
      <c r="K85">
        <v>1</v>
      </c>
    </row>
    <row r="86" spans="1:11" x14ac:dyDescent="0.35">
      <c r="A86" s="4">
        <v>45819</v>
      </c>
      <c r="B86" t="s">
        <v>69</v>
      </c>
      <c r="C86">
        <v>61</v>
      </c>
      <c r="D86" t="s">
        <v>36</v>
      </c>
      <c r="E86" t="s">
        <v>70</v>
      </c>
      <c r="F86" t="s">
        <v>91</v>
      </c>
      <c r="G86">
        <v>3</v>
      </c>
      <c r="H86" t="s">
        <v>74</v>
      </c>
      <c r="J86" t="s">
        <v>88</v>
      </c>
      <c r="K86">
        <v>1</v>
      </c>
    </row>
    <row r="87" spans="1:11" x14ac:dyDescent="0.35">
      <c r="A87" s="4">
        <v>45819</v>
      </c>
      <c r="B87" t="s">
        <v>69</v>
      </c>
      <c r="C87">
        <v>61</v>
      </c>
      <c r="D87" t="s">
        <v>36</v>
      </c>
      <c r="E87" t="s">
        <v>70</v>
      </c>
      <c r="F87" t="s">
        <v>71</v>
      </c>
      <c r="G87">
        <f>3.3+5.2+1.7</f>
        <v>10.199999999999999</v>
      </c>
      <c r="H87" t="s">
        <v>72</v>
      </c>
      <c r="J87" t="s">
        <v>70</v>
      </c>
      <c r="K87">
        <v>3</v>
      </c>
    </row>
    <row r="88" spans="1:11" x14ac:dyDescent="0.35">
      <c r="A88" s="4">
        <v>45819</v>
      </c>
      <c r="B88" t="s">
        <v>69</v>
      </c>
      <c r="C88">
        <v>61</v>
      </c>
      <c r="D88" t="s">
        <v>36</v>
      </c>
      <c r="E88" t="s">
        <v>70</v>
      </c>
      <c r="F88" t="s">
        <v>71</v>
      </c>
      <c r="G88">
        <v>2.5</v>
      </c>
      <c r="H88" t="s">
        <v>72</v>
      </c>
      <c r="J88" t="s">
        <v>88</v>
      </c>
      <c r="K88">
        <v>1</v>
      </c>
    </row>
    <row r="89" spans="1:11" x14ac:dyDescent="0.35">
      <c r="A89" s="4">
        <v>45819</v>
      </c>
      <c r="B89" t="s">
        <v>69</v>
      </c>
      <c r="C89">
        <v>61</v>
      </c>
      <c r="D89" t="s">
        <v>36</v>
      </c>
      <c r="E89" t="s">
        <v>70</v>
      </c>
      <c r="F89" t="s">
        <v>94</v>
      </c>
      <c r="G89">
        <f>2.8+1.9</f>
        <v>4.6999999999999993</v>
      </c>
      <c r="H89" t="s">
        <v>72</v>
      </c>
      <c r="J89" t="s">
        <v>88</v>
      </c>
      <c r="K89">
        <v>2</v>
      </c>
    </row>
    <row r="90" spans="1:11" x14ac:dyDescent="0.35">
      <c r="A90" s="4">
        <v>45819</v>
      </c>
      <c r="B90" t="s">
        <v>69</v>
      </c>
      <c r="C90">
        <v>61</v>
      </c>
      <c r="D90" t="s">
        <v>36</v>
      </c>
      <c r="E90" t="s">
        <v>70</v>
      </c>
      <c r="F90" t="s">
        <v>94</v>
      </c>
      <c r="G90">
        <f>9.3+12.8</f>
        <v>22.1</v>
      </c>
      <c r="H90" t="s">
        <v>72</v>
      </c>
      <c r="J90" t="s">
        <v>88</v>
      </c>
      <c r="K90">
        <v>2</v>
      </c>
    </row>
    <row r="91" spans="1:11" x14ac:dyDescent="0.35">
      <c r="A91" s="4">
        <v>45819</v>
      </c>
      <c r="B91" t="s">
        <v>69</v>
      </c>
      <c r="C91">
        <v>61</v>
      </c>
      <c r="D91" t="s">
        <v>36</v>
      </c>
      <c r="E91" t="s">
        <v>70</v>
      </c>
      <c r="F91" t="s">
        <v>94</v>
      </c>
      <c r="G91">
        <v>10.4</v>
      </c>
      <c r="H91" t="s">
        <v>72</v>
      </c>
      <c r="J91" t="s">
        <v>88</v>
      </c>
      <c r="K91">
        <v>1</v>
      </c>
    </row>
    <row r="92" spans="1:11" x14ac:dyDescent="0.35">
      <c r="A92" s="4">
        <v>45819</v>
      </c>
      <c r="B92" t="s">
        <v>69</v>
      </c>
      <c r="C92">
        <v>61</v>
      </c>
      <c r="D92" t="s">
        <v>36</v>
      </c>
      <c r="E92" t="s">
        <v>70</v>
      </c>
      <c r="F92" t="s">
        <v>77</v>
      </c>
      <c r="G92">
        <v>5.4</v>
      </c>
      <c r="H92" t="s">
        <v>72</v>
      </c>
      <c r="J92" t="s">
        <v>88</v>
      </c>
      <c r="K92">
        <v>1</v>
      </c>
    </row>
    <row r="93" spans="1:11" x14ac:dyDescent="0.35">
      <c r="A93" s="4">
        <v>45819</v>
      </c>
      <c r="B93" t="s">
        <v>69</v>
      </c>
      <c r="C93">
        <v>61</v>
      </c>
      <c r="D93" t="s">
        <v>36</v>
      </c>
      <c r="E93" t="s">
        <v>70</v>
      </c>
      <c r="F93" t="s">
        <v>93</v>
      </c>
      <c r="G93">
        <v>5.7</v>
      </c>
      <c r="H93" t="s">
        <v>72</v>
      </c>
      <c r="J93" t="s">
        <v>88</v>
      </c>
      <c r="K93">
        <v>1</v>
      </c>
    </row>
    <row r="94" spans="1:11" x14ac:dyDescent="0.35">
      <c r="A94" s="4">
        <v>45819</v>
      </c>
      <c r="B94" t="s">
        <v>69</v>
      </c>
      <c r="C94">
        <v>61</v>
      </c>
      <c r="D94" t="s">
        <v>36</v>
      </c>
      <c r="E94" t="s">
        <v>70</v>
      </c>
      <c r="F94" t="s">
        <v>71</v>
      </c>
      <c r="G94">
        <v>3.5</v>
      </c>
      <c r="H94" t="s">
        <v>74</v>
      </c>
      <c r="J94" t="s">
        <v>88</v>
      </c>
      <c r="K94">
        <v>1</v>
      </c>
    </row>
    <row r="95" spans="1:11" x14ac:dyDescent="0.35">
      <c r="A95" s="4">
        <v>45819</v>
      </c>
      <c r="B95" t="s">
        <v>69</v>
      </c>
      <c r="C95">
        <v>61</v>
      </c>
      <c r="D95" t="s">
        <v>36</v>
      </c>
      <c r="E95" t="s">
        <v>70</v>
      </c>
      <c r="F95" t="s">
        <v>71</v>
      </c>
      <c r="G95">
        <v>3.1</v>
      </c>
      <c r="H95" t="s">
        <v>74</v>
      </c>
      <c r="J95" t="s">
        <v>88</v>
      </c>
      <c r="K95">
        <v>1</v>
      </c>
    </row>
    <row r="96" spans="1:11" x14ac:dyDescent="0.35">
      <c r="A96" s="4">
        <v>45819</v>
      </c>
      <c r="B96" t="s">
        <v>69</v>
      </c>
      <c r="C96">
        <v>61</v>
      </c>
      <c r="D96" t="s">
        <v>37</v>
      </c>
      <c r="E96" t="s">
        <v>70</v>
      </c>
      <c r="F96" t="s">
        <v>94</v>
      </c>
      <c r="G96">
        <v>12</v>
      </c>
      <c r="H96" t="s">
        <v>72</v>
      </c>
      <c r="J96" t="s">
        <v>88</v>
      </c>
      <c r="K96">
        <v>1</v>
      </c>
    </row>
    <row r="97" spans="1:11" x14ac:dyDescent="0.35">
      <c r="A97" s="4">
        <v>45819</v>
      </c>
      <c r="B97" t="s">
        <v>69</v>
      </c>
      <c r="C97">
        <v>61</v>
      </c>
      <c r="D97" t="s">
        <v>37</v>
      </c>
      <c r="E97" t="s">
        <v>70</v>
      </c>
      <c r="F97" t="s">
        <v>94</v>
      </c>
      <c r="G97">
        <f>21+6.1+1.5</f>
        <v>28.6</v>
      </c>
      <c r="H97" t="s">
        <v>72</v>
      </c>
      <c r="J97" t="s">
        <v>88</v>
      </c>
      <c r="K97">
        <v>3</v>
      </c>
    </row>
    <row r="98" spans="1:11" x14ac:dyDescent="0.35">
      <c r="A98" s="4">
        <v>45819</v>
      </c>
      <c r="B98" t="s">
        <v>69</v>
      </c>
      <c r="C98">
        <v>61</v>
      </c>
      <c r="D98" t="s">
        <v>37</v>
      </c>
      <c r="E98" t="s">
        <v>70</v>
      </c>
      <c r="F98" t="s">
        <v>71</v>
      </c>
      <c r="G98">
        <f>3+3.7</f>
        <v>6.7</v>
      </c>
      <c r="H98" t="s">
        <v>74</v>
      </c>
      <c r="J98" t="s">
        <v>88</v>
      </c>
      <c r="K98">
        <v>2</v>
      </c>
    </row>
    <row r="99" spans="1:11" x14ac:dyDescent="0.35">
      <c r="A99" s="4">
        <v>45819</v>
      </c>
      <c r="B99" t="s">
        <v>69</v>
      </c>
      <c r="C99">
        <v>61</v>
      </c>
      <c r="D99" t="s">
        <v>37</v>
      </c>
      <c r="E99" t="s">
        <v>70</v>
      </c>
      <c r="F99" t="s">
        <v>71</v>
      </c>
      <c r="G99">
        <v>3</v>
      </c>
      <c r="H99" t="s">
        <v>74</v>
      </c>
      <c r="J99" t="s">
        <v>88</v>
      </c>
      <c r="K99">
        <v>1</v>
      </c>
    </row>
    <row r="100" spans="1:11" x14ac:dyDescent="0.35">
      <c r="A100" s="4">
        <v>45819</v>
      </c>
      <c r="B100" t="s">
        <v>69</v>
      </c>
      <c r="C100">
        <v>61</v>
      </c>
      <c r="D100" t="s">
        <v>37</v>
      </c>
      <c r="E100" t="s">
        <v>70</v>
      </c>
      <c r="F100" t="s">
        <v>71</v>
      </c>
      <c r="G100">
        <v>2.6</v>
      </c>
      <c r="H100" t="s">
        <v>72</v>
      </c>
      <c r="J100" t="s">
        <v>70</v>
      </c>
      <c r="K100">
        <v>1</v>
      </c>
    </row>
    <row r="101" spans="1:11" x14ac:dyDescent="0.35">
      <c r="A101" s="4">
        <v>45819</v>
      </c>
      <c r="B101" t="s">
        <v>69</v>
      </c>
      <c r="C101">
        <v>61</v>
      </c>
      <c r="D101" t="s">
        <v>37</v>
      </c>
      <c r="E101" t="s">
        <v>70</v>
      </c>
      <c r="F101" t="s">
        <v>71</v>
      </c>
      <c r="G101">
        <v>3.2</v>
      </c>
      <c r="H101" t="s">
        <v>74</v>
      </c>
      <c r="J101" t="s">
        <v>88</v>
      </c>
      <c r="K101">
        <v>1</v>
      </c>
    </row>
    <row r="102" spans="1:11" x14ac:dyDescent="0.35">
      <c r="A102" s="4">
        <v>45819</v>
      </c>
      <c r="B102" t="s">
        <v>69</v>
      </c>
      <c r="C102">
        <v>61</v>
      </c>
      <c r="D102" t="s">
        <v>37</v>
      </c>
      <c r="E102" t="s">
        <v>70</v>
      </c>
      <c r="F102" t="s">
        <v>77</v>
      </c>
      <c r="G102">
        <v>7.2</v>
      </c>
      <c r="H102" t="s">
        <v>72</v>
      </c>
      <c r="J102" t="s">
        <v>88</v>
      </c>
      <c r="K102">
        <v>1</v>
      </c>
    </row>
    <row r="103" spans="1:11" x14ac:dyDescent="0.35">
      <c r="A103" s="4">
        <v>45819</v>
      </c>
      <c r="B103" t="s">
        <v>69</v>
      </c>
      <c r="C103">
        <v>61</v>
      </c>
      <c r="D103" t="s">
        <v>37</v>
      </c>
      <c r="E103" t="s">
        <v>70</v>
      </c>
      <c r="F103" t="s">
        <v>77</v>
      </c>
      <c r="G103">
        <v>10.1</v>
      </c>
      <c r="H103" t="s">
        <v>72</v>
      </c>
      <c r="J103" t="s">
        <v>88</v>
      </c>
      <c r="K103">
        <v>1</v>
      </c>
    </row>
    <row r="104" spans="1:11" x14ac:dyDescent="0.35">
      <c r="A104" s="4">
        <v>45819</v>
      </c>
      <c r="B104" t="s">
        <v>69</v>
      </c>
      <c r="C104">
        <v>61</v>
      </c>
      <c r="D104" t="s">
        <v>37</v>
      </c>
      <c r="E104" t="s">
        <v>70</v>
      </c>
      <c r="F104" t="s">
        <v>91</v>
      </c>
      <c r="G104">
        <v>3</v>
      </c>
      <c r="H104" t="s">
        <v>74</v>
      </c>
      <c r="J104" t="s">
        <v>88</v>
      </c>
      <c r="K104">
        <v>1</v>
      </c>
    </row>
    <row r="105" spans="1:11" x14ac:dyDescent="0.35">
      <c r="A105" s="4">
        <v>45819</v>
      </c>
      <c r="B105" t="s">
        <v>69</v>
      </c>
      <c r="C105">
        <v>61</v>
      </c>
      <c r="D105" t="s">
        <v>37</v>
      </c>
      <c r="E105" t="s">
        <v>70</v>
      </c>
      <c r="F105" t="s">
        <v>94</v>
      </c>
      <c r="G105">
        <v>7.8</v>
      </c>
      <c r="H105" t="s">
        <v>72</v>
      </c>
      <c r="J105" t="s">
        <v>88</v>
      </c>
      <c r="K105">
        <v>1</v>
      </c>
    </row>
    <row r="106" spans="1:11" x14ac:dyDescent="0.35">
      <c r="A106" s="4">
        <v>45819</v>
      </c>
      <c r="B106" t="s">
        <v>69</v>
      </c>
      <c r="C106">
        <v>61</v>
      </c>
      <c r="D106" t="s">
        <v>37</v>
      </c>
      <c r="E106" t="s">
        <v>70</v>
      </c>
      <c r="F106" t="s">
        <v>71</v>
      </c>
      <c r="G106">
        <f>4.2+5.3</f>
        <v>9.5</v>
      </c>
      <c r="H106" t="s">
        <v>72</v>
      </c>
      <c r="J106" t="s">
        <v>88</v>
      </c>
      <c r="K106">
        <v>2</v>
      </c>
    </row>
    <row r="107" spans="1:11" x14ac:dyDescent="0.35">
      <c r="A107" s="4">
        <v>45819</v>
      </c>
      <c r="B107" t="s">
        <v>69</v>
      </c>
      <c r="C107">
        <v>61</v>
      </c>
      <c r="D107" t="s">
        <v>37</v>
      </c>
      <c r="E107" t="s">
        <v>70</v>
      </c>
      <c r="F107" t="s">
        <v>71</v>
      </c>
      <c r="G107">
        <f>3.1+4.8</f>
        <v>7.9</v>
      </c>
      <c r="H107" t="s">
        <v>72</v>
      </c>
      <c r="J107" t="s">
        <v>70</v>
      </c>
      <c r="K107">
        <v>2</v>
      </c>
    </row>
    <row r="108" spans="1:11" x14ac:dyDescent="0.35">
      <c r="A108" s="4">
        <v>45819</v>
      </c>
      <c r="B108" t="s">
        <v>69</v>
      </c>
      <c r="C108">
        <v>61</v>
      </c>
      <c r="D108" t="s">
        <v>37</v>
      </c>
      <c r="E108" t="s">
        <v>70</v>
      </c>
      <c r="F108" t="s">
        <v>71</v>
      </c>
      <c r="G108">
        <f>3.5+1.5+4+2.5</f>
        <v>11.5</v>
      </c>
      <c r="H108" t="s">
        <v>72</v>
      </c>
      <c r="J108" t="s">
        <v>70</v>
      </c>
      <c r="K108">
        <v>4</v>
      </c>
    </row>
    <row r="109" spans="1:11" x14ac:dyDescent="0.35">
      <c r="A109" s="4">
        <v>45819</v>
      </c>
      <c r="B109" t="s">
        <v>69</v>
      </c>
      <c r="C109">
        <v>61</v>
      </c>
      <c r="D109" t="s">
        <v>37</v>
      </c>
      <c r="E109" t="s">
        <v>70</v>
      </c>
      <c r="F109" t="s">
        <v>94</v>
      </c>
      <c r="G109">
        <f>12.7+6.3</f>
        <v>19</v>
      </c>
      <c r="H109" t="s">
        <v>72</v>
      </c>
      <c r="J109" t="s">
        <v>88</v>
      </c>
      <c r="K109">
        <v>2</v>
      </c>
    </row>
    <row r="110" spans="1:11" x14ac:dyDescent="0.35">
      <c r="A110" s="4">
        <v>45819</v>
      </c>
      <c r="B110" t="s">
        <v>69</v>
      </c>
      <c r="C110">
        <v>61</v>
      </c>
      <c r="D110" t="s">
        <v>37</v>
      </c>
      <c r="E110" t="s">
        <v>70</v>
      </c>
      <c r="F110" t="s">
        <v>71</v>
      </c>
      <c r="G110">
        <f>2.5+1.9</f>
        <v>4.4000000000000004</v>
      </c>
      <c r="H110" t="s">
        <v>74</v>
      </c>
      <c r="J110" t="s">
        <v>88</v>
      </c>
      <c r="K110">
        <v>2</v>
      </c>
    </row>
    <row r="111" spans="1:11" x14ac:dyDescent="0.35">
      <c r="A111" s="4">
        <v>45819</v>
      </c>
      <c r="B111" t="s">
        <v>69</v>
      </c>
      <c r="C111">
        <v>61</v>
      </c>
      <c r="D111" t="s">
        <v>37</v>
      </c>
      <c r="E111" t="s">
        <v>70</v>
      </c>
      <c r="F111" t="s">
        <v>71</v>
      </c>
      <c r="G111">
        <f>2.4+2.4+1.4</f>
        <v>6.1999999999999993</v>
      </c>
      <c r="H111" t="s">
        <v>72</v>
      </c>
      <c r="J111" t="s">
        <v>70</v>
      </c>
      <c r="K111">
        <v>3</v>
      </c>
    </row>
    <row r="112" spans="1:11" x14ac:dyDescent="0.35">
      <c r="A112" s="4">
        <v>45819</v>
      </c>
      <c r="B112" t="s">
        <v>69</v>
      </c>
      <c r="C112">
        <v>61</v>
      </c>
      <c r="D112" t="s">
        <v>37</v>
      </c>
      <c r="E112" t="s">
        <v>70</v>
      </c>
      <c r="F112" t="s">
        <v>71</v>
      </c>
      <c r="G112">
        <f>2.5+2.7</f>
        <v>5.2</v>
      </c>
      <c r="H112" t="s">
        <v>74</v>
      </c>
      <c r="J112" t="s">
        <v>88</v>
      </c>
      <c r="K112">
        <v>2</v>
      </c>
    </row>
    <row r="113" spans="1:11" x14ac:dyDescent="0.35">
      <c r="A113" s="4">
        <v>45819</v>
      </c>
      <c r="B113" t="s">
        <v>69</v>
      </c>
      <c r="C113">
        <v>61</v>
      </c>
      <c r="D113" t="s">
        <v>37</v>
      </c>
      <c r="E113" t="s">
        <v>70</v>
      </c>
      <c r="F113" t="s">
        <v>71</v>
      </c>
      <c r="G113">
        <f>2+1.2</f>
        <v>3.2</v>
      </c>
      <c r="H113" t="s">
        <v>72</v>
      </c>
      <c r="J113" t="s">
        <v>70</v>
      </c>
      <c r="K113">
        <v>2</v>
      </c>
    </row>
    <row r="114" spans="1:11" x14ac:dyDescent="0.35">
      <c r="A114" s="4">
        <v>45819</v>
      </c>
      <c r="B114" t="s">
        <v>69</v>
      </c>
      <c r="C114">
        <v>61</v>
      </c>
      <c r="D114" t="s">
        <v>32</v>
      </c>
      <c r="E114" t="s">
        <v>88</v>
      </c>
      <c r="F114" t="s">
        <v>94</v>
      </c>
      <c r="G114">
        <v>12.6</v>
      </c>
      <c r="H114" t="s">
        <v>72</v>
      </c>
      <c r="J114" t="s">
        <v>88</v>
      </c>
      <c r="K114">
        <v>1</v>
      </c>
    </row>
    <row r="115" spans="1:11" x14ac:dyDescent="0.35">
      <c r="A115" s="4">
        <v>45819</v>
      </c>
      <c r="B115" t="s">
        <v>69</v>
      </c>
      <c r="C115">
        <v>61</v>
      </c>
      <c r="D115" t="s">
        <v>32</v>
      </c>
      <c r="E115" t="s">
        <v>88</v>
      </c>
      <c r="F115" t="s">
        <v>77</v>
      </c>
      <c r="G115">
        <v>16.2</v>
      </c>
      <c r="H115" t="s">
        <v>72</v>
      </c>
      <c r="J115" t="s">
        <v>88</v>
      </c>
      <c r="K115">
        <v>1</v>
      </c>
    </row>
    <row r="116" spans="1:11" x14ac:dyDescent="0.35">
      <c r="A116" s="4">
        <v>45819</v>
      </c>
      <c r="B116" t="s">
        <v>69</v>
      </c>
      <c r="C116">
        <v>61</v>
      </c>
      <c r="D116" t="s">
        <v>32</v>
      </c>
      <c r="E116" t="s">
        <v>88</v>
      </c>
      <c r="F116" t="s">
        <v>94</v>
      </c>
      <c r="G116">
        <v>40.799999999999997</v>
      </c>
      <c r="H116" t="s">
        <v>72</v>
      </c>
      <c r="J116" t="s">
        <v>88</v>
      </c>
      <c r="K116">
        <v>1</v>
      </c>
    </row>
    <row r="117" spans="1:11" x14ac:dyDescent="0.35">
      <c r="A117" s="4">
        <v>45819</v>
      </c>
      <c r="B117" t="s">
        <v>69</v>
      </c>
      <c r="C117">
        <v>61</v>
      </c>
      <c r="D117" t="s">
        <v>32</v>
      </c>
      <c r="E117" t="s">
        <v>88</v>
      </c>
      <c r="F117" t="s">
        <v>94</v>
      </c>
      <c r="G117">
        <v>14.4</v>
      </c>
      <c r="H117" t="s">
        <v>72</v>
      </c>
      <c r="J117" t="s">
        <v>88</v>
      </c>
      <c r="K117">
        <v>1</v>
      </c>
    </row>
    <row r="118" spans="1:11" x14ac:dyDescent="0.35">
      <c r="A118" s="4">
        <v>45819</v>
      </c>
      <c r="B118" t="s">
        <v>69</v>
      </c>
      <c r="C118">
        <v>61</v>
      </c>
      <c r="D118" t="s">
        <v>32</v>
      </c>
      <c r="E118" t="s">
        <v>88</v>
      </c>
      <c r="F118" t="s">
        <v>94</v>
      </c>
      <c r="G118">
        <v>15.2</v>
      </c>
      <c r="H118" t="s">
        <v>72</v>
      </c>
      <c r="J118" t="s">
        <v>88</v>
      </c>
      <c r="K118">
        <v>1</v>
      </c>
    </row>
    <row r="119" spans="1:11" x14ac:dyDescent="0.35">
      <c r="A119" s="4">
        <v>45819</v>
      </c>
      <c r="B119" t="s">
        <v>69</v>
      </c>
      <c r="C119">
        <v>61</v>
      </c>
      <c r="D119" t="s">
        <v>32</v>
      </c>
      <c r="E119" t="s">
        <v>88</v>
      </c>
      <c r="F119" t="s">
        <v>94</v>
      </c>
      <c r="G119">
        <v>18.600000000000001</v>
      </c>
      <c r="H119" t="s">
        <v>72</v>
      </c>
      <c r="J119" t="s">
        <v>88</v>
      </c>
      <c r="K119">
        <v>1</v>
      </c>
    </row>
    <row r="120" spans="1:11" x14ac:dyDescent="0.35">
      <c r="A120" s="4">
        <v>45819</v>
      </c>
      <c r="B120" t="s">
        <v>69</v>
      </c>
      <c r="C120">
        <v>61</v>
      </c>
      <c r="D120" t="s">
        <v>32</v>
      </c>
      <c r="E120" t="s">
        <v>88</v>
      </c>
      <c r="F120" t="s">
        <v>94</v>
      </c>
      <c r="G120">
        <f>7.4+7.3+9.7</f>
        <v>24.4</v>
      </c>
      <c r="H120" t="s">
        <v>72</v>
      </c>
      <c r="J120" t="s">
        <v>88</v>
      </c>
      <c r="K120">
        <v>3</v>
      </c>
    </row>
    <row r="121" spans="1:11" x14ac:dyDescent="0.35">
      <c r="A121" s="4">
        <v>45819</v>
      </c>
      <c r="B121" t="s">
        <v>69</v>
      </c>
      <c r="C121">
        <v>61</v>
      </c>
      <c r="D121" t="s">
        <v>32</v>
      </c>
      <c r="E121" t="s">
        <v>88</v>
      </c>
      <c r="F121" t="s">
        <v>94</v>
      </c>
      <c r="G121">
        <f>11.9+1.8</f>
        <v>13.700000000000001</v>
      </c>
      <c r="H121" t="s">
        <v>72</v>
      </c>
      <c r="J121" t="s">
        <v>88</v>
      </c>
      <c r="K121">
        <v>2</v>
      </c>
    </row>
    <row r="122" spans="1:11" x14ac:dyDescent="0.35">
      <c r="A122" s="4">
        <v>45819</v>
      </c>
      <c r="B122" t="s">
        <v>69</v>
      </c>
      <c r="C122">
        <v>61</v>
      </c>
      <c r="D122" t="s">
        <v>32</v>
      </c>
      <c r="E122" t="s">
        <v>88</v>
      </c>
      <c r="F122" t="s">
        <v>94</v>
      </c>
      <c r="G122">
        <v>19.899999999999999</v>
      </c>
      <c r="H122" t="s">
        <v>72</v>
      </c>
      <c r="J122" t="s">
        <v>88</v>
      </c>
      <c r="K122">
        <v>1</v>
      </c>
    </row>
    <row r="123" spans="1:11" x14ac:dyDescent="0.35">
      <c r="A123" s="4">
        <v>45819</v>
      </c>
      <c r="B123" t="s">
        <v>69</v>
      </c>
      <c r="C123">
        <v>61</v>
      </c>
      <c r="D123" t="s">
        <v>32</v>
      </c>
      <c r="E123" t="s">
        <v>88</v>
      </c>
      <c r="F123" t="s">
        <v>94</v>
      </c>
      <c r="G123">
        <v>38.6</v>
      </c>
      <c r="H123" t="s">
        <v>74</v>
      </c>
      <c r="J123" t="s">
        <v>88</v>
      </c>
      <c r="K123">
        <v>1</v>
      </c>
    </row>
    <row r="124" spans="1:11" x14ac:dyDescent="0.35">
      <c r="A124" s="4">
        <v>45819</v>
      </c>
      <c r="B124" t="s">
        <v>69</v>
      </c>
      <c r="C124">
        <v>61</v>
      </c>
      <c r="D124" t="s">
        <v>32</v>
      </c>
      <c r="E124" t="s">
        <v>88</v>
      </c>
      <c r="F124" t="s">
        <v>77</v>
      </c>
      <c r="G124">
        <v>16.100000000000001</v>
      </c>
      <c r="H124" t="s">
        <v>74</v>
      </c>
      <c r="J124" t="s">
        <v>88</v>
      </c>
      <c r="K124">
        <v>1</v>
      </c>
    </row>
    <row r="125" spans="1:11" x14ac:dyDescent="0.35">
      <c r="A125" s="4">
        <v>45819</v>
      </c>
      <c r="B125" t="s">
        <v>69</v>
      </c>
      <c r="C125">
        <v>61</v>
      </c>
      <c r="D125" t="s">
        <v>34</v>
      </c>
      <c r="E125" t="s">
        <v>88</v>
      </c>
      <c r="F125" t="s">
        <v>77</v>
      </c>
      <c r="G125">
        <f>5.9+2.8+16.5</f>
        <v>25.2</v>
      </c>
      <c r="H125" t="s">
        <v>72</v>
      </c>
      <c r="J125" t="s">
        <v>88</v>
      </c>
      <c r="K125">
        <v>3</v>
      </c>
    </row>
    <row r="126" spans="1:11" x14ac:dyDescent="0.35">
      <c r="A126" s="4">
        <v>45819</v>
      </c>
      <c r="B126" t="s">
        <v>69</v>
      </c>
      <c r="C126">
        <v>61</v>
      </c>
      <c r="D126" t="s">
        <v>34</v>
      </c>
      <c r="E126" t="s">
        <v>88</v>
      </c>
      <c r="F126" t="s">
        <v>94</v>
      </c>
      <c r="G126">
        <v>12.8</v>
      </c>
      <c r="H126" t="s">
        <v>72</v>
      </c>
      <c r="J126" t="s">
        <v>88</v>
      </c>
      <c r="K126">
        <v>1</v>
      </c>
    </row>
    <row r="127" spans="1:11" x14ac:dyDescent="0.35">
      <c r="A127" s="4">
        <v>45819</v>
      </c>
      <c r="B127" t="s">
        <v>69</v>
      </c>
      <c r="C127">
        <v>61</v>
      </c>
      <c r="D127" t="s">
        <v>34</v>
      </c>
      <c r="E127" t="s">
        <v>88</v>
      </c>
      <c r="F127" t="s">
        <v>91</v>
      </c>
      <c r="G127">
        <f>7.6+7+3+3.8</f>
        <v>21.400000000000002</v>
      </c>
      <c r="H127" t="s">
        <v>74</v>
      </c>
      <c r="J127" t="s">
        <v>88</v>
      </c>
      <c r="K127">
        <v>4</v>
      </c>
    </row>
    <row r="128" spans="1:11" x14ac:dyDescent="0.35">
      <c r="A128" s="4">
        <v>45819</v>
      </c>
      <c r="B128" t="s">
        <v>69</v>
      </c>
      <c r="C128">
        <v>61</v>
      </c>
      <c r="D128" t="s">
        <v>34</v>
      </c>
      <c r="E128" t="s">
        <v>88</v>
      </c>
      <c r="F128" t="s">
        <v>94</v>
      </c>
      <c r="G128">
        <v>14.6</v>
      </c>
      <c r="H128" t="s">
        <v>72</v>
      </c>
      <c r="J128" t="s">
        <v>88</v>
      </c>
      <c r="K128">
        <v>1</v>
      </c>
    </row>
    <row r="129" spans="1:11" x14ac:dyDescent="0.35">
      <c r="A129" s="4">
        <v>45819</v>
      </c>
      <c r="B129" t="s">
        <v>69</v>
      </c>
      <c r="C129">
        <v>61</v>
      </c>
      <c r="D129" t="s">
        <v>34</v>
      </c>
      <c r="E129" t="s">
        <v>88</v>
      </c>
      <c r="F129" t="s">
        <v>94</v>
      </c>
      <c r="G129">
        <f>8.2+8.6</f>
        <v>16.799999999999997</v>
      </c>
      <c r="H129" t="s">
        <v>72</v>
      </c>
      <c r="J129" t="s">
        <v>70</v>
      </c>
      <c r="K129">
        <v>2</v>
      </c>
    </row>
    <row r="130" spans="1:11" x14ac:dyDescent="0.35">
      <c r="A130" s="4">
        <v>45819</v>
      </c>
      <c r="B130" t="s">
        <v>69</v>
      </c>
      <c r="C130">
        <v>61</v>
      </c>
      <c r="D130" t="s">
        <v>34</v>
      </c>
      <c r="E130" t="s">
        <v>88</v>
      </c>
      <c r="F130" t="s">
        <v>94</v>
      </c>
      <c r="G130">
        <v>19.7</v>
      </c>
      <c r="H130" t="s">
        <v>72</v>
      </c>
      <c r="J130" t="s">
        <v>88</v>
      </c>
      <c r="K130">
        <v>1</v>
      </c>
    </row>
    <row r="131" spans="1:11" x14ac:dyDescent="0.35">
      <c r="A131" s="4">
        <v>45819</v>
      </c>
      <c r="B131" t="s">
        <v>69</v>
      </c>
      <c r="C131">
        <v>61</v>
      </c>
      <c r="D131" t="s">
        <v>34</v>
      </c>
      <c r="E131" t="s">
        <v>88</v>
      </c>
      <c r="F131" t="s">
        <v>94</v>
      </c>
      <c r="G131">
        <f>10.3+10.6+3.9</f>
        <v>24.799999999999997</v>
      </c>
      <c r="H131" t="s">
        <v>74</v>
      </c>
      <c r="J131" t="s">
        <v>88</v>
      </c>
      <c r="K131">
        <v>3</v>
      </c>
    </row>
    <row r="132" spans="1:11" x14ac:dyDescent="0.35">
      <c r="A132" s="4">
        <v>45819</v>
      </c>
      <c r="B132" t="s">
        <v>69</v>
      </c>
      <c r="C132">
        <v>61</v>
      </c>
      <c r="D132" t="s">
        <v>34</v>
      </c>
      <c r="E132" t="s">
        <v>88</v>
      </c>
      <c r="F132" t="s">
        <v>94</v>
      </c>
      <c r="G132">
        <v>12.6</v>
      </c>
      <c r="H132" t="s">
        <v>72</v>
      </c>
      <c r="J132" t="s">
        <v>88</v>
      </c>
      <c r="K132">
        <v>1</v>
      </c>
    </row>
    <row r="133" spans="1:11" x14ac:dyDescent="0.35">
      <c r="A133" s="4">
        <v>45819</v>
      </c>
      <c r="B133" t="s">
        <v>69</v>
      </c>
      <c r="C133">
        <v>61</v>
      </c>
      <c r="D133" t="s">
        <v>34</v>
      </c>
      <c r="E133" t="s">
        <v>88</v>
      </c>
      <c r="F133" t="s">
        <v>94</v>
      </c>
      <c r="G133">
        <f>14.3+19.4</f>
        <v>33.700000000000003</v>
      </c>
      <c r="H133" t="s">
        <v>72</v>
      </c>
      <c r="J133" t="s">
        <v>88</v>
      </c>
      <c r="K133">
        <v>2</v>
      </c>
    </row>
    <row r="134" spans="1:11" x14ac:dyDescent="0.35">
      <c r="A134" s="4">
        <v>45819</v>
      </c>
      <c r="B134" t="s">
        <v>69</v>
      </c>
      <c r="C134">
        <v>61</v>
      </c>
      <c r="D134" t="s">
        <v>36</v>
      </c>
      <c r="E134" t="s">
        <v>88</v>
      </c>
      <c r="F134" t="s">
        <v>94</v>
      </c>
      <c r="G134">
        <v>30.5</v>
      </c>
      <c r="H134" t="s">
        <v>72</v>
      </c>
      <c r="J134" t="s">
        <v>88</v>
      </c>
      <c r="K134">
        <v>1</v>
      </c>
    </row>
    <row r="135" spans="1:11" x14ac:dyDescent="0.35">
      <c r="A135" s="4">
        <v>45819</v>
      </c>
      <c r="B135" t="s">
        <v>69</v>
      </c>
      <c r="C135">
        <v>61</v>
      </c>
      <c r="D135" t="s">
        <v>36</v>
      </c>
      <c r="E135" t="s">
        <v>88</v>
      </c>
      <c r="F135" t="s">
        <v>94</v>
      </c>
      <c r="G135">
        <f>14.7+4.8</f>
        <v>19.5</v>
      </c>
      <c r="H135" t="s">
        <v>72</v>
      </c>
      <c r="J135" t="s">
        <v>88</v>
      </c>
      <c r="K135">
        <v>2</v>
      </c>
    </row>
    <row r="136" spans="1:11" x14ac:dyDescent="0.35">
      <c r="A136" s="4">
        <v>45819</v>
      </c>
      <c r="B136" t="s">
        <v>69</v>
      </c>
      <c r="C136">
        <v>61</v>
      </c>
      <c r="D136" t="s">
        <v>36</v>
      </c>
      <c r="E136" t="s">
        <v>88</v>
      </c>
      <c r="F136" t="s">
        <v>94</v>
      </c>
      <c r="G136">
        <v>21.4</v>
      </c>
      <c r="H136" t="s">
        <v>72</v>
      </c>
      <c r="J136" t="s">
        <v>88</v>
      </c>
      <c r="K136">
        <v>1</v>
      </c>
    </row>
    <row r="137" spans="1:11" x14ac:dyDescent="0.35">
      <c r="A137" s="4">
        <v>45819</v>
      </c>
      <c r="B137" t="s">
        <v>69</v>
      </c>
      <c r="C137">
        <v>61</v>
      </c>
      <c r="D137" t="s">
        <v>36</v>
      </c>
      <c r="E137" t="s">
        <v>88</v>
      </c>
      <c r="F137" t="s">
        <v>94</v>
      </c>
      <c r="G137">
        <f>5.6+13.6</f>
        <v>19.2</v>
      </c>
      <c r="H137" t="s">
        <v>72</v>
      </c>
      <c r="J137" t="s">
        <v>88</v>
      </c>
      <c r="K137">
        <v>2</v>
      </c>
    </row>
    <row r="138" spans="1:11" x14ac:dyDescent="0.35">
      <c r="A138" s="4">
        <v>45819</v>
      </c>
      <c r="B138" t="s">
        <v>69</v>
      </c>
      <c r="C138">
        <v>61</v>
      </c>
      <c r="D138" t="s">
        <v>36</v>
      </c>
      <c r="E138" t="s">
        <v>88</v>
      </c>
      <c r="F138" t="s">
        <v>94</v>
      </c>
      <c r="G138">
        <f>6.7+6.2</f>
        <v>12.9</v>
      </c>
      <c r="H138" t="s">
        <v>72</v>
      </c>
      <c r="J138" t="s">
        <v>88</v>
      </c>
      <c r="K138">
        <v>2</v>
      </c>
    </row>
    <row r="139" spans="1:11" x14ac:dyDescent="0.35">
      <c r="A139" s="4">
        <v>45819</v>
      </c>
      <c r="B139" t="s">
        <v>69</v>
      </c>
      <c r="C139">
        <v>61</v>
      </c>
      <c r="D139" t="s">
        <v>37</v>
      </c>
      <c r="E139" t="s">
        <v>88</v>
      </c>
      <c r="F139" t="s">
        <v>94</v>
      </c>
      <c r="G139">
        <f>15.7+8.9+15.4+2.1</f>
        <v>42.1</v>
      </c>
      <c r="H139" t="s">
        <v>72</v>
      </c>
      <c r="J139" t="s">
        <v>88</v>
      </c>
      <c r="K139">
        <v>4</v>
      </c>
    </row>
    <row r="140" spans="1:11" x14ac:dyDescent="0.35">
      <c r="A140" s="4">
        <v>45819</v>
      </c>
      <c r="B140" t="s">
        <v>69</v>
      </c>
      <c r="C140">
        <v>61</v>
      </c>
      <c r="D140" t="s">
        <v>37</v>
      </c>
      <c r="E140" t="s">
        <v>88</v>
      </c>
      <c r="F140" t="s">
        <v>77</v>
      </c>
      <c r="G140">
        <v>18.2</v>
      </c>
      <c r="H140" t="s">
        <v>72</v>
      </c>
      <c r="J140" t="s">
        <v>70</v>
      </c>
      <c r="K140">
        <v>1</v>
      </c>
    </row>
    <row r="141" spans="1:11" x14ac:dyDescent="0.35">
      <c r="A141" s="4">
        <v>45819</v>
      </c>
      <c r="B141" t="s">
        <v>69</v>
      </c>
      <c r="C141">
        <v>61</v>
      </c>
      <c r="D141" t="s">
        <v>37</v>
      </c>
      <c r="E141" t="s">
        <v>88</v>
      </c>
      <c r="F141" t="s">
        <v>94</v>
      </c>
      <c r="G141">
        <f>13.5+6.5</f>
        <v>20</v>
      </c>
      <c r="H141" t="s">
        <v>72</v>
      </c>
      <c r="J141" t="s">
        <v>88</v>
      </c>
      <c r="K141">
        <v>2</v>
      </c>
    </row>
    <row r="142" spans="1:11" x14ac:dyDescent="0.35">
      <c r="A142" s="4">
        <v>45819</v>
      </c>
      <c r="B142" t="s">
        <v>69</v>
      </c>
      <c r="C142">
        <v>61</v>
      </c>
      <c r="D142" t="s">
        <v>37</v>
      </c>
      <c r="E142" t="s">
        <v>88</v>
      </c>
      <c r="F142" t="s">
        <v>94</v>
      </c>
      <c r="G142">
        <f>9.9+3.2</f>
        <v>13.100000000000001</v>
      </c>
      <c r="H142" t="s">
        <v>72</v>
      </c>
      <c r="J142" t="s">
        <v>88</v>
      </c>
      <c r="K142">
        <v>2</v>
      </c>
    </row>
    <row r="143" spans="1:11" x14ac:dyDescent="0.35">
      <c r="A143" s="4">
        <v>45819</v>
      </c>
      <c r="B143" t="s">
        <v>69</v>
      </c>
      <c r="C143">
        <v>61</v>
      </c>
      <c r="D143" t="s">
        <v>37</v>
      </c>
      <c r="E143" t="s">
        <v>88</v>
      </c>
      <c r="F143" t="s">
        <v>94</v>
      </c>
      <c r="G143">
        <v>18.7</v>
      </c>
      <c r="H143" t="s">
        <v>72</v>
      </c>
      <c r="J143" t="s">
        <v>88</v>
      </c>
      <c r="K143">
        <v>1</v>
      </c>
    </row>
    <row r="144" spans="1:11" x14ac:dyDescent="0.35">
      <c r="A144" s="4">
        <v>45819</v>
      </c>
      <c r="B144" t="s">
        <v>69</v>
      </c>
      <c r="C144">
        <v>61</v>
      </c>
      <c r="D144" t="s">
        <v>37</v>
      </c>
      <c r="E144" t="s">
        <v>88</v>
      </c>
      <c r="F144" t="s">
        <v>94</v>
      </c>
      <c r="G144">
        <v>23.5</v>
      </c>
      <c r="H144" t="s">
        <v>72</v>
      </c>
      <c r="J144" t="s">
        <v>88</v>
      </c>
      <c r="K144">
        <v>1</v>
      </c>
    </row>
    <row r="145" spans="1:12" x14ac:dyDescent="0.35">
      <c r="A145" s="4">
        <v>45819</v>
      </c>
      <c r="B145" t="s">
        <v>69</v>
      </c>
      <c r="C145">
        <v>61</v>
      </c>
      <c r="D145" t="s">
        <v>37</v>
      </c>
      <c r="E145" t="s">
        <v>88</v>
      </c>
      <c r="F145" t="s">
        <v>94</v>
      </c>
      <c r="G145">
        <v>20.5</v>
      </c>
      <c r="H145" t="s">
        <v>72</v>
      </c>
      <c r="J145" t="s">
        <v>88</v>
      </c>
      <c r="K145">
        <v>1</v>
      </c>
    </row>
    <row r="146" spans="1:12" x14ac:dyDescent="0.35">
      <c r="A146" s="4">
        <v>45819</v>
      </c>
      <c r="B146" t="s">
        <v>69</v>
      </c>
      <c r="C146">
        <v>61</v>
      </c>
      <c r="D146" t="s">
        <v>37</v>
      </c>
      <c r="E146" t="s">
        <v>88</v>
      </c>
      <c r="F146" t="s">
        <v>77</v>
      </c>
      <c r="G146">
        <v>12.6</v>
      </c>
      <c r="H146" t="s">
        <v>72</v>
      </c>
      <c r="J146" t="s">
        <v>88</v>
      </c>
      <c r="K146">
        <v>1</v>
      </c>
    </row>
    <row r="147" spans="1:12" x14ac:dyDescent="0.35">
      <c r="A147" s="4">
        <v>45819</v>
      </c>
      <c r="B147" t="s">
        <v>69</v>
      </c>
      <c r="C147">
        <v>61</v>
      </c>
      <c r="D147" t="s">
        <v>37</v>
      </c>
      <c r="E147" t="s">
        <v>88</v>
      </c>
      <c r="F147" t="s">
        <v>94</v>
      </c>
      <c r="G147">
        <f>3.9+6.6+5.1+13.1</f>
        <v>28.7</v>
      </c>
      <c r="H147" t="s">
        <v>72</v>
      </c>
      <c r="J147" t="s">
        <v>88</v>
      </c>
      <c r="K147">
        <v>4</v>
      </c>
    </row>
    <row r="148" spans="1:12" x14ac:dyDescent="0.35">
      <c r="A148" s="4">
        <v>45819</v>
      </c>
      <c r="B148" t="s">
        <v>69</v>
      </c>
      <c r="C148">
        <v>61</v>
      </c>
      <c r="D148" t="s">
        <v>37</v>
      </c>
      <c r="E148" t="s">
        <v>88</v>
      </c>
      <c r="F148" t="s">
        <v>94</v>
      </c>
      <c r="G148">
        <f>26.1+6.2+2.6+1.4+2.2</f>
        <v>38.500000000000007</v>
      </c>
      <c r="H148" t="s">
        <v>72</v>
      </c>
      <c r="J148" t="s">
        <v>88</v>
      </c>
      <c r="K148">
        <v>5</v>
      </c>
    </row>
    <row r="149" spans="1:12" x14ac:dyDescent="0.35">
      <c r="A149" s="5">
        <v>45820</v>
      </c>
      <c r="B149" s="6" t="s">
        <v>69</v>
      </c>
      <c r="C149" s="6">
        <v>63</v>
      </c>
      <c r="D149" s="6" t="s">
        <v>32</v>
      </c>
      <c r="E149" s="6" t="s">
        <v>70</v>
      </c>
      <c r="F149" s="6" t="s">
        <v>71</v>
      </c>
      <c r="G149" s="6">
        <v>2.9</v>
      </c>
      <c r="H149" s="6" t="s">
        <v>72</v>
      </c>
      <c r="I149" s="6"/>
      <c r="J149" s="6" t="s">
        <v>88</v>
      </c>
      <c r="K149" s="6">
        <v>1</v>
      </c>
      <c r="L149" s="6"/>
    </row>
    <row r="150" spans="1:12" x14ac:dyDescent="0.35">
      <c r="A150" s="4">
        <v>45820</v>
      </c>
      <c r="B150" t="s">
        <v>69</v>
      </c>
      <c r="C150">
        <v>63</v>
      </c>
      <c r="D150" t="s">
        <v>32</v>
      </c>
      <c r="E150" t="s">
        <v>70</v>
      </c>
      <c r="F150" t="s">
        <v>73</v>
      </c>
      <c r="G150">
        <v>135.1</v>
      </c>
      <c r="H150" t="s">
        <v>72</v>
      </c>
      <c r="J150" t="s">
        <v>88</v>
      </c>
      <c r="K150">
        <v>7</v>
      </c>
    </row>
    <row r="151" spans="1:12" x14ac:dyDescent="0.35">
      <c r="A151" s="4">
        <v>45820</v>
      </c>
      <c r="B151" t="s">
        <v>69</v>
      </c>
      <c r="C151">
        <v>63</v>
      </c>
      <c r="D151" t="s">
        <v>32</v>
      </c>
      <c r="E151" t="s">
        <v>70</v>
      </c>
      <c r="F151" t="s">
        <v>73</v>
      </c>
      <c r="G151">
        <v>22.2</v>
      </c>
      <c r="H151" t="s">
        <v>74</v>
      </c>
      <c r="J151" t="s">
        <v>88</v>
      </c>
      <c r="K151">
        <v>1</v>
      </c>
    </row>
    <row r="152" spans="1:12" x14ac:dyDescent="0.35">
      <c r="A152" s="4">
        <v>45820</v>
      </c>
      <c r="B152" t="s">
        <v>69</v>
      </c>
      <c r="C152">
        <v>63</v>
      </c>
      <c r="D152" t="s">
        <v>32</v>
      </c>
      <c r="E152" t="s">
        <v>70</v>
      </c>
      <c r="F152" t="s">
        <v>75</v>
      </c>
      <c r="G152">
        <v>4.4000000000000004</v>
      </c>
      <c r="H152" t="s">
        <v>72</v>
      </c>
      <c r="I152">
        <v>1</v>
      </c>
      <c r="J152" t="s">
        <v>88</v>
      </c>
      <c r="K152">
        <v>1</v>
      </c>
      <c r="L152" t="s">
        <v>76</v>
      </c>
    </row>
    <row r="153" spans="1:12" x14ac:dyDescent="0.35">
      <c r="A153" s="4">
        <v>45820</v>
      </c>
      <c r="B153" t="s">
        <v>69</v>
      </c>
      <c r="C153">
        <v>63</v>
      </c>
      <c r="D153" t="s">
        <v>32</v>
      </c>
      <c r="E153" t="s">
        <v>70</v>
      </c>
      <c r="F153" t="s">
        <v>75</v>
      </c>
      <c r="G153">
        <v>4.0999999999999996</v>
      </c>
      <c r="H153" t="s">
        <v>72</v>
      </c>
      <c r="I153">
        <v>1</v>
      </c>
      <c r="J153" t="s">
        <v>88</v>
      </c>
      <c r="K153">
        <v>1</v>
      </c>
    </row>
    <row r="154" spans="1:12" x14ac:dyDescent="0.35">
      <c r="A154" s="4">
        <v>45820</v>
      </c>
      <c r="B154" t="s">
        <v>69</v>
      </c>
      <c r="C154">
        <v>63</v>
      </c>
      <c r="D154" t="s">
        <v>32</v>
      </c>
      <c r="E154" t="s">
        <v>70</v>
      </c>
      <c r="F154" t="s">
        <v>77</v>
      </c>
      <c r="G154">
        <v>15.7</v>
      </c>
      <c r="H154" t="s">
        <v>72</v>
      </c>
      <c r="J154" t="s">
        <v>70</v>
      </c>
      <c r="K154">
        <v>1</v>
      </c>
    </row>
    <row r="155" spans="1:12" x14ac:dyDescent="0.35">
      <c r="A155" s="4">
        <v>45820</v>
      </c>
      <c r="B155" t="s">
        <v>69</v>
      </c>
      <c r="C155">
        <v>63</v>
      </c>
      <c r="D155" t="s">
        <v>32</v>
      </c>
      <c r="E155" t="s">
        <v>70</v>
      </c>
      <c r="F155" t="s">
        <v>77</v>
      </c>
      <c r="G155">
        <v>9</v>
      </c>
      <c r="H155" t="s">
        <v>72</v>
      </c>
      <c r="J155" t="s">
        <v>70</v>
      </c>
      <c r="K155">
        <v>1</v>
      </c>
    </row>
    <row r="156" spans="1:12" x14ac:dyDescent="0.35">
      <c r="A156" s="4">
        <v>45820</v>
      </c>
      <c r="B156" t="s">
        <v>69</v>
      </c>
      <c r="C156">
        <v>63</v>
      </c>
      <c r="D156" t="s">
        <v>32</v>
      </c>
      <c r="E156" t="s">
        <v>70</v>
      </c>
      <c r="F156" t="s">
        <v>75</v>
      </c>
      <c r="G156">
        <v>3.8</v>
      </c>
      <c r="H156" t="s">
        <v>72</v>
      </c>
      <c r="I156">
        <v>1</v>
      </c>
      <c r="J156" t="s">
        <v>88</v>
      </c>
      <c r="K156">
        <v>1</v>
      </c>
    </row>
    <row r="157" spans="1:12" x14ac:dyDescent="0.35">
      <c r="A157" s="4">
        <v>45820</v>
      </c>
      <c r="B157" t="s">
        <v>69</v>
      </c>
      <c r="C157">
        <v>63</v>
      </c>
      <c r="D157" t="s">
        <v>32</v>
      </c>
      <c r="E157" t="s">
        <v>70</v>
      </c>
      <c r="F157" t="s">
        <v>78</v>
      </c>
      <c r="G157">
        <v>6</v>
      </c>
      <c r="H157" t="s">
        <v>72</v>
      </c>
      <c r="I157">
        <v>1</v>
      </c>
      <c r="J157" t="s">
        <v>88</v>
      </c>
      <c r="K157">
        <v>1</v>
      </c>
    </row>
    <row r="158" spans="1:12" x14ac:dyDescent="0.35">
      <c r="A158" s="4">
        <v>45820</v>
      </c>
      <c r="B158" t="s">
        <v>69</v>
      </c>
      <c r="C158">
        <v>63</v>
      </c>
      <c r="D158" t="s">
        <v>32</v>
      </c>
      <c r="E158" t="s">
        <v>70</v>
      </c>
      <c r="F158" t="s">
        <v>71</v>
      </c>
      <c r="G158">
        <v>3.3</v>
      </c>
      <c r="H158" t="s">
        <v>74</v>
      </c>
      <c r="J158" t="s">
        <v>88</v>
      </c>
      <c r="K158">
        <v>1</v>
      </c>
    </row>
    <row r="159" spans="1:12" x14ac:dyDescent="0.35">
      <c r="A159" s="4">
        <v>45820</v>
      </c>
      <c r="B159" t="s">
        <v>69</v>
      </c>
      <c r="C159">
        <v>63</v>
      </c>
      <c r="D159" t="s">
        <v>32</v>
      </c>
      <c r="E159" t="s">
        <v>70</v>
      </c>
      <c r="F159" t="s">
        <v>75</v>
      </c>
      <c r="G159">
        <v>2.9</v>
      </c>
      <c r="H159" t="s">
        <v>72</v>
      </c>
      <c r="I159">
        <v>1</v>
      </c>
      <c r="J159" t="s">
        <v>88</v>
      </c>
      <c r="K159">
        <v>1</v>
      </c>
    </row>
    <row r="160" spans="1:12" x14ac:dyDescent="0.35">
      <c r="A160" s="4">
        <v>45820</v>
      </c>
      <c r="B160" t="s">
        <v>69</v>
      </c>
      <c r="C160">
        <v>63</v>
      </c>
      <c r="D160" t="s">
        <v>32</v>
      </c>
      <c r="E160" t="s">
        <v>70</v>
      </c>
      <c r="F160" t="s">
        <v>71</v>
      </c>
      <c r="G160">
        <v>4.4000000000000004</v>
      </c>
      <c r="H160" t="s">
        <v>72</v>
      </c>
      <c r="J160" t="s">
        <v>88</v>
      </c>
      <c r="K160">
        <v>2</v>
      </c>
    </row>
    <row r="161" spans="1:11" x14ac:dyDescent="0.35">
      <c r="A161" s="4">
        <v>45820</v>
      </c>
      <c r="B161" t="s">
        <v>69</v>
      </c>
      <c r="C161">
        <v>63</v>
      </c>
      <c r="D161" t="s">
        <v>32</v>
      </c>
      <c r="E161" t="s">
        <v>70</v>
      </c>
      <c r="F161" t="s">
        <v>71</v>
      </c>
      <c r="G161">
        <v>7.1</v>
      </c>
      <c r="H161" t="s">
        <v>74</v>
      </c>
      <c r="J161" t="s">
        <v>88</v>
      </c>
      <c r="K161">
        <v>3</v>
      </c>
    </row>
    <row r="162" spans="1:11" x14ac:dyDescent="0.35">
      <c r="A162" s="4">
        <v>45820</v>
      </c>
      <c r="B162" t="s">
        <v>69</v>
      </c>
      <c r="C162">
        <v>63</v>
      </c>
      <c r="D162" t="s">
        <v>32</v>
      </c>
      <c r="E162" t="s">
        <v>70</v>
      </c>
      <c r="F162" t="s">
        <v>71</v>
      </c>
      <c r="G162">
        <v>3.1</v>
      </c>
      <c r="H162" t="s">
        <v>72</v>
      </c>
      <c r="J162" t="s">
        <v>70</v>
      </c>
      <c r="K162">
        <v>2</v>
      </c>
    </row>
    <row r="163" spans="1:11" x14ac:dyDescent="0.35">
      <c r="A163" s="4">
        <v>45820</v>
      </c>
      <c r="B163" t="s">
        <v>69</v>
      </c>
      <c r="C163">
        <v>63</v>
      </c>
      <c r="D163" t="s">
        <v>32</v>
      </c>
      <c r="E163" t="s">
        <v>70</v>
      </c>
      <c r="F163" t="s">
        <v>71</v>
      </c>
      <c r="G163">
        <v>5.6</v>
      </c>
      <c r="H163" t="s">
        <v>74</v>
      </c>
      <c r="J163" t="s">
        <v>88</v>
      </c>
      <c r="K163">
        <v>1</v>
      </c>
    </row>
    <row r="164" spans="1:11" x14ac:dyDescent="0.35">
      <c r="A164" s="4">
        <v>45820</v>
      </c>
      <c r="B164" t="s">
        <v>69</v>
      </c>
      <c r="C164">
        <v>63</v>
      </c>
      <c r="D164" t="s">
        <v>32</v>
      </c>
      <c r="E164" t="s">
        <v>70</v>
      </c>
      <c r="F164" t="s">
        <v>73</v>
      </c>
      <c r="G164">
        <v>11.7</v>
      </c>
      <c r="H164" t="s">
        <v>72</v>
      </c>
      <c r="J164" t="s">
        <v>88</v>
      </c>
      <c r="K164">
        <v>1</v>
      </c>
    </row>
    <row r="165" spans="1:11" x14ac:dyDescent="0.35">
      <c r="A165" s="4">
        <v>45820</v>
      </c>
      <c r="B165" t="s">
        <v>69</v>
      </c>
      <c r="C165">
        <v>63</v>
      </c>
      <c r="D165" t="s">
        <v>32</v>
      </c>
      <c r="E165" t="s">
        <v>70</v>
      </c>
      <c r="F165" t="s">
        <v>71</v>
      </c>
      <c r="G165">
        <v>2.5</v>
      </c>
      <c r="H165" t="s">
        <v>74</v>
      </c>
      <c r="J165" t="s">
        <v>88</v>
      </c>
      <c r="K165">
        <v>1</v>
      </c>
    </row>
    <row r="166" spans="1:11" x14ac:dyDescent="0.35">
      <c r="A166" s="4">
        <v>45820</v>
      </c>
      <c r="B166" t="s">
        <v>69</v>
      </c>
      <c r="C166">
        <v>63</v>
      </c>
      <c r="D166" t="s">
        <v>32</v>
      </c>
      <c r="E166" t="s">
        <v>70</v>
      </c>
      <c r="F166" t="s">
        <v>75</v>
      </c>
      <c r="G166">
        <v>4.2</v>
      </c>
      <c r="H166" t="s">
        <v>72</v>
      </c>
      <c r="I166">
        <v>1</v>
      </c>
      <c r="J166" t="s">
        <v>88</v>
      </c>
      <c r="K166">
        <v>1</v>
      </c>
    </row>
    <row r="167" spans="1:11" x14ac:dyDescent="0.35">
      <c r="A167" s="4">
        <v>45820</v>
      </c>
      <c r="B167" t="s">
        <v>69</v>
      </c>
      <c r="C167">
        <v>63</v>
      </c>
      <c r="D167" t="s">
        <v>32</v>
      </c>
      <c r="E167" t="s">
        <v>70</v>
      </c>
      <c r="F167" t="s">
        <v>75</v>
      </c>
      <c r="G167">
        <v>8.1</v>
      </c>
      <c r="H167" t="s">
        <v>72</v>
      </c>
      <c r="I167">
        <v>1</v>
      </c>
      <c r="J167" t="s">
        <v>88</v>
      </c>
      <c r="K167">
        <v>2</v>
      </c>
    </row>
    <row r="168" spans="1:11" x14ac:dyDescent="0.35">
      <c r="A168" s="4">
        <v>45820</v>
      </c>
      <c r="B168" t="s">
        <v>69</v>
      </c>
      <c r="C168">
        <v>63</v>
      </c>
      <c r="D168" t="s">
        <v>34</v>
      </c>
      <c r="E168" t="s">
        <v>70</v>
      </c>
      <c r="F168" t="s">
        <v>79</v>
      </c>
      <c r="G168">
        <v>8.6999999999999993</v>
      </c>
      <c r="H168" t="s">
        <v>74</v>
      </c>
      <c r="I168">
        <v>5</v>
      </c>
      <c r="J168" t="s">
        <v>88</v>
      </c>
      <c r="K168">
        <v>1</v>
      </c>
    </row>
    <row r="169" spans="1:11" x14ac:dyDescent="0.35">
      <c r="A169" s="4">
        <v>45820</v>
      </c>
      <c r="B169" t="s">
        <v>69</v>
      </c>
      <c r="C169">
        <v>63</v>
      </c>
      <c r="D169" t="s">
        <v>34</v>
      </c>
      <c r="E169" t="s">
        <v>70</v>
      </c>
      <c r="F169" t="s">
        <v>71</v>
      </c>
      <c r="G169">
        <v>2.6</v>
      </c>
      <c r="H169" t="s">
        <v>74</v>
      </c>
      <c r="J169" t="s">
        <v>88</v>
      </c>
      <c r="K169">
        <v>1</v>
      </c>
    </row>
    <row r="170" spans="1:11" x14ac:dyDescent="0.35">
      <c r="A170" s="4">
        <v>45820</v>
      </c>
      <c r="B170" t="s">
        <v>69</v>
      </c>
      <c r="C170">
        <v>63</v>
      </c>
      <c r="D170" t="s">
        <v>34</v>
      </c>
      <c r="E170" t="s">
        <v>70</v>
      </c>
      <c r="F170" t="s">
        <v>75</v>
      </c>
      <c r="G170">
        <v>2.8</v>
      </c>
      <c r="H170" t="s">
        <v>72</v>
      </c>
      <c r="I170">
        <v>1</v>
      </c>
      <c r="J170" t="s">
        <v>88</v>
      </c>
      <c r="K170">
        <v>1</v>
      </c>
    </row>
    <row r="171" spans="1:11" x14ac:dyDescent="0.35">
      <c r="A171" s="4">
        <v>45820</v>
      </c>
      <c r="B171" t="s">
        <v>69</v>
      </c>
      <c r="C171">
        <v>63</v>
      </c>
      <c r="D171" t="s">
        <v>34</v>
      </c>
      <c r="E171" t="s">
        <v>70</v>
      </c>
      <c r="F171" t="s">
        <v>75</v>
      </c>
      <c r="G171">
        <v>2.9</v>
      </c>
      <c r="H171" t="s">
        <v>72</v>
      </c>
      <c r="I171">
        <v>1</v>
      </c>
      <c r="J171" t="s">
        <v>88</v>
      </c>
      <c r="K171">
        <v>1</v>
      </c>
    </row>
    <row r="172" spans="1:11" x14ac:dyDescent="0.35">
      <c r="A172" s="4">
        <v>45820</v>
      </c>
      <c r="B172" t="s">
        <v>69</v>
      </c>
      <c r="C172">
        <v>63</v>
      </c>
      <c r="D172" t="s">
        <v>34</v>
      </c>
      <c r="E172" t="s">
        <v>70</v>
      </c>
      <c r="F172" t="s">
        <v>75</v>
      </c>
      <c r="G172">
        <v>4.0999999999999996</v>
      </c>
      <c r="H172" t="s">
        <v>72</v>
      </c>
      <c r="I172">
        <v>1</v>
      </c>
      <c r="J172" t="s">
        <v>88</v>
      </c>
      <c r="K172">
        <v>1</v>
      </c>
    </row>
    <row r="173" spans="1:11" x14ac:dyDescent="0.35">
      <c r="A173" s="4">
        <v>45820</v>
      </c>
      <c r="B173" t="s">
        <v>69</v>
      </c>
      <c r="C173">
        <v>63</v>
      </c>
      <c r="D173" t="s">
        <v>34</v>
      </c>
      <c r="E173" t="s">
        <v>70</v>
      </c>
      <c r="F173" t="s">
        <v>75</v>
      </c>
      <c r="G173">
        <v>3.7</v>
      </c>
      <c r="H173" t="s">
        <v>72</v>
      </c>
      <c r="I173">
        <v>1</v>
      </c>
      <c r="J173" t="s">
        <v>88</v>
      </c>
      <c r="K173">
        <v>1</v>
      </c>
    </row>
    <row r="174" spans="1:11" x14ac:dyDescent="0.35">
      <c r="A174" s="4">
        <v>45820</v>
      </c>
      <c r="B174" t="s">
        <v>69</v>
      </c>
      <c r="C174">
        <v>63</v>
      </c>
      <c r="D174" t="s">
        <v>34</v>
      </c>
      <c r="E174" t="s">
        <v>70</v>
      </c>
      <c r="F174" t="s">
        <v>75</v>
      </c>
      <c r="G174">
        <v>6.6</v>
      </c>
      <c r="H174" t="s">
        <v>72</v>
      </c>
      <c r="I174">
        <v>1</v>
      </c>
      <c r="J174" t="s">
        <v>88</v>
      </c>
      <c r="K174">
        <v>1</v>
      </c>
    </row>
    <row r="175" spans="1:11" x14ac:dyDescent="0.35">
      <c r="A175" s="4">
        <v>45820</v>
      </c>
      <c r="B175" t="s">
        <v>69</v>
      </c>
      <c r="C175">
        <v>63</v>
      </c>
      <c r="D175" t="s">
        <v>34</v>
      </c>
      <c r="E175" t="s">
        <v>70</v>
      </c>
      <c r="F175" t="s">
        <v>75</v>
      </c>
      <c r="G175">
        <v>7.3</v>
      </c>
      <c r="H175" t="s">
        <v>72</v>
      </c>
      <c r="I175">
        <v>1</v>
      </c>
      <c r="J175" t="s">
        <v>88</v>
      </c>
      <c r="K175">
        <v>2</v>
      </c>
    </row>
    <row r="176" spans="1:11" x14ac:dyDescent="0.35">
      <c r="A176" s="4">
        <v>45820</v>
      </c>
      <c r="B176" t="s">
        <v>69</v>
      </c>
      <c r="C176">
        <v>63</v>
      </c>
      <c r="D176" t="s">
        <v>34</v>
      </c>
      <c r="E176" t="s">
        <v>70</v>
      </c>
      <c r="F176" t="s">
        <v>71</v>
      </c>
      <c r="G176">
        <v>4.5</v>
      </c>
      <c r="H176" t="s">
        <v>72</v>
      </c>
      <c r="J176" t="s">
        <v>88</v>
      </c>
      <c r="K176">
        <v>1</v>
      </c>
    </row>
    <row r="177" spans="1:12" x14ac:dyDescent="0.35">
      <c r="A177" s="4">
        <v>45820</v>
      </c>
      <c r="B177" t="s">
        <v>69</v>
      </c>
      <c r="C177">
        <v>63</v>
      </c>
      <c r="D177" t="s">
        <v>34</v>
      </c>
      <c r="E177" t="s">
        <v>70</v>
      </c>
      <c r="F177" t="s">
        <v>73</v>
      </c>
      <c r="G177">
        <v>26</v>
      </c>
      <c r="H177" t="s">
        <v>72</v>
      </c>
      <c r="J177" t="s">
        <v>88</v>
      </c>
      <c r="K177">
        <v>1</v>
      </c>
    </row>
    <row r="178" spans="1:12" x14ac:dyDescent="0.35">
      <c r="A178" s="4">
        <v>45820</v>
      </c>
      <c r="B178" t="s">
        <v>69</v>
      </c>
      <c r="C178">
        <v>63</v>
      </c>
      <c r="D178" t="s">
        <v>34</v>
      </c>
      <c r="E178" t="s">
        <v>70</v>
      </c>
      <c r="F178" t="s">
        <v>75</v>
      </c>
      <c r="G178">
        <v>3.9</v>
      </c>
      <c r="H178" t="s">
        <v>72</v>
      </c>
      <c r="I178">
        <v>2</v>
      </c>
      <c r="J178" t="s">
        <v>88</v>
      </c>
      <c r="K178">
        <v>1</v>
      </c>
    </row>
    <row r="179" spans="1:12" x14ac:dyDescent="0.35">
      <c r="A179" s="4">
        <v>45820</v>
      </c>
      <c r="B179" t="s">
        <v>69</v>
      </c>
      <c r="C179">
        <v>63</v>
      </c>
      <c r="D179" t="s">
        <v>34</v>
      </c>
      <c r="E179" t="s">
        <v>70</v>
      </c>
      <c r="F179" t="s">
        <v>75</v>
      </c>
      <c r="G179">
        <v>4.5999999999999996</v>
      </c>
      <c r="H179" t="s">
        <v>72</v>
      </c>
      <c r="I179">
        <v>2</v>
      </c>
      <c r="J179" t="s">
        <v>88</v>
      </c>
      <c r="K179">
        <v>1</v>
      </c>
    </row>
    <row r="180" spans="1:12" x14ac:dyDescent="0.35">
      <c r="A180" s="4">
        <v>45820</v>
      </c>
      <c r="B180" t="s">
        <v>69</v>
      </c>
      <c r="C180">
        <v>63</v>
      </c>
      <c r="D180" t="s">
        <v>34</v>
      </c>
      <c r="E180" t="s">
        <v>70</v>
      </c>
      <c r="F180" t="s">
        <v>75</v>
      </c>
      <c r="G180">
        <v>4.5</v>
      </c>
      <c r="H180" t="s">
        <v>72</v>
      </c>
      <c r="I180">
        <v>2</v>
      </c>
      <c r="J180" t="s">
        <v>88</v>
      </c>
      <c r="K180">
        <v>1</v>
      </c>
    </row>
    <row r="181" spans="1:12" x14ac:dyDescent="0.35">
      <c r="A181" s="4">
        <v>45820</v>
      </c>
      <c r="B181" t="s">
        <v>69</v>
      </c>
      <c r="C181">
        <v>63</v>
      </c>
      <c r="D181" t="s">
        <v>34</v>
      </c>
      <c r="E181" t="s">
        <v>70</v>
      </c>
      <c r="F181" t="s">
        <v>75</v>
      </c>
      <c r="G181">
        <v>6.7</v>
      </c>
      <c r="H181" t="s">
        <v>72</v>
      </c>
      <c r="I181">
        <v>1</v>
      </c>
      <c r="J181" t="s">
        <v>88</v>
      </c>
      <c r="K181">
        <v>1</v>
      </c>
      <c r="L181" t="s">
        <v>81</v>
      </c>
    </row>
    <row r="182" spans="1:12" x14ac:dyDescent="0.35">
      <c r="A182" s="4">
        <v>45820</v>
      </c>
      <c r="B182" t="s">
        <v>69</v>
      </c>
      <c r="C182">
        <v>63</v>
      </c>
      <c r="D182" t="s">
        <v>34</v>
      </c>
      <c r="E182" t="s">
        <v>70</v>
      </c>
      <c r="F182" t="s">
        <v>77</v>
      </c>
      <c r="G182">
        <v>5.7</v>
      </c>
      <c r="H182" t="s">
        <v>72</v>
      </c>
      <c r="J182" t="s">
        <v>88</v>
      </c>
      <c r="K182">
        <v>1</v>
      </c>
    </row>
    <row r="183" spans="1:12" x14ac:dyDescent="0.35">
      <c r="A183" s="4">
        <v>45820</v>
      </c>
      <c r="B183" t="s">
        <v>69</v>
      </c>
      <c r="C183">
        <v>63</v>
      </c>
      <c r="D183" t="s">
        <v>34</v>
      </c>
      <c r="E183" t="s">
        <v>70</v>
      </c>
      <c r="F183" t="s">
        <v>73</v>
      </c>
      <c r="G183">
        <v>27.3</v>
      </c>
      <c r="H183" t="s">
        <v>72</v>
      </c>
      <c r="J183" t="s">
        <v>88</v>
      </c>
      <c r="K183">
        <v>5</v>
      </c>
    </row>
    <row r="184" spans="1:12" x14ac:dyDescent="0.35">
      <c r="A184" s="4">
        <v>45820</v>
      </c>
      <c r="B184" t="s">
        <v>69</v>
      </c>
      <c r="C184">
        <v>63</v>
      </c>
      <c r="D184" t="s">
        <v>34</v>
      </c>
      <c r="E184" t="s">
        <v>70</v>
      </c>
      <c r="F184" t="s">
        <v>73</v>
      </c>
      <c r="G184">
        <v>2.7</v>
      </c>
      <c r="H184" t="s">
        <v>74</v>
      </c>
      <c r="J184" t="s">
        <v>88</v>
      </c>
      <c r="K184">
        <v>1</v>
      </c>
    </row>
    <row r="185" spans="1:12" x14ac:dyDescent="0.35">
      <c r="A185" s="4">
        <v>45820</v>
      </c>
      <c r="B185" t="s">
        <v>69</v>
      </c>
      <c r="C185">
        <v>63</v>
      </c>
      <c r="D185" t="s">
        <v>34</v>
      </c>
      <c r="E185" t="s">
        <v>70</v>
      </c>
      <c r="F185" t="s">
        <v>75</v>
      </c>
      <c r="G185">
        <v>2.9</v>
      </c>
      <c r="H185" t="s">
        <v>72</v>
      </c>
      <c r="I185">
        <v>1</v>
      </c>
      <c r="J185" t="s">
        <v>88</v>
      </c>
      <c r="K185">
        <v>1</v>
      </c>
      <c r="L185" t="s">
        <v>82</v>
      </c>
    </row>
    <row r="186" spans="1:12" x14ac:dyDescent="0.35">
      <c r="A186" s="4">
        <v>45820</v>
      </c>
      <c r="B186" t="s">
        <v>69</v>
      </c>
      <c r="C186">
        <v>63</v>
      </c>
      <c r="D186" t="s">
        <v>34</v>
      </c>
      <c r="E186" t="s">
        <v>70</v>
      </c>
      <c r="F186" t="s">
        <v>75</v>
      </c>
      <c r="G186">
        <v>3.7</v>
      </c>
      <c r="H186" t="s">
        <v>72</v>
      </c>
      <c r="I186">
        <v>1</v>
      </c>
      <c r="J186" t="s">
        <v>88</v>
      </c>
      <c r="K186">
        <v>1</v>
      </c>
    </row>
    <row r="187" spans="1:12" x14ac:dyDescent="0.35">
      <c r="A187" s="4">
        <v>45820</v>
      </c>
      <c r="B187" t="s">
        <v>69</v>
      </c>
      <c r="C187">
        <v>63</v>
      </c>
      <c r="D187" t="s">
        <v>34</v>
      </c>
      <c r="E187" t="s">
        <v>70</v>
      </c>
      <c r="F187" t="s">
        <v>83</v>
      </c>
      <c r="G187">
        <v>2.8</v>
      </c>
      <c r="H187" t="s">
        <v>72</v>
      </c>
      <c r="J187" t="s">
        <v>88</v>
      </c>
      <c r="K187">
        <v>1</v>
      </c>
    </row>
    <row r="188" spans="1:12" x14ac:dyDescent="0.35">
      <c r="A188" s="4">
        <v>45820</v>
      </c>
      <c r="B188" t="s">
        <v>69</v>
      </c>
      <c r="C188">
        <v>63</v>
      </c>
      <c r="D188" t="s">
        <v>34</v>
      </c>
      <c r="E188" t="s">
        <v>70</v>
      </c>
      <c r="F188" t="s">
        <v>75</v>
      </c>
      <c r="G188">
        <v>2.8</v>
      </c>
      <c r="H188" t="s">
        <v>72</v>
      </c>
      <c r="J188" t="s">
        <v>88</v>
      </c>
      <c r="K188">
        <v>1</v>
      </c>
    </row>
    <row r="189" spans="1:12" x14ac:dyDescent="0.35">
      <c r="A189" s="4">
        <v>45820</v>
      </c>
      <c r="B189" t="s">
        <v>69</v>
      </c>
      <c r="C189">
        <v>63</v>
      </c>
      <c r="D189" t="s">
        <v>34</v>
      </c>
      <c r="E189" t="s">
        <v>70</v>
      </c>
      <c r="F189" t="s">
        <v>77</v>
      </c>
      <c r="G189">
        <v>2.5</v>
      </c>
      <c r="H189" t="s">
        <v>72</v>
      </c>
      <c r="J189" t="s">
        <v>88</v>
      </c>
      <c r="K189">
        <v>1</v>
      </c>
    </row>
    <row r="190" spans="1:12" x14ac:dyDescent="0.35">
      <c r="A190" s="4">
        <v>45820</v>
      </c>
      <c r="B190" t="s">
        <v>69</v>
      </c>
      <c r="C190">
        <v>63</v>
      </c>
      <c r="D190" t="s">
        <v>34</v>
      </c>
      <c r="E190" t="s">
        <v>70</v>
      </c>
      <c r="F190" t="s">
        <v>75</v>
      </c>
      <c r="G190">
        <v>4.4000000000000004</v>
      </c>
      <c r="H190" t="s">
        <v>72</v>
      </c>
      <c r="J190" t="s">
        <v>88</v>
      </c>
      <c r="K190">
        <v>1</v>
      </c>
    </row>
    <row r="191" spans="1:12" x14ac:dyDescent="0.35">
      <c r="A191" s="4">
        <v>45820</v>
      </c>
      <c r="B191" t="s">
        <v>69</v>
      </c>
      <c r="C191">
        <v>63</v>
      </c>
      <c r="D191" t="s">
        <v>34</v>
      </c>
      <c r="E191" t="s">
        <v>70</v>
      </c>
      <c r="F191" t="s">
        <v>78</v>
      </c>
      <c r="G191">
        <v>3.9</v>
      </c>
      <c r="H191" t="s">
        <v>72</v>
      </c>
      <c r="I191">
        <v>1</v>
      </c>
      <c r="J191" t="s">
        <v>88</v>
      </c>
      <c r="K191">
        <v>1</v>
      </c>
    </row>
    <row r="192" spans="1:12" x14ac:dyDescent="0.35">
      <c r="A192" s="4">
        <v>45820</v>
      </c>
      <c r="B192" t="s">
        <v>69</v>
      </c>
      <c r="C192">
        <v>63</v>
      </c>
      <c r="D192" t="s">
        <v>34</v>
      </c>
      <c r="E192" t="s">
        <v>70</v>
      </c>
      <c r="F192" t="s">
        <v>77</v>
      </c>
      <c r="G192">
        <v>3.3</v>
      </c>
      <c r="H192" t="s">
        <v>72</v>
      </c>
      <c r="J192" t="s">
        <v>88</v>
      </c>
      <c r="K192">
        <v>1</v>
      </c>
    </row>
    <row r="193" spans="1:12" x14ac:dyDescent="0.35">
      <c r="A193" s="4">
        <v>45820</v>
      </c>
      <c r="B193" t="s">
        <v>69</v>
      </c>
      <c r="C193">
        <v>63</v>
      </c>
      <c r="D193" t="s">
        <v>36</v>
      </c>
      <c r="E193" t="s">
        <v>70</v>
      </c>
      <c r="F193" t="s">
        <v>71</v>
      </c>
      <c r="G193">
        <v>6</v>
      </c>
      <c r="H193" t="s">
        <v>74</v>
      </c>
      <c r="J193" t="s">
        <v>88</v>
      </c>
      <c r="K193">
        <v>2</v>
      </c>
    </row>
    <row r="194" spans="1:12" x14ac:dyDescent="0.35">
      <c r="A194" s="4">
        <v>45820</v>
      </c>
      <c r="B194" t="s">
        <v>69</v>
      </c>
      <c r="C194">
        <v>63</v>
      </c>
      <c r="D194" t="s">
        <v>36</v>
      </c>
      <c r="E194" t="s">
        <v>70</v>
      </c>
      <c r="F194" t="s">
        <v>73</v>
      </c>
      <c r="G194">
        <v>21.7</v>
      </c>
      <c r="H194" t="s">
        <v>74</v>
      </c>
      <c r="J194" t="s">
        <v>88</v>
      </c>
      <c r="K194">
        <v>1</v>
      </c>
    </row>
    <row r="195" spans="1:12" x14ac:dyDescent="0.35">
      <c r="A195" s="4">
        <v>45820</v>
      </c>
      <c r="B195" t="s">
        <v>69</v>
      </c>
      <c r="C195">
        <v>63</v>
      </c>
      <c r="D195" t="s">
        <v>36</v>
      </c>
      <c r="E195" t="s">
        <v>70</v>
      </c>
      <c r="F195" t="s">
        <v>75</v>
      </c>
      <c r="G195">
        <v>5</v>
      </c>
      <c r="H195" t="s">
        <v>72</v>
      </c>
      <c r="I195">
        <v>1</v>
      </c>
      <c r="J195" t="s">
        <v>88</v>
      </c>
      <c r="K195">
        <v>1</v>
      </c>
    </row>
    <row r="196" spans="1:12" x14ac:dyDescent="0.35">
      <c r="A196" s="4">
        <v>45820</v>
      </c>
      <c r="B196" t="s">
        <v>69</v>
      </c>
      <c r="C196">
        <v>63</v>
      </c>
      <c r="D196" t="s">
        <v>36</v>
      </c>
      <c r="E196" t="s">
        <v>70</v>
      </c>
      <c r="F196" t="s">
        <v>71</v>
      </c>
      <c r="G196">
        <f>2.5+2.4</f>
        <v>4.9000000000000004</v>
      </c>
      <c r="H196" t="s">
        <v>74</v>
      </c>
      <c r="J196" t="s">
        <v>88</v>
      </c>
      <c r="K196">
        <v>2</v>
      </c>
    </row>
    <row r="197" spans="1:12" x14ac:dyDescent="0.35">
      <c r="A197" s="4">
        <v>45820</v>
      </c>
      <c r="B197" t="s">
        <v>69</v>
      </c>
      <c r="C197">
        <v>63</v>
      </c>
      <c r="D197" t="s">
        <v>36</v>
      </c>
      <c r="E197" t="s">
        <v>70</v>
      </c>
      <c r="F197" t="s">
        <v>73</v>
      </c>
      <c r="G197">
        <v>22.1</v>
      </c>
      <c r="H197" t="s">
        <v>72</v>
      </c>
      <c r="J197" t="s">
        <v>88</v>
      </c>
      <c r="K197">
        <v>1</v>
      </c>
    </row>
    <row r="198" spans="1:12" x14ac:dyDescent="0.35">
      <c r="A198" s="4">
        <v>45820</v>
      </c>
      <c r="B198" t="s">
        <v>69</v>
      </c>
      <c r="C198">
        <v>63</v>
      </c>
      <c r="D198" t="s">
        <v>36</v>
      </c>
      <c r="E198" t="s">
        <v>70</v>
      </c>
      <c r="F198" t="s">
        <v>75</v>
      </c>
      <c r="G198">
        <v>3.5</v>
      </c>
      <c r="H198" t="s">
        <v>72</v>
      </c>
      <c r="J198" t="s">
        <v>88</v>
      </c>
      <c r="K198">
        <v>1</v>
      </c>
    </row>
    <row r="199" spans="1:12" x14ac:dyDescent="0.35">
      <c r="A199" s="4">
        <v>45820</v>
      </c>
      <c r="B199" t="s">
        <v>69</v>
      </c>
      <c r="C199">
        <v>63</v>
      </c>
      <c r="D199" t="s">
        <v>36</v>
      </c>
      <c r="E199" t="s">
        <v>70</v>
      </c>
      <c r="F199" t="s">
        <v>75</v>
      </c>
      <c r="G199">
        <v>3.2</v>
      </c>
      <c r="H199" t="s">
        <v>72</v>
      </c>
      <c r="I199">
        <v>2</v>
      </c>
      <c r="J199" t="s">
        <v>88</v>
      </c>
      <c r="K199">
        <v>1</v>
      </c>
    </row>
    <row r="200" spans="1:12" x14ac:dyDescent="0.35">
      <c r="A200" s="4">
        <v>45820</v>
      </c>
      <c r="B200" t="s">
        <v>69</v>
      </c>
      <c r="C200">
        <v>63</v>
      </c>
      <c r="D200" t="s">
        <v>36</v>
      </c>
      <c r="E200" t="s">
        <v>70</v>
      </c>
      <c r="F200" t="s">
        <v>75</v>
      </c>
      <c r="G200">
        <v>4.4000000000000004</v>
      </c>
      <c r="H200" t="s">
        <v>72</v>
      </c>
      <c r="I200">
        <v>2</v>
      </c>
      <c r="J200" t="s">
        <v>88</v>
      </c>
      <c r="K200">
        <v>1</v>
      </c>
    </row>
    <row r="201" spans="1:12" x14ac:dyDescent="0.35">
      <c r="A201" s="4">
        <v>45820</v>
      </c>
      <c r="B201" t="s">
        <v>69</v>
      </c>
      <c r="C201">
        <v>63</v>
      </c>
      <c r="D201" t="s">
        <v>36</v>
      </c>
      <c r="E201" t="s">
        <v>70</v>
      </c>
      <c r="F201" t="s">
        <v>75</v>
      </c>
      <c r="G201">
        <v>4.8</v>
      </c>
      <c r="H201" t="s">
        <v>72</v>
      </c>
      <c r="I201">
        <v>1</v>
      </c>
      <c r="J201" t="s">
        <v>88</v>
      </c>
      <c r="K201">
        <v>1</v>
      </c>
      <c r="L201" t="s">
        <v>84</v>
      </c>
    </row>
    <row r="202" spans="1:12" x14ac:dyDescent="0.35">
      <c r="A202" s="4">
        <v>45820</v>
      </c>
      <c r="B202" t="s">
        <v>69</v>
      </c>
      <c r="C202">
        <v>63</v>
      </c>
      <c r="D202" t="s">
        <v>36</v>
      </c>
      <c r="E202" t="s">
        <v>70</v>
      </c>
      <c r="F202" t="s">
        <v>75</v>
      </c>
      <c r="G202">
        <v>6</v>
      </c>
      <c r="H202" t="s">
        <v>72</v>
      </c>
      <c r="I202">
        <v>1</v>
      </c>
      <c r="J202" t="s">
        <v>88</v>
      </c>
      <c r="K202">
        <v>1</v>
      </c>
    </row>
    <row r="203" spans="1:12" x14ac:dyDescent="0.35">
      <c r="A203" s="4">
        <v>45820</v>
      </c>
      <c r="B203" t="s">
        <v>69</v>
      </c>
      <c r="C203">
        <v>63</v>
      </c>
      <c r="D203" t="s">
        <v>36</v>
      </c>
      <c r="E203" t="s">
        <v>70</v>
      </c>
      <c r="F203" t="s">
        <v>75</v>
      </c>
      <c r="G203">
        <v>3</v>
      </c>
      <c r="H203" t="s">
        <v>72</v>
      </c>
      <c r="I203">
        <v>1</v>
      </c>
      <c r="J203" t="s">
        <v>88</v>
      </c>
      <c r="K203">
        <v>1</v>
      </c>
    </row>
    <row r="204" spans="1:12" x14ac:dyDescent="0.35">
      <c r="A204" s="4">
        <v>45820</v>
      </c>
      <c r="B204" t="s">
        <v>69</v>
      </c>
      <c r="C204">
        <v>63</v>
      </c>
      <c r="D204" t="s">
        <v>36</v>
      </c>
      <c r="E204" t="s">
        <v>70</v>
      </c>
      <c r="F204" t="s">
        <v>77</v>
      </c>
      <c r="G204">
        <v>3</v>
      </c>
      <c r="H204" t="s">
        <v>72</v>
      </c>
      <c r="J204" t="s">
        <v>88</v>
      </c>
      <c r="K204">
        <v>1</v>
      </c>
    </row>
    <row r="205" spans="1:12" x14ac:dyDescent="0.35">
      <c r="A205" s="4">
        <v>45820</v>
      </c>
      <c r="B205" t="s">
        <v>69</v>
      </c>
      <c r="C205">
        <v>63</v>
      </c>
      <c r="D205" t="s">
        <v>36</v>
      </c>
      <c r="E205" t="s">
        <v>70</v>
      </c>
      <c r="F205" t="s">
        <v>71</v>
      </c>
      <c r="G205">
        <v>2.7</v>
      </c>
      <c r="H205" t="s">
        <v>72</v>
      </c>
      <c r="J205" t="s">
        <v>88</v>
      </c>
      <c r="K205">
        <v>1</v>
      </c>
    </row>
    <row r="206" spans="1:12" x14ac:dyDescent="0.35">
      <c r="A206" s="4">
        <v>45820</v>
      </c>
      <c r="B206" t="s">
        <v>69</v>
      </c>
      <c r="C206">
        <v>63</v>
      </c>
      <c r="D206" t="s">
        <v>36</v>
      </c>
      <c r="E206" t="s">
        <v>70</v>
      </c>
      <c r="F206" t="s">
        <v>71</v>
      </c>
      <c r="G206">
        <f>5.1+1.4</f>
        <v>6.5</v>
      </c>
      <c r="H206" t="s">
        <v>72</v>
      </c>
      <c r="J206" t="s">
        <v>88</v>
      </c>
      <c r="K206">
        <v>2</v>
      </c>
    </row>
    <row r="207" spans="1:12" x14ac:dyDescent="0.35">
      <c r="A207" s="4">
        <v>45820</v>
      </c>
      <c r="B207" t="s">
        <v>69</v>
      </c>
      <c r="C207">
        <v>63</v>
      </c>
      <c r="D207" t="s">
        <v>36</v>
      </c>
      <c r="E207" t="s">
        <v>70</v>
      </c>
      <c r="F207" t="s">
        <v>75</v>
      </c>
      <c r="G207">
        <v>2.8</v>
      </c>
      <c r="H207" t="s">
        <v>72</v>
      </c>
      <c r="J207" t="s">
        <v>88</v>
      </c>
      <c r="K207">
        <v>1</v>
      </c>
    </row>
    <row r="208" spans="1:12" x14ac:dyDescent="0.35">
      <c r="A208" s="4">
        <v>45820</v>
      </c>
      <c r="B208" t="s">
        <v>69</v>
      </c>
      <c r="C208">
        <v>63</v>
      </c>
      <c r="D208" t="s">
        <v>36</v>
      </c>
      <c r="E208" t="s">
        <v>70</v>
      </c>
      <c r="F208" t="s">
        <v>71</v>
      </c>
      <c r="G208">
        <f>1.7+4.6</f>
        <v>6.3</v>
      </c>
      <c r="H208" t="s">
        <v>72</v>
      </c>
      <c r="J208" t="s">
        <v>88</v>
      </c>
      <c r="K208">
        <v>2</v>
      </c>
    </row>
    <row r="209" spans="1:11" x14ac:dyDescent="0.35">
      <c r="A209" s="4">
        <v>45820</v>
      </c>
      <c r="B209" t="s">
        <v>69</v>
      </c>
      <c r="C209">
        <v>63</v>
      </c>
      <c r="D209" t="s">
        <v>36</v>
      </c>
      <c r="E209" t="s">
        <v>70</v>
      </c>
      <c r="F209" t="s">
        <v>75</v>
      </c>
      <c r="G209">
        <v>2.9</v>
      </c>
      <c r="H209" t="s">
        <v>72</v>
      </c>
      <c r="I209">
        <v>1</v>
      </c>
      <c r="J209" t="s">
        <v>88</v>
      </c>
      <c r="K209">
        <v>1</v>
      </c>
    </row>
    <row r="210" spans="1:11" x14ac:dyDescent="0.35">
      <c r="A210" s="4">
        <v>45820</v>
      </c>
      <c r="B210" t="s">
        <v>69</v>
      </c>
      <c r="C210">
        <v>63</v>
      </c>
      <c r="D210" t="s">
        <v>36</v>
      </c>
      <c r="E210" t="s">
        <v>70</v>
      </c>
      <c r="F210" t="s">
        <v>75</v>
      </c>
      <c r="G210">
        <v>4.4000000000000004</v>
      </c>
      <c r="H210" t="s">
        <v>72</v>
      </c>
      <c r="I210">
        <v>2</v>
      </c>
      <c r="J210" t="s">
        <v>88</v>
      </c>
      <c r="K210">
        <v>1</v>
      </c>
    </row>
    <row r="211" spans="1:11" x14ac:dyDescent="0.35">
      <c r="A211" s="4">
        <v>45820</v>
      </c>
      <c r="B211" t="s">
        <v>69</v>
      </c>
      <c r="C211">
        <v>63</v>
      </c>
      <c r="D211" t="s">
        <v>36</v>
      </c>
      <c r="E211" t="s">
        <v>70</v>
      </c>
      <c r="F211" t="s">
        <v>75</v>
      </c>
      <c r="G211">
        <v>5.6</v>
      </c>
      <c r="H211" t="s">
        <v>72</v>
      </c>
      <c r="I211">
        <v>1</v>
      </c>
      <c r="J211" t="s">
        <v>88</v>
      </c>
      <c r="K211">
        <v>1</v>
      </c>
    </row>
    <row r="212" spans="1:11" x14ac:dyDescent="0.35">
      <c r="A212" s="4">
        <v>45820</v>
      </c>
      <c r="B212" t="s">
        <v>69</v>
      </c>
      <c r="C212">
        <v>63</v>
      </c>
      <c r="D212" t="s">
        <v>36</v>
      </c>
      <c r="E212" t="s">
        <v>70</v>
      </c>
      <c r="F212" t="s">
        <v>75</v>
      </c>
      <c r="G212">
        <v>5.0999999999999996</v>
      </c>
      <c r="H212" t="s">
        <v>72</v>
      </c>
      <c r="I212">
        <v>1</v>
      </c>
      <c r="J212" t="s">
        <v>88</v>
      </c>
      <c r="K212">
        <v>1</v>
      </c>
    </row>
    <row r="213" spans="1:11" x14ac:dyDescent="0.35">
      <c r="A213" s="4">
        <v>45820</v>
      </c>
      <c r="B213" t="s">
        <v>69</v>
      </c>
      <c r="C213">
        <v>63</v>
      </c>
      <c r="D213" t="s">
        <v>36</v>
      </c>
      <c r="E213" t="s">
        <v>70</v>
      </c>
      <c r="F213" t="s">
        <v>75</v>
      </c>
      <c r="G213">
        <v>5.7</v>
      </c>
      <c r="H213" t="s">
        <v>72</v>
      </c>
      <c r="I213">
        <v>1</v>
      </c>
      <c r="J213" t="s">
        <v>88</v>
      </c>
      <c r="K213">
        <v>1</v>
      </c>
    </row>
    <row r="214" spans="1:11" x14ac:dyDescent="0.35">
      <c r="A214" s="4">
        <v>45820</v>
      </c>
      <c r="B214" t="s">
        <v>69</v>
      </c>
      <c r="C214">
        <v>63</v>
      </c>
      <c r="D214" t="s">
        <v>36</v>
      </c>
      <c r="E214" t="s">
        <v>70</v>
      </c>
      <c r="F214" t="s">
        <v>87</v>
      </c>
      <c r="G214">
        <v>20.3</v>
      </c>
      <c r="H214" t="s">
        <v>74</v>
      </c>
      <c r="J214" t="s">
        <v>88</v>
      </c>
      <c r="K214">
        <v>1</v>
      </c>
    </row>
    <row r="215" spans="1:11" x14ac:dyDescent="0.35">
      <c r="A215" s="4">
        <v>45820</v>
      </c>
      <c r="B215" t="s">
        <v>69</v>
      </c>
      <c r="C215">
        <v>63</v>
      </c>
      <c r="D215" t="s">
        <v>36</v>
      </c>
      <c r="E215" t="s">
        <v>70</v>
      </c>
      <c r="F215" t="s">
        <v>75</v>
      </c>
      <c r="G215">
        <v>3.5</v>
      </c>
      <c r="H215" t="s">
        <v>72</v>
      </c>
      <c r="I215">
        <v>1</v>
      </c>
      <c r="J215" t="s">
        <v>88</v>
      </c>
      <c r="K215">
        <v>1</v>
      </c>
    </row>
    <row r="216" spans="1:11" x14ac:dyDescent="0.35">
      <c r="A216" s="4">
        <v>45820</v>
      </c>
      <c r="B216" t="s">
        <v>69</v>
      </c>
      <c r="C216">
        <v>63</v>
      </c>
      <c r="D216" t="s">
        <v>36</v>
      </c>
      <c r="E216" t="s">
        <v>70</v>
      </c>
      <c r="F216" t="s">
        <v>87</v>
      </c>
      <c r="G216">
        <v>35.4</v>
      </c>
      <c r="H216" t="s">
        <v>74</v>
      </c>
      <c r="J216" t="s">
        <v>88</v>
      </c>
      <c r="K216">
        <v>1</v>
      </c>
    </row>
    <row r="217" spans="1:11" x14ac:dyDescent="0.35">
      <c r="A217" s="4">
        <v>45820</v>
      </c>
      <c r="B217" t="s">
        <v>69</v>
      </c>
      <c r="C217">
        <v>63</v>
      </c>
      <c r="D217" t="s">
        <v>36</v>
      </c>
      <c r="E217" t="s">
        <v>70</v>
      </c>
      <c r="F217" t="s">
        <v>77</v>
      </c>
      <c r="G217">
        <v>7</v>
      </c>
      <c r="H217" t="s">
        <v>72</v>
      </c>
      <c r="J217" t="s">
        <v>88</v>
      </c>
      <c r="K217">
        <v>1</v>
      </c>
    </row>
    <row r="218" spans="1:11" x14ac:dyDescent="0.35">
      <c r="A218" s="4">
        <v>45820</v>
      </c>
      <c r="B218" t="s">
        <v>69</v>
      </c>
      <c r="C218">
        <v>63</v>
      </c>
      <c r="D218" t="s">
        <v>36</v>
      </c>
      <c r="E218" t="s">
        <v>70</v>
      </c>
      <c r="F218" t="s">
        <v>75</v>
      </c>
      <c r="G218">
        <v>2.9</v>
      </c>
      <c r="H218" t="s">
        <v>72</v>
      </c>
      <c r="I218">
        <v>1</v>
      </c>
      <c r="J218" t="s">
        <v>88</v>
      </c>
      <c r="K218">
        <v>1</v>
      </c>
    </row>
    <row r="219" spans="1:11" x14ac:dyDescent="0.35">
      <c r="A219" s="4">
        <v>45820</v>
      </c>
      <c r="B219" t="s">
        <v>69</v>
      </c>
      <c r="C219">
        <v>63</v>
      </c>
      <c r="D219" t="s">
        <v>36</v>
      </c>
      <c r="E219" t="s">
        <v>70</v>
      </c>
      <c r="F219" t="s">
        <v>75</v>
      </c>
      <c r="G219">
        <v>7.5</v>
      </c>
      <c r="H219" t="s">
        <v>72</v>
      </c>
      <c r="I219">
        <v>1</v>
      </c>
      <c r="J219" t="s">
        <v>88</v>
      </c>
      <c r="K219">
        <v>1</v>
      </c>
    </row>
    <row r="220" spans="1:11" x14ac:dyDescent="0.35">
      <c r="A220" s="4">
        <v>45820</v>
      </c>
      <c r="B220" t="s">
        <v>69</v>
      </c>
      <c r="C220">
        <v>63</v>
      </c>
      <c r="D220" t="s">
        <v>36</v>
      </c>
      <c r="E220" t="s">
        <v>70</v>
      </c>
      <c r="F220" t="s">
        <v>75</v>
      </c>
      <c r="G220">
        <v>7.1</v>
      </c>
      <c r="H220" t="s">
        <v>72</v>
      </c>
      <c r="I220">
        <v>2</v>
      </c>
      <c r="J220" t="s">
        <v>88</v>
      </c>
      <c r="K220">
        <v>1</v>
      </c>
    </row>
    <row r="221" spans="1:11" x14ac:dyDescent="0.35">
      <c r="A221" s="4">
        <v>45820</v>
      </c>
      <c r="B221" t="s">
        <v>69</v>
      </c>
      <c r="C221">
        <v>63</v>
      </c>
      <c r="D221" t="s">
        <v>36</v>
      </c>
      <c r="E221" t="s">
        <v>70</v>
      </c>
      <c r="F221" t="s">
        <v>75</v>
      </c>
      <c r="G221">
        <v>2.5</v>
      </c>
      <c r="H221" t="s">
        <v>72</v>
      </c>
      <c r="I221">
        <v>1</v>
      </c>
      <c r="J221" t="s">
        <v>88</v>
      </c>
      <c r="K221">
        <v>1</v>
      </c>
    </row>
    <row r="222" spans="1:11" x14ac:dyDescent="0.35">
      <c r="A222" s="4">
        <v>45820</v>
      </c>
      <c r="B222" t="s">
        <v>69</v>
      </c>
      <c r="C222">
        <v>63</v>
      </c>
      <c r="D222" t="s">
        <v>36</v>
      </c>
      <c r="E222" t="s">
        <v>70</v>
      </c>
      <c r="F222" t="s">
        <v>75</v>
      </c>
      <c r="G222">
        <v>6.8</v>
      </c>
      <c r="H222" t="s">
        <v>72</v>
      </c>
      <c r="I222">
        <v>2</v>
      </c>
      <c r="J222" t="s">
        <v>88</v>
      </c>
      <c r="K222">
        <v>1</v>
      </c>
    </row>
    <row r="223" spans="1:11" x14ac:dyDescent="0.35">
      <c r="A223" s="4">
        <v>45820</v>
      </c>
      <c r="B223" t="s">
        <v>69</v>
      </c>
      <c r="C223">
        <v>63</v>
      </c>
      <c r="D223" t="s">
        <v>36</v>
      </c>
      <c r="E223" t="s">
        <v>70</v>
      </c>
      <c r="F223" t="s">
        <v>75</v>
      </c>
      <c r="G223">
        <v>4.9000000000000004</v>
      </c>
      <c r="H223" t="s">
        <v>72</v>
      </c>
      <c r="I223">
        <v>1</v>
      </c>
      <c r="J223" t="s">
        <v>88</v>
      </c>
      <c r="K223">
        <v>1</v>
      </c>
    </row>
    <row r="224" spans="1:11" x14ac:dyDescent="0.35">
      <c r="A224" s="4">
        <v>45820</v>
      </c>
      <c r="B224" t="s">
        <v>69</v>
      </c>
      <c r="C224">
        <v>63</v>
      </c>
      <c r="D224" t="s">
        <v>80</v>
      </c>
      <c r="E224" t="s">
        <v>70</v>
      </c>
      <c r="F224" t="s">
        <v>73</v>
      </c>
      <c r="G224">
        <v>29.9</v>
      </c>
      <c r="H224" t="s">
        <v>72</v>
      </c>
      <c r="J224" t="s">
        <v>88</v>
      </c>
      <c r="K224">
        <v>1</v>
      </c>
    </row>
    <row r="225" spans="1:12" x14ac:dyDescent="0.35">
      <c r="A225" s="4">
        <v>45820</v>
      </c>
      <c r="B225" t="s">
        <v>69</v>
      </c>
      <c r="C225">
        <v>63</v>
      </c>
      <c r="D225" t="s">
        <v>36</v>
      </c>
      <c r="E225" t="s">
        <v>70</v>
      </c>
      <c r="F225" t="s">
        <v>75</v>
      </c>
      <c r="G225">
        <v>5.5</v>
      </c>
      <c r="H225" t="s">
        <v>72</v>
      </c>
      <c r="I225">
        <v>1</v>
      </c>
      <c r="J225" t="s">
        <v>88</v>
      </c>
      <c r="K225">
        <v>1</v>
      </c>
    </row>
    <row r="226" spans="1:12" x14ac:dyDescent="0.35">
      <c r="A226" s="4">
        <v>45820</v>
      </c>
      <c r="B226" t="s">
        <v>69</v>
      </c>
      <c r="C226">
        <v>63</v>
      </c>
      <c r="D226" t="s">
        <v>36</v>
      </c>
      <c r="E226" t="s">
        <v>70</v>
      </c>
      <c r="F226" t="s">
        <v>75</v>
      </c>
      <c r="G226">
        <v>7.1</v>
      </c>
      <c r="H226" t="s">
        <v>72</v>
      </c>
      <c r="I226">
        <v>5</v>
      </c>
      <c r="J226" t="s">
        <v>88</v>
      </c>
      <c r="K226">
        <v>1</v>
      </c>
    </row>
    <row r="227" spans="1:12" x14ac:dyDescent="0.35">
      <c r="A227" s="4">
        <v>45820</v>
      </c>
      <c r="B227" t="s">
        <v>69</v>
      </c>
      <c r="C227">
        <v>63</v>
      </c>
      <c r="D227" t="s">
        <v>36</v>
      </c>
      <c r="E227" t="s">
        <v>70</v>
      </c>
      <c r="F227" t="s">
        <v>75</v>
      </c>
      <c r="G227">
        <f>8.5+3.2</f>
        <v>11.7</v>
      </c>
      <c r="H227" t="s">
        <v>72</v>
      </c>
      <c r="I227">
        <v>4</v>
      </c>
      <c r="J227" t="s">
        <v>88</v>
      </c>
      <c r="K227">
        <v>2</v>
      </c>
      <c r="L227" t="s">
        <v>81</v>
      </c>
    </row>
    <row r="228" spans="1:12" x14ac:dyDescent="0.35">
      <c r="A228" s="4">
        <v>45820</v>
      </c>
      <c r="B228" t="s">
        <v>69</v>
      </c>
      <c r="C228">
        <v>63</v>
      </c>
      <c r="D228" t="s">
        <v>37</v>
      </c>
      <c r="E228" t="s">
        <v>70</v>
      </c>
      <c r="F228" t="s">
        <v>75</v>
      </c>
      <c r="G228">
        <v>7</v>
      </c>
      <c r="H228" t="s">
        <v>72</v>
      </c>
      <c r="I228">
        <v>2</v>
      </c>
      <c r="J228" t="s">
        <v>88</v>
      </c>
      <c r="K228">
        <v>1</v>
      </c>
    </row>
    <row r="229" spans="1:12" x14ac:dyDescent="0.35">
      <c r="A229" s="4">
        <v>45820</v>
      </c>
      <c r="B229" t="s">
        <v>69</v>
      </c>
      <c r="C229">
        <v>63</v>
      </c>
      <c r="D229" t="s">
        <v>37</v>
      </c>
      <c r="E229" t="s">
        <v>70</v>
      </c>
      <c r="F229" t="s">
        <v>75</v>
      </c>
      <c r="G229">
        <v>2.6</v>
      </c>
      <c r="H229" t="s">
        <v>72</v>
      </c>
      <c r="I229">
        <v>1</v>
      </c>
      <c r="J229" t="s">
        <v>88</v>
      </c>
      <c r="K229">
        <v>1</v>
      </c>
    </row>
    <row r="230" spans="1:12" x14ac:dyDescent="0.35">
      <c r="A230" s="4">
        <v>45820</v>
      </c>
      <c r="B230" t="s">
        <v>69</v>
      </c>
      <c r="C230">
        <v>63</v>
      </c>
      <c r="D230" t="s">
        <v>37</v>
      </c>
      <c r="E230" t="s">
        <v>70</v>
      </c>
      <c r="F230" t="s">
        <v>75</v>
      </c>
      <c r="G230">
        <v>4.4000000000000004</v>
      </c>
      <c r="H230" t="s">
        <v>72</v>
      </c>
      <c r="I230">
        <v>1</v>
      </c>
      <c r="J230" t="s">
        <v>88</v>
      </c>
      <c r="K230">
        <v>1</v>
      </c>
    </row>
    <row r="231" spans="1:12" x14ac:dyDescent="0.35">
      <c r="A231" s="4">
        <v>45820</v>
      </c>
      <c r="B231" t="s">
        <v>69</v>
      </c>
      <c r="C231">
        <v>63</v>
      </c>
      <c r="D231" t="s">
        <v>37</v>
      </c>
      <c r="E231" t="s">
        <v>70</v>
      </c>
      <c r="F231" t="s">
        <v>75</v>
      </c>
      <c r="G231">
        <v>2.8</v>
      </c>
      <c r="H231" t="s">
        <v>72</v>
      </c>
      <c r="I231">
        <v>1</v>
      </c>
      <c r="J231" t="s">
        <v>88</v>
      </c>
      <c r="K231">
        <v>1</v>
      </c>
    </row>
    <row r="232" spans="1:12" x14ac:dyDescent="0.35">
      <c r="A232" s="4">
        <v>45820</v>
      </c>
      <c r="B232" t="s">
        <v>69</v>
      </c>
      <c r="C232">
        <v>63</v>
      </c>
      <c r="D232" t="s">
        <v>37</v>
      </c>
      <c r="E232" t="s">
        <v>70</v>
      </c>
      <c r="F232" t="s">
        <v>75</v>
      </c>
      <c r="G232">
        <v>4.9000000000000004</v>
      </c>
      <c r="H232" t="s">
        <v>72</v>
      </c>
      <c r="I232">
        <v>2</v>
      </c>
      <c r="J232" t="s">
        <v>88</v>
      </c>
      <c r="K232">
        <v>1</v>
      </c>
    </row>
    <row r="233" spans="1:12" x14ac:dyDescent="0.35">
      <c r="A233" s="4">
        <v>45820</v>
      </c>
      <c r="B233" t="s">
        <v>69</v>
      </c>
      <c r="C233">
        <v>63</v>
      </c>
      <c r="D233" t="s">
        <v>37</v>
      </c>
      <c r="E233" t="s">
        <v>70</v>
      </c>
      <c r="F233" t="s">
        <v>75</v>
      </c>
      <c r="G233">
        <v>5.3</v>
      </c>
      <c r="H233" t="s">
        <v>72</v>
      </c>
      <c r="I233">
        <v>1</v>
      </c>
      <c r="J233" t="s">
        <v>88</v>
      </c>
      <c r="K233">
        <v>1</v>
      </c>
    </row>
    <row r="234" spans="1:12" x14ac:dyDescent="0.35">
      <c r="A234" s="4">
        <v>45820</v>
      </c>
      <c r="B234" t="s">
        <v>69</v>
      </c>
      <c r="C234">
        <v>63</v>
      </c>
      <c r="D234" t="s">
        <v>37</v>
      </c>
      <c r="E234" t="s">
        <v>70</v>
      </c>
      <c r="F234" t="s">
        <v>75</v>
      </c>
      <c r="G234">
        <v>6.6</v>
      </c>
      <c r="H234" t="s">
        <v>72</v>
      </c>
      <c r="I234">
        <v>1</v>
      </c>
      <c r="J234" t="s">
        <v>88</v>
      </c>
      <c r="K234">
        <v>1</v>
      </c>
    </row>
    <row r="235" spans="1:12" x14ac:dyDescent="0.35">
      <c r="A235" s="4">
        <v>45820</v>
      </c>
      <c r="B235" t="s">
        <v>69</v>
      </c>
      <c r="C235">
        <v>63</v>
      </c>
      <c r="D235" t="s">
        <v>37</v>
      </c>
      <c r="E235" t="s">
        <v>70</v>
      </c>
      <c r="F235" t="s">
        <v>75</v>
      </c>
      <c r="G235">
        <v>2.9</v>
      </c>
      <c r="H235" t="s">
        <v>72</v>
      </c>
      <c r="I235">
        <v>1</v>
      </c>
      <c r="J235" t="s">
        <v>88</v>
      </c>
      <c r="K235">
        <v>1</v>
      </c>
    </row>
    <row r="236" spans="1:12" x14ac:dyDescent="0.35">
      <c r="A236" s="4">
        <v>45820</v>
      </c>
      <c r="B236" t="s">
        <v>69</v>
      </c>
      <c r="C236">
        <v>63</v>
      </c>
      <c r="D236" t="s">
        <v>37</v>
      </c>
      <c r="E236" t="s">
        <v>70</v>
      </c>
      <c r="F236" t="s">
        <v>75</v>
      </c>
      <c r="G236">
        <v>5.4</v>
      </c>
      <c r="H236" t="s">
        <v>72</v>
      </c>
      <c r="I236">
        <v>1</v>
      </c>
      <c r="J236" t="s">
        <v>88</v>
      </c>
      <c r="K236">
        <v>1</v>
      </c>
    </row>
    <row r="237" spans="1:12" x14ac:dyDescent="0.35">
      <c r="A237" s="4">
        <v>45820</v>
      </c>
      <c r="B237" t="s">
        <v>69</v>
      </c>
      <c r="C237">
        <v>63</v>
      </c>
      <c r="D237" t="s">
        <v>37</v>
      </c>
      <c r="E237" t="s">
        <v>70</v>
      </c>
      <c r="F237" t="s">
        <v>75</v>
      </c>
      <c r="G237">
        <v>5.4</v>
      </c>
      <c r="H237" t="s">
        <v>72</v>
      </c>
      <c r="I237">
        <v>2</v>
      </c>
      <c r="J237" t="s">
        <v>88</v>
      </c>
      <c r="K237">
        <v>1</v>
      </c>
    </row>
    <row r="238" spans="1:12" x14ac:dyDescent="0.35">
      <c r="A238" s="4">
        <v>45820</v>
      </c>
      <c r="B238" t="s">
        <v>69</v>
      </c>
      <c r="C238">
        <v>63</v>
      </c>
      <c r="D238" t="s">
        <v>37</v>
      </c>
      <c r="E238" t="s">
        <v>70</v>
      </c>
      <c r="F238" t="s">
        <v>75</v>
      </c>
      <c r="G238">
        <v>4.7</v>
      </c>
      <c r="H238" t="s">
        <v>72</v>
      </c>
      <c r="I238">
        <v>2</v>
      </c>
      <c r="J238" t="s">
        <v>88</v>
      </c>
      <c r="K238">
        <v>1</v>
      </c>
    </row>
    <row r="239" spans="1:12" x14ac:dyDescent="0.35">
      <c r="A239" s="4">
        <v>45820</v>
      </c>
      <c r="B239" t="s">
        <v>69</v>
      </c>
      <c r="C239">
        <v>63</v>
      </c>
      <c r="D239" t="s">
        <v>37</v>
      </c>
      <c r="E239" t="s">
        <v>70</v>
      </c>
      <c r="F239" t="s">
        <v>75</v>
      </c>
      <c r="G239">
        <v>8.3000000000000007</v>
      </c>
      <c r="H239" t="s">
        <v>74</v>
      </c>
      <c r="I239">
        <v>5</v>
      </c>
      <c r="J239" t="s">
        <v>88</v>
      </c>
      <c r="K239">
        <v>1</v>
      </c>
    </row>
    <row r="240" spans="1:12" x14ac:dyDescent="0.35">
      <c r="A240" s="4">
        <v>45820</v>
      </c>
      <c r="B240" t="s">
        <v>69</v>
      </c>
      <c r="C240">
        <v>63</v>
      </c>
      <c r="D240" t="s">
        <v>37</v>
      </c>
      <c r="E240" t="s">
        <v>70</v>
      </c>
      <c r="F240" t="s">
        <v>75</v>
      </c>
      <c r="G240">
        <v>8.4</v>
      </c>
      <c r="H240" t="s">
        <v>72</v>
      </c>
      <c r="I240">
        <v>1</v>
      </c>
      <c r="J240" t="s">
        <v>88</v>
      </c>
      <c r="K240">
        <v>1</v>
      </c>
    </row>
    <row r="241" spans="1:12" x14ac:dyDescent="0.35">
      <c r="A241" s="4">
        <v>45820</v>
      </c>
      <c r="B241" t="s">
        <v>69</v>
      </c>
      <c r="C241">
        <v>63</v>
      </c>
      <c r="D241" t="s">
        <v>37</v>
      </c>
      <c r="E241" t="s">
        <v>70</v>
      </c>
      <c r="F241" t="s">
        <v>75</v>
      </c>
      <c r="G241">
        <v>7.5</v>
      </c>
      <c r="H241" t="s">
        <v>72</v>
      </c>
      <c r="I241">
        <v>4</v>
      </c>
      <c r="J241" t="s">
        <v>88</v>
      </c>
      <c r="K241">
        <v>1</v>
      </c>
    </row>
    <row r="242" spans="1:12" x14ac:dyDescent="0.35">
      <c r="A242" s="4">
        <v>45820</v>
      </c>
      <c r="B242" t="s">
        <v>69</v>
      </c>
      <c r="C242">
        <v>63</v>
      </c>
      <c r="D242" t="s">
        <v>37</v>
      </c>
      <c r="E242" t="s">
        <v>70</v>
      </c>
      <c r="F242" t="s">
        <v>75</v>
      </c>
      <c r="G242">
        <v>4.5999999999999996</v>
      </c>
      <c r="H242" t="s">
        <v>72</v>
      </c>
      <c r="I242">
        <v>1</v>
      </c>
      <c r="J242" t="s">
        <v>88</v>
      </c>
      <c r="K242">
        <v>1</v>
      </c>
    </row>
    <row r="243" spans="1:12" x14ac:dyDescent="0.35">
      <c r="A243" s="4">
        <v>45820</v>
      </c>
      <c r="B243" t="s">
        <v>69</v>
      </c>
      <c r="C243">
        <v>63</v>
      </c>
      <c r="D243" t="s">
        <v>37</v>
      </c>
      <c r="E243" t="s">
        <v>70</v>
      </c>
      <c r="F243" t="s">
        <v>96</v>
      </c>
      <c r="G243">
        <v>9.1</v>
      </c>
      <c r="H243" t="s">
        <v>74</v>
      </c>
      <c r="I243">
        <v>5</v>
      </c>
      <c r="J243" t="s">
        <v>88</v>
      </c>
      <c r="K243">
        <v>1</v>
      </c>
      <c r="L243" t="s">
        <v>97</v>
      </c>
    </row>
    <row r="244" spans="1:12" x14ac:dyDescent="0.35">
      <c r="A244" s="4">
        <v>45820</v>
      </c>
      <c r="B244" t="s">
        <v>69</v>
      </c>
      <c r="C244">
        <v>63</v>
      </c>
      <c r="D244" t="s">
        <v>37</v>
      </c>
      <c r="E244" t="s">
        <v>70</v>
      </c>
      <c r="F244" t="s">
        <v>75</v>
      </c>
      <c r="G244">
        <v>8.3000000000000007</v>
      </c>
      <c r="H244" t="s">
        <v>72</v>
      </c>
      <c r="I244">
        <v>3</v>
      </c>
      <c r="J244" t="s">
        <v>88</v>
      </c>
      <c r="K244">
        <v>1</v>
      </c>
    </row>
    <row r="245" spans="1:12" x14ac:dyDescent="0.35">
      <c r="A245" s="4">
        <v>45820</v>
      </c>
      <c r="B245" t="s">
        <v>69</v>
      </c>
      <c r="C245">
        <v>63</v>
      </c>
      <c r="D245" t="s">
        <v>37</v>
      </c>
      <c r="E245" t="s">
        <v>70</v>
      </c>
      <c r="F245" t="s">
        <v>75</v>
      </c>
      <c r="G245">
        <v>2.5</v>
      </c>
      <c r="H245" t="s">
        <v>72</v>
      </c>
      <c r="I245">
        <v>2</v>
      </c>
      <c r="J245" t="s">
        <v>88</v>
      </c>
      <c r="K245">
        <v>1</v>
      </c>
    </row>
    <row r="246" spans="1:12" x14ac:dyDescent="0.35">
      <c r="A246" s="4">
        <v>45820</v>
      </c>
      <c r="B246" t="s">
        <v>69</v>
      </c>
      <c r="C246">
        <v>63</v>
      </c>
      <c r="D246" t="s">
        <v>37</v>
      </c>
      <c r="E246" t="s">
        <v>70</v>
      </c>
      <c r="F246" t="s">
        <v>75</v>
      </c>
      <c r="G246">
        <v>7</v>
      </c>
      <c r="H246" t="s">
        <v>72</v>
      </c>
      <c r="I246">
        <v>2</v>
      </c>
      <c r="J246" t="s">
        <v>88</v>
      </c>
      <c r="K246">
        <v>1</v>
      </c>
    </row>
    <row r="247" spans="1:12" x14ac:dyDescent="0.35">
      <c r="A247" s="4">
        <v>45820</v>
      </c>
      <c r="B247" t="s">
        <v>69</v>
      </c>
      <c r="C247">
        <v>63</v>
      </c>
      <c r="D247" t="s">
        <v>37</v>
      </c>
      <c r="E247" t="s">
        <v>70</v>
      </c>
      <c r="F247" t="s">
        <v>75</v>
      </c>
      <c r="G247">
        <v>3.8</v>
      </c>
      <c r="H247" t="s">
        <v>72</v>
      </c>
      <c r="I247">
        <v>2</v>
      </c>
      <c r="J247" t="s">
        <v>88</v>
      </c>
      <c r="K247">
        <v>1</v>
      </c>
      <c r="L247" t="s">
        <v>98</v>
      </c>
    </row>
    <row r="248" spans="1:12" x14ac:dyDescent="0.35">
      <c r="A248" s="4">
        <v>45820</v>
      </c>
      <c r="B248" t="s">
        <v>69</v>
      </c>
      <c r="C248">
        <v>63</v>
      </c>
      <c r="D248" t="s">
        <v>37</v>
      </c>
      <c r="E248" t="s">
        <v>70</v>
      </c>
      <c r="F248" t="s">
        <v>75</v>
      </c>
      <c r="G248">
        <v>8.5</v>
      </c>
      <c r="H248" t="s">
        <v>74</v>
      </c>
      <c r="I248">
        <v>5</v>
      </c>
      <c r="J248" t="s">
        <v>88</v>
      </c>
      <c r="K248">
        <v>1</v>
      </c>
    </row>
    <row r="249" spans="1:12" x14ac:dyDescent="0.35">
      <c r="A249" s="4">
        <v>45820</v>
      </c>
      <c r="B249" t="s">
        <v>69</v>
      </c>
      <c r="C249">
        <v>63</v>
      </c>
      <c r="D249" t="s">
        <v>37</v>
      </c>
      <c r="E249" t="s">
        <v>70</v>
      </c>
      <c r="F249" t="s">
        <v>75</v>
      </c>
      <c r="G249">
        <v>3.7</v>
      </c>
      <c r="H249" t="s">
        <v>72</v>
      </c>
      <c r="I249">
        <v>1</v>
      </c>
      <c r="J249" t="s">
        <v>88</v>
      </c>
      <c r="K249">
        <v>1</v>
      </c>
    </row>
    <row r="250" spans="1:12" x14ac:dyDescent="0.35">
      <c r="A250" s="4">
        <v>45820</v>
      </c>
      <c r="B250" t="s">
        <v>69</v>
      </c>
      <c r="C250">
        <v>63</v>
      </c>
      <c r="D250" t="s">
        <v>37</v>
      </c>
      <c r="E250" t="s">
        <v>70</v>
      </c>
      <c r="F250" t="s">
        <v>77</v>
      </c>
      <c r="G250">
        <v>3.9</v>
      </c>
      <c r="H250" t="s">
        <v>72</v>
      </c>
      <c r="J250" t="s">
        <v>88</v>
      </c>
      <c r="K250">
        <v>1</v>
      </c>
    </row>
    <row r="251" spans="1:12" x14ac:dyDescent="0.35">
      <c r="A251" s="4">
        <v>45820</v>
      </c>
      <c r="B251" t="s">
        <v>69</v>
      </c>
      <c r="C251">
        <v>63</v>
      </c>
      <c r="D251" t="s">
        <v>37</v>
      </c>
      <c r="E251" t="s">
        <v>70</v>
      </c>
      <c r="F251" t="s">
        <v>71</v>
      </c>
      <c r="G251">
        <v>2.7</v>
      </c>
      <c r="H251" t="s">
        <v>72</v>
      </c>
      <c r="J251" t="s">
        <v>88</v>
      </c>
      <c r="K251">
        <v>1</v>
      </c>
    </row>
    <row r="252" spans="1:12" x14ac:dyDescent="0.35">
      <c r="A252" s="4">
        <v>45820</v>
      </c>
      <c r="B252" t="s">
        <v>69</v>
      </c>
      <c r="C252">
        <v>63</v>
      </c>
      <c r="D252" t="s">
        <v>32</v>
      </c>
      <c r="E252" t="s">
        <v>88</v>
      </c>
      <c r="F252" t="s">
        <v>73</v>
      </c>
      <c r="G252">
        <f>35.9+34.7</f>
        <v>70.599999999999994</v>
      </c>
      <c r="H252" t="s">
        <v>72</v>
      </c>
      <c r="J252" t="s">
        <v>88</v>
      </c>
      <c r="K252">
        <v>2</v>
      </c>
    </row>
    <row r="253" spans="1:12" x14ac:dyDescent="0.35">
      <c r="A253" s="4">
        <v>45820</v>
      </c>
      <c r="B253" t="s">
        <v>69</v>
      </c>
      <c r="C253">
        <v>63</v>
      </c>
      <c r="D253" t="s">
        <v>32</v>
      </c>
      <c r="E253" t="s">
        <v>88</v>
      </c>
      <c r="F253" t="s">
        <v>77</v>
      </c>
      <c r="G253">
        <v>15.2</v>
      </c>
      <c r="H253" t="s">
        <v>74</v>
      </c>
      <c r="J253" t="s">
        <v>88</v>
      </c>
      <c r="K253">
        <v>1</v>
      </c>
    </row>
    <row r="254" spans="1:12" x14ac:dyDescent="0.35">
      <c r="A254" s="4">
        <v>45820</v>
      </c>
      <c r="B254" t="s">
        <v>69</v>
      </c>
      <c r="C254">
        <v>63</v>
      </c>
      <c r="D254" t="s">
        <v>32</v>
      </c>
      <c r="E254" t="s">
        <v>88</v>
      </c>
      <c r="F254" t="s">
        <v>73</v>
      </c>
      <c r="G254">
        <v>14</v>
      </c>
      <c r="H254" t="s">
        <v>72</v>
      </c>
      <c r="J254" t="s">
        <v>88</v>
      </c>
      <c r="K254">
        <v>1</v>
      </c>
    </row>
    <row r="255" spans="1:12" x14ac:dyDescent="0.35">
      <c r="A255" s="4">
        <v>45820</v>
      </c>
      <c r="B255" t="s">
        <v>69</v>
      </c>
      <c r="C255">
        <v>63</v>
      </c>
      <c r="D255" t="s">
        <v>32</v>
      </c>
      <c r="E255" t="s">
        <v>88</v>
      </c>
      <c r="F255" t="s">
        <v>73</v>
      </c>
      <c r="G255">
        <f>13.5+5.2</f>
        <v>18.7</v>
      </c>
      <c r="H255" t="s">
        <v>72</v>
      </c>
      <c r="J255" t="s">
        <v>88</v>
      </c>
      <c r="K255">
        <v>2</v>
      </c>
    </row>
    <row r="256" spans="1:12" x14ac:dyDescent="0.35">
      <c r="A256" s="4">
        <v>45820</v>
      </c>
      <c r="B256" t="s">
        <v>69</v>
      </c>
      <c r="C256">
        <v>63</v>
      </c>
      <c r="D256" t="s">
        <v>32</v>
      </c>
      <c r="E256" t="s">
        <v>88</v>
      </c>
      <c r="F256" t="s">
        <v>73</v>
      </c>
      <c r="G256">
        <f>9.7+3.9</f>
        <v>13.6</v>
      </c>
      <c r="H256" t="s">
        <v>72</v>
      </c>
      <c r="J256" t="s">
        <v>88</v>
      </c>
      <c r="K256">
        <v>2</v>
      </c>
    </row>
    <row r="257" spans="1:12" x14ac:dyDescent="0.35">
      <c r="A257" s="4">
        <v>45820</v>
      </c>
      <c r="B257" t="s">
        <v>69</v>
      </c>
      <c r="C257">
        <v>63</v>
      </c>
      <c r="D257" t="s">
        <v>32</v>
      </c>
      <c r="E257" t="s">
        <v>88</v>
      </c>
      <c r="F257" t="s">
        <v>94</v>
      </c>
      <c r="G257">
        <f>11.2+3.1</f>
        <v>14.299999999999999</v>
      </c>
      <c r="H257" t="s">
        <v>72</v>
      </c>
      <c r="J257" t="s">
        <v>88</v>
      </c>
      <c r="K257">
        <v>2</v>
      </c>
    </row>
    <row r="258" spans="1:12" x14ac:dyDescent="0.35">
      <c r="A258" s="4">
        <v>45820</v>
      </c>
      <c r="B258" t="s">
        <v>69</v>
      </c>
      <c r="C258">
        <v>63</v>
      </c>
      <c r="D258" t="s">
        <v>32</v>
      </c>
      <c r="E258" t="s">
        <v>88</v>
      </c>
      <c r="F258" t="s">
        <v>94</v>
      </c>
      <c r="G258">
        <f>11.4+3.3</f>
        <v>14.7</v>
      </c>
      <c r="H258" t="s">
        <v>72</v>
      </c>
      <c r="J258" t="s">
        <v>88</v>
      </c>
      <c r="K258">
        <v>2</v>
      </c>
    </row>
    <row r="259" spans="1:12" x14ac:dyDescent="0.35">
      <c r="A259" s="4">
        <v>45820</v>
      </c>
      <c r="B259" t="s">
        <v>69</v>
      </c>
      <c r="C259">
        <v>63</v>
      </c>
      <c r="D259" t="s">
        <v>32</v>
      </c>
      <c r="E259" t="s">
        <v>88</v>
      </c>
      <c r="F259" t="s">
        <v>94</v>
      </c>
      <c r="G259">
        <f>9.1+4.7</f>
        <v>13.8</v>
      </c>
      <c r="H259" t="s">
        <v>72</v>
      </c>
      <c r="J259" t="s">
        <v>88</v>
      </c>
      <c r="K259">
        <v>2</v>
      </c>
    </row>
    <row r="260" spans="1:12" x14ac:dyDescent="0.35">
      <c r="A260" s="4">
        <v>45820</v>
      </c>
      <c r="B260" t="s">
        <v>69</v>
      </c>
      <c r="C260">
        <v>63</v>
      </c>
      <c r="D260" t="s">
        <v>34</v>
      </c>
      <c r="E260" t="s">
        <v>88</v>
      </c>
      <c r="F260" t="s">
        <v>94</v>
      </c>
      <c r="G260">
        <f>25.3+67.2</f>
        <v>92.5</v>
      </c>
      <c r="H260" t="s">
        <v>72</v>
      </c>
      <c r="J260" t="s">
        <v>88</v>
      </c>
      <c r="K260">
        <v>2</v>
      </c>
    </row>
    <row r="261" spans="1:12" x14ac:dyDescent="0.35">
      <c r="A261" s="4">
        <v>45820</v>
      </c>
      <c r="B261" t="s">
        <v>69</v>
      </c>
      <c r="C261">
        <v>63</v>
      </c>
      <c r="D261" t="s">
        <v>34</v>
      </c>
      <c r="E261" t="s">
        <v>88</v>
      </c>
      <c r="F261" t="s">
        <v>94</v>
      </c>
      <c r="G261">
        <v>28</v>
      </c>
      <c r="H261" t="s">
        <v>72</v>
      </c>
      <c r="J261" t="s">
        <v>70</v>
      </c>
      <c r="K261">
        <v>1</v>
      </c>
    </row>
    <row r="262" spans="1:12" x14ac:dyDescent="0.35">
      <c r="A262" s="4">
        <v>45820</v>
      </c>
      <c r="B262" t="s">
        <v>69</v>
      </c>
      <c r="C262">
        <v>63</v>
      </c>
      <c r="D262" t="s">
        <v>34</v>
      </c>
      <c r="E262" t="s">
        <v>88</v>
      </c>
      <c r="F262" t="s">
        <v>94</v>
      </c>
      <c r="G262">
        <v>24.1</v>
      </c>
      <c r="H262" t="s">
        <v>74</v>
      </c>
      <c r="J262" t="s">
        <v>88</v>
      </c>
      <c r="K262">
        <v>1</v>
      </c>
    </row>
    <row r="263" spans="1:12" x14ac:dyDescent="0.35">
      <c r="A263" s="4">
        <v>45820</v>
      </c>
      <c r="B263" t="s">
        <v>69</v>
      </c>
      <c r="C263">
        <v>63</v>
      </c>
      <c r="D263" t="s">
        <v>34</v>
      </c>
      <c r="E263" t="s">
        <v>88</v>
      </c>
      <c r="F263" t="s">
        <v>75</v>
      </c>
      <c r="G263">
        <f>6+2.7+6.1+8.5</f>
        <v>23.299999999999997</v>
      </c>
      <c r="H263" t="s">
        <v>72</v>
      </c>
      <c r="I263">
        <v>3</v>
      </c>
      <c r="J263" t="s">
        <v>88</v>
      </c>
      <c r="K263">
        <v>4</v>
      </c>
      <c r="L263" t="s">
        <v>99</v>
      </c>
    </row>
    <row r="264" spans="1:12" x14ac:dyDescent="0.35">
      <c r="A264" s="4">
        <v>45820</v>
      </c>
      <c r="B264" t="s">
        <v>69</v>
      </c>
      <c r="C264">
        <v>63</v>
      </c>
      <c r="D264" t="s">
        <v>34</v>
      </c>
      <c r="E264" t="s">
        <v>88</v>
      </c>
      <c r="F264" t="s">
        <v>94</v>
      </c>
      <c r="G264">
        <f>11.1+6</f>
        <v>17.100000000000001</v>
      </c>
      <c r="H264" t="s">
        <v>72</v>
      </c>
      <c r="J264" t="s">
        <v>70</v>
      </c>
      <c r="K264">
        <v>2</v>
      </c>
    </row>
    <row r="265" spans="1:12" x14ac:dyDescent="0.35">
      <c r="A265" s="4">
        <v>45820</v>
      </c>
      <c r="B265" t="s">
        <v>69</v>
      </c>
      <c r="C265">
        <v>63</v>
      </c>
      <c r="D265" t="s">
        <v>34</v>
      </c>
      <c r="E265" t="s">
        <v>88</v>
      </c>
      <c r="F265" t="s">
        <v>94</v>
      </c>
      <c r="G265">
        <f>6.5+3.9+2.7</f>
        <v>13.100000000000001</v>
      </c>
      <c r="H265" t="s">
        <v>72</v>
      </c>
      <c r="J265" t="s">
        <v>88</v>
      </c>
      <c r="K265">
        <v>3</v>
      </c>
    </row>
    <row r="266" spans="1:12" x14ac:dyDescent="0.35">
      <c r="A266" s="4">
        <v>45820</v>
      </c>
      <c r="B266" t="s">
        <v>69</v>
      </c>
      <c r="C266">
        <v>63</v>
      </c>
      <c r="D266" t="s">
        <v>34</v>
      </c>
      <c r="E266" t="s">
        <v>88</v>
      </c>
      <c r="F266" t="s">
        <v>94</v>
      </c>
      <c r="G266">
        <f>20+40.5</f>
        <v>60.5</v>
      </c>
      <c r="H266" t="s">
        <v>72</v>
      </c>
      <c r="J266" t="s">
        <v>70</v>
      </c>
      <c r="K266">
        <v>2</v>
      </c>
    </row>
    <row r="267" spans="1:12" x14ac:dyDescent="0.35">
      <c r="A267" s="4">
        <v>45820</v>
      </c>
      <c r="B267" t="s">
        <v>69</v>
      </c>
      <c r="C267">
        <v>63</v>
      </c>
      <c r="D267" t="s">
        <v>36</v>
      </c>
      <c r="E267" t="s">
        <v>88</v>
      </c>
      <c r="F267" t="s">
        <v>94</v>
      </c>
      <c r="G267">
        <f>11.2+5.5+17.6+13.7+16.8+13+16.3</f>
        <v>94.1</v>
      </c>
      <c r="H267" t="s">
        <v>72</v>
      </c>
      <c r="J267" t="s">
        <v>88</v>
      </c>
      <c r="K267">
        <v>7</v>
      </c>
    </row>
    <row r="268" spans="1:12" x14ac:dyDescent="0.35">
      <c r="A268" s="4">
        <v>45820</v>
      </c>
      <c r="B268" t="s">
        <v>69</v>
      </c>
      <c r="C268">
        <v>63</v>
      </c>
      <c r="D268" t="s">
        <v>36</v>
      </c>
      <c r="E268" t="s">
        <v>88</v>
      </c>
      <c r="F268" t="s">
        <v>92</v>
      </c>
      <c r="G268">
        <v>37.299999999999997</v>
      </c>
      <c r="H268" t="s">
        <v>72</v>
      </c>
      <c r="J268" t="s">
        <v>88</v>
      </c>
      <c r="K268">
        <v>1</v>
      </c>
    </row>
    <row r="269" spans="1:12" x14ac:dyDescent="0.35">
      <c r="A269" s="4">
        <v>45820</v>
      </c>
      <c r="B269" t="s">
        <v>69</v>
      </c>
      <c r="C269">
        <v>63</v>
      </c>
      <c r="D269" t="s">
        <v>36</v>
      </c>
      <c r="E269" t="s">
        <v>88</v>
      </c>
      <c r="F269" t="s">
        <v>92</v>
      </c>
      <c r="G269">
        <v>25.9</v>
      </c>
      <c r="H269" t="s">
        <v>72</v>
      </c>
      <c r="J269" t="s">
        <v>88</v>
      </c>
      <c r="K269">
        <v>1</v>
      </c>
    </row>
    <row r="270" spans="1:12" x14ac:dyDescent="0.35">
      <c r="A270" s="4">
        <v>45820</v>
      </c>
      <c r="B270" t="s">
        <v>69</v>
      </c>
      <c r="C270">
        <v>63</v>
      </c>
      <c r="D270" t="s">
        <v>36</v>
      </c>
      <c r="E270" t="s">
        <v>88</v>
      </c>
      <c r="F270" t="s">
        <v>92</v>
      </c>
      <c r="G270">
        <v>46.6</v>
      </c>
      <c r="H270" t="s">
        <v>72</v>
      </c>
      <c r="J270" t="s">
        <v>88</v>
      </c>
      <c r="K270">
        <v>1</v>
      </c>
    </row>
    <row r="271" spans="1:12" x14ac:dyDescent="0.35">
      <c r="A271" s="4">
        <v>45820</v>
      </c>
      <c r="B271" t="s">
        <v>69</v>
      </c>
      <c r="C271">
        <v>63</v>
      </c>
      <c r="D271" t="s">
        <v>36</v>
      </c>
      <c r="E271" t="s">
        <v>70</v>
      </c>
      <c r="F271" t="s">
        <v>94</v>
      </c>
      <c r="G271">
        <f>13.9+31.1</f>
        <v>45</v>
      </c>
      <c r="H271" t="s">
        <v>74</v>
      </c>
      <c r="J271" t="s">
        <v>88</v>
      </c>
      <c r="K271">
        <v>2</v>
      </c>
    </row>
    <row r="272" spans="1:12" x14ac:dyDescent="0.35">
      <c r="A272" s="4">
        <v>45820</v>
      </c>
      <c r="B272" t="s">
        <v>69</v>
      </c>
      <c r="C272">
        <v>63</v>
      </c>
      <c r="D272" t="s">
        <v>36</v>
      </c>
      <c r="E272" t="s">
        <v>88</v>
      </c>
      <c r="F272" t="s">
        <v>94</v>
      </c>
      <c r="G272">
        <f>31.5+31.1+25.4</f>
        <v>88</v>
      </c>
      <c r="H272" t="s">
        <v>72</v>
      </c>
      <c r="J272" t="s">
        <v>88</v>
      </c>
      <c r="K272">
        <v>3</v>
      </c>
    </row>
    <row r="273" spans="1:12" x14ac:dyDescent="0.35">
      <c r="A273" s="4">
        <v>45820</v>
      </c>
      <c r="B273" t="s">
        <v>69</v>
      </c>
      <c r="C273">
        <v>63</v>
      </c>
      <c r="D273" t="s">
        <v>36</v>
      </c>
      <c r="E273" t="s">
        <v>88</v>
      </c>
      <c r="F273" t="s">
        <v>87</v>
      </c>
      <c r="G273">
        <v>17.100000000000001</v>
      </c>
      <c r="H273" t="s">
        <v>74</v>
      </c>
      <c r="J273" t="s">
        <v>88</v>
      </c>
      <c r="K273">
        <v>1</v>
      </c>
    </row>
    <row r="274" spans="1:12" x14ac:dyDescent="0.35">
      <c r="A274" s="4">
        <v>45820</v>
      </c>
      <c r="B274" t="s">
        <v>69</v>
      </c>
      <c r="C274">
        <v>63</v>
      </c>
      <c r="D274" t="s">
        <v>36</v>
      </c>
      <c r="E274" t="s">
        <v>88</v>
      </c>
      <c r="F274" t="s">
        <v>94</v>
      </c>
      <c r="G274">
        <f>15.3+7.7+7.1+7.5</f>
        <v>37.6</v>
      </c>
      <c r="H274" t="s">
        <v>72</v>
      </c>
      <c r="J274" t="s">
        <v>88</v>
      </c>
      <c r="K274">
        <v>4</v>
      </c>
    </row>
    <row r="275" spans="1:12" x14ac:dyDescent="0.35">
      <c r="A275" s="4">
        <v>45820</v>
      </c>
      <c r="B275" t="s">
        <v>69</v>
      </c>
      <c r="C275">
        <v>63</v>
      </c>
      <c r="D275" t="s">
        <v>36</v>
      </c>
      <c r="E275" t="s">
        <v>88</v>
      </c>
      <c r="F275" t="s">
        <v>77</v>
      </c>
      <c r="G275">
        <v>13.8</v>
      </c>
      <c r="H275" t="s">
        <v>72</v>
      </c>
      <c r="J275" t="s">
        <v>88</v>
      </c>
      <c r="K275">
        <v>1</v>
      </c>
    </row>
    <row r="276" spans="1:12" x14ac:dyDescent="0.35">
      <c r="A276" s="4">
        <v>45820</v>
      </c>
      <c r="B276" t="s">
        <v>69</v>
      </c>
      <c r="C276">
        <v>63</v>
      </c>
      <c r="D276" t="s">
        <v>36</v>
      </c>
      <c r="E276" t="s">
        <v>88</v>
      </c>
      <c r="F276" t="s">
        <v>77</v>
      </c>
      <c r="G276">
        <v>13</v>
      </c>
      <c r="H276" t="s">
        <v>74</v>
      </c>
      <c r="J276" t="s">
        <v>88</v>
      </c>
      <c r="K276">
        <v>1</v>
      </c>
    </row>
    <row r="277" spans="1:12" x14ac:dyDescent="0.35">
      <c r="A277" s="4">
        <v>45820</v>
      </c>
      <c r="B277" t="s">
        <v>69</v>
      </c>
      <c r="C277">
        <v>63</v>
      </c>
      <c r="D277" t="s">
        <v>36</v>
      </c>
      <c r="E277" t="s">
        <v>88</v>
      </c>
      <c r="F277" t="s">
        <v>94</v>
      </c>
      <c r="G277">
        <v>23.5</v>
      </c>
      <c r="H277" t="s">
        <v>72</v>
      </c>
      <c r="J277" t="s">
        <v>88</v>
      </c>
      <c r="K277">
        <v>1</v>
      </c>
    </row>
    <row r="278" spans="1:12" x14ac:dyDescent="0.35">
      <c r="A278" s="4">
        <v>45820</v>
      </c>
      <c r="B278" t="s">
        <v>69</v>
      </c>
      <c r="C278">
        <v>63</v>
      </c>
      <c r="D278" t="s">
        <v>37</v>
      </c>
      <c r="E278" t="s">
        <v>88</v>
      </c>
      <c r="F278" t="s">
        <v>77</v>
      </c>
      <c r="G278">
        <v>13.3</v>
      </c>
      <c r="H278" t="s">
        <v>72</v>
      </c>
      <c r="J278" t="s">
        <v>88</v>
      </c>
      <c r="K278">
        <v>1</v>
      </c>
    </row>
    <row r="279" spans="1:12" x14ac:dyDescent="0.35">
      <c r="A279" s="4">
        <v>45820</v>
      </c>
      <c r="B279" t="s">
        <v>69</v>
      </c>
      <c r="C279">
        <v>63</v>
      </c>
      <c r="D279" t="s">
        <v>36</v>
      </c>
      <c r="E279" t="s">
        <v>88</v>
      </c>
      <c r="F279" t="s">
        <v>87</v>
      </c>
      <c r="G279">
        <v>32.200000000000003</v>
      </c>
      <c r="H279" t="s">
        <v>74</v>
      </c>
      <c r="J279" t="s">
        <v>88</v>
      </c>
      <c r="K279">
        <v>1</v>
      </c>
    </row>
    <row r="280" spans="1:12" x14ac:dyDescent="0.35">
      <c r="A280" s="4">
        <v>45820</v>
      </c>
      <c r="B280" t="s">
        <v>69</v>
      </c>
      <c r="C280">
        <v>63</v>
      </c>
      <c r="D280" t="s">
        <v>37</v>
      </c>
      <c r="E280" t="s">
        <v>88</v>
      </c>
      <c r="F280" t="s">
        <v>91</v>
      </c>
      <c r="G280">
        <v>28</v>
      </c>
      <c r="H280" t="s">
        <v>74</v>
      </c>
      <c r="J280" t="s">
        <v>88</v>
      </c>
      <c r="K280">
        <v>1</v>
      </c>
    </row>
    <row r="281" spans="1:12" x14ac:dyDescent="0.35">
      <c r="A281" s="4">
        <v>45820</v>
      </c>
      <c r="B281" t="s">
        <v>69</v>
      </c>
      <c r="C281">
        <v>63</v>
      </c>
      <c r="D281" t="s">
        <v>37</v>
      </c>
      <c r="E281" t="s">
        <v>88</v>
      </c>
      <c r="F281" t="s">
        <v>77</v>
      </c>
      <c r="G281">
        <v>14.4</v>
      </c>
      <c r="H281" t="s">
        <v>72</v>
      </c>
      <c r="J281" t="s">
        <v>88</v>
      </c>
      <c r="K281">
        <v>1</v>
      </c>
    </row>
    <row r="282" spans="1:12" x14ac:dyDescent="0.35">
      <c r="A282" s="4">
        <v>45820</v>
      </c>
      <c r="B282" t="s">
        <v>69</v>
      </c>
      <c r="C282">
        <v>63</v>
      </c>
      <c r="D282" t="s">
        <v>37</v>
      </c>
      <c r="E282" t="s">
        <v>88</v>
      </c>
      <c r="F282" t="s">
        <v>75</v>
      </c>
      <c r="G282">
        <f>9.1+2.5</f>
        <v>11.6</v>
      </c>
      <c r="H282" t="s">
        <v>72</v>
      </c>
      <c r="I282">
        <v>3</v>
      </c>
      <c r="J282" t="s">
        <v>88</v>
      </c>
      <c r="K282">
        <v>2</v>
      </c>
      <c r="L282" t="s">
        <v>100</v>
      </c>
    </row>
    <row r="283" spans="1:12" x14ac:dyDescent="0.35">
      <c r="A283" s="4">
        <v>45820</v>
      </c>
      <c r="B283" t="s">
        <v>69</v>
      </c>
      <c r="C283">
        <v>63</v>
      </c>
      <c r="D283" t="s">
        <v>37</v>
      </c>
      <c r="E283" t="s">
        <v>88</v>
      </c>
      <c r="F283" t="s">
        <v>75</v>
      </c>
      <c r="G283">
        <v>11.2</v>
      </c>
      <c r="H283" t="s">
        <v>72</v>
      </c>
      <c r="I283">
        <v>2</v>
      </c>
      <c r="J283" t="s">
        <v>88</v>
      </c>
      <c r="K283">
        <v>1</v>
      </c>
      <c r="L283" t="s">
        <v>101</v>
      </c>
    </row>
    <row r="284" spans="1:12" x14ac:dyDescent="0.35">
      <c r="A284" s="4">
        <v>45820</v>
      </c>
      <c r="B284" t="s">
        <v>69</v>
      </c>
      <c r="C284">
        <v>63</v>
      </c>
      <c r="D284" t="s">
        <v>37</v>
      </c>
      <c r="E284" t="s">
        <v>88</v>
      </c>
      <c r="F284" t="s">
        <v>77</v>
      </c>
      <c r="G284">
        <f>13.6+3.9</f>
        <v>17.5</v>
      </c>
      <c r="H284" t="s">
        <v>72</v>
      </c>
      <c r="J284" t="s">
        <v>88</v>
      </c>
      <c r="K284">
        <v>2</v>
      </c>
    </row>
    <row r="285" spans="1:12" x14ac:dyDescent="0.35">
      <c r="A285" s="4">
        <v>45820</v>
      </c>
      <c r="B285" t="s">
        <v>69</v>
      </c>
      <c r="C285">
        <v>63</v>
      </c>
      <c r="D285" t="s">
        <v>37</v>
      </c>
      <c r="E285" t="s">
        <v>88</v>
      </c>
      <c r="F285" t="s">
        <v>94</v>
      </c>
      <c r="G285">
        <f>27.9+31.5+30.9+38.8</f>
        <v>129.1</v>
      </c>
      <c r="H285" t="s">
        <v>72</v>
      </c>
      <c r="J285" t="s">
        <v>88</v>
      </c>
      <c r="K285">
        <v>4</v>
      </c>
    </row>
    <row r="286" spans="1:12" x14ac:dyDescent="0.35">
      <c r="A286" s="4">
        <v>45820</v>
      </c>
      <c r="B286" t="s">
        <v>69</v>
      </c>
      <c r="C286">
        <v>63</v>
      </c>
      <c r="D286" t="s">
        <v>37</v>
      </c>
      <c r="E286" t="s">
        <v>88</v>
      </c>
      <c r="F286" t="s">
        <v>94</v>
      </c>
      <c r="G286">
        <v>28.9</v>
      </c>
      <c r="H286" t="s">
        <v>72</v>
      </c>
      <c r="J286" t="s">
        <v>88</v>
      </c>
      <c r="K286">
        <v>1</v>
      </c>
    </row>
  </sheetData>
  <conditionalFormatting sqref="H1:H286">
    <cfRule type="cellIs" dxfId="3" priority="3" operator="equal">
      <formula>"dead"</formula>
    </cfRule>
  </conditionalFormatting>
  <conditionalFormatting sqref="J1:J286">
    <cfRule type="cellIs" dxfId="2" priority="2" operator="equal">
      <formula>"y"</formula>
    </cfRule>
    <cfRule type="cellIs" dxfId="1" priority="5" operator="equal">
      <formula>"y"</formula>
    </cfRule>
  </conditionalFormatting>
  <conditionalFormatting sqref="K1:K286">
    <cfRule type="colorScale" priority="4">
      <colorScale>
        <cfvo type="min"/>
        <cfvo type="max"/>
        <color theme="4" tint="0.59999389629810485"/>
        <color rgb="FFFFEF9C"/>
      </colorScale>
    </cfRule>
  </conditionalFormatting>
  <conditionalFormatting sqref="E1:E1048576">
    <cfRule type="cellIs" dxfId="0"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5814-4398-410D-8BDF-999FB1E9A4E6}">
  <dimension ref="A1:N73"/>
  <sheetViews>
    <sheetView workbookViewId="0">
      <selection activeCell="M7" sqref="M7"/>
    </sheetView>
  </sheetViews>
  <sheetFormatPr defaultRowHeight="14.5" x14ac:dyDescent="0.35"/>
  <sheetData>
    <row r="1" spans="1:14" ht="72.5" x14ac:dyDescent="0.35">
      <c r="A1" s="1" t="s">
        <v>6</v>
      </c>
      <c r="B1" s="1" t="s">
        <v>102</v>
      </c>
      <c r="C1" s="1" t="s">
        <v>103</v>
      </c>
      <c r="D1" s="1" t="s">
        <v>104</v>
      </c>
      <c r="E1" s="7" t="s">
        <v>105</v>
      </c>
      <c r="F1" s="7" t="s">
        <v>106</v>
      </c>
      <c r="G1" s="7" t="s">
        <v>107</v>
      </c>
      <c r="H1" s="7" t="s">
        <v>108</v>
      </c>
      <c r="I1" s="8" t="s">
        <v>109</v>
      </c>
      <c r="J1" s="8" t="s">
        <v>110</v>
      </c>
      <c r="K1" s="8" t="s">
        <v>111</v>
      </c>
      <c r="L1" s="8" t="s">
        <v>112</v>
      </c>
      <c r="M1" s="9" t="s">
        <v>113</v>
      </c>
      <c r="N1" s="1" t="s">
        <v>114</v>
      </c>
    </row>
    <row r="2" spans="1:14" x14ac:dyDescent="0.35">
      <c r="A2">
        <v>92</v>
      </c>
      <c r="B2" t="s">
        <v>115</v>
      </c>
      <c r="C2">
        <v>0</v>
      </c>
      <c r="D2">
        <v>8</v>
      </c>
      <c r="E2">
        <v>1</v>
      </c>
      <c r="F2">
        <v>0</v>
      </c>
      <c r="G2">
        <v>1</v>
      </c>
      <c r="H2">
        <v>0</v>
      </c>
      <c r="I2">
        <v>0</v>
      </c>
      <c r="J2">
        <v>0</v>
      </c>
      <c r="K2">
        <v>2</v>
      </c>
      <c r="L2">
        <v>1</v>
      </c>
      <c r="M2">
        <v>4.0599999999999996</v>
      </c>
      <c r="N2" t="s">
        <v>116</v>
      </c>
    </row>
    <row r="3" spans="1:14" x14ac:dyDescent="0.35">
      <c r="A3">
        <v>92</v>
      </c>
      <c r="B3" t="s">
        <v>117</v>
      </c>
      <c r="C3">
        <v>0</v>
      </c>
      <c r="D3">
        <v>3.5</v>
      </c>
      <c r="E3">
        <v>1</v>
      </c>
      <c r="F3">
        <v>0</v>
      </c>
      <c r="G3">
        <v>0</v>
      </c>
      <c r="H3">
        <v>0</v>
      </c>
      <c r="I3">
        <v>0</v>
      </c>
      <c r="J3">
        <v>1</v>
      </c>
      <c r="K3">
        <v>0</v>
      </c>
      <c r="L3">
        <v>2</v>
      </c>
      <c r="M3">
        <v>4.0599999999999996</v>
      </c>
    </row>
    <row r="4" spans="1:14" x14ac:dyDescent="0.35">
      <c r="A4">
        <v>92</v>
      </c>
      <c r="B4" t="s">
        <v>118</v>
      </c>
      <c r="C4">
        <v>0</v>
      </c>
      <c r="D4">
        <v>8</v>
      </c>
      <c r="E4">
        <v>0</v>
      </c>
      <c r="F4">
        <v>0</v>
      </c>
      <c r="G4">
        <v>0</v>
      </c>
      <c r="H4">
        <v>0</v>
      </c>
      <c r="I4">
        <v>1</v>
      </c>
      <c r="J4">
        <v>1</v>
      </c>
      <c r="K4">
        <v>0</v>
      </c>
      <c r="L4">
        <v>0</v>
      </c>
      <c r="M4">
        <v>4.0599999999999996</v>
      </c>
    </row>
    <row r="5" spans="1:14" x14ac:dyDescent="0.35">
      <c r="A5">
        <v>92</v>
      </c>
      <c r="B5" t="s">
        <v>119</v>
      </c>
      <c r="C5">
        <v>0</v>
      </c>
      <c r="D5">
        <v>8</v>
      </c>
      <c r="E5">
        <v>2</v>
      </c>
      <c r="F5">
        <v>0</v>
      </c>
      <c r="G5">
        <v>0</v>
      </c>
      <c r="H5">
        <v>0</v>
      </c>
      <c r="I5">
        <v>2</v>
      </c>
      <c r="J5">
        <v>2</v>
      </c>
      <c r="K5">
        <v>1</v>
      </c>
      <c r="L5">
        <v>2</v>
      </c>
      <c r="M5">
        <v>4.0599999999999996</v>
      </c>
    </row>
    <row r="6" spans="1:14" x14ac:dyDescent="0.35">
      <c r="A6">
        <v>93</v>
      </c>
      <c r="B6" t="s">
        <v>115</v>
      </c>
      <c r="C6">
        <v>0</v>
      </c>
      <c r="D6">
        <v>3.5</v>
      </c>
      <c r="E6">
        <v>1</v>
      </c>
      <c r="F6">
        <v>3</v>
      </c>
      <c r="G6">
        <v>0</v>
      </c>
      <c r="H6">
        <v>0</v>
      </c>
      <c r="I6">
        <v>1</v>
      </c>
      <c r="J6">
        <v>0</v>
      </c>
      <c r="K6">
        <v>0</v>
      </c>
      <c r="L6">
        <v>1</v>
      </c>
      <c r="M6">
        <v>4.0599999999999996</v>
      </c>
    </row>
    <row r="7" spans="1:14" x14ac:dyDescent="0.35">
      <c r="A7">
        <v>93</v>
      </c>
      <c r="B7" t="s">
        <v>117</v>
      </c>
      <c r="C7">
        <v>0</v>
      </c>
      <c r="D7">
        <v>3.5</v>
      </c>
      <c r="E7">
        <v>0</v>
      </c>
      <c r="F7">
        <v>0</v>
      </c>
      <c r="G7">
        <v>1</v>
      </c>
      <c r="H7">
        <v>0</v>
      </c>
      <c r="I7">
        <v>1</v>
      </c>
      <c r="J7">
        <v>0</v>
      </c>
      <c r="K7">
        <v>0</v>
      </c>
      <c r="L7">
        <v>0</v>
      </c>
      <c r="M7">
        <v>4.0599999999999996</v>
      </c>
      <c r="N7" t="s">
        <v>120</v>
      </c>
    </row>
    <row r="8" spans="1:14" x14ac:dyDescent="0.35">
      <c r="A8">
        <v>93</v>
      </c>
      <c r="B8" t="s">
        <v>118</v>
      </c>
      <c r="C8">
        <v>0</v>
      </c>
      <c r="D8">
        <v>15.5</v>
      </c>
      <c r="E8">
        <v>0</v>
      </c>
      <c r="F8">
        <v>0</v>
      </c>
      <c r="G8">
        <v>0</v>
      </c>
      <c r="H8">
        <v>0</v>
      </c>
      <c r="I8">
        <v>2</v>
      </c>
      <c r="J8">
        <v>1</v>
      </c>
      <c r="K8">
        <v>0</v>
      </c>
      <c r="L8">
        <v>0</v>
      </c>
      <c r="M8">
        <v>4.0599999999999996</v>
      </c>
    </row>
    <row r="9" spans="1:14" x14ac:dyDescent="0.35">
      <c r="A9">
        <v>93</v>
      </c>
      <c r="B9" t="s">
        <v>119</v>
      </c>
      <c r="C9">
        <v>0</v>
      </c>
      <c r="D9">
        <v>3.5</v>
      </c>
      <c r="E9">
        <v>0</v>
      </c>
      <c r="F9">
        <v>0</v>
      </c>
      <c r="G9">
        <v>0</v>
      </c>
      <c r="H9">
        <v>0</v>
      </c>
      <c r="I9">
        <v>1</v>
      </c>
      <c r="J9">
        <v>0</v>
      </c>
      <c r="K9">
        <v>0</v>
      </c>
      <c r="L9">
        <v>0</v>
      </c>
      <c r="M9">
        <v>4.0599999999999996</v>
      </c>
      <c r="N9" t="s">
        <v>121</v>
      </c>
    </row>
    <row r="10" spans="1:14" x14ac:dyDescent="0.35">
      <c r="A10">
        <v>4</v>
      </c>
      <c r="B10" t="s">
        <v>115</v>
      </c>
      <c r="C10">
        <v>0</v>
      </c>
      <c r="D10">
        <v>8</v>
      </c>
      <c r="E10">
        <v>0</v>
      </c>
      <c r="F10">
        <v>0</v>
      </c>
      <c r="G10">
        <v>0</v>
      </c>
      <c r="H10">
        <v>0</v>
      </c>
      <c r="I10">
        <v>3</v>
      </c>
      <c r="J10">
        <v>0</v>
      </c>
      <c r="K10">
        <v>1</v>
      </c>
      <c r="L10">
        <v>2</v>
      </c>
      <c r="M10">
        <v>4.0599999999999996</v>
      </c>
    </row>
    <row r="11" spans="1:14" x14ac:dyDescent="0.35">
      <c r="A11">
        <v>4</v>
      </c>
      <c r="B11" t="s">
        <v>117</v>
      </c>
      <c r="C11">
        <v>0</v>
      </c>
      <c r="D11">
        <v>1</v>
      </c>
      <c r="E11">
        <v>0</v>
      </c>
      <c r="F11">
        <v>0</v>
      </c>
      <c r="G11">
        <v>0</v>
      </c>
      <c r="H11">
        <v>0</v>
      </c>
      <c r="I11">
        <v>0</v>
      </c>
      <c r="J11">
        <v>0</v>
      </c>
      <c r="K11">
        <v>1</v>
      </c>
      <c r="L11">
        <v>0</v>
      </c>
      <c r="M11">
        <v>4.0599999999999996</v>
      </c>
    </row>
    <row r="12" spans="1:14" x14ac:dyDescent="0.35">
      <c r="A12">
        <v>4</v>
      </c>
      <c r="B12" t="s">
        <v>118</v>
      </c>
      <c r="C12">
        <v>0</v>
      </c>
      <c r="D12">
        <v>1</v>
      </c>
      <c r="E12">
        <v>0</v>
      </c>
      <c r="F12">
        <v>0</v>
      </c>
      <c r="G12">
        <v>0</v>
      </c>
      <c r="H12">
        <v>0</v>
      </c>
      <c r="I12">
        <v>0</v>
      </c>
      <c r="J12">
        <v>1</v>
      </c>
      <c r="K12">
        <v>0</v>
      </c>
      <c r="L12">
        <v>0</v>
      </c>
      <c r="M12">
        <v>4.0599999999999996</v>
      </c>
    </row>
    <row r="13" spans="1:14" x14ac:dyDescent="0.35">
      <c r="A13">
        <v>4</v>
      </c>
      <c r="B13" t="s">
        <v>119</v>
      </c>
      <c r="C13">
        <v>0</v>
      </c>
      <c r="D13">
        <v>3.5</v>
      </c>
      <c r="E13">
        <v>0</v>
      </c>
      <c r="F13">
        <v>0</v>
      </c>
      <c r="G13">
        <v>0</v>
      </c>
      <c r="H13">
        <v>0</v>
      </c>
      <c r="I13">
        <v>0</v>
      </c>
      <c r="J13">
        <v>0</v>
      </c>
      <c r="K13">
        <v>0</v>
      </c>
      <c r="L13">
        <v>1</v>
      </c>
      <c r="M13">
        <v>4.0599999999999996</v>
      </c>
    </row>
    <row r="14" spans="1:14" x14ac:dyDescent="0.35">
      <c r="A14">
        <v>6</v>
      </c>
      <c r="B14" t="s">
        <v>115</v>
      </c>
      <c r="C14">
        <v>0</v>
      </c>
      <c r="D14">
        <v>15.5</v>
      </c>
      <c r="E14">
        <v>0</v>
      </c>
      <c r="F14">
        <v>0</v>
      </c>
      <c r="G14">
        <v>0</v>
      </c>
      <c r="H14">
        <v>0</v>
      </c>
      <c r="I14">
        <v>0</v>
      </c>
      <c r="J14">
        <v>0</v>
      </c>
      <c r="K14">
        <v>3</v>
      </c>
      <c r="L14">
        <v>3</v>
      </c>
      <c r="M14">
        <v>4.0599999999999996</v>
      </c>
    </row>
    <row r="15" spans="1:14" x14ac:dyDescent="0.35">
      <c r="A15">
        <v>6</v>
      </c>
      <c r="B15" t="s">
        <v>117</v>
      </c>
      <c r="C15">
        <v>0</v>
      </c>
      <c r="D15">
        <v>0</v>
      </c>
      <c r="E15">
        <v>0</v>
      </c>
      <c r="F15">
        <v>0</v>
      </c>
      <c r="G15">
        <v>0</v>
      </c>
      <c r="H15">
        <v>0</v>
      </c>
      <c r="I15">
        <v>0</v>
      </c>
      <c r="J15">
        <v>0</v>
      </c>
      <c r="K15">
        <v>0</v>
      </c>
      <c r="L15">
        <v>0</v>
      </c>
      <c r="M15">
        <v>4.0599999999999996</v>
      </c>
    </row>
    <row r="16" spans="1:14" x14ac:dyDescent="0.35">
      <c r="A16">
        <v>6</v>
      </c>
      <c r="B16" t="s">
        <v>118</v>
      </c>
      <c r="C16">
        <v>0</v>
      </c>
      <c r="D16">
        <v>8</v>
      </c>
      <c r="E16">
        <v>0</v>
      </c>
      <c r="F16">
        <v>0</v>
      </c>
      <c r="G16">
        <v>0</v>
      </c>
      <c r="H16">
        <v>0</v>
      </c>
      <c r="I16">
        <v>2</v>
      </c>
      <c r="J16">
        <v>1</v>
      </c>
      <c r="K16">
        <v>0</v>
      </c>
      <c r="L16">
        <v>0</v>
      </c>
      <c r="M16">
        <v>4.0599999999999996</v>
      </c>
      <c r="N16" t="s">
        <v>122</v>
      </c>
    </row>
    <row r="17" spans="1:14" x14ac:dyDescent="0.35">
      <c r="A17">
        <v>6</v>
      </c>
      <c r="B17" t="s">
        <v>119</v>
      </c>
      <c r="C17">
        <v>0</v>
      </c>
      <c r="D17">
        <v>0</v>
      </c>
      <c r="E17">
        <v>0</v>
      </c>
      <c r="F17">
        <v>0</v>
      </c>
      <c r="G17">
        <v>0</v>
      </c>
      <c r="H17">
        <v>0</v>
      </c>
      <c r="I17">
        <v>0</v>
      </c>
      <c r="J17">
        <v>0</v>
      </c>
      <c r="K17">
        <v>0</v>
      </c>
      <c r="L17">
        <v>0</v>
      </c>
      <c r="M17">
        <v>4.0599999999999996</v>
      </c>
      <c r="N17" t="s">
        <v>122</v>
      </c>
    </row>
    <row r="18" spans="1:14" x14ac:dyDescent="0.35">
      <c r="A18">
        <v>94</v>
      </c>
      <c r="B18" t="s">
        <v>115</v>
      </c>
      <c r="C18">
        <v>0</v>
      </c>
      <c r="D18">
        <v>1</v>
      </c>
      <c r="E18">
        <v>0</v>
      </c>
      <c r="F18">
        <v>0</v>
      </c>
      <c r="G18">
        <v>0</v>
      </c>
      <c r="H18">
        <v>1</v>
      </c>
      <c r="I18">
        <v>0</v>
      </c>
      <c r="J18">
        <v>0</v>
      </c>
      <c r="K18">
        <v>0</v>
      </c>
      <c r="L18">
        <v>0</v>
      </c>
      <c r="M18">
        <v>4.0599999999999996</v>
      </c>
    </row>
    <row r="19" spans="1:14" x14ac:dyDescent="0.35">
      <c r="A19">
        <v>94</v>
      </c>
      <c r="B19" t="s">
        <v>117</v>
      </c>
      <c r="C19">
        <v>0</v>
      </c>
      <c r="D19">
        <v>55.5</v>
      </c>
      <c r="E19">
        <v>2</v>
      </c>
      <c r="F19">
        <v>2</v>
      </c>
      <c r="G19">
        <v>6</v>
      </c>
      <c r="H19">
        <v>0</v>
      </c>
      <c r="I19">
        <v>2</v>
      </c>
      <c r="J19">
        <v>1</v>
      </c>
      <c r="K19">
        <v>7</v>
      </c>
      <c r="L19">
        <v>5</v>
      </c>
      <c r="M19">
        <v>4.0599999999999996</v>
      </c>
    </row>
    <row r="20" spans="1:14" x14ac:dyDescent="0.35">
      <c r="A20">
        <v>94</v>
      </c>
      <c r="B20" t="s">
        <v>118</v>
      </c>
      <c r="C20">
        <v>0</v>
      </c>
      <c r="D20">
        <v>25.5</v>
      </c>
      <c r="E20">
        <v>3</v>
      </c>
      <c r="F20">
        <v>0</v>
      </c>
      <c r="G20">
        <v>1</v>
      </c>
      <c r="H20">
        <v>5</v>
      </c>
      <c r="I20">
        <v>2</v>
      </c>
      <c r="J20">
        <v>2</v>
      </c>
      <c r="K20">
        <v>1</v>
      </c>
      <c r="L20">
        <v>4</v>
      </c>
      <c r="M20">
        <v>4.0599999999999996</v>
      </c>
    </row>
    <row r="21" spans="1:14" x14ac:dyDescent="0.35">
      <c r="A21">
        <v>94</v>
      </c>
      <c r="B21" t="s">
        <v>119</v>
      </c>
      <c r="C21">
        <v>0</v>
      </c>
      <c r="D21">
        <v>15.5</v>
      </c>
      <c r="E21">
        <v>0</v>
      </c>
      <c r="F21">
        <v>0</v>
      </c>
      <c r="G21">
        <v>0</v>
      </c>
      <c r="H21">
        <v>2</v>
      </c>
      <c r="I21">
        <v>1</v>
      </c>
      <c r="J21">
        <v>1</v>
      </c>
      <c r="K21">
        <v>4</v>
      </c>
      <c r="L21">
        <v>0</v>
      </c>
      <c r="M21">
        <v>4.0599999999999996</v>
      </c>
    </row>
    <row r="22" spans="1:14" x14ac:dyDescent="0.35">
      <c r="A22">
        <v>95</v>
      </c>
      <c r="B22" t="s">
        <v>115</v>
      </c>
      <c r="C22">
        <v>0</v>
      </c>
      <c r="D22">
        <v>65.5</v>
      </c>
      <c r="E22">
        <v>1</v>
      </c>
      <c r="F22">
        <v>6</v>
      </c>
      <c r="G22">
        <v>10</v>
      </c>
      <c r="H22">
        <v>2</v>
      </c>
      <c r="I22">
        <v>5</v>
      </c>
      <c r="J22">
        <v>1</v>
      </c>
      <c r="K22">
        <v>6</v>
      </c>
      <c r="L22">
        <v>3</v>
      </c>
      <c r="M22">
        <v>4.0599999999999996</v>
      </c>
    </row>
    <row r="23" spans="1:14" x14ac:dyDescent="0.35">
      <c r="A23">
        <v>95</v>
      </c>
      <c r="B23" t="s">
        <v>117</v>
      </c>
      <c r="C23">
        <v>0</v>
      </c>
      <c r="D23">
        <v>8</v>
      </c>
      <c r="E23">
        <v>5</v>
      </c>
      <c r="F23">
        <v>2</v>
      </c>
      <c r="G23">
        <v>0</v>
      </c>
      <c r="H23">
        <v>5</v>
      </c>
      <c r="I23">
        <v>3</v>
      </c>
      <c r="J23">
        <v>0</v>
      </c>
      <c r="K23">
        <v>0</v>
      </c>
      <c r="L23">
        <v>1</v>
      </c>
      <c r="M23">
        <v>4.0599999999999996</v>
      </c>
    </row>
    <row r="24" spans="1:14" x14ac:dyDescent="0.35">
      <c r="A24">
        <v>95</v>
      </c>
      <c r="B24" t="s">
        <v>118</v>
      </c>
      <c r="C24">
        <v>0</v>
      </c>
      <c r="D24">
        <v>15.5</v>
      </c>
      <c r="E24">
        <v>0</v>
      </c>
      <c r="F24">
        <v>0</v>
      </c>
      <c r="G24">
        <v>0</v>
      </c>
      <c r="H24">
        <v>0</v>
      </c>
      <c r="I24">
        <v>1</v>
      </c>
      <c r="J24">
        <v>3</v>
      </c>
      <c r="K24">
        <v>1</v>
      </c>
      <c r="L24">
        <v>2</v>
      </c>
      <c r="M24">
        <v>4.0599999999999996</v>
      </c>
    </row>
    <row r="25" spans="1:14" x14ac:dyDescent="0.35">
      <c r="A25">
        <v>95</v>
      </c>
      <c r="B25" t="s">
        <v>119</v>
      </c>
      <c r="C25">
        <v>0</v>
      </c>
      <c r="D25">
        <v>15.5</v>
      </c>
      <c r="E25">
        <v>2</v>
      </c>
      <c r="F25">
        <v>0</v>
      </c>
      <c r="G25">
        <v>1</v>
      </c>
      <c r="H25">
        <v>0</v>
      </c>
      <c r="I25">
        <v>2</v>
      </c>
      <c r="J25">
        <v>2</v>
      </c>
      <c r="K25">
        <v>3</v>
      </c>
      <c r="L25">
        <v>1</v>
      </c>
      <c r="M25">
        <v>4.0599999999999996</v>
      </c>
    </row>
    <row r="26" spans="1:14" x14ac:dyDescent="0.35">
      <c r="A26" s="6">
        <v>106</v>
      </c>
      <c r="B26" s="6" t="s">
        <v>115</v>
      </c>
      <c r="C26" s="6">
        <v>0</v>
      </c>
      <c r="D26" s="6">
        <v>15.5</v>
      </c>
      <c r="E26" s="6">
        <v>0</v>
      </c>
      <c r="F26" s="6">
        <v>0</v>
      </c>
      <c r="G26" s="6">
        <v>0</v>
      </c>
      <c r="H26" s="6">
        <v>0</v>
      </c>
      <c r="I26" s="6">
        <v>5</v>
      </c>
      <c r="J26" s="6">
        <v>2</v>
      </c>
      <c r="K26" s="6">
        <v>0</v>
      </c>
      <c r="L26" s="6">
        <v>1</v>
      </c>
      <c r="M26" s="6">
        <v>4.0599999999999996</v>
      </c>
      <c r="N26" s="6"/>
    </row>
    <row r="27" spans="1:14" x14ac:dyDescent="0.35">
      <c r="A27">
        <v>106</v>
      </c>
      <c r="B27" t="s">
        <v>117</v>
      </c>
      <c r="C27">
        <v>0</v>
      </c>
      <c r="D27">
        <v>0</v>
      </c>
      <c r="E27">
        <v>0</v>
      </c>
      <c r="F27">
        <v>0</v>
      </c>
      <c r="G27">
        <v>0</v>
      </c>
      <c r="H27">
        <v>0</v>
      </c>
      <c r="I27">
        <v>0</v>
      </c>
      <c r="J27">
        <v>0</v>
      </c>
      <c r="K27">
        <v>0</v>
      </c>
      <c r="L27">
        <v>0</v>
      </c>
      <c r="M27">
        <v>4.0599999999999996</v>
      </c>
    </row>
    <row r="28" spans="1:14" x14ac:dyDescent="0.35">
      <c r="A28">
        <v>106</v>
      </c>
      <c r="B28" t="s">
        <v>118</v>
      </c>
      <c r="C28">
        <v>0</v>
      </c>
      <c r="D28">
        <v>0</v>
      </c>
      <c r="E28">
        <v>0</v>
      </c>
      <c r="F28">
        <v>0</v>
      </c>
      <c r="G28">
        <v>0</v>
      </c>
      <c r="H28">
        <v>0</v>
      </c>
      <c r="I28">
        <v>0</v>
      </c>
      <c r="J28">
        <v>0</v>
      </c>
      <c r="K28">
        <v>0</v>
      </c>
      <c r="L28">
        <v>0</v>
      </c>
      <c r="M28">
        <v>4.0599999999999996</v>
      </c>
    </row>
    <row r="29" spans="1:14" x14ac:dyDescent="0.35">
      <c r="A29">
        <v>106</v>
      </c>
      <c r="B29" t="s">
        <v>119</v>
      </c>
      <c r="C29">
        <v>0</v>
      </c>
      <c r="D29">
        <v>0</v>
      </c>
      <c r="E29">
        <v>0</v>
      </c>
      <c r="F29">
        <v>0</v>
      </c>
      <c r="G29">
        <v>0</v>
      </c>
      <c r="H29">
        <v>0</v>
      </c>
      <c r="I29">
        <v>0</v>
      </c>
      <c r="J29">
        <v>0</v>
      </c>
      <c r="K29">
        <v>0</v>
      </c>
      <c r="L29">
        <v>0</v>
      </c>
      <c r="M29">
        <v>4.0599999999999996</v>
      </c>
    </row>
    <row r="30" spans="1:14" x14ac:dyDescent="0.35">
      <c r="A30">
        <v>107</v>
      </c>
      <c r="B30" t="s">
        <v>115</v>
      </c>
      <c r="C30">
        <v>0</v>
      </c>
      <c r="D30">
        <v>8</v>
      </c>
      <c r="E30">
        <v>0</v>
      </c>
      <c r="F30">
        <v>0</v>
      </c>
      <c r="G30">
        <v>0</v>
      </c>
      <c r="H30">
        <v>0</v>
      </c>
      <c r="I30">
        <v>0</v>
      </c>
      <c r="J30">
        <v>1</v>
      </c>
      <c r="K30">
        <v>1</v>
      </c>
      <c r="L30">
        <v>0</v>
      </c>
      <c r="M30">
        <v>4.0599999999999996</v>
      </c>
    </row>
    <row r="31" spans="1:14" x14ac:dyDescent="0.35">
      <c r="A31">
        <v>107</v>
      </c>
      <c r="B31" t="s">
        <v>117</v>
      </c>
      <c r="C31">
        <v>0</v>
      </c>
      <c r="D31">
        <v>0</v>
      </c>
      <c r="E31">
        <v>0</v>
      </c>
      <c r="F31">
        <v>0</v>
      </c>
      <c r="G31">
        <v>0</v>
      </c>
      <c r="H31">
        <v>0</v>
      </c>
      <c r="I31">
        <v>0</v>
      </c>
      <c r="J31">
        <v>0</v>
      </c>
      <c r="K31">
        <v>0</v>
      </c>
      <c r="L31">
        <v>0</v>
      </c>
      <c r="M31">
        <v>4.0599999999999996</v>
      </c>
    </row>
    <row r="32" spans="1:14" x14ac:dyDescent="0.35">
      <c r="A32">
        <v>107</v>
      </c>
      <c r="B32" t="s">
        <v>118</v>
      </c>
      <c r="C32">
        <v>0</v>
      </c>
      <c r="D32">
        <v>0</v>
      </c>
      <c r="E32">
        <v>0</v>
      </c>
      <c r="F32">
        <v>0</v>
      </c>
      <c r="G32">
        <v>0</v>
      </c>
      <c r="H32">
        <v>0</v>
      </c>
      <c r="I32">
        <v>0</v>
      </c>
      <c r="J32">
        <v>0</v>
      </c>
      <c r="K32">
        <v>0</v>
      </c>
      <c r="L32">
        <v>0</v>
      </c>
      <c r="M32">
        <v>4.0599999999999996</v>
      </c>
    </row>
    <row r="33" spans="1:14" x14ac:dyDescent="0.35">
      <c r="A33">
        <v>107</v>
      </c>
      <c r="B33" t="s">
        <v>119</v>
      </c>
      <c r="C33">
        <v>0</v>
      </c>
      <c r="D33">
        <v>0</v>
      </c>
      <c r="E33">
        <v>0</v>
      </c>
      <c r="F33">
        <v>0</v>
      </c>
      <c r="G33">
        <v>0</v>
      </c>
      <c r="H33">
        <v>0</v>
      </c>
      <c r="I33">
        <v>0</v>
      </c>
      <c r="J33">
        <v>0</v>
      </c>
      <c r="K33">
        <v>0</v>
      </c>
      <c r="L33">
        <v>0</v>
      </c>
      <c r="M33">
        <v>4.0599999999999996</v>
      </c>
    </row>
    <row r="34" spans="1:14" x14ac:dyDescent="0.35">
      <c r="A34">
        <v>1</v>
      </c>
      <c r="B34" t="s">
        <v>115</v>
      </c>
      <c r="C34">
        <v>0</v>
      </c>
      <c r="D34">
        <v>3.5</v>
      </c>
      <c r="E34">
        <v>0</v>
      </c>
      <c r="F34">
        <v>0</v>
      </c>
      <c r="G34">
        <v>1</v>
      </c>
      <c r="H34">
        <v>0</v>
      </c>
      <c r="I34">
        <v>1</v>
      </c>
      <c r="J34">
        <v>0</v>
      </c>
      <c r="K34">
        <v>1</v>
      </c>
      <c r="L34">
        <v>1</v>
      </c>
      <c r="M34">
        <v>4.0599999999999996</v>
      </c>
    </row>
    <row r="35" spans="1:14" x14ac:dyDescent="0.35">
      <c r="A35">
        <v>1</v>
      </c>
      <c r="B35" t="s">
        <v>117</v>
      </c>
      <c r="C35">
        <v>0</v>
      </c>
      <c r="D35">
        <v>8</v>
      </c>
      <c r="E35">
        <v>0</v>
      </c>
      <c r="F35">
        <v>1</v>
      </c>
      <c r="G35">
        <v>1</v>
      </c>
      <c r="H35">
        <v>0</v>
      </c>
      <c r="I35">
        <v>1</v>
      </c>
      <c r="J35">
        <v>2</v>
      </c>
      <c r="K35">
        <v>0</v>
      </c>
      <c r="L35">
        <v>3</v>
      </c>
      <c r="M35">
        <v>4.0599999999999996</v>
      </c>
    </row>
    <row r="36" spans="1:14" x14ac:dyDescent="0.35">
      <c r="A36">
        <v>1</v>
      </c>
      <c r="B36" t="s">
        <v>118</v>
      </c>
      <c r="C36">
        <v>0</v>
      </c>
      <c r="D36">
        <v>15.5</v>
      </c>
      <c r="E36">
        <v>0</v>
      </c>
      <c r="F36">
        <v>0</v>
      </c>
      <c r="G36">
        <v>1</v>
      </c>
      <c r="H36">
        <v>1</v>
      </c>
      <c r="I36">
        <v>3</v>
      </c>
      <c r="J36">
        <v>2</v>
      </c>
      <c r="K36">
        <v>2</v>
      </c>
      <c r="L36">
        <v>1</v>
      </c>
      <c r="M36">
        <v>4.0599999999999996</v>
      </c>
    </row>
    <row r="37" spans="1:14" x14ac:dyDescent="0.35">
      <c r="A37">
        <v>1</v>
      </c>
      <c r="B37" t="s">
        <v>119</v>
      </c>
      <c r="C37">
        <v>0</v>
      </c>
      <c r="D37">
        <v>8</v>
      </c>
      <c r="E37">
        <v>0</v>
      </c>
      <c r="F37">
        <v>0</v>
      </c>
      <c r="G37">
        <v>1</v>
      </c>
      <c r="H37">
        <v>0</v>
      </c>
      <c r="I37">
        <v>3</v>
      </c>
      <c r="J37">
        <v>1</v>
      </c>
      <c r="K37">
        <v>5</v>
      </c>
      <c r="L37">
        <v>0</v>
      </c>
      <c r="M37">
        <v>4.0599999999999996</v>
      </c>
    </row>
    <row r="38" spans="1:14" x14ac:dyDescent="0.35">
      <c r="A38">
        <v>2</v>
      </c>
      <c r="B38" t="s">
        <v>115</v>
      </c>
      <c r="C38">
        <v>0</v>
      </c>
      <c r="D38">
        <v>0</v>
      </c>
      <c r="E38">
        <v>0</v>
      </c>
      <c r="F38">
        <v>0</v>
      </c>
      <c r="G38">
        <v>0</v>
      </c>
      <c r="H38">
        <v>0</v>
      </c>
      <c r="I38">
        <v>0</v>
      </c>
      <c r="J38">
        <v>0</v>
      </c>
      <c r="K38">
        <v>0</v>
      </c>
      <c r="L38">
        <v>0</v>
      </c>
      <c r="M38">
        <v>4.0599999999999996</v>
      </c>
    </row>
    <row r="39" spans="1:14" x14ac:dyDescent="0.35">
      <c r="A39">
        <v>2</v>
      </c>
      <c r="B39" t="s">
        <v>117</v>
      </c>
      <c r="C39">
        <v>0</v>
      </c>
      <c r="D39">
        <v>0</v>
      </c>
      <c r="E39">
        <v>0</v>
      </c>
      <c r="F39">
        <v>0</v>
      </c>
      <c r="G39">
        <v>0</v>
      </c>
      <c r="H39">
        <v>0</v>
      </c>
      <c r="I39">
        <v>0</v>
      </c>
      <c r="J39">
        <v>0</v>
      </c>
      <c r="K39">
        <v>0</v>
      </c>
      <c r="L39">
        <v>0</v>
      </c>
      <c r="M39">
        <v>4.0599999999999996</v>
      </c>
    </row>
    <row r="40" spans="1:14" x14ac:dyDescent="0.35">
      <c r="A40">
        <v>2</v>
      </c>
      <c r="B40" t="s">
        <v>118</v>
      </c>
      <c r="C40">
        <v>0</v>
      </c>
      <c r="D40">
        <v>0</v>
      </c>
      <c r="E40">
        <v>0</v>
      </c>
      <c r="F40">
        <v>0</v>
      </c>
      <c r="G40">
        <v>0</v>
      </c>
      <c r="H40">
        <v>0</v>
      </c>
      <c r="I40">
        <v>0</v>
      </c>
      <c r="J40">
        <v>0</v>
      </c>
      <c r="K40">
        <v>0</v>
      </c>
      <c r="L40">
        <v>0</v>
      </c>
      <c r="M40">
        <v>4.0599999999999996</v>
      </c>
    </row>
    <row r="41" spans="1:14" x14ac:dyDescent="0.35">
      <c r="A41">
        <v>2</v>
      </c>
      <c r="B41" t="s">
        <v>119</v>
      </c>
      <c r="C41">
        <v>0</v>
      </c>
      <c r="D41">
        <v>0.5</v>
      </c>
      <c r="E41">
        <v>0</v>
      </c>
      <c r="F41">
        <v>0</v>
      </c>
      <c r="G41">
        <v>0</v>
      </c>
      <c r="H41">
        <v>1</v>
      </c>
      <c r="I41">
        <v>0</v>
      </c>
      <c r="J41">
        <v>0</v>
      </c>
      <c r="K41">
        <v>0</v>
      </c>
      <c r="L41">
        <v>0</v>
      </c>
      <c r="M41">
        <v>4.0599999999999996</v>
      </c>
    </row>
    <row r="42" spans="1:14" x14ac:dyDescent="0.35">
      <c r="A42">
        <v>3</v>
      </c>
      <c r="B42" t="s">
        <v>115</v>
      </c>
      <c r="C42">
        <v>0</v>
      </c>
      <c r="D42">
        <v>0</v>
      </c>
      <c r="E42">
        <v>0</v>
      </c>
      <c r="F42">
        <v>0</v>
      </c>
      <c r="G42">
        <v>0</v>
      </c>
      <c r="H42">
        <v>0</v>
      </c>
      <c r="I42">
        <v>0</v>
      </c>
      <c r="J42">
        <v>0</v>
      </c>
      <c r="K42">
        <v>0</v>
      </c>
      <c r="L42">
        <v>0</v>
      </c>
      <c r="M42">
        <v>4.0599999999999996</v>
      </c>
    </row>
    <row r="43" spans="1:14" x14ac:dyDescent="0.35">
      <c r="A43">
        <v>3</v>
      </c>
      <c r="B43" t="s">
        <v>117</v>
      </c>
      <c r="C43">
        <v>0</v>
      </c>
      <c r="D43">
        <v>0</v>
      </c>
      <c r="E43">
        <v>0</v>
      </c>
      <c r="F43">
        <v>0</v>
      </c>
      <c r="G43">
        <v>0</v>
      </c>
      <c r="H43">
        <v>0</v>
      </c>
      <c r="I43">
        <v>0</v>
      </c>
      <c r="J43">
        <v>0</v>
      </c>
      <c r="K43">
        <v>0</v>
      </c>
      <c r="L43">
        <v>0</v>
      </c>
      <c r="M43">
        <v>4.0599999999999996</v>
      </c>
    </row>
    <row r="44" spans="1:14" x14ac:dyDescent="0.35">
      <c r="A44">
        <v>3</v>
      </c>
      <c r="B44" t="s">
        <v>118</v>
      </c>
      <c r="C44">
        <v>0</v>
      </c>
      <c r="D44">
        <v>0</v>
      </c>
      <c r="E44">
        <v>0</v>
      </c>
      <c r="F44">
        <v>0</v>
      </c>
      <c r="G44">
        <v>0</v>
      </c>
      <c r="H44">
        <v>0</v>
      </c>
      <c r="I44">
        <v>0</v>
      </c>
      <c r="J44">
        <v>0</v>
      </c>
      <c r="K44">
        <v>0</v>
      </c>
      <c r="L44">
        <v>0</v>
      </c>
      <c r="M44">
        <v>4.0599999999999996</v>
      </c>
    </row>
    <row r="45" spans="1:14" x14ac:dyDescent="0.35">
      <c r="A45">
        <v>3</v>
      </c>
      <c r="B45" t="s">
        <v>119</v>
      </c>
      <c r="C45">
        <v>0</v>
      </c>
      <c r="D45">
        <v>0</v>
      </c>
      <c r="E45">
        <v>0</v>
      </c>
      <c r="F45">
        <v>0</v>
      </c>
      <c r="G45">
        <v>0</v>
      </c>
      <c r="H45">
        <v>0</v>
      </c>
      <c r="I45">
        <v>0</v>
      </c>
      <c r="J45">
        <v>0</v>
      </c>
      <c r="K45">
        <v>0</v>
      </c>
      <c r="L45">
        <v>0</v>
      </c>
      <c r="M45">
        <v>4.0599999999999996</v>
      </c>
    </row>
    <row r="46" spans="1:14" x14ac:dyDescent="0.35">
      <c r="A46" s="6">
        <v>96</v>
      </c>
      <c r="B46" s="6" t="s">
        <v>115</v>
      </c>
      <c r="C46" s="6">
        <v>0</v>
      </c>
      <c r="D46" s="6">
        <v>25.5</v>
      </c>
      <c r="E46" s="6">
        <v>1</v>
      </c>
      <c r="F46" s="6">
        <v>0</v>
      </c>
      <c r="G46" s="6">
        <v>2</v>
      </c>
      <c r="H46" s="6">
        <v>4</v>
      </c>
      <c r="I46" s="6">
        <v>4</v>
      </c>
      <c r="J46" s="6">
        <v>1</v>
      </c>
      <c r="K46" s="6">
        <v>5</v>
      </c>
      <c r="L46" s="6">
        <v>1</v>
      </c>
      <c r="M46">
        <v>4.0599999999999996</v>
      </c>
      <c r="N46" s="6"/>
    </row>
    <row r="47" spans="1:14" x14ac:dyDescent="0.35">
      <c r="A47">
        <v>96</v>
      </c>
      <c r="B47" t="s">
        <v>117</v>
      </c>
      <c r="C47">
        <v>0</v>
      </c>
      <c r="D47">
        <v>55.5</v>
      </c>
      <c r="E47">
        <v>5</v>
      </c>
      <c r="F47">
        <v>4</v>
      </c>
      <c r="G47">
        <v>4</v>
      </c>
      <c r="H47">
        <v>3</v>
      </c>
      <c r="I47">
        <v>2</v>
      </c>
      <c r="J47">
        <v>2</v>
      </c>
      <c r="K47">
        <v>6</v>
      </c>
      <c r="L47">
        <v>4</v>
      </c>
      <c r="M47">
        <v>4.0599999999999996</v>
      </c>
    </row>
    <row r="48" spans="1:14" x14ac:dyDescent="0.35">
      <c r="A48">
        <v>96</v>
      </c>
      <c r="B48" t="s">
        <v>118</v>
      </c>
      <c r="C48">
        <v>0</v>
      </c>
      <c r="D48">
        <v>15.5</v>
      </c>
      <c r="E48">
        <v>1</v>
      </c>
      <c r="F48">
        <v>0</v>
      </c>
      <c r="G48">
        <v>0</v>
      </c>
      <c r="H48">
        <v>1</v>
      </c>
      <c r="I48">
        <v>0</v>
      </c>
      <c r="J48">
        <v>1</v>
      </c>
      <c r="K48">
        <v>0</v>
      </c>
      <c r="L48">
        <v>3</v>
      </c>
      <c r="M48">
        <v>4.0599999999999996</v>
      </c>
    </row>
    <row r="49" spans="1:13" x14ac:dyDescent="0.35">
      <c r="A49">
        <v>96</v>
      </c>
      <c r="B49" t="s">
        <v>119</v>
      </c>
      <c r="C49">
        <v>0</v>
      </c>
      <c r="D49">
        <v>15.5</v>
      </c>
      <c r="E49">
        <v>2</v>
      </c>
      <c r="F49">
        <v>0</v>
      </c>
      <c r="G49">
        <v>1</v>
      </c>
      <c r="H49">
        <v>0</v>
      </c>
      <c r="I49">
        <v>1</v>
      </c>
      <c r="J49">
        <v>0</v>
      </c>
      <c r="K49">
        <v>1</v>
      </c>
      <c r="L49">
        <v>4</v>
      </c>
      <c r="M49">
        <v>4.0599999999999996</v>
      </c>
    </row>
    <row r="50" spans="1:13" x14ac:dyDescent="0.35">
      <c r="A50">
        <v>97</v>
      </c>
      <c r="B50" t="s">
        <v>115</v>
      </c>
      <c r="C50">
        <v>0</v>
      </c>
      <c r="D50">
        <v>8</v>
      </c>
      <c r="E50">
        <v>0</v>
      </c>
      <c r="F50">
        <v>0</v>
      </c>
      <c r="G50">
        <v>0</v>
      </c>
      <c r="H50">
        <v>0</v>
      </c>
      <c r="I50">
        <v>0</v>
      </c>
      <c r="J50">
        <v>3</v>
      </c>
      <c r="K50">
        <v>1</v>
      </c>
      <c r="L50">
        <v>3</v>
      </c>
      <c r="M50">
        <v>4.0599999999999996</v>
      </c>
    </row>
    <row r="51" spans="1:13" x14ac:dyDescent="0.35">
      <c r="A51">
        <v>97</v>
      </c>
      <c r="B51" t="s">
        <v>117</v>
      </c>
      <c r="C51">
        <v>0</v>
      </c>
      <c r="D51">
        <v>25.5</v>
      </c>
      <c r="E51">
        <v>1</v>
      </c>
      <c r="F51">
        <v>1</v>
      </c>
      <c r="G51">
        <v>0</v>
      </c>
      <c r="H51">
        <v>1</v>
      </c>
      <c r="I51">
        <v>3</v>
      </c>
      <c r="J51">
        <v>1</v>
      </c>
      <c r="K51">
        <v>0</v>
      </c>
      <c r="L51">
        <v>0</v>
      </c>
      <c r="M51">
        <v>4.0599999999999996</v>
      </c>
    </row>
    <row r="52" spans="1:13" x14ac:dyDescent="0.35">
      <c r="A52">
        <v>97</v>
      </c>
      <c r="B52" t="s">
        <v>118</v>
      </c>
      <c r="C52">
        <v>0</v>
      </c>
      <c r="D52">
        <v>45.5</v>
      </c>
      <c r="E52">
        <v>0</v>
      </c>
      <c r="F52">
        <v>3</v>
      </c>
      <c r="G52">
        <v>3</v>
      </c>
      <c r="H52">
        <v>0</v>
      </c>
      <c r="I52">
        <v>4</v>
      </c>
      <c r="J52">
        <v>2</v>
      </c>
      <c r="K52">
        <v>7</v>
      </c>
      <c r="L52">
        <v>2</v>
      </c>
      <c r="M52">
        <v>4.0599999999999996</v>
      </c>
    </row>
    <row r="53" spans="1:13" x14ac:dyDescent="0.35">
      <c r="A53">
        <v>97</v>
      </c>
      <c r="B53" t="s">
        <v>119</v>
      </c>
      <c r="C53">
        <v>0</v>
      </c>
      <c r="D53">
        <v>85.5</v>
      </c>
      <c r="E53">
        <v>12</v>
      </c>
      <c r="F53">
        <v>3</v>
      </c>
      <c r="G53">
        <v>2</v>
      </c>
      <c r="H53">
        <v>3</v>
      </c>
      <c r="I53">
        <v>6</v>
      </c>
      <c r="J53">
        <v>6</v>
      </c>
      <c r="K53">
        <v>5</v>
      </c>
      <c r="L53">
        <v>6</v>
      </c>
      <c r="M53">
        <v>4.0599999999999996</v>
      </c>
    </row>
    <row r="54" spans="1:13" x14ac:dyDescent="0.35">
      <c r="A54">
        <v>98</v>
      </c>
      <c r="B54" t="s">
        <v>115</v>
      </c>
      <c r="C54">
        <v>0</v>
      </c>
      <c r="D54">
        <v>0</v>
      </c>
      <c r="E54">
        <v>0</v>
      </c>
      <c r="F54">
        <v>0</v>
      </c>
      <c r="G54">
        <v>0</v>
      </c>
      <c r="H54">
        <v>0</v>
      </c>
      <c r="I54">
        <v>0</v>
      </c>
      <c r="J54">
        <v>0</v>
      </c>
      <c r="K54">
        <v>0</v>
      </c>
      <c r="L54">
        <v>0</v>
      </c>
      <c r="M54">
        <v>4.0599999999999996</v>
      </c>
    </row>
    <row r="55" spans="1:13" x14ac:dyDescent="0.35">
      <c r="A55">
        <v>98</v>
      </c>
      <c r="B55" t="s">
        <v>117</v>
      </c>
      <c r="C55">
        <v>0</v>
      </c>
      <c r="D55">
        <v>35.5</v>
      </c>
      <c r="E55">
        <v>3</v>
      </c>
      <c r="F55">
        <v>0</v>
      </c>
      <c r="G55">
        <v>3</v>
      </c>
      <c r="H55">
        <v>4</v>
      </c>
      <c r="I55">
        <v>3</v>
      </c>
      <c r="J55">
        <v>2</v>
      </c>
      <c r="K55">
        <v>0</v>
      </c>
      <c r="L55">
        <v>1</v>
      </c>
      <c r="M55">
        <v>4.0599999999999996</v>
      </c>
    </row>
    <row r="56" spans="1:13" x14ac:dyDescent="0.35">
      <c r="A56">
        <v>98</v>
      </c>
      <c r="B56" t="s">
        <v>118</v>
      </c>
      <c r="C56">
        <v>0</v>
      </c>
      <c r="D56">
        <v>8</v>
      </c>
      <c r="E56">
        <v>0</v>
      </c>
      <c r="F56">
        <v>0</v>
      </c>
      <c r="G56">
        <v>3</v>
      </c>
      <c r="H56">
        <v>0</v>
      </c>
      <c r="I56">
        <v>0</v>
      </c>
      <c r="J56">
        <v>1</v>
      </c>
      <c r="K56">
        <v>0</v>
      </c>
      <c r="L56">
        <v>0</v>
      </c>
      <c r="M56">
        <v>4.0599999999999996</v>
      </c>
    </row>
    <row r="57" spans="1:13" x14ac:dyDescent="0.35">
      <c r="A57">
        <v>98</v>
      </c>
      <c r="B57" t="s">
        <v>119</v>
      </c>
      <c r="C57">
        <v>0</v>
      </c>
      <c r="D57">
        <v>8</v>
      </c>
      <c r="E57">
        <v>0</v>
      </c>
      <c r="F57">
        <v>1</v>
      </c>
      <c r="G57">
        <v>7</v>
      </c>
      <c r="H57">
        <v>0</v>
      </c>
      <c r="I57">
        <v>0</v>
      </c>
      <c r="J57">
        <v>0</v>
      </c>
      <c r="K57">
        <v>0</v>
      </c>
      <c r="L57">
        <v>0</v>
      </c>
      <c r="M57">
        <v>4.0599999999999996</v>
      </c>
    </row>
    <row r="58" spans="1:13" x14ac:dyDescent="0.35">
      <c r="A58">
        <v>99</v>
      </c>
      <c r="B58" t="s">
        <v>115</v>
      </c>
      <c r="C58">
        <v>0</v>
      </c>
      <c r="D58">
        <v>0</v>
      </c>
      <c r="E58">
        <v>0</v>
      </c>
      <c r="F58">
        <v>0</v>
      </c>
      <c r="G58">
        <v>0</v>
      </c>
      <c r="H58">
        <v>0</v>
      </c>
      <c r="I58">
        <v>0</v>
      </c>
      <c r="J58">
        <v>0</v>
      </c>
      <c r="K58">
        <v>0</v>
      </c>
      <c r="L58">
        <v>0</v>
      </c>
      <c r="M58">
        <v>4.0599999999999996</v>
      </c>
    </row>
    <row r="59" spans="1:13" x14ac:dyDescent="0.35">
      <c r="A59">
        <v>99</v>
      </c>
      <c r="B59" t="s">
        <v>117</v>
      </c>
      <c r="C59">
        <v>0</v>
      </c>
      <c r="D59">
        <v>0</v>
      </c>
      <c r="E59">
        <v>0</v>
      </c>
      <c r="F59">
        <v>0</v>
      </c>
      <c r="G59">
        <v>0</v>
      </c>
      <c r="H59">
        <v>0</v>
      </c>
      <c r="I59">
        <v>0</v>
      </c>
      <c r="J59">
        <v>0</v>
      </c>
      <c r="K59">
        <v>0</v>
      </c>
      <c r="L59">
        <v>0</v>
      </c>
      <c r="M59">
        <v>4.0599999999999996</v>
      </c>
    </row>
    <row r="60" spans="1:13" x14ac:dyDescent="0.35">
      <c r="A60">
        <v>99</v>
      </c>
      <c r="B60" t="s">
        <v>118</v>
      </c>
      <c r="C60">
        <v>0</v>
      </c>
      <c r="D60">
        <v>25.5</v>
      </c>
      <c r="E60">
        <v>0</v>
      </c>
      <c r="F60">
        <v>0</v>
      </c>
      <c r="G60">
        <v>0</v>
      </c>
      <c r="H60">
        <v>0</v>
      </c>
      <c r="I60">
        <v>0</v>
      </c>
      <c r="J60">
        <v>0</v>
      </c>
      <c r="K60">
        <v>13</v>
      </c>
      <c r="L60">
        <v>0</v>
      </c>
      <c r="M60">
        <v>4.0599999999999996</v>
      </c>
    </row>
    <row r="61" spans="1:13" x14ac:dyDescent="0.35">
      <c r="A61">
        <v>99</v>
      </c>
      <c r="B61" t="s">
        <v>119</v>
      </c>
      <c r="C61">
        <v>0</v>
      </c>
      <c r="D61">
        <v>0.5</v>
      </c>
      <c r="E61">
        <v>0</v>
      </c>
      <c r="F61">
        <v>2</v>
      </c>
      <c r="G61">
        <v>0</v>
      </c>
      <c r="H61">
        <v>0</v>
      </c>
      <c r="I61">
        <v>0</v>
      </c>
      <c r="J61">
        <v>0</v>
      </c>
      <c r="K61">
        <v>0</v>
      </c>
      <c r="L61">
        <v>0</v>
      </c>
      <c r="M61">
        <v>4.0599999999999996</v>
      </c>
    </row>
    <row r="62" spans="1:13" x14ac:dyDescent="0.35">
      <c r="A62">
        <v>49</v>
      </c>
      <c r="B62" t="s">
        <v>115</v>
      </c>
      <c r="C62">
        <v>0</v>
      </c>
      <c r="D62">
        <v>75.5</v>
      </c>
      <c r="E62">
        <v>10</v>
      </c>
      <c r="F62">
        <v>9</v>
      </c>
      <c r="G62">
        <v>5</v>
      </c>
      <c r="H62">
        <v>6</v>
      </c>
      <c r="I62">
        <v>3</v>
      </c>
      <c r="J62">
        <v>7</v>
      </c>
      <c r="K62">
        <v>3</v>
      </c>
      <c r="L62">
        <v>3</v>
      </c>
      <c r="M62">
        <v>4.0599999999999996</v>
      </c>
    </row>
    <row r="63" spans="1:13" x14ac:dyDescent="0.35">
      <c r="A63">
        <v>49</v>
      </c>
      <c r="B63" t="s">
        <v>117</v>
      </c>
      <c r="C63">
        <v>0</v>
      </c>
      <c r="D63">
        <v>35.5</v>
      </c>
      <c r="E63">
        <v>4</v>
      </c>
      <c r="F63">
        <v>0</v>
      </c>
      <c r="G63">
        <v>1</v>
      </c>
      <c r="H63">
        <v>7</v>
      </c>
      <c r="I63">
        <v>2</v>
      </c>
      <c r="J63">
        <v>2</v>
      </c>
      <c r="K63">
        <v>5</v>
      </c>
      <c r="L63">
        <v>7</v>
      </c>
      <c r="M63">
        <v>4.0599999999999996</v>
      </c>
    </row>
    <row r="64" spans="1:13" x14ac:dyDescent="0.35">
      <c r="A64">
        <v>49</v>
      </c>
      <c r="B64" t="s">
        <v>118</v>
      </c>
      <c r="C64">
        <v>0</v>
      </c>
      <c r="D64">
        <v>8</v>
      </c>
      <c r="E64">
        <v>1</v>
      </c>
      <c r="F64">
        <v>4</v>
      </c>
      <c r="G64">
        <v>8</v>
      </c>
      <c r="H64">
        <v>4</v>
      </c>
      <c r="I64">
        <v>0</v>
      </c>
      <c r="J64">
        <v>1</v>
      </c>
      <c r="K64">
        <v>2</v>
      </c>
      <c r="L64">
        <v>2</v>
      </c>
      <c r="M64">
        <v>4.0599999999999996</v>
      </c>
    </row>
    <row r="65" spans="1:13" x14ac:dyDescent="0.35">
      <c r="A65">
        <v>49</v>
      </c>
      <c r="B65" t="s">
        <v>119</v>
      </c>
      <c r="C65">
        <v>0</v>
      </c>
      <c r="D65">
        <v>25.5</v>
      </c>
      <c r="E65">
        <v>1</v>
      </c>
      <c r="F65">
        <v>0</v>
      </c>
      <c r="G65">
        <v>1</v>
      </c>
      <c r="H65">
        <v>5</v>
      </c>
      <c r="I65">
        <v>2</v>
      </c>
      <c r="J65">
        <v>1</v>
      </c>
      <c r="K65">
        <v>2</v>
      </c>
      <c r="L65">
        <v>2</v>
      </c>
      <c r="M65">
        <v>4.0599999999999996</v>
      </c>
    </row>
    <row r="66" spans="1:13" x14ac:dyDescent="0.35">
      <c r="A66">
        <v>50</v>
      </c>
      <c r="B66" t="s">
        <v>115</v>
      </c>
      <c r="C66">
        <v>0</v>
      </c>
      <c r="D66">
        <v>15.5</v>
      </c>
      <c r="E66">
        <v>1</v>
      </c>
      <c r="F66">
        <v>0</v>
      </c>
      <c r="G66">
        <v>0</v>
      </c>
      <c r="H66">
        <v>0</v>
      </c>
      <c r="I66">
        <v>1</v>
      </c>
      <c r="J66">
        <v>1</v>
      </c>
      <c r="K66">
        <v>0</v>
      </c>
      <c r="L66">
        <v>3</v>
      </c>
      <c r="M66">
        <v>4.0599999999999996</v>
      </c>
    </row>
    <row r="67" spans="1:13" x14ac:dyDescent="0.35">
      <c r="A67">
        <v>50</v>
      </c>
      <c r="B67" t="s">
        <v>117</v>
      </c>
      <c r="C67">
        <v>0</v>
      </c>
      <c r="D67">
        <v>45.5</v>
      </c>
      <c r="E67">
        <v>3</v>
      </c>
      <c r="F67">
        <v>1</v>
      </c>
      <c r="G67">
        <v>2</v>
      </c>
      <c r="H67">
        <v>2</v>
      </c>
      <c r="I67">
        <v>3</v>
      </c>
      <c r="J67">
        <v>3</v>
      </c>
      <c r="K67">
        <v>0</v>
      </c>
      <c r="L67">
        <v>3</v>
      </c>
      <c r="M67">
        <v>4.0599999999999996</v>
      </c>
    </row>
    <row r="68" spans="1:13" x14ac:dyDescent="0.35">
      <c r="A68">
        <v>50</v>
      </c>
      <c r="B68" t="s">
        <v>118</v>
      </c>
      <c r="C68">
        <v>0</v>
      </c>
      <c r="D68">
        <v>8</v>
      </c>
      <c r="E68">
        <v>1</v>
      </c>
      <c r="F68">
        <v>2</v>
      </c>
      <c r="G68">
        <v>0</v>
      </c>
      <c r="H68">
        <v>2</v>
      </c>
      <c r="I68">
        <v>0</v>
      </c>
      <c r="J68">
        <v>0</v>
      </c>
      <c r="K68">
        <v>3</v>
      </c>
      <c r="L68">
        <v>1</v>
      </c>
      <c r="M68">
        <v>4.0599999999999996</v>
      </c>
    </row>
    <row r="69" spans="1:13" x14ac:dyDescent="0.35">
      <c r="A69">
        <v>50</v>
      </c>
      <c r="B69" t="s">
        <v>119</v>
      </c>
      <c r="C69">
        <v>0</v>
      </c>
      <c r="D69">
        <v>8</v>
      </c>
      <c r="E69">
        <v>3</v>
      </c>
      <c r="F69">
        <v>2</v>
      </c>
      <c r="G69">
        <v>1</v>
      </c>
      <c r="H69">
        <v>0</v>
      </c>
      <c r="I69">
        <v>0</v>
      </c>
      <c r="J69">
        <v>3</v>
      </c>
      <c r="K69">
        <v>2</v>
      </c>
      <c r="L69">
        <v>0</v>
      </c>
      <c r="M69">
        <v>4.0599999999999996</v>
      </c>
    </row>
    <row r="70" spans="1:13" x14ac:dyDescent="0.35">
      <c r="A70">
        <v>53</v>
      </c>
      <c r="B70" t="s">
        <v>115</v>
      </c>
      <c r="C70">
        <v>0</v>
      </c>
      <c r="D70">
        <v>25.5</v>
      </c>
      <c r="E70">
        <v>0</v>
      </c>
      <c r="F70">
        <v>0</v>
      </c>
      <c r="G70">
        <v>0</v>
      </c>
      <c r="H70">
        <v>2</v>
      </c>
      <c r="I70">
        <v>2</v>
      </c>
      <c r="J70">
        <v>1</v>
      </c>
      <c r="K70">
        <v>2</v>
      </c>
      <c r="L70">
        <v>5</v>
      </c>
      <c r="M70">
        <v>4.0599999999999996</v>
      </c>
    </row>
    <row r="71" spans="1:13" x14ac:dyDescent="0.35">
      <c r="A71">
        <v>53</v>
      </c>
      <c r="B71" t="s">
        <v>117</v>
      </c>
      <c r="C71">
        <v>0</v>
      </c>
      <c r="D71">
        <v>35.5</v>
      </c>
      <c r="E71">
        <v>3</v>
      </c>
      <c r="F71">
        <v>0</v>
      </c>
      <c r="G71">
        <v>0</v>
      </c>
      <c r="H71">
        <v>2</v>
      </c>
      <c r="I71">
        <v>3</v>
      </c>
      <c r="J71">
        <v>5</v>
      </c>
      <c r="K71">
        <v>2</v>
      </c>
      <c r="L71">
        <v>2</v>
      </c>
      <c r="M71">
        <v>4.0599999999999996</v>
      </c>
    </row>
    <row r="72" spans="1:13" x14ac:dyDescent="0.35">
      <c r="A72">
        <v>53</v>
      </c>
      <c r="B72" t="s">
        <v>118</v>
      </c>
      <c r="C72">
        <v>0</v>
      </c>
      <c r="D72">
        <v>3.5</v>
      </c>
      <c r="E72">
        <v>4</v>
      </c>
      <c r="F72">
        <v>0</v>
      </c>
      <c r="G72">
        <v>0</v>
      </c>
      <c r="H72">
        <v>0</v>
      </c>
      <c r="I72">
        <v>1</v>
      </c>
      <c r="J72">
        <v>0</v>
      </c>
      <c r="K72">
        <v>0</v>
      </c>
      <c r="L72">
        <v>1</v>
      </c>
      <c r="M72">
        <v>4.0599999999999996</v>
      </c>
    </row>
    <row r="73" spans="1:13" x14ac:dyDescent="0.35">
      <c r="A73">
        <v>53</v>
      </c>
      <c r="B73" t="s">
        <v>119</v>
      </c>
      <c r="C73">
        <v>0</v>
      </c>
      <c r="D73">
        <v>3.5</v>
      </c>
      <c r="E73">
        <v>2</v>
      </c>
      <c r="F73">
        <v>2</v>
      </c>
      <c r="G73">
        <v>1</v>
      </c>
      <c r="H73">
        <v>2</v>
      </c>
      <c r="I73">
        <v>0</v>
      </c>
      <c r="J73">
        <v>0</v>
      </c>
      <c r="K73">
        <v>0</v>
      </c>
      <c r="L73">
        <v>0</v>
      </c>
      <c r="M73">
        <v>4.0599999999999996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7F843-3E6B-47F9-B781-393B3656CEC9}">
  <dimension ref="A1:M25"/>
  <sheetViews>
    <sheetView workbookViewId="0">
      <selection activeCell="P19" sqref="P19"/>
    </sheetView>
  </sheetViews>
  <sheetFormatPr defaultRowHeight="14.5" x14ac:dyDescent="0.35"/>
  <sheetData>
    <row r="1" spans="1:13" ht="72.5" x14ac:dyDescent="0.35">
      <c r="A1" s="1" t="s">
        <v>6</v>
      </c>
      <c r="B1" s="1" t="s">
        <v>41</v>
      </c>
      <c r="C1" s="1" t="s">
        <v>44</v>
      </c>
      <c r="D1" s="1" t="s">
        <v>123</v>
      </c>
      <c r="E1" s="1" t="s">
        <v>124</v>
      </c>
      <c r="F1" s="1" t="s">
        <v>86</v>
      </c>
      <c r="G1" s="1" t="s">
        <v>48</v>
      </c>
      <c r="H1" s="1" t="s">
        <v>49</v>
      </c>
      <c r="I1" s="1" t="s">
        <v>125</v>
      </c>
      <c r="J1" s="1" t="s">
        <v>51</v>
      </c>
      <c r="K1" s="1" t="s">
        <v>52</v>
      </c>
      <c r="L1" s="1" t="s">
        <v>126</v>
      </c>
      <c r="M1" s="1" t="s">
        <v>127</v>
      </c>
    </row>
    <row r="2" spans="1:13" x14ac:dyDescent="0.35">
      <c r="A2">
        <v>92</v>
      </c>
      <c r="B2" t="s">
        <v>32</v>
      </c>
      <c r="C2" t="s">
        <v>61</v>
      </c>
      <c r="F2" t="s">
        <v>61</v>
      </c>
      <c r="G2" t="s">
        <v>61</v>
      </c>
      <c r="H2" t="s">
        <v>61</v>
      </c>
      <c r="I2" t="s">
        <v>61</v>
      </c>
      <c r="J2" t="s">
        <v>61</v>
      </c>
      <c r="K2" t="s">
        <v>61</v>
      </c>
      <c r="L2" t="s">
        <v>61</v>
      </c>
    </row>
    <row r="3" spans="1:13" x14ac:dyDescent="0.35">
      <c r="A3">
        <v>92</v>
      </c>
      <c r="B3" t="s">
        <v>34</v>
      </c>
      <c r="C3" t="s">
        <v>61</v>
      </c>
      <c r="F3" t="s">
        <v>61</v>
      </c>
      <c r="G3" t="s">
        <v>61</v>
      </c>
      <c r="H3" t="s">
        <v>61</v>
      </c>
      <c r="I3" t="s">
        <v>61</v>
      </c>
      <c r="J3" t="s">
        <v>61</v>
      </c>
      <c r="K3" t="s">
        <v>61</v>
      </c>
      <c r="L3" t="s">
        <v>61</v>
      </c>
    </row>
    <row r="4" spans="1:13" x14ac:dyDescent="0.35">
      <c r="A4">
        <v>92</v>
      </c>
      <c r="B4" t="s">
        <v>36</v>
      </c>
      <c r="C4" t="s">
        <v>61</v>
      </c>
      <c r="F4" t="s">
        <v>61</v>
      </c>
      <c r="G4" t="s">
        <v>61</v>
      </c>
      <c r="H4" t="s">
        <v>61</v>
      </c>
      <c r="I4" t="s">
        <v>61</v>
      </c>
      <c r="J4" t="s">
        <v>61</v>
      </c>
      <c r="K4" t="s">
        <v>61</v>
      </c>
      <c r="L4" t="s">
        <v>61</v>
      </c>
    </row>
    <row r="5" spans="1:13" x14ac:dyDescent="0.35">
      <c r="A5">
        <v>92</v>
      </c>
      <c r="B5" t="s">
        <v>37</v>
      </c>
      <c r="C5" t="s">
        <v>128</v>
      </c>
      <c r="D5" t="s">
        <v>88</v>
      </c>
      <c r="E5" t="s">
        <v>70</v>
      </c>
      <c r="F5">
        <v>1</v>
      </c>
      <c r="G5" t="s">
        <v>88</v>
      </c>
      <c r="H5" t="s">
        <v>88</v>
      </c>
      <c r="I5" t="s">
        <v>70</v>
      </c>
      <c r="J5" t="s">
        <v>88</v>
      </c>
      <c r="K5" t="s">
        <v>88</v>
      </c>
      <c r="L5">
        <v>100</v>
      </c>
    </row>
    <row r="6" spans="1:13" x14ac:dyDescent="0.35">
      <c r="A6">
        <v>93</v>
      </c>
      <c r="B6" t="s">
        <v>32</v>
      </c>
      <c r="C6" t="s">
        <v>61</v>
      </c>
      <c r="F6">
        <v>0</v>
      </c>
      <c r="G6" t="s">
        <v>61</v>
      </c>
      <c r="H6" t="s">
        <v>61</v>
      </c>
      <c r="I6" t="s">
        <v>61</v>
      </c>
      <c r="J6" t="s">
        <v>61</v>
      </c>
      <c r="K6" t="s">
        <v>61</v>
      </c>
      <c r="L6" t="s">
        <v>61</v>
      </c>
    </row>
    <row r="7" spans="1:13" x14ac:dyDescent="0.35">
      <c r="A7">
        <v>93</v>
      </c>
      <c r="B7" t="s">
        <v>34</v>
      </c>
      <c r="C7" t="s">
        <v>61</v>
      </c>
      <c r="F7">
        <v>0</v>
      </c>
      <c r="G7" t="s">
        <v>61</v>
      </c>
      <c r="H7" t="s">
        <v>61</v>
      </c>
      <c r="I7" t="s">
        <v>61</v>
      </c>
      <c r="J7" t="s">
        <v>61</v>
      </c>
      <c r="K7" t="s">
        <v>61</v>
      </c>
      <c r="L7" t="s">
        <v>61</v>
      </c>
    </row>
    <row r="8" spans="1:13" x14ac:dyDescent="0.35">
      <c r="A8">
        <v>93</v>
      </c>
      <c r="B8" t="s">
        <v>36</v>
      </c>
      <c r="C8" t="s">
        <v>61</v>
      </c>
      <c r="F8">
        <v>0</v>
      </c>
      <c r="G8" t="s">
        <v>61</v>
      </c>
      <c r="H8" t="s">
        <v>61</v>
      </c>
      <c r="I8" t="s">
        <v>61</v>
      </c>
      <c r="J8" t="s">
        <v>61</v>
      </c>
      <c r="K8" t="s">
        <v>61</v>
      </c>
      <c r="L8" t="s">
        <v>61</v>
      </c>
    </row>
    <row r="9" spans="1:13" x14ac:dyDescent="0.35">
      <c r="A9">
        <v>93</v>
      </c>
      <c r="B9" t="s">
        <v>37</v>
      </c>
      <c r="C9" t="s">
        <v>61</v>
      </c>
      <c r="F9">
        <v>0</v>
      </c>
      <c r="G9" t="s">
        <v>61</v>
      </c>
      <c r="H9" t="s">
        <v>61</v>
      </c>
      <c r="I9" t="s">
        <v>61</v>
      </c>
      <c r="J9" t="s">
        <v>61</v>
      </c>
      <c r="K9" t="s">
        <v>61</v>
      </c>
      <c r="L9" t="s">
        <v>61</v>
      </c>
    </row>
    <row r="10" spans="1:13" x14ac:dyDescent="0.35">
      <c r="A10">
        <v>4</v>
      </c>
      <c r="B10" t="s">
        <v>32</v>
      </c>
      <c r="C10" t="s">
        <v>61</v>
      </c>
      <c r="F10">
        <v>0</v>
      </c>
      <c r="G10" t="s">
        <v>61</v>
      </c>
      <c r="H10" t="s">
        <v>61</v>
      </c>
      <c r="I10" t="s">
        <v>61</v>
      </c>
      <c r="J10" t="s">
        <v>61</v>
      </c>
      <c r="K10" t="s">
        <v>61</v>
      </c>
      <c r="L10" t="s">
        <v>61</v>
      </c>
    </row>
    <row r="11" spans="1:13" x14ac:dyDescent="0.35">
      <c r="A11">
        <v>4</v>
      </c>
      <c r="B11" t="s">
        <v>34</v>
      </c>
      <c r="C11" t="s">
        <v>61</v>
      </c>
      <c r="F11">
        <v>0</v>
      </c>
      <c r="G11" t="s">
        <v>61</v>
      </c>
      <c r="H11" t="s">
        <v>61</v>
      </c>
      <c r="I11" t="s">
        <v>61</v>
      </c>
      <c r="J11" t="s">
        <v>61</v>
      </c>
      <c r="K11" t="s">
        <v>61</v>
      </c>
      <c r="L11" t="s">
        <v>61</v>
      </c>
    </row>
    <row r="12" spans="1:13" x14ac:dyDescent="0.35">
      <c r="A12">
        <v>4</v>
      </c>
      <c r="B12" t="s">
        <v>36</v>
      </c>
      <c r="C12" t="s">
        <v>61</v>
      </c>
      <c r="F12">
        <v>0</v>
      </c>
      <c r="G12" t="s">
        <v>61</v>
      </c>
      <c r="H12" t="s">
        <v>61</v>
      </c>
      <c r="I12" t="s">
        <v>61</v>
      </c>
      <c r="J12" t="s">
        <v>61</v>
      </c>
      <c r="K12" t="s">
        <v>61</v>
      </c>
      <c r="L12" t="s">
        <v>61</v>
      </c>
    </row>
    <row r="13" spans="1:13" x14ac:dyDescent="0.35">
      <c r="A13">
        <v>4</v>
      </c>
      <c r="B13" t="s">
        <v>37</v>
      </c>
      <c r="C13" t="s">
        <v>61</v>
      </c>
      <c r="F13">
        <v>0</v>
      </c>
      <c r="G13" t="s">
        <v>61</v>
      </c>
      <c r="H13" t="s">
        <v>61</v>
      </c>
      <c r="I13" t="s">
        <v>61</v>
      </c>
      <c r="J13" t="s">
        <v>61</v>
      </c>
      <c r="K13" t="s">
        <v>61</v>
      </c>
      <c r="L13" t="s">
        <v>61</v>
      </c>
    </row>
    <row r="14" spans="1:13" x14ac:dyDescent="0.35">
      <c r="A14">
        <v>6</v>
      </c>
      <c r="B14" t="s">
        <v>32</v>
      </c>
      <c r="C14" t="s">
        <v>61</v>
      </c>
      <c r="F14">
        <v>0</v>
      </c>
      <c r="G14" t="s">
        <v>61</v>
      </c>
      <c r="H14" t="s">
        <v>61</v>
      </c>
      <c r="I14" t="s">
        <v>61</v>
      </c>
      <c r="J14" t="s">
        <v>61</v>
      </c>
      <c r="K14" t="s">
        <v>61</v>
      </c>
      <c r="L14" t="s">
        <v>61</v>
      </c>
    </row>
    <row r="15" spans="1:13" x14ac:dyDescent="0.35">
      <c r="A15">
        <v>6</v>
      </c>
      <c r="B15" t="s">
        <v>34</v>
      </c>
      <c r="C15" t="s">
        <v>128</v>
      </c>
      <c r="D15" t="s">
        <v>88</v>
      </c>
      <c r="E15" t="s">
        <v>70</v>
      </c>
      <c r="F15">
        <v>3</v>
      </c>
      <c r="G15" t="s">
        <v>88</v>
      </c>
      <c r="H15" t="s">
        <v>88</v>
      </c>
      <c r="I15" t="s">
        <v>70</v>
      </c>
      <c r="J15" t="s">
        <v>88</v>
      </c>
      <c r="K15" t="s">
        <v>88</v>
      </c>
      <c r="L15">
        <v>33</v>
      </c>
    </row>
    <row r="16" spans="1:13" x14ac:dyDescent="0.35">
      <c r="A16">
        <v>6</v>
      </c>
      <c r="B16" t="s">
        <v>36</v>
      </c>
      <c r="C16" t="s">
        <v>61</v>
      </c>
      <c r="F16">
        <v>0</v>
      </c>
      <c r="G16" t="s">
        <v>61</v>
      </c>
      <c r="H16" t="s">
        <v>61</v>
      </c>
      <c r="I16" t="s">
        <v>61</v>
      </c>
      <c r="J16" t="s">
        <v>61</v>
      </c>
      <c r="K16" t="s">
        <v>61</v>
      </c>
      <c r="L16" t="s">
        <v>61</v>
      </c>
    </row>
    <row r="17" spans="1:12" x14ac:dyDescent="0.35">
      <c r="A17">
        <v>6</v>
      </c>
      <c r="B17" t="s">
        <v>37</v>
      </c>
      <c r="C17" t="s">
        <v>128</v>
      </c>
      <c r="D17" t="s">
        <v>88</v>
      </c>
      <c r="E17" t="s">
        <v>70</v>
      </c>
      <c r="F17">
        <v>1</v>
      </c>
      <c r="G17" t="s">
        <v>88</v>
      </c>
      <c r="H17" t="s">
        <v>88</v>
      </c>
      <c r="I17" t="s">
        <v>70</v>
      </c>
      <c r="J17" t="s">
        <v>88</v>
      </c>
      <c r="K17" t="s">
        <v>70</v>
      </c>
      <c r="L17">
        <v>100</v>
      </c>
    </row>
    <row r="18" spans="1:12" x14ac:dyDescent="0.35">
      <c r="A18">
        <v>106</v>
      </c>
      <c r="B18" t="s">
        <v>32</v>
      </c>
      <c r="C18" t="s">
        <v>129</v>
      </c>
      <c r="F18">
        <v>1</v>
      </c>
      <c r="G18" t="s">
        <v>88</v>
      </c>
      <c r="H18" t="s">
        <v>88</v>
      </c>
      <c r="I18" t="s">
        <v>88</v>
      </c>
      <c r="J18" t="s">
        <v>88</v>
      </c>
      <c r="K18" t="s">
        <v>88</v>
      </c>
      <c r="L18">
        <v>0</v>
      </c>
    </row>
    <row r="19" spans="1:12" x14ac:dyDescent="0.35">
      <c r="A19">
        <v>106</v>
      </c>
      <c r="B19" t="s">
        <v>34</v>
      </c>
      <c r="C19" t="s">
        <v>129</v>
      </c>
      <c r="F19">
        <v>3</v>
      </c>
      <c r="G19" t="s">
        <v>88</v>
      </c>
      <c r="H19" t="s">
        <v>88</v>
      </c>
      <c r="I19" t="s">
        <v>88</v>
      </c>
      <c r="J19" t="s">
        <v>88</v>
      </c>
      <c r="K19" t="s">
        <v>88</v>
      </c>
      <c r="L19">
        <v>0</v>
      </c>
    </row>
    <row r="20" spans="1:12" x14ac:dyDescent="0.35">
      <c r="A20">
        <v>106</v>
      </c>
      <c r="B20" t="s">
        <v>36</v>
      </c>
      <c r="C20" t="s">
        <v>128</v>
      </c>
      <c r="D20" t="s">
        <v>88</v>
      </c>
      <c r="E20" t="s">
        <v>70</v>
      </c>
      <c r="F20">
        <v>6</v>
      </c>
      <c r="G20" t="s">
        <v>88</v>
      </c>
      <c r="H20" t="s">
        <v>88</v>
      </c>
      <c r="I20" t="s">
        <v>88</v>
      </c>
      <c r="J20" t="s">
        <v>88</v>
      </c>
      <c r="K20" t="s">
        <v>88</v>
      </c>
      <c r="L20">
        <v>0</v>
      </c>
    </row>
    <row r="21" spans="1:12" x14ac:dyDescent="0.35">
      <c r="A21">
        <v>106</v>
      </c>
      <c r="B21" t="s">
        <v>37</v>
      </c>
      <c r="C21" t="s">
        <v>129</v>
      </c>
      <c r="F21">
        <v>2</v>
      </c>
      <c r="G21" t="s">
        <v>88</v>
      </c>
      <c r="H21" t="s">
        <v>88</v>
      </c>
      <c r="I21" t="s">
        <v>88</v>
      </c>
      <c r="J21" t="s">
        <v>88</v>
      </c>
      <c r="K21" t="s">
        <v>88</v>
      </c>
      <c r="L21">
        <v>0</v>
      </c>
    </row>
    <row r="22" spans="1:12" x14ac:dyDescent="0.35">
      <c r="A22">
        <v>107</v>
      </c>
      <c r="B22" t="s">
        <v>32</v>
      </c>
      <c r="C22" t="s">
        <v>61</v>
      </c>
      <c r="F22">
        <v>0</v>
      </c>
      <c r="G22" t="s">
        <v>61</v>
      </c>
      <c r="H22" t="s">
        <v>61</v>
      </c>
      <c r="I22" t="s">
        <v>61</v>
      </c>
      <c r="J22" t="s">
        <v>61</v>
      </c>
      <c r="K22" t="s">
        <v>61</v>
      </c>
      <c r="L22" t="s">
        <v>61</v>
      </c>
    </row>
    <row r="23" spans="1:12" x14ac:dyDescent="0.35">
      <c r="A23">
        <v>107</v>
      </c>
      <c r="B23" t="s">
        <v>34</v>
      </c>
      <c r="C23" t="s">
        <v>61</v>
      </c>
      <c r="F23">
        <v>0</v>
      </c>
      <c r="G23" t="s">
        <v>61</v>
      </c>
      <c r="H23" t="s">
        <v>61</v>
      </c>
      <c r="I23" t="s">
        <v>61</v>
      </c>
      <c r="J23" t="s">
        <v>61</v>
      </c>
      <c r="K23" t="s">
        <v>61</v>
      </c>
      <c r="L23" t="s">
        <v>61</v>
      </c>
    </row>
    <row r="24" spans="1:12" x14ac:dyDescent="0.35">
      <c r="A24">
        <v>107</v>
      </c>
      <c r="B24" t="s">
        <v>36</v>
      </c>
      <c r="C24" t="s">
        <v>61</v>
      </c>
      <c r="F24">
        <v>0</v>
      </c>
      <c r="G24" t="s">
        <v>61</v>
      </c>
      <c r="H24" t="s">
        <v>61</v>
      </c>
      <c r="I24" t="s">
        <v>61</v>
      </c>
      <c r="J24" t="s">
        <v>61</v>
      </c>
      <c r="K24" t="s">
        <v>61</v>
      </c>
      <c r="L24" t="s">
        <v>61</v>
      </c>
    </row>
    <row r="25" spans="1:12" x14ac:dyDescent="0.35">
      <c r="A25">
        <v>107</v>
      </c>
      <c r="B25" t="s">
        <v>37</v>
      </c>
      <c r="C25" t="s">
        <v>128</v>
      </c>
      <c r="F25">
        <v>3</v>
      </c>
      <c r="G25" t="s">
        <v>88</v>
      </c>
      <c r="H25" t="s">
        <v>88</v>
      </c>
      <c r="I25" t="s">
        <v>70</v>
      </c>
      <c r="J25" t="s">
        <v>88</v>
      </c>
      <c r="K25" t="s">
        <v>88</v>
      </c>
      <c r="L25">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plot_percent_cover_2025</vt:lpstr>
      <vt:lpstr>ash_trees_2025</vt:lpstr>
      <vt:lpstr>trees_2025</vt:lpstr>
      <vt:lpstr>ash_seedlings_2025</vt:lpstr>
      <vt:lpstr>ash_saplings_2025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2025-06-16T17:55:10Z</dcterms:created>
  <dcterms:modified xsi:type="dcterms:W3CDTF">2025-06-16T22:48:07Z</dcterms:modified>
</cp:coreProperties>
</file>