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Raw_data/"/>
    </mc:Choice>
  </mc:AlternateContent>
  <xr:revisionPtr revIDLastSave="181" documentId="13_ncr:1_{A7ACBD6E-2F63-44C7-8F1E-736DE6EFC5FC}" xr6:coauthVersionLast="47" xr6:coauthVersionMax="47" xr10:uidLastSave="{0646DB2C-9762-4348-B421-E67FD1534FCD}"/>
  <bookViews>
    <workbookView xWindow="-110" yWindow="-110" windowWidth="19420" windowHeight="10420" activeTab="2" xr2:uid="{D56E7662-2475-4D97-B5C1-D9759644101D}"/>
  </bookViews>
  <sheets>
    <sheet name="metadata" sheetId="1" r:id="rId1"/>
    <sheet name="ash_plot_centers" sheetId="2" r:id="rId2"/>
    <sheet name="ash_seedlings_2024_2025" sheetId="3" r:id="rId3"/>
    <sheet name="ash_saplings_2024_2025" sheetId="4" r:id="rId4"/>
    <sheet name="ash_trees_2024_2025" sheetId="5" r:id="rId5"/>
    <sheet name="trap_locations_2024" sheetId="6" r:id="rId6"/>
    <sheet name="EAB_trap_collection_2024" sheetId="7" r:id="rId7"/>
    <sheet name="yellow_pan_trap_counts_2024" sheetId="8" r:id="rId8"/>
    <sheet name="yellow_pan_trap_collection_2024"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3" i="2" l="1"/>
  <c r="N5" i="2"/>
  <c r="N59" i="2"/>
  <c r="N108" i="2"/>
  <c r="N106" i="2"/>
  <c r="M447" i="4"/>
  <c r="G505" i="5"/>
  <c r="N95" i="2"/>
  <c r="N91" i="2"/>
  <c r="N87" i="2"/>
  <c r="N76" i="2"/>
  <c r="N74" i="2"/>
  <c r="N68" i="2"/>
  <c r="N67" i="2"/>
  <c r="N65" i="2"/>
  <c r="N60" i="2"/>
  <c r="N45" i="2"/>
  <c r="N36" i="2"/>
  <c r="N35" i="2"/>
  <c r="N33" i="2"/>
  <c r="N9" i="2"/>
  <c r="Z121" i="8"/>
  <c r="R121" i="8"/>
  <c r="E121" i="8"/>
  <c r="Z120" i="8"/>
  <c r="R120" i="8"/>
  <c r="E120" i="8" s="1"/>
  <c r="Z119" i="8"/>
  <c r="R119" i="8"/>
  <c r="E119" i="8"/>
  <c r="Z118" i="8"/>
  <c r="R118" i="8"/>
  <c r="E118" i="8"/>
  <c r="Z117" i="8"/>
  <c r="R117" i="8"/>
  <c r="E117" i="8" s="1"/>
  <c r="Z116" i="8"/>
  <c r="R116" i="8"/>
  <c r="E116" i="8"/>
  <c r="Z115" i="8"/>
  <c r="R115" i="8"/>
  <c r="E115" i="8" s="1"/>
  <c r="Z114" i="8"/>
  <c r="R114" i="8"/>
  <c r="E114" i="8" s="1"/>
  <c r="Z113" i="8"/>
  <c r="R113" i="8"/>
  <c r="E113" i="8" s="1"/>
  <c r="Z112" i="8"/>
  <c r="R112" i="8"/>
  <c r="E112" i="8"/>
  <c r="Z111" i="8"/>
  <c r="R111" i="8"/>
  <c r="E111" i="8"/>
  <c r="Z110" i="8"/>
  <c r="R110" i="8"/>
  <c r="E110" i="8" s="1"/>
  <c r="Z109" i="8"/>
  <c r="R109" i="8"/>
  <c r="E109" i="8"/>
  <c r="Z108" i="8"/>
  <c r="R108" i="8"/>
  <c r="E108" i="8"/>
  <c r="Z107" i="8"/>
  <c r="R107" i="8"/>
  <c r="E107" i="8"/>
  <c r="Z106" i="8"/>
  <c r="R106" i="8"/>
  <c r="E106" i="8" s="1"/>
  <c r="Z105" i="8"/>
  <c r="R105" i="8"/>
  <c r="E105" i="8"/>
  <c r="Z104" i="8"/>
  <c r="R104" i="8"/>
  <c r="E104" i="8"/>
  <c r="Z103" i="8"/>
  <c r="R103" i="8"/>
  <c r="E103" i="8"/>
  <c r="Z102" i="8"/>
  <c r="R102" i="8"/>
  <c r="E102" i="8" s="1"/>
  <c r="Z101" i="8"/>
  <c r="R101" i="8"/>
  <c r="E101" i="8"/>
  <c r="Z100" i="8"/>
  <c r="R100" i="8"/>
  <c r="E100" i="8"/>
  <c r="Z99" i="8"/>
  <c r="R99" i="8"/>
  <c r="E99" i="8"/>
  <c r="Z98" i="8"/>
  <c r="R98" i="8"/>
  <c r="E98" i="8" s="1"/>
  <c r="Z97" i="8"/>
  <c r="R97" i="8"/>
  <c r="E97" i="8"/>
  <c r="Z96" i="8"/>
  <c r="R96" i="8"/>
  <c r="E96" i="8"/>
  <c r="Z95" i="8"/>
  <c r="R95" i="8"/>
  <c r="E95" i="8"/>
  <c r="Z94" i="8"/>
  <c r="R94" i="8"/>
  <c r="E94" i="8" s="1"/>
  <c r="Z93" i="8"/>
  <c r="R93" i="8"/>
  <c r="E93" i="8"/>
  <c r="Z92" i="8"/>
  <c r="R92" i="8"/>
  <c r="E92" i="8"/>
  <c r="Z91" i="8"/>
  <c r="R91" i="8"/>
  <c r="E91" i="8"/>
  <c r="Z90" i="8"/>
  <c r="R90" i="8"/>
  <c r="E90" i="8" s="1"/>
  <c r="Z89" i="8"/>
  <c r="R89" i="8"/>
  <c r="E89" i="8"/>
  <c r="Z88" i="8"/>
  <c r="R88" i="8"/>
  <c r="E88" i="8"/>
  <c r="Z87" i="8"/>
  <c r="R87" i="8"/>
  <c r="E87" i="8"/>
  <c r="Z86" i="8"/>
  <c r="R86" i="8"/>
  <c r="E86" i="8" s="1"/>
  <c r="Z85" i="8"/>
  <c r="R85" i="8"/>
  <c r="E85" i="8"/>
  <c r="Z84" i="8"/>
  <c r="R84" i="8"/>
  <c r="E84" i="8"/>
  <c r="Z83" i="8"/>
  <c r="R83" i="8"/>
  <c r="E83" i="8"/>
  <c r="Z82" i="8"/>
  <c r="R82" i="8"/>
  <c r="E82" i="8" s="1"/>
  <c r="Z81" i="8"/>
  <c r="R81" i="8"/>
  <c r="E81" i="8"/>
  <c r="Z80" i="8"/>
  <c r="R80" i="8"/>
  <c r="E80" i="8"/>
  <c r="Z79" i="8"/>
  <c r="R79" i="8"/>
  <c r="E79" i="8"/>
  <c r="Z78" i="8"/>
  <c r="R78" i="8"/>
  <c r="E78" i="8" s="1"/>
  <c r="Z77" i="8"/>
  <c r="R77" i="8"/>
  <c r="E77" i="8"/>
  <c r="Z76" i="8"/>
  <c r="R76" i="8"/>
  <c r="E76" i="8"/>
  <c r="Z75" i="8"/>
  <c r="R75" i="8"/>
  <c r="E75" i="8"/>
  <c r="Z74" i="8"/>
  <c r="R74" i="8"/>
  <c r="E74" i="8" s="1"/>
  <c r="Z73" i="8"/>
  <c r="R73" i="8"/>
  <c r="E73" i="8"/>
  <c r="Z72" i="8"/>
  <c r="R72" i="8"/>
  <c r="E72" i="8"/>
  <c r="Z71" i="8"/>
  <c r="R71" i="8"/>
  <c r="E71" i="8"/>
  <c r="Z70" i="8"/>
  <c r="R70" i="8"/>
  <c r="E70" i="8" s="1"/>
  <c r="Z69" i="8"/>
  <c r="R69" i="8"/>
  <c r="E69" i="8"/>
  <c r="Z68" i="8"/>
  <c r="R68" i="8"/>
  <c r="E68" i="8"/>
  <c r="Z67" i="8"/>
  <c r="R67" i="8"/>
  <c r="E67" i="8"/>
  <c r="Z66" i="8"/>
  <c r="R66" i="8"/>
  <c r="E66" i="8" s="1"/>
  <c r="Z65" i="8"/>
  <c r="R65" i="8"/>
  <c r="E65" i="8"/>
  <c r="Z64" i="8"/>
  <c r="R64" i="8"/>
  <c r="E64" i="8"/>
  <c r="Z63" i="8"/>
  <c r="R63" i="8"/>
  <c r="E63" i="8"/>
  <c r="Z62" i="8"/>
  <c r="R62" i="8"/>
  <c r="E62" i="8" s="1"/>
  <c r="Z61" i="8"/>
  <c r="R61" i="8"/>
  <c r="E61" i="8"/>
  <c r="Z60" i="8"/>
  <c r="R60" i="8"/>
  <c r="E60" i="8"/>
  <c r="Z59" i="8"/>
  <c r="R59" i="8"/>
  <c r="E59" i="8"/>
  <c r="Z58" i="8"/>
  <c r="R58" i="8"/>
  <c r="E58" i="8" s="1"/>
  <c r="Z57" i="8"/>
  <c r="R57" i="8"/>
  <c r="E57" i="8"/>
  <c r="Z56" i="8"/>
  <c r="R56" i="8"/>
  <c r="E56" i="8"/>
  <c r="Z55" i="8"/>
  <c r="R55" i="8"/>
  <c r="E55" i="8"/>
  <c r="Z54" i="8"/>
  <c r="R54" i="8"/>
  <c r="E54" i="8" s="1"/>
  <c r="Z53" i="8"/>
  <c r="R53" i="8"/>
  <c r="E53" i="8"/>
  <c r="Z52" i="8"/>
  <c r="R52" i="8"/>
  <c r="E52" i="8"/>
  <c r="Z51" i="8"/>
  <c r="R51" i="8"/>
  <c r="E51" i="8"/>
  <c r="Z50" i="8"/>
  <c r="R50" i="8"/>
  <c r="E50" i="8" s="1"/>
  <c r="Z49" i="8"/>
  <c r="R49" i="8"/>
  <c r="E49" i="8"/>
  <c r="Z48" i="8"/>
  <c r="R48" i="8"/>
  <c r="E48" i="8"/>
  <c r="Z47" i="8"/>
  <c r="R47" i="8"/>
  <c r="E47" i="8"/>
  <c r="Z46" i="8"/>
  <c r="R46" i="8"/>
  <c r="E46" i="8" s="1"/>
  <c r="Z45" i="8"/>
  <c r="R45" i="8"/>
  <c r="E45" i="8"/>
  <c r="Z44" i="8"/>
  <c r="R44" i="8"/>
  <c r="E44" i="8"/>
  <c r="Z43" i="8"/>
  <c r="R43" i="8"/>
  <c r="E43" i="8"/>
  <c r="Z42" i="8"/>
  <c r="R42" i="8"/>
  <c r="E42" i="8" s="1"/>
  <c r="Z41" i="8"/>
  <c r="R41" i="8"/>
  <c r="E41" i="8"/>
  <c r="Z40" i="8"/>
  <c r="R40" i="8"/>
  <c r="E40" i="8"/>
  <c r="Z39" i="8"/>
  <c r="R39" i="8"/>
  <c r="E39" i="8"/>
  <c r="Z38" i="8"/>
  <c r="R38" i="8"/>
  <c r="E38" i="8" s="1"/>
  <c r="Z37" i="8"/>
  <c r="R37" i="8"/>
  <c r="E37" i="8"/>
  <c r="Z36" i="8"/>
  <c r="R36" i="8"/>
  <c r="E36" i="8"/>
  <c r="Z35" i="8"/>
  <c r="R35" i="8"/>
  <c r="E35" i="8"/>
  <c r="Z34" i="8"/>
  <c r="R34" i="8"/>
  <c r="E34" i="8" s="1"/>
  <c r="Z33" i="8"/>
  <c r="R33" i="8"/>
  <c r="E33" i="8"/>
  <c r="Z32" i="8"/>
  <c r="R32" i="8"/>
  <c r="E32" i="8"/>
</calcChain>
</file>

<file path=xl/sharedStrings.xml><?xml version="1.0" encoding="utf-8"?>
<sst xmlns="http://schemas.openxmlformats.org/spreadsheetml/2006/main" count="13836" uniqueCount="1280">
  <si>
    <t>ash plot centers</t>
  </si>
  <si>
    <t>Park</t>
  </si>
  <si>
    <t>center_tree_number</t>
  </si>
  <si>
    <t>number on the tree tag of the center tree</t>
  </si>
  <si>
    <t>Lat</t>
  </si>
  <si>
    <t>the original gps coordinates of the plots</t>
  </si>
  <si>
    <t>Lon</t>
  </si>
  <si>
    <t>Transect</t>
  </si>
  <si>
    <t>Plot_ID</t>
  </si>
  <si>
    <t>Directions</t>
  </si>
  <si>
    <t>Center_tree</t>
  </si>
  <si>
    <t>Date_relocated_2024</t>
  </si>
  <si>
    <t>Lat_updated_2024</t>
  </si>
  <si>
    <t>Lon_updated_2024</t>
  </si>
  <si>
    <t>Directions_updated_2024</t>
  </si>
  <si>
    <t>any advice on how to find the plots</t>
  </si>
  <si>
    <t>ash_plot_centers_notes</t>
  </si>
  <si>
    <t>Notes on the most noticeable tree species (and sometimes notes on the understory shrubs or herbaceous layer). These lists are not intended to be exhaustive descriptions of the trees, but rather give a sense of the tree species composition. Sometimes (when we were short on time) we skipped these descriptions.</t>
  </si>
  <si>
    <t>Center_tree_updated_2024</t>
  </si>
  <si>
    <t>updated diameter at breast height (dbh) in cm</t>
  </si>
  <si>
    <t>Center_tree_2024_species</t>
  </si>
  <si>
    <t>Just the species name of the center tree in 2024</t>
  </si>
  <si>
    <t>Center_tree_2024_total_DBH_cm</t>
  </si>
  <si>
    <t>Just the diameter at breast height in cm of the center tree in 2024. If two or more stems, take the sum of the DBHs of the individual stems</t>
  </si>
  <si>
    <t>Center_tree_2024_number_of_stems</t>
  </si>
  <si>
    <t>ash seedlings '24</t>
  </si>
  <si>
    <t>ash seedlings are defined by having a height less than 137 cm</t>
  </si>
  <si>
    <t>microplot_NESW</t>
  </si>
  <si>
    <t>each plot has four microplots, each in a cardinal direction</t>
  </si>
  <si>
    <t>number_new_with_cotyledons</t>
  </si>
  <si>
    <t>seed leaves, or cotyledons, are differently shaped than normal ash leaves, and would indicate newly germinated ash seedlings</t>
  </si>
  <si>
    <t>northeast_number_established_short</t>
  </si>
  <si>
    <t>Numbers were counted for each quadrant of the circular microplot. Short ash saplings were defined as those less than 25 cm in height, at the tallest LEAF BASE (base of the petiole)</t>
  </si>
  <si>
    <t>southeast_number_established_short</t>
  </si>
  <si>
    <t>southwest_number_established_short</t>
  </si>
  <si>
    <t>northwest_number_established_short</t>
  </si>
  <si>
    <t>northeast_number_established_tall</t>
  </si>
  <si>
    <t>Tall was defined as ash with a height greater than 25 cm, but less than 137 cm (breast height)</t>
  </si>
  <si>
    <t>southeast_number_established_tall</t>
  </si>
  <si>
    <t>southwest_number_established_tall</t>
  </si>
  <si>
    <t>northwest_number_established_tall</t>
  </si>
  <si>
    <t>area_of_microplot_m_squared</t>
  </si>
  <si>
    <t>We made a mistake when we started - the microplot PVCs were shorter than they should have been.  The result is that for the trip on May 15th-17th 2024, the microplot area was 3.37 m^2. For all subsequent trips, the microplot area was 4.06 m^2.</t>
  </si>
  <si>
    <t>percent_cover_0.5_1_3.5_8_15.5_25.5_etc</t>
  </si>
  <si>
    <t>Because percent cover was recorded as &lt;1%, 1%, 2-5%, 6-10%, 11-20%, 21-30%, and so on, I am taking the average of the two numbers and entering it into this datasheet</t>
  </si>
  <si>
    <t>ash_seedlings_notes</t>
  </si>
  <si>
    <t>Notes on the most noticeable plants in the seedling layer (generally, stuff shorter than 137 cm). Not intended to be an exhaustive listing of species presence/absence, but rather to give an indication of what the microplot was like.</t>
  </si>
  <si>
    <t>ash saplings 2024</t>
  </si>
  <si>
    <t>Defined as having height &gt;= 137 cm but DBH &lt; 2.5 cm. Also called "tall skinny" in previous surveys</t>
  </si>
  <si>
    <t>quadrant_NE_SE_SW_NW</t>
  </si>
  <si>
    <t>ash_species</t>
  </si>
  <si>
    <t>Initially we weren't recording the ash species of saplings, because we were at Pontiac and we couldn't tell between green and white ash. Now we are able to distinguish black vs. white/green and we are recording that.  Sometimes multiple species were found at the same site, in which case this is noted here.</t>
  </si>
  <si>
    <t>black_ash_present_y_n</t>
  </si>
  <si>
    <t>yes or no question: were black ash seedlings found?</t>
  </si>
  <si>
    <t>green_white_pumpkin_ash_present_y_n</t>
  </si>
  <si>
    <t>yes or no question: were green, white, or pumpkin ash seedlings found?</t>
  </si>
  <si>
    <t>number_of_stems</t>
  </si>
  <si>
    <t>EAB_exit_holes_y_n</t>
  </si>
  <si>
    <t>woodpecker_marks_y_n</t>
  </si>
  <si>
    <t>refer to: Knight, Kathleen S., Britton P. Flash, Rachel H. Kappler, Joel A. Throckmorton, Bernadette Grafton, and Charles E. Flower. “Monitoring Ash (Fraxinus Spp.) Decline and Emerald Ash Borer (Agrilus Planipennis) Symptoms in Infested Areas.” General Technical Report. U.S. Department of Agriculture, Forest Service, Northern Research Station, September 2014. https://www.fs.usda.gov/research/treesearch/46655.</t>
  </si>
  <si>
    <t>ash_bark_splitting_y_n </t>
  </si>
  <si>
    <t>For some plots, we forgot to look specifically for EAB signs and symptoms on saplings. These cells I am leaving blank.</t>
  </si>
  <si>
    <t>epicormic_sprouts_y_n</t>
  </si>
  <si>
    <t>basal_sprouts_y_n</t>
  </si>
  <si>
    <t>percent_stems_with_signs_or_symptoms</t>
  </si>
  <si>
    <t>This number is out of 100. So if we found 2 saplings and 1 of them had bark splitting, I would put 50 here (representing 50%)</t>
  </si>
  <si>
    <t>ash_saplings_notes</t>
  </si>
  <si>
    <t>ash trees 2024</t>
  </si>
  <si>
    <t>In the 8 meter radius subplot, record data for all ash trees &gt;= 2.5 cm DBH. In the 18 meter main plot, record data for all ash trees &gt;= 10 cm DBH. Note: for a few plots, we actually recorded all trees &gt;= 2.5 cm in the main plot - we will need to remove these from the formal analysis. Also try to record any trees that were tagged in previous years. Note: if two stems are connected (like one is a basal sprout of the other) then measure the DBH of the biggest one that is not broken below 137 cm, and record the presence or absence of signs and symptoms for this same stem that was measured, not for other connected stems.</t>
  </si>
  <si>
    <t>Sometimes the species was recorded as "green or pumpkin" if the leaves and twigs were fuzzy.  A variety of green ash (also called red ash) has fuzzy leaves, so we would need to look at samaras to distinguish green from pumpkin.  Also, white and green were not usually distinguishable. Trees were recorded as green ash if they had green ash samaras or if they were in standing water.  Some dead trees could not be distinguished between black and green/white.</t>
  </si>
  <si>
    <t>compass_direction</t>
  </si>
  <si>
    <t>distance_to_center_meters</t>
  </si>
  <si>
    <t>measured using the distance meter (brain and clicker)</t>
  </si>
  <si>
    <t>tree_tag_info</t>
  </si>
  <si>
    <t>Sometimes an ash tree was tagged in previous years by a labelled tree tag. This column records the tree tag label. Note: need to also record the date written on the back of the label.</t>
  </si>
  <si>
    <t>leaflet_stalk_length_mm</t>
  </si>
  <si>
    <t>I (Aaron) was trying to get a measurement that could indicate the ash species, so I tried out measuring the petiolule length, in other words whether the leaflets were stalked or sessile. This variable stopped being collected due to time constraints.</t>
  </si>
  <si>
    <t>diameter_at_137_cm_in_cm</t>
  </si>
  <si>
    <t>If there were multiple stems for example, a big basal sprout, we would measure the diameter of the bigger stem not broken below 137 cm.</t>
  </si>
  <si>
    <t>canopy_condition_1_5</t>
  </si>
  <si>
    <t>Note: if an ash was completely dead except for living basal or epicormic sprouts, I still rated the canopy condition as a 5. Refer to: Knight, Kathleen S., Britton P. Flash, Rachel H. Kappler, Joel A. Throckmorton, Bernadette Grafton, and Charles E. Flower. “Monitoring Ash (Fraxinus Spp.) Decline and Emerald Ash Borer (Agrilus Planipennis) Symptoms in Infested Areas.” General Technical Report. U.S. Department of Agriculture, Forest Service, Northern Research Station, September 2014. https://www.fs.usda.gov/research/treesearch/46655.</t>
  </si>
  <si>
    <t>crown_class_D_C_I_S</t>
  </si>
  <si>
    <t>Dominant, Codominant, Intermediate, Suppressed. Refer to previous citation</t>
  </si>
  <si>
    <t>ash_bark_splitting_y_n</t>
  </si>
  <si>
    <t>galleries_y_n</t>
  </si>
  <si>
    <t>number_of_EAB_exit_holes_from_125_to_175_cm</t>
  </si>
  <si>
    <t>This variable stopped being collected because it was too time consuming</t>
  </si>
  <si>
    <t>number_of_woodpecker_marks_from_125_to_175_cm</t>
  </si>
  <si>
    <t>ash_trees_notes</t>
  </si>
  <si>
    <t>epicormic_sprouts_old_new</t>
  </si>
  <si>
    <t xml:space="preserve">I used the ash_trees_notes to make a variable for whether the tree had old or new epicormic sprouts. New epicormic sprouts can indicate that living EAB larvae are currently in the tree (I think, after speaking with Kathleen Knight). Basically this variable records whether the epicormic sprouts were green (meaning new) or woody (meaning old). Unfourtunately I didn't record this detail for very many trees. My general memory is that the majority of (small) trees had epicormic sprouts that were woody - that is, older than a year (I think). </t>
  </si>
  <si>
    <t>trap locations</t>
  </si>
  <si>
    <t>park</t>
  </si>
  <si>
    <t>trap_type</t>
  </si>
  <si>
    <t>I have three types of insect traps: purple prism, multifunnel (Lindgren), and yellow pan traps.</t>
  </si>
  <si>
    <t>initial_set_date</t>
  </si>
  <si>
    <t>when trap was deployed</t>
  </si>
  <si>
    <t>trap_number</t>
  </si>
  <si>
    <t>dist_to_center_tree_meters_approx</t>
  </si>
  <si>
    <t>direction_to_center_tree_degrees</t>
  </si>
  <si>
    <t>latitude_degree_part</t>
  </si>
  <si>
    <t>Copied from the GARMIN gps navigator</t>
  </si>
  <si>
    <t>latitude_minutes_part</t>
  </si>
  <si>
    <t>longitude_degree_part</t>
  </si>
  <si>
    <t>longitude_minutes_part</t>
  </si>
  <si>
    <t>height_ft_approx_to_top_of_trap</t>
  </si>
  <si>
    <t>estimated in feet</t>
  </si>
  <si>
    <t>tree_trap_is_hung_in_species</t>
  </si>
  <si>
    <t>sometimes the EAB traps were hung in trees other than ash if the ash branches were not strong enough</t>
  </si>
  <si>
    <t>diameter_at_137_cm_in_cm_of_nearest_ash</t>
  </si>
  <si>
    <t>canopy_condition_of_nearest_ash</t>
  </si>
  <si>
    <t>1-5 scale</t>
  </si>
  <si>
    <t>ash_saplings_species_EAB_trap_is_above</t>
  </si>
  <si>
    <t>if there are saplings underneath the trap, then this records what species they are</t>
  </si>
  <si>
    <t>re_lure_date</t>
  </si>
  <si>
    <t>final_collection_date</t>
  </si>
  <si>
    <t>trap_locations_notes</t>
  </si>
  <si>
    <t>EAB trap collections</t>
  </si>
  <si>
    <t>set_date</t>
  </si>
  <si>
    <t>collection_date</t>
  </si>
  <si>
    <t>EAB_trap_field_notes</t>
  </si>
  <si>
    <t>notes taken during the collection of the samples from the field</t>
  </si>
  <si>
    <t>number_EAB_females_lab_count</t>
  </si>
  <si>
    <t>number_EAB_males_lab_count</t>
  </si>
  <si>
    <t>lab_notes</t>
  </si>
  <si>
    <t>yellow pan trap collection</t>
  </si>
  <si>
    <t>trap_intact_y_n</t>
  </si>
  <si>
    <t>whether the trap was broken during the interval</t>
  </si>
  <si>
    <t>liquid_evaporated_y_n</t>
  </si>
  <si>
    <t>whether most of the liquid in the trap was evaporated</t>
  </si>
  <si>
    <t>YPT_collection_notes</t>
  </si>
  <si>
    <t>Yellow pan trap counts 2024</t>
  </si>
  <si>
    <t>Completed_sorting_y_n</t>
  </si>
  <si>
    <t>Whether the Hymenoptera was completely (or almost completely) sorted to superfamily</t>
  </si>
  <si>
    <t>Total_Hymenoptera</t>
  </si>
  <si>
    <t>Symphyta</t>
  </si>
  <si>
    <t>sawflies</t>
  </si>
  <si>
    <t>Chrysidoidea</t>
  </si>
  <si>
    <t>Predominately Dryinidae - pincer wasps</t>
  </si>
  <si>
    <t>Formicidae</t>
  </si>
  <si>
    <t>ants</t>
  </si>
  <si>
    <t>Vespoidea_except_Formicidae</t>
  </si>
  <si>
    <t>Very rarely found, for example a hornet</t>
  </si>
  <si>
    <t>Pompilloidea</t>
  </si>
  <si>
    <t>spider wasps</t>
  </si>
  <si>
    <t>Apoidea</t>
  </si>
  <si>
    <t>bees, sphecids, crabronids, etc. (I sometimes had trouble distinguishing it from Vespoidea)</t>
  </si>
  <si>
    <t>Ichneumonoidea_Ichneumonidae</t>
  </si>
  <si>
    <t>Ichneumonoidea_Braconidae</t>
  </si>
  <si>
    <t>Cynipoidea</t>
  </si>
  <si>
    <t>gall wasps, etc.</t>
  </si>
  <si>
    <t>Proctotrupoidea</t>
  </si>
  <si>
    <t>Entirely Diapriidae except for one Proctotrupidae individual</t>
  </si>
  <si>
    <t>Ceraphronoidea</t>
  </si>
  <si>
    <t>Ceraphronidae and Megaspilidae</t>
  </si>
  <si>
    <t>Total_Chalcidoidea</t>
  </si>
  <si>
    <t>Some intervals I just counted the total number of chalcidoids</t>
  </si>
  <si>
    <t>Chalcidoidea_Mymaridae</t>
  </si>
  <si>
    <t>Fairyflies</t>
  </si>
  <si>
    <t>Chalcidoidea_Encyrtidae</t>
  </si>
  <si>
    <t>Chalcidoidea_other</t>
  </si>
  <si>
    <t>Other chalcidoids, not including Mymaridae or Encyrtidae</t>
  </si>
  <si>
    <t>Platygastroidea</t>
  </si>
  <si>
    <t>Platygastridae and Scelionidae</t>
  </si>
  <si>
    <t>Hymenoptera_unknown</t>
  </si>
  <si>
    <t>Total_arthropods_except_Hymenoptera</t>
  </si>
  <si>
    <t>Diptera</t>
  </si>
  <si>
    <t>Flies - some tiny flies were missed</t>
  </si>
  <si>
    <t>Hemiptera</t>
  </si>
  <si>
    <t>Includes a ton of small hemipterans which may be whiteflies (some of these were undoubtedly missed). Also includes leafhoppers, treehoppers, aphids, and many other hemipterans</t>
  </si>
  <si>
    <t>Lepidoptera</t>
  </si>
  <si>
    <t>Coleoptera</t>
  </si>
  <si>
    <t>Other_arthropods</t>
  </si>
  <si>
    <t>Not including the previous categories. The following were not counted: thrips, mites, small larvae. Includes spiders, Mecoptera, Trichoptera, Psocodea, Neuroptera, Blattodea, millipedes, isopods, Archaeognatha, etc.</t>
  </si>
  <si>
    <t>Notes</t>
  </si>
  <si>
    <t>Pontiac</t>
  </si>
  <si>
    <t>yellow pan</t>
  </si>
  <si>
    <t>06_04_2024</t>
  </si>
  <si>
    <t>06_14_2024</t>
  </si>
  <si>
    <t>y</t>
  </si>
  <si>
    <t>n</t>
  </si>
  <si>
    <t>06_21_2024</t>
  </si>
  <si>
    <t>06_27_2024</t>
  </si>
  <si>
    <t>07_03_2024</t>
  </si>
  <si>
    <t>07_12_2024</t>
  </si>
  <si>
    <t>07_18_2024</t>
  </si>
  <si>
    <t>07_25_2024</t>
  </si>
  <si>
    <t>08_01_2024</t>
  </si>
  <si>
    <t>08_08_2024</t>
  </si>
  <si>
    <t>removed</t>
  </si>
  <si>
    <t>Some of the trap contents may have been dumped accidentally</t>
  </si>
  <si>
    <t>liquid almost but not completely evaporated</t>
  </si>
  <si>
    <t>Trap contents were accidentally partially dumped - removed</t>
  </si>
  <si>
    <t>sample not collected at all - top bowl now has holes and needs replaced - potential raccoon damage</t>
  </si>
  <si>
    <t>top bowl replaced</t>
  </si>
  <si>
    <t>liquid almost but not completely evaporated - top bowl has holes and needs replaced - raccoon damage</t>
  </si>
  <si>
    <t>slug disintegrated into trap liquid</t>
  </si>
  <si>
    <t>Chrysidoidea_Dryinidae</t>
  </si>
  <si>
    <t>Spathius_galinae</t>
  </si>
  <si>
    <t>Proctotrupoidea_Diapriidae</t>
  </si>
  <si>
    <t>Oobius_agrili</t>
  </si>
  <si>
    <t>Tetrastichus_planipennisi</t>
  </si>
  <si>
    <t>lots of pollen</t>
  </si>
  <si>
    <t>bristletail - lots of white threadlike plant material</t>
  </si>
  <si>
    <t>interesting small cerambycid - Hymenoptera were pointed using the HMDS procedure - failed</t>
  </si>
  <si>
    <t>NA</t>
  </si>
  <si>
    <t>liquid was fully evaporated during initial collection - vials not created</t>
  </si>
  <si>
    <t>trap liquid was almost fully evaporated during initial collection</t>
  </si>
  <si>
    <t>trap was disturbed during collection period - thus sample was not collected</t>
  </si>
  <si>
    <t>trap liquid was almost fully evaporated during initial collection - non-Hymenoptera vial not created</t>
  </si>
  <si>
    <t>trap liquid was almost fully evaporated during initial collection - the bee was placed in same vial as fly</t>
  </si>
  <si>
    <t>many flies - beetles - etc</t>
  </si>
  <si>
    <t>cool fly with patterned wings - Hymenoptera were pointed with HMDS procedure - fail</t>
  </si>
  <si>
    <t>Lookalike of Spathius agrili - T Petrice identified it as a native Spathius spp.</t>
  </si>
  <si>
    <t>Found possibly a native Oobius or other similar Encyrtidae</t>
  </si>
  <si>
    <t>Unknown Hymenoptera is possibly Aulacidae</t>
  </si>
  <si>
    <t>Bug and fairyfly placed into the same vial</t>
  </si>
  <si>
    <t>S galinae and O agrili confirmed by T Petrice</t>
  </si>
  <si>
    <t>Lookalike of Tetrastichus planipennisi - looked at by T Petrice</t>
  </si>
  <si>
    <t>I put the bumblebee into the non Hymenoptera vial</t>
  </si>
  <si>
    <t>large numbers of phorid flies</t>
  </si>
  <si>
    <t>possibly a brown headed ash sawfly</t>
  </si>
  <si>
    <t>S galinae confirmed by T Petrice</t>
  </si>
  <si>
    <t>An interesting Platygastrid</t>
  </si>
  <si>
    <t>Lot of mordellids</t>
  </si>
  <si>
    <t>Some of trap contents may have been dumped accidentally during initial yellow pan trap collection</t>
  </si>
  <si>
    <t>Lots of plant material</t>
  </si>
  <si>
    <t>Other chalcidoids are likely Trichogrammatidae</t>
  </si>
  <si>
    <t>lots of tachinids - possibly an ash sawfly</t>
  </si>
  <si>
    <t>A braconid with a long ovipositor - T Petrice says not Spathius</t>
  </si>
  <si>
    <t>T planipennisi confirmed by T Petrice - lots of frass or plant material</t>
  </si>
  <si>
    <t>Millipedes - large flies - isopod</t>
  </si>
  <si>
    <t>O agrili confirmed by T Petrice</t>
  </si>
  <si>
    <t>A native Spathius spp. - pointed</t>
  </si>
  <si>
    <t>A miniscule Scelionidae</t>
  </si>
  <si>
    <t>many possible tachinids</t>
  </si>
  <si>
    <t>Possible Tetrastichus planipennisi - not verified by T Petrice</t>
  </si>
  <si>
    <t>Kensington</t>
  </si>
  <si>
    <t>prism</t>
  </si>
  <si>
    <t>05_30_2024</t>
  </si>
  <si>
    <t>06_25_2024</t>
  </si>
  <si>
    <t>Manuka replaced</t>
  </si>
  <si>
    <t>This sample also has the insect that I first thought was Atanycolus (I don't really think it is)</t>
  </si>
  <si>
    <t>07_23_2024</t>
  </si>
  <si>
    <t>Trap removed</t>
  </si>
  <si>
    <t>Sample also has ash samaras for tree ID. There is also a slightly smaller bluish buprestid</t>
  </si>
  <si>
    <t>One of the males is a bit smaller than the other males</t>
  </si>
  <si>
    <t>Has a louse fly</t>
  </si>
  <si>
    <t>Island Lake</t>
  </si>
  <si>
    <t>Manuka replaced - glue added</t>
  </si>
  <si>
    <t>Proud Lake</t>
  </si>
  <si>
    <t>06_05_2024</t>
  </si>
  <si>
    <t>Contains a black ash samara</t>
  </si>
  <si>
    <t>Highland</t>
  </si>
  <si>
    <t>05_31_2024</t>
  </si>
  <si>
    <t>Some smaller buprestids</t>
  </si>
  <si>
    <t>A larger buprestid (not EAB) was found</t>
  </si>
  <si>
    <t>05_29_2024</t>
  </si>
  <si>
    <t>Many smaller buprestids including (possibly) Agrilus bilineatus</t>
  </si>
  <si>
    <t>Also a cerambycid that may feed on ash trees (the small kind with long antennae)</t>
  </si>
  <si>
    <t>Indian Springs</t>
  </si>
  <si>
    <t>06_26_2024</t>
  </si>
  <si>
    <t>Perhaps a sawfly that we also saw in the ash common garden</t>
  </si>
  <si>
    <t>07_24_2024</t>
  </si>
  <si>
    <t>multifunnel</t>
  </si>
  <si>
    <t>Replaced Manuka</t>
  </si>
  <si>
    <t>Raccoon ate card</t>
  </si>
  <si>
    <t>SW</t>
  </si>
  <si>
    <t>green or white</t>
  </si>
  <si>
    <t>C</t>
  </si>
  <si>
    <t>black ash</t>
  </si>
  <si>
    <t>D</t>
  </si>
  <si>
    <t>epicormic sprouts are older</t>
  </si>
  <si>
    <t>NE</t>
  </si>
  <si>
    <t>ash (green?)</t>
  </si>
  <si>
    <t>S</t>
  </si>
  <si>
    <t>green?</t>
  </si>
  <si>
    <t>NW</t>
  </si>
  <si>
    <t>I</t>
  </si>
  <si>
    <t>the healthy ash tree was very near to an ash with canopy condition 5 (dead)</t>
  </si>
  <si>
    <t>elm (black ash nearby)</t>
  </si>
  <si>
    <t>trap was hastily installed and is resting against the trunk</t>
  </si>
  <si>
    <t>shepard hook</t>
  </si>
  <si>
    <t>on shepard hook</t>
  </si>
  <si>
    <t>elm</t>
  </si>
  <si>
    <t>ash</t>
  </si>
  <si>
    <t>red maple</t>
  </si>
  <si>
    <t>maple (silver?)</t>
  </si>
  <si>
    <t>serviceberry?</t>
  </si>
  <si>
    <t>black</t>
  </si>
  <si>
    <t>possible basal sprout is a 5 for canopy condition - the basal sprout has woodpecker predation marks and bark splitting</t>
  </si>
  <si>
    <t>hickory</t>
  </si>
  <si>
    <t>SE</t>
  </si>
  <si>
    <t>green or white ash</t>
  </si>
  <si>
    <t>there is also a dead stem connected to the living ash stem</t>
  </si>
  <si>
    <t>West</t>
  </si>
  <si>
    <t>none</t>
  </si>
  <si>
    <t>between 8 and 18</t>
  </si>
  <si>
    <t>?</t>
  </si>
  <si>
    <t>green</t>
  </si>
  <si>
    <t>EAB trap 1 was in this tree in 2024</t>
  </si>
  <si>
    <t>not_recorded</t>
  </si>
  <si>
    <t>vines on it (maybe Celastrus)</t>
  </si>
  <si>
    <t>dead side of the tree is 3.7 cm dbh</t>
  </si>
  <si>
    <t>the other stem is dead</t>
  </si>
  <si>
    <t>tagged - tag label gone</t>
  </si>
  <si>
    <t>tagged previously - 13</t>
  </si>
  <si>
    <t>smooth bark</t>
  </si>
  <si>
    <t>has samaras hanging from canopy</t>
  </si>
  <si>
    <t>basal sprouts alive</t>
  </si>
  <si>
    <t>fresh epicormic sprouts</t>
  </si>
  <si>
    <t>new</t>
  </si>
  <si>
    <t>leaves small - maybe indicates unhealthy</t>
  </si>
  <si>
    <t>galleries</t>
  </si>
  <si>
    <t>green or pumpkin</t>
  </si>
  <si>
    <t>leaves are weird - bark is weird - maybe pumpkin ash</t>
  </si>
  <si>
    <t>leaves are small - maybe indicates unhealthy</t>
  </si>
  <si>
    <t>Ash number 6</t>
  </si>
  <si>
    <t>Zanthoxylum (prickly ash)</t>
  </si>
  <si>
    <t>CM 29</t>
  </si>
  <si>
    <t>epicormics living</t>
  </si>
  <si>
    <t>connected to the one in the next row</t>
  </si>
  <si>
    <t>connected to the one in the previous row</t>
  </si>
  <si>
    <t>Tagged Ash 2 - July 8 2009</t>
  </si>
  <si>
    <t>epicormic is dead</t>
  </si>
  <si>
    <t>old</t>
  </si>
  <si>
    <t>Tagged - July 8 2009 - Ash 6</t>
  </si>
  <si>
    <t>found a cerambycid - see photo</t>
  </si>
  <si>
    <t>leaves small</t>
  </si>
  <si>
    <t>another tree fell on it</t>
  </si>
  <si>
    <t>had samaras hanging from it on subsequent visits - EAB trap 6 is in this tree - there are two stems - 11.5 cm living healthy - and 6.4 cm DBH dead with many signs and symptoms on the dead one</t>
  </si>
  <si>
    <t>white?</t>
  </si>
  <si>
    <t>epicormics are big</t>
  </si>
  <si>
    <t>less than 8</t>
  </si>
  <si>
    <t>original stem is dead</t>
  </si>
  <si>
    <t>had samaras that were collected and are in the binder - another tree fell on it</t>
  </si>
  <si>
    <t>Ash number 7 - 08_18_2009</t>
  </si>
  <si>
    <t>Ash number 3 - 08_18_2009</t>
  </si>
  <si>
    <t>Ash number 1 - 08_18_2009</t>
  </si>
  <si>
    <t>sprouts living</t>
  </si>
  <si>
    <t>Ash number 5 - 08_18_09</t>
  </si>
  <si>
    <t>Frax number 9 - 04_08_2011</t>
  </si>
  <si>
    <t>Ash number 8 - re-tag - Frax sp. 2013</t>
  </si>
  <si>
    <t>Ash number 1 - re-tag - 2013</t>
  </si>
  <si>
    <t>green white or pumpkin</t>
  </si>
  <si>
    <t>Ash number 2 - 07_09_2009</t>
  </si>
  <si>
    <t>Frax sp. number 10 - 07_24_2011</t>
  </si>
  <si>
    <t>75_north</t>
  </si>
  <si>
    <t>Ash number 3 - 07_09_2009</t>
  </si>
  <si>
    <t>very dead</t>
  </si>
  <si>
    <t>75_south</t>
  </si>
  <si>
    <t>overtaken by vines</t>
  </si>
  <si>
    <t>tagged - tag label missing - note: not counted in the sapling datasheet</t>
  </si>
  <si>
    <t>The basal sprout is living and healthy</t>
  </si>
  <si>
    <t>Ash 3 - 08_04_2009 - tree tag is girdling the tree</t>
  </si>
  <si>
    <t>Ash 6 - 08_04_2009</t>
  </si>
  <si>
    <t>black?</t>
  </si>
  <si>
    <t>small leaves</t>
  </si>
  <si>
    <t>has a very low branch that is dead - also I think this one was a green ash and not a black ash but I forgot to write that on the datasheet</t>
  </si>
  <si>
    <t>tree is crooked - epicormics have grown big</t>
  </si>
  <si>
    <t>Frax number 5 - 06_15_2010</t>
  </si>
  <si>
    <t>Ash 2 - 06_17_2010</t>
  </si>
  <si>
    <t>white and orange flagging</t>
  </si>
  <si>
    <t>On a tip-up mound thus gets a few more feet of height into the upper understory</t>
  </si>
  <si>
    <t>greater than 18</t>
  </si>
  <si>
    <t>There are more of this size</t>
  </si>
  <si>
    <t>Ash 1 - 07_20_2009</t>
  </si>
  <si>
    <t>Ash 2 - 07_20_2009</t>
  </si>
  <si>
    <t>It is fallen</t>
  </si>
  <si>
    <t>epicormic sprouts are new</t>
  </si>
  <si>
    <t>It is a basal sprout of a dead stem</t>
  </si>
  <si>
    <t>Frax 4 new - 08_03_2011</t>
  </si>
  <si>
    <t>has samaras - smooth bark</t>
  </si>
  <si>
    <t>it is a basal sprout - epicormic sprouts are new</t>
  </si>
  <si>
    <t>smooth bark - epicormic sprouts are old</t>
  </si>
  <si>
    <t>Epicormic sprouts are big</t>
  </si>
  <si>
    <t>Frax spp. 1 - 08_11_2009</t>
  </si>
  <si>
    <t>fallen over</t>
  </si>
  <si>
    <t>epicormic sprout large and dead</t>
  </si>
  <si>
    <t>low dead branch</t>
  </si>
  <si>
    <t>Ash number ? - 07_08_2009</t>
  </si>
  <si>
    <t>approx 270</t>
  </si>
  <si>
    <t>approx 100 m</t>
  </si>
  <si>
    <t>fuzzy leaves and twigs (location is across the swamp)</t>
  </si>
  <si>
    <t>fuzzy leaves - leaves smaller - likely a symptom of EAB</t>
  </si>
  <si>
    <t>fuzzy leaves and twigs</t>
  </si>
  <si>
    <t>Ash 1 - 08_06_2009</t>
  </si>
  <si>
    <t>The top of the tree is gone</t>
  </si>
  <si>
    <t>Ash 7 - 08_19_2009</t>
  </si>
  <si>
    <t>ash choked by tag</t>
  </si>
  <si>
    <t xml:space="preserve">basal sprouts are big - large fuzzy leaves </t>
  </si>
  <si>
    <t>epicormic sprouts living (or fresh?)</t>
  </si>
  <si>
    <t>Ash 5 - 08_19_2009</t>
  </si>
  <si>
    <t>Tagged - label missing</t>
  </si>
  <si>
    <t>#8 Frax. Sp. - 08_23_2012</t>
  </si>
  <si>
    <t>tree is bent over</t>
  </si>
  <si>
    <t>This tree is possibly an epicormic sprout from a dead tree</t>
  </si>
  <si>
    <t>Ash 1 - 07_21_2009</t>
  </si>
  <si>
    <t>Ash 5 - 07_21_2009</t>
  </si>
  <si>
    <t>epicormic sprouts old</t>
  </si>
  <si>
    <t>top broken off - leaves dying</t>
  </si>
  <si>
    <t>leaves dying or wilting</t>
  </si>
  <si>
    <t>many of the saplings are in the 2-2.5 cm range</t>
  </si>
  <si>
    <t>green and black</t>
  </si>
  <si>
    <t>green or white and black</t>
  </si>
  <si>
    <t>see photo</t>
  </si>
  <si>
    <t>bittersweet vines are pulling down some of the saplings</t>
  </si>
  <si>
    <t>green and pumpkin</t>
  </si>
  <si>
    <t>see photos of possible pumpkin ash - may just be red ash (Fraxinus pennsylvanica var. pennsylvanica)</t>
  </si>
  <si>
    <t>green and pumpkin and black</t>
  </si>
  <si>
    <t>black and (green or pumpkin)</t>
  </si>
  <si>
    <t>black and (green or pumpkin) and green</t>
  </si>
  <si>
    <t>there is also a dead sapling (not counted)</t>
  </si>
  <si>
    <t>black and green</t>
  </si>
  <si>
    <t>percent_cover_0_0.5_1_3.5_8_15.5_25.5_etc</t>
  </si>
  <si>
    <t>N</t>
  </si>
  <si>
    <t>E</t>
  </si>
  <si>
    <t>W</t>
  </si>
  <si>
    <t>In NW - there is an approx. 2m tall ash just outside the microplot.</t>
  </si>
  <si>
    <t>1m north of a fork of fallen elm (2nd fork on left).</t>
  </si>
  <si>
    <t>Just .5m east of autum olive.</t>
  </si>
  <si>
    <t>submergd</t>
  </si>
  <si>
    <t>not counting taller than dbh for % cover</t>
  </si>
  <si>
    <t>We think there is only buckthorn and spicebush seedlings but no ash seedlings because they are alternate-leaved</t>
  </si>
  <si>
    <t>gooseberry-like plant with spiky fruit</t>
  </si>
  <si>
    <t>uprooted basswood</t>
  </si>
  <si>
    <t>wingstem in microplot?</t>
  </si>
  <si>
    <t>lots of prickly ash (Zanthoxylum)</t>
  </si>
  <si>
    <t>ferns - big fern - spicebush</t>
  </si>
  <si>
    <t>lots of spicebush</t>
  </si>
  <si>
    <t>jewelweed</t>
  </si>
  <si>
    <t>black and white or green</t>
  </si>
  <si>
    <t>Lots of grasses - some ferns</t>
  </si>
  <si>
    <t>grasses - Sassafras</t>
  </si>
  <si>
    <t>spicebush</t>
  </si>
  <si>
    <t>pine needles</t>
  </si>
  <si>
    <t>Equisetum?</t>
  </si>
  <si>
    <t>Barberry around SW</t>
  </si>
  <si>
    <t>May apple all around</t>
  </si>
  <si>
    <t>Barberry on SW</t>
  </si>
  <si>
    <t>Big tree down covering NE to SE - Barberry</t>
  </si>
  <si>
    <t>Lots of spicebush</t>
  </si>
  <si>
    <t>not counting ash taller than dbh for % cover - Honeysuckle</t>
  </si>
  <si>
    <t>Big rock - downed branch</t>
  </si>
  <si>
    <t>Basswood and cherry seedlings</t>
  </si>
  <si>
    <t>We found ash seedlings but outside of the microplot</t>
  </si>
  <si>
    <t>Fallen branches and horsetail</t>
  </si>
  <si>
    <t>A lot of fallen branches</t>
  </si>
  <si>
    <t>ferns - galls (see photo)</t>
  </si>
  <si>
    <t>invasive vines - autumn olive above</t>
  </si>
  <si>
    <t>ferns - grass - flooded</t>
  </si>
  <si>
    <t>ferns - grasses - skunk cabbage - flooded</t>
  </si>
  <si>
    <t>skunk cabbage - coarse woody debris</t>
  </si>
  <si>
    <t>ferns - grasses - extreme flooding</t>
  </si>
  <si>
    <t>short and tall grasses - extreme flooding</t>
  </si>
  <si>
    <t>spicebush - musclewood - extreme flooding</t>
  </si>
  <si>
    <t>ferns - extreme flooding</t>
  </si>
  <si>
    <t>tall grasses (see photo) - extreme flooding for entire plot</t>
  </si>
  <si>
    <t>tall grasses - skunk cabbage</t>
  </si>
  <si>
    <t>water too deep to walk over to - no ash seedlings observed</t>
  </si>
  <si>
    <t>fallen leaves</t>
  </si>
  <si>
    <t>prickly ash</t>
  </si>
  <si>
    <t>sugar maple</t>
  </si>
  <si>
    <t>under log - viburnum</t>
  </si>
  <si>
    <t>euonymus (wingstem) - alternate leaved dogwood (see photo)</t>
  </si>
  <si>
    <t>grasses - virginia creeper - hickory seedlings - ash saplings taller than DBH</t>
  </si>
  <si>
    <t>grasses - legume plant (the 3-ranked one with pink flowers)</t>
  </si>
  <si>
    <t>grasses - raspberry</t>
  </si>
  <si>
    <t>bittersweet - gooseberry</t>
  </si>
  <si>
    <t>microplot located on equestrian trail - mowed grass</t>
  </si>
  <si>
    <t>raspberry - rose</t>
  </si>
  <si>
    <t>fallen leaves (likely for all these microplots in 110)</t>
  </si>
  <si>
    <t>prickly ash - multiflora rose</t>
  </si>
  <si>
    <t>high density of ash seedlings in surrounding areas - spiral fern - fallen ash tree with living leaves</t>
  </si>
  <si>
    <t>mud - fallen leaves</t>
  </si>
  <si>
    <t>grasses - fallen leaves</t>
  </si>
  <si>
    <t>grasses - ferns - mosses</t>
  </si>
  <si>
    <t>tall grasses - muddy leaves</t>
  </si>
  <si>
    <t>ferns</t>
  </si>
  <si>
    <t>spicebush - beech leaves - short grasses</t>
  </si>
  <si>
    <t>tall grasses - wet leaves - spicebush</t>
  </si>
  <si>
    <t>spicebush - blackberry</t>
  </si>
  <si>
    <t>lots of ferns - spicebush</t>
  </si>
  <si>
    <t>buckthorn - skunk cabbage - wet leaves</t>
  </si>
  <si>
    <t>wet leaves</t>
  </si>
  <si>
    <t>tall grasses</t>
  </si>
  <si>
    <t>tall grasses - irises (?)</t>
  </si>
  <si>
    <t>spring wildflowers - cherry - maples</t>
  </si>
  <si>
    <t>hepatica</t>
  </si>
  <si>
    <t>lots of rocks</t>
  </si>
  <si>
    <t>fallen leaves - oak - hickory seedlings - dogwood</t>
  </si>
  <si>
    <t>fallen leaves - coarse woody debris</t>
  </si>
  <si>
    <t>potential deer browse</t>
  </si>
  <si>
    <t>coarse woody debris - fallen leaves</t>
  </si>
  <si>
    <t>coarse woody debris - short grasses - fallen leaves - ash seedling leaf damage (see photo)</t>
  </si>
  <si>
    <t>lots of ferns</t>
  </si>
  <si>
    <t>short grasses - spicebush - bittersweet</t>
  </si>
  <si>
    <t>may apple - fallen leaves - spice bush - bittersweet(?)</t>
  </si>
  <si>
    <t>may apple - Desmodium</t>
  </si>
  <si>
    <t>fallen leaves - Desmodium</t>
  </si>
  <si>
    <t>dogwood - short grasses - oak seedlings</t>
  </si>
  <si>
    <t>oak seedlings - short grasses - paw paw (written on datasheet but makes zero sense)</t>
  </si>
  <si>
    <t>dogwood - short grasses</t>
  </si>
  <si>
    <t>dogbane (?) - tall grasses - flooded</t>
  </si>
  <si>
    <t>cattail (?) - flooded</t>
  </si>
  <si>
    <t>ferns - tall grasses - flooded</t>
  </si>
  <si>
    <t>cattail - tall grasses - dogwood (?) - flooded</t>
  </si>
  <si>
    <t>flooded</t>
  </si>
  <si>
    <t>black ash seedling</t>
  </si>
  <si>
    <t>poison sumac - cattail - jewelweed</t>
  </si>
  <si>
    <t>flooded - ferns - tall grasses - jewelweed</t>
  </si>
  <si>
    <t>ferns - tall grasses</t>
  </si>
  <si>
    <t>buckthorn (?) - ferns - grasses</t>
  </si>
  <si>
    <t>cattails - ferns - black ash seedling</t>
  </si>
  <si>
    <t>potentially Sagittaria</t>
  </si>
  <si>
    <t>flooded - cattails</t>
  </si>
  <si>
    <t>cattails - an unknown woody shrub (Ilex I think)</t>
  </si>
  <si>
    <t>buckthorn (?) - autumn olive - tall grasses</t>
  </si>
  <si>
    <t>goldenrod - dead spicebush</t>
  </si>
  <si>
    <t>skunk cabbage - Joe Pye Weed (see photo)</t>
  </si>
  <si>
    <t>ferns (see photo) - cattail</t>
  </si>
  <si>
    <t>poison sumac - ferns</t>
  </si>
  <si>
    <t>short grasses - ferns</t>
  </si>
  <si>
    <t>jewelweed - ferns - cattail</t>
  </si>
  <si>
    <t>fallen leaves - dogwood - beech or hophornbeam</t>
  </si>
  <si>
    <t>short grasses - fallen leaves</t>
  </si>
  <si>
    <t>short grasses - spicebush - hophornbeam (see photo)</t>
  </si>
  <si>
    <t>short grasses - fallen leaves - orchid (see photo)</t>
  </si>
  <si>
    <t>grasses - fallen leaves - spicebush</t>
  </si>
  <si>
    <t>short grasses - coarse woody debris - ghost pipe</t>
  </si>
  <si>
    <t>spicebush - fine woody debris</t>
  </si>
  <si>
    <t>short grasses - fallen leaves - spicebush - snakeroot (?)</t>
  </si>
  <si>
    <t>fallen leaves - short grasses - coarse woody debris</t>
  </si>
  <si>
    <t>tall grasses - fallen leaves - coarse woody debris</t>
  </si>
  <si>
    <t>dead Ostrya</t>
  </si>
  <si>
    <t>viburnum (see photo)</t>
  </si>
  <si>
    <t>wingstem - dogwood - Ostrya (?)</t>
  </si>
  <si>
    <t>sassafrass - hickory</t>
  </si>
  <si>
    <t>short grasses - viburnum</t>
  </si>
  <si>
    <t>ferns (see photo) - spicebush - sandy soil</t>
  </si>
  <si>
    <t>prickly ash - spicbush - ferns (see photo)</t>
  </si>
  <si>
    <t>oak seedlings - ferns - spruce (see photo) - viburnum</t>
  </si>
  <si>
    <t>spicebush - skunk cabbage - grasses - fallen leaves</t>
  </si>
  <si>
    <t>skunk cabbage - flooded - grasses</t>
  </si>
  <si>
    <t>wild geranium - horsetails - skunk cabbage - spicebush</t>
  </si>
  <si>
    <t>ferns - grasses - flooded</t>
  </si>
  <si>
    <t>fallen leaves - galls on seedlings</t>
  </si>
  <si>
    <t>fallen leaves - coarse woody debris - short grasses</t>
  </si>
  <si>
    <t>fallen leaves - Ostrya - tulip poplar - short grasses</t>
  </si>
  <si>
    <t>blue cohosh (see photo)</t>
  </si>
  <si>
    <t>taller grasses - bloodroot - fallen leaves</t>
  </si>
  <si>
    <t>fallen leaves - blue cohosh - dead ash</t>
  </si>
  <si>
    <t>fallen leaves - grasses</t>
  </si>
  <si>
    <t>fallen leaves - ferns</t>
  </si>
  <si>
    <t>Joe Pye Weed - tall grasses - flooded</t>
  </si>
  <si>
    <t>skunk cabbage - grasses - spicebush - flooded - sedges</t>
  </si>
  <si>
    <t>spicebush - flooded - skunk cabbage</t>
  </si>
  <si>
    <t>tall grasses - flooded - spicebush - ferns</t>
  </si>
  <si>
    <t>ferns - may apple - beech</t>
  </si>
  <si>
    <t>ferns - spicebush</t>
  </si>
  <si>
    <t>fallen leaves - CWD</t>
  </si>
  <si>
    <t>muddy - CWD - spicebush</t>
  </si>
  <si>
    <t>sparse grasses - CWD - some of ash seedlings have white freckles</t>
  </si>
  <si>
    <t>grasses (abundant)</t>
  </si>
  <si>
    <t>CWD - muddy - ash seedlings extremely dense</t>
  </si>
  <si>
    <t>muddy - skunk cabbage - grasses</t>
  </si>
  <si>
    <t>short grasses</t>
  </si>
  <si>
    <t>tulip poplar - fallen leaves - CWD</t>
  </si>
  <si>
    <t>fallen leaves - Prunus</t>
  </si>
  <si>
    <t>Witch hazel - fallen leaves - CWD</t>
  </si>
  <si>
    <t>fallen leaves - viburnum</t>
  </si>
  <si>
    <t>American jumpseed - Arabidopsis thing</t>
  </si>
  <si>
    <t>buckthorn - sedges - flooded</t>
  </si>
  <si>
    <t>ferns - skunk cabbage - buckthorn</t>
  </si>
  <si>
    <t>flooded - ferns - skunk cabbage - mosses</t>
  </si>
  <si>
    <t>flooded - grasses</t>
  </si>
  <si>
    <t>fallen leaves - witch hazel</t>
  </si>
  <si>
    <t>viburnum</t>
  </si>
  <si>
    <t>viburnum - hickory - ash leaf galls - dogwood seedlings</t>
  </si>
  <si>
    <t>dogwood - viburnum - Desmodium - Sassafrass</t>
  </si>
  <si>
    <t>may apple</t>
  </si>
  <si>
    <t>Celastrus - Desmodium</t>
  </si>
  <si>
    <t>short grasses - may apple</t>
  </si>
  <si>
    <t>fallen leaves - short grasses</t>
  </si>
  <si>
    <t>fallen leaves- short grasses</t>
  </si>
  <si>
    <t>fallen leaves - herbicides maybe being used on invasives here</t>
  </si>
  <si>
    <t>fallen leaves - short grasses - tall grasses</t>
  </si>
  <si>
    <t>beech seedling - fallen leaves</t>
  </si>
  <si>
    <t>tall grasses - fallen leaves</t>
  </si>
  <si>
    <t>American jumpseed - fallen leaves</t>
  </si>
  <si>
    <t>fallen leaves - galls on ash</t>
  </si>
  <si>
    <t>one ash seedling with dying leaves</t>
  </si>
  <si>
    <t>CWD - FWD - virginia creeper - bitternut hickory - potential deer browse</t>
  </si>
  <si>
    <t>Rubus - short grasses - mud - cherry - American jumpseed</t>
  </si>
  <si>
    <t>fallen leaves - FWD - Rubus</t>
  </si>
  <si>
    <t>virginia creeper - currant or gooseberry</t>
  </si>
  <si>
    <t>Rubus</t>
  </si>
  <si>
    <t>Rubus - virginia creeper</t>
  </si>
  <si>
    <t>Privet or honeysuckle (seed photo)</t>
  </si>
  <si>
    <t>cherry</t>
  </si>
  <si>
    <t>short grasses - virginia creeper - dogwood</t>
  </si>
  <si>
    <t>short grasses - Rubus - may apple</t>
  </si>
  <si>
    <t>poison ivy - Rubus - short grasses - CWD</t>
  </si>
  <si>
    <t>virginia creeper - oak seedling - honeysuckle - American jumpseed</t>
  </si>
  <si>
    <t>fine woody debris - Rubus</t>
  </si>
  <si>
    <t>musclewood</t>
  </si>
  <si>
    <t>CWD</t>
  </si>
  <si>
    <t>bitternut hickory - Rubus - fallen leaves</t>
  </si>
  <si>
    <t>may apple - fallen leaves - Celastrus</t>
  </si>
  <si>
    <t>galls on ash - fallen leaves</t>
  </si>
  <si>
    <t>CWD - fallen leaves - bittersweet</t>
  </si>
  <si>
    <t>may apple - fallen leaves</t>
  </si>
  <si>
    <t>FWD - brambles - bare ground</t>
  </si>
  <si>
    <t>short grasses - bare ground - serviceberry (?)</t>
  </si>
  <si>
    <t>fallen leaves - short grasses - FWD - dogwood</t>
  </si>
  <si>
    <t>fallen leaves - CWD - poison ivy</t>
  </si>
  <si>
    <t>grass hummocks</t>
  </si>
  <si>
    <t>interesting shrubs (possibly Ilex) - flooded</t>
  </si>
  <si>
    <t>flooded - short grasses - swamp white oak seedling</t>
  </si>
  <si>
    <t>spicebush - muddy - skunk cabbage - flooded</t>
  </si>
  <si>
    <t>beech</t>
  </si>
  <si>
    <t>ferns - witchhazel</t>
  </si>
  <si>
    <t>flooded - mud - hummocks</t>
  </si>
  <si>
    <t>grass hummocks - flooded</t>
  </si>
  <si>
    <t>flooded - fallen leaves - spicebush</t>
  </si>
  <si>
    <t>flooded - skunk cabbage</t>
  </si>
  <si>
    <t>flooded - spicebush - musclewood (?)</t>
  </si>
  <si>
    <t>spicebush - fallen leaves</t>
  </si>
  <si>
    <t>flooded - tall grasses</t>
  </si>
  <si>
    <t>flooded - skunk cabbage - mud</t>
  </si>
  <si>
    <t>ferns - short grasses - mud - skunk cabbage</t>
  </si>
  <si>
    <t>mud - flooded - skunk cabbage</t>
  </si>
  <si>
    <t>fallen leaves - dogwood - cherry (?) - viburnum - Celastrus</t>
  </si>
  <si>
    <t>fallen leaves - American Hog Peanut</t>
  </si>
  <si>
    <t>bitternut hickory</t>
  </si>
  <si>
    <t>seedlings_done_y_n</t>
  </si>
  <si>
    <t>saplings_done_y_n</t>
  </si>
  <si>
    <t>trees_done_y_n</t>
  </si>
  <si>
    <t>A</t>
  </si>
  <si>
    <t>KENUPHD</t>
  </si>
  <si>
    <t>Aspen trail across from Nature Ctr. Stay right, then right onto Tamarack Tr.  Plot on left side.  Fence uphill on left.</t>
  </si>
  <si>
    <t>Prunus serotina            22.3 cm.</t>
  </si>
  <si>
    <t>05_15_2024</t>
  </si>
  <si>
    <t>23.2 cm black cherry</t>
  </si>
  <si>
    <t>Prunus serotina</t>
  </si>
  <si>
    <t>KENUPHD2</t>
  </si>
  <si>
    <t xml:space="preserve">Continue N from KENUPHD </t>
  </si>
  <si>
    <t>Prunus virginiana (buck rub)  8.6 cm.</t>
  </si>
  <si>
    <t>From paired black walnuts: 320 degrees, 18 steps</t>
  </si>
  <si>
    <t>11.25 cm choke cherry</t>
  </si>
  <si>
    <t>Prunus virginiana</t>
  </si>
  <si>
    <t>KENUPHD3</t>
  </si>
  <si>
    <t>Continue N &amp; bear slightly toward fence from KENUPHD2 (center tree is NE of fenced area).</t>
  </si>
  <si>
    <t xml:space="preserve">Ulmus rubra 35.0 cm. </t>
  </si>
  <si>
    <t>Witness tree: Black walnut 36 cm DBH 110 degrees to the center tree. E of access road - north of a big basswood</t>
  </si>
  <si>
    <t xml:space="preserve">Center tree down - stump remains - PVC placed on S side. </t>
  </si>
  <si>
    <t>Missing</t>
  </si>
  <si>
    <t>fallen</t>
  </si>
  <si>
    <t>Hudson Mills</t>
  </si>
  <si>
    <t>AA</t>
  </si>
  <si>
    <t>HMHD</t>
  </si>
  <si>
    <t>Near pond.Middle plot.</t>
  </si>
  <si>
    <t>Ostraya virginiana (two stems)   13.5 + 7.9 cm.</t>
  </si>
  <si>
    <t>HMHD2</t>
  </si>
  <si>
    <t>S of HMHD.  Adjacent to the pond. 1st plot.</t>
  </si>
  <si>
    <t>5-stemmed Quercus rubra, 2 alive 35 + 35.3 cm.</t>
  </si>
  <si>
    <t>07_30_2024</t>
  </si>
  <si>
    <t>Tilia - red oak - hickory - musclewood - some unknown (Ostrya or cherry) - the swamp to the West has pricly ash</t>
  </si>
  <si>
    <t>44.9 + 45.1 cm 2-stem Quercus rubra</t>
  </si>
  <si>
    <t>Quercus rubra</t>
  </si>
  <si>
    <t>HMHD3</t>
  </si>
  <si>
    <t>West of HMMAT.  Adjacent to low wet area to SE.  3rd plot.</t>
  </si>
  <si>
    <t>Prunus serotina  16.5 cm.</t>
  </si>
  <si>
    <t>B</t>
  </si>
  <si>
    <t>KENDRY</t>
  </si>
  <si>
    <t>Deer run to Marsh shortcut to Chickadee loop (shelter). KENUP on rt. flagged hornbeam on left.  Walk NW   Left side of trail.</t>
  </si>
  <si>
    <t>Carya ovata 17.2 cm.</t>
  </si>
  <si>
    <t>basswoods - big oaks - hickories - beech - elm (slippery??)</t>
  </si>
  <si>
    <t>18.6 cm Carya</t>
  </si>
  <si>
    <t>Carya spp.</t>
  </si>
  <si>
    <t>KENDRY2</t>
  </si>
  <si>
    <t>Deer run to Marsh shortcut to Chickadee loop (shelter).  Past KENDRY.  Turn E into stand.  Right side of trail.</t>
  </si>
  <si>
    <t xml:space="preserve">Carya spp.- 2 stemmed 32.4 + 11.9   </t>
  </si>
  <si>
    <t>07_31_2024</t>
  </si>
  <si>
    <t>Serviceberry - hawthorn - hickory - white oak - red oak - elm</t>
  </si>
  <si>
    <t>36.7 + 12.8 cm Carya spp - tree tag partly swallowed</t>
  </si>
  <si>
    <t>KENDRY3</t>
  </si>
  <si>
    <t>Left side of Chickadee trail .  Enter stand at flagged cherry.  NE from KENDRY.</t>
  </si>
  <si>
    <t>Quercus alba 14.9</t>
  </si>
  <si>
    <t>Red oak - cherry - walnut - hickory - red maple - white oak - beech</t>
  </si>
  <si>
    <t>16.1 cm Quercus alba</t>
  </si>
  <si>
    <t>Quercus alba</t>
  </si>
  <si>
    <t>BB</t>
  </si>
  <si>
    <t>HMDRY</t>
  </si>
  <si>
    <t>Take trail to the left toward point #12.  Turn left before shortcut.  Turn left (South) into stand past point # 11 (Life in Layers)</t>
  </si>
  <si>
    <t>Quercus rubra (on big mound) 31.1 cm.</t>
  </si>
  <si>
    <t>Bigtooth aspen - bitternut (and other Carya (?)) - walnut - some smaller Tilia - an elm - Prunus (choke?)</t>
  </si>
  <si>
    <t>40.6 cm Quercus (red oak group) - tag missing</t>
  </si>
  <si>
    <t>HMDRY2</t>
  </si>
  <si>
    <t>SW of HMDRY</t>
  </si>
  <si>
    <t>Tilia americana, btwn. 2 stones 10.6 cm.</t>
  </si>
  <si>
    <t>From witness tree (flagged 32.7 cm cherry): turn 255 degrees and go 2.7 meters</t>
  </si>
  <si>
    <t>Cherry - elm - Tilia (lots) - Ostrya - hickory - white and red oak - Sassafrass - sugar maple. Some ash small trees in the 8-18 m or just outside it.</t>
  </si>
  <si>
    <t>Tree down - missing. Rebar intact.</t>
  </si>
  <si>
    <t>HMDRY3</t>
  </si>
  <si>
    <t>S of HMDRY2.  Down slight slope and past large rock pile.</t>
  </si>
  <si>
    <t>Prunus 28.3 cm.</t>
  </si>
  <si>
    <t>Possibly serviceberry (see photos). Understory with American jumpseed. Red oaks - bigger Ostrya - cherry - hickory- white oak - some (few) Tilia.</t>
  </si>
  <si>
    <t>32.8 cm Prunus</t>
  </si>
  <si>
    <t>Prunus spp.</t>
  </si>
  <si>
    <t>KENUP</t>
  </si>
  <si>
    <t>Deer run to Swamp shortcut to Chickadee loop (shelter).  Turn right into stand at marked cherry.  Four-stemmed ash at the edge of the trail.</t>
  </si>
  <si>
    <t>Acer rubrum (2 fused trunks) 25.2 cm.</t>
  </si>
  <si>
    <t>very few ash - big red oaks - cherries - white oaks - Ostrya - Crataegus - hickory - some red maples - beech</t>
  </si>
  <si>
    <t>25.9 cm - 1 trunk</t>
  </si>
  <si>
    <t>Acer rubrum</t>
  </si>
  <si>
    <t>KENUP2</t>
  </si>
  <si>
    <t>Enter Chickadee loop near shelter.  Go right into stand at marked elm tree.  On same side as KENUP.</t>
  </si>
  <si>
    <t xml:space="preserve">Amelanchier 9.5 cm. </t>
  </si>
  <si>
    <t>Serviceberry - red oak - white oak - hickory - cherry - red maple</t>
  </si>
  <si>
    <t>10.9 cm Amelanchier</t>
  </si>
  <si>
    <t>Amelanchier spp.</t>
  </si>
  <si>
    <t>KENUP3</t>
  </si>
  <si>
    <t>First plot on right from Chickadee loop shelter.  Turn into stand at flagged ironwood (Ostraya viriginiana)</t>
  </si>
  <si>
    <t>Ostrya  8.3 cm.</t>
  </si>
  <si>
    <t>Ostrya - red oaks - cherry - 1 bigtooth aspen - dogwood - hickory. Understory sparse - some honeysuckle and Celastrus.</t>
  </si>
  <si>
    <t>9.8 cm Ostrya</t>
  </si>
  <si>
    <t>Ostrya virginiana</t>
  </si>
  <si>
    <t>CC</t>
  </si>
  <si>
    <t>ILOPEN</t>
  </si>
  <si>
    <t xml:space="preserve">  Park at open area to left.  Cross road to gated path. Take path past wet area and enter stand at right where ground is dry.  </t>
  </si>
  <si>
    <t>Acer saccharum                           53.3 cm.</t>
  </si>
  <si>
    <t>07_16_2024</t>
  </si>
  <si>
    <t>Tilia - bitternut hickory - sugar maple - beech - red oak - serviceberry or musclewood (see photo) - Ostrya - cottonwood (? See photo)</t>
  </si>
  <si>
    <t>57.6 cm Acer saccharum - tree tag mostly swallowed</t>
  </si>
  <si>
    <t>Acer saccharum</t>
  </si>
  <si>
    <t>ILOPEN2</t>
  </si>
  <si>
    <t>N of ILOPEN</t>
  </si>
  <si>
    <t>Tilia americana            31.1 cm.</t>
  </si>
  <si>
    <t>08_06_2024</t>
  </si>
  <si>
    <t>Found bladdernut in the understory. Lots of tree species including white oak - red oak - silver maple - swamp white oak - Tilia - etc.</t>
  </si>
  <si>
    <t>34.4 cm Tilia americana</t>
  </si>
  <si>
    <t>Tilia americana</t>
  </si>
  <si>
    <t>ILOPEN3</t>
  </si>
  <si>
    <t>NW of ILOPEN</t>
  </si>
  <si>
    <t>Quercus bicolor 23.3 cm.</t>
  </si>
  <si>
    <t>South PVC direction was off. Not changed.</t>
  </si>
  <si>
    <t>A 9.5 cm and an 8.5 cm black ash in the outer plot or close outside it. Red oak - red or silver maple - swamp white oak - Tilia - Carpinus - cottonwood</t>
  </si>
  <si>
    <t>29.1 cm Quercus bicolor</t>
  </si>
  <si>
    <t>Quercus bicolor</t>
  </si>
  <si>
    <t xml:space="preserve">Continue on Chickadee loop from KENDRY2.  Look for flagged elm at right.  Flagged center will be visible from trail. </t>
  </si>
  <si>
    <t>Acer rubrum 27.4 cm.</t>
  </si>
  <si>
    <t>Sunnier spots covered with an Arabidopsis-type plant and American jumpseed. Black oak (?)(leaves with wider lobes) - walnut - sassafrass - white oak - cherry - elm - maple spp</t>
  </si>
  <si>
    <t>33.0 cm Acer spp,</t>
  </si>
  <si>
    <t>Acer spp.</t>
  </si>
  <si>
    <t>KENDRY3A</t>
  </si>
  <si>
    <t>Continue E from KENDRY3 to marked cherry.  Entance tree deeply grooved.</t>
  </si>
  <si>
    <t>Prunus serotina 22.2 cm.</t>
  </si>
  <si>
    <t>Cottonwood - walnut - hickory - slippery elm - cherry - oak (post oak??)</t>
  </si>
  <si>
    <t>25.2 cm cherry</t>
  </si>
  <si>
    <t>KENDRY3B</t>
  </si>
  <si>
    <t>Before KENDRY3 on right side of Chickadee trail.  1st plot, closest to trail.  Turn into stand at marked beech.</t>
  </si>
  <si>
    <t>Moved center to Acer rubrum from Prunus (needs tag)  14.1 cm.</t>
  </si>
  <si>
    <t>From a 21.2 cm Sassafrass:  turn 90 degrees and go 3.8 meters</t>
  </si>
  <si>
    <t>Lots of red or black oak - cherry - beech - sassafrass. Some red maple - slippery elm - hickory</t>
  </si>
  <si>
    <t>Center tree down</t>
  </si>
  <si>
    <t>DD</t>
  </si>
  <si>
    <t>ILLOW</t>
  </si>
  <si>
    <t>NE of ILOPEN</t>
  </si>
  <si>
    <t>Tilia americana  32.9 cm.</t>
  </si>
  <si>
    <t>Swamp white oak - Tilia - beech - Carpinus - silver maple - hazelnut - cottonwood - Ilex (?) - Carya</t>
  </si>
  <si>
    <t>34.1 cm Tilia</t>
  </si>
  <si>
    <t>ILLOW2</t>
  </si>
  <si>
    <t>N of ILOPEN2, 5 m away from a huge cottonwood</t>
  </si>
  <si>
    <t>Acer sacharinum, S of huge cottonwood  54.5 cm.</t>
  </si>
  <si>
    <t>08_07_2024</t>
  </si>
  <si>
    <t>Mostly green or pumpkin ash - not black ash as much. Water was 2-3 feet deep.</t>
  </si>
  <si>
    <t>58.5 cm Acer saccharinum</t>
  </si>
  <si>
    <t>Acer saccharinum</t>
  </si>
  <si>
    <t>ILLOW3</t>
  </si>
  <si>
    <t xml:space="preserve">  Walk left up park road and look for flagged red maple sapling right side of road.  Turn right at flagged tree.  Plot is ~40 m from road.  </t>
  </si>
  <si>
    <t xml:space="preserve">Acer saccharinum, (DBH above scar)    22.0 </t>
  </si>
  <si>
    <t>From a huge mossy stump (or huge mound that was once a giant cottonwood tree): go 150 degrees and 9.4 meters to get to center. From a flagged 53 cm DBH silver maple: go 265 degrees and 5.43 meters.</t>
  </si>
  <si>
    <t>Silver maple - elm - swamp white oak - red or pin oak - Carpinus - Ilex - hickory (with a red stem) - spicebush in understory.</t>
  </si>
  <si>
    <t>Center tree decomposed. Only small mossy stump remains.</t>
  </si>
  <si>
    <t>PLINT</t>
  </si>
  <si>
    <t xml:space="preserve">Park at top of Boat Launch Rd. off Bass Lake Rd.  Plot is down hill in low area before foot bridge.  </t>
  </si>
  <si>
    <t>Prunus serotina 24.1 cm.</t>
  </si>
  <si>
    <t>06_13_2024</t>
  </si>
  <si>
    <t>Black cherry 24.4 cm DBH</t>
  </si>
  <si>
    <t>PLINT2</t>
  </si>
  <si>
    <t>First of 2 plots on top of hill/ridge. Head NE off trail before trail turns left. Closest of the 3 plots to parking lot.</t>
  </si>
  <si>
    <t>Quercus spp. 10.9 cm.</t>
  </si>
  <si>
    <t>06_19_2024</t>
  </si>
  <si>
    <t>13.7 cm Quercus</t>
  </si>
  <si>
    <t>Quercus spp.</t>
  </si>
  <si>
    <t>PLINT3</t>
  </si>
  <si>
    <t xml:space="preserve">Plot is North of parking lot.(befpre bridge). Go about 320 ' into woods.  Plot is very close to pkg. lot. </t>
  </si>
  <si>
    <t>Prunus serotina  22.1 cm.</t>
  </si>
  <si>
    <t>22.8 cm Prunus serotina</t>
  </si>
  <si>
    <t>EE</t>
  </si>
  <si>
    <t>HLMAT</t>
  </si>
  <si>
    <t xml:space="preserve">Duck Lake Rd. to Livingston Rd.  Pkg on rt. Trail across rd.-stay left until T intersection.  Trail goes under road.  Turn left on seldom used trail w/8 on trail marker.  It faces the opposite way.  Turn right to find 1st  plot. </t>
  </si>
  <si>
    <t>Acer saccharum 22.0 cm.</t>
  </si>
  <si>
    <t>07_17_2024</t>
  </si>
  <si>
    <t>Sugar maple - red oak - bitternut hickory - beech - elm in wet section. There is an approx 4.5 cm black ash at 17 meters. It has lots of bark splits and epicormics.</t>
  </si>
  <si>
    <t>29.8 cm Acer saccharum</t>
  </si>
  <si>
    <t>HLMAT2</t>
  </si>
  <si>
    <t>Turn left out of plot on xc ski trail from HLMAT. On rt. look for sm. flagged beech &amp; woody debris/huge downed tree.  Turn right go up hill. Stream is N of plot.</t>
  </si>
  <si>
    <t>Acer saccharum 40.2 cm.</t>
  </si>
  <si>
    <t>From an 84.7 cm (huge) sugar maple - go 162 degrees and 6.25 meters</t>
  </si>
  <si>
    <t>Lots of sugar maple - beech - Ostrya - smooth barked hickory - maybe a tuliptree</t>
  </si>
  <si>
    <t>48.5 cm Acer saccharum - tree tag missing - only 1 microplot PVC found - no rebar found - map and GARMIN match the tree we found</t>
  </si>
  <si>
    <t>HLMAT3</t>
  </si>
  <si>
    <t>Cross small bridge over stream and turn left into stand up the hill at carved beech tree. Go uphill total distance hiked from parking lot is ~1.4 mi.</t>
  </si>
  <si>
    <t>Quercus rubra  44.0 cm.</t>
  </si>
  <si>
    <t>Tuliptree - hickory (smooth and shaggy barked) - red oak - LOTS of maple (sugar?) - Ostrya</t>
  </si>
  <si>
    <t>48.1 cm Quercus (red or black oak) - tree tag almost swallowed</t>
  </si>
  <si>
    <t>F</t>
  </si>
  <si>
    <t>PLDRYMAT</t>
  </si>
  <si>
    <t xml:space="preserve">Boat Launch Rd. off Bass Lake Rd.  Take trail in past wet area &amp; cross bridge over stream.  Plot on right side (N) of trail, very close to trail. Enter woods at flagged cherry. </t>
  </si>
  <si>
    <t>Acer rubrum  10.1 cm.</t>
  </si>
  <si>
    <t>16.2 cm Acer rubrum - tree tag mostly swallowed</t>
  </si>
  <si>
    <t>PLDRYMAT2</t>
  </si>
  <si>
    <t>Same as above. Before powerline.   Plot on right side of trail, very close to trail.</t>
  </si>
  <si>
    <t>Prunus  (2 stem)                  36.1 + 18.9 cm.</t>
  </si>
  <si>
    <t>06_20_2024</t>
  </si>
  <si>
    <t>43 cm + 19.7 cm Prunus 2-stem - tree tag missing</t>
  </si>
  <si>
    <t>PLDRYMAT2A</t>
  </si>
  <si>
    <t xml:space="preserve">Pass PLINT plots, cross bridge over stream.  Farthest right plot on this side.  Follow deer trail right and uphill.  Plot on a slope. </t>
  </si>
  <si>
    <t>Prunus serotina 18.8 cm.</t>
  </si>
  <si>
    <t>Prunus serotina 19.9 cm - tree tag missing</t>
  </si>
  <si>
    <t>G</t>
  </si>
  <si>
    <t>PLCONF</t>
  </si>
  <si>
    <t xml:space="preserve">Same as above. Take trail past power line. Plot N of trail, very close to trail in white pine stand. </t>
  </si>
  <si>
    <t>Acer rubrum, (2-stem)                   5.3 + 4.3 cm.</t>
  </si>
  <si>
    <t>dominant species maple beech and some pine</t>
  </si>
  <si>
    <t>Acer rubrum 2-stem 5.4 + 4.3 cm</t>
  </si>
  <si>
    <t>PLDRYMAT3</t>
  </si>
  <si>
    <t>Same as above, take trail past power line. Plot lies E (rt. Of PLCONF). Very close to trail off rt. side.</t>
  </si>
  <si>
    <t>Acer rubrum,  (3-stem) 22.6 + 16.5 + 10 cm.</t>
  </si>
  <si>
    <t>dominant species maple and beech</t>
  </si>
  <si>
    <t>Acer 25.5 cm + 18.5 cm + 11.5 cm 3-stem</t>
  </si>
  <si>
    <t>PLDRYMAT3A</t>
  </si>
  <si>
    <t>Same as above, take trail past powerlines.  Plot  immed. E. of #34, and #35. Very close to trail off right side.</t>
  </si>
  <si>
    <t>Quercus velutina  20.2 cm.</t>
  </si>
  <si>
    <t>23.6 cm black oak</t>
  </si>
  <si>
    <t>Quercus velutina</t>
  </si>
  <si>
    <t>H</t>
  </si>
  <si>
    <t>PLWET</t>
  </si>
  <si>
    <t>Trail head near park office at Wixom Rd.  Take River trail to Yellow Birch sign.Enter wet area at last (4th boardwalk) into stand.</t>
  </si>
  <si>
    <t>Carpinus  4.1 cm.</t>
  </si>
  <si>
    <t>Witness tree created and flagged - Birch 11.5 cm - 37 degrees and 3.70 meters to the center</t>
  </si>
  <si>
    <t>Center tree on the laminated map (Acer) is dead - tree tag was found - however did not locate the Carpinus 4.1 cm</t>
  </si>
  <si>
    <t>PLWET2</t>
  </si>
  <si>
    <t>Take River trail. Turn N (L) into stand. After 2nd or 3rd?  boardwalk. Middle plot.</t>
  </si>
  <si>
    <t>Acer  6.2 cm.</t>
  </si>
  <si>
    <t>06_12_2024</t>
  </si>
  <si>
    <t>about 10 ft and 190 degrees from a 21.2 cm DBH dying Acer with 2 main branches</t>
  </si>
  <si>
    <t>Acer 6.9 cm DBH</t>
  </si>
  <si>
    <t>PLWET3</t>
  </si>
  <si>
    <t>Poison sumac in your face. Take River trail. Turn NW into stand at beginning of 1st or 2nd? board walk.</t>
  </si>
  <si>
    <t>Larix   21.3 cm.</t>
  </si>
  <si>
    <t>The Larix trees are dead or dying</t>
  </si>
  <si>
    <t>Larix 22.9 cm DBH</t>
  </si>
  <si>
    <t>Larix spp.</t>
  </si>
  <si>
    <t>KENWET</t>
  </si>
  <si>
    <t>Park at NC, take Deer Run trail ~100 ft. 1st plot closest to NC on left side of trail.</t>
  </si>
  <si>
    <t xml:space="preserve">Quercus macrocarpa, (bur) 22.8 cm. </t>
  </si>
  <si>
    <t>07_10_2024</t>
  </si>
  <si>
    <t>25.8 cm bur oak</t>
  </si>
  <si>
    <t>Quercus macrocarpa</t>
  </si>
  <si>
    <t>KENWET2</t>
  </si>
  <si>
    <t>5th Kenwet plot. on Deer Run trail.  Cross boardwalk over marsh. Enter at small stream walk up hill to plot ctr..</t>
  </si>
  <si>
    <t>2-stem Carpinus caroliniana 8.1 + 6.9 cm.</t>
  </si>
  <si>
    <t>There is a whole field of spicebush to the North that is dying. Many leaves brown. Also a green ash outside the 18 meters. At this site: lots of Tilia - some prairie plants such as goldenrod.</t>
  </si>
  <si>
    <t>7.9 cm musclewood 1-stem (the other stem is down)</t>
  </si>
  <si>
    <t>Carpinus caroliniana</t>
  </si>
  <si>
    <t>KENWET4</t>
  </si>
  <si>
    <t>6th Kenwet plot.Deer run trail, cross boardwalk over marsh.  Go in on rt. side not straight in. Before squirrel sign. Last plot on left where Kamal got stuck.</t>
  </si>
  <si>
    <t xml:space="preserve">Tamarack 26.3 cm.         </t>
  </si>
  <si>
    <t>A green or white ash outside the 18 meters. Lots of Tamarack - poison sumac - cattails.</t>
  </si>
  <si>
    <t>24.1 cm Tamarack (dead - bark is disintegrating)</t>
  </si>
  <si>
    <t>Larix laricina</t>
  </si>
  <si>
    <t>J</t>
  </si>
  <si>
    <t>KENWET3</t>
  </si>
  <si>
    <t>3rd Kenwet plot.Deer run trail .  Turn left into stand at flagged oak, just before bridge.</t>
  </si>
  <si>
    <t>Carpinus 9.0 cm.     New ctr.2.25 m. from orig.</t>
  </si>
  <si>
    <t>From a 9.4 cm DBH (partly fallen) Tilia (flagged): go 48 degrees and 2.32 meters. From a big 3-stem bur oak: go 330 degrees and 7.3 meters. From our black ash prism trap tree: go about 265 degrees and 25 meters.</t>
  </si>
  <si>
    <t>Center tree missing</t>
  </si>
  <si>
    <t>KENWET3A</t>
  </si>
  <si>
    <t>2nd Kenwet plot.  Deer run trail to flagged 2-stemed ash at left.  Uphill.</t>
  </si>
  <si>
    <t>4-stem Basswood .  Orig. ctr. was ash.</t>
  </si>
  <si>
    <t>Elm - basswood - tamarack - poison sumac - some taller grass I don’t know - cattails - musclewood.</t>
  </si>
  <si>
    <t>3 stems left - 9.1 + 8.9 + 11.6 cm</t>
  </si>
  <si>
    <t>KENWET3B</t>
  </si>
  <si>
    <t>4th Kenwet plot.From KENWET3 go further back into stand (45 degrees) away from boardwalk.</t>
  </si>
  <si>
    <t>Acer palmatum (Japanese maple)    9.8 cm.</t>
  </si>
  <si>
    <t>Hummocks of plants and flooded muddy areas - many ferns - cattail - one birch - tamarack - Ilex (winterberry) - poison sumac</t>
  </si>
  <si>
    <t>10.9 dbh Acer spp.</t>
  </si>
  <si>
    <t>Pontiac Lake</t>
  </si>
  <si>
    <t>L</t>
  </si>
  <si>
    <t>PONUP</t>
  </si>
  <si>
    <t>Gale Rd.  Hike in ~ 50m.  Turn left into stand at flagged red maple seedling (leaning) ~3m from trail edge.  Bear slightly to left to find center tree. 1st plot on left.</t>
  </si>
  <si>
    <t>Acer rubrum  15.7 cm.</t>
  </si>
  <si>
    <t>05_16_2024</t>
  </si>
  <si>
    <t>Next to a grapevine</t>
  </si>
  <si>
    <t>Acer rubrum 15.9 cm</t>
  </si>
  <si>
    <t>PONUP2</t>
  </si>
  <si>
    <t>Gale Rd.  Look for flagged elm sapling on left ~2m from edge of trail.  Turn left into stand. Something buried at plot ctr.-stone ring. 2nd plot on Lt.</t>
  </si>
  <si>
    <t>Acer rubrum 30.0 cm.</t>
  </si>
  <si>
    <t>Acer rubrum 40.0 cm</t>
  </si>
  <si>
    <t>PONUP3</t>
  </si>
  <si>
    <t>Continue N on trail from PONUP2.  Flagged elm sapling on L.  Enter stand and head SW to flagged white oak.3rd plot on left.</t>
  </si>
  <si>
    <t>Quercus alba  30.3 cm.</t>
  </si>
  <si>
    <t>31.8 cm white oak</t>
  </si>
  <si>
    <t>M</t>
  </si>
  <si>
    <t>PONHD</t>
  </si>
  <si>
    <t>Go North West from PONUP3.  Farthest back on hump beneath ridge.</t>
  </si>
  <si>
    <t>Quercus rubra 28.7 cm.</t>
  </si>
  <si>
    <t>06_06_2024</t>
  </si>
  <si>
    <t>Big basswoods - oak - one ash seedling has all leaves wilted and yellow</t>
  </si>
  <si>
    <t>35.0 cm red oak</t>
  </si>
  <si>
    <t>PONHD2</t>
  </si>
  <si>
    <t>Gale Rd. trail to T intersection (~.15mi), go left around the bend and up hill.  Go L (SW) into stand at flag.  On top of ridge.</t>
  </si>
  <si>
    <t>Quercus rubra 18.7 cm.</t>
  </si>
  <si>
    <t>a lot of vine pressure at this site - vines are competing with ash trees</t>
  </si>
  <si>
    <t>Q. rubra 28.1 cm</t>
  </si>
  <si>
    <t>PONHD3</t>
  </si>
  <si>
    <t xml:space="preserve">South of PONHD2.  Chair plot on backside from swamp. </t>
  </si>
  <si>
    <t>Large tooth aspen (dying) 33.5 cm.</t>
  </si>
  <si>
    <t>Bigtooth aspen 34.7 cm</t>
  </si>
  <si>
    <t>Populus grandidentata</t>
  </si>
  <si>
    <t>PONEAST</t>
  </si>
  <si>
    <t xml:space="preserve">Gale Rd. trail to flagged elm on right.  Use GPS to navigate to plot (3rd plot in).    Pond to S. of plot ~80m. </t>
  </si>
  <si>
    <t xml:space="preserve">Carya ovata 30.9 cm.           </t>
  </si>
  <si>
    <t>Basswoods - red oaks - hickories - red maple - sugar maple - Ostryia - maybe Carpinus - lots of spring wildflowers and ghost pipe in the understory - ash mostly in the seedling size</t>
  </si>
  <si>
    <t>Carya spp. 38.1 cm (tree tag mostly swallowed)</t>
  </si>
  <si>
    <t>PONEAST2</t>
  </si>
  <si>
    <t xml:space="preserve">Gale Rd. to flagged elm.  Go east (R) into stand. </t>
  </si>
  <si>
    <t>Sassafras albidium 13.2 cm.</t>
  </si>
  <si>
    <t>Sassafras 16.8 cm</t>
  </si>
  <si>
    <t>Sassafras albidium</t>
  </si>
  <si>
    <t>PONEAST3</t>
  </si>
  <si>
    <t>Gale Rd.  to flagged elm.  Go east (R) into stand. Closest poneast plot to trail.</t>
  </si>
  <si>
    <t>Quercus rubra 31.9 cm.</t>
  </si>
  <si>
    <t>39.7 cm DBH Quercus rubra - Tree tag swallowed or missing</t>
  </si>
  <si>
    <t>O</t>
  </si>
  <si>
    <t>PONRT</t>
  </si>
  <si>
    <t xml:space="preserve">Gale Rd. trail to second flagged tree on right side of trail.  Enter stand and head east.  Follow GPS to PONRT. Way back  in middle.On hill looks down on swamp. Annie's </t>
  </si>
  <si>
    <t>Quercus rubra  29.2 cm.</t>
  </si>
  <si>
    <t>34.5 cm Quercus (red oak group) - tree tag partly swallowed</t>
  </si>
  <si>
    <t>PONRT2</t>
  </si>
  <si>
    <t>Paper wasp nest in ground at E 18m. Gale Rd. path to T-intersection.  Take path to right.  Flagged hickory 3-4 m from trail on right marks entrance to plot. Annie's</t>
  </si>
  <si>
    <t>Acer rubrum (2 fused trunks)  21.9 cm.</t>
  </si>
  <si>
    <t>Bigger witchhazels in the understory - tulip poplar - Populus - red oak - Tilia - Acer - wingstem in understory</t>
  </si>
  <si>
    <t>24.7 cm at DBH (2 fused trunks)</t>
  </si>
  <si>
    <t>PONRT3</t>
  </si>
  <si>
    <t>Gale Rd. trail to flagged red maple on right side of trail. Turn right into stand at large forked red oak. Scraggly.  Annie's</t>
  </si>
  <si>
    <t>Hickory  28.9 cm.</t>
  </si>
  <si>
    <t>Red oak - red maple - hickory (mockernut?, shagbark?) - dogwood (alternate leaved?) - white oak - cherry (choke cherry?) - sassafrass - viburnum in understory</t>
  </si>
  <si>
    <t>29.9 cm hickory</t>
  </si>
  <si>
    <t>P</t>
  </si>
  <si>
    <t>ILRIP</t>
  </si>
  <si>
    <t>Park at Riverbend picnic area and take yellow path.  Riparian area is on right before you come to bridge over Huron River.  Plot closest to river and bridge, not far in on left.</t>
  </si>
  <si>
    <t xml:space="preserve">Acer saccharinum (5 stems) 6.1 + 3.8 + 2.4 + 2.5 + 2.1 + 5.0 cm. </t>
  </si>
  <si>
    <t>ILRIP2</t>
  </si>
  <si>
    <t>Go SE from ILRIP. Plot at back. (Most North)</t>
  </si>
  <si>
    <t>Acer rubrum,  (2-stemmed) 12.2 + 7.9 cm.</t>
  </si>
  <si>
    <t>Many silver maple - Ilex (winterberry) - swamp white oak - elms - open area has water plantain - also lots of buckthorn. The approx. 20 meter radius has some black ash in the 8-10 cm range. Also a 9.6 cm green ash.</t>
  </si>
  <si>
    <t>16.8 + 9.2 cm Acer spp. 2-stem</t>
  </si>
  <si>
    <t>ILRIP3</t>
  </si>
  <si>
    <t xml:space="preserve">South of ILRIP2. Plot closest to trail on right.  </t>
  </si>
  <si>
    <t>Acer saccharinum         23.1 cm.</t>
  </si>
  <si>
    <t>30.2 cm Acer</t>
  </si>
  <si>
    <t>Q</t>
  </si>
  <si>
    <t>ILCC</t>
  </si>
  <si>
    <t>(Canoe camp) Park across  road. Enter at gate on 2 track..  Take trail to the left at outhouse.  At canoe camp #2 enter woods heading SE to flagged black ash tree</t>
  </si>
  <si>
    <t xml:space="preserve">Quercus  12.5 cm.                              </t>
  </si>
  <si>
    <t>Red oak - swamp white oak - musclewood - Tilia - sugar maple - elm - ash up to 7-8 cm DBH</t>
  </si>
  <si>
    <t>16.8 cm Quercus bicolor</t>
  </si>
  <si>
    <t>ILCC2</t>
  </si>
  <si>
    <t xml:space="preserve">SW from ILCC. Forested dry area. </t>
  </si>
  <si>
    <t>Quercus bicolor  30.4 cm.</t>
  </si>
  <si>
    <t>Beech - sugar maple - American hophornbeam - Tilia - Carpinus - Prunus - swamp white oak - silver maple - elm in flooded part - cottonwood. Some ash in the 8-9 cm range (maybe white or green)</t>
  </si>
  <si>
    <t>34.5 cm Quercus bicolor</t>
  </si>
  <si>
    <t>ILCC3</t>
  </si>
  <si>
    <t xml:space="preserve">Contine S from ILCC2.  Last plot of the three-- often under H20. </t>
  </si>
  <si>
    <t>Acer saccharinum  14.7 cm.</t>
  </si>
  <si>
    <t>Witness: flagged 20.8 cm Acer saccharinum. From it: go approx. 1 meter south to get to center. From a large tip-up mound: go approx 5 meters North.</t>
  </si>
  <si>
    <t>Water 2-3 feet deep.</t>
  </si>
  <si>
    <t>R</t>
  </si>
  <si>
    <t>ISMATDRY</t>
  </si>
  <si>
    <t xml:space="preserve">  Take Nature Trail through construction area, meadow, stay to left.  Enter woods on left before reaching old stove landmark on trail.  </t>
  </si>
  <si>
    <t>Acer saccharum (2 stems)                   15.2 + 16.8 cm.</t>
  </si>
  <si>
    <t>07_02_2024</t>
  </si>
  <si>
    <t>24.7 cm + 23.7 cm 2-stem Acer saccharum - tree tag likely swallowed</t>
  </si>
  <si>
    <t>ISMATDRY2</t>
  </si>
  <si>
    <t>SE of ISMATDRY. Head toward the back.</t>
  </si>
  <si>
    <t>Acer saccharum 9.0 cm.</t>
  </si>
  <si>
    <t>9.8 cm Acer saccharum</t>
  </si>
  <si>
    <t>ISMATDRY3</t>
  </si>
  <si>
    <t xml:space="preserve">  Take Nature Trail to old stove, go left into plot past ISDRYMAT.  Use GPS to navigate to plot.  Old wire fence runs across SE quadrant of plot.  </t>
  </si>
  <si>
    <t>Tilia americana (2 stems) 5.4 + 16.6 cm.</t>
  </si>
  <si>
    <t>The site has a wetter (south) side that is covered with interesting sedges and grasses (along with elms - silver maple - swamp white oak - musclewood). The drier side of the site is beech - sugar maple - red oak</t>
  </si>
  <si>
    <t>10.1 cm + 22.8 cm 2-stem Tilia americana</t>
  </si>
  <si>
    <t>ISLD</t>
  </si>
  <si>
    <t xml:space="preserve">(low ash density) Wet plots. NWest of ISMATDRY2.  Enter stand past old stove landmark, before bridge, follow deer trail to right.  Head SE.  </t>
  </si>
  <si>
    <t>Carpinus caroliniana    (6 stems, 3 primary) 12.1 + 10 + 10.7 + 3.6 + 2.8 + 1.9 cm.</t>
  </si>
  <si>
    <t>Witness tree: 12.9 cm Acer saccharum that is shaped as an elbow is 4.3 m - 315 degrees to the C. caroliniana</t>
  </si>
  <si>
    <t>There are lots of about 5 cm DBH black ash in the 8-18 m. They have some older epicormic sprouts and some bad bark splitting.</t>
  </si>
  <si>
    <t>4.7 cm + 3.0 cm + 5.4 cm + 10.8 cm 4-stem (2 of the six stems must have died)</t>
  </si>
  <si>
    <t>ISLD2</t>
  </si>
  <si>
    <t>South of ISLD, closest to road.  Can be under water.</t>
  </si>
  <si>
    <t>Acer saccharinum 13.3 cm.</t>
  </si>
  <si>
    <t>There are many green and black ash trees in the 5-10 cm range in the 8-18 m. The green seem to grow to bigger sizes before being killed - while the black ash die around about 8 cm.</t>
  </si>
  <si>
    <t>18.9 cm Acer saccharinum (tree tag partly swallowed)</t>
  </si>
  <si>
    <t>ISLD3</t>
  </si>
  <si>
    <t>West of ISLD just NW of 3 large tamaraks.  Farthest back close to road.</t>
  </si>
  <si>
    <t>Tamarack  34.7 cm.</t>
  </si>
  <si>
    <t>38.1 cm Tamarack</t>
  </si>
  <si>
    <t>T</t>
  </si>
  <si>
    <t>ISMATDE</t>
  </si>
  <si>
    <t xml:space="preserve">(Deer exclosure) Take path to second deer exclosure (in wooded area).  Go SE into stand (left) to flagged red oak (past triple ash tree).  </t>
  </si>
  <si>
    <t>Quercus rubra   22 cm.</t>
  </si>
  <si>
    <t>Site dominated by Acer - Ostrya - Quercus - Prunus - Carya</t>
  </si>
  <si>
    <t>29.8 cm Quercus rubra - tree tag missing</t>
  </si>
  <si>
    <t>ISMATDE2</t>
  </si>
  <si>
    <t xml:space="preserve">NE of ISMATDE.  Short distance from trail.  Take nature trail, turn left (SE) into woods at very large  beech about 4 m from trail edge.  </t>
  </si>
  <si>
    <t>Quercus bicolor  42.1 cm.</t>
  </si>
  <si>
    <t>Dominated by swamp white oak (falling over) - hickories - maples. Sparse understory - with some very interesting sedges and grasses</t>
  </si>
  <si>
    <t>55.2 cm Quercus bicolor - tree tag missing</t>
  </si>
  <si>
    <t>ISMATDE3</t>
  </si>
  <si>
    <t xml:space="preserve">SE of ISMATDE2.  Cross low, wet area, beware of wire fence that runs through W side of stand. Farthest back of group. </t>
  </si>
  <si>
    <t>Prunus serotina  (2 stems) 13.2 + 18.3 cm.</t>
  </si>
  <si>
    <t>See rows 75_north and 75_south</t>
  </si>
  <si>
    <t>See row 75_south</t>
  </si>
  <si>
    <t>We found 2 locations where a center tree was (both had microplot PVCs). Denote 75_south for the one with a fallen tree - 75_north for the other one</t>
  </si>
  <si>
    <t>25.5 cm + 26.7 cm Prunus 2-stem</t>
  </si>
  <si>
    <t>To get from 75_north to 75_south: point 220 degrees and go 23 meters</t>
  </si>
  <si>
    <t>Tree is fallen (tag is still visible)</t>
  </si>
  <si>
    <t>U</t>
  </si>
  <si>
    <t>ISRIP</t>
  </si>
  <si>
    <t xml:space="preserve">Farthest back.  From #77 go W back into open woods w/stream on right. To exit go S thru tangle, skunk cabbage, forest, &amp; watch out for downed fence before trail.   </t>
  </si>
  <si>
    <t>Acer rubra                     14.5 cm.</t>
  </si>
  <si>
    <t>Very flooded: about 1.5 ft of standing water</t>
  </si>
  <si>
    <t>17.5 cm + 8.2 cm 2-stem Acer spp.</t>
  </si>
  <si>
    <t>ISRIP2</t>
  </si>
  <si>
    <t>2nd plot.  W. of ISRIP3 #78. Before remains of old bridge over stream.</t>
  </si>
  <si>
    <t>Acer saccharinum         28.6 cm.</t>
  </si>
  <si>
    <t>200 degrees from a gigantic 6-stem maple</t>
  </si>
  <si>
    <t>Lots of maples - maybe musclewoods (dying) - swamp white oak - ferns - about 1.5 feet of standing water</t>
  </si>
  <si>
    <t>38.2 cm Acer saccharinum</t>
  </si>
  <si>
    <t>ISRIP3</t>
  </si>
  <si>
    <t>Turn right into stand at tilting bench on right side of trail.  Down slight incline.  Center tree visible from bench. Plot numbers run backwards in transect.</t>
  </si>
  <si>
    <t>Acer rubrum 20.5 cm.</t>
  </si>
  <si>
    <t>The area is covered in fallen ash trees. Tall grasses have taken over. Mix of black and green ash in the non-flooded area. Flooded = grasses.</t>
  </si>
  <si>
    <t>24.6 dbh Acer - tree tag engulfed</t>
  </si>
  <si>
    <t>V</t>
  </si>
  <si>
    <t>ISOPEN</t>
  </si>
  <si>
    <t xml:space="preserve">Farthest back plot in Fairy Tale Forest. Take trail past stove, bridge etc. to fork in trail.  Take path to right.  Turn right (E) into stand about 25 feet before reaching large beech tree with J + A carved into it.  Plot is NE of ISOPEN3.  </t>
  </si>
  <si>
    <t>Quercus rubra (on big mound) 35.8 cm.</t>
  </si>
  <si>
    <t>Maples - hickory - red oak - tuliptree - Tilia - elms in flooded part</t>
  </si>
  <si>
    <t>42.8 cm Quercus rubra (on a big mound)</t>
  </si>
  <si>
    <t>ISOPEN2</t>
  </si>
  <si>
    <t xml:space="preserve">Take trail past stove, bridge.  Bench  in open area on L side of trail is a landmark to enter the stand at right (E).  If you come to fork in the trail you've gone too far. Before Fairy Tale Forest. </t>
  </si>
  <si>
    <t>Quercus rubra  12.6 cm.</t>
  </si>
  <si>
    <t>Bitternut hickory - red oak - sugar maple - cherry - swamp white oak - understory covered in ash seedlings</t>
  </si>
  <si>
    <t>17.4 cm Quercus rubra</t>
  </si>
  <si>
    <t>ISOPEN3</t>
  </si>
  <si>
    <t>Take trail past stove, bridge.  Take right trail at fork past 2nd shelter.  Turn into stand at right (SE) at Y-shaped beech tree with hollow at base which sits ~9m from trail edge.  Plot is 1.11 mi from Nature Ctr.  Middle plot.</t>
  </si>
  <si>
    <t>Carpinus caroliniana (2 stems) 5.7 + 2 cm.</t>
  </si>
  <si>
    <t>From a 4-stem Tilia (25.2 cm is the smallest stem): go 288 degrees and ? Meters.</t>
  </si>
  <si>
    <t>HLMATFR</t>
  </si>
  <si>
    <t>Farthest back transect at Haven Hill area. Park at Haven Hill Lake parking lot.  Take nature trail at N end of parking lot.  Cross dam.  Stay to right 1st fork in trail (white &amp; yellow foot trail).  Stay left at 2nd fork (shubby oak on right and tall grass at left).  Stay to right, stream on left, wetland on right.</t>
  </si>
  <si>
    <t>Acer saccharum  8.9 cm.</t>
  </si>
  <si>
    <t>07_11_2024</t>
  </si>
  <si>
    <t>Witness tree: shaggy barked hickory (46.8 cm)(flagged). From the hickory: go 286 degrees and 10.77 meters.</t>
  </si>
  <si>
    <t>Tree decomposed. I moved the rebar about a foot to get it out from under a log.</t>
  </si>
  <si>
    <t>HLMATFR2</t>
  </si>
  <si>
    <t>See directions above.SW of HLMATFR.  Behind HLMATFR.</t>
  </si>
  <si>
    <t>Acer rubrum                   14 cm.</t>
  </si>
  <si>
    <t>Many maples - Carpinus - Ostrya</t>
  </si>
  <si>
    <t>15.6 cm Acer spp.</t>
  </si>
  <si>
    <t>HLMATFR3</t>
  </si>
  <si>
    <t>Go back out to trail from HLMATFR2.  Turn left, heading west.  Last plot on left.</t>
  </si>
  <si>
    <t>Ostraya virginiana (2 stems) 17.7 + 16 cm.</t>
  </si>
  <si>
    <t>About 3 meters North of a large tip-up mound. Witness: 2-stem Ostrya (11 cm + 4.9 cm). From this tree: go 113 degrees and 5.6 meters to get to center.</t>
  </si>
  <si>
    <t>Red oaks - sugar maple - beech - hickory</t>
  </si>
  <si>
    <t>Tree down. (Ostrya 2-stem)</t>
  </si>
  <si>
    <t>X</t>
  </si>
  <si>
    <t>HLRIP</t>
  </si>
  <si>
    <t>Park at Haven Hill.  Take nature trail at N end of parking lot.  Plot is on R side of trail (E) on hill between trail and park road.  Enter at meteor rock. Middle plot up hill from 86.</t>
  </si>
  <si>
    <t>Populus grandidentata 14.8 cm.</t>
  </si>
  <si>
    <t>From between the two Populus on the path (on map): go 80 degrees and 20.0 meters. Witness tree: 7.7 cm sugar maple. From this: go 154 degrees and 3.80 meters to get to center.</t>
  </si>
  <si>
    <t>White oak - sugar maple - Populus (bigtooth aspen?) - cherry - swamp white oak (?) - red oak - beech - white oak - swampy part has an interesting sedge (see photo)</t>
  </si>
  <si>
    <t>We cannot find the center tree. We found 2 microplots as well as a depression where a tree once was. The North and West microplots were replaced.</t>
  </si>
  <si>
    <t>HLRIP2</t>
  </si>
  <si>
    <t>Park at Haven Hill.  Enter stand at right at "meteor" (large porous rock)  on the right side of trail.  Plot is SE of HLRIP</t>
  </si>
  <si>
    <t>Populus grandidentata 30.9 cm.</t>
  </si>
  <si>
    <t>There are lots of little ash seedlings (below 137 cm). There are also lots of invasive plants like Autumn olive - bittersweet (Celastrus I think) - barberry - multiflora rose - and others. Also two different types of dogwood - maybe a viburnum - lots of bigger oaks - basswood. There were a couple of ash trees (about 7-10 cm DBH) that were entirely dead. Would they be why there are so many ash seedlings?</t>
  </si>
  <si>
    <t>37.3 cm dbh bigtooth aspen</t>
  </si>
  <si>
    <t>HLRIP3</t>
  </si>
  <si>
    <t>NE of HLRIP.  Can enter at bend in trail or go downhill from #85 HLRIP.</t>
  </si>
  <si>
    <t>Prunus serotina  (2 stems)                       30 + 11.2 cm.</t>
  </si>
  <si>
    <t>Flooded area in the 8-18 m (North side) has some black ash small trees. Tilia - sugar or red maple - cherry - beech - bitternut hickory (?) - some musclewood (dying)</t>
  </si>
  <si>
    <t>13.6 cm + 33.8 cm Prunus serotina 2-stem</t>
  </si>
  <si>
    <t>Y</t>
  </si>
  <si>
    <t>HLUP</t>
  </si>
  <si>
    <t>Park at Haven Hill.  Take nature trail at N end of parking lot.  Go past marker 14 on CC ski trail.  Plot is on hill to left of trail.  Enter stand opposite large dead debarked tree on right of path (next to white oak with large canker about 15ft up).  Before HLMATFR on left hillside.</t>
  </si>
  <si>
    <t>Acer rubrum  18.2 cm.</t>
  </si>
  <si>
    <t>A slightly open area in the East is filled with Desmodium (tick-trefoil) and a mystery herbaceous plant (see photo). Dogwoods are doing well in the open areas. Most of the plot has large oaks (likely red oak)(see acorn photo)(leaf litter is dominated by red oak) - some red maple</t>
  </si>
  <si>
    <t>21.9 cm Acer spp.</t>
  </si>
  <si>
    <t>HLUP2+A89:F89</t>
  </si>
  <si>
    <t>W of HLUP, on hillside facing the lake</t>
  </si>
  <si>
    <t>Quercus alba  48.3 cm.</t>
  </si>
  <si>
    <t>White oaks - hickories - red maple - Sassafras - red or black oak - Ostrya. Wet part to the South has cattail - poison sumac.</t>
  </si>
  <si>
    <t>54.4 cm Quercus alba</t>
  </si>
  <si>
    <t>HLUP3</t>
  </si>
  <si>
    <t>Go uphill, (N) and to the right so that trail is straight ahead (N).  NW of HLUP, NE of HLUP2</t>
  </si>
  <si>
    <t>Fagus grandifolia            18.8 cm.</t>
  </si>
  <si>
    <t>Black oak - Ostrya - white oak - hickories - beech - cherry</t>
  </si>
  <si>
    <t>25.6 cm beech - tree tag partly swallowed</t>
  </si>
  <si>
    <t>Fagus grandifolia</t>
  </si>
  <si>
    <t>Z</t>
  </si>
  <si>
    <t>HMMAT</t>
  </si>
  <si>
    <t xml:space="preserve">Park at Nature Center.  Take Nature Trail to the left.  Pass picnic area and disc golf course.  Take deer trail at right into stand.  There is a poplar stand just before the deer trail.  Head NE.  </t>
  </si>
  <si>
    <t>Quercus rubra               50.6 + 40.1 cm.</t>
  </si>
  <si>
    <t>57.2 + 46.8 cm Quercus rubra</t>
  </si>
  <si>
    <t>HMMAT2</t>
  </si>
  <si>
    <t>Slight NW of HMMAT.</t>
  </si>
  <si>
    <t>Carya glabra   28.3 cm.</t>
  </si>
  <si>
    <t>HMMAT3</t>
  </si>
  <si>
    <t>N and slight W of HMMAT2</t>
  </si>
  <si>
    <t>Quercus alba, 2-stems 26.3 + 27.7 cm.</t>
  </si>
  <si>
    <t>ZA</t>
  </si>
  <si>
    <t>PONNEW</t>
  </si>
  <si>
    <t xml:space="preserve">Gale Rd. trail -- right side.  Enter stand few meters away from entrance and head east.  On left side of marsh. </t>
  </si>
  <si>
    <t>Acer rubrum               12.5 cm</t>
  </si>
  <si>
    <t>15 cm dbh Acer</t>
  </si>
  <si>
    <t>PONNEW2</t>
  </si>
  <si>
    <t>Very close to trail and further N from PONNEW - Yellow jackets NW in 5.4 dbh</t>
  </si>
  <si>
    <t>Acer palmatum (2-trunk) 5.5 + 13.2 cm.</t>
  </si>
  <si>
    <t>15.7 cm + 13.2 cm two trunk Acer</t>
  </si>
  <si>
    <t>PONNEW3</t>
  </si>
  <si>
    <t>Towards the marsh from PONNEW2 NE</t>
  </si>
  <si>
    <t>Tilia 14 cm.</t>
  </si>
  <si>
    <t>14.2 cm Tilia</t>
  </si>
  <si>
    <t>ZB</t>
  </si>
  <si>
    <t>PONRD</t>
  </si>
  <si>
    <t>Towards the marsh from PONNEW3.  Kamal's 2nd one in from PONNEW</t>
  </si>
  <si>
    <t>Tilia americana                  24.9 cm.</t>
  </si>
  <si>
    <t>26.2 cm Tilia</t>
  </si>
  <si>
    <t>PONRD2</t>
  </si>
  <si>
    <t>Around the marsh and N from PONRD.  Kamal's</t>
  </si>
  <si>
    <t>Tilia spp. (3-stems) 19.8 + 12.5 + 9.3 cm.</t>
  </si>
  <si>
    <t>20.7 cm Tilia 1-stem: 2 of 3 stems are gone - also needs a tree tag</t>
  </si>
  <si>
    <t>PONRD3</t>
  </si>
  <si>
    <t>Follow marsh around to N side of swamp W from PONRD2,   Kamal's</t>
  </si>
  <si>
    <t>Quercus rubra  24.3 cm.</t>
  </si>
  <si>
    <t>28.5 cm dbh oak</t>
  </si>
  <si>
    <t>ZC</t>
  </si>
  <si>
    <t>PONWH</t>
  </si>
  <si>
    <t>Slightly NW of #55 PONEAST</t>
  </si>
  <si>
    <t>Quercus alba  31.3 cm.</t>
  </si>
  <si>
    <t>The south microplot is underneath a log - witchhazel in the understory</t>
  </si>
  <si>
    <t>34.9 cm Quercus alba</t>
  </si>
  <si>
    <t>PONWH2</t>
  </si>
  <si>
    <t>Close to a large marsh Mostly E, slightly N of #100 PONWH on hill top</t>
  </si>
  <si>
    <t>Acer rubrum               20.8 cm.</t>
  </si>
  <si>
    <t>Populus - Acer - white oak - hickory - sassafrass - Prunus understory - Tilia</t>
  </si>
  <si>
    <t>24.0 cm Acer rubrum</t>
  </si>
  <si>
    <t>PONWH3</t>
  </si>
  <si>
    <t>Opposite of another large marsh from PONWH2 slightly S and E of #101 PONWH2.</t>
  </si>
  <si>
    <t>Tilia spp. 35 cm.</t>
  </si>
  <si>
    <t>Acer saccharum - Ostrya - Carya (cordiformis and ovata (?)) - Quercus (red/black) - Tilia - Prunus - Acer rubrum - Cornus - Quercus alba - sassafrass - Populus grandidentata - Viburnum in understory - elm in swampy pond</t>
  </si>
  <si>
    <t>40.0 cm Tilia</t>
  </si>
  <si>
    <t>ZD</t>
  </si>
  <si>
    <t>ISBR</t>
  </si>
  <si>
    <t xml:space="preserve">  Take Nature Trail through construction area, meadow, stay to left, then take right Bridge trail at the gazebo, cross bridge, plot on right side just after the bridge </t>
  </si>
  <si>
    <t>Acer saccharinum             10 cm.</t>
  </si>
  <si>
    <t>ISBR2</t>
  </si>
  <si>
    <t>Into the forest at a 340Â° from ISBR and ISBR3 Plot runs up into grass/dry area</t>
  </si>
  <si>
    <t>Acer saccharinum           34.4 cm.</t>
  </si>
  <si>
    <t>ISBR3</t>
  </si>
  <si>
    <t>Farthest back.</t>
  </si>
  <si>
    <t>Quercus spp. 37.6 cm.</t>
  </si>
  <si>
    <t>ZE</t>
  </si>
  <si>
    <t>ISBRS</t>
  </si>
  <si>
    <t>Plot on left side of trail just after the bridge.  Across trail from ISBR. SW</t>
  </si>
  <si>
    <t>Acer saccharinum (3-stems) 19.7 + 13.5 + 34.8</t>
  </si>
  <si>
    <t>ISBRS2</t>
  </si>
  <si>
    <t>Further along the creek from ISBRS.  Limba's boots there.</t>
  </si>
  <si>
    <t>Acer saccharinum (2-stems) 33.6 + 10 cm.</t>
  </si>
  <si>
    <t>ISBRS3</t>
  </si>
  <si>
    <t>From ISBRS, cross a small creek on right side, and go straight towards the big creek on left side.From 107 walk into dry woods, then parallel big creek, watch for lge. trees.</t>
  </si>
  <si>
    <t>Acer saccharinum(4-stems) 52.1 + 19.1 + 43.5 + 30.7 cm.</t>
  </si>
  <si>
    <t>ZF</t>
  </si>
  <si>
    <t>ISWH</t>
  </si>
  <si>
    <t xml:space="preserve">Park at Nature Center.  Take Nature Trail, enter woods on left after a marsh and before reaching old stove landmark on trail. Transect on the left side of ISMATDRY  Close to trail. </t>
  </si>
  <si>
    <t>Acer saccharum  7 cm.</t>
  </si>
  <si>
    <t>7.5 cm Acer spp.</t>
  </si>
  <si>
    <t>ISWH2</t>
  </si>
  <si>
    <t>Angle SE from ISWH</t>
  </si>
  <si>
    <t>Quercus spp. (2-stems??) 28.2 cm.</t>
  </si>
  <si>
    <t>A small (10.2 cm) maple is sticking out from the base of the 1-stem Quercus alba stump)</t>
  </si>
  <si>
    <t>Dominated by maples - oaks (including swamp white oak - silver maple - sugar maple - red oaks)</t>
  </si>
  <si>
    <t>37.7 cm Quercus spp. (likely Q. alba) 1-stem</t>
  </si>
  <si>
    <t>ISWH3</t>
  </si>
  <si>
    <t>Angle more E, little S toward back, from ISWH2</t>
  </si>
  <si>
    <t>Acer spp.                 34.8cm.</t>
  </si>
  <si>
    <t>Witness tree (also flagged) is a 10.6 cm sugar (?) maple. From this witness - point 108 degrees and go 5.44 meters to get to the center tree</t>
  </si>
  <si>
    <t>Lots of ash seedlings. A few small ash trees in the 8-18 m. Sugar maples - oaks in the red oak group - maybe Populus spp.</t>
  </si>
  <si>
    <t>Acer spp. Has fallen and is partly covered by a large fallen hickory. Created a witness tree.</t>
  </si>
  <si>
    <t>ZG</t>
  </si>
  <si>
    <t>KENNEW</t>
  </si>
  <si>
    <t>Uphill from KENUPHD.  Go past KENUPHD3, NW from it.</t>
  </si>
  <si>
    <t>Ulmus 18.5 cm.</t>
  </si>
  <si>
    <t>Witness tree: black walnut 63.2 cm (flagged). West PVC is in the equestrian path by a few feet. We put a PVC slightly nearer to the center than 8 m</t>
  </si>
  <si>
    <t>Center tree down. Center tree does have PVC and metal stake.</t>
  </si>
  <si>
    <t>KENNEW2</t>
  </si>
  <si>
    <t>Go past KENNEW towards the dirt road and fence in the back of the stand, more NW.</t>
  </si>
  <si>
    <t>Walnut spp.53 cm</t>
  </si>
  <si>
    <t>07_01_2024</t>
  </si>
  <si>
    <t>North and West microplots are in the equestrian path - those PVCs were not placed</t>
  </si>
  <si>
    <t>57.3 cm DBH Walnut</t>
  </si>
  <si>
    <t>Juglans nigra</t>
  </si>
  <si>
    <t>KENNEW3</t>
  </si>
  <si>
    <t>NE of KENNEW &amp; KENNEW2</t>
  </si>
  <si>
    <t>Walnut 83.8 cm.</t>
  </si>
  <si>
    <t>96 cm Walnut</t>
  </si>
  <si>
    <t>year_of_data_collection</t>
  </si>
  <si>
    <t>A few plots were not visited in 2024, so I needed to visit them in 2025. This column records which year I collected the data from.</t>
  </si>
  <si>
    <t>epicormic sprouts 1-2 years old</t>
  </si>
  <si>
    <t>There are lots of black and green or pumpkin ash small trees in the main plot</t>
  </si>
  <si>
    <t>Ash 6 - 07_15_2011</t>
  </si>
  <si>
    <t>2 stems were added together</t>
  </si>
  <si>
    <t>sedges</t>
  </si>
  <si>
    <t>oak seedlings</t>
  </si>
  <si>
    <t>virginia creeper</t>
  </si>
  <si>
    <t>underwater</t>
  </si>
  <si>
    <t>tall sedges</t>
  </si>
  <si>
    <t>The kind of plant that comes up after floodwaters recede - also dogwood</t>
  </si>
  <si>
    <t>Swamp white oak</t>
  </si>
  <si>
    <t>fallen leaves and muck</t>
  </si>
  <si>
    <t>Possible newly germinated ash seedlings just outside the microplot</t>
  </si>
  <si>
    <t>Water forget-me-not flowers</t>
  </si>
  <si>
    <t>unknown</t>
  </si>
  <si>
    <t>possible deer browsing</t>
  </si>
  <si>
    <t>16.6 cm Acer saccharinum</t>
  </si>
  <si>
    <t>Date_relocated_2024_2025</t>
  </si>
  <si>
    <t>Directions_updated_2024_2025</t>
  </si>
  <si>
    <t>ash_plot_centers_notes_2024_2025</t>
  </si>
  <si>
    <t>Center_tree_updated_2024_2025</t>
  </si>
  <si>
    <t>Center_tree_2024_2025_species</t>
  </si>
  <si>
    <t>Center_tree_2024_2025_total_DBH_cm</t>
  </si>
  <si>
    <t>Center_tree_2024_2025_number_of_stems</t>
  </si>
  <si>
    <t>05_28_2025</t>
  </si>
  <si>
    <t>40.2 cm Acer saccharinum</t>
  </si>
  <si>
    <t>40.6 cm Quercus macrocarpa</t>
  </si>
  <si>
    <t>05_22_2025</t>
  </si>
  <si>
    <t>38.6+21.2+17.0 cm Acer saccharinum</t>
  </si>
  <si>
    <t>Lots of ash seedlings outside microplots</t>
  </si>
  <si>
    <t>44.6 cm Acer saccharinum</t>
  </si>
  <si>
    <t>05_27_2025</t>
  </si>
  <si>
    <t>31.9 + 51.8 cm Acer saccharinum</t>
  </si>
  <si>
    <t>South microplot PVC is misplaced. Two of the four stems have fallen</t>
  </si>
  <si>
    <t>06_11_2025</t>
  </si>
  <si>
    <t>2.0+5.6+2.4+3.0 Acer saccharinum</t>
  </si>
  <si>
    <t>Tree dead - approx 14 cm DBH</t>
  </si>
  <si>
    <t>05_20_2025</t>
  </si>
  <si>
    <t>White oak - Sassafras - Populus sp. - Ostraya - Swamp white oak - cherry</t>
  </si>
  <si>
    <t>14.2+8.5 Ostraya</t>
  </si>
  <si>
    <t>Ostraya virginiana</t>
  </si>
  <si>
    <t>Cottonwood - elm - Carpinus - Red or black oak - swamp white oak - silver maple</t>
  </si>
  <si>
    <t>19.0 cm Prunus serotina</t>
  </si>
  <si>
    <t>Red oak - hickory - Ostraya - white oak - walnut</t>
  </si>
  <si>
    <t>Ostraya - white oak - cherry - hickory - tilia - brambles - currants - ash saplings in the open area</t>
  </si>
  <si>
    <t>31.1 cm Carya</t>
  </si>
  <si>
    <t>35.4+33.1 cm Quercus alba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</si>
</sst>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1" fillId="0" borderId="0" xfId="0" applyFont="1"/>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2" borderId="0" xfId="0" applyFill="1"/>
    <xf numFmtId="0" fontId="0" fillId="5" borderId="0" xfId="0" applyFill="1"/>
    <xf numFmtId="0" fontId="0" fillId="6" borderId="0" xfId="0" applyFill="1"/>
    <xf numFmtId="0" fontId="0" fillId="7" borderId="0" xfId="0" applyFill="1"/>
    <xf numFmtId="0" fontId="0" fillId="8" borderId="0" xfId="0" applyFill="1"/>
    <xf numFmtId="0" fontId="0" fillId="3" borderId="0" xfId="0" applyFill="1"/>
  </cellXfs>
  <cellStyles count="1">
    <cellStyle name="Normal" xfId="0" builtinId="0"/>
  </cellStyles>
  <dxfs count="7">
    <dxf>
      <fill>
        <patternFill>
          <bgColor theme="9" tint="0.59996337778862885"/>
        </patternFill>
      </fill>
    </dxf>
    <dxf>
      <fill>
        <patternFill>
          <bgColor theme="9" tint="0.59996337778862885"/>
        </patternFill>
      </fill>
    </dxf>
    <dxf>
      <font>
        <color rgb="FF006100"/>
      </font>
      <fill>
        <patternFill>
          <bgColor rgb="FFC6EFCE"/>
        </patternFill>
      </fill>
    </dxf>
    <dxf>
      <font>
        <color rgb="FF9C0006"/>
      </font>
      <fill>
        <patternFill>
          <bgColor rgb="FFFFC7CE"/>
        </patternFill>
      </fill>
    </dxf>
    <dxf>
      <font>
        <color theme="9"/>
      </font>
      <fill>
        <patternFill patternType="none">
          <bgColor auto="1"/>
        </patternFill>
      </fill>
    </dxf>
    <dxf>
      <font>
        <color rgb="FF9C0006"/>
      </font>
    </dxf>
    <dxf>
      <font>
        <color rgb="FFFF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C4FD-2E0A-4B83-ABCE-16778F0AA692}">
  <dimension ref="A1:B159"/>
  <sheetViews>
    <sheetView topLeftCell="A135" workbookViewId="0">
      <selection activeCell="B54" sqref="B54"/>
    </sheetView>
  </sheetViews>
  <sheetFormatPr defaultRowHeight="14.5" x14ac:dyDescent="0.35"/>
  <cols>
    <col min="1" max="1" width="25.81640625" customWidth="1"/>
    <col min="2" max="2" width="79.08984375" customWidth="1"/>
  </cols>
  <sheetData>
    <row r="1" spans="1:2" x14ac:dyDescent="0.35">
      <c r="A1" s="1" t="s">
        <v>0</v>
      </c>
      <c r="B1" s="2"/>
    </row>
    <row r="2" spans="1:2" x14ac:dyDescent="0.35">
      <c r="A2" s="3" t="s">
        <v>1</v>
      </c>
      <c r="B2" s="2"/>
    </row>
    <row r="3" spans="1:2" x14ac:dyDescent="0.35">
      <c r="A3" s="2" t="s">
        <v>2</v>
      </c>
      <c r="B3" s="2" t="s">
        <v>3</v>
      </c>
    </row>
    <row r="4" spans="1:2" x14ac:dyDescent="0.35">
      <c r="A4" s="3" t="s">
        <v>4</v>
      </c>
      <c r="B4" s="2" t="s">
        <v>5</v>
      </c>
    </row>
    <row r="5" spans="1:2" x14ac:dyDescent="0.35">
      <c r="A5" s="3" t="s">
        <v>6</v>
      </c>
      <c r="B5" s="2"/>
    </row>
    <row r="6" spans="1:2" x14ac:dyDescent="0.35">
      <c r="A6" s="3" t="s">
        <v>7</v>
      </c>
      <c r="B6" s="2"/>
    </row>
    <row r="7" spans="1:2" x14ac:dyDescent="0.35">
      <c r="A7" s="3" t="s">
        <v>8</v>
      </c>
      <c r="B7" s="2"/>
    </row>
    <row r="8" spans="1:2" x14ac:dyDescent="0.35">
      <c r="A8" s="3" t="s">
        <v>9</v>
      </c>
      <c r="B8" s="2"/>
    </row>
    <row r="9" spans="1:2" x14ac:dyDescent="0.35">
      <c r="A9" s="3" t="s">
        <v>10</v>
      </c>
      <c r="B9" s="2"/>
    </row>
    <row r="10" spans="1:2" x14ac:dyDescent="0.35">
      <c r="A10" s="3" t="s">
        <v>11</v>
      </c>
      <c r="B10" s="2"/>
    </row>
    <row r="11" spans="1:2" x14ac:dyDescent="0.35">
      <c r="A11" s="3" t="s">
        <v>12</v>
      </c>
      <c r="B11" s="2"/>
    </row>
    <row r="12" spans="1:2" x14ac:dyDescent="0.35">
      <c r="A12" s="3" t="s">
        <v>13</v>
      </c>
      <c r="B12" s="2"/>
    </row>
    <row r="13" spans="1:2" x14ac:dyDescent="0.35">
      <c r="A13" s="3" t="s">
        <v>14</v>
      </c>
      <c r="B13" s="2" t="s">
        <v>15</v>
      </c>
    </row>
    <row r="14" spans="1:2" ht="58" x14ac:dyDescent="0.35">
      <c r="A14" s="3" t="s">
        <v>16</v>
      </c>
      <c r="B14" s="2" t="s">
        <v>17</v>
      </c>
    </row>
    <row r="15" spans="1:2" x14ac:dyDescent="0.35">
      <c r="A15" s="3" t="s">
        <v>18</v>
      </c>
      <c r="B15" s="2" t="s">
        <v>19</v>
      </c>
    </row>
    <row r="16" spans="1:2" x14ac:dyDescent="0.35">
      <c r="A16" s="3" t="s">
        <v>20</v>
      </c>
      <c r="B16" s="2" t="s">
        <v>21</v>
      </c>
    </row>
    <row r="17" spans="1:2" ht="29" x14ac:dyDescent="0.35">
      <c r="A17" s="3" t="s">
        <v>22</v>
      </c>
      <c r="B17" s="3" t="s">
        <v>23</v>
      </c>
    </row>
    <row r="18" spans="1:2" ht="29" x14ac:dyDescent="0.35">
      <c r="A18" s="3" t="s">
        <v>24</v>
      </c>
      <c r="B18" s="3"/>
    </row>
    <row r="19" spans="1:2" x14ac:dyDescent="0.35">
      <c r="A19" s="3"/>
      <c r="B19" s="3"/>
    </row>
    <row r="20" spans="1:2" x14ac:dyDescent="0.35">
      <c r="A20" s="3"/>
      <c r="B20" s="2"/>
    </row>
    <row r="21" spans="1:2" x14ac:dyDescent="0.35">
      <c r="A21" s="4" t="s">
        <v>25</v>
      </c>
      <c r="B21" s="2" t="s">
        <v>26</v>
      </c>
    </row>
    <row r="22" spans="1:2" ht="29" x14ac:dyDescent="0.35">
      <c r="A22" s="2" t="s">
        <v>1231</v>
      </c>
      <c r="B22" s="2" t="s">
        <v>1232</v>
      </c>
    </row>
    <row r="23" spans="1:2" x14ac:dyDescent="0.35">
      <c r="A23" s="2" t="s">
        <v>2</v>
      </c>
      <c r="B23" s="2" t="s">
        <v>3</v>
      </c>
    </row>
    <row r="24" spans="1:2" x14ac:dyDescent="0.35">
      <c r="A24" s="2" t="s">
        <v>27</v>
      </c>
      <c r="B24" s="2" t="s">
        <v>28</v>
      </c>
    </row>
    <row r="25" spans="1:2" ht="29" x14ac:dyDescent="0.35">
      <c r="A25" s="2" t="s">
        <v>29</v>
      </c>
      <c r="B25" s="2" t="s">
        <v>30</v>
      </c>
    </row>
    <row r="26" spans="1:2" ht="29" x14ac:dyDescent="0.35">
      <c r="A26" s="5" t="s">
        <v>31</v>
      </c>
      <c r="B26" s="2" t="s">
        <v>32</v>
      </c>
    </row>
    <row r="27" spans="1:2" ht="29" x14ac:dyDescent="0.35">
      <c r="A27" s="5" t="s">
        <v>33</v>
      </c>
      <c r="B27" s="2"/>
    </row>
    <row r="28" spans="1:2" ht="29" x14ac:dyDescent="0.35">
      <c r="A28" s="5" t="s">
        <v>34</v>
      </c>
      <c r="B28" s="2"/>
    </row>
    <row r="29" spans="1:2" ht="29" x14ac:dyDescent="0.35">
      <c r="A29" s="5" t="s">
        <v>35</v>
      </c>
      <c r="B29" s="2"/>
    </row>
    <row r="30" spans="1:2" ht="29" x14ac:dyDescent="0.35">
      <c r="A30" s="6" t="s">
        <v>36</v>
      </c>
      <c r="B30" s="2" t="s">
        <v>37</v>
      </c>
    </row>
    <row r="31" spans="1:2" ht="29" x14ac:dyDescent="0.35">
      <c r="A31" s="6" t="s">
        <v>38</v>
      </c>
      <c r="B31" s="2"/>
    </row>
    <row r="32" spans="1:2" ht="29" x14ac:dyDescent="0.35">
      <c r="A32" s="6" t="s">
        <v>39</v>
      </c>
      <c r="B32" s="2"/>
    </row>
    <row r="33" spans="1:2" ht="29" x14ac:dyDescent="0.35">
      <c r="A33" s="6" t="s">
        <v>40</v>
      </c>
      <c r="B33" s="2"/>
    </row>
    <row r="34" spans="1:2" ht="43.5" x14ac:dyDescent="0.35">
      <c r="A34" s="7" t="s">
        <v>41</v>
      </c>
      <c r="B34" s="2" t="s">
        <v>42</v>
      </c>
    </row>
    <row r="35" spans="1:2" ht="29" x14ac:dyDescent="0.35">
      <c r="A35" s="2" t="s">
        <v>43</v>
      </c>
      <c r="B35" s="2" t="s">
        <v>44</v>
      </c>
    </row>
    <row r="36" spans="1:2" ht="43.5" x14ac:dyDescent="0.35">
      <c r="A36" s="2" t="s">
        <v>45</v>
      </c>
      <c r="B36" s="2" t="s">
        <v>46</v>
      </c>
    </row>
    <row r="37" spans="1:2" x14ac:dyDescent="0.35">
      <c r="A37" s="2"/>
      <c r="B37" s="2"/>
    </row>
    <row r="38" spans="1:2" ht="29" x14ac:dyDescent="0.35">
      <c r="A38" s="1" t="s">
        <v>47</v>
      </c>
      <c r="B38" s="2" t="s">
        <v>48</v>
      </c>
    </row>
    <row r="39" spans="1:2" ht="29" x14ac:dyDescent="0.35">
      <c r="A39" s="2" t="s">
        <v>1231</v>
      </c>
      <c r="B39" s="2" t="s">
        <v>1232</v>
      </c>
    </row>
    <row r="40" spans="1:2" x14ac:dyDescent="0.35">
      <c r="A40" s="2" t="s">
        <v>2</v>
      </c>
      <c r="B40" s="2"/>
    </row>
    <row r="41" spans="1:2" x14ac:dyDescent="0.35">
      <c r="A41" s="2" t="s">
        <v>49</v>
      </c>
      <c r="B41" s="2"/>
    </row>
    <row r="42" spans="1:2" ht="58" x14ac:dyDescent="0.35">
      <c r="A42" s="2" t="s">
        <v>50</v>
      </c>
      <c r="B42" s="2" t="s">
        <v>51</v>
      </c>
    </row>
    <row r="43" spans="1:2" x14ac:dyDescent="0.35">
      <c r="A43" s="2" t="s">
        <v>52</v>
      </c>
      <c r="B43" s="2" t="s">
        <v>53</v>
      </c>
    </row>
    <row r="44" spans="1:2" ht="29" x14ac:dyDescent="0.35">
      <c r="A44" s="2" t="s">
        <v>54</v>
      </c>
      <c r="B44" s="2" t="s">
        <v>55</v>
      </c>
    </row>
    <row r="45" spans="1:2" x14ac:dyDescent="0.35">
      <c r="A45" s="2" t="s">
        <v>56</v>
      </c>
      <c r="B45" s="2"/>
    </row>
    <row r="46" spans="1:2" x14ac:dyDescent="0.35">
      <c r="A46" s="2" t="s">
        <v>57</v>
      </c>
      <c r="B46" s="2"/>
    </row>
    <row r="47" spans="1:2" ht="72.5" x14ac:dyDescent="0.35">
      <c r="A47" s="2" t="s">
        <v>58</v>
      </c>
      <c r="B47" s="2" t="s">
        <v>59</v>
      </c>
    </row>
    <row r="48" spans="1:2" ht="29" x14ac:dyDescent="0.35">
      <c r="A48" s="2" t="s">
        <v>60</v>
      </c>
      <c r="B48" s="2" t="s">
        <v>61</v>
      </c>
    </row>
    <row r="49" spans="1:2" x14ac:dyDescent="0.35">
      <c r="A49" s="2" t="s">
        <v>62</v>
      </c>
      <c r="B49" s="2"/>
    </row>
    <row r="50" spans="1:2" x14ac:dyDescent="0.35">
      <c r="A50" s="2" t="s">
        <v>63</v>
      </c>
      <c r="B50" s="2"/>
    </row>
    <row r="51" spans="1:2" ht="29" x14ac:dyDescent="0.35">
      <c r="A51" s="2" t="s">
        <v>64</v>
      </c>
      <c r="B51" s="2" t="s">
        <v>65</v>
      </c>
    </row>
    <row r="52" spans="1:2" x14ac:dyDescent="0.35">
      <c r="A52" s="2" t="s">
        <v>66</v>
      </c>
      <c r="B52" s="2"/>
    </row>
    <row r="53" spans="1:2" x14ac:dyDescent="0.35">
      <c r="A53" s="2"/>
      <c r="B53" s="2"/>
    </row>
    <row r="54" spans="1:2" ht="101.5" x14ac:dyDescent="0.35">
      <c r="A54" s="1" t="s">
        <v>67</v>
      </c>
      <c r="B54" s="2" t="s">
        <v>68</v>
      </c>
    </row>
    <row r="55" spans="1:2" ht="29" x14ac:dyDescent="0.35">
      <c r="A55" s="2" t="s">
        <v>1231</v>
      </c>
      <c r="B55" s="2" t="s">
        <v>1232</v>
      </c>
    </row>
    <row r="56" spans="1:2" x14ac:dyDescent="0.35">
      <c r="A56" s="2" t="s">
        <v>2</v>
      </c>
      <c r="B56" s="2"/>
    </row>
    <row r="57" spans="1:2" ht="72.5" x14ac:dyDescent="0.35">
      <c r="A57" s="2" t="s">
        <v>50</v>
      </c>
      <c r="B57" s="2" t="s">
        <v>69</v>
      </c>
    </row>
    <row r="58" spans="1:2" x14ac:dyDescent="0.35">
      <c r="A58" s="2" t="s">
        <v>49</v>
      </c>
      <c r="B58" s="2"/>
    </row>
    <row r="59" spans="1:2" x14ac:dyDescent="0.35">
      <c r="A59" s="2" t="s">
        <v>70</v>
      </c>
      <c r="B59" s="2"/>
    </row>
    <row r="60" spans="1:2" x14ac:dyDescent="0.35">
      <c r="A60" s="2" t="s">
        <v>71</v>
      </c>
      <c r="B60" s="2" t="s">
        <v>72</v>
      </c>
    </row>
    <row r="61" spans="1:2" ht="29" x14ac:dyDescent="0.35">
      <c r="A61" s="2" t="s">
        <v>73</v>
      </c>
      <c r="B61" s="2" t="s">
        <v>74</v>
      </c>
    </row>
    <row r="62" spans="1:2" ht="43.5" x14ac:dyDescent="0.35">
      <c r="A62" s="2" t="s">
        <v>75</v>
      </c>
      <c r="B62" s="2" t="s">
        <v>76</v>
      </c>
    </row>
    <row r="63" spans="1:2" ht="29" x14ac:dyDescent="0.35">
      <c r="A63" s="2" t="s">
        <v>77</v>
      </c>
      <c r="B63" s="2" t="s">
        <v>78</v>
      </c>
    </row>
    <row r="64" spans="1:2" ht="87" x14ac:dyDescent="0.35">
      <c r="A64" s="2" t="s">
        <v>79</v>
      </c>
      <c r="B64" s="2" t="s">
        <v>80</v>
      </c>
    </row>
    <row r="65" spans="1:2" x14ac:dyDescent="0.35">
      <c r="A65" s="2" t="s">
        <v>81</v>
      </c>
      <c r="B65" s="2" t="s">
        <v>82</v>
      </c>
    </row>
    <row r="66" spans="1:2" x14ac:dyDescent="0.35">
      <c r="A66" s="2" t="s">
        <v>57</v>
      </c>
      <c r="B66" s="2"/>
    </row>
    <row r="67" spans="1:2" x14ac:dyDescent="0.35">
      <c r="A67" s="2" t="s">
        <v>58</v>
      </c>
      <c r="B67" s="2"/>
    </row>
    <row r="68" spans="1:2" x14ac:dyDescent="0.35">
      <c r="A68" s="2" t="s">
        <v>83</v>
      </c>
      <c r="B68" s="2"/>
    </row>
    <row r="69" spans="1:2" x14ac:dyDescent="0.35">
      <c r="A69" s="2" t="s">
        <v>62</v>
      </c>
      <c r="B69" s="2"/>
    </row>
    <row r="70" spans="1:2" x14ac:dyDescent="0.35">
      <c r="A70" s="2" t="s">
        <v>63</v>
      </c>
      <c r="B70" s="2"/>
    </row>
    <row r="71" spans="1:2" x14ac:dyDescent="0.35">
      <c r="A71" s="2" t="s">
        <v>84</v>
      </c>
      <c r="B71" s="2"/>
    </row>
    <row r="72" spans="1:2" ht="29" x14ac:dyDescent="0.35">
      <c r="A72" s="2" t="s">
        <v>85</v>
      </c>
      <c r="B72" s="2" t="s">
        <v>86</v>
      </c>
    </row>
    <row r="73" spans="1:2" ht="29" x14ac:dyDescent="0.35">
      <c r="A73" s="2" t="s">
        <v>87</v>
      </c>
      <c r="B73" s="2" t="s">
        <v>86</v>
      </c>
    </row>
    <row r="74" spans="1:2" x14ac:dyDescent="0.35">
      <c r="A74" s="2" t="s">
        <v>88</v>
      </c>
      <c r="B74" s="2"/>
    </row>
    <row r="75" spans="1:2" ht="87" x14ac:dyDescent="0.35">
      <c r="A75" s="2" t="s">
        <v>89</v>
      </c>
      <c r="B75" s="2" t="s">
        <v>90</v>
      </c>
    </row>
    <row r="76" spans="1:2" x14ac:dyDescent="0.35">
      <c r="A76" s="2"/>
      <c r="B76" s="2"/>
    </row>
    <row r="77" spans="1:2" x14ac:dyDescent="0.35">
      <c r="A77" s="1" t="s">
        <v>91</v>
      </c>
      <c r="B77" s="2"/>
    </row>
    <row r="78" spans="1:2" x14ac:dyDescent="0.35">
      <c r="A78" s="2" t="s">
        <v>92</v>
      </c>
      <c r="B78" s="2"/>
    </row>
    <row r="79" spans="1:2" x14ac:dyDescent="0.35">
      <c r="A79" s="2" t="s">
        <v>2</v>
      </c>
      <c r="B79" s="2"/>
    </row>
    <row r="80" spans="1:2" x14ac:dyDescent="0.35">
      <c r="A80" s="2" t="s">
        <v>93</v>
      </c>
      <c r="B80" s="2" t="s">
        <v>94</v>
      </c>
    </row>
    <row r="81" spans="1:2" x14ac:dyDescent="0.35">
      <c r="A81" s="2" t="s">
        <v>95</v>
      </c>
      <c r="B81" s="2" t="s">
        <v>96</v>
      </c>
    </row>
    <row r="82" spans="1:2" x14ac:dyDescent="0.35">
      <c r="A82" s="2" t="s">
        <v>97</v>
      </c>
      <c r="B82" s="2"/>
    </row>
    <row r="83" spans="1:2" x14ac:dyDescent="0.35">
      <c r="A83" s="2" t="s">
        <v>49</v>
      </c>
      <c r="B83" s="2"/>
    </row>
    <row r="84" spans="1:2" ht="29" x14ac:dyDescent="0.35">
      <c r="A84" s="2" t="s">
        <v>98</v>
      </c>
      <c r="B84" s="2"/>
    </row>
    <row r="85" spans="1:2" ht="29" x14ac:dyDescent="0.35">
      <c r="A85" s="2" t="s">
        <v>99</v>
      </c>
      <c r="B85" s="2"/>
    </row>
    <row r="86" spans="1:2" x14ac:dyDescent="0.35">
      <c r="A86" s="2" t="s">
        <v>100</v>
      </c>
      <c r="B86" s="2" t="s">
        <v>101</v>
      </c>
    </row>
    <row r="87" spans="1:2" x14ac:dyDescent="0.35">
      <c r="A87" s="2" t="s">
        <v>102</v>
      </c>
      <c r="B87" s="2"/>
    </row>
    <row r="88" spans="1:2" x14ac:dyDescent="0.35">
      <c r="A88" s="2" t="s">
        <v>103</v>
      </c>
      <c r="B88" s="2"/>
    </row>
    <row r="89" spans="1:2" x14ac:dyDescent="0.35">
      <c r="A89" s="2" t="s">
        <v>104</v>
      </c>
      <c r="B89" s="2"/>
    </row>
    <row r="90" spans="1:2" ht="29" x14ac:dyDescent="0.35">
      <c r="A90" s="2" t="s">
        <v>105</v>
      </c>
      <c r="B90" s="2" t="s">
        <v>106</v>
      </c>
    </row>
    <row r="91" spans="1:2" ht="29" x14ac:dyDescent="0.35">
      <c r="A91" s="2" t="s">
        <v>107</v>
      </c>
      <c r="B91" s="2" t="s">
        <v>108</v>
      </c>
    </row>
    <row r="92" spans="1:2" ht="29" x14ac:dyDescent="0.35">
      <c r="A92" s="2" t="s">
        <v>109</v>
      </c>
      <c r="B92" s="2"/>
    </row>
    <row r="93" spans="1:2" ht="29" x14ac:dyDescent="0.35">
      <c r="A93" s="2" t="s">
        <v>110</v>
      </c>
      <c r="B93" s="2" t="s">
        <v>111</v>
      </c>
    </row>
    <row r="94" spans="1:2" x14ac:dyDescent="0.35">
      <c r="A94" s="2" t="s">
        <v>81</v>
      </c>
      <c r="B94" s="2" t="s">
        <v>82</v>
      </c>
    </row>
    <row r="95" spans="1:2" ht="29" x14ac:dyDescent="0.35">
      <c r="A95" s="2" t="s">
        <v>112</v>
      </c>
      <c r="B95" s="2" t="s">
        <v>113</v>
      </c>
    </row>
    <row r="96" spans="1:2" x14ac:dyDescent="0.35">
      <c r="A96" s="2" t="s">
        <v>114</v>
      </c>
      <c r="B96" s="2"/>
    </row>
    <row r="97" spans="1:2" x14ac:dyDescent="0.35">
      <c r="A97" s="2" t="s">
        <v>115</v>
      </c>
      <c r="B97" s="2"/>
    </row>
    <row r="98" spans="1:2" x14ac:dyDescent="0.35">
      <c r="A98" s="2" t="s">
        <v>57</v>
      </c>
      <c r="B98" s="2"/>
    </row>
    <row r="99" spans="1:2" x14ac:dyDescent="0.35">
      <c r="A99" s="2" t="s">
        <v>58</v>
      </c>
      <c r="B99" s="2"/>
    </row>
    <row r="100" spans="1:2" x14ac:dyDescent="0.35">
      <c r="A100" s="2" t="s">
        <v>83</v>
      </c>
      <c r="B100" s="2"/>
    </row>
    <row r="101" spans="1:2" x14ac:dyDescent="0.35">
      <c r="A101" s="2" t="s">
        <v>62</v>
      </c>
      <c r="B101" s="2"/>
    </row>
    <row r="102" spans="1:2" x14ac:dyDescent="0.35">
      <c r="A102" s="2" t="s">
        <v>63</v>
      </c>
      <c r="B102" s="2"/>
    </row>
    <row r="103" spans="1:2" ht="29" x14ac:dyDescent="0.35">
      <c r="A103" s="2" t="s">
        <v>85</v>
      </c>
      <c r="B103" s="2"/>
    </row>
    <row r="104" spans="1:2" ht="29" x14ac:dyDescent="0.35">
      <c r="A104" s="2" t="s">
        <v>87</v>
      </c>
      <c r="B104" s="2"/>
    </row>
    <row r="105" spans="1:2" x14ac:dyDescent="0.35">
      <c r="A105" s="2" t="s">
        <v>116</v>
      </c>
      <c r="B105" s="2"/>
    </row>
    <row r="106" spans="1:2" x14ac:dyDescent="0.35">
      <c r="A106" s="2"/>
      <c r="B106" s="2"/>
    </row>
    <row r="107" spans="1:2" x14ac:dyDescent="0.35">
      <c r="A107" s="1" t="s">
        <v>117</v>
      </c>
      <c r="B107" s="2"/>
    </row>
    <row r="108" spans="1:2" x14ac:dyDescent="0.35">
      <c r="A108" s="2" t="s">
        <v>92</v>
      </c>
      <c r="B108" s="2"/>
    </row>
    <row r="109" spans="1:2" x14ac:dyDescent="0.35">
      <c r="A109" s="2" t="s">
        <v>2</v>
      </c>
      <c r="B109" s="2"/>
    </row>
    <row r="110" spans="1:2" x14ac:dyDescent="0.35">
      <c r="A110" s="2" t="s">
        <v>93</v>
      </c>
      <c r="B110" s="2"/>
    </row>
    <row r="111" spans="1:2" x14ac:dyDescent="0.35">
      <c r="A111" s="2" t="s">
        <v>97</v>
      </c>
      <c r="B111" s="2"/>
    </row>
    <row r="112" spans="1:2" x14ac:dyDescent="0.35">
      <c r="A112" s="2" t="s">
        <v>118</v>
      </c>
      <c r="B112" s="2"/>
    </row>
    <row r="113" spans="1:2" x14ac:dyDescent="0.35">
      <c r="A113" s="2" t="s">
        <v>119</v>
      </c>
      <c r="B113" s="2"/>
    </row>
    <row r="114" spans="1:2" x14ac:dyDescent="0.35">
      <c r="A114" s="2" t="s">
        <v>120</v>
      </c>
      <c r="B114" s="2" t="s">
        <v>121</v>
      </c>
    </row>
    <row r="115" spans="1:2" ht="29" x14ac:dyDescent="0.35">
      <c r="A115" s="2" t="s">
        <v>122</v>
      </c>
      <c r="B115" s="2"/>
    </row>
    <row r="116" spans="1:2" x14ac:dyDescent="0.35">
      <c r="A116" s="2" t="s">
        <v>123</v>
      </c>
      <c r="B116" s="2"/>
    </row>
    <row r="117" spans="1:2" x14ac:dyDescent="0.35">
      <c r="A117" s="2" t="s">
        <v>124</v>
      </c>
      <c r="B117" s="2"/>
    </row>
    <row r="118" spans="1:2" x14ac:dyDescent="0.35">
      <c r="A118" s="2"/>
      <c r="B118" s="2"/>
    </row>
    <row r="119" spans="1:2" x14ac:dyDescent="0.35">
      <c r="A119" s="1" t="s">
        <v>125</v>
      </c>
      <c r="B119" s="2"/>
    </row>
    <row r="120" spans="1:2" x14ac:dyDescent="0.35">
      <c r="A120" s="2" t="s">
        <v>92</v>
      </c>
      <c r="B120" s="2"/>
    </row>
    <row r="121" spans="1:2" x14ac:dyDescent="0.35">
      <c r="A121" s="2" t="s">
        <v>2</v>
      </c>
      <c r="B121" s="2"/>
    </row>
    <row r="122" spans="1:2" x14ac:dyDescent="0.35">
      <c r="A122" s="2" t="s">
        <v>93</v>
      </c>
      <c r="B122" s="2"/>
    </row>
    <row r="123" spans="1:2" x14ac:dyDescent="0.35">
      <c r="A123" s="2" t="s">
        <v>97</v>
      </c>
      <c r="B123" s="2"/>
    </row>
    <row r="124" spans="1:2" x14ac:dyDescent="0.35">
      <c r="A124" s="2" t="s">
        <v>118</v>
      </c>
      <c r="B124" s="2"/>
    </row>
    <row r="125" spans="1:2" x14ac:dyDescent="0.35">
      <c r="A125" s="2" t="s">
        <v>119</v>
      </c>
      <c r="B125" s="2"/>
    </row>
    <row r="126" spans="1:2" x14ac:dyDescent="0.35">
      <c r="A126" s="2" t="s">
        <v>126</v>
      </c>
      <c r="B126" s="2" t="s">
        <v>127</v>
      </c>
    </row>
    <row r="127" spans="1:2" x14ac:dyDescent="0.35">
      <c r="A127" s="2" t="s">
        <v>128</v>
      </c>
      <c r="B127" s="2" t="s">
        <v>129</v>
      </c>
    </row>
    <row r="128" spans="1:2" x14ac:dyDescent="0.35">
      <c r="A128" s="2" t="s">
        <v>130</v>
      </c>
      <c r="B128" s="2"/>
    </row>
    <row r="129" spans="1:2" x14ac:dyDescent="0.35">
      <c r="B129" s="2"/>
    </row>
    <row r="130" spans="1:2" x14ac:dyDescent="0.35">
      <c r="A130" s="4" t="s">
        <v>131</v>
      </c>
      <c r="B130" s="2"/>
    </row>
    <row r="131" spans="1:2" x14ac:dyDescent="0.35">
      <c r="A131" s="2" t="s">
        <v>97</v>
      </c>
      <c r="B131" s="2"/>
    </row>
    <row r="132" spans="1:2" x14ac:dyDescent="0.35">
      <c r="A132" s="2" t="s">
        <v>118</v>
      </c>
      <c r="B132" s="2"/>
    </row>
    <row r="133" spans="1:2" x14ac:dyDescent="0.35">
      <c r="A133" s="2" t="s">
        <v>119</v>
      </c>
      <c r="B133" s="2"/>
    </row>
    <row r="134" spans="1:2" x14ac:dyDescent="0.35">
      <c r="A134" s="2" t="s">
        <v>132</v>
      </c>
      <c r="B134" s="2" t="s">
        <v>133</v>
      </c>
    </row>
    <row r="135" spans="1:2" x14ac:dyDescent="0.35">
      <c r="A135" s="2" t="s">
        <v>134</v>
      </c>
      <c r="B135" s="2"/>
    </row>
    <row r="136" spans="1:2" x14ac:dyDescent="0.35">
      <c r="A136" s="2" t="s">
        <v>135</v>
      </c>
      <c r="B136" s="2" t="s">
        <v>136</v>
      </c>
    </row>
    <row r="137" spans="1:2" x14ac:dyDescent="0.35">
      <c r="A137" s="2" t="s">
        <v>137</v>
      </c>
      <c r="B137" s="2" t="s">
        <v>138</v>
      </c>
    </row>
    <row r="138" spans="1:2" x14ac:dyDescent="0.35">
      <c r="A138" s="2" t="s">
        <v>139</v>
      </c>
      <c r="B138" s="2" t="s">
        <v>140</v>
      </c>
    </row>
    <row r="139" spans="1:2" x14ac:dyDescent="0.35">
      <c r="A139" s="2" t="s">
        <v>141</v>
      </c>
      <c r="B139" s="2" t="s">
        <v>142</v>
      </c>
    </row>
    <row r="140" spans="1:2" x14ac:dyDescent="0.35">
      <c r="A140" s="2" t="s">
        <v>143</v>
      </c>
      <c r="B140" s="2" t="s">
        <v>144</v>
      </c>
    </row>
    <row r="141" spans="1:2" x14ac:dyDescent="0.35">
      <c r="A141" s="2" t="s">
        <v>145</v>
      </c>
      <c r="B141" s="2" t="s">
        <v>146</v>
      </c>
    </row>
    <row r="142" spans="1:2" ht="29" x14ac:dyDescent="0.35">
      <c r="A142" s="2" t="s">
        <v>147</v>
      </c>
      <c r="B142" s="2"/>
    </row>
    <row r="143" spans="1:2" x14ac:dyDescent="0.35">
      <c r="A143" s="2" t="s">
        <v>148</v>
      </c>
      <c r="B143" s="2"/>
    </row>
    <row r="144" spans="1:2" x14ac:dyDescent="0.35">
      <c r="A144" s="2" t="s">
        <v>149</v>
      </c>
      <c r="B144" s="2" t="s">
        <v>150</v>
      </c>
    </row>
    <row r="145" spans="1:2" x14ac:dyDescent="0.35">
      <c r="A145" s="2" t="s">
        <v>151</v>
      </c>
      <c r="B145" s="2" t="s">
        <v>152</v>
      </c>
    </row>
    <row r="146" spans="1:2" x14ac:dyDescent="0.35">
      <c r="A146" s="2" t="s">
        <v>153</v>
      </c>
      <c r="B146" s="2" t="s">
        <v>154</v>
      </c>
    </row>
    <row r="147" spans="1:2" x14ac:dyDescent="0.35">
      <c r="A147" s="2" t="s">
        <v>155</v>
      </c>
      <c r="B147" s="2" t="s">
        <v>156</v>
      </c>
    </row>
    <row r="148" spans="1:2" x14ac:dyDescent="0.35">
      <c r="A148" s="2" t="s">
        <v>157</v>
      </c>
      <c r="B148" s="2" t="s">
        <v>158</v>
      </c>
    </row>
    <row r="149" spans="1:2" x14ac:dyDescent="0.35">
      <c r="A149" s="2" t="s">
        <v>159</v>
      </c>
      <c r="B149" s="2"/>
    </row>
    <row r="150" spans="1:2" x14ac:dyDescent="0.35">
      <c r="A150" s="2" t="s">
        <v>160</v>
      </c>
      <c r="B150" s="2" t="s">
        <v>161</v>
      </c>
    </row>
    <row r="151" spans="1:2" x14ac:dyDescent="0.35">
      <c r="A151" s="2" t="s">
        <v>162</v>
      </c>
      <c r="B151" s="2" t="s">
        <v>163</v>
      </c>
    </row>
    <row r="152" spans="1:2" x14ac:dyDescent="0.35">
      <c r="A152" s="2" t="s">
        <v>164</v>
      </c>
      <c r="B152" s="2"/>
    </row>
    <row r="153" spans="1:2" ht="29" x14ac:dyDescent="0.35">
      <c r="A153" s="2" t="s">
        <v>165</v>
      </c>
      <c r="B153" s="2"/>
    </row>
    <row r="154" spans="1:2" x14ac:dyDescent="0.35">
      <c r="A154" s="2" t="s">
        <v>166</v>
      </c>
      <c r="B154" s="2" t="s">
        <v>167</v>
      </c>
    </row>
    <row r="155" spans="1:2" ht="29" x14ac:dyDescent="0.35">
      <c r="A155" s="2" t="s">
        <v>168</v>
      </c>
      <c r="B155" s="2" t="s">
        <v>169</v>
      </c>
    </row>
    <row r="156" spans="1:2" x14ac:dyDescent="0.35">
      <c r="A156" s="2" t="s">
        <v>170</v>
      </c>
      <c r="B156" s="2"/>
    </row>
    <row r="157" spans="1:2" x14ac:dyDescent="0.35">
      <c r="A157" s="2" t="s">
        <v>171</v>
      </c>
      <c r="B157" s="2"/>
    </row>
    <row r="158" spans="1:2" ht="43.5" x14ac:dyDescent="0.35">
      <c r="A158" s="2" t="s">
        <v>172</v>
      </c>
      <c r="B158" s="2" t="s">
        <v>173</v>
      </c>
    </row>
    <row r="159" spans="1:2" x14ac:dyDescent="0.35">
      <c r="A159" s="2" t="s">
        <v>174</v>
      </c>
      <c r="B15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B7B5-2AB9-47DB-BE61-07183C669AF8}">
  <dimension ref="A1:R114"/>
  <sheetViews>
    <sheetView zoomScale="70" zoomScaleNormal="70" workbookViewId="0">
      <pane ySplit="1" topLeftCell="A2" activePane="bottomLeft" state="frozen"/>
      <selection pane="bottomLeft" activeCell="K5" sqref="K5"/>
    </sheetView>
  </sheetViews>
  <sheetFormatPr defaultColWidth="10.6328125" defaultRowHeight="14.5" x14ac:dyDescent="0.35"/>
  <cols>
    <col min="7" max="7" width="32.7265625" customWidth="1"/>
    <col min="11" max="11" width="32.453125" style="2" customWidth="1"/>
  </cols>
  <sheetData>
    <row r="1" spans="1:18" ht="58" x14ac:dyDescent="0.35">
      <c r="A1" s="3" t="s">
        <v>1</v>
      </c>
      <c r="B1" s="2" t="s">
        <v>2</v>
      </c>
      <c r="C1" s="3" t="s">
        <v>4</v>
      </c>
      <c r="D1" s="3" t="s">
        <v>6</v>
      </c>
      <c r="E1" s="3" t="s">
        <v>7</v>
      </c>
      <c r="F1" s="3" t="s">
        <v>8</v>
      </c>
      <c r="G1" s="3" t="s">
        <v>9</v>
      </c>
      <c r="H1" s="3" t="s">
        <v>10</v>
      </c>
      <c r="I1" s="3" t="s">
        <v>1250</v>
      </c>
      <c r="J1" s="3" t="s">
        <v>1251</v>
      </c>
      <c r="K1" s="3" t="s">
        <v>1252</v>
      </c>
      <c r="L1" s="3" t="s">
        <v>1253</v>
      </c>
      <c r="M1" s="3" t="s">
        <v>1254</v>
      </c>
      <c r="N1" s="3" t="s">
        <v>1255</v>
      </c>
      <c r="O1" s="3" t="s">
        <v>1256</v>
      </c>
      <c r="P1" s="3" t="s">
        <v>635</v>
      </c>
      <c r="Q1" s="3" t="s">
        <v>636</v>
      </c>
      <c r="R1" s="3" t="s">
        <v>637</v>
      </c>
    </row>
    <row r="2" spans="1:18" ht="58" x14ac:dyDescent="0.35">
      <c r="A2" s="3" t="s">
        <v>237</v>
      </c>
      <c r="B2" s="3">
        <v>1</v>
      </c>
      <c r="C2" s="3">
        <v>42.532541950000002</v>
      </c>
      <c r="D2" s="3">
        <v>-83.670538800000003</v>
      </c>
      <c r="E2" s="3" t="s">
        <v>638</v>
      </c>
      <c r="F2" s="3" t="s">
        <v>639</v>
      </c>
      <c r="G2" s="3" t="s">
        <v>640</v>
      </c>
      <c r="H2" s="3" t="s">
        <v>641</v>
      </c>
      <c r="I2" s="3" t="s">
        <v>642</v>
      </c>
      <c r="J2" s="3"/>
      <c r="L2" s="3" t="s">
        <v>643</v>
      </c>
      <c r="M2" s="3" t="s">
        <v>644</v>
      </c>
      <c r="N2" s="3">
        <v>23.2</v>
      </c>
      <c r="O2" s="3">
        <v>1</v>
      </c>
      <c r="P2" t="s">
        <v>179</v>
      </c>
      <c r="Q2" t="s">
        <v>179</v>
      </c>
      <c r="R2" t="s">
        <v>179</v>
      </c>
    </row>
    <row r="3" spans="1:18" ht="43.5" x14ac:dyDescent="0.35">
      <c r="A3" s="3" t="s">
        <v>237</v>
      </c>
      <c r="B3" s="3">
        <v>2</v>
      </c>
      <c r="C3" s="3">
        <v>42.532967239999998</v>
      </c>
      <c r="D3" s="3">
        <v>-83.67076505</v>
      </c>
      <c r="E3" s="3" t="s">
        <v>638</v>
      </c>
      <c r="F3" s="3" t="s">
        <v>645</v>
      </c>
      <c r="G3" s="3" t="s">
        <v>646</v>
      </c>
      <c r="H3" s="3" t="s">
        <v>647</v>
      </c>
      <c r="I3" s="3" t="s">
        <v>642</v>
      </c>
      <c r="J3" s="3" t="s">
        <v>648</v>
      </c>
      <c r="L3" s="3" t="s">
        <v>649</v>
      </c>
      <c r="M3" s="3" t="s">
        <v>650</v>
      </c>
      <c r="N3" s="3">
        <v>11.25</v>
      </c>
      <c r="O3" s="3">
        <v>1</v>
      </c>
      <c r="P3" t="s">
        <v>179</v>
      </c>
      <c r="Q3" s="3" t="s">
        <v>179</v>
      </c>
      <c r="R3" s="3" t="s">
        <v>179</v>
      </c>
    </row>
    <row r="4" spans="1:18" ht="58" x14ac:dyDescent="0.35">
      <c r="A4" s="3" t="s">
        <v>237</v>
      </c>
      <c r="B4" s="3">
        <v>3</v>
      </c>
      <c r="C4" s="3">
        <v>42.533263560000002</v>
      </c>
      <c r="D4" s="3">
        <v>-83.670932440000001</v>
      </c>
      <c r="E4" s="3" t="s">
        <v>638</v>
      </c>
      <c r="F4" s="3" t="s">
        <v>651</v>
      </c>
      <c r="G4" s="3" t="s">
        <v>652</v>
      </c>
      <c r="H4" s="3" t="s">
        <v>653</v>
      </c>
      <c r="I4" s="3" t="s">
        <v>642</v>
      </c>
      <c r="J4" s="3" t="s">
        <v>654</v>
      </c>
      <c r="L4" s="3" t="s">
        <v>655</v>
      </c>
      <c r="M4" s="3" t="s">
        <v>656</v>
      </c>
      <c r="N4" s="3" t="s">
        <v>657</v>
      </c>
      <c r="O4" s="3" t="s">
        <v>205</v>
      </c>
      <c r="P4" t="s">
        <v>179</v>
      </c>
      <c r="Q4" s="3" t="s">
        <v>179</v>
      </c>
      <c r="R4" s="3" t="s">
        <v>179</v>
      </c>
    </row>
    <row r="5" spans="1:18" ht="72.5" x14ac:dyDescent="0.35">
      <c r="A5" s="3" t="s">
        <v>658</v>
      </c>
      <c r="B5" s="3">
        <v>4</v>
      </c>
      <c r="C5" s="3">
        <v>42.378346659999998</v>
      </c>
      <c r="D5" s="3">
        <v>-83.913361170000002</v>
      </c>
      <c r="E5" s="3" t="s">
        <v>659</v>
      </c>
      <c r="F5" s="3" t="s">
        <v>660</v>
      </c>
      <c r="G5" s="3" t="s">
        <v>661</v>
      </c>
      <c r="H5" s="3" t="s">
        <v>662</v>
      </c>
      <c r="I5" s="3" t="s">
        <v>1270</v>
      </c>
      <c r="J5" s="3"/>
      <c r="K5" s="2" t="s">
        <v>1271</v>
      </c>
      <c r="L5" s="3" t="s">
        <v>1272</v>
      </c>
      <c r="M5" s="3" t="s">
        <v>1273</v>
      </c>
      <c r="N5" s="3">
        <f>14.2+8.5</f>
        <v>22.7</v>
      </c>
      <c r="O5" s="3">
        <v>2</v>
      </c>
      <c r="P5" t="s">
        <v>179</v>
      </c>
      <c r="Q5" s="3" t="s">
        <v>179</v>
      </c>
      <c r="R5" s="3" t="s">
        <v>179</v>
      </c>
    </row>
    <row r="6" spans="1:18" ht="58" x14ac:dyDescent="0.35">
      <c r="A6" s="3" t="s">
        <v>658</v>
      </c>
      <c r="B6" s="3">
        <v>5</v>
      </c>
      <c r="C6" s="3">
        <v>42.377963800000003</v>
      </c>
      <c r="D6" s="3">
        <v>-83.913092160000005</v>
      </c>
      <c r="E6" s="3" t="s">
        <v>659</v>
      </c>
      <c r="F6" s="3" t="s">
        <v>663</v>
      </c>
      <c r="G6" s="3" t="s">
        <v>664</v>
      </c>
      <c r="H6" s="3" t="s">
        <v>665</v>
      </c>
      <c r="I6" s="3" t="s">
        <v>666</v>
      </c>
      <c r="J6" s="3"/>
      <c r="K6" s="2" t="s">
        <v>667</v>
      </c>
      <c r="L6" s="3" t="s">
        <v>668</v>
      </c>
      <c r="M6" s="3" t="s">
        <v>669</v>
      </c>
      <c r="N6" s="3">
        <v>90</v>
      </c>
      <c r="O6" s="3">
        <v>2</v>
      </c>
      <c r="P6" t="s">
        <v>179</v>
      </c>
      <c r="Q6" s="3" t="s">
        <v>179</v>
      </c>
      <c r="R6" s="3" t="s">
        <v>179</v>
      </c>
    </row>
    <row r="7" spans="1:18" ht="43.5" x14ac:dyDescent="0.35">
      <c r="A7" s="3" t="s">
        <v>658</v>
      </c>
      <c r="B7" s="3">
        <v>6</v>
      </c>
      <c r="C7" s="3">
        <v>42.378304020000002</v>
      </c>
      <c r="D7" s="3">
        <v>-83.913823320000006</v>
      </c>
      <c r="E7" s="3" t="s">
        <v>659</v>
      </c>
      <c r="F7" s="3" t="s">
        <v>670</v>
      </c>
      <c r="G7" s="3" t="s">
        <v>671</v>
      </c>
      <c r="H7" s="3" t="s">
        <v>672</v>
      </c>
      <c r="I7" s="3" t="s">
        <v>1270</v>
      </c>
      <c r="J7" s="3"/>
      <c r="K7" s="2" t="s">
        <v>1274</v>
      </c>
      <c r="L7" s="3" t="s">
        <v>1275</v>
      </c>
      <c r="M7" s="3" t="s">
        <v>644</v>
      </c>
      <c r="N7" s="3">
        <v>19</v>
      </c>
      <c r="O7" s="3">
        <v>1</v>
      </c>
      <c r="P7" t="s">
        <v>179</v>
      </c>
      <c r="Q7" s="3" t="s">
        <v>179</v>
      </c>
      <c r="R7" s="3" t="s">
        <v>179</v>
      </c>
    </row>
    <row r="8" spans="1:18" ht="188.5" x14ac:dyDescent="0.35">
      <c r="A8" s="3" t="s">
        <v>237</v>
      </c>
      <c r="B8" s="3">
        <v>7</v>
      </c>
      <c r="C8" s="3">
        <v>42.53544514</v>
      </c>
      <c r="D8" s="3">
        <v>-83.667223190000001</v>
      </c>
      <c r="E8" s="3" t="s">
        <v>673</v>
      </c>
      <c r="F8" s="3" t="s">
        <v>674</v>
      </c>
      <c r="G8" s="3" t="s">
        <v>675</v>
      </c>
      <c r="H8" s="3" t="s">
        <v>676</v>
      </c>
      <c r="I8" s="3" t="s">
        <v>239</v>
      </c>
      <c r="J8" s="3"/>
      <c r="K8" s="2" t="s">
        <v>677</v>
      </c>
      <c r="L8" s="3" t="s">
        <v>678</v>
      </c>
      <c r="M8" s="3" t="s">
        <v>679</v>
      </c>
      <c r="N8" s="3">
        <v>18.600000000000001</v>
      </c>
      <c r="O8" s="3">
        <v>1</v>
      </c>
      <c r="P8" t="s">
        <v>179</v>
      </c>
      <c r="Q8" s="3" t="s">
        <v>179</v>
      </c>
      <c r="R8" s="3" t="s">
        <v>179</v>
      </c>
    </row>
    <row r="9" spans="1:18" ht="174" x14ac:dyDescent="0.35">
      <c r="A9" s="3" t="s">
        <v>237</v>
      </c>
      <c r="B9" s="3">
        <v>8</v>
      </c>
      <c r="C9" s="3">
        <v>42.535633609999998</v>
      </c>
      <c r="D9" s="3">
        <v>-83.666427560000002</v>
      </c>
      <c r="E9" s="3" t="s">
        <v>673</v>
      </c>
      <c r="F9" s="3" t="s">
        <v>680</v>
      </c>
      <c r="G9" s="3" t="s">
        <v>681</v>
      </c>
      <c r="H9" s="3" t="s">
        <v>682</v>
      </c>
      <c r="I9" s="3" t="s">
        <v>683</v>
      </c>
      <c r="J9" s="3"/>
      <c r="K9" s="2" t="s">
        <v>684</v>
      </c>
      <c r="L9" s="3" t="s">
        <v>685</v>
      </c>
      <c r="M9" s="3" t="s">
        <v>679</v>
      </c>
      <c r="N9" s="3">
        <f>36.7+12.8</f>
        <v>49.5</v>
      </c>
      <c r="O9" s="3">
        <v>2</v>
      </c>
      <c r="P9" t="s">
        <v>179</v>
      </c>
      <c r="Q9" s="3" t="s">
        <v>179</v>
      </c>
      <c r="R9" s="3" t="s">
        <v>179</v>
      </c>
    </row>
    <row r="10" spans="1:18" ht="116" x14ac:dyDescent="0.35">
      <c r="A10" s="3" t="s">
        <v>237</v>
      </c>
      <c r="B10" s="3">
        <v>9</v>
      </c>
      <c r="C10" s="3">
        <v>42.535882090000001</v>
      </c>
      <c r="D10" s="3">
        <v>-83.66709668</v>
      </c>
      <c r="E10" s="3" t="s">
        <v>673</v>
      </c>
      <c r="F10" s="3" t="s">
        <v>686</v>
      </c>
      <c r="G10" s="3" t="s">
        <v>687</v>
      </c>
      <c r="H10" s="3" t="s">
        <v>688</v>
      </c>
      <c r="I10" s="3" t="s">
        <v>683</v>
      </c>
      <c r="J10" s="3"/>
      <c r="K10" s="2" t="s">
        <v>689</v>
      </c>
      <c r="L10" s="3" t="s">
        <v>690</v>
      </c>
      <c r="M10" s="3" t="s">
        <v>691</v>
      </c>
      <c r="N10" s="3">
        <v>16.100000000000001</v>
      </c>
      <c r="O10" s="3">
        <v>1</v>
      </c>
      <c r="P10" t="s">
        <v>179</v>
      </c>
      <c r="Q10" s="3" t="s">
        <v>179</v>
      </c>
      <c r="R10" s="3" t="s">
        <v>179</v>
      </c>
    </row>
    <row r="11" spans="1:18" ht="188.5" x14ac:dyDescent="0.35">
      <c r="A11" s="3" t="s">
        <v>658</v>
      </c>
      <c r="B11" s="3">
        <v>10</v>
      </c>
      <c r="C11" s="3">
        <v>42.375157350000002</v>
      </c>
      <c r="D11" s="3">
        <v>-83.914113369999995</v>
      </c>
      <c r="E11" s="3" t="s">
        <v>692</v>
      </c>
      <c r="F11" s="3" t="s">
        <v>693</v>
      </c>
      <c r="G11" s="3" t="s">
        <v>694</v>
      </c>
      <c r="H11" s="3" t="s">
        <v>695</v>
      </c>
      <c r="I11" s="3" t="s">
        <v>666</v>
      </c>
      <c r="J11" s="3"/>
      <c r="K11" s="2" t="s">
        <v>696</v>
      </c>
      <c r="L11" s="3" t="s">
        <v>697</v>
      </c>
      <c r="M11" s="3" t="s">
        <v>669</v>
      </c>
      <c r="N11" s="3">
        <v>40.6</v>
      </c>
      <c r="O11" s="3">
        <v>1</v>
      </c>
      <c r="P11" t="s">
        <v>179</v>
      </c>
      <c r="Q11" s="3" t="s">
        <v>179</v>
      </c>
      <c r="R11" s="3" t="s">
        <v>179</v>
      </c>
    </row>
    <row r="12" spans="1:18" ht="203" x14ac:dyDescent="0.35">
      <c r="A12" s="3" t="s">
        <v>658</v>
      </c>
      <c r="B12" s="3">
        <v>11</v>
      </c>
      <c r="C12" s="3">
        <v>42.374745750000002</v>
      </c>
      <c r="D12" s="3">
        <v>-83.914299380000003</v>
      </c>
      <c r="E12" s="3" t="s">
        <v>692</v>
      </c>
      <c r="F12" s="3" t="s">
        <v>698</v>
      </c>
      <c r="G12" s="3" t="s">
        <v>699</v>
      </c>
      <c r="H12" s="3" t="s">
        <v>700</v>
      </c>
      <c r="I12" s="3" t="s">
        <v>666</v>
      </c>
      <c r="J12" s="3" t="s">
        <v>701</v>
      </c>
      <c r="K12" s="3" t="s">
        <v>702</v>
      </c>
      <c r="L12" s="3" t="s">
        <v>703</v>
      </c>
      <c r="M12" s="3" t="s">
        <v>656</v>
      </c>
      <c r="N12" s="3" t="s">
        <v>657</v>
      </c>
      <c r="O12" s="3" t="s">
        <v>205</v>
      </c>
      <c r="P12" s="3" t="s">
        <v>179</v>
      </c>
      <c r="Q12" s="3" t="s">
        <v>179</v>
      </c>
      <c r="R12" s="3" t="s">
        <v>179</v>
      </c>
    </row>
    <row r="13" spans="1:18" ht="232" x14ac:dyDescent="0.35">
      <c r="A13" s="3" t="s">
        <v>658</v>
      </c>
      <c r="B13" s="3">
        <v>12</v>
      </c>
      <c r="C13" s="3">
        <v>42.373981559999997</v>
      </c>
      <c r="D13" s="3">
        <v>-83.914218869999999</v>
      </c>
      <c r="E13" s="3" t="s">
        <v>692</v>
      </c>
      <c r="F13" s="3" t="s">
        <v>704</v>
      </c>
      <c r="G13" s="3" t="s">
        <v>705</v>
      </c>
      <c r="H13" s="3" t="s">
        <v>706</v>
      </c>
      <c r="I13" s="3" t="s">
        <v>666</v>
      </c>
      <c r="J13" s="3"/>
      <c r="K13" s="2" t="s">
        <v>707</v>
      </c>
      <c r="L13" s="3" t="s">
        <v>708</v>
      </c>
      <c r="M13" s="3" t="s">
        <v>709</v>
      </c>
      <c r="N13" s="3">
        <v>32.799999999999997</v>
      </c>
      <c r="O13" s="3">
        <v>1</v>
      </c>
      <c r="P13" t="s">
        <v>179</v>
      </c>
      <c r="Q13" s="3" t="s">
        <v>179</v>
      </c>
      <c r="R13" s="3" t="s">
        <v>179</v>
      </c>
    </row>
    <row r="14" spans="1:18" ht="217.5" x14ac:dyDescent="0.35">
      <c r="A14" s="3" t="s">
        <v>237</v>
      </c>
      <c r="B14" s="3">
        <v>13</v>
      </c>
      <c r="C14" s="3">
        <v>42.534636990000003</v>
      </c>
      <c r="D14" s="3">
        <v>-83.666954950000004</v>
      </c>
      <c r="E14" s="3" t="s">
        <v>269</v>
      </c>
      <c r="F14" s="3" t="s">
        <v>710</v>
      </c>
      <c r="G14" s="3" t="s">
        <v>711</v>
      </c>
      <c r="H14" s="3" t="s">
        <v>712</v>
      </c>
      <c r="I14" s="3" t="s">
        <v>239</v>
      </c>
      <c r="J14" s="3"/>
      <c r="K14" s="2" t="s">
        <v>713</v>
      </c>
      <c r="L14" s="3" t="s">
        <v>714</v>
      </c>
      <c r="M14" s="3" t="s">
        <v>715</v>
      </c>
      <c r="N14" s="3">
        <v>25.9</v>
      </c>
      <c r="O14" s="3">
        <v>1</v>
      </c>
      <c r="P14" t="s">
        <v>179</v>
      </c>
      <c r="Q14" s="3" t="s">
        <v>179</v>
      </c>
      <c r="R14" s="3" t="s">
        <v>179</v>
      </c>
    </row>
    <row r="15" spans="1:18" ht="145" x14ac:dyDescent="0.35">
      <c r="A15" s="3" t="s">
        <v>237</v>
      </c>
      <c r="B15" s="3">
        <v>14</v>
      </c>
      <c r="C15" s="3">
        <v>42.53497995</v>
      </c>
      <c r="D15" s="3">
        <v>-83.666570340000007</v>
      </c>
      <c r="E15" s="3" t="s">
        <v>269</v>
      </c>
      <c r="F15" s="3" t="s">
        <v>716</v>
      </c>
      <c r="G15" s="3" t="s">
        <v>717</v>
      </c>
      <c r="H15" s="3" t="s">
        <v>718</v>
      </c>
      <c r="I15" s="3" t="s">
        <v>239</v>
      </c>
      <c r="J15" s="3"/>
      <c r="K15" s="2" t="s">
        <v>719</v>
      </c>
      <c r="L15" s="3" t="s">
        <v>720</v>
      </c>
      <c r="M15" s="3" t="s">
        <v>721</v>
      </c>
      <c r="N15" s="3">
        <v>10.9</v>
      </c>
      <c r="O15" s="3">
        <v>1</v>
      </c>
      <c r="P15" t="s">
        <v>179</v>
      </c>
      <c r="Q15" t="s">
        <v>179</v>
      </c>
      <c r="R15" t="s">
        <v>179</v>
      </c>
    </row>
    <row r="16" spans="1:18" ht="188.5" x14ac:dyDescent="0.35">
      <c r="A16" s="3" t="s">
        <v>237</v>
      </c>
      <c r="B16" s="3">
        <v>15</v>
      </c>
      <c r="C16" s="3">
        <v>42.534295419999999</v>
      </c>
      <c r="D16" s="3">
        <v>-83.667219650000007</v>
      </c>
      <c r="E16" s="3" t="s">
        <v>269</v>
      </c>
      <c r="F16" s="3" t="s">
        <v>722</v>
      </c>
      <c r="G16" s="3" t="s">
        <v>723</v>
      </c>
      <c r="H16" s="3" t="s">
        <v>724</v>
      </c>
      <c r="I16" s="3" t="s">
        <v>239</v>
      </c>
      <c r="J16" s="3"/>
      <c r="K16" s="3" t="s">
        <v>725</v>
      </c>
      <c r="L16" s="3" t="s">
        <v>726</v>
      </c>
      <c r="M16" s="3" t="s">
        <v>727</v>
      </c>
      <c r="N16" s="3">
        <v>9.8000000000000007</v>
      </c>
      <c r="O16" s="3">
        <v>1</v>
      </c>
      <c r="P16" t="s">
        <v>179</v>
      </c>
      <c r="Q16" t="s">
        <v>179</v>
      </c>
      <c r="R16" t="s">
        <v>179</v>
      </c>
    </row>
    <row r="17" spans="1:18" ht="217.5" x14ac:dyDescent="0.35">
      <c r="A17" s="3" t="s">
        <v>248</v>
      </c>
      <c r="B17" s="3">
        <v>16</v>
      </c>
      <c r="C17" s="3">
        <v>42.499414180000002</v>
      </c>
      <c r="D17" s="3">
        <v>-83.716566400000005</v>
      </c>
      <c r="E17" s="3" t="s">
        <v>728</v>
      </c>
      <c r="F17" s="3" t="s">
        <v>729</v>
      </c>
      <c r="G17" s="3" t="s">
        <v>730</v>
      </c>
      <c r="H17" s="3" t="s">
        <v>731</v>
      </c>
      <c r="I17" s="3" t="s">
        <v>732</v>
      </c>
      <c r="J17" s="3"/>
      <c r="K17" s="2" t="s">
        <v>733</v>
      </c>
      <c r="L17" s="3" t="s">
        <v>734</v>
      </c>
      <c r="M17" s="3" t="s">
        <v>735</v>
      </c>
      <c r="N17" s="3">
        <v>57.6</v>
      </c>
      <c r="O17" s="3">
        <v>1</v>
      </c>
      <c r="P17" t="s">
        <v>179</v>
      </c>
      <c r="Q17" t="s">
        <v>179</v>
      </c>
      <c r="R17" t="s">
        <v>179</v>
      </c>
    </row>
    <row r="18" spans="1:18" ht="188.5" x14ac:dyDescent="0.35">
      <c r="A18" s="3" t="s">
        <v>248</v>
      </c>
      <c r="B18" s="3">
        <v>17</v>
      </c>
      <c r="C18" s="3">
        <v>42.500113159999998</v>
      </c>
      <c r="D18" s="3">
        <v>-83.716904080000006</v>
      </c>
      <c r="E18" s="3" t="s">
        <v>728</v>
      </c>
      <c r="F18" s="3" t="s">
        <v>736</v>
      </c>
      <c r="G18" s="3" t="s">
        <v>737</v>
      </c>
      <c r="H18" s="3" t="s">
        <v>738</v>
      </c>
      <c r="I18" s="3" t="s">
        <v>739</v>
      </c>
      <c r="J18" s="3"/>
      <c r="K18" s="2" t="s">
        <v>740</v>
      </c>
      <c r="L18" s="3" t="s">
        <v>741</v>
      </c>
      <c r="M18" s="3" t="s">
        <v>742</v>
      </c>
      <c r="N18" s="3">
        <v>34.4</v>
      </c>
      <c r="O18" s="3">
        <v>1</v>
      </c>
      <c r="P18" t="s">
        <v>179</v>
      </c>
      <c r="Q18" s="3" t="s">
        <v>179</v>
      </c>
      <c r="R18" s="3" t="s">
        <v>179</v>
      </c>
    </row>
    <row r="19" spans="1:18" ht="217.5" x14ac:dyDescent="0.35">
      <c r="A19" s="3" t="s">
        <v>248</v>
      </c>
      <c r="B19" s="3">
        <v>18</v>
      </c>
      <c r="C19" s="3">
        <v>42.499844260000003</v>
      </c>
      <c r="D19" s="3">
        <v>-83.717294050000007</v>
      </c>
      <c r="E19" s="3" t="s">
        <v>728</v>
      </c>
      <c r="F19" s="3" t="s">
        <v>743</v>
      </c>
      <c r="G19" s="3" t="s">
        <v>744</v>
      </c>
      <c r="H19" s="3" t="s">
        <v>745</v>
      </c>
      <c r="I19" s="3" t="s">
        <v>732</v>
      </c>
      <c r="J19" s="3" t="s">
        <v>746</v>
      </c>
      <c r="K19" s="3" t="s">
        <v>747</v>
      </c>
      <c r="L19" s="3" t="s">
        <v>748</v>
      </c>
      <c r="M19" s="3" t="s">
        <v>749</v>
      </c>
      <c r="N19" s="3">
        <v>29.1</v>
      </c>
      <c r="O19" s="3">
        <v>1</v>
      </c>
      <c r="P19" s="3" t="s">
        <v>179</v>
      </c>
      <c r="Q19" s="3" t="s">
        <v>179</v>
      </c>
      <c r="R19" s="3" t="s">
        <v>179</v>
      </c>
    </row>
    <row r="20" spans="1:18" ht="261" x14ac:dyDescent="0.35">
      <c r="A20" s="3" t="s">
        <v>237</v>
      </c>
      <c r="B20" s="3">
        <v>19</v>
      </c>
      <c r="C20" s="3">
        <v>42.537844329999999</v>
      </c>
      <c r="D20" s="3">
        <v>-83.666653620000005</v>
      </c>
      <c r="E20" s="3" t="s">
        <v>271</v>
      </c>
      <c r="F20" s="3" t="s">
        <v>686</v>
      </c>
      <c r="G20" s="3" t="s">
        <v>750</v>
      </c>
      <c r="H20" s="3" t="s">
        <v>751</v>
      </c>
      <c r="I20" s="3" t="s">
        <v>683</v>
      </c>
      <c r="J20" s="3"/>
      <c r="K20" s="3" t="s">
        <v>752</v>
      </c>
      <c r="L20" s="3" t="s">
        <v>753</v>
      </c>
      <c r="M20" s="3" t="s">
        <v>754</v>
      </c>
      <c r="N20" s="3">
        <v>33</v>
      </c>
      <c r="O20" s="3">
        <v>1</v>
      </c>
      <c r="P20" s="3" t="s">
        <v>179</v>
      </c>
      <c r="Q20" s="3" t="s">
        <v>179</v>
      </c>
      <c r="R20" s="3" t="s">
        <v>179</v>
      </c>
    </row>
    <row r="21" spans="1:18" ht="116" x14ac:dyDescent="0.35">
      <c r="A21" s="3" t="s">
        <v>237</v>
      </c>
      <c r="B21" s="3">
        <v>20</v>
      </c>
      <c r="C21" s="3">
        <v>42.537941680000003</v>
      </c>
      <c r="D21" s="3">
        <v>-83.665966850000004</v>
      </c>
      <c r="E21" s="3" t="s">
        <v>271</v>
      </c>
      <c r="F21" s="3" t="s">
        <v>755</v>
      </c>
      <c r="G21" s="3" t="s">
        <v>756</v>
      </c>
      <c r="H21" s="3" t="s">
        <v>757</v>
      </c>
      <c r="I21" s="3" t="s">
        <v>683</v>
      </c>
      <c r="J21" s="3"/>
      <c r="K21" s="3" t="s">
        <v>758</v>
      </c>
      <c r="L21" s="3" t="s">
        <v>759</v>
      </c>
      <c r="M21" s="3" t="s">
        <v>644</v>
      </c>
      <c r="N21" s="3">
        <v>25.2</v>
      </c>
      <c r="O21" s="3">
        <v>1</v>
      </c>
      <c r="P21" s="3" t="s">
        <v>179</v>
      </c>
      <c r="Q21" s="3" t="s">
        <v>179</v>
      </c>
      <c r="R21" s="3" t="s">
        <v>179</v>
      </c>
    </row>
    <row r="22" spans="1:18" ht="174" x14ac:dyDescent="0.35">
      <c r="A22" s="3" t="s">
        <v>237</v>
      </c>
      <c r="B22" s="3">
        <v>21</v>
      </c>
      <c r="C22" s="3">
        <v>42.537279519999998</v>
      </c>
      <c r="D22" s="3">
        <v>-83.666394850000003</v>
      </c>
      <c r="E22" s="3" t="s">
        <v>271</v>
      </c>
      <c r="F22" s="3" t="s">
        <v>760</v>
      </c>
      <c r="G22" s="3" t="s">
        <v>761</v>
      </c>
      <c r="H22" s="3" t="s">
        <v>762</v>
      </c>
      <c r="I22" s="3" t="s">
        <v>683</v>
      </c>
      <c r="J22" s="3" t="s">
        <v>763</v>
      </c>
      <c r="K22" s="3" t="s">
        <v>764</v>
      </c>
      <c r="L22" s="3" t="s">
        <v>765</v>
      </c>
      <c r="M22" s="3" t="s">
        <v>656</v>
      </c>
      <c r="N22" s="3" t="s">
        <v>657</v>
      </c>
      <c r="O22" s="3" t="s">
        <v>205</v>
      </c>
      <c r="P22" s="3" t="s">
        <v>179</v>
      </c>
      <c r="Q22" s="3" t="s">
        <v>179</v>
      </c>
      <c r="R22" s="3" t="s">
        <v>179</v>
      </c>
    </row>
    <row r="23" spans="1:18" ht="130.5" x14ac:dyDescent="0.35">
      <c r="A23" s="3" t="s">
        <v>248</v>
      </c>
      <c r="B23" s="3">
        <v>22</v>
      </c>
      <c r="C23" s="3">
        <v>42.499719120000002</v>
      </c>
      <c r="D23" s="3">
        <v>-83.716309580000001</v>
      </c>
      <c r="E23" s="3" t="s">
        <v>766</v>
      </c>
      <c r="F23" s="3" t="s">
        <v>767</v>
      </c>
      <c r="G23" s="3" t="s">
        <v>768</v>
      </c>
      <c r="H23" s="3" t="s">
        <v>769</v>
      </c>
      <c r="I23" s="3" t="s">
        <v>739</v>
      </c>
      <c r="J23" s="3"/>
      <c r="K23" s="2" t="s">
        <v>770</v>
      </c>
      <c r="L23" s="3" t="s">
        <v>771</v>
      </c>
      <c r="M23" s="3" t="s">
        <v>742</v>
      </c>
      <c r="N23" s="3">
        <v>34.1</v>
      </c>
      <c r="O23" s="3">
        <v>1</v>
      </c>
      <c r="P23" t="s">
        <v>179</v>
      </c>
      <c r="Q23" s="3" t="s">
        <v>179</v>
      </c>
      <c r="R23" s="3" t="s">
        <v>179</v>
      </c>
    </row>
    <row r="24" spans="1:18" ht="116" x14ac:dyDescent="0.35">
      <c r="A24" s="3" t="s">
        <v>248</v>
      </c>
      <c r="B24" s="3">
        <v>23</v>
      </c>
      <c r="C24" s="3">
        <v>42.500855489999999</v>
      </c>
      <c r="D24" s="3">
        <v>-83.716684799999996</v>
      </c>
      <c r="E24" s="3" t="s">
        <v>766</v>
      </c>
      <c r="F24" s="3" t="s">
        <v>772</v>
      </c>
      <c r="G24" s="3" t="s">
        <v>773</v>
      </c>
      <c r="H24" s="3" t="s">
        <v>774</v>
      </c>
      <c r="I24" s="3" t="s">
        <v>775</v>
      </c>
      <c r="J24" s="3"/>
      <c r="K24" s="2" t="s">
        <v>776</v>
      </c>
      <c r="L24" s="3" t="s">
        <v>777</v>
      </c>
      <c r="M24" s="3" t="s">
        <v>778</v>
      </c>
      <c r="N24" s="3">
        <v>58.5</v>
      </c>
      <c r="O24" s="3">
        <v>1</v>
      </c>
      <c r="P24" t="s">
        <v>179</v>
      </c>
      <c r="Q24" s="3" t="s">
        <v>179</v>
      </c>
      <c r="R24" s="3" t="s">
        <v>179</v>
      </c>
    </row>
    <row r="25" spans="1:18" ht="304.5" x14ac:dyDescent="0.35">
      <c r="A25" s="3" t="s">
        <v>248</v>
      </c>
      <c r="B25" s="3">
        <v>24</v>
      </c>
      <c r="C25" s="3">
        <v>42.497946849999998</v>
      </c>
      <c r="D25" s="3">
        <v>-83.717754940000006</v>
      </c>
      <c r="E25" s="3" t="s">
        <v>766</v>
      </c>
      <c r="F25" s="3" t="s">
        <v>779</v>
      </c>
      <c r="G25" s="3" t="s">
        <v>780</v>
      </c>
      <c r="H25" s="3" t="s">
        <v>781</v>
      </c>
      <c r="I25" s="3" t="s">
        <v>775</v>
      </c>
      <c r="J25" s="3" t="s">
        <v>782</v>
      </c>
      <c r="K25" s="3" t="s">
        <v>783</v>
      </c>
      <c r="L25" s="3" t="s">
        <v>784</v>
      </c>
      <c r="M25" s="3" t="s">
        <v>656</v>
      </c>
      <c r="N25" s="3" t="s">
        <v>657</v>
      </c>
      <c r="O25" s="3" t="s">
        <v>205</v>
      </c>
      <c r="P25" s="3" t="s">
        <v>179</v>
      </c>
      <c r="Q25" s="3" t="s">
        <v>179</v>
      </c>
      <c r="R25" s="3" t="s">
        <v>179</v>
      </c>
    </row>
    <row r="26" spans="1:18" ht="130.5" x14ac:dyDescent="0.35">
      <c r="A26" s="3" t="s">
        <v>250</v>
      </c>
      <c r="B26" s="3">
        <v>25</v>
      </c>
      <c r="C26" s="3">
        <v>42.575915899999998</v>
      </c>
      <c r="D26" s="3">
        <v>-83.520992419999999</v>
      </c>
      <c r="E26" s="3" t="s">
        <v>416</v>
      </c>
      <c r="F26" s="3" t="s">
        <v>785</v>
      </c>
      <c r="G26" s="3" t="s">
        <v>786</v>
      </c>
      <c r="H26" s="3" t="s">
        <v>787</v>
      </c>
      <c r="I26" s="3" t="s">
        <v>788</v>
      </c>
      <c r="J26" s="3"/>
      <c r="L26" s="3" t="s">
        <v>789</v>
      </c>
      <c r="M26" s="3" t="s">
        <v>644</v>
      </c>
      <c r="N26" s="3">
        <v>24.4</v>
      </c>
      <c r="O26" s="3">
        <v>1</v>
      </c>
      <c r="P26" t="s">
        <v>179</v>
      </c>
      <c r="Q26" t="s">
        <v>179</v>
      </c>
      <c r="R26" t="s">
        <v>179</v>
      </c>
    </row>
    <row r="27" spans="1:18" ht="145" x14ac:dyDescent="0.35">
      <c r="A27" s="3" t="s">
        <v>250</v>
      </c>
      <c r="B27" s="3">
        <v>26</v>
      </c>
      <c r="C27" s="3">
        <v>42.576015689999998</v>
      </c>
      <c r="D27" s="3">
        <v>-83.520543160000003</v>
      </c>
      <c r="E27" s="3" t="s">
        <v>416</v>
      </c>
      <c r="F27" s="3" t="s">
        <v>790</v>
      </c>
      <c r="G27" s="3" t="s">
        <v>791</v>
      </c>
      <c r="H27" s="3" t="s">
        <v>792</v>
      </c>
      <c r="I27" s="3" t="s">
        <v>793</v>
      </c>
      <c r="J27" s="3"/>
      <c r="L27" s="3" t="s">
        <v>794</v>
      </c>
      <c r="M27" s="3" t="s">
        <v>795</v>
      </c>
      <c r="N27" s="3">
        <v>13.7</v>
      </c>
      <c r="O27" s="3">
        <v>1</v>
      </c>
      <c r="P27" t="s">
        <v>179</v>
      </c>
      <c r="Q27" t="s">
        <v>179</v>
      </c>
      <c r="R27" t="s">
        <v>179</v>
      </c>
    </row>
    <row r="28" spans="1:18" ht="130.5" x14ac:dyDescent="0.35">
      <c r="A28" s="3" t="s">
        <v>250</v>
      </c>
      <c r="B28" s="3">
        <v>27</v>
      </c>
      <c r="C28" s="3">
        <v>42.576372249999999</v>
      </c>
      <c r="D28" s="3">
        <v>-83.520269220000003</v>
      </c>
      <c r="E28" s="3" t="s">
        <v>416</v>
      </c>
      <c r="F28" s="3" t="s">
        <v>796</v>
      </c>
      <c r="G28" s="3" t="s">
        <v>797</v>
      </c>
      <c r="H28" s="3" t="s">
        <v>798</v>
      </c>
      <c r="I28" s="3" t="s">
        <v>793</v>
      </c>
      <c r="J28" s="3"/>
      <c r="L28" s="3" t="s">
        <v>799</v>
      </c>
      <c r="M28" s="3" t="s">
        <v>644</v>
      </c>
      <c r="N28" s="3">
        <v>22.8</v>
      </c>
      <c r="O28" s="3">
        <v>1</v>
      </c>
      <c r="P28" t="s">
        <v>179</v>
      </c>
      <c r="Q28" t="s">
        <v>179</v>
      </c>
      <c r="R28" t="s">
        <v>179</v>
      </c>
    </row>
    <row r="29" spans="1:18" ht="304.5" x14ac:dyDescent="0.35">
      <c r="A29" s="3" t="s">
        <v>253</v>
      </c>
      <c r="B29" s="3">
        <v>28</v>
      </c>
      <c r="C29" s="3">
        <v>42.644734560000003</v>
      </c>
      <c r="D29" s="3">
        <v>-83.566695350000003</v>
      </c>
      <c r="E29" s="3" t="s">
        <v>800</v>
      </c>
      <c r="F29" s="3" t="s">
        <v>801</v>
      </c>
      <c r="G29" s="3" t="s">
        <v>802</v>
      </c>
      <c r="H29" s="3" t="s">
        <v>803</v>
      </c>
      <c r="I29" s="3" t="s">
        <v>804</v>
      </c>
      <c r="J29" s="3"/>
      <c r="K29" s="2" t="s">
        <v>805</v>
      </c>
      <c r="L29" s="3" t="s">
        <v>806</v>
      </c>
      <c r="M29" s="3" t="s">
        <v>735</v>
      </c>
      <c r="N29" s="3">
        <v>29.8</v>
      </c>
      <c r="O29" s="3">
        <v>1</v>
      </c>
      <c r="P29" t="s">
        <v>179</v>
      </c>
      <c r="Q29" s="3" t="s">
        <v>179</v>
      </c>
      <c r="R29" s="3" t="s">
        <v>179</v>
      </c>
    </row>
    <row r="30" spans="1:18" ht="217.5" x14ac:dyDescent="0.35">
      <c r="A30" s="3" t="s">
        <v>253</v>
      </c>
      <c r="B30" s="3">
        <v>29</v>
      </c>
      <c r="C30" s="3">
        <v>42.645909760000002</v>
      </c>
      <c r="D30" s="3">
        <v>-83.566805059999993</v>
      </c>
      <c r="E30" s="3" t="s">
        <v>800</v>
      </c>
      <c r="F30" s="3" t="s">
        <v>807</v>
      </c>
      <c r="G30" s="3" t="s">
        <v>808</v>
      </c>
      <c r="H30" s="3" t="s">
        <v>809</v>
      </c>
      <c r="I30" s="3" t="s">
        <v>804</v>
      </c>
      <c r="J30" s="3" t="s">
        <v>810</v>
      </c>
      <c r="K30" s="3" t="s">
        <v>811</v>
      </c>
      <c r="L30" s="3" t="s">
        <v>812</v>
      </c>
      <c r="M30" s="3" t="s">
        <v>735</v>
      </c>
      <c r="N30" s="3">
        <v>48.5</v>
      </c>
      <c r="O30" s="3">
        <v>1</v>
      </c>
      <c r="P30" s="3" t="s">
        <v>179</v>
      </c>
      <c r="Q30" s="3" t="s">
        <v>179</v>
      </c>
      <c r="R30" s="3" t="s">
        <v>179</v>
      </c>
    </row>
    <row r="31" spans="1:18" ht="203" x14ac:dyDescent="0.35">
      <c r="A31" s="3" t="s">
        <v>253</v>
      </c>
      <c r="B31" s="3">
        <v>30</v>
      </c>
      <c r="C31" s="3">
        <v>42.646862839999997</v>
      </c>
      <c r="D31" s="3">
        <v>-83.569159819999996</v>
      </c>
      <c r="E31" s="3" t="s">
        <v>800</v>
      </c>
      <c r="F31" s="3" t="s">
        <v>813</v>
      </c>
      <c r="G31" s="3" t="s">
        <v>814</v>
      </c>
      <c r="H31" s="3" t="s">
        <v>815</v>
      </c>
      <c r="I31" s="3" t="s">
        <v>804</v>
      </c>
      <c r="J31" s="3"/>
      <c r="K31" s="2" t="s">
        <v>816</v>
      </c>
      <c r="L31" s="3" t="s">
        <v>817</v>
      </c>
      <c r="M31" s="3" t="s">
        <v>669</v>
      </c>
      <c r="N31" s="3">
        <v>48.1</v>
      </c>
      <c r="O31" s="3">
        <v>1</v>
      </c>
      <c r="P31" t="s">
        <v>179</v>
      </c>
      <c r="Q31" s="3" t="s">
        <v>179</v>
      </c>
      <c r="R31" s="3" t="s">
        <v>179</v>
      </c>
    </row>
    <row r="32" spans="1:18" ht="261" x14ac:dyDescent="0.35">
      <c r="A32" s="3" t="s">
        <v>250</v>
      </c>
      <c r="B32" s="3">
        <v>31</v>
      </c>
      <c r="C32" s="3">
        <v>42.575788160000002</v>
      </c>
      <c r="D32" s="3">
        <v>-83.523183520000003</v>
      </c>
      <c r="E32" s="3" t="s">
        <v>818</v>
      </c>
      <c r="F32" s="3" t="s">
        <v>819</v>
      </c>
      <c r="G32" s="3" t="s">
        <v>820</v>
      </c>
      <c r="H32" s="3" t="s">
        <v>821</v>
      </c>
      <c r="I32" s="3" t="s">
        <v>793</v>
      </c>
      <c r="J32" s="3"/>
      <c r="L32" s="3" t="s">
        <v>822</v>
      </c>
      <c r="M32" s="3" t="s">
        <v>715</v>
      </c>
      <c r="N32" s="3">
        <v>16.2</v>
      </c>
      <c r="O32" s="3">
        <v>1</v>
      </c>
      <c r="P32" t="s">
        <v>179</v>
      </c>
      <c r="Q32" t="s">
        <v>179</v>
      </c>
      <c r="R32" t="s">
        <v>179</v>
      </c>
    </row>
    <row r="33" spans="1:18" ht="116" x14ac:dyDescent="0.35">
      <c r="A33" s="3" t="s">
        <v>250</v>
      </c>
      <c r="B33" s="3">
        <v>32</v>
      </c>
      <c r="C33" s="3">
        <v>42.575775739999997</v>
      </c>
      <c r="D33" s="3">
        <v>-83.523990069999996</v>
      </c>
      <c r="E33" s="3" t="s">
        <v>818</v>
      </c>
      <c r="F33" s="3" t="s">
        <v>823</v>
      </c>
      <c r="G33" s="3" t="s">
        <v>824</v>
      </c>
      <c r="H33" s="3" t="s">
        <v>825</v>
      </c>
      <c r="I33" s="3" t="s">
        <v>826</v>
      </c>
      <c r="J33" s="3"/>
      <c r="L33" s="3" t="s">
        <v>827</v>
      </c>
      <c r="M33" s="3" t="s">
        <v>709</v>
      </c>
      <c r="N33" s="3">
        <f>43+19.7</f>
        <v>62.7</v>
      </c>
      <c r="O33" s="3">
        <v>2</v>
      </c>
      <c r="P33" t="s">
        <v>179</v>
      </c>
      <c r="Q33" t="s">
        <v>179</v>
      </c>
      <c r="R33" t="s">
        <v>179</v>
      </c>
    </row>
    <row r="34" spans="1:18" ht="174" x14ac:dyDescent="0.35">
      <c r="A34" s="3" t="s">
        <v>250</v>
      </c>
      <c r="B34" s="3">
        <v>33</v>
      </c>
      <c r="C34" s="3">
        <v>42.576354590000001</v>
      </c>
      <c r="D34" s="3">
        <v>-83.521824260000002</v>
      </c>
      <c r="E34" s="3" t="s">
        <v>818</v>
      </c>
      <c r="F34" s="3" t="s">
        <v>828</v>
      </c>
      <c r="G34" s="3" t="s">
        <v>829</v>
      </c>
      <c r="H34" s="3" t="s">
        <v>830</v>
      </c>
      <c r="I34" s="3" t="s">
        <v>793</v>
      </c>
      <c r="J34" s="3"/>
      <c r="L34" s="3" t="s">
        <v>831</v>
      </c>
      <c r="M34" s="3" t="s">
        <v>644</v>
      </c>
      <c r="N34" s="3">
        <v>19.899999999999999</v>
      </c>
      <c r="O34" s="3">
        <v>1</v>
      </c>
      <c r="P34" t="s">
        <v>179</v>
      </c>
      <c r="Q34" t="s">
        <v>179</v>
      </c>
      <c r="R34" t="s">
        <v>179</v>
      </c>
    </row>
    <row r="35" spans="1:18" ht="130.5" x14ac:dyDescent="0.35">
      <c r="A35" s="3" t="s">
        <v>250</v>
      </c>
      <c r="B35" s="3">
        <v>34</v>
      </c>
      <c r="C35" s="3">
        <v>42.575715240000001</v>
      </c>
      <c r="D35" s="3">
        <v>-83.528140289999996</v>
      </c>
      <c r="E35" s="3" t="s">
        <v>832</v>
      </c>
      <c r="F35" s="3" t="s">
        <v>833</v>
      </c>
      <c r="G35" s="3" t="s">
        <v>834</v>
      </c>
      <c r="H35" s="3" t="s">
        <v>835</v>
      </c>
      <c r="I35" s="3" t="s">
        <v>826</v>
      </c>
      <c r="J35" s="3"/>
      <c r="K35" s="2" t="s">
        <v>836</v>
      </c>
      <c r="L35" s="3" t="s">
        <v>837</v>
      </c>
      <c r="M35" s="3" t="s">
        <v>715</v>
      </c>
      <c r="N35" s="3">
        <f>5.4+4.3</f>
        <v>9.6999999999999993</v>
      </c>
      <c r="O35" s="3">
        <v>2</v>
      </c>
      <c r="P35" t="s">
        <v>179</v>
      </c>
      <c r="Q35" s="3" t="s">
        <v>179</v>
      </c>
      <c r="R35" s="3" t="s">
        <v>179</v>
      </c>
    </row>
    <row r="36" spans="1:18" ht="145" x14ac:dyDescent="0.35">
      <c r="A36" s="3" t="s">
        <v>250</v>
      </c>
      <c r="B36" s="3">
        <v>35</v>
      </c>
      <c r="C36" s="3">
        <v>42.575817630000003</v>
      </c>
      <c r="D36" s="3">
        <v>-83.527408260000001</v>
      </c>
      <c r="E36" s="3" t="s">
        <v>832</v>
      </c>
      <c r="F36" s="3" t="s">
        <v>838</v>
      </c>
      <c r="G36" s="3" t="s">
        <v>839</v>
      </c>
      <c r="H36" s="3" t="s">
        <v>840</v>
      </c>
      <c r="I36" s="3" t="s">
        <v>826</v>
      </c>
      <c r="J36" s="3"/>
      <c r="K36" s="2" t="s">
        <v>841</v>
      </c>
      <c r="L36" s="3" t="s">
        <v>842</v>
      </c>
      <c r="M36" s="3" t="s">
        <v>754</v>
      </c>
      <c r="N36" s="3">
        <f>25.5+18.5+11.5</f>
        <v>55.5</v>
      </c>
      <c r="O36" s="3">
        <v>3</v>
      </c>
      <c r="P36" t="s">
        <v>179</v>
      </c>
      <c r="Q36" s="3" t="s">
        <v>179</v>
      </c>
      <c r="R36" s="3" t="s">
        <v>179</v>
      </c>
    </row>
    <row r="37" spans="1:18" ht="159.5" x14ac:dyDescent="0.35">
      <c r="A37" s="3" t="s">
        <v>250</v>
      </c>
      <c r="B37" s="3">
        <v>36</v>
      </c>
      <c r="C37" s="3">
        <v>42.576073919999999</v>
      </c>
      <c r="D37" s="3">
        <v>-83.526681280000005</v>
      </c>
      <c r="E37" s="3" t="s">
        <v>832</v>
      </c>
      <c r="F37" s="3" t="s">
        <v>843</v>
      </c>
      <c r="G37" s="3" t="s">
        <v>844</v>
      </c>
      <c r="H37" s="3" t="s">
        <v>845</v>
      </c>
      <c r="I37" s="3" t="s">
        <v>826</v>
      </c>
      <c r="L37" s="3" t="s">
        <v>846</v>
      </c>
      <c r="M37" s="3" t="s">
        <v>847</v>
      </c>
      <c r="N37" s="3">
        <v>23.6</v>
      </c>
      <c r="O37" s="3">
        <v>1</v>
      </c>
      <c r="P37" t="s">
        <v>179</v>
      </c>
      <c r="Q37" t="s">
        <v>179</v>
      </c>
      <c r="R37" t="s">
        <v>179</v>
      </c>
    </row>
    <row r="38" spans="1:18" ht="174" x14ac:dyDescent="0.35">
      <c r="A38" s="3" t="s">
        <v>250</v>
      </c>
      <c r="B38" s="3">
        <v>37</v>
      </c>
      <c r="C38" s="3">
        <v>42.574766699999998</v>
      </c>
      <c r="D38" s="3">
        <v>-83.545987229999994</v>
      </c>
      <c r="E38" s="3" t="s">
        <v>848</v>
      </c>
      <c r="F38" s="3" t="s">
        <v>849</v>
      </c>
      <c r="G38" s="3" t="s">
        <v>850</v>
      </c>
      <c r="H38" s="3" t="s">
        <v>851</v>
      </c>
      <c r="I38" s="3" t="s">
        <v>788</v>
      </c>
      <c r="J38" s="3" t="s">
        <v>852</v>
      </c>
      <c r="L38" s="3" t="s">
        <v>853</v>
      </c>
      <c r="M38" s="3" t="s">
        <v>656</v>
      </c>
      <c r="N38" s="3" t="s">
        <v>657</v>
      </c>
      <c r="O38" s="3" t="s">
        <v>205</v>
      </c>
      <c r="P38" t="s">
        <v>179</v>
      </c>
      <c r="Q38" s="3" t="s">
        <v>179</v>
      </c>
      <c r="R38" s="3" t="s">
        <v>179</v>
      </c>
    </row>
    <row r="39" spans="1:18" ht="116" x14ac:dyDescent="0.35">
      <c r="A39" s="3" t="s">
        <v>250</v>
      </c>
      <c r="B39" s="3">
        <v>38</v>
      </c>
      <c r="C39" s="3">
        <v>42.574742790000002</v>
      </c>
      <c r="D39" s="3">
        <v>-83.546326820000004</v>
      </c>
      <c r="E39" s="3" t="s">
        <v>848</v>
      </c>
      <c r="F39" s="3" t="s">
        <v>854</v>
      </c>
      <c r="G39" s="3" t="s">
        <v>855</v>
      </c>
      <c r="H39" s="3" t="s">
        <v>856</v>
      </c>
      <c r="I39" s="3" t="s">
        <v>857</v>
      </c>
      <c r="J39" s="3" t="s">
        <v>858</v>
      </c>
      <c r="L39" s="3" t="s">
        <v>859</v>
      </c>
      <c r="M39" s="3" t="s">
        <v>754</v>
      </c>
      <c r="N39" s="3">
        <v>6.9</v>
      </c>
      <c r="O39" s="3">
        <v>1</v>
      </c>
      <c r="P39" t="s">
        <v>179</v>
      </c>
      <c r="Q39" s="3" t="s">
        <v>179</v>
      </c>
      <c r="R39" s="3" t="s">
        <v>179</v>
      </c>
    </row>
    <row r="40" spans="1:18" ht="145" x14ac:dyDescent="0.35">
      <c r="A40" s="3" t="s">
        <v>250</v>
      </c>
      <c r="B40" s="3">
        <v>39</v>
      </c>
      <c r="C40" s="3">
        <v>42.574286579999999</v>
      </c>
      <c r="D40" s="3">
        <v>-83.547082649999993</v>
      </c>
      <c r="E40" s="3" t="s">
        <v>848</v>
      </c>
      <c r="F40" s="3" t="s">
        <v>860</v>
      </c>
      <c r="G40" s="3" t="s">
        <v>861</v>
      </c>
      <c r="H40" s="3" t="s">
        <v>862</v>
      </c>
      <c r="I40" s="3" t="s">
        <v>251</v>
      </c>
      <c r="J40" s="3"/>
      <c r="K40" s="2" t="s">
        <v>863</v>
      </c>
      <c r="L40" s="3" t="s">
        <v>864</v>
      </c>
      <c r="M40" s="3" t="s">
        <v>865</v>
      </c>
      <c r="N40" s="3">
        <v>22.9</v>
      </c>
      <c r="O40" s="3">
        <v>1</v>
      </c>
      <c r="P40" t="s">
        <v>179</v>
      </c>
      <c r="Q40" s="3" t="s">
        <v>179</v>
      </c>
      <c r="R40" s="3" t="s">
        <v>179</v>
      </c>
    </row>
    <row r="41" spans="1:18" ht="116" x14ac:dyDescent="0.35">
      <c r="A41" s="3" t="s">
        <v>237</v>
      </c>
      <c r="B41" s="3">
        <v>40</v>
      </c>
      <c r="C41" s="3">
        <v>42.530433479999999</v>
      </c>
      <c r="D41" s="3">
        <v>-83.670415829999996</v>
      </c>
      <c r="E41" s="3" t="s">
        <v>278</v>
      </c>
      <c r="F41" s="3" t="s">
        <v>866</v>
      </c>
      <c r="G41" s="3" t="s">
        <v>867</v>
      </c>
      <c r="H41" s="3" t="s">
        <v>868</v>
      </c>
      <c r="I41" s="3" t="s">
        <v>869</v>
      </c>
      <c r="J41" s="3"/>
      <c r="L41" s="3" t="s">
        <v>870</v>
      </c>
      <c r="M41" s="3" t="s">
        <v>871</v>
      </c>
      <c r="N41" s="3">
        <v>25.8</v>
      </c>
      <c r="O41" s="3">
        <v>1</v>
      </c>
      <c r="P41" t="s">
        <v>179</v>
      </c>
      <c r="Q41" s="3" t="s">
        <v>179</v>
      </c>
      <c r="R41" s="3" t="s">
        <v>179</v>
      </c>
    </row>
    <row r="42" spans="1:18" ht="275.5" x14ac:dyDescent="0.35">
      <c r="A42" s="3" t="s">
        <v>237</v>
      </c>
      <c r="B42" s="3">
        <v>41</v>
      </c>
      <c r="C42" s="3">
        <v>42.531105910000001</v>
      </c>
      <c r="D42" s="3">
        <v>-83.667461239999994</v>
      </c>
      <c r="E42" s="3" t="s">
        <v>278</v>
      </c>
      <c r="F42" s="3" t="s">
        <v>872</v>
      </c>
      <c r="G42" s="3" t="s">
        <v>873</v>
      </c>
      <c r="H42" s="3" t="s">
        <v>874</v>
      </c>
      <c r="I42" s="3" t="s">
        <v>869</v>
      </c>
      <c r="J42" s="3"/>
      <c r="K42" s="2" t="s">
        <v>875</v>
      </c>
      <c r="L42" s="3" t="s">
        <v>876</v>
      </c>
      <c r="M42" s="3" t="s">
        <v>877</v>
      </c>
      <c r="N42" s="3">
        <v>7.9</v>
      </c>
      <c r="O42" s="3">
        <v>1</v>
      </c>
      <c r="P42" t="s">
        <v>179</v>
      </c>
      <c r="Q42" s="3" t="s">
        <v>179</v>
      </c>
      <c r="R42" s="3" t="s">
        <v>179</v>
      </c>
    </row>
    <row r="43" spans="1:18" ht="232" x14ac:dyDescent="0.35">
      <c r="A43" s="3" t="s">
        <v>237</v>
      </c>
      <c r="B43" s="3">
        <v>42</v>
      </c>
      <c r="C43" s="3">
        <v>42.531188139999998</v>
      </c>
      <c r="D43" s="3">
        <v>-83.666480809999996</v>
      </c>
      <c r="E43" s="3" t="s">
        <v>278</v>
      </c>
      <c r="F43" s="3" t="s">
        <v>878</v>
      </c>
      <c r="G43" s="3" t="s">
        <v>879</v>
      </c>
      <c r="H43" s="3" t="s">
        <v>880</v>
      </c>
      <c r="I43" s="3" t="s">
        <v>869</v>
      </c>
      <c r="J43" s="3"/>
      <c r="K43" s="2" t="s">
        <v>881</v>
      </c>
      <c r="L43" s="3" t="s">
        <v>882</v>
      </c>
      <c r="M43" s="3" t="s">
        <v>883</v>
      </c>
      <c r="N43" s="3">
        <v>24.1</v>
      </c>
      <c r="O43" s="3">
        <v>1</v>
      </c>
      <c r="P43" t="s">
        <v>179</v>
      </c>
      <c r="Q43" s="3" t="s">
        <v>179</v>
      </c>
      <c r="R43" s="3" t="s">
        <v>179</v>
      </c>
    </row>
    <row r="44" spans="1:18" ht="304.5" x14ac:dyDescent="0.35">
      <c r="A44" s="3" t="s">
        <v>237</v>
      </c>
      <c r="B44" s="3">
        <v>43</v>
      </c>
      <c r="C44" s="3">
        <v>42.531246760000002</v>
      </c>
      <c r="D44" s="3">
        <v>-83.668975990000007</v>
      </c>
      <c r="E44" s="3" t="s">
        <v>884</v>
      </c>
      <c r="F44" s="3" t="s">
        <v>885</v>
      </c>
      <c r="G44" s="3" t="s">
        <v>886</v>
      </c>
      <c r="H44" s="3" t="s">
        <v>887</v>
      </c>
      <c r="I44" s="3" t="s">
        <v>869</v>
      </c>
      <c r="J44" s="3" t="s">
        <v>888</v>
      </c>
      <c r="L44" s="3" t="s">
        <v>889</v>
      </c>
      <c r="M44" s="3" t="s">
        <v>656</v>
      </c>
      <c r="N44" s="3" t="s">
        <v>657</v>
      </c>
      <c r="O44" s="3" t="s">
        <v>205</v>
      </c>
      <c r="P44" t="s">
        <v>179</v>
      </c>
      <c r="Q44" s="3" t="s">
        <v>179</v>
      </c>
      <c r="R44" s="3" t="s">
        <v>179</v>
      </c>
    </row>
    <row r="45" spans="1:18" ht="159.5" x14ac:dyDescent="0.35">
      <c r="A45" s="3" t="s">
        <v>237</v>
      </c>
      <c r="B45" s="3">
        <v>44</v>
      </c>
      <c r="C45" s="3">
        <v>42.531016090000001</v>
      </c>
      <c r="D45" s="3">
        <v>-83.669441109999994</v>
      </c>
      <c r="E45" s="3" t="s">
        <v>884</v>
      </c>
      <c r="F45" s="3" t="s">
        <v>890</v>
      </c>
      <c r="G45" s="3" t="s">
        <v>891</v>
      </c>
      <c r="H45" s="3" t="s">
        <v>892</v>
      </c>
      <c r="I45" s="3" t="s">
        <v>239</v>
      </c>
      <c r="K45" s="2" t="s">
        <v>893</v>
      </c>
      <c r="L45" s="3" t="s">
        <v>894</v>
      </c>
      <c r="M45" s="3" t="s">
        <v>742</v>
      </c>
      <c r="N45" s="3">
        <f>9.1+8.9+11.6</f>
        <v>29.6</v>
      </c>
      <c r="O45" s="3">
        <v>3</v>
      </c>
      <c r="P45" t="s">
        <v>179</v>
      </c>
      <c r="Q45" t="s">
        <v>179</v>
      </c>
      <c r="R45" t="s">
        <v>179</v>
      </c>
    </row>
    <row r="46" spans="1:18" ht="188.5" x14ac:dyDescent="0.35">
      <c r="A46" s="3" t="s">
        <v>237</v>
      </c>
      <c r="B46" s="3">
        <v>45</v>
      </c>
      <c r="C46" s="3">
        <v>42.531465339999997</v>
      </c>
      <c r="D46" s="3">
        <v>-83.668518800000001</v>
      </c>
      <c r="E46" s="3" t="s">
        <v>884</v>
      </c>
      <c r="F46" s="3" t="s">
        <v>895</v>
      </c>
      <c r="G46" s="3" t="s">
        <v>896</v>
      </c>
      <c r="H46" s="3" t="s">
        <v>897</v>
      </c>
      <c r="I46" s="3" t="s">
        <v>239</v>
      </c>
      <c r="K46" s="2" t="s">
        <v>898</v>
      </c>
      <c r="L46" s="3" t="s">
        <v>899</v>
      </c>
      <c r="M46" s="3" t="s">
        <v>754</v>
      </c>
      <c r="N46" s="3">
        <v>10.9</v>
      </c>
      <c r="O46" s="3">
        <v>1</v>
      </c>
      <c r="P46" t="s">
        <v>179</v>
      </c>
      <c r="Q46" t="s">
        <v>179</v>
      </c>
      <c r="R46" t="s">
        <v>179</v>
      </c>
    </row>
    <row r="47" spans="1:18" ht="232" x14ac:dyDescent="0.35">
      <c r="A47" s="3" t="s">
        <v>900</v>
      </c>
      <c r="B47" s="3">
        <v>49</v>
      </c>
      <c r="C47" s="3">
        <v>42.676019910000001</v>
      </c>
      <c r="D47" s="3">
        <v>-83.483743790000005</v>
      </c>
      <c r="E47" s="3" t="s">
        <v>901</v>
      </c>
      <c r="F47" s="3" t="s">
        <v>902</v>
      </c>
      <c r="G47" s="3" t="s">
        <v>903</v>
      </c>
      <c r="H47" s="3" t="s">
        <v>904</v>
      </c>
      <c r="I47" s="3" t="s">
        <v>905</v>
      </c>
      <c r="J47" s="3" t="s">
        <v>906</v>
      </c>
      <c r="L47" s="3" t="s">
        <v>907</v>
      </c>
      <c r="M47" s="3" t="s">
        <v>715</v>
      </c>
      <c r="N47" s="3">
        <v>15.9</v>
      </c>
      <c r="O47" s="3">
        <v>1</v>
      </c>
      <c r="P47" t="s">
        <v>179</v>
      </c>
      <c r="Q47" s="3" t="s">
        <v>179</v>
      </c>
      <c r="R47" s="3" t="s">
        <v>179</v>
      </c>
    </row>
    <row r="48" spans="1:18" ht="217.5" x14ac:dyDescent="0.35">
      <c r="A48" s="3" t="s">
        <v>900</v>
      </c>
      <c r="B48" s="3">
        <v>50</v>
      </c>
      <c r="C48" s="3">
        <v>42.676395339999999</v>
      </c>
      <c r="D48" s="3">
        <v>-83.483365610000007</v>
      </c>
      <c r="E48" s="3" t="s">
        <v>901</v>
      </c>
      <c r="F48" s="3" t="s">
        <v>908</v>
      </c>
      <c r="G48" s="3" t="s">
        <v>909</v>
      </c>
      <c r="H48" s="3" t="s">
        <v>910</v>
      </c>
      <c r="I48" s="3" t="s">
        <v>905</v>
      </c>
      <c r="J48" s="3"/>
      <c r="L48" s="3" t="s">
        <v>911</v>
      </c>
      <c r="M48" s="3" t="s">
        <v>715</v>
      </c>
      <c r="N48" s="3">
        <v>40</v>
      </c>
      <c r="O48" s="3">
        <v>1</v>
      </c>
      <c r="P48" t="s">
        <v>179</v>
      </c>
      <c r="Q48" t="s">
        <v>179</v>
      </c>
      <c r="R48" t="s">
        <v>179</v>
      </c>
    </row>
    <row r="49" spans="1:18" ht="174" x14ac:dyDescent="0.35">
      <c r="A49" s="3" t="s">
        <v>900</v>
      </c>
      <c r="B49" s="3">
        <v>51</v>
      </c>
      <c r="C49" s="3">
        <v>42.676951809999998</v>
      </c>
      <c r="D49" s="3">
        <v>-83.483544170000002</v>
      </c>
      <c r="E49" s="3" t="s">
        <v>901</v>
      </c>
      <c r="F49" s="3" t="s">
        <v>912</v>
      </c>
      <c r="G49" s="3" t="s">
        <v>913</v>
      </c>
      <c r="H49" s="3" t="s">
        <v>914</v>
      </c>
      <c r="I49" s="3" t="s">
        <v>251</v>
      </c>
      <c r="J49" s="3"/>
      <c r="L49" s="3" t="s">
        <v>915</v>
      </c>
      <c r="M49" s="3" t="s">
        <v>691</v>
      </c>
      <c r="N49" s="3">
        <v>31.8</v>
      </c>
      <c r="O49" s="3">
        <v>1</v>
      </c>
      <c r="P49" t="s">
        <v>179</v>
      </c>
      <c r="Q49" t="s">
        <v>179</v>
      </c>
      <c r="R49" t="s">
        <v>179</v>
      </c>
    </row>
    <row r="50" spans="1:18" ht="130.5" x14ac:dyDescent="0.35">
      <c r="A50" s="3" t="s">
        <v>900</v>
      </c>
      <c r="B50" s="3">
        <v>52</v>
      </c>
      <c r="C50" s="3">
        <v>42.677375910000002</v>
      </c>
      <c r="D50" s="3">
        <v>-83.484202699999997</v>
      </c>
      <c r="E50" s="3" t="s">
        <v>916</v>
      </c>
      <c r="F50" s="3" t="s">
        <v>917</v>
      </c>
      <c r="G50" s="3" t="s">
        <v>918</v>
      </c>
      <c r="H50" s="3" t="s">
        <v>919</v>
      </c>
      <c r="I50" s="3" t="s">
        <v>920</v>
      </c>
      <c r="J50" s="3"/>
      <c r="K50" s="2" t="s">
        <v>921</v>
      </c>
      <c r="L50" s="3" t="s">
        <v>922</v>
      </c>
      <c r="M50" s="3" t="s">
        <v>669</v>
      </c>
      <c r="N50" s="3">
        <v>35</v>
      </c>
      <c r="O50" s="3">
        <v>1</v>
      </c>
      <c r="P50" t="s">
        <v>179</v>
      </c>
      <c r="Q50" s="3" t="s">
        <v>179</v>
      </c>
      <c r="R50" s="3" t="s">
        <v>179</v>
      </c>
    </row>
    <row r="51" spans="1:18" ht="159.5" x14ac:dyDescent="0.35">
      <c r="A51" s="3" t="s">
        <v>900</v>
      </c>
      <c r="B51" s="3">
        <v>53</v>
      </c>
      <c r="C51" s="3">
        <v>42.677635389999999</v>
      </c>
      <c r="D51" s="3">
        <v>-83.484940769999994</v>
      </c>
      <c r="E51" s="3" t="s">
        <v>916</v>
      </c>
      <c r="F51" s="3" t="s">
        <v>923</v>
      </c>
      <c r="G51" s="3" t="s">
        <v>924</v>
      </c>
      <c r="H51" s="3" t="s">
        <v>925</v>
      </c>
      <c r="I51" s="3" t="s">
        <v>905</v>
      </c>
      <c r="J51" s="3"/>
      <c r="K51" s="2" t="s">
        <v>926</v>
      </c>
      <c r="L51" s="3" t="s">
        <v>927</v>
      </c>
      <c r="M51" s="3" t="s">
        <v>669</v>
      </c>
      <c r="N51" s="3">
        <v>28.1</v>
      </c>
      <c r="O51" s="3">
        <v>1</v>
      </c>
      <c r="P51" t="s">
        <v>179</v>
      </c>
      <c r="Q51" s="3" t="s">
        <v>179</v>
      </c>
      <c r="R51" s="3" t="s">
        <v>179</v>
      </c>
    </row>
    <row r="52" spans="1:18" ht="87" x14ac:dyDescent="0.35">
      <c r="A52" s="3" t="s">
        <v>900</v>
      </c>
      <c r="B52" s="3">
        <v>54</v>
      </c>
      <c r="C52" s="3">
        <v>42.676193439999999</v>
      </c>
      <c r="D52" s="3">
        <v>-83.484580829999999</v>
      </c>
      <c r="E52" s="3" t="s">
        <v>916</v>
      </c>
      <c r="F52" s="3" t="s">
        <v>928</v>
      </c>
      <c r="G52" s="3" t="s">
        <v>929</v>
      </c>
      <c r="H52" s="3" t="s">
        <v>930</v>
      </c>
      <c r="I52" s="3" t="s">
        <v>920</v>
      </c>
      <c r="J52" s="3"/>
      <c r="L52" s="3" t="s">
        <v>931</v>
      </c>
      <c r="M52" s="3" t="s">
        <v>932</v>
      </c>
      <c r="N52" s="3">
        <v>34.700000000000003</v>
      </c>
      <c r="O52" s="3">
        <v>1</v>
      </c>
      <c r="P52" t="s">
        <v>179</v>
      </c>
      <c r="Q52" s="3" t="s">
        <v>179</v>
      </c>
      <c r="R52" s="3" t="s">
        <v>179</v>
      </c>
    </row>
    <row r="53" spans="1:18" ht="261" x14ac:dyDescent="0.35">
      <c r="A53" s="3" t="s">
        <v>900</v>
      </c>
      <c r="B53" s="3">
        <v>55</v>
      </c>
      <c r="C53" s="3">
        <v>42.67628637</v>
      </c>
      <c r="D53" s="3">
        <v>-83.481618019999999</v>
      </c>
      <c r="E53" s="3" t="s">
        <v>415</v>
      </c>
      <c r="F53" s="3" t="s">
        <v>933</v>
      </c>
      <c r="G53" s="3" t="s">
        <v>934</v>
      </c>
      <c r="H53" s="3" t="s">
        <v>935</v>
      </c>
      <c r="I53" s="3" t="s">
        <v>183</v>
      </c>
      <c r="J53" s="3"/>
      <c r="K53" s="2" t="s">
        <v>936</v>
      </c>
      <c r="L53" s="3" t="s">
        <v>937</v>
      </c>
      <c r="M53" s="3" t="s">
        <v>679</v>
      </c>
      <c r="N53" s="3">
        <v>38.1</v>
      </c>
      <c r="O53" s="3">
        <v>1</v>
      </c>
      <c r="P53" t="s">
        <v>179</v>
      </c>
      <c r="Q53" s="3" t="s">
        <v>179</v>
      </c>
      <c r="R53" s="3" t="s">
        <v>179</v>
      </c>
    </row>
    <row r="54" spans="1:18" ht="58" x14ac:dyDescent="0.35">
      <c r="A54" s="3" t="s">
        <v>900</v>
      </c>
      <c r="B54" s="3">
        <v>56</v>
      </c>
      <c r="C54" s="3">
        <v>42.676440030000002</v>
      </c>
      <c r="D54" s="3">
        <v>-83.482231330000005</v>
      </c>
      <c r="E54" s="3" t="s">
        <v>415</v>
      </c>
      <c r="F54" s="3" t="s">
        <v>938</v>
      </c>
      <c r="G54" s="3" t="s">
        <v>939</v>
      </c>
      <c r="H54" s="3" t="s">
        <v>940</v>
      </c>
      <c r="I54" s="3" t="s">
        <v>181</v>
      </c>
      <c r="J54" s="3"/>
      <c r="L54" s="3" t="s">
        <v>941</v>
      </c>
      <c r="M54" s="3" t="s">
        <v>942</v>
      </c>
      <c r="N54" s="3">
        <v>16.8</v>
      </c>
      <c r="O54" s="3">
        <v>1</v>
      </c>
      <c r="P54" t="s">
        <v>179</v>
      </c>
      <c r="Q54" s="3" t="s">
        <v>179</v>
      </c>
      <c r="R54" s="3" t="s">
        <v>179</v>
      </c>
    </row>
    <row r="55" spans="1:18" ht="101.5" x14ac:dyDescent="0.35">
      <c r="A55" s="3" t="s">
        <v>900</v>
      </c>
      <c r="B55" s="3">
        <v>57</v>
      </c>
      <c r="C55" s="3">
        <v>42.676555270000001</v>
      </c>
      <c r="D55" s="3">
        <v>-83.482769300000001</v>
      </c>
      <c r="E55" s="3" t="s">
        <v>415</v>
      </c>
      <c r="F55" s="3" t="s">
        <v>943</v>
      </c>
      <c r="G55" s="3" t="s">
        <v>944</v>
      </c>
      <c r="H55" s="3" t="s">
        <v>945</v>
      </c>
      <c r="I55" s="3" t="s">
        <v>178</v>
      </c>
      <c r="J55" s="3"/>
      <c r="L55" s="3" t="s">
        <v>946</v>
      </c>
      <c r="M55" s="3" t="s">
        <v>669</v>
      </c>
      <c r="N55" s="3">
        <v>39.700000000000003</v>
      </c>
      <c r="O55" s="3">
        <v>1</v>
      </c>
      <c r="P55" t="s">
        <v>179</v>
      </c>
      <c r="Q55" s="3" t="s">
        <v>179</v>
      </c>
      <c r="R55" s="3" t="s">
        <v>179</v>
      </c>
    </row>
    <row r="56" spans="1:18" ht="261" x14ac:dyDescent="0.35">
      <c r="A56" s="3" t="s">
        <v>900</v>
      </c>
      <c r="B56" s="3">
        <v>58</v>
      </c>
      <c r="C56" s="3">
        <v>42.676976439999997</v>
      </c>
      <c r="D56" s="3">
        <v>-83.482257930000003</v>
      </c>
      <c r="E56" s="3" t="s">
        <v>947</v>
      </c>
      <c r="F56" s="3" t="s">
        <v>948</v>
      </c>
      <c r="G56" s="3" t="s">
        <v>949</v>
      </c>
      <c r="H56" s="3" t="s">
        <v>950</v>
      </c>
      <c r="I56" s="3" t="s">
        <v>183</v>
      </c>
      <c r="J56" s="3"/>
      <c r="L56" s="3" t="s">
        <v>951</v>
      </c>
      <c r="M56" s="3" t="s">
        <v>669</v>
      </c>
      <c r="N56" s="3">
        <v>34.5</v>
      </c>
      <c r="O56" s="3">
        <v>1</v>
      </c>
      <c r="P56" t="s">
        <v>179</v>
      </c>
      <c r="Q56" s="3" t="s">
        <v>179</v>
      </c>
      <c r="R56" s="3" t="s">
        <v>179</v>
      </c>
    </row>
    <row r="57" spans="1:18" ht="232" x14ac:dyDescent="0.35">
      <c r="A57" s="3" t="s">
        <v>900</v>
      </c>
      <c r="B57" s="3">
        <v>59</v>
      </c>
      <c r="C57" s="3">
        <v>42.678471610000003</v>
      </c>
      <c r="D57" s="3">
        <v>-83.482157099999995</v>
      </c>
      <c r="E57" s="3" t="s">
        <v>947</v>
      </c>
      <c r="F57" s="3" t="s">
        <v>952</v>
      </c>
      <c r="G57" s="3" t="s">
        <v>953</v>
      </c>
      <c r="H57" s="3" t="s">
        <v>954</v>
      </c>
      <c r="I57" s="3" t="s">
        <v>186</v>
      </c>
      <c r="J57" s="3"/>
      <c r="K57" s="2" t="s">
        <v>955</v>
      </c>
      <c r="L57" s="3" t="s">
        <v>956</v>
      </c>
      <c r="M57" s="3" t="s">
        <v>715</v>
      </c>
      <c r="N57" s="3">
        <v>24.7</v>
      </c>
      <c r="O57" s="3">
        <v>2</v>
      </c>
      <c r="P57" t="s">
        <v>179</v>
      </c>
      <c r="Q57" s="3" t="s">
        <v>179</v>
      </c>
      <c r="R57" s="3" t="s">
        <v>179</v>
      </c>
    </row>
    <row r="58" spans="1:18" ht="232" x14ac:dyDescent="0.35">
      <c r="A58" s="3" t="s">
        <v>900</v>
      </c>
      <c r="B58" s="3">
        <v>60</v>
      </c>
      <c r="C58" s="3">
        <v>42.677967789999997</v>
      </c>
      <c r="D58" s="3">
        <v>-83.483378310000006</v>
      </c>
      <c r="E58" s="3" t="s">
        <v>947</v>
      </c>
      <c r="F58" s="3" t="s">
        <v>957</v>
      </c>
      <c r="G58" s="3" t="s">
        <v>958</v>
      </c>
      <c r="H58" s="3" t="s">
        <v>959</v>
      </c>
      <c r="I58" s="3" t="s">
        <v>184</v>
      </c>
      <c r="J58" s="3"/>
      <c r="K58" s="2" t="s">
        <v>960</v>
      </c>
      <c r="L58" s="3" t="s">
        <v>961</v>
      </c>
      <c r="M58" s="3" t="s">
        <v>679</v>
      </c>
      <c r="N58" s="3">
        <v>29.9</v>
      </c>
      <c r="O58" s="3">
        <v>1</v>
      </c>
      <c r="P58" t="s">
        <v>179</v>
      </c>
      <c r="Q58" s="3" t="s">
        <v>179</v>
      </c>
      <c r="R58" s="3" t="s">
        <v>179</v>
      </c>
    </row>
    <row r="59" spans="1:18" ht="101.5" x14ac:dyDescent="0.35">
      <c r="A59" s="3" t="s">
        <v>248</v>
      </c>
      <c r="B59" s="3">
        <v>61</v>
      </c>
      <c r="C59" s="3">
        <v>42.505113870000002</v>
      </c>
      <c r="D59" s="3">
        <v>-83.711562999999998</v>
      </c>
      <c r="E59" s="3" t="s">
        <v>962</v>
      </c>
      <c r="F59" s="3" t="s">
        <v>963</v>
      </c>
      <c r="G59" s="3" t="s">
        <v>964</v>
      </c>
      <c r="H59" s="3" t="s">
        <v>965</v>
      </c>
      <c r="I59" s="3" t="s">
        <v>1267</v>
      </c>
      <c r="J59" s="3"/>
      <c r="L59" s="3" t="s">
        <v>1268</v>
      </c>
      <c r="M59" s="3" t="s">
        <v>778</v>
      </c>
      <c r="N59" s="3">
        <f>2+5.6+2.4+3</f>
        <v>13</v>
      </c>
      <c r="O59" s="3">
        <v>4</v>
      </c>
      <c r="P59" t="s">
        <v>179</v>
      </c>
      <c r="Q59" s="3" t="s">
        <v>179</v>
      </c>
      <c r="R59" s="3" t="s">
        <v>179</v>
      </c>
    </row>
    <row r="60" spans="1:18" ht="290" x14ac:dyDescent="0.35">
      <c r="A60" s="3" t="s">
        <v>248</v>
      </c>
      <c r="B60" s="3">
        <v>62</v>
      </c>
      <c r="C60" s="3">
        <v>42.505480149999997</v>
      </c>
      <c r="D60" s="3">
        <v>-83.711303970000003</v>
      </c>
      <c r="E60" s="3" t="s">
        <v>962</v>
      </c>
      <c r="F60" s="3" t="s">
        <v>966</v>
      </c>
      <c r="G60" s="3" t="s">
        <v>967</v>
      </c>
      <c r="H60" s="3" t="s">
        <v>968</v>
      </c>
      <c r="I60" s="3" t="s">
        <v>683</v>
      </c>
      <c r="J60" s="3"/>
      <c r="K60" s="2" t="s">
        <v>969</v>
      </c>
      <c r="L60" s="3" t="s">
        <v>970</v>
      </c>
      <c r="M60" s="3" t="s">
        <v>754</v>
      </c>
      <c r="N60" s="3">
        <f>16.8+9.2</f>
        <v>26</v>
      </c>
      <c r="O60" s="3">
        <v>2</v>
      </c>
      <c r="P60" t="s">
        <v>179</v>
      </c>
      <c r="Q60" s="3" t="s">
        <v>179</v>
      </c>
      <c r="R60" s="3" t="s">
        <v>179</v>
      </c>
    </row>
    <row r="61" spans="1:18" ht="72.5" x14ac:dyDescent="0.35">
      <c r="A61" s="3" t="s">
        <v>248</v>
      </c>
      <c r="B61" s="3">
        <v>63</v>
      </c>
      <c r="C61" s="3">
        <v>42.505065430000002</v>
      </c>
      <c r="D61" s="3">
        <v>-83.711056709999994</v>
      </c>
      <c r="E61" s="3" t="s">
        <v>962</v>
      </c>
      <c r="F61" s="3" t="s">
        <v>971</v>
      </c>
      <c r="G61" s="3" t="s">
        <v>972</v>
      </c>
      <c r="H61" s="3" t="s">
        <v>973</v>
      </c>
      <c r="I61" s="3" t="s">
        <v>826</v>
      </c>
      <c r="J61" s="3"/>
      <c r="L61" s="3" t="s">
        <v>974</v>
      </c>
      <c r="M61" s="3" t="s">
        <v>754</v>
      </c>
      <c r="N61" s="3">
        <v>30.2</v>
      </c>
      <c r="O61" s="3">
        <v>1</v>
      </c>
      <c r="P61" t="s">
        <v>179</v>
      </c>
      <c r="Q61" t="s">
        <v>179</v>
      </c>
      <c r="R61" t="s">
        <v>179</v>
      </c>
    </row>
    <row r="62" spans="1:18" ht="232" x14ac:dyDescent="0.35">
      <c r="A62" s="3" t="s">
        <v>248</v>
      </c>
      <c r="B62" s="3">
        <v>64</v>
      </c>
      <c r="C62" s="3">
        <v>42.498714579999998</v>
      </c>
      <c r="D62" s="3">
        <v>-83.718800340000001</v>
      </c>
      <c r="E62" s="3" t="s">
        <v>975</v>
      </c>
      <c r="F62" s="3" t="s">
        <v>976</v>
      </c>
      <c r="G62" s="3" t="s">
        <v>977</v>
      </c>
      <c r="H62" s="3" t="s">
        <v>978</v>
      </c>
      <c r="I62" s="3" t="s">
        <v>775</v>
      </c>
      <c r="J62" s="3"/>
      <c r="K62" s="2" t="s">
        <v>979</v>
      </c>
      <c r="L62" s="3" t="s">
        <v>980</v>
      </c>
      <c r="M62" s="3" t="s">
        <v>749</v>
      </c>
      <c r="N62" s="3">
        <v>16.8</v>
      </c>
      <c r="O62" s="3">
        <v>1</v>
      </c>
      <c r="P62" t="s">
        <v>179</v>
      </c>
      <c r="Q62" s="3" t="s">
        <v>179</v>
      </c>
      <c r="R62" s="3" t="s">
        <v>179</v>
      </c>
    </row>
    <row r="63" spans="1:18" ht="290" x14ac:dyDescent="0.35">
      <c r="A63" s="3" t="s">
        <v>248</v>
      </c>
      <c r="B63" s="3">
        <v>65</v>
      </c>
      <c r="C63" s="3">
        <v>42.498261640000003</v>
      </c>
      <c r="D63" s="3">
        <v>-83.719115880000004</v>
      </c>
      <c r="E63" s="3" t="s">
        <v>975</v>
      </c>
      <c r="F63" s="3" t="s">
        <v>981</v>
      </c>
      <c r="G63" s="3" t="s">
        <v>982</v>
      </c>
      <c r="H63" s="3" t="s">
        <v>983</v>
      </c>
      <c r="I63" s="3" t="s">
        <v>775</v>
      </c>
      <c r="J63" s="3"/>
      <c r="K63" s="2" t="s">
        <v>984</v>
      </c>
      <c r="L63" s="3" t="s">
        <v>985</v>
      </c>
      <c r="M63" s="3" t="s">
        <v>749</v>
      </c>
      <c r="N63" s="3">
        <v>34.5</v>
      </c>
      <c r="O63" s="3">
        <v>1</v>
      </c>
      <c r="P63" t="s">
        <v>179</v>
      </c>
      <c r="Q63" s="3" t="s">
        <v>179</v>
      </c>
      <c r="R63" s="3" t="s">
        <v>179</v>
      </c>
    </row>
    <row r="64" spans="1:18" ht="217.5" x14ac:dyDescent="0.35">
      <c r="A64" s="3" t="s">
        <v>248</v>
      </c>
      <c r="B64" s="3">
        <v>66</v>
      </c>
      <c r="C64" s="3">
        <v>42.497555439999999</v>
      </c>
      <c r="D64" s="3">
        <v>-83.719402799999997</v>
      </c>
      <c r="E64" s="3" t="s">
        <v>975</v>
      </c>
      <c r="F64" s="3" t="s">
        <v>986</v>
      </c>
      <c r="G64" s="3" t="s">
        <v>987</v>
      </c>
      <c r="H64" s="3" t="s">
        <v>988</v>
      </c>
      <c r="I64" s="3" t="s">
        <v>775</v>
      </c>
      <c r="J64" s="3" t="s">
        <v>989</v>
      </c>
      <c r="K64" s="3" t="s">
        <v>990</v>
      </c>
      <c r="L64" s="3" t="s">
        <v>1269</v>
      </c>
      <c r="M64" s="3" t="s">
        <v>656</v>
      </c>
      <c r="N64" s="3" t="s">
        <v>657</v>
      </c>
      <c r="O64" s="3" t="s">
        <v>205</v>
      </c>
      <c r="P64" s="3" t="s">
        <v>179</v>
      </c>
      <c r="Q64" s="3" t="s">
        <v>179</v>
      </c>
      <c r="R64" s="3" t="s">
        <v>179</v>
      </c>
    </row>
    <row r="65" spans="1:18" ht="203" x14ac:dyDescent="0.35">
      <c r="A65" s="3" t="s">
        <v>260</v>
      </c>
      <c r="B65" s="3">
        <v>67</v>
      </c>
      <c r="C65" s="3">
        <v>42.702597859999997</v>
      </c>
      <c r="D65" s="3">
        <v>-83.496523370000006</v>
      </c>
      <c r="E65" s="3" t="s">
        <v>991</v>
      </c>
      <c r="F65" s="3" t="s">
        <v>992</v>
      </c>
      <c r="G65" s="3" t="s">
        <v>993</v>
      </c>
      <c r="H65" s="3" t="s">
        <v>994</v>
      </c>
      <c r="I65" s="3" t="s">
        <v>995</v>
      </c>
      <c r="J65" s="3"/>
      <c r="L65" s="3" t="s">
        <v>996</v>
      </c>
      <c r="M65" s="3" t="s">
        <v>735</v>
      </c>
      <c r="N65" s="3">
        <f>24.7+23.7</f>
        <v>48.4</v>
      </c>
      <c r="O65" s="3">
        <v>2</v>
      </c>
      <c r="P65" t="s">
        <v>179</v>
      </c>
      <c r="Q65" t="s">
        <v>179</v>
      </c>
      <c r="R65" t="s">
        <v>179</v>
      </c>
    </row>
    <row r="66" spans="1:18" ht="72.5" x14ac:dyDescent="0.35">
      <c r="A66" s="3" t="s">
        <v>260</v>
      </c>
      <c r="B66" s="3">
        <v>68</v>
      </c>
      <c r="C66" s="3">
        <v>42.702138249999997</v>
      </c>
      <c r="D66" s="3">
        <v>-83.496488479999996</v>
      </c>
      <c r="E66" s="3" t="s">
        <v>991</v>
      </c>
      <c r="F66" s="3" t="s">
        <v>997</v>
      </c>
      <c r="G66" s="3" t="s">
        <v>998</v>
      </c>
      <c r="H66" s="3" t="s">
        <v>999</v>
      </c>
      <c r="I66" s="3" t="s">
        <v>995</v>
      </c>
      <c r="J66" s="3"/>
      <c r="L66" s="3" t="s">
        <v>1000</v>
      </c>
      <c r="M66" s="3" t="s">
        <v>735</v>
      </c>
      <c r="N66" s="3">
        <v>9.8000000000000007</v>
      </c>
      <c r="O66" s="3">
        <v>1</v>
      </c>
      <c r="P66" t="s">
        <v>179</v>
      </c>
      <c r="Q66" t="s">
        <v>179</v>
      </c>
      <c r="R66" t="s">
        <v>179</v>
      </c>
    </row>
    <row r="67" spans="1:18" ht="304.5" x14ac:dyDescent="0.35">
      <c r="A67" s="3" t="s">
        <v>260</v>
      </c>
      <c r="B67" s="3">
        <v>69</v>
      </c>
      <c r="C67" s="3">
        <v>42.702235129999998</v>
      </c>
      <c r="D67" s="3">
        <v>-83.495847280000007</v>
      </c>
      <c r="E67" s="3" t="s">
        <v>991</v>
      </c>
      <c r="F67" s="3" t="s">
        <v>1001</v>
      </c>
      <c r="G67" s="3" t="s">
        <v>1002</v>
      </c>
      <c r="H67" s="3" t="s">
        <v>1003</v>
      </c>
      <c r="I67" s="3" t="s">
        <v>995</v>
      </c>
      <c r="J67" s="3"/>
      <c r="K67" s="2" t="s">
        <v>1004</v>
      </c>
      <c r="L67" s="3" t="s">
        <v>1005</v>
      </c>
      <c r="M67" s="3" t="s">
        <v>742</v>
      </c>
      <c r="N67" s="3">
        <f>10.1+22.8</f>
        <v>32.9</v>
      </c>
      <c r="O67" s="3">
        <v>2</v>
      </c>
      <c r="P67" t="s">
        <v>179</v>
      </c>
      <c r="Q67" t="s">
        <v>179</v>
      </c>
      <c r="R67" t="s">
        <v>179</v>
      </c>
    </row>
    <row r="68" spans="1:18" ht="203" x14ac:dyDescent="0.35">
      <c r="A68" s="3" t="s">
        <v>260</v>
      </c>
      <c r="B68" s="3">
        <v>70</v>
      </c>
      <c r="C68" s="3">
        <v>42.701692199999997</v>
      </c>
      <c r="D68" s="3">
        <v>-83.497415970000006</v>
      </c>
      <c r="E68" s="3" t="s">
        <v>275</v>
      </c>
      <c r="F68" s="3" t="s">
        <v>1006</v>
      </c>
      <c r="G68" s="3" t="s">
        <v>1007</v>
      </c>
      <c r="H68" s="3" t="s">
        <v>1008</v>
      </c>
      <c r="I68" s="3" t="s">
        <v>995</v>
      </c>
      <c r="J68" s="3" t="s">
        <v>1009</v>
      </c>
      <c r="K68" s="3" t="s">
        <v>1010</v>
      </c>
      <c r="L68" s="3" t="s">
        <v>1011</v>
      </c>
      <c r="M68" s="3" t="s">
        <v>877</v>
      </c>
      <c r="N68" s="3">
        <f>4.7+3+5.4+10.8</f>
        <v>23.900000000000002</v>
      </c>
      <c r="O68" s="3">
        <v>4</v>
      </c>
      <c r="P68" s="3" t="s">
        <v>179</v>
      </c>
      <c r="Q68" s="3" t="s">
        <v>179</v>
      </c>
      <c r="R68" s="3" t="s">
        <v>179</v>
      </c>
    </row>
    <row r="69" spans="1:18" ht="232" x14ac:dyDescent="0.35">
      <c r="A69" s="3" t="s">
        <v>260</v>
      </c>
      <c r="B69" s="3">
        <v>71</v>
      </c>
      <c r="C69" s="3">
        <v>42.701292430000002</v>
      </c>
      <c r="D69" s="3">
        <v>-83.497406979999994</v>
      </c>
      <c r="E69" s="3" t="s">
        <v>275</v>
      </c>
      <c r="F69" s="3" t="s">
        <v>1012</v>
      </c>
      <c r="G69" s="3" t="s">
        <v>1013</v>
      </c>
      <c r="H69" s="3" t="s">
        <v>1014</v>
      </c>
      <c r="I69" s="3" t="s">
        <v>995</v>
      </c>
      <c r="J69" s="3"/>
      <c r="K69" s="2" t="s">
        <v>1015</v>
      </c>
      <c r="L69" s="3" t="s">
        <v>1016</v>
      </c>
      <c r="M69" s="3" t="s">
        <v>778</v>
      </c>
      <c r="N69" s="3">
        <v>18.899999999999999</v>
      </c>
      <c r="O69" s="3">
        <v>1</v>
      </c>
      <c r="P69" t="s">
        <v>179</v>
      </c>
      <c r="Q69" s="3" t="s">
        <v>179</v>
      </c>
      <c r="R69" s="3" t="s">
        <v>179</v>
      </c>
    </row>
    <row r="70" spans="1:18" ht="116" x14ac:dyDescent="0.35">
      <c r="A70" s="3" t="s">
        <v>260</v>
      </c>
      <c r="B70" s="3">
        <v>72</v>
      </c>
      <c r="C70" s="3">
        <v>42.701428489999998</v>
      </c>
      <c r="D70" s="3">
        <v>-83.497799670000006</v>
      </c>
      <c r="E70" s="3" t="s">
        <v>275</v>
      </c>
      <c r="F70" s="3" t="s">
        <v>1017</v>
      </c>
      <c r="G70" s="3" t="s">
        <v>1018</v>
      </c>
      <c r="H70" s="3" t="s">
        <v>1019</v>
      </c>
      <c r="I70" s="3" t="s">
        <v>804</v>
      </c>
      <c r="J70" s="3"/>
      <c r="L70" s="3" t="s">
        <v>1020</v>
      </c>
      <c r="M70" s="3" t="s">
        <v>883</v>
      </c>
      <c r="N70" s="3">
        <v>38.1</v>
      </c>
      <c r="O70" s="3">
        <v>1</v>
      </c>
      <c r="P70" t="s">
        <v>179</v>
      </c>
      <c r="Q70" t="s">
        <v>179</v>
      </c>
      <c r="R70" t="s">
        <v>179</v>
      </c>
    </row>
    <row r="71" spans="1:18" ht="203" x14ac:dyDescent="0.35">
      <c r="A71" s="3" t="s">
        <v>260</v>
      </c>
      <c r="B71" s="3">
        <v>73</v>
      </c>
      <c r="C71" s="3">
        <v>42.703543699999997</v>
      </c>
      <c r="D71" s="3">
        <v>-83.494639359999994</v>
      </c>
      <c r="E71" s="3" t="s">
        <v>1021</v>
      </c>
      <c r="F71" s="3" t="s">
        <v>1022</v>
      </c>
      <c r="G71" s="3" t="s">
        <v>1023</v>
      </c>
      <c r="H71" s="3" t="s">
        <v>1024</v>
      </c>
      <c r="I71" s="3" t="s">
        <v>261</v>
      </c>
      <c r="J71" s="3"/>
      <c r="K71" s="2" t="s">
        <v>1025</v>
      </c>
      <c r="L71" s="3" t="s">
        <v>1026</v>
      </c>
      <c r="M71" s="3" t="s">
        <v>669</v>
      </c>
      <c r="N71" s="3">
        <v>29.8</v>
      </c>
      <c r="O71" s="3">
        <v>1</v>
      </c>
      <c r="P71" t="s">
        <v>179</v>
      </c>
      <c r="Q71" s="3" t="s">
        <v>179</v>
      </c>
      <c r="R71" s="3" t="s">
        <v>179</v>
      </c>
    </row>
    <row r="72" spans="1:18" ht="203" x14ac:dyDescent="0.35">
      <c r="A72" s="3" t="s">
        <v>260</v>
      </c>
      <c r="B72" s="3">
        <v>74</v>
      </c>
      <c r="C72" s="3">
        <v>42.703753079999998</v>
      </c>
      <c r="D72" s="3">
        <v>-83.494151380000005</v>
      </c>
      <c r="E72" s="3" t="s">
        <v>1021</v>
      </c>
      <c r="F72" s="3" t="s">
        <v>1027</v>
      </c>
      <c r="G72" s="3" t="s">
        <v>1028</v>
      </c>
      <c r="H72" s="3" t="s">
        <v>1029</v>
      </c>
      <c r="I72" s="3" t="s">
        <v>261</v>
      </c>
      <c r="J72" s="3"/>
      <c r="K72" s="2" t="s">
        <v>1030</v>
      </c>
      <c r="L72" s="3" t="s">
        <v>1031</v>
      </c>
      <c r="M72" s="3" t="s">
        <v>749</v>
      </c>
      <c r="N72" s="3">
        <v>55.2</v>
      </c>
      <c r="O72" s="3">
        <v>1</v>
      </c>
      <c r="P72" t="s">
        <v>179</v>
      </c>
      <c r="Q72" s="3" t="s">
        <v>179</v>
      </c>
      <c r="R72" s="3" t="s">
        <v>179</v>
      </c>
    </row>
    <row r="73" spans="1:18" ht="188.5" x14ac:dyDescent="0.35">
      <c r="A73" s="3" t="s">
        <v>260</v>
      </c>
      <c r="B73" s="3">
        <v>75</v>
      </c>
      <c r="C73" s="3">
        <v>42.702789209999999</v>
      </c>
      <c r="D73" s="3">
        <v>-83.493605619999997</v>
      </c>
      <c r="E73" s="3" t="s">
        <v>1021</v>
      </c>
      <c r="F73" s="3" t="s">
        <v>1032</v>
      </c>
      <c r="G73" s="3" t="s">
        <v>1033</v>
      </c>
      <c r="H73" s="3" t="s">
        <v>1034</v>
      </c>
      <c r="I73" s="3" t="s">
        <v>261</v>
      </c>
      <c r="J73" s="3"/>
      <c r="K73" s="2" t="s">
        <v>1035</v>
      </c>
      <c r="L73" s="3" t="s">
        <v>1036</v>
      </c>
      <c r="M73" s="3"/>
      <c r="N73" s="3"/>
      <c r="O73" s="3"/>
      <c r="P73" t="s">
        <v>179</v>
      </c>
      <c r="Q73" s="3" t="s">
        <v>179</v>
      </c>
      <c r="R73" s="3" t="s">
        <v>179</v>
      </c>
    </row>
    <row r="74" spans="1:18" ht="232" x14ac:dyDescent="0.35">
      <c r="A74" s="3" t="s">
        <v>260</v>
      </c>
      <c r="B74" s="3" t="s">
        <v>347</v>
      </c>
      <c r="C74" s="3"/>
      <c r="D74" s="3"/>
      <c r="E74" s="3" t="s">
        <v>1021</v>
      </c>
      <c r="F74" s="3"/>
      <c r="G74" s="3"/>
      <c r="H74" s="3"/>
      <c r="I74" s="3" t="s">
        <v>261</v>
      </c>
      <c r="J74" s="3"/>
      <c r="K74" s="2" t="s">
        <v>1037</v>
      </c>
      <c r="L74" s="3" t="s">
        <v>1038</v>
      </c>
      <c r="M74" s="3" t="s">
        <v>644</v>
      </c>
      <c r="N74" s="3">
        <f>25.5+26.7</f>
        <v>52.2</v>
      </c>
      <c r="O74" s="3">
        <v>2</v>
      </c>
      <c r="P74" t="s">
        <v>179</v>
      </c>
      <c r="Q74" s="3" t="s">
        <v>179</v>
      </c>
      <c r="R74" s="3" t="s">
        <v>179</v>
      </c>
    </row>
    <row r="75" spans="1:18" ht="101.5" x14ac:dyDescent="0.35">
      <c r="A75" s="3" t="s">
        <v>260</v>
      </c>
      <c r="B75" s="3" t="s">
        <v>350</v>
      </c>
      <c r="C75" s="3"/>
      <c r="D75" s="3"/>
      <c r="E75" s="3" t="s">
        <v>1021</v>
      </c>
      <c r="F75" s="3"/>
      <c r="G75" s="3"/>
      <c r="H75" s="3"/>
      <c r="I75" s="3" t="s">
        <v>261</v>
      </c>
      <c r="J75" s="3" t="s">
        <v>1039</v>
      </c>
      <c r="L75" s="3" t="s">
        <v>1040</v>
      </c>
      <c r="M75" s="3" t="s">
        <v>656</v>
      </c>
      <c r="N75" s="3" t="s">
        <v>657</v>
      </c>
      <c r="O75" s="3" t="s">
        <v>205</v>
      </c>
      <c r="P75" t="s">
        <v>179</v>
      </c>
      <c r="Q75" s="3" t="s">
        <v>179</v>
      </c>
      <c r="R75" s="3" t="s">
        <v>179</v>
      </c>
    </row>
    <row r="76" spans="1:18" ht="232" x14ac:dyDescent="0.35">
      <c r="A76" s="3" t="s">
        <v>260</v>
      </c>
      <c r="B76" s="3">
        <v>76</v>
      </c>
      <c r="C76" s="3">
        <v>42.704633029999997</v>
      </c>
      <c r="D76" s="3">
        <v>-83.495708969999995</v>
      </c>
      <c r="E76" s="3" t="s">
        <v>1041</v>
      </c>
      <c r="F76" s="3" t="s">
        <v>1042</v>
      </c>
      <c r="G76" s="3" t="s">
        <v>1043</v>
      </c>
      <c r="H76" s="3" t="s">
        <v>1044</v>
      </c>
      <c r="I76" s="3" t="s">
        <v>261</v>
      </c>
      <c r="J76" s="3"/>
      <c r="K76" s="2" t="s">
        <v>1045</v>
      </c>
      <c r="L76" s="3" t="s">
        <v>1046</v>
      </c>
      <c r="M76" s="3" t="s">
        <v>754</v>
      </c>
      <c r="N76" s="3">
        <f>17.5+8.2</f>
        <v>25.7</v>
      </c>
      <c r="O76" s="3">
        <v>2</v>
      </c>
      <c r="P76" t="s">
        <v>179</v>
      </c>
      <c r="Q76" s="3" t="s">
        <v>179</v>
      </c>
      <c r="R76" s="3" t="s">
        <v>179</v>
      </c>
    </row>
    <row r="77" spans="1:18" ht="174" x14ac:dyDescent="0.35">
      <c r="A77" s="3" t="s">
        <v>260</v>
      </c>
      <c r="B77" s="3">
        <v>77</v>
      </c>
      <c r="C77" s="3">
        <v>42.704812189999998</v>
      </c>
      <c r="D77" s="3">
        <v>-83.494821000000002</v>
      </c>
      <c r="E77" s="3" t="s">
        <v>1041</v>
      </c>
      <c r="F77" s="3" t="s">
        <v>1047</v>
      </c>
      <c r="G77" s="3" t="s">
        <v>1048</v>
      </c>
      <c r="H77" s="3" t="s">
        <v>1049</v>
      </c>
      <c r="I77" s="3" t="s">
        <v>261</v>
      </c>
      <c r="J77" s="3" t="s">
        <v>1050</v>
      </c>
      <c r="K77" s="3" t="s">
        <v>1051</v>
      </c>
      <c r="L77" s="3" t="s">
        <v>1052</v>
      </c>
      <c r="M77" s="3" t="s">
        <v>778</v>
      </c>
      <c r="N77" s="3">
        <v>38.200000000000003</v>
      </c>
      <c r="O77" s="3">
        <v>1</v>
      </c>
      <c r="P77" s="3" t="s">
        <v>179</v>
      </c>
      <c r="Q77" s="3" t="s">
        <v>179</v>
      </c>
      <c r="R77" s="3" t="s">
        <v>179</v>
      </c>
    </row>
    <row r="78" spans="1:18" ht="217.5" x14ac:dyDescent="0.35">
      <c r="A78" s="3" t="s">
        <v>260</v>
      </c>
      <c r="B78" s="3">
        <v>78</v>
      </c>
      <c r="C78" s="3">
        <v>42.704878219999998</v>
      </c>
      <c r="D78" s="3">
        <v>-83.494080699999998</v>
      </c>
      <c r="E78" s="3" t="s">
        <v>1041</v>
      </c>
      <c r="F78" s="3" t="s">
        <v>1053</v>
      </c>
      <c r="G78" s="3" t="s">
        <v>1054</v>
      </c>
      <c r="H78" s="3" t="s">
        <v>1055</v>
      </c>
      <c r="I78" s="3" t="s">
        <v>254</v>
      </c>
      <c r="J78" s="3"/>
      <c r="K78" s="2" t="s">
        <v>1056</v>
      </c>
      <c r="L78" s="3" t="s">
        <v>1057</v>
      </c>
      <c r="M78" s="3" t="s">
        <v>754</v>
      </c>
      <c r="N78" s="3">
        <v>24.6</v>
      </c>
      <c r="O78" s="3">
        <v>1</v>
      </c>
      <c r="P78" t="s">
        <v>179</v>
      </c>
      <c r="Q78" s="3" t="s">
        <v>179</v>
      </c>
      <c r="R78" s="3" t="s">
        <v>179</v>
      </c>
    </row>
    <row r="79" spans="1:18" ht="319" x14ac:dyDescent="0.35">
      <c r="A79" s="3" t="s">
        <v>260</v>
      </c>
      <c r="B79" s="3">
        <v>79</v>
      </c>
      <c r="C79" s="3">
        <v>42.704802620000002</v>
      </c>
      <c r="D79" s="3">
        <v>-83.497063729999994</v>
      </c>
      <c r="E79" s="3" t="s">
        <v>1058</v>
      </c>
      <c r="F79" s="3" t="s">
        <v>1059</v>
      </c>
      <c r="G79" s="3" t="s">
        <v>1060</v>
      </c>
      <c r="H79" s="3" t="s">
        <v>1061</v>
      </c>
      <c r="I79" s="3" t="s">
        <v>263</v>
      </c>
      <c r="J79" s="3"/>
      <c r="K79" s="3" t="s">
        <v>1062</v>
      </c>
      <c r="L79" s="3" t="s">
        <v>1063</v>
      </c>
      <c r="M79" s="3" t="s">
        <v>669</v>
      </c>
      <c r="N79" s="3">
        <v>42.8</v>
      </c>
      <c r="O79" s="3">
        <v>1</v>
      </c>
      <c r="P79" s="3" t="s">
        <v>179</v>
      </c>
      <c r="Q79" s="3" t="s">
        <v>179</v>
      </c>
      <c r="R79" s="3" t="s">
        <v>179</v>
      </c>
    </row>
    <row r="80" spans="1:18" ht="261" x14ac:dyDescent="0.35">
      <c r="A80" s="3" t="s">
        <v>260</v>
      </c>
      <c r="B80" s="3">
        <v>80</v>
      </c>
      <c r="C80" s="3">
        <v>42.703887020000003</v>
      </c>
      <c r="D80" s="3">
        <v>-83.49893342</v>
      </c>
      <c r="E80" s="3" t="s">
        <v>1058</v>
      </c>
      <c r="F80" s="3" t="s">
        <v>1064</v>
      </c>
      <c r="G80" s="3" t="s">
        <v>1065</v>
      </c>
      <c r="H80" s="3" t="s">
        <v>1066</v>
      </c>
      <c r="I80" s="3" t="s">
        <v>263</v>
      </c>
      <c r="J80" s="3"/>
      <c r="K80" s="3" t="s">
        <v>1067</v>
      </c>
      <c r="L80" s="3" t="s">
        <v>1068</v>
      </c>
      <c r="M80" s="3" t="s">
        <v>669</v>
      </c>
      <c r="N80" s="3">
        <v>17.399999999999999</v>
      </c>
      <c r="O80" s="3">
        <v>1</v>
      </c>
      <c r="P80" s="3" t="s">
        <v>179</v>
      </c>
      <c r="Q80" s="3" t="s">
        <v>179</v>
      </c>
      <c r="R80" s="3" t="s">
        <v>179</v>
      </c>
    </row>
    <row r="81" spans="1:18" ht="304.5" x14ac:dyDescent="0.35">
      <c r="A81" s="3" t="s">
        <v>260</v>
      </c>
      <c r="B81" s="3">
        <v>81</v>
      </c>
      <c r="C81" s="3">
        <v>42.704519599999998</v>
      </c>
      <c r="D81" s="3">
        <v>-83.498038410000007</v>
      </c>
      <c r="E81" s="3" t="s">
        <v>1058</v>
      </c>
      <c r="F81" s="3" t="s">
        <v>1069</v>
      </c>
      <c r="G81" s="3" t="s">
        <v>1070</v>
      </c>
      <c r="H81" s="3" t="s">
        <v>1071</v>
      </c>
      <c r="I81" s="3" t="s">
        <v>263</v>
      </c>
      <c r="J81" s="3" t="s">
        <v>1072</v>
      </c>
      <c r="L81" s="3" t="s">
        <v>703</v>
      </c>
      <c r="M81" s="3" t="s">
        <v>656</v>
      </c>
      <c r="N81" s="3" t="s">
        <v>657</v>
      </c>
      <c r="O81" s="3" t="s">
        <v>205</v>
      </c>
      <c r="P81" s="3" t="s">
        <v>179</v>
      </c>
      <c r="Q81" s="3" t="s">
        <v>179</v>
      </c>
      <c r="R81" s="3" t="s">
        <v>179</v>
      </c>
    </row>
    <row r="82" spans="1:18" ht="409.5" x14ac:dyDescent="0.35">
      <c r="A82" s="3" t="s">
        <v>253</v>
      </c>
      <c r="B82" s="3">
        <v>82</v>
      </c>
      <c r="C82" s="3">
        <v>42.648929099999997</v>
      </c>
      <c r="D82" s="3">
        <v>-83.556360560000002</v>
      </c>
      <c r="E82" s="3" t="s">
        <v>417</v>
      </c>
      <c r="F82" s="3" t="s">
        <v>1073</v>
      </c>
      <c r="G82" s="3" t="s">
        <v>1074</v>
      </c>
      <c r="H82" s="3" t="s">
        <v>1075</v>
      </c>
      <c r="I82" s="3" t="s">
        <v>1076</v>
      </c>
      <c r="J82" s="3" t="s">
        <v>1077</v>
      </c>
      <c r="L82" s="3" t="s">
        <v>1078</v>
      </c>
      <c r="M82" s="3" t="s">
        <v>656</v>
      </c>
      <c r="N82" s="3" t="s">
        <v>657</v>
      </c>
      <c r="O82" s="3" t="s">
        <v>205</v>
      </c>
      <c r="P82" t="s">
        <v>179</v>
      </c>
      <c r="Q82" s="3" t="s">
        <v>179</v>
      </c>
      <c r="R82" s="3" t="s">
        <v>179</v>
      </c>
    </row>
    <row r="83" spans="1:18" ht="101.5" x14ac:dyDescent="0.35">
      <c r="A83" s="3" t="s">
        <v>253</v>
      </c>
      <c r="B83" s="3">
        <v>83</v>
      </c>
      <c r="C83" s="3">
        <v>42.648585609999998</v>
      </c>
      <c r="D83" s="3">
        <v>-83.556896170000002</v>
      </c>
      <c r="E83" s="3" t="s">
        <v>417</v>
      </c>
      <c r="F83" s="3" t="s">
        <v>1079</v>
      </c>
      <c r="G83" s="3" t="s">
        <v>1080</v>
      </c>
      <c r="H83" s="3" t="s">
        <v>1081</v>
      </c>
      <c r="I83" s="3" t="s">
        <v>1076</v>
      </c>
      <c r="J83" s="3"/>
      <c r="K83" s="3" t="s">
        <v>1082</v>
      </c>
      <c r="L83" t="s">
        <v>1083</v>
      </c>
      <c r="M83" s="3" t="s">
        <v>754</v>
      </c>
      <c r="N83" s="3">
        <v>15.6</v>
      </c>
      <c r="O83" s="3">
        <v>1</v>
      </c>
      <c r="P83" t="s">
        <v>179</v>
      </c>
      <c r="Q83" s="3" t="s">
        <v>179</v>
      </c>
      <c r="R83" s="3" t="s">
        <v>179</v>
      </c>
    </row>
    <row r="84" spans="1:18" ht="217.5" x14ac:dyDescent="0.35">
      <c r="A84" s="3" t="s">
        <v>253</v>
      </c>
      <c r="B84" s="3">
        <v>84</v>
      </c>
      <c r="C84" s="3">
        <v>42.649398980000001</v>
      </c>
      <c r="D84" s="3">
        <v>-83.557614830000006</v>
      </c>
      <c r="E84" s="3" t="s">
        <v>417</v>
      </c>
      <c r="F84" s="3" t="s">
        <v>1084</v>
      </c>
      <c r="G84" s="3" t="s">
        <v>1085</v>
      </c>
      <c r="H84" s="3" t="s">
        <v>1086</v>
      </c>
      <c r="I84" s="3" t="s">
        <v>1076</v>
      </c>
      <c r="J84" s="3" t="s">
        <v>1087</v>
      </c>
      <c r="K84" s="3" t="s">
        <v>1088</v>
      </c>
      <c r="L84" s="3" t="s">
        <v>1089</v>
      </c>
      <c r="M84" s="3" t="s">
        <v>727</v>
      </c>
      <c r="N84" s="3" t="s">
        <v>657</v>
      </c>
      <c r="O84" s="3">
        <v>2</v>
      </c>
      <c r="P84" t="s">
        <v>179</v>
      </c>
      <c r="Q84" s="3" t="s">
        <v>179</v>
      </c>
      <c r="R84" s="3" t="s">
        <v>179</v>
      </c>
    </row>
    <row r="85" spans="1:18" ht="275.5" x14ac:dyDescent="0.35">
      <c r="A85" s="3" t="s">
        <v>253</v>
      </c>
      <c r="B85" s="3">
        <v>85</v>
      </c>
      <c r="C85" s="3">
        <v>42.645876059999999</v>
      </c>
      <c r="D85" s="3">
        <v>-83.550938880000004</v>
      </c>
      <c r="E85" s="3" t="s">
        <v>1090</v>
      </c>
      <c r="F85" s="3" t="s">
        <v>1091</v>
      </c>
      <c r="G85" s="3" t="s">
        <v>1092</v>
      </c>
      <c r="H85" s="3" t="s">
        <v>1093</v>
      </c>
      <c r="I85" s="3" t="s">
        <v>1076</v>
      </c>
      <c r="J85" s="3" t="s">
        <v>1094</v>
      </c>
      <c r="K85" s="3" t="s">
        <v>1095</v>
      </c>
      <c r="L85" s="3" t="s">
        <v>1096</v>
      </c>
      <c r="M85" s="3" t="s">
        <v>656</v>
      </c>
      <c r="N85" s="3" t="s">
        <v>657</v>
      </c>
      <c r="O85" s="3" t="s">
        <v>205</v>
      </c>
      <c r="P85" s="3" t="s">
        <v>179</v>
      </c>
      <c r="Q85" s="3" t="s">
        <v>179</v>
      </c>
      <c r="R85" s="3" t="s">
        <v>179</v>
      </c>
    </row>
    <row r="86" spans="1:18" ht="409.5" x14ac:dyDescent="0.35">
      <c r="A86" s="3" t="s">
        <v>253</v>
      </c>
      <c r="B86" s="3">
        <v>86</v>
      </c>
      <c r="C86" s="3">
        <v>42.645143709999999</v>
      </c>
      <c r="D86" s="3">
        <v>-83.550895679999996</v>
      </c>
      <c r="E86" s="3" t="s">
        <v>1090</v>
      </c>
      <c r="F86" s="3" t="s">
        <v>1097</v>
      </c>
      <c r="G86" s="3" t="s">
        <v>1098</v>
      </c>
      <c r="H86" s="3" t="s">
        <v>1099</v>
      </c>
      <c r="I86" s="3" t="s">
        <v>254</v>
      </c>
      <c r="J86" s="3"/>
      <c r="K86" s="2" t="s">
        <v>1100</v>
      </c>
      <c r="L86" s="3" t="s">
        <v>1101</v>
      </c>
      <c r="M86" s="3" t="s">
        <v>932</v>
      </c>
      <c r="N86" s="3">
        <v>37.299999999999997</v>
      </c>
      <c r="O86" s="3">
        <v>1</v>
      </c>
      <c r="P86" t="s">
        <v>179</v>
      </c>
      <c r="Q86" s="3" t="s">
        <v>179</v>
      </c>
      <c r="R86" s="3" t="s">
        <v>179</v>
      </c>
    </row>
    <row r="87" spans="1:18" ht="232" x14ac:dyDescent="0.35">
      <c r="A87" s="3" t="s">
        <v>253</v>
      </c>
      <c r="B87" s="3">
        <v>87</v>
      </c>
      <c r="C87" s="3">
        <v>42.646372110000001</v>
      </c>
      <c r="D87" s="3">
        <v>-83.55062169</v>
      </c>
      <c r="E87" s="3" t="s">
        <v>1090</v>
      </c>
      <c r="F87" s="3" t="s">
        <v>1102</v>
      </c>
      <c r="G87" s="3" t="s">
        <v>1103</v>
      </c>
      <c r="H87" s="3" t="s">
        <v>1104</v>
      </c>
      <c r="I87" s="3" t="s">
        <v>1076</v>
      </c>
      <c r="J87" s="3"/>
      <c r="K87" s="3" t="s">
        <v>1105</v>
      </c>
      <c r="L87" s="3" t="s">
        <v>1106</v>
      </c>
      <c r="M87" s="3" t="s">
        <v>644</v>
      </c>
      <c r="N87" s="3">
        <f>13.6+33.8</f>
        <v>47.4</v>
      </c>
      <c r="O87" s="3">
        <v>2</v>
      </c>
      <c r="P87" t="s">
        <v>179</v>
      </c>
      <c r="Q87" s="3" t="s">
        <v>179</v>
      </c>
      <c r="R87" s="3" t="s">
        <v>179</v>
      </c>
    </row>
    <row r="88" spans="1:18" ht="391.5" x14ac:dyDescent="0.35">
      <c r="A88" s="3" t="s">
        <v>253</v>
      </c>
      <c r="B88" s="3">
        <v>88</v>
      </c>
      <c r="C88" s="3">
        <v>42.647047600000001</v>
      </c>
      <c r="D88" s="3">
        <v>-83.55230573</v>
      </c>
      <c r="E88" s="3" t="s">
        <v>1107</v>
      </c>
      <c r="F88" s="3" t="s">
        <v>1108</v>
      </c>
      <c r="G88" s="3" t="s">
        <v>1109</v>
      </c>
      <c r="H88" s="3" t="s">
        <v>1110</v>
      </c>
      <c r="I88" s="3" t="s">
        <v>1076</v>
      </c>
      <c r="J88" s="3"/>
      <c r="K88" s="3" t="s">
        <v>1111</v>
      </c>
      <c r="L88" s="3" t="s">
        <v>1112</v>
      </c>
      <c r="M88" s="3" t="s">
        <v>754</v>
      </c>
      <c r="N88" s="3">
        <v>21.9</v>
      </c>
      <c r="O88" s="3">
        <v>1</v>
      </c>
      <c r="P88" t="s">
        <v>179</v>
      </c>
      <c r="Q88" s="3" t="s">
        <v>179</v>
      </c>
      <c r="R88" s="3" t="s">
        <v>179</v>
      </c>
    </row>
    <row r="89" spans="1:18" ht="174" x14ac:dyDescent="0.35">
      <c r="A89" s="3" t="s">
        <v>253</v>
      </c>
      <c r="B89" s="3">
        <v>89</v>
      </c>
      <c r="C89" s="3">
        <v>42.647055379999998</v>
      </c>
      <c r="D89" s="3">
        <v>-83.553977410000002</v>
      </c>
      <c r="E89" s="3" t="s">
        <v>1107</v>
      </c>
      <c r="F89" s="3" t="s">
        <v>1113</v>
      </c>
      <c r="G89" s="3" t="s">
        <v>1114</v>
      </c>
      <c r="H89" s="3" t="s">
        <v>1115</v>
      </c>
      <c r="I89" s="3" t="s">
        <v>1076</v>
      </c>
      <c r="J89" s="3"/>
      <c r="K89" s="3" t="s">
        <v>1116</v>
      </c>
      <c r="L89" s="3" t="s">
        <v>1117</v>
      </c>
      <c r="M89" s="3" t="s">
        <v>691</v>
      </c>
      <c r="N89" s="3">
        <v>54.4</v>
      </c>
      <c r="O89" s="3">
        <v>1</v>
      </c>
      <c r="P89" t="s">
        <v>179</v>
      </c>
      <c r="Q89" s="3" t="s">
        <v>179</v>
      </c>
      <c r="R89" s="3" t="s">
        <v>179</v>
      </c>
    </row>
    <row r="90" spans="1:18" ht="130.5" x14ac:dyDescent="0.35">
      <c r="A90" s="3" t="s">
        <v>253</v>
      </c>
      <c r="B90" s="3">
        <v>90</v>
      </c>
      <c r="C90" s="3">
        <v>42.647456599999998</v>
      </c>
      <c r="D90" s="3">
        <v>-83.553657619999996</v>
      </c>
      <c r="E90" s="3" t="s">
        <v>1107</v>
      </c>
      <c r="F90" s="3" t="s">
        <v>1118</v>
      </c>
      <c r="G90" s="3" t="s">
        <v>1119</v>
      </c>
      <c r="H90" s="3" t="s">
        <v>1120</v>
      </c>
      <c r="I90" s="3" t="s">
        <v>1076</v>
      </c>
      <c r="J90" s="3"/>
      <c r="K90" s="3" t="s">
        <v>1121</v>
      </c>
      <c r="L90" s="3" t="s">
        <v>1122</v>
      </c>
      <c r="M90" s="3" t="s">
        <v>1123</v>
      </c>
      <c r="N90" s="3">
        <v>25.6</v>
      </c>
      <c r="O90" s="3">
        <v>1</v>
      </c>
      <c r="P90" t="s">
        <v>179</v>
      </c>
      <c r="Q90" s="3" t="s">
        <v>179</v>
      </c>
      <c r="R90" s="3" t="s">
        <v>179</v>
      </c>
    </row>
    <row r="91" spans="1:18" ht="87" x14ac:dyDescent="0.35">
      <c r="A91" s="3" t="s">
        <v>658</v>
      </c>
      <c r="B91" s="3">
        <v>91</v>
      </c>
      <c r="C91" s="3">
        <v>42.378244989999999</v>
      </c>
      <c r="D91" s="3">
        <v>-83.911661679999995</v>
      </c>
      <c r="E91" s="3" t="s">
        <v>1124</v>
      </c>
      <c r="F91" s="3" t="s">
        <v>1125</v>
      </c>
      <c r="G91" s="3" t="s">
        <v>1126</v>
      </c>
      <c r="H91" s="3" t="s">
        <v>1127</v>
      </c>
      <c r="I91" s="3" t="s">
        <v>739</v>
      </c>
      <c r="J91" s="3"/>
      <c r="K91" s="2" t="s">
        <v>1276</v>
      </c>
      <c r="L91" s="3" t="s">
        <v>1128</v>
      </c>
      <c r="M91" s="3" t="s">
        <v>669</v>
      </c>
      <c r="N91" s="3">
        <f>57.2+46.8</f>
        <v>104</v>
      </c>
      <c r="O91" s="3">
        <v>2</v>
      </c>
      <c r="P91" t="s">
        <v>179</v>
      </c>
      <c r="Q91" s="3" t="s">
        <v>179</v>
      </c>
      <c r="R91" s="3" t="s">
        <v>179</v>
      </c>
    </row>
    <row r="92" spans="1:18" ht="43.5" x14ac:dyDescent="0.35">
      <c r="A92" s="3" t="s">
        <v>658</v>
      </c>
      <c r="B92" s="3">
        <v>92</v>
      </c>
      <c r="C92" s="3">
        <v>42.378254740000003</v>
      </c>
      <c r="D92" s="3">
        <v>-83.912291449999998</v>
      </c>
      <c r="E92" s="3" t="s">
        <v>1124</v>
      </c>
      <c r="F92" s="3" t="s">
        <v>1129</v>
      </c>
      <c r="G92" s="3" t="s">
        <v>1130</v>
      </c>
      <c r="H92" s="3" t="s">
        <v>1131</v>
      </c>
      <c r="I92" s="3" t="s">
        <v>1270</v>
      </c>
      <c r="J92" s="3"/>
      <c r="K92" s="2" t="s">
        <v>1277</v>
      </c>
      <c r="L92" s="3" t="s">
        <v>1278</v>
      </c>
      <c r="M92" s="3" t="s">
        <v>679</v>
      </c>
      <c r="N92" s="3">
        <v>31.1</v>
      </c>
      <c r="O92" s="3">
        <v>1</v>
      </c>
      <c r="P92" t="s">
        <v>179</v>
      </c>
      <c r="Q92" s="3" t="s">
        <v>179</v>
      </c>
      <c r="R92" s="3" t="s">
        <v>179</v>
      </c>
    </row>
    <row r="93" spans="1:18" ht="58" x14ac:dyDescent="0.35">
      <c r="A93" s="3" t="s">
        <v>658</v>
      </c>
      <c r="B93" s="3">
        <v>93</v>
      </c>
      <c r="C93" s="3">
        <v>42.378729800000002</v>
      </c>
      <c r="D93" s="3">
        <v>-83.912675890000003</v>
      </c>
      <c r="E93" s="3" t="s">
        <v>1124</v>
      </c>
      <c r="F93" s="3" t="s">
        <v>1132</v>
      </c>
      <c r="G93" s="3" t="s">
        <v>1133</v>
      </c>
      <c r="H93" s="3" t="s">
        <v>1134</v>
      </c>
      <c r="I93" s="3" t="s">
        <v>1270</v>
      </c>
      <c r="J93" s="3"/>
      <c r="L93" s="3" t="s">
        <v>1279</v>
      </c>
      <c r="M93" s="3" t="s">
        <v>691</v>
      </c>
      <c r="N93" s="3">
        <f>35.4+33.1</f>
        <v>68.5</v>
      </c>
      <c r="O93" s="3">
        <v>2</v>
      </c>
      <c r="P93" t="s">
        <v>179</v>
      </c>
      <c r="Q93" s="3" t="s">
        <v>179</v>
      </c>
      <c r="R93" s="3" t="s">
        <v>179</v>
      </c>
    </row>
    <row r="94" spans="1:18" ht="159.5" x14ac:dyDescent="0.35">
      <c r="A94" s="3" t="s">
        <v>900</v>
      </c>
      <c r="B94" s="3">
        <v>94</v>
      </c>
      <c r="C94" s="3">
        <v>42.675545409999998</v>
      </c>
      <c r="D94" s="3">
        <v>-83.482740710000002</v>
      </c>
      <c r="E94" s="3" t="s">
        <v>1135</v>
      </c>
      <c r="F94" s="3" t="s">
        <v>1136</v>
      </c>
      <c r="G94" s="3" t="s">
        <v>1137</v>
      </c>
      <c r="H94" s="3" t="s">
        <v>1138</v>
      </c>
      <c r="I94" s="3" t="s">
        <v>905</v>
      </c>
      <c r="J94" s="3"/>
      <c r="L94" s="3" t="s">
        <v>1139</v>
      </c>
      <c r="M94" s="3" t="s">
        <v>754</v>
      </c>
      <c r="N94" s="3">
        <v>15</v>
      </c>
      <c r="O94" s="3">
        <v>1</v>
      </c>
      <c r="P94" t="s">
        <v>179</v>
      </c>
      <c r="Q94" t="s">
        <v>179</v>
      </c>
      <c r="R94" t="s">
        <v>179</v>
      </c>
    </row>
    <row r="95" spans="1:18" ht="116" x14ac:dyDescent="0.35">
      <c r="A95" s="3" t="s">
        <v>900</v>
      </c>
      <c r="B95" s="3">
        <v>95</v>
      </c>
      <c r="C95" s="3">
        <v>42.675840280000003</v>
      </c>
      <c r="D95" s="3">
        <v>-83.483042400000002</v>
      </c>
      <c r="E95" s="3" t="s">
        <v>1135</v>
      </c>
      <c r="F95" s="3" t="s">
        <v>1140</v>
      </c>
      <c r="G95" s="3" t="s">
        <v>1141</v>
      </c>
      <c r="H95" s="3" t="s">
        <v>1142</v>
      </c>
      <c r="I95" s="3" t="s">
        <v>905</v>
      </c>
      <c r="J95" s="3"/>
      <c r="L95" s="3" t="s">
        <v>1143</v>
      </c>
      <c r="M95" s="3" t="s">
        <v>754</v>
      </c>
      <c r="N95" s="3">
        <f>15.7+13.2</f>
        <v>28.9</v>
      </c>
      <c r="O95" s="3">
        <v>2</v>
      </c>
      <c r="P95" t="s">
        <v>179</v>
      </c>
      <c r="Q95" t="s">
        <v>179</v>
      </c>
      <c r="R95" t="s">
        <v>179</v>
      </c>
    </row>
    <row r="96" spans="1:18" ht="58" x14ac:dyDescent="0.35">
      <c r="A96" s="3" t="s">
        <v>900</v>
      </c>
      <c r="B96" s="3">
        <v>96</v>
      </c>
      <c r="C96" s="3">
        <v>42.676066640000002</v>
      </c>
      <c r="D96" s="3">
        <v>-83.482712809999995</v>
      </c>
      <c r="E96" s="3" t="s">
        <v>1135</v>
      </c>
      <c r="F96" s="3" t="s">
        <v>1144</v>
      </c>
      <c r="G96" s="3" t="s">
        <v>1145</v>
      </c>
      <c r="H96" s="3" t="s">
        <v>1146</v>
      </c>
      <c r="I96" s="3" t="s">
        <v>905</v>
      </c>
      <c r="J96" s="3"/>
      <c r="L96" s="3" t="s">
        <v>1147</v>
      </c>
      <c r="M96" s="3" t="s">
        <v>742</v>
      </c>
      <c r="N96" s="3">
        <v>14.2</v>
      </c>
      <c r="O96" s="3">
        <v>1</v>
      </c>
      <c r="P96" t="s">
        <v>179</v>
      </c>
      <c r="Q96" t="s">
        <v>179</v>
      </c>
      <c r="R96" t="s">
        <v>179</v>
      </c>
    </row>
    <row r="97" spans="1:18" ht="87" x14ac:dyDescent="0.35">
      <c r="A97" s="3" t="s">
        <v>900</v>
      </c>
      <c r="B97" s="3">
        <v>97</v>
      </c>
      <c r="C97" s="3">
        <v>42.675463550000003</v>
      </c>
      <c r="D97" s="3">
        <v>-83.482106900000005</v>
      </c>
      <c r="E97" s="3" t="s">
        <v>1148</v>
      </c>
      <c r="F97" s="3" t="s">
        <v>1149</v>
      </c>
      <c r="G97" s="3" t="s">
        <v>1150</v>
      </c>
      <c r="H97" s="3" t="s">
        <v>1151</v>
      </c>
      <c r="I97" s="3" t="s">
        <v>905</v>
      </c>
      <c r="J97" s="3"/>
      <c r="L97" s="3" t="s">
        <v>1152</v>
      </c>
      <c r="M97" s="3" t="s">
        <v>742</v>
      </c>
      <c r="N97" s="3">
        <v>26.2</v>
      </c>
      <c r="O97" s="3">
        <v>1</v>
      </c>
      <c r="P97" t="s">
        <v>179</v>
      </c>
      <c r="Q97" t="s">
        <v>179</v>
      </c>
      <c r="R97" t="s">
        <v>179</v>
      </c>
    </row>
    <row r="98" spans="1:18" ht="101.5" x14ac:dyDescent="0.35">
      <c r="A98" s="3" t="s">
        <v>900</v>
      </c>
      <c r="B98" s="3">
        <v>98</v>
      </c>
      <c r="C98" s="3">
        <v>42.675977510000003</v>
      </c>
      <c r="D98" s="3">
        <v>-83.481834570000004</v>
      </c>
      <c r="E98" s="3" t="s">
        <v>1148</v>
      </c>
      <c r="F98" s="3" t="s">
        <v>1153</v>
      </c>
      <c r="G98" s="3" t="s">
        <v>1154</v>
      </c>
      <c r="H98" s="3" t="s">
        <v>1155</v>
      </c>
      <c r="I98" s="3" t="s">
        <v>905</v>
      </c>
      <c r="J98" s="3"/>
      <c r="L98" s="3" t="s">
        <v>1156</v>
      </c>
      <c r="M98" s="3" t="s">
        <v>742</v>
      </c>
      <c r="N98" s="3">
        <v>20.7</v>
      </c>
      <c r="O98" s="3">
        <v>1</v>
      </c>
      <c r="P98" t="s">
        <v>179</v>
      </c>
      <c r="Q98" t="s">
        <v>179</v>
      </c>
      <c r="R98" t="s">
        <v>179</v>
      </c>
    </row>
    <row r="99" spans="1:18" ht="116" x14ac:dyDescent="0.35">
      <c r="A99" s="3" t="s">
        <v>900</v>
      </c>
      <c r="B99" s="3">
        <v>99</v>
      </c>
      <c r="C99" s="3">
        <v>42.676114949999999</v>
      </c>
      <c r="D99" s="3">
        <v>-83.482209499999996</v>
      </c>
      <c r="E99" s="3" t="s">
        <v>1148</v>
      </c>
      <c r="F99" s="3" t="s">
        <v>1157</v>
      </c>
      <c r="G99" s="3" t="s">
        <v>1158</v>
      </c>
      <c r="H99" s="3" t="s">
        <v>1159</v>
      </c>
      <c r="I99" s="3" t="s">
        <v>905</v>
      </c>
      <c r="J99" s="3"/>
      <c r="L99" s="3" t="s">
        <v>1160</v>
      </c>
      <c r="M99" s="3" t="s">
        <v>795</v>
      </c>
      <c r="N99" s="3">
        <v>28.5</v>
      </c>
      <c r="O99" s="3">
        <v>1</v>
      </c>
      <c r="P99" t="s">
        <v>179</v>
      </c>
      <c r="Q99" t="s">
        <v>179</v>
      </c>
      <c r="R99" t="s">
        <v>179</v>
      </c>
    </row>
    <row r="100" spans="1:18" ht="101.5" x14ac:dyDescent="0.35">
      <c r="A100" s="3" t="s">
        <v>900</v>
      </c>
      <c r="B100" s="3">
        <v>100</v>
      </c>
      <c r="C100" s="3">
        <v>42.676572350000001</v>
      </c>
      <c r="D100" s="3">
        <v>-83.481901570000005</v>
      </c>
      <c r="E100" s="3" t="s">
        <v>1161</v>
      </c>
      <c r="F100" s="3" t="s">
        <v>1162</v>
      </c>
      <c r="G100" s="3" t="s">
        <v>1163</v>
      </c>
      <c r="H100" s="3" t="s">
        <v>1164</v>
      </c>
      <c r="I100" s="3" t="s">
        <v>182</v>
      </c>
      <c r="J100" s="3"/>
      <c r="K100" s="2" t="s">
        <v>1165</v>
      </c>
      <c r="L100" s="3" t="s">
        <v>1166</v>
      </c>
      <c r="M100" s="3" t="s">
        <v>691</v>
      </c>
      <c r="N100" s="3">
        <v>34.9</v>
      </c>
      <c r="O100" s="3">
        <v>1</v>
      </c>
      <c r="P100" t="s">
        <v>179</v>
      </c>
      <c r="Q100" s="3" t="s">
        <v>179</v>
      </c>
      <c r="R100" s="3" t="s">
        <v>179</v>
      </c>
    </row>
    <row r="101" spans="1:18" ht="116" x14ac:dyDescent="0.35">
      <c r="A101" s="3" t="s">
        <v>900</v>
      </c>
      <c r="B101" s="3">
        <v>101</v>
      </c>
      <c r="C101" s="3">
        <v>42.676962680000003</v>
      </c>
      <c r="D101" s="3">
        <v>-83.480959240000004</v>
      </c>
      <c r="E101" s="3" t="s">
        <v>1161</v>
      </c>
      <c r="F101" s="3" t="s">
        <v>1167</v>
      </c>
      <c r="G101" s="3" t="s">
        <v>1168</v>
      </c>
      <c r="H101" s="3" t="s">
        <v>1169</v>
      </c>
      <c r="I101" s="3" t="s">
        <v>187</v>
      </c>
      <c r="J101" s="3"/>
      <c r="K101" s="2" t="s">
        <v>1170</v>
      </c>
      <c r="L101" s="3" t="s">
        <v>1171</v>
      </c>
      <c r="M101" s="3" t="s">
        <v>715</v>
      </c>
      <c r="N101" s="3">
        <v>24</v>
      </c>
      <c r="O101" s="3">
        <v>1</v>
      </c>
      <c r="P101" t="s">
        <v>179</v>
      </c>
      <c r="Q101" s="3" t="s">
        <v>179</v>
      </c>
      <c r="R101" s="3" t="s">
        <v>179</v>
      </c>
    </row>
    <row r="102" spans="1:18" ht="362.5" x14ac:dyDescent="0.35">
      <c r="A102" s="3" t="s">
        <v>900</v>
      </c>
      <c r="B102" s="3">
        <v>102</v>
      </c>
      <c r="C102" s="3">
        <v>42.67670871</v>
      </c>
      <c r="D102" s="3">
        <v>-83.480460379999997</v>
      </c>
      <c r="E102" s="3" t="s">
        <v>1161</v>
      </c>
      <c r="F102" s="3" t="s">
        <v>1172</v>
      </c>
      <c r="G102" s="3" t="s">
        <v>1173</v>
      </c>
      <c r="H102" s="3" t="s">
        <v>1174</v>
      </c>
      <c r="I102" s="3" t="s">
        <v>187</v>
      </c>
      <c r="J102" s="3"/>
      <c r="K102" s="2" t="s">
        <v>1175</v>
      </c>
      <c r="L102" s="3" t="s">
        <v>1176</v>
      </c>
      <c r="M102" s="3" t="s">
        <v>742</v>
      </c>
      <c r="N102" s="3">
        <v>40</v>
      </c>
      <c r="O102" s="3">
        <v>1</v>
      </c>
      <c r="P102" t="s">
        <v>179</v>
      </c>
      <c r="Q102" t="s">
        <v>179</v>
      </c>
      <c r="R102" t="s">
        <v>179</v>
      </c>
    </row>
    <row r="103" spans="1:18" ht="72.5" x14ac:dyDescent="0.35">
      <c r="A103" s="3" t="s">
        <v>260</v>
      </c>
      <c r="B103" s="3">
        <v>103</v>
      </c>
      <c r="C103" s="3">
        <v>42.706404030000002</v>
      </c>
      <c r="D103" s="3">
        <v>-83.493421240000004</v>
      </c>
      <c r="E103" s="3" t="s">
        <v>1177</v>
      </c>
      <c r="F103" s="3" t="s">
        <v>1178</v>
      </c>
      <c r="G103" s="3" t="s">
        <v>1179</v>
      </c>
      <c r="H103" s="3" t="s">
        <v>1180</v>
      </c>
      <c r="I103" s="3" t="s">
        <v>1257</v>
      </c>
      <c r="J103" s="3"/>
      <c r="L103" s="3" t="s">
        <v>1249</v>
      </c>
      <c r="M103" s="3" t="s">
        <v>778</v>
      </c>
      <c r="N103" s="3">
        <v>16.600000000000001</v>
      </c>
      <c r="O103" s="3">
        <v>1</v>
      </c>
      <c r="P103" t="s">
        <v>179</v>
      </c>
      <c r="Q103" t="s">
        <v>179</v>
      </c>
      <c r="R103" t="s">
        <v>179</v>
      </c>
    </row>
    <row r="104" spans="1:18" ht="58" x14ac:dyDescent="0.35">
      <c r="A104" s="3" t="s">
        <v>260</v>
      </c>
      <c r="B104" s="3">
        <v>104</v>
      </c>
      <c r="C104" s="3">
        <v>42.706236629999999</v>
      </c>
      <c r="D104" s="3">
        <v>-83.493822199999997</v>
      </c>
      <c r="E104" s="3" t="s">
        <v>1177</v>
      </c>
      <c r="F104" s="3" t="s">
        <v>1181</v>
      </c>
      <c r="G104" s="3" t="s">
        <v>1182</v>
      </c>
      <c r="H104" s="3" t="s">
        <v>1183</v>
      </c>
      <c r="I104" s="3" t="s">
        <v>1257</v>
      </c>
      <c r="J104" s="3"/>
      <c r="L104" s="3" t="s">
        <v>1258</v>
      </c>
      <c r="M104" s="3" t="s">
        <v>778</v>
      </c>
      <c r="N104" s="3">
        <v>40.200000000000003</v>
      </c>
      <c r="O104" s="3">
        <v>1</v>
      </c>
      <c r="P104" t="s">
        <v>179</v>
      </c>
      <c r="Q104" t="s">
        <v>179</v>
      </c>
      <c r="R104" t="s">
        <v>179</v>
      </c>
    </row>
    <row r="105" spans="1:18" ht="43.5" x14ac:dyDescent="0.35">
      <c r="A105" s="3" t="s">
        <v>260</v>
      </c>
      <c r="B105" s="3">
        <v>105</v>
      </c>
      <c r="C105" s="3">
        <v>42.706707729999998</v>
      </c>
      <c r="D105" s="3">
        <v>-83.49360969</v>
      </c>
      <c r="E105" s="3" t="s">
        <v>1177</v>
      </c>
      <c r="F105" s="3" t="s">
        <v>1184</v>
      </c>
      <c r="G105" s="3" t="s">
        <v>1185</v>
      </c>
      <c r="H105" s="3" t="s">
        <v>1186</v>
      </c>
      <c r="I105" s="3" t="s">
        <v>1257</v>
      </c>
      <c r="J105" s="3"/>
      <c r="L105" s="3" t="s">
        <v>1259</v>
      </c>
      <c r="M105" s="3" t="s">
        <v>871</v>
      </c>
      <c r="N105" s="3">
        <v>40.6</v>
      </c>
      <c r="O105" s="3">
        <v>1</v>
      </c>
      <c r="P105" t="s">
        <v>179</v>
      </c>
      <c r="Q105" t="s">
        <v>179</v>
      </c>
      <c r="R105" t="s">
        <v>179</v>
      </c>
    </row>
    <row r="106" spans="1:18" ht="87" x14ac:dyDescent="0.35">
      <c r="A106" s="3" t="s">
        <v>260</v>
      </c>
      <c r="B106" s="3">
        <v>106</v>
      </c>
      <c r="C106" s="3">
        <v>42.705727439999997</v>
      </c>
      <c r="D106" s="3">
        <v>-83.493866729999993</v>
      </c>
      <c r="E106" s="3" t="s">
        <v>1187</v>
      </c>
      <c r="F106" s="3" t="s">
        <v>1188</v>
      </c>
      <c r="G106" s="3" t="s">
        <v>1189</v>
      </c>
      <c r="H106" s="3" t="s">
        <v>1190</v>
      </c>
      <c r="I106" s="3" t="s">
        <v>1260</v>
      </c>
      <c r="J106" s="3"/>
      <c r="L106" s="3" t="s">
        <v>1261</v>
      </c>
      <c r="M106" s="3" t="s">
        <v>778</v>
      </c>
      <c r="N106" s="3">
        <f>38.6+21.2+17</f>
        <v>76.8</v>
      </c>
      <c r="O106" s="3">
        <v>3</v>
      </c>
      <c r="P106" t="s">
        <v>179</v>
      </c>
      <c r="Q106" t="s">
        <v>179</v>
      </c>
      <c r="R106" t="s">
        <v>179</v>
      </c>
    </row>
    <row r="107" spans="1:18" ht="72.5" x14ac:dyDescent="0.35">
      <c r="A107" s="3" t="s">
        <v>260</v>
      </c>
      <c r="B107" s="3">
        <v>107</v>
      </c>
      <c r="C107" s="3">
        <v>42.705357370000002</v>
      </c>
      <c r="D107" s="3">
        <v>-83.494123939999994</v>
      </c>
      <c r="E107" s="3" t="s">
        <v>1187</v>
      </c>
      <c r="F107" s="3" t="s">
        <v>1191</v>
      </c>
      <c r="G107" s="3" t="s">
        <v>1192</v>
      </c>
      <c r="H107" s="3" t="s">
        <v>1193</v>
      </c>
      <c r="I107" s="3" t="s">
        <v>1260</v>
      </c>
      <c r="J107" s="3"/>
      <c r="K107" s="2" t="s">
        <v>1262</v>
      </c>
      <c r="L107" s="3" t="s">
        <v>1263</v>
      </c>
      <c r="M107" s="3" t="s">
        <v>778</v>
      </c>
      <c r="N107" s="3">
        <v>44.6</v>
      </c>
      <c r="O107" s="3">
        <v>1</v>
      </c>
      <c r="P107" t="s">
        <v>179</v>
      </c>
      <c r="Q107" t="s">
        <v>179</v>
      </c>
      <c r="R107" t="s">
        <v>179</v>
      </c>
    </row>
    <row r="108" spans="1:18" ht="87" x14ac:dyDescent="0.35">
      <c r="A108" s="3" t="s">
        <v>260</v>
      </c>
      <c r="B108" s="3">
        <v>108</v>
      </c>
      <c r="C108" s="3">
        <v>42.705142950000003</v>
      </c>
      <c r="D108" s="3">
        <v>-83.494985650000004</v>
      </c>
      <c r="E108" s="3" t="s">
        <v>1187</v>
      </c>
      <c r="F108" s="3" t="s">
        <v>1194</v>
      </c>
      <c r="G108" s="3" t="s">
        <v>1195</v>
      </c>
      <c r="H108" s="3" t="s">
        <v>1196</v>
      </c>
      <c r="I108" s="3" t="s">
        <v>1264</v>
      </c>
      <c r="J108" s="3"/>
      <c r="K108" s="2" t="s">
        <v>1266</v>
      </c>
      <c r="L108" s="3" t="s">
        <v>1265</v>
      </c>
      <c r="M108" s="3" t="s">
        <v>778</v>
      </c>
      <c r="N108" s="3">
        <f>31.9+51.8</f>
        <v>83.699999999999989</v>
      </c>
      <c r="O108" s="3">
        <v>2</v>
      </c>
      <c r="P108" t="s">
        <v>179</v>
      </c>
      <c r="Q108" t="s">
        <v>179</v>
      </c>
      <c r="R108" t="s">
        <v>179</v>
      </c>
    </row>
    <row r="109" spans="1:18" ht="72.5" x14ac:dyDescent="0.35">
      <c r="A109" s="3" t="s">
        <v>260</v>
      </c>
      <c r="B109" s="3">
        <v>109</v>
      </c>
      <c r="C109" s="3">
        <v>42.702821120000003</v>
      </c>
      <c r="D109" s="3">
        <v>-83.496243629999995</v>
      </c>
      <c r="E109" s="3" t="s">
        <v>1197</v>
      </c>
      <c r="F109" s="3" t="s">
        <v>1198</v>
      </c>
      <c r="G109" s="3" t="s">
        <v>1199</v>
      </c>
      <c r="H109" s="3" t="s">
        <v>1200</v>
      </c>
      <c r="I109" s="3" t="s">
        <v>261</v>
      </c>
      <c r="J109" s="3"/>
      <c r="L109" s="3" t="s">
        <v>1201</v>
      </c>
      <c r="M109" s="3" t="s">
        <v>754</v>
      </c>
      <c r="N109" s="3">
        <v>7.5</v>
      </c>
      <c r="O109" s="3">
        <v>1</v>
      </c>
      <c r="P109" t="s">
        <v>179</v>
      </c>
      <c r="Q109" t="s">
        <v>179</v>
      </c>
      <c r="R109" t="s">
        <v>179</v>
      </c>
    </row>
    <row r="110" spans="1:18" ht="145" x14ac:dyDescent="0.35">
      <c r="A110" s="3" t="s">
        <v>260</v>
      </c>
      <c r="B110" s="3">
        <v>110</v>
      </c>
      <c r="C110" s="3">
        <v>42.702560490000003</v>
      </c>
      <c r="D110" s="3">
        <v>-83.495794520000004</v>
      </c>
      <c r="E110" s="3" t="s">
        <v>1197</v>
      </c>
      <c r="F110" s="3" t="s">
        <v>1202</v>
      </c>
      <c r="G110" s="3" t="s">
        <v>1203</v>
      </c>
      <c r="H110" s="3" t="s">
        <v>1204</v>
      </c>
      <c r="I110" s="3" t="s">
        <v>995</v>
      </c>
      <c r="J110" s="3" t="s">
        <v>1205</v>
      </c>
      <c r="K110" s="3" t="s">
        <v>1206</v>
      </c>
      <c r="L110" s="3" t="s">
        <v>1207</v>
      </c>
      <c r="M110" s="3" t="s">
        <v>795</v>
      </c>
      <c r="N110" s="3">
        <v>37.700000000000003</v>
      </c>
      <c r="O110" s="3">
        <v>1</v>
      </c>
      <c r="P110" t="s">
        <v>179</v>
      </c>
      <c r="Q110" s="3" t="s">
        <v>179</v>
      </c>
      <c r="R110" s="3" t="s">
        <v>179</v>
      </c>
    </row>
    <row r="111" spans="1:18" ht="203" x14ac:dyDescent="0.35">
      <c r="A111" s="3" t="s">
        <v>260</v>
      </c>
      <c r="B111" s="3">
        <v>111</v>
      </c>
      <c r="C111" s="3">
        <v>42.702496060000001</v>
      </c>
      <c r="D111" s="3">
        <v>-83.495138870000005</v>
      </c>
      <c r="E111" s="3" t="s">
        <v>1197</v>
      </c>
      <c r="F111" s="3" t="s">
        <v>1208</v>
      </c>
      <c r="G111" s="3" t="s">
        <v>1209</v>
      </c>
      <c r="H111" s="3" t="s">
        <v>1210</v>
      </c>
      <c r="I111" s="3" t="s">
        <v>995</v>
      </c>
      <c r="J111" s="3" t="s">
        <v>1211</v>
      </c>
      <c r="K111" s="3" t="s">
        <v>1212</v>
      </c>
      <c r="L111" s="3" t="s">
        <v>1213</v>
      </c>
      <c r="M111" s="3" t="s">
        <v>754</v>
      </c>
      <c r="N111" s="3" t="s">
        <v>657</v>
      </c>
      <c r="O111" s="3" t="s">
        <v>205</v>
      </c>
      <c r="P111" s="3" t="s">
        <v>179</v>
      </c>
      <c r="Q111" s="3" t="s">
        <v>179</v>
      </c>
      <c r="R111" s="3" t="s">
        <v>179</v>
      </c>
    </row>
    <row r="112" spans="1:18" ht="217.5" x14ac:dyDescent="0.35">
      <c r="A112" s="3" t="s">
        <v>237</v>
      </c>
      <c r="B112" s="3">
        <v>112</v>
      </c>
      <c r="C112" s="3">
        <v>42.53359794</v>
      </c>
      <c r="D112" s="3">
        <v>-83.671224730000006</v>
      </c>
      <c r="E112" s="3" t="s">
        <v>1214</v>
      </c>
      <c r="F112" s="3" t="s">
        <v>1215</v>
      </c>
      <c r="G112" s="3" t="s">
        <v>1216</v>
      </c>
      <c r="H112" s="3" t="s">
        <v>1217</v>
      </c>
      <c r="I112" s="3" t="s">
        <v>642</v>
      </c>
      <c r="J112" s="3" t="s">
        <v>1218</v>
      </c>
      <c r="L112" s="3" t="s">
        <v>1219</v>
      </c>
      <c r="M112" s="3" t="s">
        <v>656</v>
      </c>
      <c r="N112" s="3" t="s">
        <v>657</v>
      </c>
      <c r="O112" s="3" t="s">
        <v>205</v>
      </c>
      <c r="P112" t="s">
        <v>179</v>
      </c>
      <c r="Q112" s="3" t="s">
        <v>179</v>
      </c>
      <c r="R112" s="3" t="s">
        <v>179</v>
      </c>
    </row>
    <row r="113" spans="1:18" ht="116" x14ac:dyDescent="0.35">
      <c r="A113" s="3" t="s">
        <v>237</v>
      </c>
      <c r="B113" s="3">
        <v>113</v>
      </c>
      <c r="C113" s="3">
        <v>42.53386003</v>
      </c>
      <c r="D113" s="3">
        <v>-83.67146597</v>
      </c>
      <c r="E113" s="3" t="s">
        <v>1214</v>
      </c>
      <c r="F113" s="3" t="s">
        <v>1220</v>
      </c>
      <c r="G113" s="3" t="s">
        <v>1221</v>
      </c>
      <c r="H113" s="3" t="s">
        <v>1222</v>
      </c>
      <c r="I113" s="3" t="s">
        <v>1223</v>
      </c>
      <c r="J113" s="3"/>
      <c r="K113" s="2" t="s">
        <v>1224</v>
      </c>
      <c r="L113" s="3" t="s">
        <v>1225</v>
      </c>
      <c r="M113" s="3" t="s">
        <v>1226</v>
      </c>
      <c r="N113" s="3">
        <v>57.3</v>
      </c>
      <c r="O113" s="3">
        <v>1</v>
      </c>
      <c r="P113" t="s">
        <v>179</v>
      </c>
      <c r="Q113" s="3" t="s">
        <v>179</v>
      </c>
      <c r="R113" s="3" t="s">
        <v>179</v>
      </c>
    </row>
    <row r="114" spans="1:18" ht="43.5" x14ac:dyDescent="0.35">
      <c r="A114" s="3" t="s">
        <v>237</v>
      </c>
      <c r="B114" s="3">
        <v>114</v>
      </c>
      <c r="C114" s="3">
        <v>42.534377599999999</v>
      </c>
      <c r="D114" s="3">
        <v>-83.6712658</v>
      </c>
      <c r="E114" s="3" t="s">
        <v>1214</v>
      </c>
      <c r="F114" s="3" t="s">
        <v>1227</v>
      </c>
      <c r="G114" s="3" t="s">
        <v>1228</v>
      </c>
      <c r="H114" s="3" t="s">
        <v>1229</v>
      </c>
      <c r="I114" s="3" t="s">
        <v>1223</v>
      </c>
      <c r="J114" s="3"/>
      <c r="L114" s="3" t="s">
        <v>1230</v>
      </c>
      <c r="M114" s="3" t="s">
        <v>1226</v>
      </c>
      <c r="N114" s="3">
        <v>96</v>
      </c>
      <c r="O114" s="3">
        <v>1</v>
      </c>
      <c r="P114" t="s">
        <v>179</v>
      </c>
      <c r="Q114" t="s">
        <v>179</v>
      </c>
      <c r="R114" t="s">
        <v>179</v>
      </c>
    </row>
  </sheetData>
  <conditionalFormatting sqref="P1:R1048576">
    <cfRule type="cellIs" dxfId="6" priority="1" operator="equal">
      <formula>"n"</formula>
    </cfRule>
    <cfRule type="cellIs" dxfId="5" priority="2" operator="equal">
      <formula>"n"</formula>
    </cfRule>
    <cfRule type="cellIs" dxfId="4" priority="3" operator="equal">
      <formula>"y"</formula>
    </cfRule>
  </conditionalFormatting>
  <conditionalFormatting sqref="P2:R1048576">
    <cfRule type="containsText" dxfId="3" priority="4" operator="containsText" text="n">
      <formula>NOT(ISERROR(SEARCH("n",P2)))</formula>
    </cfRule>
    <cfRule type="containsText" dxfId="2" priority="5" operator="containsText" text="y">
      <formula>NOT(ISERROR(SEARCH("y",P2)))</formula>
    </cfRule>
    <cfRule type="colorScale" priority="6">
      <colorScale>
        <cfvo type="min"/>
        <cfvo type="percentile" val="50"/>
        <cfvo type="max"/>
        <color rgb="FFF8696B"/>
        <color rgb="FFFFEB84"/>
        <color rgb="FF63BE7B"/>
      </colorScale>
    </cfRule>
    <cfRule type="duplicateValues" priority="7"/>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65F7-7521-4BEF-B2D9-46780C59A1B3}">
  <dimension ref="A1:O497"/>
  <sheetViews>
    <sheetView tabSelected="1" workbookViewId="0">
      <pane ySplit="1" topLeftCell="A404" activePane="bottomLeft" state="frozen"/>
      <selection pane="bottomLeft" activeCell="O1" sqref="O1"/>
    </sheetView>
  </sheetViews>
  <sheetFormatPr defaultRowHeight="14.5" x14ac:dyDescent="0.35"/>
  <cols>
    <col min="1" max="1" width="12.1796875" customWidth="1"/>
    <col min="2" max="2" width="10.08984375" customWidth="1"/>
    <col min="3" max="3" width="8.54296875" customWidth="1"/>
    <col min="4" max="4" width="10" customWidth="1"/>
    <col min="5" max="5" width="17.36328125" customWidth="1"/>
    <col min="6" max="13" width="7.1796875" customWidth="1"/>
    <col min="14" max="14" width="9.36328125" customWidth="1"/>
    <col min="15" max="15" width="24.81640625" customWidth="1"/>
    <col min="16" max="16" width="21.81640625" customWidth="1"/>
  </cols>
  <sheetData>
    <row r="1" spans="1:15" s="2" customFormat="1" ht="101.5" customHeight="1" x14ac:dyDescent="0.35">
      <c r="A1" s="2" t="s">
        <v>1231</v>
      </c>
      <c r="B1" s="2" t="s">
        <v>2</v>
      </c>
      <c r="C1" s="2" t="s">
        <v>27</v>
      </c>
      <c r="D1" s="2" t="s">
        <v>29</v>
      </c>
      <c r="E1" s="2" t="s">
        <v>414</v>
      </c>
      <c r="F1" s="5" t="s">
        <v>31</v>
      </c>
      <c r="G1" s="5" t="s">
        <v>33</v>
      </c>
      <c r="H1" s="5" t="s">
        <v>34</v>
      </c>
      <c r="I1" s="5" t="s">
        <v>35</v>
      </c>
      <c r="J1" s="6" t="s">
        <v>36</v>
      </c>
      <c r="K1" s="6" t="s">
        <v>38</v>
      </c>
      <c r="L1" s="6" t="s">
        <v>39</v>
      </c>
      <c r="M1" s="6" t="s">
        <v>40</v>
      </c>
      <c r="N1" s="7" t="s">
        <v>41</v>
      </c>
      <c r="O1" s="2" t="s">
        <v>45</v>
      </c>
    </row>
    <row r="2" spans="1:15" ht="17" customHeight="1" x14ac:dyDescent="0.35">
      <c r="A2">
        <v>2024</v>
      </c>
      <c r="B2">
        <v>1</v>
      </c>
      <c r="C2" t="s">
        <v>415</v>
      </c>
      <c r="D2">
        <v>0</v>
      </c>
      <c r="E2">
        <v>3.5</v>
      </c>
      <c r="F2">
        <v>1</v>
      </c>
      <c r="G2">
        <v>0</v>
      </c>
      <c r="H2">
        <v>1</v>
      </c>
      <c r="I2">
        <v>0</v>
      </c>
      <c r="J2">
        <v>0</v>
      </c>
      <c r="K2">
        <v>0</v>
      </c>
      <c r="L2">
        <v>1</v>
      </c>
      <c r="M2">
        <v>1</v>
      </c>
      <c r="N2">
        <v>3.37</v>
      </c>
    </row>
    <row r="3" spans="1:15" ht="17" customHeight="1" x14ac:dyDescent="0.35">
      <c r="A3">
        <v>2024</v>
      </c>
      <c r="B3">
        <v>1</v>
      </c>
      <c r="C3" t="s">
        <v>416</v>
      </c>
      <c r="D3">
        <v>0</v>
      </c>
      <c r="E3">
        <v>3.5</v>
      </c>
      <c r="F3">
        <v>0</v>
      </c>
      <c r="G3">
        <v>1</v>
      </c>
      <c r="H3">
        <v>1</v>
      </c>
      <c r="I3">
        <v>0</v>
      </c>
      <c r="J3">
        <v>1</v>
      </c>
      <c r="K3">
        <v>1</v>
      </c>
      <c r="L3">
        <v>0</v>
      </c>
      <c r="M3">
        <v>0</v>
      </c>
      <c r="N3">
        <v>3.37</v>
      </c>
    </row>
    <row r="4" spans="1:15" ht="17" customHeight="1" x14ac:dyDescent="0.35">
      <c r="A4">
        <v>2024</v>
      </c>
      <c r="B4">
        <v>1</v>
      </c>
      <c r="C4" t="s">
        <v>275</v>
      </c>
      <c r="D4">
        <v>0</v>
      </c>
      <c r="E4">
        <v>15.5</v>
      </c>
      <c r="F4">
        <v>1</v>
      </c>
      <c r="G4">
        <v>0</v>
      </c>
      <c r="H4">
        <v>1</v>
      </c>
      <c r="I4">
        <v>1</v>
      </c>
      <c r="J4">
        <v>2</v>
      </c>
      <c r="K4">
        <v>0</v>
      </c>
      <c r="L4">
        <v>4</v>
      </c>
      <c r="M4">
        <v>0</v>
      </c>
      <c r="N4">
        <v>3.37</v>
      </c>
    </row>
    <row r="5" spans="1:15" ht="17" customHeight="1" x14ac:dyDescent="0.35">
      <c r="A5">
        <v>2024</v>
      </c>
      <c r="B5">
        <v>1</v>
      </c>
      <c r="C5" t="s">
        <v>417</v>
      </c>
      <c r="D5">
        <v>0</v>
      </c>
      <c r="E5">
        <v>3.5</v>
      </c>
      <c r="F5">
        <v>0</v>
      </c>
      <c r="G5">
        <v>0</v>
      </c>
      <c r="H5">
        <v>1</v>
      </c>
      <c r="I5">
        <v>0</v>
      </c>
      <c r="J5">
        <v>1</v>
      </c>
      <c r="K5">
        <v>1</v>
      </c>
      <c r="L5">
        <v>2</v>
      </c>
      <c r="M5">
        <v>0</v>
      </c>
      <c r="N5">
        <v>3.37</v>
      </c>
    </row>
    <row r="6" spans="1:15" ht="17" customHeight="1" x14ac:dyDescent="0.35">
      <c r="A6">
        <v>2024</v>
      </c>
      <c r="B6">
        <v>2</v>
      </c>
      <c r="C6" t="s">
        <v>415</v>
      </c>
      <c r="D6">
        <v>0</v>
      </c>
      <c r="E6">
        <v>3.5</v>
      </c>
      <c r="F6">
        <v>1</v>
      </c>
      <c r="G6">
        <v>0</v>
      </c>
      <c r="H6">
        <v>0</v>
      </c>
      <c r="I6">
        <v>0</v>
      </c>
      <c r="J6">
        <v>0</v>
      </c>
      <c r="K6">
        <v>0</v>
      </c>
      <c r="L6">
        <v>0</v>
      </c>
      <c r="M6">
        <v>1</v>
      </c>
      <c r="N6">
        <v>3.37</v>
      </c>
    </row>
    <row r="7" spans="1:15" ht="17" customHeight="1" x14ac:dyDescent="0.35">
      <c r="A7">
        <v>2024</v>
      </c>
      <c r="B7">
        <v>2</v>
      </c>
      <c r="C7" t="s">
        <v>416</v>
      </c>
      <c r="D7">
        <v>0</v>
      </c>
      <c r="E7">
        <v>3.5</v>
      </c>
      <c r="F7">
        <v>0</v>
      </c>
      <c r="G7">
        <v>0</v>
      </c>
      <c r="H7">
        <v>0</v>
      </c>
      <c r="I7">
        <v>0</v>
      </c>
      <c r="J7">
        <v>0</v>
      </c>
      <c r="K7">
        <v>0</v>
      </c>
      <c r="L7">
        <v>0</v>
      </c>
      <c r="M7">
        <v>2</v>
      </c>
      <c r="N7">
        <v>3.37</v>
      </c>
    </row>
    <row r="8" spans="1:15" ht="17" customHeight="1" x14ac:dyDescent="0.35">
      <c r="A8">
        <v>2024</v>
      </c>
      <c r="B8">
        <v>2</v>
      </c>
      <c r="C8" t="s">
        <v>275</v>
      </c>
      <c r="D8">
        <v>0</v>
      </c>
      <c r="E8">
        <v>0</v>
      </c>
      <c r="F8">
        <v>0</v>
      </c>
      <c r="G8">
        <v>0</v>
      </c>
      <c r="H8">
        <v>0</v>
      </c>
      <c r="I8">
        <v>0</v>
      </c>
      <c r="J8">
        <v>0</v>
      </c>
      <c r="K8">
        <v>0</v>
      </c>
      <c r="L8">
        <v>0</v>
      </c>
      <c r="M8">
        <v>0</v>
      </c>
      <c r="N8">
        <v>3.37</v>
      </c>
    </row>
    <row r="9" spans="1:15" ht="17" customHeight="1" x14ac:dyDescent="0.35">
      <c r="A9">
        <v>2024</v>
      </c>
      <c r="B9">
        <v>2</v>
      </c>
      <c r="C9" t="s">
        <v>417</v>
      </c>
      <c r="D9">
        <v>0</v>
      </c>
      <c r="E9">
        <v>8</v>
      </c>
      <c r="F9">
        <v>0</v>
      </c>
      <c r="G9">
        <v>0</v>
      </c>
      <c r="H9">
        <v>0</v>
      </c>
      <c r="I9">
        <v>0</v>
      </c>
      <c r="J9">
        <v>1</v>
      </c>
      <c r="K9">
        <v>0</v>
      </c>
      <c r="L9">
        <v>0</v>
      </c>
      <c r="M9">
        <v>0</v>
      </c>
      <c r="N9">
        <v>3.37</v>
      </c>
      <c r="O9" t="s">
        <v>418</v>
      </c>
    </row>
    <row r="10" spans="1:15" ht="17" customHeight="1" x14ac:dyDescent="0.35">
      <c r="A10">
        <v>2024</v>
      </c>
      <c r="B10">
        <v>3</v>
      </c>
      <c r="C10" t="s">
        <v>415</v>
      </c>
      <c r="D10">
        <v>0</v>
      </c>
      <c r="E10">
        <v>0</v>
      </c>
      <c r="F10">
        <v>0</v>
      </c>
      <c r="G10">
        <v>0</v>
      </c>
      <c r="H10">
        <v>0</v>
      </c>
      <c r="I10">
        <v>0</v>
      </c>
      <c r="J10">
        <v>0</v>
      </c>
      <c r="K10">
        <v>0</v>
      </c>
      <c r="L10">
        <v>0</v>
      </c>
      <c r="M10">
        <v>0</v>
      </c>
      <c r="N10">
        <v>3.37</v>
      </c>
    </row>
    <row r="11" spans="1:15" ht="17" customHeight="1" x14ac:dyDescent="0.35">
      <c r="A11">
        <v>2024</v>
      </c>
      <c r="B11">
        <v>3</v>
      </c>
      <c r="C11" t="s">
        <v>416</v>
      </c>
      <c r="D11">
        <v>0</v>
      </c>
      <c r="E11">
        <v>0</v>
      </c>
      <c r="F11">
        <v>0</v>
      </c>
      <c r="G11">
        <v>0</v>
      </c>
      <c r="H11">
        <v>0</v>
      </c>
      <c r="I11">
        <v>0</v>
      </c>
      <c r="J11">
        <v>0</v>
      </c>
      <c r="K11">
        <v>0</v>
      </c>
      <c r="L11">
        <v>0</v>
      </c>
      <c r="M11">
        <v>0</v>
      </c>
      <c r="N11">
        <v>3.37</v>
      </c>
      <c r="O11" t="s">
        <v>419</v>
      </c>
    </row>
    <row r="12" spans="1:15" ht="17" customHeight="1" x14ac:dyDescent="0.35">
      <c r="A12">
        <v>2024</v>
      </c>
      <c r="B12">
        <v>3</v>
      </c>
      <c r="C12" t="s">
        <v>275</v>
      </c>
      <c r="D12">
        <v>0</v>
      </c>
      <c r="E12">
        <v>0</v>
      </c>
      <c r="F12">
        <v>0</v>
      </c>
      <c r="G12">
        <v>0</v>
      </c>
      <c r="H12">
        <v>0</v>
      </c>
      <c r="I12">
        <v>0</v>
      </c>
      <c r="J12">
        <v>0</v>
      </c>
      <c r="K12">
        <v>0</v>
      </c>
      <c r="L12">
        <v>0</v>
      </c>
      <c r="M12">
        <v>0</v>
      </c>
      <c r="N12">
        <v>3.37</v>
      </c>
      <c r="O12" t="s">
        <v>420</v>
      </c>
    </row>
    <row r="13" spans="1:15" ht="17" customHeight="1" x14ac:dyDescent="0.35">
      <c r="A13">
        <v>2024</v>
      </c>
      <c r="B13">
        <v>3</v>
      </c>
      <c r="C13" t="s">
        <v>417</v>
      </c>
      <c r="D13">
        <v>0</v>
      </c>
      <c r="E13">
        <v>0</v>
      </c>
      <c r="F13">
        <v>0</v>
      </c>
      <c r="G13">
        <v>0</v>
      </c>
      <c r="H13">
        <v>0</v>
      </c>
      <c r="I13">
        <v>0</v>
      </c>
      <c r="J13">
        <v>0</v>
      </c>
      <c r="K13">
        <v>0</v>
      </c>
      <c r="L13">
        <v>0</v>
      </c>
      <c r="M13">
        <v>0</v>
      </c>
      <c r="N13">
        <v>3.37</v>
      </c>
    </row>
    <row r="14" spans="1:15" ht="17" customHeight="1" x14ac:dyDescent="0.35">
      <c r="A14">
        <v>2024</v>
      </c>
      <c r="B14">
        <v>94</v>
      </c>
      <c r="C14" t="s">
        <v>415</v>
      </c>
      <c r="D14">
        <v>0</v>
      </c>
      <c r="E14">
        <v>0.5</v>
      </c>
      <c r="F14">
        <v>0</v>
      </c>
      <c r="G14">
        <v>0</v>
      </c>
      <c r="H14">
        <v>0</v>
      </c>
      <c r="I14">
        <v>1</v>
      </c>
      <c r="J14">
        <v>0</v>
      </c>
      <c r="K14">
        <v>0</v>
      </c>
      <c r="L14">
        <v>0</v>
      </c>
      <c r="M14">
        <v>0</v>
      </c>
      <c r="N14">
        <v>3.37</v>
      </c>
    </row>
    <row r="15" spans="1:15" ht="17" customHeight="1" x14ac:dyDescent="0.35">
      <c r="A15">
        <v>2024</v>
      </c>
      <c r="B15">
        <v>94</v>
      </c>
      <c r="C15" t="s">
        <v>416</v>
      </c>
      <c r="D15">
        <v>0</v>
      </c>
      <c r="E15">
        <v>45.5</v>
      </c>
      <c r="F15">
        <v>3</v>
      </c>
      <c r="G15">
        <v>1</v>
      </c>
      <c r="H15">
        <v>4</v>
      </c>
      <c r="I15">
        <v>1</v>
      </c>
      <c r="J15">
        <v>3</v>
      </c>
      <c r="K15">
        <v>1</v>
      </c>
      <c r="L15">
        <v>9</v>
      </c>
      <c r="M15">
        <v>4</v>
      </c>
      <c r="N15">
        <v>3.37</v>
      </c>
    </row>
    <row r="16" spans="1:15" ht="17" customHeight="1" x14ac:dyDescent="0.35">
      <c r="A16">
        <v>2024</v>
      </c>
      <c r="B16">
        <v>94</v>
      </c>
      <c r="C16" t="s">
        <v>275</v>
      </c>
      <c r="D16">
        <v>0</v>
      </c>
      <c r="E16">
        <v>25.5</v>
      </c>
      <c r="F16">
        <v>0</v>
      </c>
      <c r="G16">
        <v>1</v>
      </c>
      <c r="H16">
        <v>0</v>
      </c>
      <c r="I16">
        <v>3</v>
      </c>
      <c r="J16">
        <v>3</v>
      </c>
      <c r="K16">
        <v>3</v>
      </c>
      <c r="L16">
        <v>1</v>
      </c>
      <c r="M16">
        <v>3</v>
      </c>
      <c r="N16">
        <v>3.37</v>
      </c>
    </row>
    <row r="17" spans="1:15" ht="17" customHeight="1" x14ac:dyDescent="0.35">
      <c r="A17">
        <v>2024</v>
      </c>
      <c r="B17">
        <v>94</v>
      </c>
      <c r="C17" t="s">
        <v>417</v>
      </c>
      <c r="D17">
        <v>0</v>
      </c>
      <c r="E17">
        <v>3.5</v>
      </c>
      <c r="F17">
        <v>0</v>
      </c>
      <c r="G17">
        <v>0</v>
      </c>
      <c r="H17">
        <v>1</v>
      </c>
      <c r="I17">
        <v>1</v>
      </c>
      <c r="J17">
        <v>2</v>
      </c>
      <c r="K17">
        <v>2</v>
      </c>
      <c r="L17">
        <v>4</v>
      </c>
      <c r="M17">
        <v>0</v>
      </c>
      <c r="N17">
        <v>3.37</v>
      </c>
    </row>
    <row r="18" spans="1:15" ht="17" customHeight="1" x14ac:dyDescent="0.35">
      <c r="A18">
        <v>2024</v>
      </c>
      <c r="B18">
        <v>97</v>
      </c>
      <c r="C18" t="s">
        <v>415</v>
      </c>
      <c r="D18">
        <v>0</v>
      </c>
      <c r="E18">
        <v>3.5</v>
      </c>
      <c r="F18">
        <v>0</v>
      </c>
      <c r="G18">
        <v>0</v>
      </c>
      <c r="H18">
        <v>0</v>
      </c>
      <c r="I18">
        <v>0</v>
      </c>
      <c r="J18">
        <v>0</v>
      </c>
      <c r="K18">
        <v>3</v>
      </c>
      <c r="L18">
        <v>0</v>
      </c>
      <c r="M18">
        <v>1</v>
      </c>
      <c r="N18">
        <v>3.37</v>
      </c>
    </row>
    <row r="19" spans="1:15" ht="17" customHeight="1" x14ac:dyDescent="0.35">
      <c r="A19">
        <v>2024</v>
      </c>
      <c r="B19">
        <v>97</v>
      </c>
      <c r="C19" t="s">
        <v>416</v>
      </c>
      <c r="D19">
        <v>0</v>
      </c>
      <c r="E19">
        <v>8</v>
      </c>
      <c r="F19">
        <v>2</v>
      </c>
      <c r="G19">
        <v>0</v>
      </c>
      <c r="H19">
        <v>0</v>
      </c>
      <c r="I19">
        <v>0</v>
      </c>
      <c r="J19">
        <v>2</v>
      </c>
      <c r="K19">
        <v>0</v>
      </c>
      <c r="L19">
        <v>0</v>
      </c>
      <c r="M19">
        <v>0</v>
      </c>
      <c r="N19">
        <v>3.37</v>
      </c>
    </row>
    <row r="20" spans="1:15" ht="17" customHeight="1" x14ac:dyDescent="0.35">
      <c r="A20">
        <v>2024</v>
      </c>
      <c r="B20">
        <v>97</v>
      </c>
      <c r="C20" t="s">
        <v>275</v>
      </c>
      <c r="D20">
        <v>0</v>
      </c>
      <c r="E20">
        <v>25.5</v>
      </c>
      <c r="F20">
        <v>0</v>
      </c>
      <c r="G20">
        <v>3</v>
      </c>
      <c r="H20">
        <v>5</v>
      </c>
      <c r="I20">
        <v>0</v>
      </c>
      <c r="J20">
        <v>3</v>
      </c>
      <c r="K20">
        <v>2</v>
      </c>
      <c r="L20">
        <v>6</v>
      </c>
      <c r="M20">
        <v>1</v>
      </c>
      <c r="N20">
        <v>3.37</v>
      </c>
    </row>
    <row r="21" spans="1:15" ht="17" customHeight="1" x14ac:dyDescent="0.35">
      <c r="A21">
        <v>2024</v>
      </c>
      <c r="B21">
        <v>97</v>
      </c>
      <c r="C21" t="s">
        <v>417</v>
      </c>
      <c r="D21">
        <v>0</v>
      </c>
      <c r="E21">
        <v>35.5</v>
      </c>
      <c r="F21">
        <v>11</v>
      </c>
      <c r="G21">
        <v>3</v>
      </c>
      <c r="H21">
        <v>4</v>
      </c>
      <c r="I21">
        <v>3</v>
      </c>
      <c r="J21">
        <v>7</v>
      </c>
      <c r="K21">
        <v>7</v>
      </c>
      <c r="L21">
        <v>6</v>
      </c>
      <c r="M21">
        <v>4</v>
      </c>
      <c r="N21">
        <v>3.37</v>
      </c>
    </row>
    <row r="22" spans="1:15" ht="17" customHeight="1" x14ac:dyDescent="0.35">
      <c r="A22">
        <v>2024</v>
      </c>
      <c r="B22">
        <v>98</v>
      </c>
      <c r="C22" t="s">
        <v>415</v>
      </c>
      <c r="D22">
        <v>0</v>
      </c>
      <c r="E22">
        <v>0</v>
      </c>
      <c r="F22">
        <v>0</v>
      </c>
      <c r="G22">
        <v>0</v>
      </c>
      <c r="H22">
        <v>0</v>
      </c>
      <c r="I22">
        <v>0</v>
      </c>
      <c r="J22">
        <v>0</v>
      </c>
      <c r="K22">
        <v>0</v>
      </c>
      <c r="L22">
        <v>0</v>
      </c>
      <c r="M22">
        <v>0</v>
      </c>
      <c r="N22">
        <v>3.37</v>
      </c>
    </row>
    <row r="23" spans="1:15" ht="17" customHeight="1" x14ac:dyDescent="0.35">
      <c r="A23">
        <v>2024</v>
      </c>
      <c r="B23">
        <v>98</v>
      </c>
      <c r="C23" t="s">
        <v>416</v>
      </c>
      <c r="D23">
        <v>0</v>
      </c>
      <c r="E23">
        <v>8</v>
      </c>
      <c r="F23">
        <v>2</v>
      </c>
      <c r="G23">
        <v>1</v>
      </c>
      <c r="H23">
        <v>3</v>
      </c>
      <c r="I23">
        <v>4</v>
      </c>
      <c r="J23">
        <v>3</v>
      </c>
      <c r="K23">
        <v>2</v>
      </c>
      <c r="L23">
        <v>0</v>
      </c>
      <c r="M23">
        <v>1</v>
      </c>
      <c r="N23">
        <v>3.37</v>
      </c>
    </row>
    <row r="24" spans="1:15" ht="17" customHeight="1" x14ac:dyDescent="0.35">
      <c r="A24">
        <v>2024</v>
      </c>
      <c r="B24">
        <v>98</v>
      </c>
      <c r="C24" t="s">
        <v>275</v>
      </c>
      <c r="D24">
        <v>0</v>
      </c>
      <c r="E24">
        <v>1</v>
      </c>
      <c r="F24">
        <v>0</v>
      </c>
      <c r="G24">
        <v>1</v>
      </c>
      <c r="H24">
        <v>4</v>
      </c>
      <c r="I24">
        <v>0</v>
      </c>
      <c r="J24">
        <v>0</v>
      </c>
      <c r="K24">
        <v>0</v>
      </c>
      <c r="L24">
        <v>0</v>
      </c>
      <c r="M24">
        <v>0</v>
      </c>
      <c r="N24">
        <v>3.37</v>
      </c>
    </row>
    <row r="25" spans="1:15" ht="17" customHeight="1" x14ac:dyDescent="0.35">
      <c r="A25">
        <v>2024</v>
      </c>
      <c r="B25">
        <v>98</v>
      </c>
      <c r="C25" t="s">
        <v>417</v>
      </c>
      <c r="D25">
        <v>0</v>
      </c>
      <c r="E25">
        <v>1</v>
      </c>
      <c r="F25">
        <v>0</v>
      </c>
      <c r="G25">
        <v>1</v>
      </c>
      <c r="H25">
        <v>5</v>
      </c>
      <c r="I25">
        <v>0</v>
      </c>
      <c r="J25">
        <v>0</v>
      </c>
      <c r="K25">
        <v>0</v>
      </c>
      <c r="L25">
        <v>0</v>
      </c>
      <c r="M25">
        <v>0</v>
      </c>
      <c r="N25">
        <v>3.37</v>
      </c>
    </row>
    <row r="26" spans="1:15" ht="17" customHeight="1" x14ac:dyDescent="0.35">
      <c r="A26">
        <v>2024</v>
      </c>
      <c r="B26">
        <v>99</v>
      </c>
      <c r="C26" t="s">
        <v>415</v>
      </c>
      <c r="D26">
        <v>0</v>
      </c>
      <c r="E26">
        <v>0.5</v>
      </c>
      <c r="F26">
        <v>0</v>
      </c>
      <c r="G26">
        <v>0</v>
      </c>
      <c r="H26">
        <v>1</v>
      </c>
      <c r="I26">
        <v>1</v>
      </c>
      <c r="J26">
        <v>0</v>
      </c>
      <c r="K26">
        <v>0</v>
      </c>
      <c r="L26">
        <v>0</v>
      </c>
      <c r="M26">
        <v>0</v>
      </c>
      <c r="N26">
        <v>3.37</v>
      </c>
    </row>
    <row r="27" spans="1:15" ht="17" customHeight="1" x14ac:dyDescent="0.35">
      <c r="A27">
        <v>2024</v>
      </c>
      <c r="B27">
        <v>99</v>
      </c>
      <c r="C27" t="s">
        <v>416</v>
      </c>
      <c r="D27">
        <v>0</v>
      </c>
      <c r="E27">
        <v>0</v>
      </c>
      <c r="F27">
        <v>0</v>
      </c>
      <c r="G27">
        <v>0</v>
      </c>
      <c r="H27">
        <v>0</v>
      </c>
      <c r="I27">
        <v>0</v>
      </c>
      <c r="J27">
        <v>0</v>
      </c>
      <c r="K27">
        <v>0</v>
      </c>
      <c r="L27">
        <v>0</v>
      </c>
      <c r="M27">
        <v>0</v>
      </c>
      <c r="N27">
        <v>3.37</v>
      </c>
      <c r="O27" t="s">
        <v>421</v>
      </c>
    </row>
    <row r="28" spans="1:15" ht="17" customHeight="1" x14ac:dyDescent="0.35">
      <c r="A28">
        <v>2024</v>
      </c>
      <c r="B28">
        <v>99</v>
      </c>
      <c r="C28" t="s">
        <v>275</v>
      </c>
      <c r="D28">
        <v>0</v>
      </c>
      <c r="E28">
        <v>25.5</v>
      </c>
      <c r="F28">
        <v>0</v>
      </c>
      <c r="G28">
        <v>0</v>
      </c>
      <c r="H28">
        <v>0</v>
      </c>
      <c r="I28">
        <v>0</v>
      </c>
      <c r="J28">
        <v>0</v>
      </c>
      <c r="K28">
        <v>0</v>
      </c>
      <c r="L28">
        <v>3</v>
      </c>
      <c r="M28">
        <v>0</v>
      </c>
      <c r="N28">
        <v>3.37</v>
      </c>
      <c r="O28" t="s">
        <v>421</v>
      </c>
    </row>
    <row r="29" spans="1:15" ht="17" customHeight="1" x14ac:dyDescent="0.35">
      <c r="A29">
        <v>2024</v>
      </c>
      <c r="B29">
        <v>99</v>
      </c>
      <c r="C29" t="s">
        <v>417</v>
      </c>
      <c r="D29">
        <v>0</v>
      </c>
      <c r="E29">
        <v>0.5</v>
      </c>
      <c r="F29">
        <v>0</v>
      </c>
      <c r="G29">
        <v>1</v>
      </c>
      <c r="H29">
        <v>0</v>
      </c>
      <c r="I29">
        <v>0</v>
      </c>
      <c r="J29">
        <v>0</v>
      </c>
      <c r="K29">
        <v>0</v>
      </c>
      <c r="L29">
        <v>0</v>
      </c>
      <c r="M29">
        <v>0</v>
      </c>
      <c r="N29">
        <v>3.37</v>
      </c>
    </row>
    <row r="30" spans="1:15" ht="17" customHeight="1" x14ac:dyDescent="0.35">
      <c r="A30">
        <v>2024</v>
      </c>
      <c r="B30">
        <v>96</v>
      </c>
      <c r="C30" t="s">
        <v>415</v>
      </c>
      <c r="D30">
        <v>0</v>
      </c>
      <c r="E30">
        <v>15.5</v>
      </c>
      <c r="F30">
        <v>0</v>
      </c>
      <c r="G30">
        <v>2</v>
      </c>
      <c r="H30">
        <v>7</v>
      </c>
      <c r="I30">
        <v>5</v>
      </c>
      <c r="J30">
        <v>4</v>
      </c>
      <c r="K30">
        <v>1</v>
      </c>
      <c r="L30">
        <v>2</v>
      </c>
      <c r="M30">
        <v>1</v>
      </c>
      <c r="N30">
        <v>3.37</v>
      </c>
    </row>
    <row r="31" spans="1:15" ht="17" customHeight="1" x14ac:dyDescent="0.35">
      <c r="A31">
        <v>2024</v>
      </c>
      <c r="B31">
        <v>96</v>
      </c>
      <c r="C31" t="s">
        <v>416</v>
      </c>
      <c r="D31">
        <v>0</v>
      </c>
      <c r="E31">
        <v>8</v>
      </c>
      <c r="F31">
        <v>6</v>
      </c>
      <c r="G31">
        <v>3</v>
      </c>
      <c r="H31">
        <v>2</v>
      </c>
      <c r="I31">
        <v>7</v>
      </c>
      <c r="J31">
        <v>3</v>
      </c>
      <c r="K31">
        <v>3</v>
      </c>
      <c r="L31">
        <v>4</v>
      </c>
      <c r="M31">
        <v>1</v>
      </c>
      <c r="N31">
        <v>3.37</v>
      </c>
    </row>
    <row r="32" spans="1:15" ht="17" customHeight="1" x14ac:dyDescent="0.35">
      <c r="A32">
        <v>2024</v>
      </c>
      <c r="B32">
        <v>96</v>
      </c>
      <c r="C32" t="s">
        <v>275</v>
      </c>
      <c r="D32">
        <v>0</v>
      </c>
      <c r="E32">
        <v>15.5</v>
      </c>
      <c r="F32">
        <v>0</v>
      </c>
      <c r="G32">
        <v>1</v>
      </c>
      <c r="H32">
        <v>0</v>
      </c>
      <c r="I32">
        <v>0</v>
      </c>
      <c r="J32">
        <v>1</v>
      </c>
      <c r="K32">
        <v>0</v>
      </c>
      <c r="L32">
        <v>0</v>
      </c>
      <c r="M32">
        <v>3</v>
      </c>
      <c r="N32">
        <v>3.37</v>
      </c>
    </row>
    <row r="33" spans="1:15" ht="17" customHeight="1" x14ac:dyDescent="0.35">
      <c r="A33">
        <v>2024</v>
      </c>
      <c r="B33">
        <v>96</v>
      </c>
      <c r="C33" t="s">
        <v>417</v>
      </c>
      <c r="D33">
        <v>0</v>
      </c>
      <c r="E33">
        <v>15.5</v>
      </c>
      <c r="F33">
        <v>1</v>
      </c>
      <c r="G33">
        <v>0</v>
      </c>
      <c r="H33">
        <v>0</v>
      </c>
      <c r="I33">
        <v>1</v>
      </c>
      <c r="J33">
        <v>1</v>
      </c>
      <c r="K33">
        <v>2</v>
      </c>
      <c r="L33">
        <v>0</v>
      </c>
      <c r="M33">
        <v>3</v>
      </c>
      <c r="N33">
        <v>3.37</v>
      </c>
    </row>
    <row r="34" spans="1:15" ht="17" customHeight="1" x14ac:dyDescent="0.35">
      <c r="A34">
        <v>2024</v>
      </c>
      <c r="B34">
        <v>95</v>
      </c>
      <c r="C34" t="s">
        <v>415</v>
      </c>
      <c r="D34">
        <v>0</v>
      </c>
      <c r="E34">
        <v>25.5</v>
      </c>
      <c r="F34">
        <v>2</v>
      </c>
      <c r="G34">
        <v>2</v>
      </c>
      <c r="H34">
        <v>10</v>
      </c>
      <c r="I34">
        <v>3</v>
      </c>
      <c r="J34">
        <v>3</v>
      </c>
      <c r="K34">
        <v>0</v>
      </c>
      <c r="L34">
        <v>7</v>
      </c>
      <c r="M34">
        <v>3</v>
      </c>
      <c r="N34">
        <v>3.37</v>
      </c>
    </row>
    <row r="35" spans="1:15" ht="17" customHeight="1" x14ac:dyDescent="0.35">
      <c r="A35">
        <v>2024</v>
      </c>
      <c r="B35">
        <v>95</v>
      </c>
      <c r="C35" t="s">
        <v>416</v>
      </c>
      <c r="D35">
        <v>0</v>
      </c>
      <c r="E35">
        <v>15.5</v>
      </c>
      <c r="F35">
        <v>4</v>
      </c>
      <c r="G35">
        <v>3</v>
      </c>
      <c r="H35">
        <v>0</v>
      </c>
      <c r="I35">
        <v>7</v>
      </c>
      <c r="J35">
        <v>2</v>
      </c>
      <c r="K35">
        <v>2</v>
      </c>
      <c r="L35">
        <v>0</v>
      </c>
      <c r="M35">
        <v>1</v>
      </c>
      <c r="N35">
        <v>3.37</v>
      </c>
    </row>
    <row r="36" spans="1:15" ht="17" customHeight="1" x14ac:dyDescent="0.35">
      <c r="A36">
        <v>2024</v>
      </c>
      <c r="B36">
        <v>95</v>
      </c>
      <c r="C36" t="s">
        <v>275</v>
      </c>
      <c r="D36">
        <v>0</v>
      </c>
      <c r="E36">
        <v>35.5</v>
      </c>
      <c r="F36">
        <v>1</v>
      </c>
      <c r="G36">
        <v>2</v>
      </c>
      <c r="H36">
        <v>0</v>
      </c>
      <c r="I36">
        <v>1</v>
      </c>
      <c r="J36">
        <v>1</v>
      </c>
      <c r="K36">
        <v>2</v>
      </c>
      <c r="L36">
        <v>0</v>
      </c>
      <c r="M36">
        <v>3</v>
      </c>
      <c r="N36">
        <v>3.37</v>
      </c>
    </row>
    <row r="37" spans="1:15" ht="17" customHeight="1" x14ac:dyDescent="0.35">
      <c r="A37">
        <v>2024</v>
      </c>
      <c r="B37">
        <v>95</v>
      </c>
      <c r="C37" t="s">
        <v>417</v>
      </c>
      <c r="D37">
        <v>0</v>
      </c>
      <c r="E37">
        <v>15.5</v>
      </c>
      <c r="F37">
        <v>1</v>
      </c>
      <c r="G37">
        <v>2</v>
      </c>
      <c r="H37">
        <v>2</v>
      </c>
      <c r="I37">
        <v>1</v>
      </c>
      <c r="J37">
        <v>2</v>
      </c>
      <c r="K37">
        <v>0</v>
      </c>
      <c r="L37">
        <v>4</v>
      </c>
      <c r="M37">
        <v>0</v>
      </c>
      <c r="N37">
        <v>3.37</v>
      </c>
    </row>
    <row r="38" spans="1:15" ht="17" customHeight="1" x14ac:dyDescent="0.35">
      <c r="A38">
        <v>2024</v>
      </c>
      <c r="B38">
        <v>49</v>
      </c>
      <c r="C38" t="s">
        <v>415</v>
      </c>
      <c r="D38">
        <v>0</v>
      </c>
      <c r="E38">
        <v>55.5</v>
      </c>
      <c r="F38">
        <v>9</v>
      </c>
      <c r="G38">
        <v>7</v>
      </c>
      <c r="H38">
        <v>6</v>
      </c>
      <c r="I38">
        <v>7</v>
      </c>
      <c r="J38">
        <v>4</v>
      </c>
      <c r="K38">
        <v>4</v>
      </c>
      <c r="L38">
        <v>4</v>
      </c>
      <c r="M38">
        <v>3</v>
      </c>
      <c r="N38">
        <v>3.37</v>
      </c>
    </row>
    <row r="39" spans="1:15" ht="17" customHeight="1" x14ac:dyDescent="0.35">
      <c r="A39">
        <v>2024</v>
      </c>
      <c r="B39">
        <v>49</v>
      </c>
      <c r="C39" t="s">
        <v>416</v>
      </c>
      <c r="D39">
        <v>0</v>
      </c>
      <c r="E39">
        <v>45.5</v>
      </c>
      <c r="F39">
        <v>6</v>
      </c>
      <c r="G39">
        <v>3</v>
      </c>
      <c r="H39">
        <v>3</v>
      </c>
      <c r="I39">
        <v>9</v>
      </c>
      <c r="J39">
        <v>2</v>
      </c>
      <c r="K39">
        <v>1</v>
      </c>
      <c r="L39">
        <v>4</v>
      </c>
      <c r="M39">
        <v>5</v>
      </c>
      <c r="N39">
        <v>3.37</v>
      </c>
    </row>
    <row r="40" spans="1:15" ht="17" customHeight="1" x14ac:dyDescent="0.35">
      <c r="A40">
        <v>2024</v>
      </c>
      <c r="B40">
        <v>49</v>
      </c>
      <c r="C40" t="s">
        <v>275</v>
      </c>
      <c r="D40">
        <v>0</v>
      </c>
      <c r="E40">
        <v>8</v>
      </c>
      <c r="F40">
        <v>1</v>
      </c>
      <c r="G40">
        <v>2</v>
      </c>
      <c r="H40">
        <v>7</v>
      </c>
      <c r="I40">
        <v>4</v>
      </c>
      <c r="J40">
        <v>0</v>
      </c>
      <c r="K40">
        <v>2</v>
      </c>
      <c r="L40">
        <v>0</v>
      </c>
      <c r="M40">
        <v>0</v>
      </c>
      <c r="N40">
        <v>3.37</v>
      </c>
    </row>
    <row r="41" spans="1:15" ht="17" customHeight="1" x14ac:dyDescent="0.35">
      <c r="A41">
        <v>2024</v>
      </c>
      <c r="B41">
        <v>49</v>
      </c>
      <c r="C41" t="s">
        <v>417</v>
      </c>
      <c r="D41">
        <v>0</v>
      </c>
      <c r="E41">
        <v>8</v>
      </c>
      <c r="F41">
        <v>3</v>
      </c>
      <c r="G41">
        <v>1</v>
      </c>
      <c r="H41">
        <v>5</v>
      </c>
      <c r="I41">
        <v>4</v>
      </c>
      <c r="J41">
        <v>1</v>
      </c>
      <c r="K41">
        <v>1</v>
      </c>
      <c r="L41">
        <v>1</v>
      </c>
      <c r="M41">
        <v>2</v>
      </c>
      <c r="N41">
        <v>3.37</v>
      </c>
    </row>
    <row r="42" spans="1:15" ht="17" customHeight="1" x14ac:dyDescent="0.35">
      <c r="A42">
        <v>2024</v>
      </c>
      <c r="B42">
        <v>50</v>
      </c>
      <c r="C42" t="s">
        <v>415</v>
      </c>
      <c r="D42">
        <v>0</v>
      </c>
      <c r="E42">
        <v>3.5</v>
      </c>
      <c r="F42">
        <v>2</v>
      </c>
      <c r="G42">
        <v>0</v>
      </c>
      <c r="H42">
        <v>0</v>
      </c>
      <c r="I42">
        <v>1</v>
      </c>
      <c r="J42">
        <v>1</v>
      </c>
      <c r="K42">
        <v>0</v>
      </c>
      <c r="L42">
        <v>0</v>
      </c>
      <c r="M42">
        <v>2</v>
      </c>
      <c r="N42">
        <v>3.37</v>
      </c>
    </row>
    <row r="43" spans="1:15" ht="17" customHeight="1" x14ac:dyDescent="0.35">
      <c r="A43">
        <v>2024</v>
      </c>
      <c r="B43">
        <v>50</v>
      </c>
      <c r="C43" t="s">
        <v>416</v>
      </c>
      <c r="D43">
        <v>0</v>
      </c>
      <c r="E43">
        <v>35.5</v>
      </c>
      <c r="F43">
        <v>3</v>
      </c>
      <c r="G43">
        <v>1</v>
      </c>
      <c r="H43">
        <v>0</v>
      </c>
      <c r="I43">
        <v>1</v>
      </c>
      <c r="J43">
        <v>1</v>
      </c>
      <c r="K43">
        <v>4</v>
      </c>
      <c r="L43">
        <v>2</v>
      </c>
      <c r="M43">
        <v>2</v>
      </c>
      <c r="N43">
        <v>3.37</v>
      </c>
    </row>
    <row r="44" spans="1:15" ht="17" customHeight="1" x14ac:dyDescent="0.35">
      <c r="A44">
        <v>2024</v>
      </c>
      <c r="B44">
        <v>50</v>
      </c>
      <c r="C44" t="s">
        <v>275</v>
      </c>
      <c r="D44">
        <v>0</v>
      </c>
      <c r="E44">
        <v>3.5</v>
      </c>
      <c r="F44">
        <v>1</v>
      </c>
      <c r="G44">
        <v>0</v>
      </c>
      <c r="H44">
        <v>2</v>
      </c>
      <c r="I44">
        <v>0</v>
      </c>
      <c r="J44">
        <v>0</v>
      </c>
      <c r="K44">
        <v>1</v>
      </c>
      <c r="L44">
        <v>0</v>
      </c>
      <c r="M44">
        <v>2</v>
      </c>
      <c r="N44">
        <v>3.37</v>
      </c>
    </row>
    <row r="45" spans="1:15" ht="17" customHeight="1" x14ac:dyDescent="0.35">
      <c r="A45">
        <v>2024</v>
      </c>
      <c r="B45">
        <v>50</v>
      </c>
      <c r="C45" t="s">
        <v>417</v>
      </c>
      <c r="D45">
        <v>0</v>
      </c>
      <c r="E45">
        <v>8</v>
      </c>
      <c r="F45">
        <v>2</v>
      </c>
      <c r="G45">
        <v>3</v>
      </c>
      <c r="H45">
        <v>0</v>
      </c>
      <c r="I45">
        <v>0</v>
      </c>
      <c r="J45">
        <v>0</v>
      </c>
      <c r="K45">
        <v>4</v>
      </c>
      <c r="L45">
        <v>1</v>
      </c>
      <c r="M45">
        <v>0</v>
      </c>
      <c r="N45">
        <v>3.37</v>
      </c>
    </row>
    <row r="46" spans="1:15" ht="17" customHeight="1" x14ac:dyDescent="0.35">
      <c r="A46">
        <v>2024</v>
      </c>
      <c r="B46">
        <v>53</v>
      </c>
      <c r="C46" t="s">
        <v>415</v>
      </c>
      <c r="D46">
        <v>0</v>
      </c>
      <c r="E46">
        <v>15.5</v>
      </c>
      <c r="F46">
        <v>0</v>
      </c>
      <c r="G46">
        <v>0</v>
      </c>
      <c r="H46">
        <v>2</v>
      </c>
      <c r="I46">
        <v>3</v>
      </c>
      <c r="J46">
        <v>3</v>
      </c>
      <c r="K46">
        <v>1</v>
      </c>
      <c r="L46">
        <v>2</v>
      </c>
      <c r="M46">
        <v>4</v>
      </c>
      <c r="N46">
        <v>3.37</v>
      </c>
      <c r="O46" t="s">
        <v>422</v>
      </c>
    </row>
    <row r="47" spans="1:15" ht="17" customHeight="1" x14ac:dyDescent="0.35">
      <c r="A47">
        <v>2024</v>
      </c>
      <c r="B47">
        <v>53</v>
      </c>
      <c r="C47" t="s">
        <v>416</v>
      </c>
      <c r="D47">
        <v>0</v>
      </c>
      <c r="E47">
        <v>25.5</v>
      </c>
      <c r="F47">
        <v>3</v>
      </c>
      <c r="G47">
        <v>0</v>
      </c>
      <c r="H47">
        <v>0</v>
      </c>
      <c r="I47">
        <v>2</v>
      </c>
      <c r="J47">
        <v>3</v>
      </c>
      <c r="K47">
        <v>5</v>
      </c>
      <c r="L47">
        <v>0</v>
      </c>
      <c r="M47">
        <v>2</v>
      </c>
      <c r="N47">
        <v>3.37</v>
      </c>
      <c r="O47" t="s">
        <v>422</v>
      </c>
    </row>
    <row r="48" spans="1:15" ht="17" customHeight="1" x14ac:dyDescent="0.35">
      <c r="A48">
        <v>2024</v>
      </c>
      <c r="B48">
        <v>53</v>
      </c>
      <c r="C48" t="s">
        <v>275</v>
      </c>
      <c r="D48">
        <v>0</v>
      </c>
      <c r="E48">
        <v>3.5</v>
      </c>
      <c r="F48">
        <v>2</v>
      </c>
      <c r="G48">
        <v>0</v>
      </c>
      <c r="H48">
        <v>0</v>
      </c>
      <c r="I48">
        <v>0</v>
      </c>
      <c r="J48">
        <v>3</v>
      </c>
      <c r="K48">
        <v>0</v>
      </c>
      <c r="L48">
        <v>0</v>
      </c>
      <c r="M48">
        <v>1</v>
      </c>
      <c r="N48">
        <v>3.37</v>
      </c>
      <c r="O48" t="s">
        <v>422</v>
      </c>
    </row>
    <row r="49" spans="1:15" ht="17" customHeight="1" x14ac:dyDescent="0.35">
      <c r="A49">
        <v>2024</v>
      </c>
      <c r="B49">
        <v>53</v>
      </c>
      <c r="C49" t="s">
        <v>417</v>
      </c>
      <c r="D49">
        <v>0</v>
      </c>
      <c r="E49">
        <v>3.5</v>
      </c>
      <c r="F49">
        <v>2</v>
      </c>
      <c r="G49">
        <v>1</v>
      </c>
      <c r="H49">
        <v>1</v>
      </c>
      <c r="I49">
        <v>3</v>
      </c>
      <c r="J49">
        <v>1</v>
      </c>
      <c r="K49">
        <v>0</v>
      </c>
      <c r="L49">
        <v>0</v>
      </c>
      <c r="M49">
        <v>0</v>
      </c>
      <c r="N49">
        <v>3.37</v>
      </c>
      <c r="O49" t="s">
        <v>422</v>
      </c>
    </row>
    <row r="50" spans="1:15" ht="17" customHeight="1" x14ac:dyDescent="0.35">
      <c r="A50">
        <v>2024</v>
      </c>
      <c r="B50">
        <v>39</v>
      </c>
      <c r="C50" t="s">
        <v>415</v>
      </c>
      <c r="D50">
        <v>0</v>
      </c>
      <c r="E50">
        <v>0</v>
      </c>
      <c r="F50">
        <v>0</v>
      </c>
      <c r="G50">
        <v>0</v>
      </c>
      <c r="H50">
        <v>0</v>
      </c>
      <c r="I50">
        <v>0</v>
      </c>
      <c r="J50">
        <v>0</v>
      </c>
      <c r="K50">
        <v>0</v>
      </c>
      <c r="L50">
        <v>0</v>
      </c>
      <c r="M50">
        <v>0</v>
      </c>
      <c r="N50">
        <v>4.0599999999999996</v>
      </c>
      <c r="O50" t="s">
        <v>423</v>
      </c>
    </row>
    <row r="51" spans="1:15" ht="17" customHeight="1" x14ac:dyDescent="0.35">
      <c r="A51">
        <v>2024</v>
      </c>
      <c r="B51">
        <v>39</v>
      </c>
      <c r="C51" t="s">
        <v>416</v>
      </c>
      <c r="D51">
        <v>0</v>
      </c>
      <c r="E51">
        <v>0</v>
      </c>
      <c r="F51">
        <v>0</v>
      </c>
      <c r="G51">
        <v>0</v>
      </c>
      <c r="H51">
        <v>0</v>
      </c>
      <c r="I51">
        <v>0</v>
      </c>
      <c r="J51">
        <v>0</v>
      </c>
      <c r="K51">
        <v>0</v>
      </c>
      <c r="L51">
        <v>0</v>
      </c>
      <c r="M51">
        <v>0</v>
      </c>
      <c r="N51">
        <v>4.0599999999999996</v>
      </c>
    </row>
    <row r="52" spans="1:15" ht="17" customHeight="1" x14ac:dyDescent="0.35">
      <c r="A52">
        <v>2024</v>
      </c>
      <c r="B52">
        <v>39</v>
      </c>
      <c r="C52" t="s">
        <v>275</v>
      </c>
      <c r="D52">
        <v>0</v>
      </c>
      <c r="E52">
        <v>3.5</v>
      </c>
      <c r="F52">
        <v>0</v>
      </c>
      <c r="G52">
        <v>0</v>
      </c>
      <c r="H52">
        <v>0</v>
      </c>
      <c r="I52">
        <v>0</v>
      </c>
      <c r="J52">
        <v>0</v>
      </c>
      <c r="K52">
        <v>0</v>
      </c>
      <c r="L52">
        <v>1</v>
      </c>
      <c r="M52">
        <v>0</v>
      </c>
      <c r="N52">
        <v>4.0599999999999996</v>
      </c>
    </row>
    <row r="53" spans="1:15" ht="17" customHeight="1" x14ac:dyDescent="0.35">
      <c r="A53">
        <v>2024</v>
      </c>
      <c r="B53">
        <v>39</v>
      </c>
      <c r="C53" t="s">
        <v>417</v>
      </c>
      <c r="D53">
        <v>0</v>
      </c>
      <c r="E53">
        <v>0</v>
      </c>
      <c r="F53">
        <v>0</v>
      </c>
      <c r="G53">
        <v>0</v>
      </c>
      <c r="H53">
        <v>0</v>
      </c>
      <c r="I53">
        <v>0</v>
      </c>
      <c r="J53">
        <v>0</v>
      </c>
      <c r="K53">
        <v>0</v>
      </c>
      <c r="L53">
        <v>0</v>
      </c>
      <c r="M53">
        <v>0</v>
      </c>
      <c r="N53">
        <v>4.0599999999999996</v>
      </c>
    </row>
    <row r="54" spans="1:15" ht="17" customHeight="1" x14ac:dyDescent="0.35">
      <c r="A54">
        <v>2024</v>
      </c>
      <c r="B54">
        <v>51</v>
      </c>
      <c r="C54" t="s">
        <v>415</v>
      </c>
      <c r="D54">
        <v>0</v>
      </c>
      <c r="E54">
        <v>25.5</v>
      </c>
      <c r="F54">
        <v>8</v>
      </c>
      <c r="G54">
        <v>3</v>
      </c>
      <c r="H54">
        <v>7</v>
      </c>
      <c r="I54">
        <v>7</v>
      </c>
      <c r="J54">
        <v>4</v>
      </c>
      <c r="K54">
        <v>4</v>
      </c>
      <c r="L54">
        <v>2</v>
      </c>
      <c r="M54">
        <v>3</v>
      </c>
      <c r="N54">
        <v>4.0599999999999996</v>
      </c>
    </row>
    <row r="55" spans="1:15" ht="17" customHeight="1" x14ac:dyDescent="0.35">
      <c r="A55">
        <v>2024</v>
      </c>
      <c r="B55">
        <v>51</v>
      </c>
      <c r="C55" t="s">
        <v>416</v>
      </c>
      <c r="D55">
        <v>0</v>
      </c>
      <c r="E55">
        <v>15.5</v>
      </c>
      <c r="F55">
        <v>3</v>
      </c>
      <c r="G55">
        <v>3</v>
      </c>
      <c r="H55">
        <v>6</v>
      </c>
      <c r="I55">
        <v>5</v>
      </c>
      <c r="J55">
        <v>0</v>
      </c>
      <c r="K55">
        <v>1</v>
      </c>
      <c r="L55">
        <v>2</v>
      </c>
      <c r="M55">
        <v>0</v>
      </c>
      <c r="N55">
        <v>4.0599999999999996</v>
      </c>
    </row>
    <row r="56" spans="1:15" ht="17" customHeight="1" x14ac:dyDescent="0.35">
      <c r="A56">
        <v>2024</v>
      </c>
      <c r="B56">
        <v>51</v>
      </c>
      <c r="C56" t="s">
        <v>275</v>
      </c>
      <c r="D56">
        <v>0</v>
      </c>
      <c r="E56">
        <v>0.5</v>
      </c>
      <c r="F56">
        <v>0</v>
      </c>
      <c r="G56">
        <v>0</v>
      </c>
      <c r="H56">
        <v>1</v>
      </c>
      <c r="I56">
        <v>1</v>
      </c>
      <c r="J56">
        <v>0</v>
      </c>
      <c r="K56">
        <v>0</v>
      </c>
      <c r="L56">
        <v>0</v>
      </c>
      <c r="M56">
        <v>0</v>
      </c>
      <c r="N56">
        <v>4.0599999999999996</v>
      </c>
    </row>
    <row r="57" spans="1:15" ht="17" customHeight="1" x14ac:dyDescent="0.35">
      <c r="A57">
        <v>2024</v>
      </c>
      <c r="B57">
        <v>51</v>
      </c>
      <c r="C57" t="s">
        <v>417</v>
      </c>
      <c r="D57">
        <v>0</v>
      </c>
      <c r="E57">
        <v>3.5</v>
      </c>
      <c r="F57">
        <v>1</v>
      </c>
      <c r="G57">
        <v>2</v>
      </c>
      <c r="H57">
        <v>1</v>
      </c>
      <c r="I57">
        <v>1</v>
      </c>
      <c r="J57">
        <v>0</v>
      </c>
      <c r="K57">
        <v>3</v>
      </c>
      <c r="L57">
        <v>2</v>
      </c>
      <c r="M57">
        <v>0</v>
      </c>
      <c r="N57">
        <v>4.0599999999999996</v>
      </c>
    </row>
    <row r="58" spans="1:15" ht="17" customHeight="1" x14ac:dyDescent="0.35">
      <c r="A58">
        <v>2024</v>
      </c>
      <c r="B58">
        <v>52</v>
      </c>
      <c r="C58" t="s">
        <v>415</v>
      </c>
      <c r="D58">
        <v>0</v>
      </c>
      <c r="E58">
        <v>55.5</v>
      </c>
      <c r="F58">
        <v>9</v>
      </c>
      <c r="G58">
        <v>9</v>
      </c>
      <c r="H58">
        <v>4</v>
      </c>
      <c r="I58">
        <v>6</v>
      </c>
      <c r="J58">
        <v>8</v>
      </c>
      <c r="K58">
        <v>2</v>
      </c>
      <c r="L58">
        <v>4</v>
      </c>
      <c r="M58">
        <v>4</v>
      </c>
      <c r="N58">
        <v>4.0599999999999996</v>
      </c>
    </row>
    <row r="59" spans="1:15" ht="17" customHeight="1" x14ac:dyDescent="0.35">
      <c r="A59">
        <v>2024</v>
      </c>
      <c r="B59">
        <v>52</v>
      </c>
      <c r="C59" t="s">
        <v>416</v>
      </c>
      <c r="D59">
        <v>0</v>
      </c>
      <c r="E59">
        <v>25.5</v>
      </c>
      <c r="F59">
        <v>3</v>
      </c>
      <c r="G59">
        <v>4</v>
      </c>
      <c r="H59">
        <v>0</v>
      </c>
      <c r="I59">
        <v>0</v>
      </c>
      <c r="J59">
        <v>6</v>
      </c>
      <c r="K59">
        <v>1</v>
      </c>
      <c r="L59">
        <v>0</v>
      </c>
      <c r="M59">
        <v>1</v>
      </c>
      <c r="N59">
        <v>4.0599999999999996</v>
      </c>
      <c r="O59" t="s">
        <v>424</v>
      </c>
    </row>
    <row r="60" spans="1:15" ht="17" customHeight="1" x14ac:dyDescent="0.35">
      <c r="A60">
        <v>2024</v>
      </c>
      <c r="B60">
        <v>52</v>
      </c>
      <c r="C60" t="s">
        <v>275</v>
      </c>
      <c r="D60">
        <v>0</v>
      </c>
      <c r="E60">
        <v>25.5</v>
      </c>
      <c r="F60">
        <v>5</v>
      </c>
      <c r="G60">
        <v>5</v>
      </c>
      <c r="H60">
        <v>6</v>
      </c>
      <c r="I60">
        <v>1</v>
      </c>
      <c r="J60">
        <v>0</v>
      </c>
      <c r="K60">
        <v>5</v>
      </c>
      <c r="L60">
        <v>3</v>
      </c>
      <c r="M60">
        <v>0</v>
      </c>
      <c r="N60">
        <v>4.0599999999999996</v>
      </c>
      <c r="O60" t="s">
        <v>425</v>
      </c>
    </row>
    <row r="61" spans="1:15" ht="17" customHeight="1" x14ac:dyDescent="0.35">
      <c r="A61">
        <v>2024</v>
      </c>
      <c r="B61">
        <v>52</v>
      </c>
      <c r="C61" t="s">
        <v>417</v>
      </c>
      <c r="D61">
        <v>0</v>
      </c>
      <c r="E61">
        <v>45.5</v>
      </c>
      <c r="F61">
        <v>0</v>
      </c>
      <c r="G61">
        <v>3</v>
      </c>
      <c r="H61">
        <v>4</v>
      </c>
      <c r="I61">
        <v>4</v>
      </c>
      <c r="J61">
        <v>2</v>
      </c>
      <c r="K61">
        <v>4</v>
      </c>
      <c r="L61">
        <v>2</v>
      </c>
      <c r="M61">
        <v>2</v>
      </c>
      <c r="N61">
        <v>4.0599999999999996</v>
      </c>
      <c r="O61" t="s">
        <v>426</v>
      </c>
    </row>
    <row r="62" spans="1:15" ht="17" customHeight="1" x14ac:dyDescent="0.35">
      <c r="A62">
        <v>2024</v>
      </c>
      <c r="B62">
        <v>54</v>
      </c>
      <c r="C62" t="s">
        <v>415</v>
      </c>
      <c r="D62">
        <v>0</v>
      </c>
      <c r="E62">
        <v>35.5</v>
      </c>
      <c r="F62">
        <v>3</v>
      </c>
      <c r="G62">
        <v>4</v>
      </c>
      <c r="H62">
        <v>6</v>
      </c>
      <c r="I62">
        <v>7</v>
      </c>
      <c r="J62">
        <v>3</v>
      </c>
      <c r="K62">
        <v>0</v>
      </c>
      <c r="L62">
        <v>4</v>
      </c>
      <c r="M62">
        <v>3</v>
      </c>
      <c r="N62">
        <v>4.0599999999999996</v>
      </c>
      <c r="O62" t="s">
        <v>427</v>
      </c>
    </row>
    <row r="63" spans="1:15" ht="17" customHeight="1" x14ac:dyDescent="0.35">
      <c r="A63">
        <v>2024</v>
      </c>
      <c r="B63">
        <v>54</v>
      </c>
      <c r="C63" t="s">
        <v>416</v>
      </c>
      <c r="D63">
        <v>0</v>
      </c>
      <c r="E63">
        <v>35.5</v>
      </c>
      <c r="F63">
        <v>13</v>
      </c>
      <c r="G63">
        <v>14</v>
      </c>
      <c r="H63">
        <v>7</v>
      </c>
      <c r="I63">
        <v>6</v>
      </c>
      <c r="J63">
        <v>0</v>
      </c>
      <c r="K63">
        <v>0</v>
      </c>
      <c r="L63">
        <v>0</v>
      </c>
      <c r="M63">
        <v>0</v>
      </c>
      <c r="N63">
        <v>4.0599999999999996</v>
      </c>
    </row>
    <row r="64" spans="1:15" ht="17" customHeight="1" x14ac:dyDescent="0.35">
      <c r="A64">
        <v>2024</v>
      </c>
      <c r="B64">
        <v>54</v>
      </c>
      <c r="C64" t="s">
        <v>275</v>
      </c>
      <c r="D64">
        <v>0</v>
      </c>
      <c r="E64">
        <v>3.5</v>
      </c>
      <c r="F64">
        <v>3</v>
      </c>
      <c r="G64">
        <v>2</v>
      </c>
      <c r="H64">
        <v>2</v>
      </c>
      <c r="I64">
        <v>1</v>
      </c>
      <c r="J64">
        <v>1</v>
      </c>
      <c r="K64">
        <v>0</v>
      </c>
      <c r="L64">
        <v>0</v>
      </c>
      <c r="M64">
        <v>1</v>
      </c>
      <c r="N64">
        <v>4.0599999999999996</v>
      </c>
    </row>
    <row r="65" spans="1:15" ht="17" customHeight="1" x14ac:dyDescent="0.35">
      <c r="A65">
        <v>2024</v>
      </c>
      <c r="B65">
        <v>54</v>
      </c>
      <c r="C65" t="s">
        <v>417</v>
      </c>
      <c r="D65">
        <v>0</v>
      </c>
      <c r="E65">
        <v>35.5</v>
      </c>
      <c r="F65">
        <v>0</v>
      </c>
      <c r="G65">
        <v>3</v>
      </c>
      <c r="H65">
        <v>3</v>
      </c>
      <c r="I65">
        <v>2</v>
      </c>
      <c r="J65">
        <v>2</v>
      </c>
      <c r="K65">
        <v>3</v>
      </c>
      <c r="L65">
        <v>0</v>
      </c>
      <c r="M65">
        <v>1</v>
      </c>
      <c r="N65">
        <v>4.0599999999999996</v>
      </c>
      <c r="O65" t="s">
        <v>422</v>
      </c>
    </row>
    <row r="66" spans="1:15" s="11" customFormat="1" ht="17" customHeight="1" x14ac:dyDescent="0.35">
      <c r="A66">
        <v>2024</v>
      </c>
      <c r="B66" s="11">
        <v>38</v>
      </c>
      <c r="C66" s="11" t="s">
        <v>415</v>
      </c>
      <c r="D66" s="11">
        <v>0</v>
      </c>
      <c r="E66" s="11">
        <v>0</v>
      </c>
      <c r="F66" s="11">
        <v>0</v>
      </c>
      <c r="G66" s="11">
        <v>0</v>
      </c>
      <c r="H66" s="11">
        <v>0</v>
      </c>
      <c r="I66" s="11">
        <v>0</v>
      </c>
      <c r="J66" s="11">
        <v>0</v>
      </c>
      <c r="K66" s="11">
        <v>0</v>
      </c>
      <c r="L66" s="11">
        <v>0</v>
      </c>
      <c r="M66" s="11">
        <v>0</v>
      </c>
      <c r="N66">
        <v>4.0599999999999996</v>
      </c>
      <c r="O66" s="11" t="s">
        <v>422</v>
      </c>
    </row>
    <row r="67" spans="1:15" ht="17" customHeight="1" x14ac:dyDescent="0.35">
      <c r="A67">
        <v>2024</v>
      </c>
      <c r="B67">
        <v>38</v>
      </c>
      <c r="C67" t="s">
        <v>416</v>
      </c>
      <c r="D67">
        <v>0</v>
      </c>
      <c r="E67">
        <v>0</v>
      </c>
      <c r="F67">
        <v>0</v>
      </c>
      <c r="G67">
        <v>0</v>
      </c>
      <c r="H67">
        <v>0</v>
      </c>
      <c r="I67">
        <v>0</v>
      </c>
      <c r="J67">
        <v>0</v>
      </c>
      <c r="K67">
        <v>0</v>
      </c>
      <c r="L67">
        <v>0</v>
      </c>
      <c r="M67">
        <v>0</v>
      </c>
      <c r="N67">
        <v>4.0599999999999996</v>
      </c>
      <c r="O67" t="s">
        <v>428</v>
      </c>
    </row>
    <row r="68" spans="1:15" ht="17" customHeight="1" x14ac:dyDescent="0.35">
      <c r="A68">
        <v>2024</v>
      </c>
      <c r="B68">
        <v>38</v>
      </c>
      <c r="C68" t="s">
        <v>275</v>
      </c>
      <c r="D68">
        <v>0</v>
      </c>
      <c r="E68">
        <v>0</v>
      </c>
      <c r="F68">
        <v>0</v>
      </c>
      <c r="G68">
        <v>0</v>
      </c>
      <c r="H68">
        <v>0</v>
      </c>
      <c r="I68">
        <v>0</v>
      </c>
      <c r="J68">
        <v>0</v>
      </c>
      <c r="K68">
        <v>0</v>
      </c>
      <c r="L68">
        <v>0</v>
      </c>
      <c r="M68">
        <v>0</v>
      </c>
      <c r="N68">
        <v>4.0599999999999996</v>
      </c>
    </row>
    <row r="69" spans="1:15" ht="17" customHeight="1" x14ac:dyDescent="0.35">
      <c r="A69">
        <v>2024</v>
      </c>
      <c r="B69">
        <v>38</v>
      </c>
      <c r="C69" t="s">
        <v>417</v>
      </c>
      <c r="D69">
        <v>0</v>
      </c>
      <c r="E69">
        <v>0</v>
      </c>
      <c r="F69">
        <v>0</v>
      </c>
      <c r="G69">
        <v>0</v>
      </c>
      <c r="H69">
        <v>0</v>
      </c>
      <c r="I69">
        <v>0</v>
      </c>
      <c r="J69">
        <v>0</v>
      </c>
      <c r="K69">
        <v>0</v>
      </c>
      <c r="L69">
        <v>0</v>
      </c>
      <c r="M69">
        <v>0</v>
      </c>
      <c r="N69">
        <v>4.0599999999999996</v>
      </c>
      <c r="O69" t="s">
        <v>429</v>
      </c>
    </row>
    <row r="70" spans="1:15" ht="17" customHeight="1" x14ac:dyDescent="0.35">
      <c r="A70">
        <v>2024</v>
      </c>
      <c r="B70">
        <v>37</v>
      </c>
      <c r="C70" t="s">
        <v>415</v>
      </c>
      <c r="D70">
        <v>0</v>
      </c>
      <c r="E70">
        <v>0</v>
      </c>
      <c r="F70">
        <v>0</v>
      </c>
      <c r="G70">
        <v>0</v>
      </c>
      <c r="H70">
        <v>0</v>
      </c>
      <c r="I70">
        <v>0</v>
      </c>
      <c r="J70">
        <v>0</v>
      </c>
      <c r="K70">
        <v>0</v>
      </c>
      <c r="L70">
        <v>0</v>
      </c>
      <c r="M70">
        <v>0</v>
      </c>
      <c r="N70">
        <v>4.0599999999999996</v>
      </c>
      <c r="O70" t="s">
        <v>422</v>
      </c>
    </row>
    <row r="71" spans="1:15" ht="17" customHeight="1" x14ac:dyDescent="0.35">
      <c r="A71">
        <v>2024</v>
      </c>
      <c r="B71">
        <v>37</v>
      </c>
      <c r="C71" t="s">
        <v>416</v>
      </c>
      <c r="D71">
        <v>0</v>
      </c>
      <c r="E71">
        <v>0</v>
      </c>
      <c r="F71">
        <v>0</v>
      </c>
      <c r="G71">
        <v>0</v>
      </c>
      <c r="H71">
        <v>0</v>
      </c>
      <c r="I71">
        <v>0</v>
      </c>
      <c r="J71">
        <v>0</v>
      </c>
      <c r="K71">
        <v>0</v>
      </c>
      <c r="L71">
        <v>0</v>
      </c>
      <c r="M71">
        <v>0</v>
      </c>
      <c r="N71">
        <v>4.0599999999999996</v>
      </c>
    </row>
    <row r="72" spans="1:15" ht="17" customHeight="1" x14ac:dyDescent="0.35">
      <c r="A72">
        <v>2024</v>
      </c>
      <c r="B72">
        <v>37</v>
      </c>
      <c r="C72" t="s">
        <v>275</v>
      </c>
      <c r="D72">
        <v>0</v>
      </c>
      <c r="E72">
        <v>0</v>
      </c>
      <c r="F72">
        <v>0</v>
      </c>
      <c r="G72">
        <v>0</v>
      </c>
      <c r="H72">
        <v>0</v>
      </c>
      <c r="I72">
        <v>0</v>
      </c>
      <c r="J72">
        <v>0</v>
      </c>
      <c r="K72">
        <v>0</v>
      </c>
      <c r="L72">
        <v>0</v>
      </c>
      <c r="M72">
        <v>0</v>
      </c>
      <c r="N72">
        <v>4.0599999999999996</v>
      </c>
      <c r="O72" t="s">
        <v>430</v>
      </c>
    </row>
    <row r="73" spans="1:15" ht="17" customHeight="1" x14ac:dyDescent="0.35">
      <c r="A73">
        <v>2024</v>
      </c>
      <c r="B73">
        <v>37</v>
      </c>
      <c r="C73" t="s">
        <v>417</v>
      </c>
      <c r="D73">
        <v>0</v>
      </c>
      <c r="E73">
        <v>0</v>
      </c>
      <c r="F73">
        <v>0</v>
      </c>
      <c r="G73">
        <v>0</v>
      </c>
      <c r="H73">
        <v>0</v>
      </c>
      <c r="I73">
        <v>0</v>
      </c>
      <c r="J73">
        <v>0</v>
      </c>
      <c r="K73">
        <v>0</v>
      </c>
      <c r="L73">
        <v>0</v>
      </c>
      <c r="M73">
        <v>0</v>
      </c>
      <c r="N73">
        <v>4.0599999999999996</v>
      </c>
    </row>
    <row r="74" spans="1:15" ht="17" customHeight="1" x14ac:dyDescent="0.35">
      <c r="A74">
        <v>2024</v>
      </c>
      <c r="B74">
        <v>25</v>
      </c>
      <c r="C74" t="s">
        <v>415</v>
      </c>
      <c r="D74">
        <v>0</v>
      </c>
      <c r="E74">
        <v>0</v>
      </c>
      <c r="F74">
        <v>0</v>
      </c>
      <c r="G74">
        <v>0</v>
      </c>
      <c r="H74">
        <v>0</v>
      </c>
      <c r="I74">
        <v>0</v>
      </c>
      <c r="J74">
        <v>0</v>
      </c>
      <c r="K74">
        <v>0</v>
      </c>
      <c r="L74">
        <v>0</v>
      </c>
      <c r="M74">
        <v>0</v>
      </c>
      <c r="N74">
        <v>4.0599999999999996</v>
      </c>
    </row>
    <row r="75" spans="1:15" ht="17" customHeight="1" x14ac:dyDescent="0.35">
      <c r="A75">
        <v>2024</v>
      </c>
      <c r="B75">
        <v>25</v>
      </c>
      <c r="C75" t="s">
        <v>416</v>
      </c>
      <c r="D75">
        <v>0</v>
      </c>
      <c r="E75">
        <v>1</v>
      </c>
      <c r="F75">
        <v>0</v>
      </c>
      <c r="G75">
        <v>0</v>
      </c>
      <c r="H75">
        <v>2</v>
      </c>
      <c r="I75">
        <v>0</v>
      </c>
      <c r="J75">
        <v>0</v>
      </c>
      <c r="K75">
        <v>0</v>
      </c>
      <c r="L75">
        <v>0</v>
      </c>
      <c r="M75">
        <v>0</v>
      </c>
      <c r="N75">
        <v>4.0599999999999996</v>
      </c>
    </row>
    <row r="76" spans="1:15" ht="17" customHeight="1" x14ac:dyDescent="0.35">
      <c r="A76">
        <v>2024</v>
      </c>
      <c r="B76">
        <v>25</v>
      </c>
      <c r="C76" t="s">
        <v>275</v>
      </c>
      <c r="D76">
        <v>0</v>
      </c>
      <c r="E76">
        <v>3.5</v>
      </c>
      <c r="F76">
        <v>0</v>
      </c>
      <c r="G76">
        <v>0</v>
      </c>
      <c r="H76">
        <v>0</v>
      </c>
      <c r="I76">
        <v>0</v>
      </c>
      <c r="J76">
        <v>0</v>
      </c>
      <c r="K76">
        <v>0</v>
      </c>
      <c r="L76">
        <v>0</v>
      </c>
      <c r="M76">
        <v>1</v>
      </c>
      <c r="N76">
        <v>4.0599999999999996</v>
      </c>
      <c r="O76" t="s">
        <v>270</v>
      </c>
    </row>
    <row r="77" spans="1:15" ht="17" customHeight="1" x14ac:dyDescent="0.35">
      <c r="A77">
        <v>2024</v>
      </c>
      <c r="B77">
        <v>25</v>
      </c>
      <c r="C77" t="s">
        <v>417</v>
      </c>
      <c r="D77">
        <v>0</v>
      </c>
      <c r="E77">
        <v>15.5</v>
      </c>
      <c r="F77">
        <v>0</v>
      </c>
      <c r="G77">
        <v>0</v>
      </c>
      <c r="H77">
        <v>0</v>
      </c>
      <c r="I77">
        <v>0</v>
      </c>
      <c r="J77">
        <v>2</v>
      </c>
      <c r="K77">
        <v>1</v>
      </c>
      <c r="L77">
        <v>0</v>
      </c>
      <c r="M77">
        <v>0</v>
      </c>
      <c r="N77">
        <v>4.0599999999999996</v>
      </c>
      <c r="O77" t="s">
        <v>431</v>
      </c>
    </row>
    <row r="78" spans="1:15" ht="17" customHeight="1" x14ac:dyDescent="0.35">
      <c r="A78">
        <v>2024</v>
      </c>
      <c r="B78">
        <v>57</v>
      </c>
      <c r="C78" t="s">
        <v>415</v>
      </c>
      <c r="D78">
        <v>0</v>
      </c>
      <c r="E78">
        <v>65.5</v>
      </c>
      <c r="F78">
        <v>1</v>
      </c>
      <c r="G78">
        <v>5</v>
      </c>
      <c r="H78">
        <v>3</v>
      </c>
      <c r="I78">
        <v>4</v>
      </c>
      <c r="J78">
        <v>7</v>
      </c>
      <c r="K78">
        <v>2</v>
      </c>
      <c r="L78">
        <v>3</v>
      </c>
      <c r="M78">
        <v>3</v>
      </c>
      <c r="N78">
        <v>4.0599999999999996</v>
      </c>
    </row>
    <row r="79" spans="1:15" ht="17" customHeight="1" x14ac:dyDescent="0.35">
      <c r="A79">
        <v>2024</v>
      </c>
      <c r="B79">
        <v>57</v>
      </c>
      <c r="C79" t="s">
        <v>416</v>
      </c>
      <c r="D79">
        <v>0</v>
      </c>
      <c r="E79">
        <v>35.5</v>
      </c>
      <c r="F79">
        <v>0</v>
      </c>
      <c r="G79">
        <v>5</v>
      </c>
      <c r="H79">
        <v>3</v>
      </c>
      <c r="I79">
        <v>2</v>
      </c>
      <c r="J79">
        <v>1</v>
      </c>
      <c r="K79">
        <v>3</v>
      </c>
      <c r="L79">
        <v>1</v>
      </c>
      <c r="M79">
        <v>4</v>
      </c>
      <c r="N79">
        <v>4.0599999999999996</v>
      </c>
    </row>
    <row r="80" spans="1:15" ht="17" customHeight="1" x14ac:dyDescent="0.35">
      <c r="A80">
        <v>2024</v>
      </c>
      <c r="B80">
        <v>57</v>
      </c>
      <c r="C80" t="s">
        <v>275</v>
      </c>
      <c r="D80">
        <v>0</v>
      </c>
      <c r="E80">
        <v>65.5</v>
      </c>
      <c r="F80">
        <v>4</v>
      </c>
      <c r="G80">
        <v>9</v>
      </c>
      <c r="H80">
        <v>3</v>
      </c>
      <c r="I80">
        <v>3</v>
      </c>
      <c r="J80">
        <v>3</v>
      </c>
      <c r="K80">
        <v>5</v>
      </c>
      <c r="L80">
        <v>3</v>
      </c>
      <c r="M80">
        <v>8</v>
      </c>
      <c r="N80">
        <v>4.0599999999999996</v>
      </c>
    </row>
    <row r="81" spans="1:15" ht="17" customHeight="1" x14ac:dyDescent="0.35">
      <c r="A81">
        <v>2024</v>
      </c>
      <c r="B81">
        <v>57</v>
      </c>
      <c r="C81" t="s">
        <v>417</v>
      </c>
      <c r="D81">
        <v>0</v>
      </c>
      <c r="E81">
        <v>8</v>
      </c>
      <c r="F81">
        <v>1</v>
      </c>
      <c r="G81">
        <v>4</v>
      </c>
      <c r="H81">
        <v>2</v>
      </c>
      <c r="I81">
        <v>2</v>
      </c>
      <c r="J81">
        <v>0</v>
      </c>
      <c r="K81">
        <v>1</v>
      </c>
      <c r="L81">
        <v>1</v>
      </c>
      <c r="M81">
        <v>0</v>
      </c>
      <c r="N81">
        <v>4.0599999999999996</v>
      </c>
    </row>
    <row r="82" spans="1:15" s="11" customFormat="1" ht="17" customHeight="1" x14ac:dyDescent="0.35">
      <c r="A82">
        <v>2024</v>
      </c>
      <c r="B82" s="11">
        <v>56</v>
      </c>
      <c r="C82" s="11" t="s">
        <v>415</v>
      </c>
      <c r="D82" s="11">
        <v>0</v>
      </c>
      <c r="E82" s="11">
        <v>15.5</v>
      </c>
      <c r="F82" s="11">
        <v>2</v>
      </c>
      <c r="G82" s="11">
        <v>2</v>
      </c>
      <c r="H82" s="11">
        <v>3</v>
      </c>
      <c r="I82" s="11">
        <v>2</v>
      </c>
      <c r="J82" s="11">
        <v>1</v>
      </c>
      <c r="K82" s="11">
        <v>1</v>
      </c>
      <c r="L82" s="11">
        <v>0</v>
      </c>
      <c r="M82" s="11">
        <v>0</v>
      </c>
      <c r="N82">
        <v>4.0599999999999996</v>
      </c>
    </row>
    <row r="83" spans="1:15" ht="17" customHeight="1" x14ac:dyDescent="0.35">
      <c r="A83">
        <v>2024</v>
      </c>
      <c r="B83">
        <v>56</v>
      </c>
      <c r="C83" t="s">
        <v>416</v>
      </c>
      <c r="D83">
        <v>0</v>
      </c>
      <c r="E83">
        <v>65.5</v>
      </c>
      <c r="F83">
        <v>3</v>
      </c>
      <c r="G83">
        <v>6</v>
      </c>
      <c r="H83">
        <v>0</v>
      </c>
      <c r="I83">
        <v>2</v>
      </c>
      <c r="J83">
        <v>9</v>
      </c>
      <c r="K83">
        <v>4</v>
      </c>
      <c r="L83">
        <v>2</v>
      </c>
      <c r="M83">
        <v>2</v>
      </c>
      <c r="N83">
        <v>4.0599999999999996</v>
      </c>
    </row>
    <row r="84" spans="1:15" ht="17" customHeight="1" x14ac:dyDescent="0.35">
      <c r="A84">
        <v>2024</v>
      </c>
      <c r="B84">
        <v>56</v>
      </c>
      <c r="C84" t="s">
        <v>275</v>
      </c>
      <c r="D84">
        <v>0</v>
      </c>
      <c r="E84">
        <v>15.5</v>
      </c>
      <c r="F84">
        <v>1</v>
      </c>
      <c r="G84">
        <v>0</v>
      </c>
      <c r="H84">
        <v>7</v>
      </c>
      <c r="I84">
        <v>2</v>
      </c>
      <c r="J84">
        <v>1</v>
      </c>
      <c r="K84">
        <v>0</v>
      </c>
      <c r="L84">
        <v>0</v>
      </c>
      <c r="M84">
        <v>0</v>
      </c>
      <c r="N84">
        <v>4.0599999999999996</v>
      </c>
    </row>
    <row r="85" spans="1:15" ht="17" customHeight="1" x14ac:dyDescent="0.35">
      <c r="A85">
        <v>2024</v>
      </c>
      <c r="B85">
        <v>56</v>
      </c>
      <c r="C85" t="s">
        <v>417</v>
      </c>
      <c r="D85">
        <v>0</v>
      </c>
      <c r="E85">
        <v>55.5</v>
      </c>
      <c r="F85">
        <v>3</v>
      </c>
      <c r="G85">
        <v>2</v>
      </c>
      <c r="H85">
        <v>4</v>
      </c>
      <c r="I85">
        <v>10</v>
      </c>
      <c r="J85">
        <v>2</v>
      </c>
      <c r="K85">
        <v>2</v>
      </c>
      <c r="L85">
        <v>1</v>
      </c>
      <c r="M85">
        <v>6</v>
      </c>
      <c r="N85">
        <v>4.0599999999999996</v>
      </c>
    </row>
    <row r="86" spans="1:15" ht="17" customHeight="1" x14ac:dyDescent="0.35">
      <c r="A86">
        <v>2024</v>
      </c>
      <c r="B86">
        <v>35</v>
      </c>
      <c r="C86" t="s">
        <v>415</v>
      </c>
      <c r="D86">
        <v>0</v>
      </c>
      <c r="E86">
        <v>0.5</v>
      </c>
      <c r="F86">
        <v>0</v>
      </c>
      <c r="G86">
        <v>0</v>
      </c>
      <c r="H86">
        <v>0</v>
      </c>
      <c r="I86">
        <v>1</v>
      </c>
      <c r="J86">
        <v>0</v>
      </c>
      <c r="K86">
        <v>0</v>
      </c>
      <c r="L86">
        <v>0</v>
      </c>
      <c r="M86">
        <v>0</v>
      </c>
      <c r="N86">
        <v>4.0599999999999996</v>
      </c>
      <c r="O86" t="s">
        <v>432</v>
      </c>
    </row>
    <row r="87" spans="1:15" ht="17" customHeight="1" x14ac:dyDescent="0.35">
      <c r="A87">
        <v>2024</v>
      </c>
      <c r="B87">
        <v>35</v>
      </c>
      <c r="C87" t="s">
        <v>416</v>
      </c>
      <c r="D87">
        <v>0</v>
      </c>
      <c r="E87">
        <v>0.5</v>
      </c>
      <c r="F87">
        <v>0</v>
      </c>
      <c r="G87">
        <v>0</v>
      </c>
      <c r="H87">
        <v>0</v>
      </c>
      <c r="I87">
        <v>0</v>
      </c>
      <c r="J87">
        <v>1</v>
      </c>
      <c r="K87">
        <v>0</v>
      </c>
      <c r="L87">
        <v>0</v>
      </c>
      <c r="M87">
        <v>0</v>
      </c>
      <c r="N87">
        <v>4.0599999999999996</v>
      </c>
      <c r="O87" t="s">
        <v>433</v>
      </c>
    </row>
    <row r="88" spans="1:15" ht="17" customHeight="1" x14ac:dyDescent="0.35">
      <c r="A88">
        <v>2024</v>
      </c>
      <c r="B88">
        <v>35</v>
      </c>
      <c r="C88" t="s">
        <v>275</v>
      </c>
      <c r="D88">
        <v>0</v>
      </c>
      <c r="E88">
        <v>0.5</v>
      </c>
      <c r="F88">
        <v>0</v>
      </c>
      <c r="G88">
        <v>0</v>
      </c>
      <c r="H88">
        <v>0</v>
      </c>
      <c r="I88">
        <v>1</v>
      </c>
      <c r="J88">
        <v>0</v>
      </c>
      <c r="K88">
        <v>0</v>
      </c>
      <c r="L88">
        <v>0</v>
      </c>
      <c r="M88">
        <v>0</v>
      </c>
      <c r="N88">
        <v>4.0599999999999996</v>
      </c>
      <c r="O88" t="s">
        <v>434</v>
      </c>
    </row>
    <row r="89" spans="1:15" ht="17" customHeight="1" x14ac:dyDescent="0.35">
      <c r="A89">
        <v>2024</v>
      </c>
      <c r="B89">
        <v>35</v>
      </c>
      <c r="C89" t="s">
        <v>417</v>
      </c>
      <c r="D89">
        <v>0</v>
      </c>
      <c r="E89">
        <v>0</v>
      </c>
      <c r="F89">
        <v>0</v>
      </c>
      <c r="G89">
        <v>0</v>
      </c>
      <c r="H89">
        <v>0</v>
      </c>
      <c r="I89">
        <v>0</v>
      </c>
      <c r="J89">
        <v>0</v>
      </c>
      <c r="K89">
        <v>0</v>
      </c>
      <c r="L89">
        <v>0</v>
      </c>
      <c r="M89">
        <v>0</v>
      </c>
      <c r="N89">
        <v>4.0599999999999996</v>
      </c>
      <c r="O89" t="s">
        <v>434</v>
      </c>
    </row>
    <row r="90" spans="1:15" ht="17" customHeight="1" x14ac:dyDescent="0.35">
      <c r="A90">
        <v>2024</v>
      </c>
      <c r="B90">
        <v>34</v>
      </c>
      <c r="C90" t="s">
        <v>415</v>
      </c>
      <c r="D90">
        <v>0</v>
      </c>
      <c r="E90">
        <v>25.5</v>
      </c>
      <c r="F90">
        <v>0</v>
      </c>
      <c r="G90">
        <v>0</v>
      </c>
      <c r="H90">
        <v>0</v>
      </c>
      <c r="I90">
        <v>0</v>
      </c>
      <c r="J90">
        <v>0</v>
      </c>
      <c r="K90">
        <v>1</v>
      </c>
      <c r="L90">
        <v>0</v>
      </c>
      <c r="M90">
        <v>1</v>
      </c>
      <c r="N90">
        <v>4.0599999999999996</v>
      </c>
      <c r="O90" t="s">
        <v>435</v>
      </c>
    </row>
    <row r="91" spans="1:15" ht="17" customHeight="1" x14ac:dyDescent="0.35">
      <c r="A91">
        <v>2024</v>
      </c>
      <c r="B91">
        <v>34</v>
      </c>
      <c r="C91" t="s">
        <v>416</v>
      </c>
      <c r="D91">
        <v>0</v>
      </c>
      <c r="E91">
        <v>0</v>
      </c>
      <c r="F91">
        <v>0</v>
      </c>
      <c r="G91">
        <v>0</v>
      </c>
      <c r="H91">
        <v>0</v>
      </c>
      <c r="I91">
        <v>0</v>
      </c>
      <c r="J91">
        <v>0</v>
      </c>
      <c r="K91">
        <v>0</v>
      </c>
      <c r="L91">
        <v>0</v>
      </c>
      <c r="M91">
        <v>0</v>
      </c>
      <c r="N91">
        <v>4.0599999999999996</v>
      </c>
      <c r="O91" t="s">
        <v>436</v>
      </c>
    </row>
    <row r="92" spans="1:15" ht="17" customHeight="1" x14ac:dyDescent="0.35">
      <c r="A92">
        <v>2024</v>
      </c>
      <c r="B92">
        <v>34</v>
      </c>
      <c r="C92" t="s">
        <v>275</v>
      </c>
      <c r="D92">
        <v>0</v>
      </c>
      <c r="E92">
        <v>15.5</v>
      </c>
      <c r="F92">
        <v>0</v>
      </c>
      <c r="G92">
        <v>0</v>
      </c>
      <c r="H92">
        <v>0</v>
      </c>
      <c r="I92">
        <v>0</v>
      </c>
      <c r="J92">
        <v>1</v>
      </c>
      <c r="K92">
        <v>1</v>
      </c>
      <c r="L92">
        <v>0</v>
      </c>
      <c r="M92">
        <v>1</v>
      </c>
      <c r="N92">
        <v>4.0599999999999996</v>
      </c>
    </row>
    <row r="93" spans="1:15" ht="17" customHeight="1" x14ac:dyDescent="0.35">
      <c r="A93">
        <v>2024</v>
      </c>
      <c r="B93">
        <v>34</v>
      </c>
      <c r="C93" t="s">
        <v>417</v>
      </c>
      <c r="D93">
        <v>0</v>
      </c>
      <c r="E93">
        <v>1</v>
      </c>
      <c r="F93">
        <v>1</v>
      </c>
      <c r="G93">
        <v>0</v>
      </c>
      <c r="H93">
        <v>0</v>
      </c>
      <c r="I93">
        <v>0</v>
      </c>
      <c r="J93">
        <v>0</v>
      </c>
      <c r="K93">
        <v>0</v>
      </c>
      <c r="L93">
        <v>0</v>
      </c>
      <c r="M93">
        <v>0</v>
      </c>
      <c r="N93">
        <v>4.0599999999999996</v>
      </c>
    </row>
    <row r="94" spans="1:15" ht="17" customHeight="1" x14ac:dyDescent="0.35">
      <c r="A94">
        <v>2024</v>
      </c>
      <c r="B94">
        <v>63</v>
      </c>
      <c r="C94" t="s">
        <v>415</v>
      </c>
      <c r="D94">
        <v>0</v>
      </c>
      <c r="E94">
        <v>3.5</v>
      </c>
      <c r="F94">
        <v>0</v>
      </c>
      <c r="G94">
        <v>0</v>
      </c>
      <c r="H94">
        <v>0</v>
      </c>
      <c r="I94">
        <v>0</v>
      </c>
      <c r="J94">
        <v>2</v>
      </c>
      <c r="K94">
        <v>0</v>
      </c>
      <c r="L94">
        <v>0</v>
      </c>
      <c r="M94">
        <v>0</v>
      </c>
      <c r="N94">
        <v>4.0599999999999996</v>
      </c>
    </row>
    <row r="95" spans="1:15" ht="17" customHeight="1" x14ac:dyDescent="0.35">
      <c r="A95">
        <v>2024</v>
      </c>
      <c r="B95">
        <v>63</v>
      </c>
      <c r="C95" t="s">
        <v>416</v>
      </c>
      <c r="D95">
        <v>0</v>
      </c>
      <c r="E95">
        <v>1</v>
      </c>
      <c r="F95">
        <v>0</v>
      </c>
      <c r="G95">
        <v>0</v>
      </c>
      <c r="H95">
        <v>0</v>
      </c>
      <c r="I95">
        <v>0</v>
      </c>
      <c r="J95">
        <v>1</v>
      </c>
      <c r="K95">
        <v>0</v>
      </c>
      <c r="L95">
        <v>0</v>
      </c>
      <c r="M95">
        <v>0</v>
      </c>
      <c r="N95">
        <v>4.0599999999999996</v>
      </c>
    </row>
    <row r="96" spans="1:15" ht="17" customHeight="1" x14ac:dyDescent="0.35">
      <c r="A96">
        <v>2024</v>
      </c>
      <c r="B96">
        <v>63</v>
      </c>
      <c r="C96" t="s">
        <v>275</v>
      </c>
      <c r="D96">
        <v>0</v>
      </c>
      <c r="E96">
        <v>0</v>
      </c>
      <c r="F96">
        <v>0</v>
      </c>
      <c r="G96">
        <v>0</v>
      </c>
      <c r="H96">
        <v>0</v>
      </c>
      <c r="I96">
        <v>0</v>
      </c>
      <c r="J96">
        <v>0</v>
      </c>
      <c r="K96">
        <v>0</v>
      </c>
      <c r="L96">
        <v>0</v>
      </c>
      <c r="M96">
        <v>0</v>
      </c>
      <c r="N96">
        <v>4.0599999999999996</v>
      </c>
    </row>
    <row r="97" spans="1:15" ht="17" customHeight="1" x14ac:dyDescent="0.35">
      <c r="A97">
        <v>2024</v>
      </c>
      <c r="B97">
        <v>63</v>
      </c>
      <c r="C97" t="s">
        <v>417</v>
      </c>
      <c r="D97">
        <v>0</v>
      </c>
      <c r="E97">
        <v>3.5</v>
      </c>
      <c r="F97">
        <v>0</v>
      </c>
      <c r="G97">
        <v>0</v>
      </c>
      <c r="H97">
        <v>0</v>
      </c>
      <c r="I97">
        <v>0</v>
      </c>
      <c r="J97">
        <v>0</v>
      </c>
      <c r="K97">
        <v>2</v>
      </c>
      <c r="L97">
        <v>0</v>
      </c>
      <c r="M97">
        <v>0</v>
      </c>
      <c r="N97">
        <v>4.0599999999999996</v>
      </c>
    </row>
    <row r="98" spans="1:15" ht="17" customHeight="1" x14ac:dyDescent="0.35">
      <c r="A98">
        <v>2024</v>
      </c>
      <c r="B98">
        <v>26</v>
      </c>
      <c r="C98" t="s">
        <v>415</v>
      </c>
      <c r="D98">
        <v>0</v>
      </c>
      <c r="F98">
        <v>0</v>
      </c>
      <c r="G98">
        <v>1</v>
      </c>
      <c r="H98">
        <v>3</v>
      </c>
      <c r="I98">
        <v>0</v>
      </c>
      <c r="J98">
        <v>0</v>
      </c>
      <c r="K98">
        <v>0</v>
      </c>
      <c r="L98">
        <v>0</v>
      </c>
      <c r="M98">
        <v>0</v>
      </c>
      <c r="N98">
        <v>4.0599999999999996</v>
      </c>
    </row>
    <row r="99" spans="1:15" ht="17" customHeight="1" x14ac:dyDescent="0.35">
      <c r="A99">
        <v>2024</v>
      </c>
      <c r="B99">
        <v>26</v>
      </c>
      <c r="C99" t="s">
        <v>416</v>
      </c>
      <c r="D99">
        <v>0</v>
      </c>
      <c r="E99">
        <v>25.5</v>
      </c>
      <c r="F99">
        <v>0</v>
      </c>
      <c r="G99">
        <v>1</v>
      </c>
      <c r="H99">
        <v>0</v>
      </c>
      <c r="I99">
        <v>0</v>
      </c>
      <c r="J99">
        <v>0</v>
      </c>
      <c r="K99">
        <v>2</v>
      </c>
      <c r="L99">
        <v>2</v>
      </c>
      <c r="M99">
        <v>3</v>
      </c>
      <c r="N99">
        <v>4.0599999999999996</v>
      </c>
    </row>
    <row r="100" spans="1:15" ht="17" customHeight="1" x14ac:dyDescent="0.35">
      <c r="A100">
        <v>2024</v>
      </c>
      <c r="B100">
        <v>26</v>
      </c>
      <c r="C100" t="s">
        <v>275</v>
      </c>
      <c r="D100">
        <v>0</v>
      </c>
      <c r="E100">
        <v>25.5</v>
      </c>
      <c r="F100">
        <v>2</v>
      </c>
      <c r="G100">
        <v>1</v>
      </c>
      <c r="H100">
        <v>3</v>
      </c>
      <c r="I100">
        <v>0</v>
      </c>
      <c r="J100">
        <v>0</v>
      </c>
      <c r="K100">
        <v>3</v>
      </c>
      <c r="L100">
        <v>0</v>
      </c>
      <c r="M100">
        <v>1</v>
      </c>
      <c r="N100">
        <v>4.0599999999999996</v>
      </c>
    </row>
    <row r="101" spans="1:15" ht="17" customHeight="1" x14ac:dyDescent="0.35">
      <c r="A101">
        <v>2024</v>
      </c>
      <c r="B101">
        <v>26</v>
      </c>
      <c r="C101" t="s">
        <v>417</v>
      </c>
      <c r="D101">
        <v>0</v>
      </c>
      <c r="E101">
        <v>8</v>
      </c>
      <c r="F101">
        <v>3</v>
      </c>
      <c r="G101">
        <v>3</v>
      </c>
      <c r="H101">
        <v>0</v>
      </c>
      <c r="I101">
        <v>1</v>
      </c>
      <c r="J101">
        <v>0</v>
      </c>
      <c r="K101">
        <v>0</v>
      </c>
      <c r="L101">
        <v>0</v>
      </c>
      <c r="M101">
        <v>0</v>
      </c>
      <c r="N101">
        <v>4.0599999999999996</v>
      </c>
      <c r="O101" t="s">
        <v>437</v>
      </c>
    </row>
    <row r="102" spans="1:15" ht="17" customHeight="1" x14ac:dyDescent="0.35">
      <c r="A102">
        <v>2024</v>
      </c>
      <c r="B102">
        <v>27</v>
      </c>
      <c r="C102" t="s">
        <v>415</v>
      </c>
      <c r="D102">
        <v>0</v>
      </c>
      <c r="E102">
        <v>3.5</v>
      </c>
      <c r="F102">
        <v>0</v>
      </c>
      <c r="G102">
        <v>0</v>
      </c>
      <c r="H102">
        <v>0</v>
      </c>
      <c r="I102">
        <v>2</v>
      </c>
      <c r="J102">
        <v>0</v>
      </c>
      <c r="K102">
        <v>1</v>
      </c>
      <c r="L102">
        <v>1</v>
      </c>
      <c r="M102">
        <v>1</v>
      </c>
      <c r="N102">
        <v>4.0599999999999996</v>
      </c>
    </row>
    <row r="103" spans="1:15" ht="17" customHeight="1" x14ac:dyDescent="0.35">
      <c r="A103">
        <v>2024</v>
      </c>
      <c r="B103">
        <v>27</v>
      </c>
      <c r="C103" t="s">
        <v>416</v>
      </c>
      <c r="D103">
        <v>0</v>
      </c>
      <c r="E103">
        <v>1</v>
      </c>
      <c r="F103">
        <v>0</v>
      </c>
      <c r="G103">
        <v>0</v>
      </c>
      <c r="H103">
        <v>1</v>
      </c>
      <c r="I103">
        <v>0</v>
      </c>
      <c r="J103">
        <v>0</v>
      </c>
      <c r="K103">
        <v>0</v>
      </c>
      <c r="L103">
        <v>0</v>
      </c>
      <c r="M103">
        <v>0</v>
      </c>
      <c r="N103">
        <v>4.0599999999999996</v>
      </c>
      <c r="O103" t="s">
        <v>438</v>
      </c>
    </row>
    <row r="104" spans="1:15" ht="17" customHeight="1" x14ac:dyDescent="0.35">
      <c r="A104">
        <v>2024</v>
      </c>
      <c r="B104">
        <v>27</v>
      </c>
      <c r="C104" t="s">
        <v>275</v>
      </c>
      <c r="D104">
        <v>0</v>
      </c>
      <c r="E104">
        <v>55.5</v>
      </c>
      <c r="F104">
        <v>5</v>
      </c>
      <c r="G104">
        <v>3</v>
      </c>
      <c r="H104">
        <v>0</v>
      </c>
      <c r="I104">
        <v>4</v>
      </c>
      <c r="J104">
        <v>2</v>
      </c>
      <c r="K104">
        <v>3</v>
      </c>
      <c r="L104">
        <v>2</v>
      </c>
      <c r="M104">
        <v>2</v>
      </c>
      <c r="N104">
        <v>4.0599999999999996</v>
      </c>
      <c r="O104" t="s">
        <v>439</v>
      </c>
    </row>
    <row r="105" spans="1:15" ht="17" customHeight="1" x14ac:dyDescent="0.35">
      <c r="A105">
        <v>2024</v>
      </c>
      <c r="B105">
        <v>27</v>
      </c>
      <c r="C105" t="s">
        <v>417</v>
      </c>
      <c r="D105">
        <v>0</v>
      </c>
      <c r="E105">
        <v>8</v>
      </c>
      <c r="F105">
        <v>1</v>
      </c>
      <c r="G105">
        <v>3</v>
      </c>
      <c r="H105">
        <v>1</v>
      </c>
      <c r="I105">
        <v>2</v>
      </c>
      <c r="J105">
        <v>2</v>
      </c>
      <c r="K105">
        <v>0</v>
      </c>
      <c r="L105">
        <v>1</v>
      </c>
      <c r="M105">
        <v>0</v>
      </c>
      <c r="N105">
        <v>4.0599999999999996</v>
      </c>
    </row>
    <row r="106" spans="1:15" ht="17" customHeight="1" x14ac:dyDescent="0.35">
      <c r="A106">
        <v>2024</v>
      </c>
      <c r="B106">
        <v>33</v>
      </c>
      <c r="C106" t="s">
        <v>415</v>
      </c>
      <c r="D106">
        <v>0</v>
      </c>
      <c r="E106">
        <v>15.5</v>
      </c>
      <c r="F106">
        <v>0</v>
      </c>
      <c r="G106">
        <v>0</v>
      </c>
      <c r="H106">
        <v>0</v>
      </c>
      <c r="I106">
        <v>0</v>
      </c>
      <c r="J106">
        <v>1</v>
      </c>
      <c r="K106">
        <v>1</v>
      </c>
      <c r="L106">
        <v>1</v>
      </c>
      <c r="M106">
        <v>2</v>
      </c>
      <c r="N106">
        <v>4.0599999999999996</v>
      </c>
      <c r="O106" t="s">
        <v>440</v>
      </c>
    </row>
    <row r="107" spans="1:15" ht="17" customHeight="1" x14ac:dyDescent="0.35">
      <c r="A107">
        <v>2024</v>
      </c>
      <c r="B107">
        <v>33</v>
      </c>
      <c r="C107" t="s">
        <v>416</v>
      </c>
      <c r="D107">
        <v>0</v>
      </c>
      <c r="E107">
        <v>3.5</v>
      </c>
      <c r="F107">
        <v>0</v>
      </c>
      <c r="G107">
        <v>0</v>
      </c>
      <c r="H107">
        <v>0</v>
      </c>
      <c r="I107">
        <v>0</v>
      </c>
      <c r="J107">
        <v>2</v>
      </c>
      <c r="K107">
        <v>1</v>
      </c>
      <c r="L107">
        <v>0</v>
      </c>
      <c r="M107">
        <v>1</v>
      </c>
      <c r="N107">
        <v>4.0599999999999996</v>
      </c>
    </row>
    <row r="108" spans="1:15" ht="17" customHeight="1" x14ac:dyDescent="0.35">
      <c r="A108">
        <v>2024</v>
      </c>
      <c r="B108">
        <v>33</v>
      </c>
      <c r="C108" t="s">
        <v>275</v>
      </c>
      <c r="D108">
        <v>0</v>
      </c>
      <c r="E108">
        <v>0.5</v>
      </c>
      <c r="F108">
        <v>0</v>
      </c>
      <c r="G108">
        <v>0</v>
      </c>
      <c r="H108">
        <v>0</v>
      </c>
      <c r="I108">
        <v>2</v>
      </c>
      <c r="J108">
        <v>0</v>
      </c>
      <c r="K108">
        <v>0</v>
      </c>
      <c r="L108">
        <v>0</v>
      </c>
      <c r="M108">
        <v>0</v>
      </c>
      <c r="N108">
        <v>4.0599999999999996</v>
      </c>
      <c r="O108" t="s">
        <v>441</v>
      </c>
    </row>
    <row r="109" spans="1:15" ht="17" customHeight="1" x14ac:dyDescent="0.35">
      <c r="A109">
        <v>2024</v>
      </c>
      <c r="B109">
        <v>33</v>
      </c>
      <c r="C109" t="s">
        <v>417</v>
      </c>
      <c r="D109">
        <v>0</v>
      </c>
      <c r="E109">
        <v>1</v>
      </c>
      <c r="F109">
        <v>0</v>
      </c>
      <c r="G109">
        <v>0</v>
      </c>
      <c r="H109">
        <v>1</v>
      </c>
      <c r="I109">
        <v>1</v>
      </c>
      <c r="J109">
        <v>0</v>
      </c>
      <c r="K109">
        <v>0</v>
      </c>
      <c r="L109">
        <v>0</v>
      </c>
      <c r="M109">
        <v>0</v>
      </c>
      <c r="N109">
        <v>4.0599999999999996</v>
      </c>
      <c r="O109" t="s">
        <v>442</v>
      </c>
    </row>
    <row r="110" spans="1:15" ht="17" customHeight="1" x14ac:dyDescent="0.35">
      <c r="A110">
        <v>2024</v>
      </c>
      <c r="B110">
        <v>31</v>
      </c>
      <c r="C110" t="s">
        <v>415</v>
      </c>
      <c r="D110">
        <v>0</v>
      </c>
      <c r="E110">
        <v>1</v>
      </c>
      <c r="F110">
        <v>3</v>
      </c>
      <c r="G110">
        <v>0</v>
      </c>
      <c r="H110">
        <v>0</v>
      </c>
      <c r="I110">
        <v>0</v>
      </c>
      <c r="J110">
        <v>0</v>
      </c>
      <c r="K110">
        <v>0</v>
      </c>
      <c r="L110">
        <v>0</v>
      </c>
      <c r="M110">
        <v>0</v>
      </c>
      <c r="N110">
        <v>4.0599999999999996</v>
      </c>
    </row>
    <row r="111" spans="1:15" ht="17" customHeight="1" x14ac:dyDescent="0.35">
      <c r="A111">
        <v>2024</v>
      </c>
      <c r="B111">
        <v>31</v>
      </c>
      <c r="C111" t="s">
        <v>416</v>
      </c>
      <c r="D111">
        <v>0</v>
      </c>
      <c r="E111">
        <v>0.5</v>
      </c>
      <c r="F111">
        <v>0</v>
      </c>
      <c r="G111">
        <v>0</v>
      </c>
      <c r="H111">
        <v>1</v>
      </c>
      <c r="I111">
        <v>0</v>
      </c>
      <c r="J111">
        <v>0</v>
      </c>
      <c r="K111">
        <v>0</v>
      </c>
      <c r="L111">
        <v>0</v>
      </c>
      <c r="M111">
        <v>0</v>
      </c>
      <c r="N111">
        <v>4.0599999999999996</v>
      </c>
      <c r="O111" t="s">
        <v>443</v>
      </c>
    </row>
    <row r="112" spans="1:15" ht="17" customHeight="1" x14ac:dyDescent="0.35">
      <c r="A112">
        <v>2024</v>
      </c>
      <c r="B112">
        <v>31</v>
      </c>
      <c r="C112" t="s">
        <v>275</v>
      </c>
      <c r="D112">
        <v>0</v>
      </c>
      <c r="E112">
        <v>8</v>
      </c>
      <c r="F112">
        <v>1</v>
      </c>
      <c r="G112">
        <v>0</v>
      </c>
      <c r="H112">
        <v>1</v>
      </c>
      <c r="I112">
        <v>2</v>
      </c>
      <c r="J112">
        <v>3</v>
      </c>
      <c r="K112">
        <v>2</v>
      </c>
      <c r="L112">
        <v>1</v>
      </c>
      <c r="M112">
        <v>1</v>
      </c>
      <c r="N112">
        <v>4.0599999999999996</v>
      </c>
    </row>
    <row r="113" spans="1:15" ht="17" customHeight="1" x14ac:dyDescent="0.35">
      <c r="A113">
        <v>2024</v>
      </c>
      <c r="B113">
        <v>31</v>
      </c>
      <c r="C113" t="s">
        <v>417</v>
      </c>
      <c r="D113">
        <v>0</v>
      </c>
      <c r="E113">
        <v>15.5</v>
      </c>
      <c r="F113">
        <v>1</v>
      </c>
      <c r="G113">
        <v>0</v>
      </c>
      <c r="H113">
        <v>0</v>
      </c>
      <c r="I113">
        <v>0</v>
      </c>
      <c r="J113">
        <v>1</v>
      </c>
      <c r="K113">
        <v>1</v>
      </c>
      <c r="L113">
        <v>2</v>
      </c>
      <c r="M113">
        <v>2</v>
      </c>
      <c r="N113">
        <v>4.0599999999999996</v>
      </c>
    </row>
    <row r="114" spans="1:15" ht="17" customHeight="1" x14ac:dyDescent="0.35">
      <c r="A114">
        <v>2024</v>
      </c>
      <c r="B114">
        <v>32</v>
      </c>
      <c r="C114" t="s">
        <v>415</v>
      </c>
      <c r="D114">
        <v>0</v>
      </c>
      <c r="E114">
        <v>0</v>
      </c>
      <c r="F114">
        <v>0</v>
      </c>
      <c r="G114">
        <v>0</v>
      </c>
      <c r="H114">
        <v>0</v>
      </c>
      <c r="I114">
        <v>0</v>
      </c>
      <c r="J114">
        <v>0</v>
      </c>
      <c r="K114">
        <v>0</v>
      </c>
      <c r="L114">
        <v>0</v>
      </c>
      <c r="M114">
        <v>0</v>
      </c>
      <c r="N114">
        <v>4.0599999999999996</v>
      </c>
    </row>
    <row r="115" spans="1:15" ht="17" customHeight="1" x14ac:dyDescent="0.35">
      <c r="A115">
        <v>2024</v>
      </c>
      <c r="B115">
        <v>32</v>
      </c>
      <c r="C115" t="s">
        <v>416</v>
      </c>
      <c r="D115">
        <v>0</v>
      </c>
      <c r="E115">
        <v>0</v>
      </c>
      <c r="F115">
        <v>0</v>
      </c>
      <c r="G115">
        <v>0</v>
      </c>
      <c r="H115">
        <v>0</v>
      </c>
      <c r="I115">
        <v>0</v>
      </c>
      <c r="J115">
        <v>0</v>
      </c>
      <c r="K115">
        <v>0</v>
      </c>
      <c r="L115">
        <v>0</v>
      </c>
      <c r="M115">
        <v>0</v>
      </c>
      <c r="N115">
        <v>4.0599999999999996</v>
      </c>
      <c r="O115" t="s">
        <v>444</v>
      </c>
    </row>
    <row r="116" spans="1:15" ht="17" customHeight="1" x14ac:dyDescent="0.35">
      <c r="A116">
        <v>2024</v>
      </c>
      <c r="B116">
        <v>32</v>
      </c>
      <c r="C116" t="s">
        <v>275</v>
      </c>
      <c r="D116">
        <v>0</v>
      </c>
      <c r="E116">
        <v>3.5</v>
      </c>
      <c r="F116">
        <v>0</v>
      </c>
      <c r="G116">
        <v>1</v>
      </c>
      <c r="H116">
        <v>0</v>
      </c>
      <c r="I116">
        <v>1</v>
      </c>
      <c r="J116">
        <v>0</v>
      </c>
      <c r="K116">
        <v>0</v>
      </c>
      <c r="L116">
        <v>1</v>
      </c>
      <c r="M116">
        <v>0</v>
      </c>
      <c r="N116">
        <v>4.0599999999999996</v>
      </c>
    </row>
    <row r="117" spans="1:15" ht="17" customHeight="1" x14ac:dyDescent="0.35">
      <c r="A117">
        <v>2024</v>
      </c>
      <c r="B117">
        <v>32</v>
      </c>
      <c r="C117" t="s">
        <v>417</v>
      </c>
      <c r="D117">
        <v>0</v>
      </c>
      <c r="E117">
        <v>1</v>
      </c>
      <c r="F117">
        <v>1</v>
      </c>
      <c r="G117">
        <v>0</v>
      </c>
      <c r="H117">
        <v>0</v>
      </c>
      <c r="I117">
        <v>0</v>
      </c>
      <c r="J117">
        <v>0</v>
      </c>
      <c r="K117">
        <v>0</v>
      </c>
      <c r="L117">
        <v>0</v>
      </c>
      <c r="M117">
        <v>0</v>
      </c>
      <c r="N117">
        <v>4.0599999999999996</v>
      </c>
      <c r="O117" t="s">
        <v>445</v>
      </c>
    </row>
    <row r="118" spans="1:15" ht="17" customHeight="1" x14ac:dyDescent="0.35">
      <c r="A118">
        <v>2024</v>
      </c>
      <c r="B118">
        <v>36</v>
      </c>
      <c r="C118" t="s">
        <v>415</v>
      </c>
      <c r="D118">
        <v>0</v>
      </c>
      <c r="E118">
        <v>0</v>
      </c>
      <c r="F118">
        <v>0</v>
      </c>
      <c r="G118">
        <v>0</v>
      </c>
      <c r="H118">
        <v>0</v>
      </c>
      <c r="I118">
        <v>0</v>
      </c>
      <c r="J118">
        <v>0</v>
      </c>
      <c r="K118">
        <v>0</v>
      </c>
      <c r="L118">
        <v>0</v>
      </c>
      <c r="M118">
        <v>0</v>
      </c>
      <c r="N118">
        <v>4.0599999999999996</v>
      </c>
      <c r="O118" t="s">
        <v>446</v>
      </c>
    </row>
    <row r="119" spans="1:15" ht="17" customHeight="1" x14ac:dyDescent="0.35">
      <c r="A119">
        <v>2024</v>
      </c>
      <c r="B119">
        <v>36</v>
      </c>
      <c r="C119" t="s">
        <v>416</v>
      </c>
      <c r="D119">
        <v>0</v>
      </c>
      <c r="E119">
        <v>1</v>
      </c>
      <c r="F119">
        <v>0</v>
      </c>
      <c r="G119">
        <v>0</v>
      </c>
      <c r="H119">
        <v>0</v>
      </c>
      <c r="I119">
        <v>0</v>
      </c>
      <c r="J119">
        <v>0</v>
      </c>
      <c r="K119">
        <v>0</v>
      </c>
      <c r="L119">
        <v>1</v>
      </c>
      <c r="M119">
        <v>0</v>
      </c>
      <c r="N119">
        <v>4.0599999999999996</v>
      </c>
    </row>
    <row r="120" spans="1:15" ht="17" customHeight="1" x14ac:dyDescent="0.35">
      <c r="A120">
        <v>2024</v>
      </c>
      <c r="B120">
        <v>36</v>
      </c>
      <c r="C120" t="s">
        <v>275</v>
      </c>
      <c r="D120">
        <v>0</v>
      </c>
      <c r="E120">
        <v>3.5</v>
      </c>
      <c r="F120">
        <v>0</v>
      </c>
      <c r="G120">
        <v>0</v>
      </c>
      <c r="H120">
        <v>0</v>
      </c>
      <c r="I120">
        <v>0</v>
      </c>
      <c r="J120">
        <v>0</v>
      </c>
      <c r="K120">
        <v>0</v>
      </c>
      <c r="L120">
        <v>0</v>
      </c>
      <c r="M120">
        <v>1</v>
      </c>
      <c r="N120">
        <v>4.0599999999999996</v>
      </c>
    </row>
    <row r="121" spans="1:15" ht="17" customHeight="1" x14ac:dyDescent="0.35">
      <c r="A121">
        <v>2024</v>
      </c>
      <c r="B121">
        <v>36</v>
      </c>
      <c r="C121" t="s">
        <v>417</v>
      </c>
      <c r="D121">
        <v>0</v>
      </c>
      <c r="E121">
        <v>1</v>
      </c>
      <c r="F121">
        <v>1</v>
      </c>
      <c r="G121">
        <v>0</v>
      </c>
      <c r="H121">
        <v>0</v>
      </c>
      <c r="I121">
        <v>0</v>
      </c>
      <c r="J121">
        <v>0</v>
      </c>
      <c r="K121">
        <v>0</v>
      </c>
      <c r="L121">
        <v>0</v>
      </c>
      <c r="M121">
        <v>0</v>
      </c>
      <c r="N121">
        <v>4.0599999999999996</v>
      </c>
      <c r="O121" t="s">
        <v>447</v>
      </c>
    </row>
    <row r="122" spans="1:15" s="8" customFormat="1" ht="16.5" customHeight="1" x14ac:dyDescent="0.35">
      <c r="A122">
        <v>2024</v>
      </c>
      <c r="B122" s="8">
        <v>86</v>
      </c>
      <c r="C122" s="8" t="s">
        <v>415</v>
      </c>
      <c r="D122" s="8">
        <v>0</v>
      </c>
      <c r="E122" s="8">
        <v>65.5</v>
      </c>
      <c r="F122" s="8">
        <v>5</v>
      </c>
      <c r="G122" s="8">
        <v>8</v>
      </c>
      <c r="H122" s="8">
        <v>6</v>
      </c>
      <c r="I122" s="8">
        <v>9</v>
      </c>
      <c r="J122" s="8">
        <v>4</v>
      </c>
      <c r="K122" s="8">
        <v>3</v>
      </c>
      <c r="L122" s="8">
        <v>4</v>
      </c>
      <c r="M122" s="8">
        <v>4</v>
      </c>
      <c r="N122" s="8">
        <v>4.0599999999999996</v>
      </c>
      <c r="O122" s="8" t="s">
        <v>448</v>
      </c>
    </row>
    <row r="123" spans="1:15" ht="17" customHeight="1" x14ac:dyDescent="0.35">
      <c r="A123">
        <v>2024</v>
      </c>
      <c r="B123">
        <v>86</v>
      </c>
      <c r="C123" t="s">
        <v>416</v>
      </c>
      <c r="D123">
        <v>0</v>
      </c>
      <c r="E123">
        <v>45.5</v>
      </c>
      <c r="F123">
        <v>1</v>
      </c>
      <c r="G123">
        <v>4</v>
      </c>
      <c r="H123">
        <v>0</v>
      </c>
      <c r="I123">
        <v>3</v>
      </c>
      <c r="J123">
        <v>4</v>
      </c>
      <c r="K123">
        <v>0</v>
      </c>
      <c r="L123">
        <v>5</v>
      </c>
      <c r="M123">
        <v>7</v>
      </c>
      <c r="N123">
        <v>4.0599999999999996</v>
      </c>
    </row>
    <row r="124" spans="1:15" ht="17" customHeight="1" x14ac:dyDescent="0.35">
      <c r="A124">
        <v>2024</v>
      </c>
      <c r="B124">
        <v>86</v>
      </c>
      <c r="C124" t="s">
        <v>275</v>
      </c>
      <c r="D124">
        <v>0</v>
      </c>
      <c r="E124">
        <v>15.5</v>
      </c>
      <c r="F124">
        <v>2</v>
      </c>
      <c r="G124">
        <v>1</v>
      </c>
      <c r="H124">
        <v>2</v>
      </c>
      <c r="I124">
        <v>3</v>
      </c>
      <c r="J124">
        <v>5</v>
      </c>
      <c r="K124">
        <v>3</v>
      </c>
      <c r="L124">
        <v>2</v>
      </c>
      <c r="M124">
        <v>2</v>
      </c>
      <c r="N124">
        <v>4.0599999999999996</v>
      </c>
      <c r="O124" t="s">
        <v>449</v>
      </c>
    </row>
    <row r="125" spans="1:15" ht="17" customHeight="1" x14ac:dyDescent="0.35">
      <c r="A125">
        <v>2024</v>
      </c>
      <c r="B125">
        <v>86</v>
      </c>
      <c r="C125" t="s">
        <v>417</v>
      </c>
      <c r="D125">
        <v>0</v>
      </c>
      <c r="E125">
        <v>35.5</v>
      </c>
      <c r="F125">
        <v>12</v>
      </c>
      <c r="G125">
        <v>3</v>
      </c>
      <c r="H125">
        <v>5</v>
      </c>
      <c r="I125">
        <v>6</v>
      </c>
      <c r="J125">
        <v>3</v>
      </c>
      <c r="K125">
        <v>1</v>
      </c>
      <c r="L125">
        <v>0</v>
      </c>
      <c r="M125">
        <v>0</v>
      </c>
      <c r="N125">
        <v>4.0599999999999996</v>
      </c>
    </row>
    <row r="126" spans="1:15" ht="17" customHeight="1" x14ac:dyDescent="0.35">
      <c r="A126">
        <v>2024</v>
      </c>
      <c r="B126">
        <v>78</v>
      </c>
      <c r="C126" t="s">
        <v>415</v>
      </c>
      <c r="D126">
        <v>0</v>
      </c>
      <c r="E126">
        <v>0</v>
      </c>
      <c r="F126">
        <v>0</v>
      </c>
      <c r="G126">
        <v>0</v>
      </c>
      <c r="H126">
        <v>0</v>
      </c>
      <c r="I126">
        <v>0</v>
      </c>
      <c r="J126">
        <v>0</v>
      </c>
      <c r="K126">
        <v>0</v>
      </c>
      <c r="L126">
        <v>0</v>
      </c>
      <c r="M126">
        <v>0</v>
      </c>
      <c r="N126">
        <v>4.0599999999999996</v>
      </c>
      <c r="O126" t="s">
        <v>450</v>
      </c>
    </row>
    <row r="127" spans="1:15" ht="17" customHeight="1" x14ac:dyDescent="0.35">
      <c r="A127">
        <v>2024</v>
      </c>
      <c r="B127">
        <v>78</v>
      </c>
      <c r="C127" t="s">
        <v>416</v>
      </c>
      <c r="D127">
        <v>0</v>
      </c>
      <c r="E127">
        <v>25.5</v>
      </c>
      <c r="F127">
        <v>1</v>
      </c>
      <c r="G127">
        <v>1</v>
      </c>
      <c r="H127">
        <v>1</v>
      </c>
      <c r="I127">
        <v>1</v>
      </c>
      <c r="J127">
        <v>3</v>
      </c>
      <c r="K127">
        <v>2</v>
      </c>
      <c r="L127">
        <v>2</v>
      </c>
      <c r="M127">
        <v>1</v>
      </c>
      <c r="N127">
        <v>4.0599999999999996</v>
      </c>
      <c r="O127" t="s">
        <v>422</v>
      </c>
    </row>
    <row r="128" spans="1:15" ht="17" customHeight="1" x14ac:dyDescent="0.35">
      <c r="A128">
        <v>2024</v>
      </c>
      <c r="B128">
        <v>78</v>
      </c>
      <c r="C128" t="s">
        <v>275</v>
      </c>
      <c r="D128">
        <v>0</v>
      </c>
      <c r="E128">
        <v>0</v>
      </c>
      <c r="F128">
        <v>0</v>
      </c>
      <c r="G128">
        <v>0</v>
      </c>
      <c r="H128">
        <v>0</v>
      </c>
      <c r="I128">
        <v>0</v>
      </c>
      <c r="J128">
        <v>0</v>
      </c>
      <c r="K128">
        <v>0</v>
      </c>
      <c r="L128">
        <v>0</v>
      </c>
      <c r="M128">
        <v>0</v>
      </c>
      <c r="N128">
        <v>4.0599999999999996</v>
      </c>
      <c r="O128" t="s">
        <v>451</v>
      </c>
    </row>
    <row r="129" spans="1:15" ht="17" customHeight="1" x14ac:dyDescent="0.35">
      <c r="A129">
        <v>2024</v>
      </c>
      <c r="B129">
        <v>78</v>
      </c>
      <c r="C129" t="s">
        <v>417</v>
      </c>
      <c r="D129">
        <v>0</v>
      </c>
      <c r="E129">
        <v>0</v>
      </c>
      <c r="F129">
        <v>0</v>
      </c>
      <c r="G129">
        <v>0</v>
      </c>
      <c r="H129">
        <v>0</v>
      </c>
      <c r="I129">
        <v>0</v>
      </c>
      <c r="J129">
        <v>0</v>
      </c>
      <c r="K129">
        <v>0</v>
      </c>
      <c r="L129">
        <v>0</v>
      </c>
      <c r="M129">
        <v>0</v>
      </c>
      <c r="N129">
        <v>4.0599999999999996</v>
      </c>
      <c r="O129" t="s">
        <v>452</v>
      </c>
    </row>
    <row r="130" spans="1:15" ht="17" customHeight="1" x14ac:dyDescent="0.35">
      <c r="A130">
        <v>2024</v>
      </c>
      <c r="B130">
        <v>77</v>
      </c>
      <c r="C130" t="s">
        <v>415</v>
      </c>
      <c r="D130">
        <v>0</v>
      </c>
      <c r="E130">
        <v>0</v>
      </c>
      <c r="F130">
        <v>0</v>
      </c>
      <c r="G130">
        <v>0</v>
      </c>
      <c r="H130">
        <v>0</v>
      </c>
      <c r="I130">
        <v>0</v>
      </c>
      <c r="J130">
        <v>0</v>
      </c>
      <c r="K130">
        <v>0</v>
      </c>
      <c r="L130">
        <v>0</v>
      </c>
      <c r="M130">
        <v>0</v>
      </c>
      <c r="N130">
        <v>4.0599999999999996</v>
      </c>
      <c r="O130" t="s">
        <v>453</v>
      </c>
    </row>
    <row r="131" spans="1:15" ht="17" customHeight="1" x14ac:dyDescent="0.35">
      <c r="A131">
        <v>2024</v>
      </c>
      <c r="B131">
        <v>77</v>
      </c>
      <c r="C131" t="s">
        <v>416</v>
      </c>
      <c r="D131">
        <v>0</v>
      </c>
      <c r="E131">
        <v>0</v>
      </c>
      <c r="F131">
        <v>0</v>
      </c>
      <c r="G131">
        <v>0</v>
      </c>
      <c r="H131">
        <v>0</v>
      </c>
      <c r="I131">
        <v>0</v>
      </c>
      <c r="J131">
        <v>0</v>
      </c>
      <c r="K131">
        <v>0</v>
      </c>
      <c r="L131">
        <v>0</v>
      </c>
      <c r="M131">
        <v>0</v>
      </c>
      <c r="N131">
        <v>4.0599999999999996</v>
      </c>
      <c r="O131" t="s">
        <v>454</v>
      </c>
    </row>
    <row r="132" spans="1:15" ht="17" customHeight="1" x14ac:dyDescent="0.35">
      <c r="A132">
        <v>2024</v>
      </c>
      <c r="B132">
        <v>77</v>
      </c>
      <c r="C132" t="s">
        <v>275</v>
      </c>
      <c r="D132">
        <v>0</v>
      </c>
      <c r="E132">
        <v>0</v>
      </c>
      <c r="F132">
        <v>0</v>
      </c>
      <c r="G132">
        <v>0</v>
      </c>
      <c r="H132">
        <v>0</v>
      </c>
      <c r="I132">
        <v>0</v>
      </c>
      <c r="J132">
        <v>0</v>
      </c>
      <c r="K132">
        <v>0</v>
      </c>
      <c r="L132">
        <v>0</v>
      </c>
      <c r="M132">
        <v>0</v>
      </c>
      <c r="N132">
        <v>4.0599999999999996</v>
      </c>
      <c r="O132" t="s">
        <v>455</v>
      </c>
    </row>
    <row r="133" spans="1:15" ht="17" customHeight="1" x14ac:dyDescent="0.35">
      <c r="A133">
        <v>2024</v>
      </c>
      <c r="B133">
        <v>77</v>
      </c>
      <c r="C133" t="s">
        <v>417</v>
      </c>
      <c r="D133">
        <v>0</v>
      </c>
      <c r="E133">
        <v>0</v>
      </c>
      <c r="F133">
        <v>0</v>
      </c>
      <c r="G133">
        <v>0</v>
      </c>
      <c r="H133">
        <v>0</v>
      </c>
      <c r="I133">
        <v>0</v>
      </c>
      <c r="J133">
        <v>0</v>
      </c>
      <c r="K133">
        <v>0</v>
      </c>
      <c r="L133">
        <v>0</v>
      </c>
      <c r="M133">
        <v>0</v>
      </c>
      <c r="N133">
        <v>4.0599999999999996</v>
      </c>
      <c r="O133" t="s">
        <v>456</v>
      </c>
    </row>
    <row r="134" spans="1:15" ht="16" customHeight="1" x14ac:dyDescent="0.35">
      <c r="A134">
        <v>2024</v>
      </c>
      <c r="B134">
        <v>76</v>
      </c>
      <c r="C134" t="s">
        <v>415</v>
      </c>
      <c r="D134">
        <v>0</v>
      </c>
      <c r="E134">
        <v>0</v>
      </c>
      <c r="F134">
        <v>0</v>
      </c>
      <c r="G134">
        <v>0</v>
      </c>
      <c r="H134">
        <v>0</v>
      </c>
      <c r="I134">
        <v>0</v>
      </c>
      <c r="J134">
        <v>0</v>
      </c>
      <c r="K134">
        <v>0</v>
      </c>
      <c r="L134">
        <v>0</v>
      </c>
      <c r="M134">
        <v>0</v>
      </c>
      <c r="N134">
        <v>4.0599999999999996</v>
      </c>
      <c r="O134" t="s">
        <v>457</v>
      </c>
    </row>
    <row r="135" spans="1:15" ht="17" customHeight="1" x14ac:dyDescent="0.35">
      <c r="A135">
        <v>2024</v>
      </c>
      <c r="B135">
        <v>76</v>
      </c>
      <c r="C135" t="s">
        <v>416</v>
      </c>
      <c r="D135">
        <v>0</v>
      </c>
      <c r="E135">
        <v>0</v>
      </c>
      <c r="F135">
        <v>0</v>
      </c>
      <c r="G135">
        <v>0</v>
      </c>
      <c r="H135">
        <v>0</v>
      </c>
      <c r="I135">
        <v>0</v>
      </c>
      <c r="J135">
        <v>0</v>
      </c>
      <c r="K135">
        <v>0</v>
      </c>
      <c r="L135">
        <v>0</v>
      </c>
      <c r="M135">
        <v>0</v>
      </c>
      <c r="N135">
        <v>4.0599999999999996</v>
      </c>
      <c r="O135" t="s">
        <v>458</v>
      </c>
    </row>
    <row r="136" spans="1:15" ht="17" customHeight="1" x14ac:dyDescent="0.35">
      <c r="A136">
        <v>2024</v>
      </c>
      <c r="B136">
        <v>76</v>
      </c>
      <c r="C136" t="s">
        <v>275</v>
      </c>
      <c r="D136">
        <v>0</v>
      </c>
      <c r="E136">
        <v>0</v>
      </c>
      <c r="F136">
        <v>0</v>
      </c>
      <c r="G136">
        <v>0</v>
      </c>
      <c r="H136">
        <v>0</v>
      </c>
      <c r="I136">
        <v>0</v>
      </c>
      <c r="J136">
        <v>0</v>
      </c>
      <c r="K136">
        <v>0</v>
      </c>
      <c r="L136">
        <v>0</v>
      </c>
      <c r="M136">
        <v>0</v>
      </c>
      <c r="N136">
        <v>4.0599999999999996</v>
      </c>
      <c r="O136" t="s">
        <v>459</v>
      </c>
    </row>
    <row r="137" spans="1:15" ht="17" customHeight="1" x14ac:dyDescent="0.35">
      <c r="A137">
        <v>2024</v>
      </c>
      <c r="B137">
        <v>76</v>
      </c>
      <c r="C137" t="s">
        <v>417</v>
      </c>
      <c r="D137">
        <v>0</v>
      </c>
      <c r="E137">
        <v>3.5</v>
      </c>
      <c r="F137">
        <v>0</v>
      </c>
      <c r="G137">
        <v>0</v>
      </c>
      <c r="H137">
        <v>0</v>
      </c>
      <c r="I137">
        <v>0</v>
      </c>
      <c r="J137">
        <v>0</v>
      </c>
      <c r="K137">
        <v>0</v>
      </c>
      <c r="L137">
        <v>0</v>
      </c>
      <c r="M137">
        <v>1</v>
      </c>
      <c r="N137">
        <v>4.0599999999999996</v>
      </c>
    </row>
    <row r="138" spans="1:15" ht="17" customHeight="1" x14ac:dyDescent="0.35">
      <c r="A138">
        <v>2024</v>
      </c>
      <c r="B138">
        <v>73</v>
      </c>
      <c r="C138" t="s">
        <v>415</v>
      </c>
      <c r="D138">
        <v>0</v>
      </c>
      <c r="E138">
        <v>0</v>
      </c>
      <c r="F138">
        <v>0</v>
      </c>
      <c r="G138">
        <v>0</v>
      </c>
      <c r="H138">
        <v>0</v>
      </c>
      <c r="I138">
        <v>0</v>
      </c>
      <c r="J138">
        <v>0</v>
      </c>
      <c r="K138">
        <v>0</v>
      </c>
      <c r="L138">
        <v>0</v>
      </c>
      <c r="M138">
        <v>0</v>
      </c>
      <c r="N138">
        <v>4.0599999999999996</v>
      </c>
      <c r="O138" t="s">
        <v>460</v>
      </c>
    </row>
    <row r="139" spans="1:15" ht="17" customHeight="1" x14ac:dyDescent="0.35">
      <c r="A139">
        <v>2024</v>
      </c>
      <c r="B139">
        <v>73</v>
      </c>
      <c r="C139" t="s">
        <v>416</v>
      </c>
      <c r="D139">
        <v>0</v>
      </c>
      <c r="E139">
        <v>3.5</v>
      </c>
      <c r="F139">
        <v>0</v>
      </c>
      <c r="G139">
        <v>0</v>
      </c>
      <c r="H139">
        <v>0</v>
      </c>
      <c r="I139">
        <v>0</v>
      </c>
      <c r="J139">
        <v>0</v>
      </c>
      <c r="K139">
        <v>0</v>
      </c>
      <c r="L139">
        <v>0</v>
      </c>
      <c r="M139">
        <v>1</v>
      </c>
      <c r="N139">
        <v>4.0599999999999996</v>
      </c>
    </row>
    <row r="140" spans="1:15" ht="17" customHeight="1" x14ac:dyDescent="0.35">
      <c r="A140">
        <v>2024</v>
      </c>
      <c r="B140">
        <v>73</v>
      </c>
      <c r="C140" t="s">
        <v>275</v>
      </c>
      <c r="D140">
        <v>0</v>
      </c>
      <c r="E140">
        <v>8</v>
      </c>
      <c r="F140">
        <v>1</v>
      </c>
      <c r="G140">
        <v>2</v>
      </c>
      <c r="H140">
        <v>3</v>
      </c>
      <c r="I140">
        <v>3</v>
      </c>
      <c r="J140">
        <v>0</v>
      </c>
      <c r="K140">
        <v>1</v>
      </c>
      <c r="L140">
        <v>0</v>
      </c>
      <c r="M140">
        <v>1</v>
      </c>
      <c r="N140">
        <v>4.0599999999999996</v>
      </c>
    </row>
    <row r="141" spans="1:15" ht="17" customHeight="1" x14ac:dyDescent="0.35">
      <c r="A141">
        <v>2024</v>
      </c>
      <c r="B141">
        <v>73</v>
      </c>
      <c r="C141" t="s">
        <v>417</v>
      </c>
      <c r="D141">
        <v>0</v>
      </c>
      <c r="E141">
        <v>8</v>
      </c>
      <c r="F141">
        <v>1</v>
      </c>
      <c r="G141">
        <v>3</v>
      </c>
      <c r="H141">
        <v>1</v>
      </c>
      <c r="I141">
        <v>3</v>
      </c>
      <c r="J141">
        <v>1</v>
      </c>
      <c r="K141">
        <v>0</v>
      </c>
      <c r="L141">
        <v>1</v>
      </c>
      <c r="M141">
        <v>1</v>
      </c>
      <c r="N141">
        <v>4.0599999999999996</v>
      </c>
    </row>
    <row r="142" spans="1:15" ht="17" customHeight="1" x14ac:dyDescent="0.35">
      <c r="A142">
        <v>2024</v>
      </c>
      <c r="B142">
        <v>74</v>
      </c>
      <c r="C142" t="s">
        <v>415</v>
      </c>
      <c r="D142">
        <v>0</v>
      </c>
      <c r="E142">
        <v>0</v>
      </c>
      <c r="F142">
        <v>0</v>
      </c>
      <c r="G142">
        <v>0</v>
      </c>
      <c r="H142">
        <v>0</v>
      </c>
      <c r="I142">
        <v>0</v>
      </c>
      <c r="J142">
        <v>0</v>
      </c>
      <c r="K142">
        <v>0</v>
      </c>
      <c r="L142">
        <v>0</v>
      </c>
      <c r="M142">
        <v>0</v>
      </c>
      <c r="N142">
        <v>4.0599999999999996</v>
      </c>
    </row>
    <row r="143" spans="1:15" ht="17" customHeight="1" x14ac:dyDescent="0.35">
      <c r="A143">
        <v>2024</v>
      </c>
      <c r="B143">
        <v>74</v>
      </c>
      <c r="C143" t="s">
        <v>416</v>
      </c>
      <c r="D143">
        <v>0</v>
      </c>
      <c r="E143">
        <v>15.5</v>
      </c>
      <c r="F143">
        <v>0</v>
      </c>
      <c r="G143">
        <v>0</v>
      </c>
      <c r="H143">
        <v>0</v>
      </c>
      <c r="I143">
        <v>0</v>
      </c>
      <c r="J143">
        <v>0</v>
      </c>
      <c r="K143">
        <v>1</v>
      </c>
      <c r="L143">
        <v>2</v>
      </c>
      <c r="M143">
        <v>2</v>
      </c>
      <c r="N143">
        <v>4.0599999999999996</v>
      </c>
    </row>
    <row r="144" spans="1:15" ht="17" customHeight="1" x14ac:dyDescent="0.35">
      <c r="A144">
        <v>2024</v>
      </c>
      <c r="B144">
        <v>74</v>
      </c>
      <c r="C144" t="s">
        <v>275</v>
      </c>
      <c r="D144">
        <v>0</v>
      </c>
      <c r="E144">
        <v>0</v>
      </c>
      <c r="F144">
        <v>0</v>
      </c>
      <c r="G144">
        <v>0</v>
      </c>
      <c r="H144">
        <v>0</v>
      </c>
      <c r="I144">
        <v>0</v>
      </c>
      <c r="J144">
        <v>0</v>
      </c>
      <c r="K144">
        <v>0</v>
      </c>
      <c r="L144">
        <v>0</v>
      </c>
      <c r="M144">
        <v>0</v>
      </c>
      <c r="N144">
        <v>4.0599999999999996</v>
      </c>
    </row>
    <row r="145" spans="1:15" ht="17" customHeight="1" x14ac:dyDescent="0.35">
      <c r="A145">
        <v>2024</v>
      </c>
      <c r="B145">
        <v>74</v>
      </c>
      <c r="C145" t="s">
        <v>417</v>
      </c>
      <c r="D145">
        <v>0</v>
      </c>
      <c r="E145">
        <v>1</v>
      </c>
      <c r="F145">
        <v>0</v>
      </c>
      <c r="G145">
        <v>0</v>
      </c>
      <c r="H145">
        <v>1</v>
      </c>
      <c r="I145">
        <v>0</v>
      </c>
      <c r="J145">
        <v>0</v>
      </c>
      <c r="K145">
        <v>0</v>
      </c>
      <c r="L145">
        <v>0</v>
      </c>
      <c r="M145">
        <v>0</v>
      </c>
      <c r="N145">
        <v>4.0599999999999996</v>
      </c>
    </row>
    <row r="146" spans="1:15" s="11" customFormat="1" ht="17" customHeight="1" x14ac:dyDescent="0.35">
      <c r="A146">
        <v>2024</v>
      </c>
      <c r="B146" s="11" t="s">
        <v>347</v>
      </c>
      <c r="C146" s="11" t="s">
        <v>415</v>
      </c>
      <c r="D146" s="11">
        <v>0</v>
      </c>
      <c r="E146" s="11">
        <v>15.5</v>
      </c>
      <c r="F146" s="11">
        <v>0</v>
      </c>
      <c r="G146" s="11">
        <v>0</v>
      </c>
      <c r="H146" s="11">
        <v>0</v>
      </c>
      <c r="I146" s="11">
        <v>0</v>
      </c>
      <c r="J146" s="11">
        <v>1</v>
      </c>
      <c r="K146" s="11">
        <v>3</v>
      </c>
      <c r="L146" s="11">
        <v>1</v>
      </c>
      <c r="M146" s="11">
        <v>0</v>
      </c>
      <c r="N146" s="11">
        <v>4.0599999999999996</v>
      </c>
    </row>
    <row r="147" spans="1:15" ht="17" customHeight="1" x14ac:dyDescent="0.35">
      <c r="A147">
        <v>2024</v>
      </c>
      <c r="B147" t="s">
        <v>347</v>
      </c>
      <c r="C147" t="s">
        <v>416</v>
      </c>
      <c r="D147">
        <v>0</v>
      </c>
      <c r="E147">
        <v>8</v>
      </c>
      <c r="F147">
        <v>2</v>
      </c>
      <c r="G147">
        <v>2</v>
      </c>
      <c r="H147">
        <v>1</v>
      </c>
      <c r="I147">
        <v>1</v>
      </c>
      <c r="J147">
        <v>0</v>
      </c>
      <c r="K147">
        <v>1</v>
      </c>
      <c r="L147">
        <v>0</v>
      </c>
      <c r="M147">
        <v>0</v>
      </c>
      <c r="N147">
        <v>4.0599999999999996</v>
      </c>
    </row>
    <row r="148" spans="1:15" ht="17" customHeight="1" x14ac:dyDescent="0.35">
      <c r="A148">
        <v>2024</v>
      </c>
      <c r="B148" t="s">
        <v>347</v>
      </c>
      <c r="C148" t="s">
        <v>275</v>
      </c>
      <c r="D148">
        <v>0</v>
      </c>
      <c r="E148">
        <v>8</v>
      </c>
      <c r="F148">
        <v>0</v>
      </c>
      <c r="G148">
        <v>0</v>
      </c>
      <c r="H148">
        <v>2</v>
      </c>
      <c r="I148">
        <v>1</v>
      </c>
      <c r="J148">
        <v>1</v>
      </c>
      <c r="K148">
        <v>1</v>
      </c>
      <c r="L148">
        <v>0</v>
      </c>
      <c r="M148">
        <v>1</v>
      </c>
      <c r="N148">
        <v>4.0599999999999996</v>
      </c>
    </row>
    <row r="149" spans="1:15" ht="17" customHeight="1" x14ac:dyDescent="0.35">
      <c r="A149">
        <v>2024</v>
      </c>
      <c r="B149" t="s">
        <v>347</v>
      </c>
      <c r="C149" t="s">
        <v>417</v>
      </c>
      <c r="D149">
        <v>0</v>
      </c>
      <c r="E149">
        <v>8</v>
      </c>
      <c r="F149">
        <v>1</v>
      </c>
      <c r="G149">
        <v>1</v>
      </c>
      <c r="H149">
        <v>1</v>
      </c>
      <c r="I149">
        <v>1</v>
      </c>
      <c r="J149">
        <v>1</v>
      </c>
      <c r="K149">
        <v>0</v>
      </c>
      <c r="L149">
        <v>0</v>
      </c>
      <c r="M149">
        <v>0</v>
      </c>
      <c r="N149">
        <v>4.0599999999999996</v>
      </c>
    </row>
    <row r="150" spans="1:15" ht="17" customHeight="1" x14ac:dyDescent="0.35">
      <c r="A150">
        <v>2024</v>
      </c>
      <c r="B150" t="s">
        <v>350</v>
      </c>
      <c r="C150" t="s">
        <v>415</v>
      </c>
      <c r="D150">
        <v>0</v>
      </c>
      <c r="E150">
        <v>0.5</v>
      </c>
      <c r="F150">
        <v>0</v>
      </c>
      <c r="G150">
        <v>1</v>
      </c>
      <c r="H150">
        <v>0</v>
      </c>
      <c r="I150">
        <v>0</v>
      </c>
      <c r="J150">
        <v>0</v>
      </c>
      <c r="K150">
        <v>0</v>
      </c>
      <c r="L150">
        <v>0</v>
      </c>
      <c r="M150">
        <v>0</v>
      </c>
      <c r="N150">
        <v>4.0599999999999996</v>
      </c>
    </row>
    <row r="151" spans="1:15" ht="17" customHeight="1" x14ac:dyDescent="0.35">
      <c r="A151">
        <v>2024</v>
      </c>
      <c r="B151" t="s">
        <v>350</v>
      </c>
      <c r="C151" t="s">
        <v>416</v>
      </c>
      <c r="D151">
        <v>0</v>
      </c>
      <c r="E151">
        <v>0</v>
      </c>
      <c r="F151">
        <v>0</v>
      </c>
      <c r="G151">
        <v>0</v>
      </c>
      <c r="H151">
        <v>0</v>
      </c>
      <c r="I151">
        <v>0</v>
      </c>
      <c r="J151">
        <v>0</v>
      </c>
      <c r="K151">
        <v>0</v>
      </c>
      <c r="L151">
        <v>0</v>
      </c>
      <c r="M151">
        <v>0</v>
      </c>
      <c r="N151">
        <v>4.0599999999999996</v>
      </c>
    </row>
    <row r="152" spans="1:15" ht="17" customHeight="1" x14ac:dyDescent="0.35">
      <c r="A152">
        <v>2024</v>
      </c>
      <c r="B152" t="s">
        <v>350</v>
      </c>
      <c r="C152" t="s">
        <v>275</v>
      </c>
      <c r="D152">
        <v>0</v>
      </c>
      <c r="E152">
        <v>0.5</v>
      </c>
      <c r="F152">
        <v>0</v>
      </c>
      <c r="G152">
        <v>1</v>
      </c>
      <c r="H152">
        <v>0</v>
      </c>
      <c r="I152">
        <v>0</v>
      </c>
      <c r="J152">
        <v>0</v>
      </c>
      <c r="K152">
        <v>0</v>
      </c>
      <c r="L152">
        <v>0</v>
      </c>
      <c r="M152">
        <v>0</v>
      </c>
      <c r="N152">
        <v>4.0599999999999996</v>
      </c>
    </row>
    <row r="153" spans="1:15" ht="17" customHeight="1" x14ac:dyDescent="0.35">
      <c r="A153">
        <v>2024</v>
      </c>
      <c r="B153" t="s">
        <v>350</v>
      </c>
      <c r="C153" t="s">
        <v>417</v>
      </c>
      <c r="D153">
        <v>0</v>
      </c>
      <c r="E153">
        <v>3.5</v>
      </c>
      <c r="F153">
        <v>1</v>
      </c>
      <c r="G153">
        <v>1</v>
      </c>
      <c r="H153">
        <v>2</v>
      </c>
      <c r="I153">
        <v>1</v>
      </c>
      <c r="J153">
        <v>0</v>
      </c>
      <c r="K153">
        <v>0</v>
      </c>
      <c r="L153">
        <v>0</v>
      </c>
      <c r="M153">
        <v>0</v>
      </c>
      <c r="N153">
        <v>4.0599999999999996</v>
      </c>
    </row>
    <row r="154" spans="1:15" ht="17" customHeight="1" x14ac:dyDescent="0.35">
      <c r="A154">
        <v>2024</v>
      </c>
      <c r="B154">
        <v>109</v>
      </c>
      <c r="C154" t="s">
        <v>415</v>
      </c>
      <c r="D154">
        <v>0</v>
      </c>
      <c r="E154">
        <v>0</v>
      </c>
      <c r="F154">
        <v>0</v>
      </c>
      <c r="G154">
        <v>0</v>
      </c>
      <c r="H154">
        <v>0</v>
      </c>
      <c r="I154">
        <v>0</v>
      </c>
      <c r="J154">
        <v>0</v>
      </c>
      <c r="K154">
        <v>0</v>
      </c>
      <c r="L154">
        <v>0</v>
      </c>
      <c r="M154">
        <v>0</v>
      </c>
      <c r="N154">
        <v>4.0599999999999996</v>
      </c>
      <c r="O154" t="s">
        <v>460</v>
      </c>
    </row>
    <row r="155" spans="1:15" ht="17" customHeight="1" x14ac:dyDescent="0.35">
      <c r="A155">
        <v>2024</v>
      </c>
      <c r="B155">
        <v>109</v>
      </c>
      <c r="C155" t="s">
        <v>416</v>
      </c>
      <c r="D155">
        <v>0</v>
      </c>
      <c r="E155">
        <v>0.5</v>
      </c>
      <c r="F155">
        <v>1</v>
      </c>
      <c r="G155">
        <v>1</v>
      </c>
      <c r="H155">
        <v>0</v>
      </c>
      <c r="I155">
        <v>0</v>
      </c>
      <c r="J155">
        <v>0</v>
      </c>
      <c r="K155">
        <v>0</v>
      </c>
      <c r="L155">
        <v>0</v>
      </c>
      <c r="M155">
        <v>0</v>
      </c>
      <c r="N155">
        <v>4.0599999999999996</v>
      </c>
      <c r="O155" t="s">
        <v>460</v>
      </c>
    </row>
    <row r="156" spans="1:15" ht="17" customHeight="1" x14ac:dyDescent="0.35">
      <c r="A156">
        <v>2024</v>
      </c>
      <c r="B156">
        <v>109</v>
      </c>
      <c r="C156" t="s">
        <v>275</v>
      </c>
      <c r="D156">
        <v>0</v>
      </c>
      <c r="E156">
        <v>0.5</v>
      </c>
      <c r="F156">
        <v>0</v>
      </c>
      <c r="G156">
        <v>0</v>
      </c>
      <c r="H156">
        <v>1</v>
      </c>
      <c r="I156">
        <v>0</v>
      </c>
      <c r="J156">
        <v>0</v>
      </c>
      <c r="K156">
        <v>0</v>
      </c>
      <c r="L156">
        <v>0</v>
      </c>
      <c r="M156">
        <v>0</v>
      </c>
      <c r="N156">
        <v>4.0599999999999996</v>
      </c>
      <c r="O156" t="s">
        <v>460</v>
      </c>
    </row>
    <row r="157" spans="1:15" ht="17" customHeight="1" x14ac:dyDescent="0.35">
      <c r="A157">
        <v>2024</v>
      </c>
      <c r="B157">
        <v>109</v>
      </c>
      <c r="C157" t="s">
        <v>417</v>
      </c>
      <c r="D157">
        <v>0</v>
      </c>
      <c r="E157">
        <v>0</v>
      </c>
      <c r="F157">
        <v>0</v>
      </c>
      <c r="G157">
        <v>0</v>
      </c>
      <c r="H157">
        <v>0</v>
      </c>
      <c r="I157">
        <v>0</v>
      </c>
      <c r="J157">
        <v>0</v>
      </c>
      <c r="K157">
        <v>0</v>
      </c>
      <c r="L157">
        <v>0</v>
      </c>
      <c r="M157">
        <v>0</v>
      </c>
      <c r="N157">
        <v>4.0599999999999996</v>
      </c>
      <c r="O157" t="s">
        <v>460</v>
      </c>
    </row>
    <row r="158" spans="1:15" ht="17" customHeight="1" x14ac:dyDescent="0.35">
      <c r="A158">
        <v>2024</v>
      </c>
      <c r="B158">
        <v>100</v>
      </c>
      <c r="C158" t="s">
        <v>415</v>
      </c>
      <c r="D158">
        <v>0</v>
      </c>
      <c r="E158">
        <v>55.5</v>
      </c>
      <c r="F158">
        <v>7</v>
      </c>
      <c r="G158">
        <v>5</v>
      </c>
      <c r="H158">
        <v>3</v>
      </c>
      <c r="I158">
        <v>0</v>
      </c>
      <c r="J158">
        <v>3</v>
      </c>
      <c r="K158">
        <v>5</v>
      </c>
      <c r="L158">
        <v>1</v>
      </c>
      <c r="M158">
        <v>1</v>
      </c>
      <c r="N158">
        <v>4.0599999999999996</v>
      </c>
      <c r="O158" t="s">
        <v>461</v>
      </c>
    </row>
    <row r="159" spans="1:15" ht="17" customHeight="1" x14ac:dyDescent="0.35">
      <c r="A159">
        <v>2024</v>
      </c>
      <c r="B159">
        <v>100</v>
      </c>
      <c r="C159" t="s">
        <v>416</v>
      </c>
      <c r="D159">
        <v>0</v>
      </c>
      <c r="E159">
        <v>75.5</v>
      </c>
      <c r="F159">
        <v>8</v>
      </c>
      <c r="G159">
        <v>3</v>
      </c>
      <c r="H159">
        <v>11</v>
      </c>
      <c r="I159">
        <v>8</v>
      </c>
      <c r="J159">
        <v>3</v>
      </c>
      <c r="K159">
        <v>4</v>
      </c>
      <c r="L159">
        <v>1</v>
      </c>
      <c r="M159">
        <v>3</v>
      </c>
      <c r="N159">
        <v>4.0599999999999996</v>
      </c>
      <c r="O159" t="s">
        <v>462</v>
      </c>
    </row>
    <row r="160" spans="1:15" ht="17" customHeight="1" x14ac:dyDescent="0.35">
      <c r="A160">
        <v>2024</v>
      </c>
      <c r="B160">
        <v>100</v>
      </c>
      <c r="C160" t="s">
        <v>275</v>
      </c>
      <c r="D160">
        <v>0</v>
      </c>
      <c r="E160">
        <v>8</v>
      </c>
      <c r="F160">
        <v>1</v>
      </c>
      <c r="G160">
        <v>6</v>
      </c>
      <c r="H160">
        <v>1</v>
      </c>
      <c r="I160">
        <v>1</v>
      </c>
      <c r="J160">
        <v>0</v>
      </c>
      <c r="K160">
        <v>2</v>
      </c>
      <c r="L160">
        <v>0</v>
      </c>
      <c r="M160">
        <v>1</v>
      </c>
      <c r="N160">
        <v>4.0599999999999996</v>
      </c>
      <c r="O160" t="s">
        <v>463</v>
      </c>
    </row>
    <row r="161" spans="1:15" ht="18.5" customHeight="1" x14ac:dyDescent="0.35">
      <c r="A161">
        <v>2024</v>
      </c>
      <c r="B161">
        <v>100</v>
      </c>
      <c r="C161" t="s">
        <v>417</v>
      </c>
      <c r="D161">
        <v>0</v>
      </c>
      <c r="F161">
        <v>3</v>
      </c>
      <c r="G161">
        <v>4</v>
      </c>
      <c r="H161">
        <v>7</v>
      </c>
      <c r="I161">
        <v>2</v>
      </c>
      <c r="J161">
        <v>3</v>
      </c>
      <c r="K161">
        <v>3</v>
      </c>
      <c r="L161">
        <v>3</v>
      </c>
      <c r="M161">
        <v>2</v>
      </c>
      <c r="N161">
        <v>4.0599999999999996</v>
      </c>
      <c r="O161" t="s">
        <v>464</v>
      </c>
    </row>
    <row r="162" spans="1:15" ht="17" customHeight="1" x14ac:dyDescent="0.35">
      <c r="A162">
        <v>2024</v>
      </c>
      <c r="B162">
        <v>112</v>
      </c>
      <c r="C162" t="s">
        <v>415</v>
      </c>
      <c r="D162">
        <v>0</v>
      </c>
      <c r="E162">
        <v>8</v>
      </c>
      <c r="F162">
        <v>0</v>
      </c>
      <c r="G162">
        <v>0</v>
      </c>
      <c r="H162">
        <v>0</v>
      </c>
      <c r="I162">
        <v>0</v>
      </c>
      <c r="J162">
        <v>0</v>
      </c>
      <c r="K162">
        <v>2</v>
      </c>
      <c r="L162">
        <v>1</v>
      </c>
      <c r="M162">
        <v>0</v>
      </c>
      <c r="N162">
        <v>4.0599999999999996</v>
      </c>
      <c r="O162" t="s">
        <v>465</v>
      </c>
    </row>
    <row r="163" spans="1:15" ht="17" customHeight="1" x14ac:dyDescent="0.35">
      <c r="A163">
        <v>2024</v>
      </c>
      <c r="B163">
        <v>112</v>
      </c>
      <c r="C163" t="s">
        <v>416</v>
      </c>
      <c r="D163">
        <v>0</v>
      </c>
      <c r="E163">
        <v>0</v>
      </c>
      <c r="F163">
        <v>0</v>
      </c>
      <c r="G163">
        <v>0</v>
      </c>
      <c r="H163">
        <v>0</v>
      </c>
      <c r="I163">
        <v>0</v>
      </c>
      <c r="J163">
        <v>0</v>
      </c>
      <c r="K163">
        <v>0</v>
      </c>
      <c r="L163">
        <v>0</v>
      </c>
      <c r="M163">
        <v>0</v>
      </c>
      <c r="N163">
        <v>4.0599999999999996</v>
      </c>
      <c r="O163" t="s">
        <v>466</v>
      </c>
    </row>
    <row r="164" spans="1:15" ht="17" customHeight="1" x14ac:dyDescent="0.35">
      <c r="A164">
        <v>2024</v>
      </c>
      <c r="B164">
        <v>112</v>
      </c>
      <c r="C164" t="s">
        <v>275</v>
      </c>
      <c r="D164">
        <v>0</v>
      </c>
      <c r="E164">
        <v>15.5</v>
      </c>
      <c r="F164">
        <v>0</v>
      </c>
      <c r="G164">
        <v>0</v>
      </c>
      <c r="H164">
        <v>0</v>
      </c>
      <c r="I164">
        <v>1</v>
      </c>
      <c r="J164">
        <v>2</v>
      </c>
      <c r="K164">
        <v>1</v>
      </c>
      <c r="L164">
        <v>1</v>
      </c>
      <c r="M164">
        <v>1</v>
      </c>
      <c r="N164">
        <v>4.0599999999999996</v>
      </c>
      <c r="O164" t="s">
        <v>467</v>
      </c>
    </row>
    <row r="165" spans="1:15" ht="17" customHeight="1" x14ac:dyDescent="0.35">
      <c r="A165">
        <v>2024</v>
      </c>
      <c r="B165">
        <v>112</v>
      </c>
      <c r="C165" t="s">
        <v>417</v>
      </c>
      <c r="D165">
        <v>0</v>
      </c>
      <c r="E165">
        <v>15.5</v>
      </c>
      <c r="F165">
        <v>0</v>
      </c>
      <c r="G165">
        <v>0</v>
      </c>
      <c r="H165">
        <v>0</v>
      </c>
      <c r="I165">
        <v>0</v>
      </c>
      <c r="J165">
        <v>0</v>
      </c>
      <c r="K165">
        <v>3</v>
      </c>
      <c r="L165">
        <v>0</v>
      </c>
      <c r="M165">
        <v>0</v>
      </c>
      <c r="N165">
        <v>4.0599999999999996</v>
      </c>
      <c r="O165" t="s">
        <v>468</v>
      </c>
    </row>
    <row r="166" spans="1:15" ht="17" customHeight="1" x14ac:dyDescent="0.35">
      <c r="A166">
        <v>2024</v>
      </c>
      <c r="B166">
        <v>113</v>
      </c>
      <c r="C166" t="s">
        <v>415</v>
      </c>
      <c r="D166">
        <v>0</v>
      </c>
      <c r="E166">
        <v>0</v>
      </c>
      <c r="F166">
        <v>0</v>
      </c>
      <c r="G166">
        <v>0</v>
      </c>
      <c r="H166">
        <v>0</v>
      </c>
      <c r="I166">
        <v>0</v>
      </c>
      <c r="J166">
        <v>0</v>
      </c>
      <c r="K166">
        <v>0</v>
      </c>
      <c r="L166">
        <v>0</v>
      </c>
      <c r="M166">
        <v>0</v>
      </c>
      <c r="N166">
        <v>4.0599999999999996</v>
      </c>
      <c r="O166" t="s">
        <v>469</v>
      </c>
    </row>
    <row r="167" spans="1:15" ht="17" customHeight="1" x14ac:dyDescent="0.35">
      <c r="A167">
        <v>2024</v>
      </c>
      <c r="B167">
        <v>113</v>
      </c>
      <c r="C167" t="s">
        <v>416</v>
      </c>
      <c r="D167">
        <v>0</v>
      </c>
      <c r="E167">
        <v>8</v>
      </c>
      <c r="F167">
        <v>0</v>
      </c>
      <c r="G167">
        <v>0</v>
      </c>
      <c r="H167">
        <v>0</v>
      </c>
      <c r="I167">
        <v>0</v>
      </c>
      <c r="J167">
        <v>0</v>
      </c>
      <c r="K167">
        <v>1</v>
      </c>
      <c r="L167">
        <v>0</v>
      </c>
      <c r="M167">
        <v>0</v>
      </c>
      <c r="N167">
        <v>4.0599999999999996</v>
      </c>
      <c r="O167" t="s">
        <v>470</v>
      </c>
    </row>
    <row r="168" spans="1:15" ht="17" customHeight="1" x14ac:dyDescent="0.35">
      <c r="A168">
        <v>2024</v>
      </c>
      <c r="B168">
        <v>113</v>
      </c>
      <c r="C168" t="s">
        <v>275</v>
      </c>
      <c r="D168">
        <v>0</v>
      </c>
      <c r="E168">
        <v>15.5</v>
      </c>
      <c r="F168">
        <v>0</v>
      </c>
      <c r="G168">
        <v>1</v>
      </c>
      <c r="H168">
        <v>0</v>
      </c>
      <c r="I168">
        <v>0</v>
      </c>
      <c r="J168">
        <v>1</v>
      </c>
      <c r="K168">
        <v>1</v>
      </c>
      <c r="L168">
        <v>2</v>
      </c>
      <c r="M168">
        <v>1</v>
      </c>
      <c r="N168">
        <v>4.0599999999999996</v>
      </c>
    </row>
    <row r="169" spans="1:15" ht="17" customHeight="1" x14ac:dyDescent="0.35">
      <c r="A169">
        <v>2024</v>
      </c>
      <c r="B169">
        <v>113</v>
      </c>
      <c r="C169" t="s">
        <v>417</v>
      </c>
      <c r="D169">
        <v>0</v>
      </c>
      <c r="E169">
        <v>0</v>
      </c>
      <c r="F169">
        <v>0</v>
      </c>
      <c r="G169">
        <v>0</v>
      </c>
      <c r="H169">
        <v>0</v>
      </c>
      <c r="I169">
        <v>0</v>
      </c>
      <c r="J169">
        <v>0</v>
      </c>
      <c r="K169">
        <v>0</v>
      </c>
      <c r="L169">
        <v>0</v>
      </c>
      <c r="M169">
        <v>0</v>
      </c>
      <c r="N169">
        <v>4.0599999999999996</v>
      </c>
      <c r="O169" t="s">
        <v>469</v>
      </c>
    </row>
    <row r="170" spans="1:15" ht="17" customHeight="1" x14ac:dyDescent="0.35">
      <c r="A170">
        <v>2024</v>
      </c>
      <c r="B170">
        <v>114</v>
      </c>
      <c r="C170" t="s">
        <v>415</v>
      </c>
      <c r="D170">
        <v>0</v>
      </c>
      <c r="E170">
        <v>8</v>
      </c>
      <c r="F170">
        <v>0</v>
      </c>
      <c r="G170">
        <v>0</v>
      </c>
      <c r="H170">
        <v>0</v>
      </c>
      <c r="I170">
        <v>0</v>
      </c>
      <c r="J170">
        <v>1</v>
      </c>
      <c r="K170">
        <v>0</v>
      </c>
      <c r="L170">
        <v>2</v>
      </c>
      <c r="M170">
        <v>1</v>
      </c>
      <c r="N170">
        <v>4.0599999999999996</v>
      </c>
    </row>
    <row r="171" spans="1:15" ht="17" customHeight="1" x14ac:dyDescent="0.35">
      <c r="A171">
        <v>2024</v>
      </c>
      <c r="B171">
        <v>114</v>
      </c>
      <c r="C171" t="s">
        <v>416</v>
      </c>
      <c r="D171">
        <v>0</v>
      </c>
      <c r="E171">
        <v>45.5</v>
      </c>
      <c r="F171">
        <v>0</v>
      </c>
      <c r="G171">
        <v>0</v>
      </c>
      <c r="H171">
        <v>1</v>
      </c>
      <c r="I171">
        <v>1</v>
      </c>
      <c r="J171">
        <v>2</v>
      </c>
      <c r="K171">
        <v>2</v>
      </c>
      <c r="L171">
        <v>2</v>
      </c>
      <c r="M171">
        <v>1</v>
      </c>
      <c r="N171">
        <v>4.0599999999999996</v>
      </c>
    </row>
    <row r="172" spans="1:15" ht="17" customHeight="1" x14ac:dyDescent="0.35">
      <c r="A172">
        <v>2024</v>
      </c>
      <c r="B172">
        <v>114</v>
      </c>
      <c r="C172" t="s">
        <v>275</v>
      </c>
      <c r="D172">
        <v>0</v>
      </c>
      <c r="E172">
        <v>15.5</v>
      </c>
      <c r="F172">
        <v>0</v>
      </c>
      <c r="G172">
        <v>0</v>
      </c>
      <c r="H172">
        <v>0</v>
      </c>
      <c r="I172">
        <v>0</v>
      </c>
      <c r="J172">
        <v>1</v>
      </c>
      <c r="K172">
        <v>0</v>
      </c>
      <c r="L172">
        <v>2</v>
      </c>
      <c r="M172">
        <v>1</v>
      </c>
      <c r="N172">
        <v>4.0599999999999996</v>
      </c>
    </row>
    <row r="173" spans="1:15" ht="17" customHeight="1" x14ac:dyDescent="0.35">
      <c r="A173">
        <v>2024</v>
      </c>
      <c r="B173">
        <v>114</v>
      </c>
      <c r="C173" t="s">
        <v>417</v>
      </c>
      <c r="D173">
        <v>0</v>
      </c>
      <c r="E173">
        <v>3.5</v>
      </c>
      <c r="F173">
        <v>0</v>
      </c>
      <c r="G173">
        <v>0</v>
      </c>
      <c r="H173">
        <v>0</v>
      </c>
      <c r="I173">
        <v>0</v>
      </c>
      <c r="J173">
        <v>1</v>
      </c>
      <c r="K173">
        <v>0</v>
      </c>
      <c r="L173">
        <v>0</v>
      </c>
      <c r="M173">
        <v>0</v>
      </c>
      <c r="N173">
        <v>4.0599999999999996</v>
      </c>
    </row>
    <row r="174" spans="1:15" ht="17" customHeight="1" x14ac:dyDescent="0.35">
      <c r="A174">
        <v>2024</v>
      </c>
      <c r="B174">
        <v>110</v>
      </c>
      <c r="C174" t="s">
        <v>415</v>
      </c>
      <c r="D174">
        <v>0</v>
      </c>
      <c r="E174">
        <v>8</v>
      </c>
      <c r="F174">
        <v>0</v>
      </c>
      <c r="G174">
        <v>0</v>
      </c>
      <c r="H174">
        <v>0</v>
      </c>
      <c r="I174">
        <v>0</v>
      </c>
      <c r="J174">
        <v>0</v>
      </c>
      <c r="K174">
        <v>0</v>
      </c>
      <c r="L174">
        <v>0</v>
      </c>
      <c r="M174">
        <v>1</v>
      </c>
      <c r="N174">
        <v>4.0599999999999996</v>
      </c>
      <c r="O174" t="s">
        <v>471</v>
      </c>
    </row>
    <row r="175" spans="1:15" ht="17" customHeight="1" x14ac:dyDescent="0.35">
      <c r="A175">
        <v>2024</v>
      </c>
      <c r="B175">
        <v>110</v>
      </c>
      <c r="C175" t="s">
        <v>416</v>
      </c>
      <c r="D175">
        <v>0</v>
      </c>
      <c r="E175">
        <v>25.5</v>
      </c>
      <c r="F175">
        <v>0</v>
      </c>
      <c r="G175">
        <v>0</v>
      </c>
      <c r="H175">
        <v>0</v>
      </c>
      <c r="I175">
        <v>0</v>
      </c>
      <c r="J175">
        <v>2</v>
      </c>
      <c r="K175">
        <v>0</v>
      </c>
      <c r="L175">
        <v>2</v>
      </c>
      <c r="M175">
        <v>5</v>
      </c>
      <c r="N175">
        <v>4.0599999999999996</v>
      </c>
    </row>
    <row r="176" spans="1:15" ht="17" customHeight="1" x14ac:dyDescent="0.35">
      <c r="A176">
        <v>2024</v>
      </c>
      <c r="B176">
        <v>110</v>
      </c>
      <c r="C176" t="s">
        <v>275</v>
      </c>
      <c r="D176">
        <v>0</v>
      </c>
      <c r="E176">
        <v>3.5</v>
      </c>
      <c r="F176">
        <v>1</v>
      </c>
      <c r="G176">
        <v>0</v>
      </c>
      <c r="H176">
        <v>1</v>
      </c>
      <c r="I176">
        <v>2</v>
      </c>
      <c r="J176">
        <v>0</v>
      </c>
      <c r="K176">
        <v>0</v>
      </c>
      <c r="L176">
        <v>1</v>
      </c>
      <c r="M176">
        <v>0</v>
      </c>
      <c r="N176">
        <v>4.0599999999999996</v>
      </c>
    </row>
    <row r="177" spans="1:15" ht="17" customHeight="1" x14ac:dyDescent="0.35">
      <c r="A177">
        <v>2024</v>
      </c>
      <c r="B177">
        <v>110</v>
      </c>
      <c r="C177" t="s">
        <v>417</v>
      </c>
      <c r="D177">
        <v>0</v>
      </c>
      <c r="E177">
        <v>0</v>
      </c>
      <c r="F177">
        <v>0</v>
      </c>
      <c r="G177">
        <v>0</v>
      </c>
      <c r="H177">
        <v>0</v>
      </c>
      <c r="I177">
        <v>0</v>
      </c>
      <c r="J177">
        <v>0</v>
      </c>
      <c r="K177">
        <v>0</v>
      </c>
      <c r="L177">
        <v>0</v>
      </c>
      <c r="M177">
        <v>0</v>
      </c>
      <c r="N177">
        <v>4.0599999999999996</v>
      </c>
    </row>
    <row r="178" spans="1:15" ht="17" customHeight="1" x14ac:dyDescent="0.35">
      <c r="A178">
        <v>2024</v>
      </c>
      <c r="B178">
        <v>111</v>
      </c>
      <c r="C178" t="s">
        <v>415</v>
      </c>
      <c r="D178">
        <v>0</v>
      </c>
      <c r="E178">
        <v>15.5</v>
      </c>
      <c r="F178">
        <v>8</v>
      </c>
      <c r="G178">
        <v>1</v>
      </c>
      <c r="H178">
        <v>3</v>
      </c>
      <c r="I178">
        <v>2</v>
      </c>
      <c r="J178">
        <v>3</v>
      </c>
      <c r="K178">
        <v>0</v>
      </c>
      <c r="L178">
        <v>1</v>
      </c>
      <c r="M178">
        <v>1</v>
      </c>
      <c r="N178">
        <v>4.0599999999999996</v>
      </c>
      <c r="O178" t="s">
        <v>472</v>
      </c>
    </row>
    <row r="179" spans="1:15" ht="17" customHeight="1" x14ac:dyDescent="0.35">
      <c r="A179">
        <v>2024</v>
      </c>
      <c r="B179">
        <v>111</v>
      </c>
      <c r="C179" t="s">
        <v>416</v>
      </c>
      <c r="D179">
        <v>0</v>
      </c>
      <c r="E179">
        <v>8</v>
      </c>
      <c r="F179">
        <v>0</v>
      </c>
      <c r="G179">
        <v>0</v>
      </c>
      <c r="H179">
        <v>4</v>
      </c>
      <c r="I179">
        <v>2</v>
      </c>
      <c r="J179">
        <v>0</v>
      </c>
      <c r="K179">
        <v>1</v>
      </c>
      <c r="L179">
        <v>0</v>
      </c>
      <c r="M179">
        <v>0</v>
      </c>
      <c r="N179">
        <v>4.0599999999999996</v>
      </c>
      <c r="O179" t="s">
        <v>473</v>
      </c>
    </row>
    <row r="180" spans="1:15" ht="17" customHeight="1" x14ac:dyDescent="0.35">
      <c r="A180">
        <v>2024</v>
      </c>
      <c r="B180">
        <v>111</v>
      </c>
      <c r="C180" t="s">
        <v>275</v>
      </c>
      <c r="D180">
        <v>0</v>
      </c>
      <c r="E180">
        <v>3.5</v>
      </c>
      <c r="F180">
        <v>0</v>
      </c>
      <c r="G180">
        <v>0</v>
      </c>
      <c r="H180">
        <v>0</v>
      </c>
      <c r="I180">
        <v>1</v>
      </c>
      <c r="J180">
        <v>0</v>
      </c>
      <c r="K180">
        <v>1</v>
      </c>
      <c r="L180">
        <v>2</v>
      </c>
      <c r="M180">
        <v>0</v>
      </c>
      <c r="N180">
        <v>4.0599999999999996</v>
      </c>
      <c r="O180" t="s">
        <v>474</v>
      </c>
    </row>
    <row r="181" spans="1:15" ht="17" customHeight="1" x14ac:dyDescent="0.35">
      <c r="A181">
        <v>2024</v>
      </c>
      <c r="B181">
        <v>111</v>
      </c>
      <c r="C181" t="s">
        <v>417</v>
      </c>
      <c r="D181">
        <v>0</v>
      </c>
      <c r="E181">
        <v>25.5</v>
      </c>
      <c r="F181">
        <v>1</v>
      </c>
      <c r="G181">
        <v>6</v>
      </c>
      <c r="H181">
        <v>3</v>
      </c>
      <c r="I181">
        <v>2</v>
      </c>
      <c r="J181">
        <v>1</v>
      </c>
      <c r="K181">
        <v>5</v>
      </c>
      <c r="L181">
        <v>6</v>
      </c>
      <c r="M181">
        <v>0</v>
      </c>
      <c r="N181">
        <v>4.0599999999999996</v>
      </c>
      <c r="O181" t="s">
        <v>475</v>
      </c>
    </row>
    <row r="182" spans="1:15" ht="17" customHeight="1" x14ac:dyDescent="0.35">
      <c r="A182">
        <v>2024</v>
      </c>
      <c r="B182">
        <v>69</v>
      </c>
      <c r="C182" t="s">
        <v>415</v>
      </c>
      <c r="D182">
        <v>0</v>
      </c>
      <c r="E182">
        <v>8</v>
      </c>
      <c r="F182">
        <v>4</v>
      </c>
      <c r="G182">
        <v>3</v>
      </c>
      <c r="H182">
        <v>3</v>
      </c>
      <c r="I182">
        <v>2</v>
      </c>
      <c r="J182">
        <v>2</v>
      </c>
      <c r="K182">
        <v>0</v>
      </c>
      <c r="L182">
        <v>3</v>
      </c>
      <c r="M182">
        <v>1</v>
      </c>
      <c r="N182">
        <v>4.0599999999999996</v>
      </c>
    </row>
    <row r="183" spans="1:15" ht="17" customHeight="1" x14ac:dyDescent="0.35">
      <c r="A183">
        <v>2024</v>
      </c>
      <c r="B183">
        <v>69</v>
      </c>
      <c r="C183" t="s">
        <v>416</v>
      </c>
      <c r="D183">
        <v>0</v>
      </c>
      <c r="E183">
        <v>8</v>
      </c>
      <c r="F183">
        <v>1</v>
      </c>
      <c r="G183">
        <v>1</v>
      </c>
      <c r="H183">
        <v>0</v>
      </c>
      <c r="I183">
        <v>1</v>
      </c>
      <c r="J183">
        <v>2</v>
      </c>
      <c r="K183">
        <v>1</v>
      </c>
      <c r="L183">
        <v>1</v>
      </c>
      <c r="M183">
        <v>0</v>
      </c>
      <c r="N183">
        <v>4.0599999999999996</v>
      </c>
    </row>
    <row r="184" spans="1:15" ht="17" customHeight="1" x14ac:dyDescent="0.35">
      <c r="A184">
        <v>2024</v>
      </c>
      <c r="B184">
        <v>69</v>
      </c>
      <c r="C184" t="s">
        <v>275</v>
      </c>
      <c r="D184">
        <v>0</v>
      </c>
      <c r="E184">
        <v>65.5</v>
      </c>
      <c r="F184">
        <v>0</v>
      </c>
      <c r="G184">
        <v>3</v>
      </c>
      <c r="H184">
        <v>3</v>
      </c>
      <c r="I184">
        <v>0</v>
      </c>
      <c r="J184">
        <v>4</v>
      </c>
      <c r="K184">
        <v>14</v>
      </c>
      <c r="L184">
        <v>10</v>
      </c>
      <c r="M184">
        <v>2</v>
      </c>
      <c r="N184">
        <v>4.0599999999999996</v>
      </c>
      <c r="O184" t="s">
        <v>476</v>
      </c>
    </row>
    <row r="185" spans="1:15" ht="17" customHeight="1" x14ac:dyDescent="0.35">
      <c r="A185">
        <v>2024</v>
      </c>
      <c r="B185">
        <v>69</v>
      </c>
      <c r="C185" t="s">
        <v>417</v>
      </c>
      <c r="D185">
        <v>0</v>
      </c>
      <c r="E185">
        <v>3.5</v>
      </c>
      <c r="F185">
        <v>0</v>
      </c>
      <c r="G185">
        <v>0</v>
      </c>
      <c r="H185">
        <v>1</v>
      </c>
      <c r="I185">
        <v>0</v>
      </c>
      <c r="J185">
        <v>2</v>
      </c>
      <c r="K185">
        <v>0</v>
      </c>
      <c r="L185">
        <v>2</v>
      </c>
      <c r="M185">
        <v>0</v>
      </c>
      <c r="N185">
        <v>4.0599999999999996</v>
      </c>
    </row>
    <row r="186" spans="1:15" ht="17" customHeight="1" x14ac:dyDescent="0.35">
      <c r="A186">
        <v>2024</v>
      </c>
      <c r="B186">
        <v>68</v>
      </c>
      <c r="C186" t="s">
        <v>415</v>
      </c>
      <c r="D186">
        <v>0</v>
      </c>
      <c r="E186">
        <v>3.5</v>
      </c>
      <c r="F186">
        <v>2</v>
      </c>
      <c r="G186">
        <v>1</v>
      </c>
      <c r="H186">
        <v>0</v>
      </c>
      <c r="I186">
        <v>0</v>
      </c>
      <c r="J186">
        <v>1</v>
      </c>
      <c r="K186">
        <v>0</v>
      </c>
      <c r="L186">
        <v>0</v>
      </c>
      <c r="M186">
        <v>0</v>
      </c>
      <c r="N186">
        <v>4.0599999999999996</v>
      </c>
      <c r="O186" t="s">
        <v>460</v>
      </c>
    </row>
    <row r="187" spans="1:15" ht="17" customHeight="1" x14ac:dyDescent="0.35">
      <c r="A187">
        <v>2024</v>
      </c>
      <c r="B187">
        <v>68</v>
      </c>
      <c r="C187" t="s">
        <v>416</v>
      </c>
      <c r="D187">
        <v>0</v>
      </c>
      <c r="E187">
        <v>65.5</v>
      </c>
      <c r="F187">
        <v>0</v>
      </c>
      <c r="G187">
        <v>2</v>
      </c>
      <c r="H187">
        <v>2</v>
      </c>
      <c r="I187">
        <v>1</v>
      </c>
      <c r="J187">
        <v>2</v>
      </c>
      <c r="K187">
        <v>4</v>
      </c>
      <c r="L187">
        <v>8</v>
      </c>
      <c r="M187">
        <v>3</v>
      </c>
      <c r="N187">
        <v>4.0599999999999996</v>
      </c>
    </row>
    <row r="188" spans="1:15" ht="17" customHeight="1" x14ac:dyDescent="0.35">
      <c r="A188">
        <v>2024</v>
      </c>
      <c r="B188">
        <v>68</v>
      </c>
      <c r="C188" t="s">
        <v>275</v>
      </c>
      <c r="D188">
        <v>0</v>
      </c>
      <c r="E188">
        <v>0</v>
      </c>
      <c r="F188">
        <v>0</v>
      </c>
      <c r="G188">
        <v>0</v>
      </c>
      <c r="H188">
        <v>0</v>
      </c>
      <c r="I188">
        <v>0</v>
      </c>
      <c r="J188">
        <v>0</v>
      </c>
      <c r="K188">
        <v>0</v>
      </c>
      <c r="L188">
        <v>0</v>
      </c>
      <c r="M188">
        <v>0</v>
      </c>
      <c r="N188">
        <v>4.0599999999999996</v>
      </c>
      <c r="O188" t="s">
        <v>477</v>
      </c>
    </row>
    <row r="189" spans="1:15" ht="17" customHeight="1" x14ac:dyDescent="0.35">
      <c r="A189">
        <v>2024</v>
      </c>
      <c r="B189">
        <v>68</v>
      </c>
      <c r="C189" t="s">
        <v>417</v>
      </c>
      <c r="D189">
        <v>0</v>
      </c>
      <c r="E189">
        <v>15.5</v>
      </c>
      <c r="F189">
        <v>0</v>
      </c>
      <c r="G189">
        <v>0</v>
      </c>
      <c r="H189">
        <v>0</v>
      </c>
      <c r="I189">
        <v>1</v>
      </c>
      <c r="J189">
        <v>1</v>
      </c>
      <c r="K189">
        <v>4</v>
      </c>
      <c r="L189">
        <v>2</v>
      </c>
      <c r="M189">
        <v>3</v>
      </c>
      <c r="N189">
        <v>4.0599999999999996</v>
      </c>
      <c r="O189" t="s">
        <v>478</v>
      </c>
    </row>
    <row r="190" spans="1:15" ht="17" customHeight="1" x14ac:dyDescent="0.35">
      <c r="A190">
        <v>2024</v>
      </c>
      <c r="B190">
        <v>67</v>
      </c>
      <c r="C190" t="s">
        <v>415</v>
      </c>
      <c r="D190">
        <v>0</v>
      </c>
      <c r="E190">
        <v>0</v>
      </c>
      <c r="F190">
        <v>0</v>
      </c>
      <c r="G190">
        <v>0</v>
      </c>
      <c r="H190">
        <v>0</v>
      </c>
      <c r="I190">
        <v>0</v>
      </c>
      <c r="J190">
        <v>0</v>
      </c>
      <c r="K190">
        <v>0</v>
      </c>
      <c r="L190">
        <v>0</v>
      </c>
      <c r="M190">
        <v>0</v>
      </c>
      <c r="N190">
        <v>4.0599999999999996</v>
      </c>
      <c r="O190" t="s">
        <v>460</v>
      </c>
    </row>
    <row r="191" spans="1:15" ht="17" customHeight="1" x14ac:dyDescent="0.35">
      <c r="A191">
        <v>2024</v>
      </c>
      <c r="B191">
        <v>67</v>
      </c>
      <c r="C191" t="s">
        <v>416</v>
      </c>
      <c r="D191">
        <v>0</v>
      </c>
      <c r="E191">
        <v>0.5</v>
      </c>
      <c r="F191">
        <v>1</v>
      </c>
      <c r="G191">
        <v>0</v>
      </c>
      <c r="H191">
        <v>0</v>
      </c>
      <c r="I191">
        <v>0</v>
      </c>
      <c r="J191">
        <v>0</v>
      </c>
      <c r="K191">
        <v>0</v>
      </c>
      <c r="L191">
        <v>0</v>
      </c>
      <c r="M191">
        <v>0</v>
      </c>
      <c r="N191">
        <v>4.0599999999999996</v>
      </c>
      <c r="O191" t="s">
        <v>460</v>
      </c>
    </row>
    <row r="192" spans="1:15" ht="17" customHeight="1" x14ac:dyDescent="0.35">
      <c r="A192">
        <v>2024</v>
      </c>
      <c r="B192">
        <v>67</v>
      </c>
      <c r="C192" t="s">
        <v>275</v>
      </c>
      <c r="D192">
        <v>0</v>
      </c>
      <c r="E192">
        <v>0</v>
      </c>
      <c r="F192">
        <v>0</v>
      </c>
      <c r="G192">
        <v>0</v>
      </c>
      <c r="H192">
        <v>0</v>
      </c>
      <c r="I192">
        <v>0</v>
      </c>
      <c r="J192">
        <v>0</v>
      </c>
      <c r="K192">
        <v>0</v>
      </c>
      <c r="L192">
        <v>0</v>
      </c>
      <c r="M192">
        <v>0</v>
      </c>
      <c r="N192">
        <v>4.0599999999999996</v>
      </c>
      <c r="O192" t="s">
        <v>460</v>
      </c>
    </row>
    <row r="193" spans="1:15" ht="17" customHeight="1" x14ac:dyDescent="0.35">
      <c r="A193">
        <v>2024</v>
      </c>
      <c r="B193">
        <v>67</v>
      </c>
      <c r="C193" t="s">
        <v>417</v>
      </c>
      <c r="D193">
        <v>0</v>
      </c>
      <c r="E193">
        <v>0</v>
      </c>
      <c r="F193">
        <v>0</v>
      </c>
      <c r="G193">
        <v>0</v>
      </c>
      <c r="H193">
        <v>0</v>
      </c>
      <c r="I193">
        <v>0</v>
      </c>
      <c r="J193">
        <v>0</v>
      </c>
      <c r="K193">
        <v>0</v>
      </c>
      <c r="L193">
        <v>0</v>
      </c>
      <c r="M193">
        <v>0</v>
      </c>
      <c r="N193">
        <v>4.0599999999999996</v>
      </c>
      <c r="O193" t="s">
        <v>460</v>
      </c>
    </row>
    <row r="194" spans="1:15" ht="17" customHeight="1" x14ac:dyDescent="0.35">
      <c r="A194">
        <v>2024</v>
      </c>
      <c r="B194">
        <v>70</v>
      </c>
      <c r="C194" t="s">
        <v>415</v>
      </c>
      <c r="D194">
        <v>0</v>
      </c>
      <c r="E194">
        <v>35.5</v>
      </c>
      <c r="F194">
        <v>3</v>
      </c>
      <c r="G194">
        <v>4</v>
      </c>
      <c r="H194">
        <v>0</v>
      </c>
      <c r="I194">
        <v>2</v>
      </c>
      <c r="J194">
        <v>0</v>
      </c>
      <c r="K194">
        <v>12</v>
      </c>
      <c r="L194">
        <v>2</v>
      </c>
      <c r="M194">
        <v>0</v>
      </c>
      <c r="N194">
        <v>4.0599999999999996</v>
      </c>
      <c r="O194" t="s">
        <v>479</v>
      </c>
    </row>
    <row r="195" spans="1:15" ht="17" customHeight="1" x14ac:dyDescent="0.35">
      <c r="A195">
        <v>2024</v>
      </c>
      <c r="B195">
        <v>70</v>
      </c>
      <c r="C195" t="s">
        <v>416</v>
      </c>
      <c r="D195">
        <v>0</v>
      </c>
      <c r="E195">
        <v>3.5</v>
      </c>
      <c r="F195">
        <v>0</v>
      </c>
      <c r="G195">
        <v>0</v>
      </c>
      <c r="H195">
        <v>0</v>
      </c>
      <c r="I195">
        <v>0</v>
      </c>
      <c r="J195">
        <v>0</v>
      </c>
      <c r="K195">
        <v>1</v>
      </c>
      <c r="L195">
        <v>0</v>
      </c>
      <c r="M195">
        <v>0</v>
      </c>
      <c r="N195">
        <v>4.0599999999999996</v>
      </c>
      <c r="O195" t="s">
        <v>480</v>
      </c>
    </row>
    <row r="196" spans="1:15" ht="17" customHeight="1" x14ac:dyDescent="0.35">
      <c r="A196">
        <v>2024</v>
      </c>
      <c r="B196">
        <v>70</v>
      </c>
      <c r="C196" t="s">
        <v>275</v>
      </c>
      <c r="D196">
        <v>0</v>
      </c>
      <c r="E196">
        <v>15.5</v>
      </c>
      <c r="F196">
        <v>1</v>
      </c>
      <c r="G196">
        <v>4</v>
      </c>
      <c r="H196">
        <v>5</v>
      </c>
      <c r="I196">
        <v>1</v>
      </c>
      <c r="J196">
        <v>1</v>
      </c>
      <c r="K196">
        <v>3</v>
      </c>
      <c r="L196">
        <v>1</v>
      </c>
      <c r="M196">
        <v>3</v>
      </c>
      <c r="N196">
        <v>4.0599999999999996</v>
      </c>
      <c r="O196" t="s">
        <v>481</v>
      </c>
    </row>
    <row r="197" spans="1:15" ht="17" customHeight="1" x14ac:dyDescent="0.35">
      <c r="A197">
        <v>2024</v>
      </c>
      <c r="B197">
        <v>70</v>
      </c>
      <c r="C197" t="s">
        <v>417</v>
      </c>
      <c r="D197">
        <v>0</v>
      </c>
      <c r="E197">
        <v>15.5</v>
      </c>
      <c r="F197">
        <v>3</v>
      </c>
      <c r="G197">
        <v>9</v>
      </c>
      <c r="H197">
        <v>5</v>
      </c>
      <c r="I197">
        <v>2</v>
      </c>
      <c r="J197">
        <v>1</v>
      </c>
      <c r="K197">
        <v>2</v>
      </c>
      <c r="L197">
        <v>0</v>
      </c>
      <c r="M197">
        <v>0</v>
      </c>
      <c r="N197">
        <v>4.0599999999999996</v>
      </c>
      <c r="O197" t="s">
        <v>482</v>
      </c>
    </row>
    <row r="198" spans="1:15" ht="17" customHeight="1" x14ac:dyDescent="0.35">
      <c r="A198">
        <v>2024</v>
      </c>
      <c r="B198">
        <v>71</v>
      </c>
      <c r="C198" t="s">
        <v>415</v>
      </c>
      <c r="D198">
        <v>0</v>
      </c>
      <c r="E198">
        <v>35.5</v>
      </c>
      <c r="F198">
        <v>0</v>
      </c>
      <c r="G198">
        <v>1</v>
      </c>
      <c r="H198">
        <v>0</v>
      </c>
      <c r="I198">
        <v>3</v>
      </c>
      <c r="J198">
        <v>0</v>
      </c>
      <c r="K198">
        <v>2</v>
      </c>
      <c r="L198">
        <v>2</v>
      </c>
      <c r="M198">
        <v>3</v>
      </c>
      <c r="N198">
        <v>4.0599999999999996</v>
      </c>
      <c r="O198" t="s">
        <v>483</v>
      </c>
    </row>
    <row r="199" spans="1:15" ht="17" customHeight="1" x14ac:dyDescent="0.35">
      <c r="A199">
        <v>2024</v>
      </c>
      <c r="B199">
        <v>71</v>
      </c>
      <c r="C199" t="s">
        <v>416</v>
      </c>
      <c r="D199">
        <v>0</v>
      </c>
      <c r="E199">
        <v>0</v>
      </c>
      <c r="F199">
        <v>0</v>
      </c>
      <c r="G199">
        <v>0</v>
      </c>
      <c r="H199">
        <v>0</v>
      </c>
      <c r="I199">
        <v>0</v>
      </c>
      <c r="J199">
        <v>0</v>
      </c>
      <c r="K199">
        <v>0</v>
      </c>
      <c r="L199">
        <v>0</v>
      </c>
      <c r="M199">
        <v>0</v>
      </c>
      <c r="N199">
        <v>4.0599999999999996</v>
      </c>
      <c r="O199" t="s">
        <v>484</v>
      </c>
    </row>
    <row r="200" spans="1:15" ht="17" customHeight="1" x14ac:dyDescent="0.35">
      <c r="A200">
        <v>2024</v>
      </c>
      <c r="B200">
        <v>71</v>
      </c>
      <c r="C200" t="s">
        <v>275</v>
      </c>
      <c r="D200">
        <v>0</v>
      </c>
      <c r="E200">
        <v>1</v>
      </c>
      <c r="F200">
        <v>0</v>
      </c>
      <c r="G200">
        <v>0</v>
      </c>
      <c r="H200">
        <v>0</v>
      </c>
      <c r="I200">
        <v>0</v>
      </c>
      <c r="J200">
        <v>0</v>
      </c>
      <c r="K200">
        <v>0</v>
      </c>
      <c r="L200">
        <v>1</v>
      </c>
      <c r="M200">
        <v>0</v>
      </c>
      <c r="N200">
        <v>4.0599999999999996</v>
      </c>
      <c r="O200" t="s">
        <v>485</v>
      </c>
    </row>
    <row r="201" spans="1:15" ht="17" customHeight="1" x14ac:dyDescent="0.35">
      <c r="A201">
        <v>2024</v>
      </c>
      <c r="B201">
        <v>71</v>
      </c>
      <c r="C201" t="s">
        <v>417</v>
      </c>
      <c r="D201">
        <v>0</v>
      </c>
      <c r="E201">
        <v>8</v>
      </c>
      <c r="F201">
        <v>0</v>
      </c>
      <c r="G201">
        <v>0</v>
      </c>
      <c r="H201">
        <v>0</v>
      </c>
      <c r="I201">
        <v>0</v>
      </c>
      <c r="J201">
        <v>4</v>
      </c>
      <c r="K201">
        <v>0</v>
      </c>
      <c r="L201">
        <v>0</v>
      </c>
      <c r="M201">
        <v>3</v>
      </c>
      <c r="N201">
        <v>4.0599999999999996</v>
      </c>
      <c r="O201" t="s">
        <v>486</v>
      </c>
    </row>
    <row r="202" spans="1:15" ht="17" customHeight="1" x14ac:dyDescent="0.35">
      <c r="A202">
        <v>2024</v>
      </c>
      <c r="B202">
        <v>55</v>
      </c>
      <c r="C202" t="s">
        <v>415</v>
      </c>
      <c r="D202">
        <v>0</v>
      </c>
      <c r="E202">
        <v>25.5</v>
      </c>
      <c r="F202">
        <v>3</v>
      </c>
      <c r="G202">
        <v>1</v>
      </c>
      <c r="H202">
        <v>1</v>
      </c>
      <c r="I202">
        <v>1</v>
      </c>
      <c r="J202">
        <v>0</v>
      </c>
      <c r="K202">
        <v>0</v>
      </c>
      <c r="L202">
        <v>2</v>
      </c>
      <c r="M202">
        <v>7</v>
      </c>
      <c r="N202">
        <v>4.0599999999999996</v>
      </c>
      <c r="O202" t="s">
        <v>487</v>
      </c>
    </row>
    <row r="203" spans="1:15" ht="17" customHeight="1" x14ac:dyDescent="0.35">
      <c r="A203">
        <v>2024</v>
      </c>
      <c r="B203">
        <v>55</v>
      </c>
      <c r="C203" t="s">
        <v>416</v>
      </c>
      <c r="D203">
        <v>0</v>
      </c>
      <c r="E203">
        <v>1</v>
      </c>
      <c r="F203">
        <v>1</v>
      </c>
      <c r="G203">
        <v>0</v>
      </c>
      <c r="H203">
        <v>1</v>
      </c>
      <c r="I203">
        <v>0</v>
      </c>
      <c r="J203">
        <v>0</v>
      </c>
      <c r="K203">
        <v>0</v>
      </c>
      <c r="L203">
        <v>0</v>
      </c>
      <c r="M203">
        <v>0</v>
      </c>
      <c r="N203">
        <v>4.0599999999999996</v>
      </c>
      <c r="O203" t="s">
        <v>488</v>
      </c>
    </row>
    <row r="204" spans="1:15" ht="17" customHeight="1" x14ac:dyDescent="0.35">
      <c r="A204">
        <v>2024</v>
      </c>
      <c r="B204">
        <v>55</v>
      </c>
      <c r="C204" t="s">
        <v>275</v>
      </c>
      <c r="D204">
        <v>0</v>
      </c>
      <c r="E204">
        <v>15.5</v>
      </c>
      <c r="F204">
        <v>4</v>
      </c>
      <c r="G204">
        <v>5</v>
      </c>
      <c r="H204">
        <v>2</v>
      </c>
      <c r="I204">
        <v>3</v>
      </c>
      <c r="J204">
        <v>4</v>
      </c>
      <c r="K204">
        <v>3</v>
      </c>
      <c r="L204">
        <v>0</v>
      </c>
      <c r="M204">
        <v>1</v>
      </c>
      <c r="N204">
        <v>4.0599999999999996</v>
      </c>
    </row>
    <row r="205" spans="1:15" ht="17" customHeight="1" x14ac:dyDescent="0.35">
      <c r="A205">
        <v>2024</v>
      </c>
      <c r="B205">
        <v>55</v>
      </c>
      <c r="C205" t="s">
        <v>417</v>
      </c>
      <c r="D205">
        <v>0</v>
      </c>
      <c r="E205">
        <v>8</v>
      </c>
      <c r="F205">
        <v>2</v>
      </c>
      <c r="G205">
        <v>3</v>
      </c>
      <c r="H205">
        <v>2</v>
      </c>
      <c r="I205">
        <v>3</v>
      </c>
      <c r="J205">
        <v>0</v>
      </c>
      <c r="K205">
        <v>3</v>
      </c>
      <c r="L205">
        <v>1</v>
      </c>
      <c r="M205">
        <v>2</v>
      </c>
      <c r="N205">
        <v>4.0599999999999996</v>
      </c>
      <c r="O205" t="s">
        <v>489</v>
      </c>
    </row>
    <row r="206" spans="1:15" s="11" customFormat="1" ht="17" customHeight="1" x14ac:dyDescent="0.35">
      <c r="A206">
        <v>2024</v>
      </c>
      <c r="B206" s="11">
        <v>85</v>
      </c>
      <c r="C206" s="11" t="s">
        <v>415</v>
      </c>
      <c r="D206" s="11">
        <v>0</v>
      </c>
      <c r="E206" s="11">
        <v>8</v>
      </c>
      <c r="F206" s="11">
        <v>1</v>
      </c>
      <c r="G206" s="11">
        <v>3</v>
      </c>
      <c r="H206" s="11">
        <v>1</v>
      </c>
      <c r="I206" s="11">
        <v>2</v>
      </c>
      <c r="J206" s="11">
        <v>1</v>
      </c>
      <c r="K206" s="11">
        <v>0</v>
      </c>
      <c r="L206" s="11">
        <v>0</v>
      </c>
      <c r="M206" s="11">
        <v>0</v>
      </c>
      <c r="N206" s="11">
        <v>4.0599999999999996</v>
      </c>
      <c r="O206" s="11" t="s">
        <v>490</v>
      </c>
    </row>
    <row r="207" spans="1:15" ht="17" customHeight="1" x14ac:dyDescent="0.35">
      <c r="A207">
        <v>2024</v>
      </c>
      <c r="B207">
        <v>85</v>
      </c>
      <c r="C207" t="s">
        <v>416</v>
      </c>
      <c r="D207">
        <v>0</v>
      </c>
      <c r="E207">
        <v>3.5</v>
      </c>
      <c r="F207">
        <v>0</v>
      </c>
      <c r="G207">
        <v>1</v>
      </c>
      <c r="H207">
        <v>1</v>
      </c>
      <c r="I207">
        <v>0</v>
      </c>
      <c r="J207">
        <v>1</v>
      </c>
      <c r="K207">
        <v>0</v>
      </c>
      <c r="L207">
        <v>0</v>
      </c>
      <c r="M207">
        <v>1</v>
      </c>
      <c r="N207">
        <v>4.0599999999999996</v>
      </c>
      <c r="O207" t="s">
        <v>491</v>
      </c>
    </row>
    <row r="208" spans="1:15" ht="17" customHeight="1" x14ac:dyDescent="0.35">
      <c r="A208">
        <v>2024</v>
      </c>
      <c r="B208">
        <v>85</v>
      </c>
      <c r="C208" t="s">
        <v>275</v>
      </c>
      <c r="D208">
        <v>0</v>
      </c>
      <c r="E208">
        <v>65.5</v>
      </c>
      <c r="F208">
        <v>4</v>
      </c>
      <c r="G208">
        <v>2</v>
      </c>
      <c r="H208">
        <v>12</v>
      </c>
      <c r="I208">
        <v>10</v>
      </c>
      <c r="J208">
        <v>1</v>
      </c>
      <c r="K208">
        <v>2</v>
      </c>
      <c r="L208">
        <v>3</v>
      </c>
      <c r="M208">
        <v>4</v>
      </c>
      <c r="N208">
        <v>4.0599999999999996</v>
      </c>
      <c r="O208" t="s">
        <v>492</v>
      </c>
    </row>
    <row r="209" spans="1:15" ht="17" customHeight="1" x14ac:dyDescent="0.35">
      <c r="A209">
        <v>2024</v>
      </c>
      <c r="B209">
        <v>85</v>
      </c>
      <c r="C209" t="s">
        <v>417</v>
      </c>
      <c r="D209">
        <v>0</v>
      </c>
      <c r="E209">
        <v>0.5</v>
      </c>
      <c r="F209">
        <v>0</v>
      </c>
      <c r="G209">
        <v>0</v>
      </c>
      <c r="H209">
        <v>0</v>
      </c>
      <c r="I209">
        <v>1</v>
      </c>
      <c r="J209">
        <v>0</v>
      </c>
      <c r="K209">
        <v>0</v>
      </c>
      <c r="L209">
        <v>0</v>
      </c>
      <c r="M209">
        <v>0</v>
      </c>
      <c r="N209">
        <v>4.0599999999999996</v>
      </c>
      <c r="O209" t="s">
        <v>493</v>
      </c>
    </row>
    <row r="210" spans="1:15" ht="14" customHeight="1" x14ac:dyDescent="0.35">
      <c r="A210">
        <v>2024</v>
      </c>
      <c r="B210">
        <v>87</v>
      </c>
      <c r="C210" t="s">
        <v>415</v>
      </c>
      <c r="D210">
        <v>0</v>
      </c>
      <c r="E210">
        <v>35.5</v>
      </c>
      <c r="F210">
        <v>3</v>
      </c>
      <c r="G210">
        <v>0</v>
      </c>
      <c r="H210">
        <v>0</v>
      </c>
      <c r="I210">
        <v>4</v>
      </c>
      <c r="J210">
        <v>2</v>
      </c>
      <c r="K210">
        <v>2</v>
      </c>
      <c r="L210">
        <v>3</v>
      </c>
      <c r="M210">
        <v>4</v>
      </c>
      <c r="N210">
        <v>4.0599999999999996</v>
      </c>
      <c r="O210" t="s">
        <v>494</v>
      </c>
    </row>
    <row r="211" spans="1:15" ht="17" customHeight="1" x14ac:dyDescent="0.35">
      <c r="A211">
        <v>2024</v>
      </c>
      <c r="B211">
        <v>87</v>
      </c>
      <c r="C211" t="s">
        <v>416</v>
      </c>
      <c r="D211">
        <v>0</v>
      </c>
      <c r="E211">
        <v>15.5</v>
      </c>
      <c r="F211">
        <v>1</v>
      </c>
      <c r="G211">
        <v>4</v>
      </c>
      <c r="H211">
        <v>0</v>
      </c>
      <c r="I211">
        <v>2</v>
      </c>
      <c r="J211">
        <v>2</v>
      </c>
      <c r="K211">
        <v>1</v>
      </c>
      <c r="L211">
        <v>2</v>
      </c>
      <c r="M211">
        <v>1</v>
      </c>
      <c r="N211">
        <v>4.0599999999999996</v>
      </c>
      <c r="O211" t="s">
        <v>495</v>
      </c>
    </row>
    <row r="212" spans="1:15" ht="17" customHeight="1" x14ac:dyDescent="0.35">
      <c r="A212">
        <v>2024</v>
      </c>
      <c r="B212">
        <v>87</v>
      </c>
      <c r="C212" t="s">
        <v>275</v>
      </c>
      <c r="D212">
        <v>0</v>
      </c>
      <c r="E212">
        <v>45.5</v>
      </c>
      <c r="F212">
        <v>3</v>
      </c>
      <c r="G212">
        <v>16</v>
      </c>
      <c r="H212">
        <v>8</v>
      </c>
      <c r="I212">
        <v>5</v>
      </c>
      <c r="J212">
        <v>1</v>
      </c>
      <c r="K212">
        <v>0</v>
      </c>
      <c r="L212">
        <v>4</v>
      </c>
      <c r="M212">
        <v>0</v>
      </c>
      <c r="N212">
        <v>4.0599999999999996</v>
      </c>
      <c r="O212" t="s">
        <v>460</v>
      </c>
    </row>
    <row r="213" spans="1:15" ht="17" customHeight="1" x14ac:dyDescent="0.35">
      <c r="A213">
        <v>2024</v>
      </c>
      <c r="B213">
        <v>87</v>
      </c>
      <c r="C213" t="s">
        <v>417</v>
      </c>
      <c r="D213">
        <v>0</v>
      </c>
      <c r="E213">
        <v>15.5</v>
      </c>
      <c r="F213">
        <v>2</v>
      </c>
      <c r="G213">
        <v>9</v>
      </c>
      <c r="H213">
        <v>6</v>
      </c>
      <c r="I213">
        <v>2</v>
      </c>
      <c r="J213">
        <v>0</v>
      </c>
      <c r="K213">
        <v>3</v>
      </c>
      <c r="L213">
        <v>2</v>
      </c>
      <c r="M213">
        <v>1</v>
      </c>
      <c r="N213">
        <v>4.0599999999999996</v>
      </c>
      <c r="O213" t="s">
        <v>496</v>
      </c>
    </row>
    <row r="214" spans="1:15" ht="17" customHeight="1" x14ac:dyDescent="0.35">
      <c r="A214">
        <v>2024</v>
      </c>
      <c r="B214">
        <v>88</v>
      </c>
      <c r="C214" t="s">
        <v>415</v>
      </c>
      <c r="D214">
        <v>0</v>
      </c>
      <c r="E214">
        <v>0.5</v>
      </c>
      <c r="F214">
        <v>0</v>
      </c>
      <c r="G214">
        <v>0</v>
      </c>
      <c r="H214">
        <v>1</v>
      </c>
      <c r="I214">
        <v>0</v>
      </c>
      <c r="J214">
        <v>0</v>
      </c>
      <c r="K214">
        <v>0</v>
      </c>
      <c r="L214">
        <v>0</v>
      </c>
      <c r="M214">
        <v>0</v>
      </c>
      <c r="N214">
        <v>4.0599999999999996</v>
      </c>
      <c r="O214" t="s">
        <v>497</v>
      </c>
    </row>
    <row r="215" spans="1:15" ht="17" customHeight="1" x14ac:dyDescent="0.35">
      <c r="A215">
        <v>2024</v>
      </c>
      <c r="B215">
        <v>88</v>
      </c>
      <c r="C215" t="s">
        <v>416</v>
      </c>
      <c r="D215">
        <v>0</v>
      </c>
      <c r="E215">
        <v>8</v>
      </c>
      <c r="F215">
        <v>0</v>
      </c>
      <c r="G215">
        <v>0</v>
      </c>
      <c r="H215">
        <v>0</v>
      </c>
      <c r="I215">
        <v>0</v>
      </c>
      <c r="J215">
        <v>2</v>
      </c>
      <c r="K215">
        <v>2</v>
      </c>
      <c r="L215">
        <v>1</v>
      </c>
      <c r="M215">
        <v>2</v>
      </c>
      <c r="N215">
        <v>4.0599999999999996</v>
      </c>
      <c r="O215" t="s">
        <v>498</v>
      </c>
    </row>
    <row r="216" spans="1:15" ht="17" customHeight="1" x14ac:dyDescent="0.35">
      <c r="A216">
        <v>2024</v>
      </c>
      <c r="B216">
        <v>88</v>
      </c>
      <c r="C216" t="s">
        <v>275</v>
      </c>
      <c r="D216">
        <v>0</v>
      </c>
      <c r="E216">
        <v>45.5</v>
      </c>
      <c r="F216">
        <v>5</v>
      </c>
      <c r="G216">
        <v>7</v>
      </c>
      <c r="H216">
        <v>5</v>
      </c>
      <c r="I216">
        <v>4</v>
      </c>
      <c r="J216">
        <v>1</v>
      </c>
      <c r="K216">
        <v>3</v>
      </c>
      <c r="L216">
        <v>4</v>
      </c>
      <c r="M216">
        <v>1</v>
      </c>
      <c r="N216">
        <v>4.0599999999999996</v>
      </c>
      <c r="O216" t="s">
        <v>499</v>
      </c>
    </row>
    <row r="217" spans="1:15" ht="17" customHeight="1" x14ac:dyDescent="0.35">
      <c r="A217">
        <v>2024</v>
      </c>
      <c r="B217">
        <v>88</v>
      </c>
      <c r="C217" t="s">
        <v>417</v>
      </c>
      <c r="D217">
        <v>0</v>
      </c>
      <c r="E217">
        <v>15.5</v>
      </c>
      <c r="F217">
        <v>2</v>
      </c>
      <c r="G217">
        <v>3</v>
      </c>
      <c r="H217">
        <v>4</v>
      </c>
      <c r="I217">
        <v>3</v>
      </c>
      <c r="J217">
        <v>2</v>
      </c>
      <c r="K217">
        <v>2</v>
      </c>
      <c r="L217">
        <v>2</v>
      </c>
      <c r="M217">
        <v>2</v>
      </c>
      <c r="N217">
        <v>4.0599999999999996</v>
      </c>
      <c r="O217" t="s">
        <v>460</v>
      </c>
    </row>
    <row r="218" spans="1:15" ht="17" customHeight="1" x14ac:dyDescent="0.35">
      <c r="A218">
        <v>2024</v>
      </c>
      <c r="B218">
        <v>89</v>
      </c>
      <c r="C218" t="s">
        <v>415</v>
      </c>
      <c r="D218">
        <v>0</v>
      </c>
      <c r="E218">
        <v>0</v>
      </c>
      <c r="F218">
        <v>0</v>
      </c>
      <c r="G218">
        <v>0</v>
      </c>
      <c r="H218">
        <v>0</v>
      </c>
      <c r="I218">
        <v>0</v>
      </c>
      <c r="J218">
        <v>0</v>
      </c>
      <c r="K218">
        <v>0</v>
      </c>
      <c r="L218">
        <v>0</v>
      </c>
      <c r="M218">
        <v>0</v>
      </c>
      <c r="N218">
        <v>4.0599999999999996</v>
      </c>
      <c r="O218" t="s">
        <v>460</v>
      </c>
    </row>
    <row r="219" spans="1:15" ht="17" customHeight="1" x14ac:dyDescent="0.35">
      <c r="A219">
        <v>2024</v>
      </c>
      <c r="B219">
        <v>89</v>
      </c>
      <c r="C219" t="s">
        <v>416</v>
      </c>
      <c r="D219">
        <v>0</v>
      </c>
      <c r="E219">
        <v>0.5</v>
      </c>
      <c r="F219">
        <v>0</v>
      </c>
      <c r="G219">
        <v>0</v>
      </c>
      <c r="H219">
        <v>0</v>
      </c>
      <c r="I219">
        <v>0</v>
      </c>
      <c r="J219">
        <v>1</v>
      </c>
      <c r="K219">
        <v>0</v>
      </c>
      <c r="L219">
        <v>0</v>
      </c>
      <c r="M219">
        <v>0</v>
      </c>
      <c r="N219">
        <v>4.0599999999999996</v>
      </c>
      <c r="O219" t="s">
        <v>500</v>
      </c>
    </row>
    <row r="220" spans="1:15" ht="17" customHeight="1" x14ac:dyDescent="0.35">
      <c r="A220">
        <v>2024</v>
      </c>
      <c r="B220">
        <v>89</v>
      </c>
      <c r="C220" t="s">
        <v>275</v>
      </c>
      <c r="D220">
        <v>0</v>
      </c>
      <c r="E220">
        <v>0.5</v>
      </c>
      <c r="F220">
        <v>0</v>
      </c>
      <c r="G220">
        <v>0</v>
      </c>
      <c r="H220">
        <v>0</v>
      </c>
      <c r="I220">
        <v>0</v>
      </c>
      <c r="J220">
        <v>0</v>
      </c>
      <c r="K220">
        <v>0</v>
      </c>
      <c r="L220">
        <v>1</v>
      </c>
      <c r="M220">
        <v>0</v>
      </c>
      <c r="N220">
        <v>4.0599999999999996</v>
      </c>
      <c r="O220" t="s">
        <v>501</v>
      </c>
    </row>
    <row r="221" spans="1:15" ht="17" customHeight="1" x14ac:dyDescent="0.35">
      <c r="A221">
        <v>2024</v>
      </c>
      <c r="B221">
        <v>89</v>
      </c>
      <c r="C221" t="s">
        <v>417</v>
      </c>
      <c r="D221">
        <v>0</v>
      </c>
      <c r="E221">
        <v>3.5</v>
      </c>
      <c r="F221">
        <v>0</v>
      </c>
      <c r="G221">
        <v>0</v>
      </c>
      <c r="H221">
        <v>0</v>
      </c>
      <c r="I221">
        <v>0</v>
      </c>
      <c r="J221">
        <v>1</v>
      </c>
      <c r="K221">
        <v>1</v>
      </c>
      <c r="L221">
        <v>0</v>
      </c>
      <c r="M221">
        <v>0</v>
      </c>
      <c r="N221">
        <v>4.0599999999999996</v>
      </c>
      <c r="O221" t="s">
        <v>502</v>
      </c>
    </row>
    <row r="222" spans="1:15" ht="17" customHeight="1" x14ac:dyDescent="0.35">
      <c r="A222">
        <v>2024</v>
      </c>
      <c r="B222">
        <v>40</v>
      </c>
      <c r="C222" t="s">
        <v>415</v>
      </c>
      <c r="D222">
        <v>0</v>
      </c>
      <c r="E222">
        <v>0</v>
      </c>
      <c r="F222">
        <v>0</v>
      </c>
      <c r="G222">
        <v>0</v>
      </c>
      <c r="H222">
        <v>0</v>
      </c>
      <c r="I222">
        <v>0</v>
      </c>
      <c r="J222">
        <v>0</v>
      </c>
      <c r="K222">
        <v>0</v>
      </c>
      <c r="L222">
        <v>0</v>
      </c>
      <c r="M222">
        <v>0</v>
      </c>
      <c r="N222">
        <v>4.0599999999999996</v>
      </c>
      <c r="O222" t="s">
        <v>503</v>
      </c>
    </row>
    <row r="223" spans="1:15" ht="17" customHeight="1" x14ac:dyDescent="0.35">
      <c r="A223">
        <v>2024</v>
      </c>
      <c r="B223">
        <v>40</v>
      </c>
      <c r="C223" t="s">
        <v>416</v>
      </c>
      <c r="D223">
        <v>0</v>
      </c>
      <c r="E223">
        <v>0</v>
      </c>
      <c r="F223">
        <v>0</v>
      </c>
      <c r="G223">
        <v>0</v>
      </c>
      <c r="H223">
        <v>0</v>
      </c>
      <c r="I223">
        <v>0</v>
      </c>
      <c r="J223">
        <v>0</v>
      </c>
      <c r="K223">
        <v>0</v>
      </c>
      <c r="L223">
        <v>0</v>
      </c>
      <c r="M223">
        <v>0</v>
      </c>
      <c r="N223">
        <v>4.0599999999999996</v>
      </c>
      <c r="O223" t="s">
        <v>504</v>
      </c>
    </row>
    <row r="224" spans="1:15" ht="17" customHeight="1" x14ac:dyDescent="0.35">
      <c r="A224">
        <v>2024</v>
      </c>
      <c r="B224">
        <v>40</v>
      </c>
      <c r="C224" t="s">
        <v>275</v>
      </c>
      <c r="D224">
        <v>0</v>
      </c>
      <c r="E224">
        <v>0</v>
      </c>
      <c r="F224">
        <v>0</v>
      </c>
      <c r="G224">
        <v>0</v>
      </c>
      <c r="H224">
        <v>0</v>
      </c>
      <c r="I224">
        <v>0</v>
      </c>
      <c r="J224">
        <v>0</v>
      </c>
      <c r="K224">
        <v>0</v>
      </c>
      <c r="L224">
        <v>0</v>
      </c>
      <c r="M224">
        <v>0</v>
      </c>
      <c r="N224">
        <v>4.0599999999999996</v>
      </c>
      <c r="O224" t="s">
        <v>505</v>
      </c>
    </row>
    <row r="225" spans="1:15" ht="17" customHeight="1" x14ac:dyDescent="0.35">
      <c r="A225">
        <v>2024</v>
      </c>
      <c r="B225">
        <v>40</v>
      </c>
      <c r="C225" t="s">
        <v>417</v>
      </c>
      <c r="D225">
        <v>0</v>
      </c>
      <c r="E225">
        <v>0</v>
      </c>
      <c r="F225">
        <v>0</v>
      </c>
      <c r="G225">
        <v>0</v>
      </c>
      <c r="H225">
        <v>0</v>
      </c>
      <c r="I225">
        <v>0</v>
      </c>
      <c r="J225">
        <v>0</v>
      </c>
      <c r="K225">
        <v>0</v>
      </c>
      <c r="L225">
        <v>0</v>
      </c>
      <c r="M225">
        <v>0</v>
      </c>
      <c r="N225">
        <v>4.0599999999999996</v>
      </c>
      <c r="O225" t="s">
        <v>506</v>
      </c>
    </row>
    <row r="226" spans="1:15" ht="17" customHeight="1" x14ac:dyDescent="0.35">
      <c r="A226">
        <v>2024</v>
      </c>
      <c r="B226">
        <v>44</v>
      </c>
      <c r="C226" t="s">
        <v>415</v>
      </c>
      <c r="D226">
        <v>0</v>
      </c>
      <c r="E226">
        <v>0</v>
      </c>
      <c r="F226">
        <v>0</v>
      </c>
      <c r="G226">
        <v>0</v>
      </c>
      <c r="H226">
        <v>0</v>
      </c>
      <c r="I226">
        <v>0</v>
      </c>
      <c r="J226">
        <v>0</v>
      </c>
      <c r="K226">
        <v>0</v>
      </c>
      <c r="L226">
        <v>0</v>
      </c>
      <c r="M226">
        <v>0</v>
      </c>
      <c r="N226">
        <v>4.0599999999999996</v>
      </c>
      <c r="O226" t="s">
        <v>507</v>
      </c>
    </row>
    <row r="227" spans="1:15" ht="17" customHeight="1" x14ac:dyDescent="0.35">
      <c r="A227">
        <v>2024</v>
      </c>
      <c r="B227">
        <v>44</v>
      </c>
      <c r="C227" t="s">
        <v>416</v>
      </c>
      <c r="D227">
        <v>0</v>
      </c>
      <c r="E227">
        <v>0</v>
      </c>
      <c r="F227">
        <v>0</v>
      </c>
      <c r="G227">
        <v>0</v>
      </c>
      <c r="H227">
        <v>0</v>
      </c>
      <c r="I227">
        <v>0</v>
      </c>
      <c r="J227">
        <v>0</v>
      </c>
      <c r="K227">
        <v>0</v>
      </c>
      <c r="L227">
        <v>0</v>
      </c>
      <c r="M227">
        <v>0</v>
      </c>
      <c r="N227">
        <v>4.0599999999999996</v>
      </c>
      <c r="O227" t="s">
        <v>430</v>
      </c>
    </row>
    <row r="228" spans="1:15" ht="17" customHeight="1" x14ac:dyDescent="0.35">
      <c r="A228">
        <v>2024</v>
      </c>
      <c r="B228">
        <v>44</v>
      </c>
      <c r="C228" t="s">
        <v>275</v>
      </c>
      <c r="D228">
        <v>0</v>
      </c>
      <c r="E228">
        <v>3.5</v>
      </c>
      <c r="F228">
        <v>0</v>
      </c>
      <c r="G228">
        <v>0</v>
      </c>
      <c r="H228">
        <v>0</v>
      </c>
      <c r="I228">
        <v>0</v>
      </c>
      <c r="J228">
        <v>1</v>
      </c>
      <c r="K228">
        <v>0</v>
      </c>
      <c r="L228">
        <v>0</v>
      </c>
      <c r="M228">
        <v>0</v>
      </c>
      <c r="N228">
        <v>4.0599999999999996</v>
      </c>
      <c r="O228" t="s">
        <v>508</v>
      </c>
    </row>
    <row r="229" spans="1:15" ht="17" customHeight="1" x14ac:dyDescent="0.35">
      <c r="A229">
        <v>2024</v>
      </c>
      <c r="B229">
        <v>44</v>
      </c>
      <c r="C229" t="s">
        <v>417</v>
      </c>
      <c r="D229">
        <v>0</v>
      </c>
      <c r="E229">
        <v>0</v>
      </c>
      <c r="F229">
        <v>0</v>
      </c>
      <c r="G229">
        <v>0</v>
      </c>
      <c r="H229">
        <v>0</v>
      </c>
      <c r="I229">
        <v>0</v>
      </c>
      <c r="J229">
        <v>0</v>
      </c>
      <c r="K229">
        <v>0</v>
      </c>
      <c r="L229">
        <v>0</v>
      </c>
      <c r="M229">
        <v>0</v>
      </c>
      <c r="N229">
        <v>4.0599999999999996</v>
      </c>
      <c r="O229" t="s">
        <v>509</v>
      </c>
    </row>
    <row r="230" spans="1:15" ht="17" customHeight="1" x14ac:dyDescent="0.35">
      <c r="A230">
        <v>2024</v>
      </c>
      <c r="B230">
        <v>43</v>
      </c>
      <c r="C230" t="s">
        <v>415</v>
      </c>
      <c r="D230">
        <v>0</v>
      </c>
      <c r="E230">
        <v>0</v>
      </c>
      <c r="F230">
        <v>0</v>
      </c>
      <c r="G230">
        <v>0</v>
      </c>
      <c r="H230">
        <v>0</v>
      </c>
      <c r="I230">
        <v>0</v>
      </c>
      <c r="J230">
        <v>0</v>
      </c>
      <c r="K230">
        <v>0</v>
      </c>
      <c r="L230">
        <v>0</v>
      </c>
      <c r="M230">
        <v>0</v>
      </c>
      <c r="N230">
        <v>4.0599999999999996</v>
      </c>
      <c r="O230" t="s">
        <v>510</v>
      </c>
    </row>
    <row r="231" spans="1:15" ht="17" customHeight="1" x14ac:dyDescent="0.35">
      <c r="A231">
        <v>2024</v>
      </c>
      <c r="B231">
        <v>43</v>
      </c>
      <c r="C231" t="s">
        <v>416</v>
      </c>
      <c r="D231">
        <v>0</v>
      </c>
      <c r="E231">
        <v>0</v>
      </c>
      <c r="F231">
        <v>0</v>
      </c>
      <c r="G231">
        <v>0</v>
      </c>
      <c r="H231">
        <v>0</v>
      </c>
      <c r="I231">
        <v>0</v>
      </c>
      <c r="J231">
        <v>0</v>
      </c>
      <c r="K231">
        <v>0</v>
      </c>
      <c r="L231">
        <v>0</v>
      </c>
      <c r="M231">
        <v>0</v>
      </c>
      <c r="N231">
        <v>4.0599999999999996</v>
      </c>
      <c r="O231" t="s">
        <v>511</v>
      </c>
    </row>
    <row r="232" spans="1:15" ht="17" customHeight="1" x14ac:dyDescent="0.35">
      <c r="A232">
        <v>2024</v>
      </c>
      <c r="B232">
        <v>43</v>
      </c>
      <c r="C232" t="s">
        <v>275</v>
      </c>
      <c r="D232">
        <v>0</v>
      </c>
      <c r="E232">
        <v>0</v>
      </c>
      <c r="F232">
        <v>0</v>
      </c>
      <c r="G232">
        <v>0</v>
      </c>
      <c r="H232">
        <v>0</v>
      </c>
      <c r="I232">
        <v>0</v>
      </c>
      <c r="J232">
        <v>0</v>
      </c>
      <c r="K232">
        <v>0</v>
      </c>
      <c r="L232">
        <v>0</v>
      </c>
      <c r="M232">
        <v>0</v>
      </c>
      <c r="N232">
        <v>4.0599999999999996</v>
      </c>
      <c r="O232" t="s">
        <v>512</v>
      </c>
    </row>
    <row r="233" spans="1:15" ht="17" customHeight="1" x14ac:dyDescent="0.35">
      <c r="A233">
        <v>2024</v>
      </c>
      <c r="B233">
        <v>43</v>
      </c>
      <c r="C233" t="s">
        <v>417</v>
      </c>
      <c r="D233">
        <v>0</v>
      </c>
      <c r="E233">
        <v>1</v>
      </c>
      <c r="F233">
        <v>0</v>
      </c>
      <c r="G233">
        <v>0</v>
      </c>
      <c r="H233">
        <v>0</v>
      </c>
      <c r="I233">
        <v>0</v>
      </c>
      <c r="J233">
        <v>1</v>
      </c>
      <c r="K233">
        <v>0</v>
      </c>
      <c r="L233">
        <v>0</v>
      </c>
      <c r="M233">
        <v>0</v>
      </c>
      <c r="N233">
        <v>4.0599999999999996</v>
      </c>
      <c r="O233" t="s">
        <v>513</v>
      </c>
    </row>
    <row r="234" spans="1:15" ht="17" customHeight="1" x14ac:dyDescent="0.35">
      <c r="A234">
        <v>2024</v>
      </c>
      <c r="B234">
        <v>45</v>
      </c>
      <c r="C234" t="s">
        <v>415</v>
      </c>
      <c r="D234">
        <v>0</v>
      </c>
      <c r="E234">
        <v>0</v>
      </c>
      <c r="F234">
        <v>0</v>
      </c>
      <c r="G234">
        <v>0</v>
      </c>
      <c r="H234">
        <v>0</v>
      </c>
      <c r="I234">
        <v>0</v>
      </c>
      <c r="J234">
        <v>0</v>
      </c>
      <c r="K234">
        <v>0</v>
      </c>
      <c r="L234">
        <v>0</v>
      </c>
      <c r="M234">
        <v>0</v>
      </c>
      <c r="N234">
        <v>4.0599999999999996</v>
      </c>
      <c r="O234" t="s">
        <v>514</v>
      </c>
    </row>
    <row r="235" spans="1:15" ht="17" customHeight="1" x14ac:dyDescent="0.35">
      <c r="A235">
        <v>2024</v>
      </c>
      <c r="B235">
        <v>45</v>
      </c>
      <c r="C235" t="s">
        <v>416</v>
      </c>
      <c r="D235">
        <v>0</v>
      </c>
      <c r="E235">
        <v>0</v>
      </c>
      <c r="F235">
        <v>0</v>
      </c>
      <c r="G235">
        <v>0</v>
      </c>
      <c r="H235">
        <v>0</v>
      </c>
      <c r="I235">
        <v>0</v>
      </c>
      <c r="J235">
        <v>0</v>
      </c>
      <c r="K235">
        <v>0</v>
      </c>
      <c r="L235">
        <v>0</v>
      </c>
      <c r="M235">
        <v>0</v>
      </c>
      <c r="N235">
        <v>4.0599999999999996</v>
      </c>
      <c r="O235" t="s">
        <v>515</v>
      </c>
    </row>
    <row r="236" spans="1:15" ht="17" customHeight="1" x14ac:dyDescent="0.35">
      <c r="A236">
        <v>2024</v>
      </c>
      <c r="B236">
        <v>45</v>
      </c>
      <c r="C236" t="s">
        <v>275</v>
      </c>
      <c r="D236">
        <v>0</v>
      </c>
      <c r="E236">
        <v>0</v>
      </c>
      <c r="F236">
        <v>0</v>
      </c>
      <c r="G236">
        <v>0</v>
      </c>
      <c r="H236">
        <v>0</v>
      </c>
      <c r="I236">
        <v>0</v>
      </c>
      <c r="J236">
        <v>0</v>
      </c>
      <c r="K236">
        <v>0</v>
      </c>
      <c r="L236">
        <v>0</v>
      </c>
      <c r="M236">
        <v>0</v>
      </c>
      <c r="N236">
        <v>4.0599999999999996</v>
      </c>
    </row>
    <row r="237" spans="1:15" ht="17" customHeight="1" x14ac:dyDescent="0.35">
      <c r="A237">
        <v>2024</v>
      </c>
      <c r="B237">
        <v>45</v>
      </c>
      <c r="C237" t="s">
        <v>417</v>
      </c>
      <c r="D237">
        <v>0</v>
      </c>
      <c r="E237">
        <v>0</v>
      </c>
      <c r="F237">
        <v>0</v>
      </c>
      <c r="G237">
        <v>0</v>
      </c>
      <c r="H237">
        <v>0</v>
      </c>
      <c r="I237">
        <v>0</v>
      </c>
      <c r="J237">
        <v>0</v>
      </c>
      <c r="K237">
        <v>0</v>
      </c>
      <c r="L237">
        <v>0</v>
      </c>
      <c r="M237">
        <v>0</v>
      </c>
      <c r="N237">
        <v>4.0599999999999996</v>
      </c>
      <c r="O237" t="s">
        <v>516</v>
      </c>
    </row>
    <row r="238" spans="1:15" ht="17" customHeight="1" x14ac:dyDescent="0.35">
      <c r="A238">
        <v>2024</v>
      </c>
      <c r="B238">
        <v>41</v>
      </c>
      <c r="C238" t="s">
        <v>415</v>
      </c>
      <c r="D238">
        <v>0</v>
      </c>
      <c r="E238">
        <v>0</v>
      </c>
      <c r="F238">
        <v>0</v>
      </c>
      <c r="G238">
        <v>0</v>
      </c>
      <c r="H238">
        <v>0</v>
      </c>
      <c r="I238">
        <v>0</v>
      </c>
      <c r="J238">
        <v>0</v>
      </c>
      <c r="K238">
        <v>0</v>
      </c>
      <c r="L238">
        <v>0</v>
      </c>
      <c r="M238">
        <v>0</v>
      </c>
      <c r="N238">
        <v>4.0599999999999996</v>
      </c>
      <c r="O238" t="s">
        <v>517</v>
      </c>
    </row>
    <row r="239" spans="1:15" ht="17" customHeight="1" x14ac:dyDescent="0.35">
      <c r="A239">
        <v>2024</v>
      </c>
      <c r="B239">
        <v>41</v>
      </c>
      <c r="C239" t="s">
        <v>416</v>
      </c>
      <c r="D239">
        <v>0</v>
      </c>
      <c r="E239">
        <v>0</v>
      </c>
      <c r="F239">
        <v>0</v>
      </c>
      <c r="G239">
        <v>0</v>
      </c>
      <c r="H239">
        <v>0</v>
      </c>
      <c r="I239">
        <v>0</v>
      </c>
      <c r="J239">
        <v>0</v>
      </c>
      <c r="K239">
        <v>0</v>
      </c>
      <c r="L239">
        <v>0</v>
      </c>
      <c r="M239">
        <v>0</v>
      </c>
      <c r="N239">
        <v>4.0599999999999996</v>
      </c>
      <c r="O239" t="s">
        <v>518</v>
      </c>
    </row>
    <row r="240" spans="1:15" ht="17" customHeight="1" x14ac:dyDescent="0.35">
      <c r="A240">
        <v>2024</v>
      </c>
      <c r="B240">
        <v>41</v>
      </c>
      <c r="C240" t="s">
        <v>275</v>
      </c>
      <c r="D240">
        <v>0</v>
      </c>
      <c r="E240">
        <v>0</v>
      </c>
      <c r="F240">
        <v>0</v>
      </c>
      <c r="G240">
        <v>0</v>
      </c>
      <c r="H240">
        <v>0</v>
      </c>
      <c r="I240">
        <v>0</v>
      </c>
      <c r="J240">
        <v>0</v>
      </c>
      <c r="K240">
        <v>0</v>
      </c>
      <c r="L240">
        <v>0</v>
      </c>
      <c r="M240">
        <v>0</v>
      </c>
      <c r="N240">
        <v>4.0599999999999996</v>
      </c>
      <c r="O240" t="s">
        <v>519</v>
      </c>
    </row>
    <row r="241" spans="1:15" ht="17" customHeight="1" x14ac:dyDescent="0.35">
      <c r="A241">
        <v>2024</v>
      </c>
      <c r="B241">
        <v>41</v>
      </c>
      <c r="C241" t="s">
        <v>417</v>
      </c>
      <c r="D241">
        <v>0</v>
      </c>
      <c r="E241">
        <v>0</v>
      </c>
      <c r="F241">
        <v>0</v>
      </c>
      <c r="G241">
        <v>0</v>
      </c>
      <c r="H241">
        <v>0</v>
      </c>
      <c r="I241">
        <v>0</v>
      </c>
      <c r="J241">
        <v>0</v>
      </c>
      <c r="K241">
        <v>0</v>
      </c>
      <c r="L241">
        <v>0</v>
      </c>
      <c r="M241">
        <v>0</v>
      </c>
      <c r="N241">
        <v>4.0599999999999996</v>
      </c>
      <c r="O241" t="s">
        <v>478</v>
      </c>
    </row>
    <row r="242" spans="1:15" ht="19" customHeight="1" x14ac:dyDescent="0.35">
      <c r="A242">
        <v>2024</v>
      </c>
      <c r="B242">
        <v>42</v>
      </c>
      <c r="C242" t="s">
        <v>415</v>
      </c>
      <c r="D242">
        <v>0</v>
      </c>
      <c r="E242">
        <v>0</v>
      </c>
      <c r="F242">
        <v>0</v>
      </c>
      <c r="G242">
        <v>0</v>
      </c>
      <c r="H242">
        <v>0</v>
      </c>
      <c r="I242">
        <v>0</v>
      </c>
      <c r="J242">
        <v>0</v>
      </c>
      <c r="K242">
        <v>0</v>
      </c>
      <c r="L242">
        <v>0</v>
      </c>
      <c r="M242">
        <v>0</v>
      </c>
      <c r="N242">
        <v>4.0599999999999996</v>
      </c>
      <c r="O242" t="s">
        <v>520</v>
      </c>
    </row>
    <row r="243" spans="1:15" ht="17" customHeight="1" x14ac:dyDescent="0.35">
      <c r="A243">
        <v>2024</v>
      </c>
      <c r="B243">
        <v>42</v>
      </c>
      <c r="C243" t="s">
        <v>416</v>
      </c>
      <c r="D243">
        <v>0</v>
      </c>
      <c r="E243">
        <v>0</v>
      </c>
      <c r="F243">
        <v>0</v>
      </c>
      <c r="G243">
        <v>0</v>
      </c>
      <c r="H243">
        <v>0</v>
      </c>
      <c r="I243">
        <v>0</v>
      </c>
      <c r="J243">
        <v>0</v>
      </c>
      <c r="K243">
        <v>0</v>
      </c>
      <c r="L243">
        <v>0</v>
      </c>
      <c r="M243">
        <v>0</v>
      </c>
      <c r="N243">
        <v>4.0599999999999996</v>
      </c>
      <c r="O243" t="s">
        <v>521</v>
      </c>
    </row>
    <row r="244" spans="1:15" ht="17" customHeight="1" x14ac:dyDescent="0.35">
      <c r="A244">
        <v>2024</v>
      </c>
      <c r="B244">
        <v>42</v>
      </c>
      <c r="C244" t="s">
        <v>275</v>
      </c>
      <c r="D244">
        <v>0</v>
      </c>
      <c r="E244">
        <v>0</v>
      </c>
      <c r="F244">
        <v>0</v>
      </c>
      <c r="G244">
        <v>0</v>
      </c>
      <c r="H244">
        <v>0</v>
      </c>
      <c r="I244">
        <v>0</v>
      </c>
      <c r="J244">
        <v>0</v>
      </c>
      <c r="K244">
        <v>0</v>
      </c>
      <c r="L244">
        <v>0</v>
      </c>
      <c r="M244">
        <v>0</v>
      </c>
      <c r="N244">
        <v>4.0599999999999996</v>
      </c>
      <c r="O244" t="s">
        <v>522</v>
      </c>
    </row>
    <row r="245" spans="1:15" ht="17" customHeight="1" x14ac:dyDescent="0.35">
      <c r="A245">
        <v>2024</v>
      </c>
      <c r="B245">
        <v>42</v>
      </c>
      <c r="C245" t="s">
        <v>417</v>
      </c>
      <c r="D245">
        <v>0</v>
      </c>
      <c r="E245">
        <v>0</v>
      </c>
      <c r="F245">
        <v>0</v>
      </c>
      <c r="G245">
        <v>0</v>
      </c>
      <c r="H245">
        <v>0</v>
      </c>
      <c r="I245">
        <v>0</v>
      </c>
      <c r="J245">
        <v>0</v>
      </c>
      <c r="K245">
        <v>0</v>
      </c>
      <c r="L245">
        <v>0</v>
      </c>
      <c r="M245">
        <v>0</v>
      </c>
      <c r="N245">
        <v>4.0599999999999996</v>
      </c>
      <c r="O245" t="s">
        <v>523</v>
      </c>
    </row>
    <row r="246" spans="1:15" s="11" customFormat="1" ht="17" customHeight="1" x14ac:dyDescent="0.35">
      <c r="A246">
        <v>2024</v>
      </c>
      <c r="B246" s="11">
        <v>90</v>
      </c>
      <c r="C246" s="11" t="s">
        <v>415</v>
      </c>
      <c r="D246" s="11">
        <v>0</v>
      </c>
      <c r="E246" s="11">
        <v>1</v>
      </c>
      <c r="F246" s="11">
        <v>0</v>
      </c>
      <c r="G246" s="11">
        <v>0</v>
      </c>
      <c r="H246" s="11">
        <v>1</v>
      </c>
      <c r="I246" s="11">
        <v>0</v>
      </c>
      <c r="J246" s="11">
        <v>0</v>
      </c>
      <c r="K246" s="11">
        <v>0</v>
      </c>
      <c r="L246" s="11">
        <v>0</v>
      </c>
      <c r="M246" s="11">
        <v>0</v>
      </c>
      <c r="N246">
        <v>4.0599999999999996</v>
      </c>
    </row>
    <row r="247" spans="1:15" ht="17" customHeight="1" x14ac:dyDescent="0.35">
      <c r="A247">
        <v>2024</v>
      </c>
      <c r="B247">
        <v>90</v>
      </c>
      <c r="C247" t="s">
        <v>416</v>
      </c>
      <c r="D247">
        <v>0</v>
      </c>
      <c r="E247">
        <v>1</v>
      </c>
      <c r="F247">
        <v>1</v>
      </c>
      <c r="G247">
        <v>0</v>
      </c>
      <c r="H247">
        <v>0</v>
      </c>
      <c r="I247">
        <v>0</v>
      </c>
      <c r="J247">
        <v>0</v>
      </c>
      <c r="K247">
        <v>0</v>
      </c>
      <c r="L247">
        <v>1</v>
      </c>
      <c r="M247">
        <v>0</v>
      </c>
      <c r="N247">
        <v>4.0599999999999996</v>
      </c>
      <c r="O247" t="s">
        <v>524</v>
      </c>
    </row>
    <row r="248" spans="1:15" ht="17" customHeight="1" x14ac:dyDescent="0.35">
      <c r="A248">
        <v>2024</v>
      </c>
      <c r="B248">
        <v>90</v>
      </c>
      <c r="C248" t="s">
        <v>275</v>
      </c>
      <c r="D248">
        <v>0</v>
      </c>
      <c r="E248">
        <v>0</v>
      </c>
      <c r="F248">
        <v>0</v>
      </c>
      <c r="G248">
        <v>0</v>
      </c>
      <c r="H248">
        <v>0</v>
      </c>
      <c r="I248">
        <v>0</v>
      </c>
      <c r="J248">
        <v>0</v>
      </c>
      <c r="K248">
        <v>0</v>
      </c>
      <c r="L248">
        <v>0</v>
      </c>
      <c r="M248">
        <v>0</v>
      </c>
      <c r="N248">
        <v>4.0599999999999996</v>
      </c>
      <c r="O248" t="s">
        <v>525</v>
      </c>
    </row>
    <row r="249" spans="1:15" ht="17" customHeight="1" x14ac:dyDescent="0.35">
      <c r="A249">
        <v>2024</v>
      </c>
      <c r="B249">
        <v>90</v>
      </c>
      <c r="C249" t="s">
        <v>417</v>
      </c>
      <c r="D249">
        <v>0</v>
      </c>
      <c r="E249">
        <v>3.5</v>
      </c>
      <c r="F249">
        <v>0</v>
      </c>
      <c r="G249">
        <v>0</v>
      </c>
      <c r="H249">
        <v>0</v>
      </c>
      <c r="I249">
        <v>0</v>
      </c>
      <c r="J249">
        <v>1</v>
      </c>
      <c r="K249">
        <v>0</v>
      </c>
      <c r="L249">
        <v>0</v>
      </c>
      <c r="M249">
        <v>1</v>
      </c>
      <c r="N249">
        <v>4.0599999999999996</v>
      </c>
      <c r="O249" t="s">
        <v>493</v>
      </c>
    </row>
    <row r="250" spans="1:15" ht="20.5" customHeight="1" x14ac:dyDescent="0.35">
      <c r="A250">
        <v>2024</v>
      </c>
      <c r="B250">
        <v>82</v>
      </c>
      <c r="C250" t="s">
        <v>415</v>
      </c>
      <c r="D250">
        <v>0</v>
      </c>
      <c r="E250">
        <v>0</v>
      </c>
      <c r="F250">
        <v>0</v>
      </c>
      <c r="G250">
        <v>0</v>
      </c>
      <c r="H250">
        <v>0</v>
      </c>
      <c r="I250">
        <v>0</v>
      </c>
      <c r="J250">
        <v>0</v>
      </c>
      <c r="K250">
        <v>0</v>
      </c>
      <c r="L250">
        <v>0</v>
      </c>
      <c r="M250">
        <v>0</v>
      </c>
      <c r="N250">
        <v>4.0599999999999996</v>
      </c>
      <c r="O250" t="s">
        <v>526</v>
      </c>
    </row>
    <row r="251" spans="1:15" ht="17" customHeight="1" x14ac:dyDescent="0.35">
      <c r="A251">
        <v>2024</v>
      </c>
      <c r="B251">
        <v>82</v>
      </c>
      <c r="C251" t="s">
        <v>416</v>
      </c>
      <c r="D251">
        <v>0</v>
      </c>
      <c r="E251">
        <v>1</v>
      </c>
      <c r="F251">
        <v>1</v>
      </c>
      <c r="G251">
        <v>1</v>
      </c>
      <c r="H251">
        <v>0</v>
      </c>
      <c r="I251">
        <v>0</v>
      </c>
      <c r="J251">
        <v>1</v>
      </c>
      <c r="K251">
        <v>0</v>
      </c>
      <c r="L251">
        <v>0</v>
      </c>
      <c r="M251">
        <v>0</v>
      </c>
      <c r="N251">
        <v>4.0599999999999996</v>
      </c>
      <c r="O251" t="s">
        <v>460</v>
      </c>
    </row>
    <row r="252" spans="1:15" ht="15" customHeight="1" x14ac:dyDescent="0.35">
      <c r="A252">
        <v>2024</v>
      </c>
      <c r="B252">
        <v>82</v>
      </c>
      <c r="C252" t="s">
        <v>275</v>
      </c>
      <c r="D252">
        <v>0</v>
      </c>
      <c r="E252">
        <v>3.5</v>
      </c>
      <c r="F252">
        <v>0</v>
      </c>
      <c r="G252">
        <v>0</v>
      </c>
      <c r="H252">
        <v>0</v>
      </c>
      <c r="I252">
        <v>0</v>
      </c>
      <c r="J252">
        <v>0</v>
      </c>
      <c r="K252">
        <v>0</v>
      </c>
      <c r="L252">
        <v>0</v>
      </c>
      <c r="M252">
        <v>1</v>
      </c>
      <c r="N252">
        <v>4.0599999999999996</v>
      </c>
      <c r="O252" t="s">
        <v>527</v>
      </c>
    </row>
    <row r="253" spans="1:15" ht="17" customHeight="1" x14ac:dyDescent="0.35">
      <c r="A253">
        <v>2024</v>
      </c>
      <c r="B253">
        <v>82</v>
      </c>
      <c r="C253" t="s">
        <v>417</v>
      </c>
      <c r="D253">
        <v>0</v>
      </c>
      <c r="E253">
        <v>0</v>
      </c>
      <c r="F253">
        <v>0</v>
      </c>
      <c r="G253">
        <v>0</v>
      </c>
      <c r="H253">
        <v>0</v>
      </c>
      <c r="I253">
        <v>0</v>
      </c>
      <c r="J253">
        <v>0</v>
      </c>
      <c r="K253">
        <v>0</v>
      </c>
      <c r="L253">
        <v>0</v>
      </c>
      <c r="M253">
        <v>0</v>
      </c>
      <c r="N253">
        <v>4.0599999999999996</v>
      </c>
      <c r="O253" t="s">
        <v>528</v>
      </c>
    </row>
    <row r="254" spans="1:15" ht="17" customHeight="1" x14ac:dyDescent="0.35">
      <c r="A254">
        <v>2024</v>
      </c>
      <c r="B254">
        <v>83</v>
      </c>
      <c r="C254" t="s">
        <v>415</v>
      </c>
      <c r="D254">
        <v>0</v>
      </c>
      <c r="E254">
        <v>0</v>
      </c>
      <c r="F254">
        <v>0</v>
      </c>
      <c r="G254">
        <v>0</v>
      </c>
      <c r="H254">
        <v>0</v>
      </c>
      <c r="I254">
        <v>0</v>
      </c>
      <c r="J254">
        <v>0</v>
      </c>
      <c r="K254">
        <v>0</v>
      </c>
      <c r="L254">
        <v>0</v>
      </c>
      <c r="M254">
        <v>0</v>
      </c>
      <c r="N254">
        <v>4.0599999999999996</v>
      </c>
      <c r="O254" t="s">
        <v>529</v>
      </c>
    </row>
    <row r="255" spans="1:15" ht="17" customHeight="1" x14ac:dyDescent="0.35">
      <c r="A255">
        <v>2024</v>
      </c>
      <c r="B255">
        <v>83</v>
      </c>
      <c r="C255" t="s">
        <v>416</v>
      </c>
      <c r="D255">
        <v>0</v>
      </c>
      <c r="E255">
        <v>1</v>
      </c>
      <c r="F255">
        <v>0</v>
      </c>
      <c r="G255">
        <v>1</v>
      </c>
      <c r="H255">
        <v>0</v>
      </c>
      <c r="I255">
        <v>1</v>
      </c>
      <c r="J255">
        <v>0</v>
      </c>
      <c r="K255">
        <v>0</v>
      </c>
      <c r="L255">
        <v>0</v>
      </c>
      <c r="M255">
        <v>0</v>
      </c>
      <c r="N255">
        <v>4.0599999999999996</v>
      </c>
      <c r="O255" t="s">
        <v>525</v>
      </c>
    </row>
    <row r="256" spans="1:15" ht="17" customHeight="1" x14ac:dyDescent="0.35">
      <c r="A256">
        <v>2024</v>
      </c>
      <c r="B256">
        <v>83</v>
      </c>
      <c r="C256" t="s">
        <v>275</v>
      </c>
      <c r="D256">
        <v>0</v>
      </c>
      <c r="E256">
        <v>3.5</v>
      </c>
      <c r="F256">
        <v>0</v>
      </c>
      <c r="G256">
        <v>0</v>
      </c>
      <c r="H256">
        <v>0</v>
      </c>
      <c r="I256">
        <v>0</v>
      </c>
      <c r="J256">
        <v>2</v>
      </c>
      <c r="K256">
        <v>0</v>
      </c>
      <c r="L256">
        <v>0</v>
      </c>
      <c r="M256">
        <v>0</v>
      </c>
      <c r="N256">
        <v>4.0599999999999996</v>
      </c>
      <c r="O256" t="s">
        <v>530</v>
      </c>
    </row>
    <row r="257" spans="1:15" ht="17" customHeight="1" x14ac:dyDescent="0.35">
      <c r="A257">
        <v>2024</v>
      </c>
      <c r="B257">
        <v>83</v>
      </c>
      <c r="C257" t="s">
        <v>417</v>
      </c>
      <c r="D257">
        <v>0</v>
      </c>
      <c r="E257">
        <v>1</v>
      </c>
      <c r="F257">
        <v>0</v>
      </c>
      <c r="G257">
        <v>0</v>
      </c>
      <c r="H257">
        <v>0</v>
      </c>
      <c r="I257">
        <v>0</v>
      </c>
      <c r="J257">
        <v>1</v>
      </c>
      <c r="K257">
        <v>0</v>
      </c>
      <c r="L257">
        <v>0</v>
      </c>
      <c r="M257">
        <v>0</v>
      </c>
      <c r="N257">
        <v>4.0599999999999996</v>
      </c>
      <c r="O257" t="s">
        <v>531</v>
      </c>
    </row>
    <row r="258" spans="1:15" ht="17" customHeight="1" x14ac:dyDescent="0.35">
      <c r="A258">
        <v>2024</v>
      </c>
      <c r="B258">
        <v>84</v>
      </c>
      <c r="C258" t="s">
        <v>415</v>
      </c>
      <c r="D258">
        <v>0</v>
      </c>
      <c r="E258">
        <v>0</v>
      </c>
      <c r="F258">
        <v>0</v>
      </c>
      <c r="G258">
        <v>0</v>
      </c>
      <c r="H258">
        <v>0</v>
      </c>
      <c r="I258">
        <v>0</v>
      </c>
      <c r="J258">
        <v>0</v>
      </c>
      <c r="K258">
        <v>0</v>
      </c>
      <c r="L258">
        <v>0</v>
      </c>
      <c r="M258">
        <v>0</v>
      </c>
      <c r="N258">
        <v>4.0599999999999996</v>
      </c>
      <c r="O258" t="s">
        <v>532</v>
      </c>
    </row>
    <row r="259" spans="1:15" ht="17" customHeight="1" x14ac:dyDescent="0.35">
      <c r="A259">
        <v>2024</v>
      </c>
      <c r="B259">
        <v>84</v>
      </c>
      <c r="C259" t="s">
        <v>416</v>
      </c>
      <c r="D259">
        <v>0</v>
      </c>
      <c r="E259">
        <v>1</v>
      </c>
      <c r="F259">
        <v>1</v>
      </c>
      <c r="G259">
        <v>0</v>
      </c>
      <c r="H259">
        <v>0</v>
      </c>
      <c r="I259">
        <v>0</v>
      </c>
      <c r="J259">
        <v>0</v>
      </c>
      <c r="K259">
        <v>0</v>
      </c>
      <c r="L259">
        <v>0</v>
      </c>
      <c r="M259">
        <v>0</v>
      </c>
      <c r="N259">
        <v>4.0599999999999996</v>
      </c>
      <c r="O259" t="s">
        <v>491</v>
      </c>
    </row>
    <row r="260" spans="1:15" ht="17" customHeight="1" x14ac:dyDescent="0.35">
      <c r="A260">
        <v>2024</v>
      </c>
      <c r="B260">
        <v>84</v>
      </c>
      <c r="C260" t="s">
        <v>275</v>
      </c>
      <c r="D260">
        <v>0</v>
      </c>
      <c r="E260">
        <v>0</v>
      </c>
      <c r="F260">
        <v>0</v>
      </c>
      <c r="G260">
        <v>0</v>
      </c>
      <c r="H260">
        <v>0</v>
      </c>
      <c r="I260">
        <v>0</v>
      </c>
      <c r="J260">
        <v>0</v>
      </c>
      <c r="K260">
        <v>0</v>
      </c>
      <c r="L260">
        <v>0</v>
      </c>
      <c r="M260">
        <v>0</v>
      </c>
      <c r="N260">
        <v>4.0599999999999996</v>
      </c>
      <c r="O260" t="s">
        <v>533</v>
      </c>
    </row>
    <row r="261" spans="1:15" ht="17" customHeight="1" x14ac:dyDescent="0.35">
      <c r="A261">
        <v>2024</v>
      </c>
      <c r="B261">
        <v>84</v>
      </c>
      <c r="C261" t="s">
        <v>417</v>
      </c>
      <c r="D261">
        <v>0</v>
      </c>
      <c r="E261">
        <v>0.5</v>
      </c>
      <c r="F261">
        <v>1</v>
      </c>
      <c r="G261">
        <v>0</v>
      </c>
      <c r="H261">
        <v>0</v>
      </c>
      <c r="I261">
        <v>0</v>
      </c>
      <c r="J261">
        <v>0</v>
      </c>
      <c r="K261">
        <v>0</v>
      </c>
      <c r="L261">
        <v>0</v>
      </c>
      <c r="M261">
        <v>0</v>
      </c>
      <c r="N261">
        <v>4.0599999999999996</v>
      </c>
    </row>
    <row r="262" spans="1:15" ht="17" customHeight="1" x14ac:dyDescent="0.35">
      <c r="A262">
        <v>2024</v>
      </c>
      <c r="B262">
        <v>58</v>
      </c>
      <c r="C262" t="s">
        <v>415</v>
      </c>
      <c r="D262">
        <v>0</v>
      </c>
      <c r="E262">
        <v>65.5</v>
      </c>
      <c r="F262">
        <v>10</v>
      </c>
      <c r="G262">
        <v>6</v>
      </c>
      <c r="H262">
        <v>3</v>
      </c>
      <c r="I262">
        <v>2</v>
      </c>
      <c r="J262">
        <v>6</v>
      </c>
      <c r="K262">
        <v>3</v>
      </c>
      <c r="L262">
        <v>3</v>
      </c>
      <c r="M262">
        <v>1</v>
      </c>
      <c r="N262">
        <v>4.0599999999999996</v>
      </c>
    </row>
    <row r="263" spans="1:15" ht="17" customHeight="1" x14ac:dyDescent="0.35">
      <c r="A263">
        <v>2024</v>
      </c>
      <c r="B263">
        <v>58</v>
      </c>
      <c r="C263" t="s">
        <v>416</v>
      </c>
      <c r="D263">
        <v>0</v>
      </c>
      <c r="E263">
        <v>15.5</v>
      </c>
      <c r="F263">
        <v>3</v>
      </c>
      <c r="G263">
        <v>1</v>
      </c>
      <c r="H263">
        <v>2</v>
      </c>
      <c r="I263">
        <v>7</v>
      </c>
      <c r="J263">
        <v>1</v>
      </c>
      <c r="K263">
        <v>2</v>
      </c>
      <c r="L263">
        <v>0</v>
      </c>
      <c r="M263">
        <v>2</v>
      </c>
      <c r="N263">
        <v>4.0599999999999996</v>
      </c>
      <c r="O263" t="s">
        <v>534</v>
      </c>
    </row>
    <row r="264" spans="1:15" ht="18" customHeight="1" x14ac:dyDescent="0.35">
      <c r="A264">
        <v>2024</v>
      </c>
      <c r="B264">
        <v>58</v>
      </c>
      <c r="C264" t="s">
        <v>275</v>
      </c>
      <c r="D264">
        <v>0</v>
      </c>
      <c r="E264">
        <v>25.5</v>
      </c>
      <c r="F264">
        <v>7</v>
      </c>
      <c r="G264">
        <v>3</v>
      </c>
      <c r="H264">
        <v>0</v>
      </c>
      <c r="I264">
        <v>6</v>
      </c>
      <c r="J264">
        <v>3</v>
      </c>
      <c r="K264">
        <v>4</v>
      </c>
      <c r="L264">
        <v>1</v>
      </c>
      <c r="M264">
        <v>1</v>
      </c>
      <c r="N264">
        <v>4.0599999999999996</v>
      </c>
      <c r="O264" t="s">
        <v>535</v>
      </c>
    </row>
    <row r="265" spans="1:15" ht="17" customHeight="1" x14ac:dyDescent="0.35">
      <c r="A265">
        <v>2024</v>
      </c>
      <c r="B265">
        <v>58</v>
      </c>
      <c r="C265" t="s">
        <v>417</v>
      </c>
      <c r="D265">
        <v>0</v>
      </c>
      <c r="E265">
        <v>25.5</v>
      </c>
      <c r="F265">
        <v>1</v>
      </c>
      <c r="G265">
        <v>1</v>
      </c>
      <c r="H265">
        <v>0</v>
      </c>
      <c r="I265">
        <v>0</v>
      </c>
      <c r="J265">
        <v>1</v>
      </c>
      <c r="K265">
        <v>2</v>
      </c>
      <c r="L265">
        <v>0</v>
      </c>
      <c r="M265">
        <v>0</v>
      </c>
      <c r="N265">
        <v>4.0599999999999996</v>
      </c>
      <c r="O265" t="s">
        <v>536</v>
      </c>
    </row>
    <row r="266" spans="1:15" ht="17" customHeight="1" x14ac:dyDescent="0.35">
      <c r="A266">
        <v>2024</v>
      </c>
      <c r="B266">
        <v>60</v>
      </c>
      <c r="C266" t="s">
        <v>415</v>
      </c>
      <c r="D266">
        <v>0</v>
      </c>
      <c r="E266">
        <v>25.5</v>
      </c>
      <c r="F266">
        <v>11</v>
      </c>
      <c r="G266">
        <v>8</v>
      </c>
      <c r="H266">
        <v>10</v>
      </c>
      <c r="I266">
        <v>6</v>
      </c>
      <c r="J266">
        <v>1</v>
      </c>
      <c r="K266">
        <v>1</v>
      </c>
      <c r="L266">
        <v>0</v>
      </c>
      <c r="M266">
        <v>0</v>
      </c>
      <c r="N266">
        <v>4.0599999999999996</v>
      </c>
      <c r="O266" t="s">
        <v>537</v>
      </c>
    </row>
    <row r="267" spans="1:15" ht="17" customHeight="1" x14ac:dyDescent="0.35">
      <c r="A267">
        <v>2024</v>
      </c>
      <c r="B267">
        <v>60</v>
      </c>
      <c r="C267" t="s">
        <v>416</v>
      </c>
      <c r="D267">
        <v>0</v>
      </c>
      <c r="E267">
        <v>45.5</v>
      </c>
      <c r="F267">
        <v>9</v>
      </c>
      <c r="G267">
        <v>1</v>
      </c>
      <c r="H267">
        <v>2</v>
      </c>
      <c r="I267">
        <v>7</v>
      </c>
      <c r="J267">
        <v>2</v>
      </c>
      <c r="K267">
        <v>2</v>
      </c>
      <c r="L267">
        <v>3</v>
      </c>
      <c r="M267">
        <v>5</v>
      </c>
      <c r="N267">
        <v>4.0599999999999996</v>
      </c>
      <c r="O267" t="s">
        <v>538</v>
      </c>
    </row>
    <row r="268" spans="1:15" ht="17" customHeight="1" x14ac:dyDescent="0.35">
      <c r="A268">
        <v>2024</v>
      </c>
      <c r="B268">
        <v>60</v>
      </c>
      <c r="C268" t="s">
        <v>275</v>
      </c>
      <c r="D268">
        <v>0</v>
      </c>
      <c r="E268">
        <v>75.5</v>
      </c>
      <c r="F268">
        <v>4</v>
      </c>
      <c r="G268">
        <v>6</v>
      </c>
      <c r="H268">
        <v>5</v>
      </c>
      <c r="I268">
        <v>10</v>
      </c>
      <c r="J268">
        <v>4</v>
      </c>
      <c r="K268">
        <v>7</v>
      </c>
      <c r="L268">
        <v>7</v>
      </c>
      <c r="M268">
        <v>6</v>
      </c>
      <c r="N268">
        <v>4.0599999999999996</v>
      </c>
    </row>
    <row r="269" spans="1:15" ht="17" customHeight="1" x14ac:dyDescent="0.35">
      <c r="A269">
        <v>2024</v>
      </c>
      <c r="B269">
        <v>60</v>
      </c>
      <c r="C269" t="s">
        <v>417</v>
      </c>
      <c r="D269">
        <v>0</v>
      </c>
      <c r="F269">
        <v>3</v>
      </c>
      <c r="G269">
        <v>6</v>
      </c>
      <c r="H269">
        <v>0</v>
      </c>
      <c r="I269">
        <v>7</v>
      </c>
      <c r="J269">
        <v>2</v>
      </c>
      <c r="K269">
        <v>0</v>
      </c>
      <c r="L269">
        <v>2</v>
      </c>
      <c r="M269">
        <v>4</v>
      </c>
      <c r="N269">
        <v>4.0599999999999996</v>
      </c>
    </row>
    <row r="270" spans="1:15" s="11" customFormat="1" ht="17" customHeight="1" x14ac:dyDescent="0.35">
      <c r="A270">
        <v>2024</v>
      </c>
      <c r="B270" s="11">
        <v>16</v>
      </c>
      <c r="C270" s="11" t="s">
        <v>415</v>
      </c>
      <c r="D270" s="11">
        <v>0</v>
      </c>
      <c r="E270" s="11">
        <v>0.5</v>
      </c>
      <c r="F270" s="11">
        <v>0</v>
      </c>
      <c r="G270" s="11">
        <v>1</v>
      </c>
      <c r="H270" s="11">
        <v>0</v>
      </c>
      <c r="I270" s="11">
        <v>0</v>
      </c>
      <c r="J270" s="11">
        <v>0</v>
      </c>
      <c r="K270" s="11">
        <v>0</v>
      </c>
      <c r="L270" s="11">
        <v>0</v>
      </c>
      <c r="M270" s="11">
        <v>0</v>
      </c>
      <c r="N270">
        <v>4.0599999999999996</v>
      </c>
      <c r="O270" s="11" t="s">
        <v>539</v>
      </c>
    </row>
    <row r="271" spans="1:15" ht="17" customHeight="1" x14ac:dyDescent="0.35">
      <c r="A271">
        <v>2024</v>
      </c>
      <c r="B271">
        <v>16</v>
      </c>
      <c r="C271" t="s">
        <v>416</v>
      </c>
      <c r="D271">
        <v>0</v>
      </c>
      <c r="E271">
        <v>3.5</v>
      </c>
      <c r="F271">
        <v>2</v>
      </c>
      <c r="G271">
        <v>0</v>
      </c>
      <c r="H271">
        <v>0</v>
      </c>
      <c r="I271">
        <v>0</v>
      </c>
      <c r="J271">
        <v>1</v>
      </c>
      <c r="K271">
        <v>1</v>
      </c>
      <c r="L271">
        <v>0</v>
      </c>
      <c r="M271">
        <v>1</v>
      </c>
      <c r="N271">
        <v>4.0599999999999996</v>
      </c>
      <c r="O271" t="s">
        <v>540</v>
      </c>
    </row>
    <row r="272" spans="1:15" ht="17" customHeight="1" x14ac:dyDescent="0.35">
      <c r="A272">
        <v>2024</v>
      </c>
      <c r="B272">
        <v>16</v>
      </c>
      <c r="C272" t="s">
        <v>275</v>
      </c>
      <c r="D272">
        <v>0</v>
      </c>
      <c r="E272">
        <v>15.5</v>
      </c>
      <c r="F272">
        <v>0</v>
      </c>
      <c r="G272">
        <v>0</v>
      </c>
      <c r="H272">
        <v>0</v>
      </c>
      <c r="I272">
        <v>2</v>
      </c>
      <c r="J272">
        <v>0</v>
      </c>
      <c r="K272">
        <v>1</v>
      </c>
      <c r="L272">
        <v>0</v>
      </c>
      <c r="M272">
        <v>2</v>
      </c>
      <c r="N272">
        <v>4.0599999999999996</v>
      </c>
    </row>
    <row r="273" spans="1:15" ht="17" customHeight="1" x14ac:dyDescent="0.35">
      <c r="A273">
        <v>2024</v>
      </c>
      <c r="B273">
        <v>16</v>
      </c>
      <c r="C273" t="s">
        <v>417</v>
      </c>
      <c r="D273">
        <v>0</v>
      </c>
      <c r="E273">
        <v>15.5</v>
      </c>
      <c r="F273">
        <v>3</v>
      </c>
      <c r="G273">
        <v>0</v>
      </c>
      <c r="H273">
        <v>1</v>
      </c>
      <c r="I273">
        <v>6</v>
      </c>
      <c r="J273">
        <v>1</v>
      </c>
      <c r="K273">
        <v>1</v>
      </c>
      <c r="L273">
        <v>1</v>
      </c>
      <c r="M273">
        <v>3</v>
      </c>
      <c r="N273">
        <v>4.0599999999999996</v>
      </c>
      <c r="O273" t="s">
        <v>541</v>
      </c>
    </row>
    <row r="274" spans="1:15" ht="17" customHeight="1" x14ac:dyDescent="0.35">
      <c r="A274">
        <v>2024</v>
      </c>
      <c r="B274">
        <v>18</v>
      </c>
      <c r="C274" t="s">
        <v>415</v>
      </c>
      <c r="D274">
        <v>0</v>
      </c>
      <c r="E274">
        <v>15.5</v>
      </c>
      <c r="F274">
        <v>0</v>
      </c>
      <c r="G274">
        <v>0</v>
      </c>
      <c r="H274">
        <v>0</v>
      </c>
      <c r="I274">
        <v>0</v>
      </c>
      <c r="J274">
        <v>1</v>
      </c>
      <c r="K274">
        <v>1</v>
      </c>
      <c r="L274">
        <v>1</v>
      </c>
      <c r="M274">
        <v>2</v>
      </c>
      <c r="N274">
        <v>4.0599999999999996</v>
      </c>
      <c r="O274" t="s">
        <v>542</v>
      </c>
    </row>
    <row r="275" spans="1:15" ht="17" customHeight="1" x14ac:dyDescent="0.35">
      <c r="A275">
        <v>2024</v>
      </c>
      <c r="B275">
        <v>18</v>
      </c>
      <c r="C275" t="s">
        <v>416</v>
      </c>
      <c r="D275">
        <v>0</v>
      </c>
      <c r="E275">
        <v>0</v>
      </c>
      <c r="F275">
        <v>0</v>
      </c>
      <c r="G275">
        <v>0</v>
      </c>
      <c r="H275">
        <v>0</v>
      </c>
      <c r="I275">
        <v>0</v>
      </c>
      <c r="J275">
        <v>0</v>
      </c>
      <c r="K275">
        <v>0</v>
      </c>
      <c r="L275">
        <v>0</v>
      </c>
      <c r="M275">
        <v>0</v>
      </c>
      <c r="N275">
        <v>4.0599999999999996</v>
      </c>
      <c r="O275" t="s">
        <v>543</v>
      </c>
    </row>
    <row r="276" spans="1:15" ht="17" customHeight="1" x14ac:dyDescent="0.35">
      <c r="A276">
        <v>2024</v>
      </c>
      <c r="B276">
        <v>18</v>
      </c>
      <c r="C276" t="s">
        <v>275</v>
      </c>
      <c r="D276">
        <v>0</v>
      </c>
      <c r="E276">
        <v>8</v>
      </c>
      <c r="F276">
        <v>0</v>
      </c>
      <c r="G276">
        <v>0</v>
      </c>
      <c r="H276">
        <v>0</v>
      </c>
      <c r="I276">
        <v>0</v>
      </c>
      <c r="J276">
        <v>0</v>
      </c>
      <c r="K276">
        <v>0</v>
      </c>
      <c r="L276">
        <v>0</v>
      </c>
      <c r="M276">
        <v>3</v>
      </c>
      <c r="N276">
        <v>4.0599999999999996</v>
      </c>
      <c r="O276" t="s">
        <v>544</v>
      </c>
    </row>
    <row r="277" spans="1:15" ht="17" customHeight="1" x14ac:dyDescent="0.35">
      <c r="A277">
        <v>2024</v>
      </c>
      <c r="B277">
        <v>18</v>
      </c>
      <c r="C277" t="s">
        <v>417</v>
      </c>
      <c r="D277">
        <v>0</v>
      </c>
      <c r="E277">
        <v>0</v>
      </c>
      <c r="F277">
        <v>0</v>
      </c>
      <c r="G277">
        <v>0</v>
      </c>
      <c r="H277">
        <v>0</v>
      </c>
      <c r="I277">
        <v>0</v>
      </c>
      <c r="J277">
        <v>0</v>
      </c>
      <c r="K277">
        <v>0</v>
      </c>
      <c r="L277">
        <v>0</v>
      </c>
      <c r="M277">
        <v>0</v>
      </c>
      <c r="N277">
        <v>4.0599999999999996</v>
      </c>
      <c r="O277" t="s">
        <v>545</v>
      </c>
    </row>
    <row r="278" spans="1:15" ht="17" customHeight="1" x14ac:dyDescent="0.35">
      <c r="A278">
        <v>2024</v>
      </c>
      <c r="B278">
        <v>30</v>
      </c>
      <c r="C278" t="s">
        <v>415</v>
      </c>
      <c r="D278">
        <v>0</v>
      </c>
      <c r="E278">
        <v>8</v>
      </c>
      <c r="F278">
        <v>3</v>
      </c>
      <c r="G278">
        <v>1</v>
      </c>
      <c r="H278">
        <v>3</v>
      </c>
      <c r="I278">
        <v>5</v>
      </c>
      <c r="J278">
        <v>0</v>
      </c>
      <c r="K278">
        <v>0</v>
      </c>
      <c r="L278">
        <v>0</v>
      </c>
      <c r="M278">
        <v>0</v>
      </c>
      <c r="N278">
        <v>4.0599999999999996</v>
      </c>
      <c r="O278" t="s">
        <v>460</v>
      </c>
    </row>
    <row r="279" spans="1:15" ht="17" customHeight="1" x14ac:dyDescent="0.35">
      <c r="A279">
        <v>2024</v>
      </c>
      <c r="B279">
        <v>30</v>
      </c>
      <c r="C279" t="s">
        <v>416</v>
      </c>
      <c r="D279">
        <v>0</v>
      </c>
      <c r="E279">
        <v>15.5</v>
      </c>
      <c r="F279">
        <v>1</v>
      </c>
      <c r="G279">
        <v>0</v>
      </c>
      <c r="H279">
        <v>1</v>
      </c>
      <c r="I279">
        <v>0</v>
      </c>
      <c r="J279">
        <v>1</v>
      </c>
      <c r="K279">
        <v>1</v>
      </c>
      <c r="L279">
        <v>6</v>
      </c>
      <c r="M279">
        <v>1</v>
      </c>
      <c r="N279">
        <v>4.0599999999999996</v>
      </c>
      <c r="O279" t="s">
        <v>546</v>
      </c>
    </row>
    <row r="280" spans="1:15" ht="17" customHeight="1" x14ac:dyDescent="0.35">
      <c r="A280">
        <v>2024</v>
      </c>
      <c r="B280">
        <v>30</v>
      </c>
      <c r="C280" t="s">
        <v>275</v>
      </c>
      <c r="D280">
        <v>0</v>
      </c>
      <c r="E280">
        <v>8</v>
      </c>
      <c r="F280">
        <v>0</v>
      </c>
      <c r="G280">
        <v>2</v>
      </c>
      <c r="H280">
        <v>4</v>
      </c>
      <c r="I280">
        <v>0</v>
      </c>
      <c r="J280">
        <v>0</v>
      </c>
      <c r="K280">
        <v>0</v>
      </c>
      <c r="L280">
        <v>1</v>
      </c>
      <c r="M280">
        <v>1</v>
      </c>
      <c r="N280">
        <v>4.0599999999999996</v>
      </c>
      <c r="O280" t="s">
        <v>547</v>
      </c>
    </row>
    <row r="281" spans="1:15" ht="17" customHeight="1" x14ac:dyDescent="0.35">
      <c r="A281">
        <v>2024</v>
      </c>
      <c r="B281">
        <v>30</v>
      </c>
      <c r="C281" t="s">
        <v>417</v>
      </c>
      <c r="D281">
        <v>0</v>
      </c>
      <c r="E281">
        <v>25.5</v>
      </c>
      <c r="F281">
        <v>0</v>
      </c>
      <c r="G281">
        <v>0</v>
      </c>
      <c r="H281">
        <v>1</v>
      </c>
      <c r="I281">
        <v>0</v>
      </c>
      <c r="J281">
        <v>1</v>
      </c>
      <c r="K281">
        <v>1</v>
      </c>
      <c r="L281">
        <v>1</v>
      </c>
      <c r="M281">
        <v>0</v>
      </c>
      <c r="N281">
        <v>4.0599999999999996</v>
      </c>
      <c r="O281" t="s">
        <v>548</v>
      </c>
    </row>
    <row r="282" spans="1:15" ht="17" customHeight="1" x14ac:dyDescent="0.35">
      <c r="A282">
        <v>2024</v>
      </c>
      <c r="B282">
        <v>29</v>
      </c>
      <c r="C282" t="s">
        <v>415</v>
      </c>
      <c r="D282">
        <v>0</v>
      </c>
      <c r="E282">
        <v>8</v>
      </c>
      <c r="F282">
        <v>0</v>
      </c>
      <c r="G282">
        <v>1</v>
      </c>
      <c r="H282">
        <v>1</v>
      </c>
      <c r="I282">
        <v>0</v>
      </c>
      <c r="J282">
        <v>0</v>
      </c>
      <c r="K282">
        <v>2</v>
      </c>
      <c r="L282">
        <v>0</v>
      </c>
      <c r="M282">
        <v>1</v>
      </c>
      <c r="N282">
        <v>4.0599999999999996</v>
      </c>
      <c r="O282" t="s">
        <v>549</v>
      </c>
    </row>
    <row r="283" spans="1:15" ht="17" customHeight="1" x14ac:dyDescent="0.35">
      <c r="A283">
        <v>2024</v>
      </c>
      <c r="B283">
        <v>29</v>
      </c>
      <c r="C283" t="s">
        <v>416</v>
      </c>
      <c r="D283">
        <v>0</v>
      </c>
      <c r="E283">
        <v>8</v>
      </c>
      <c r="F283">
        <v>2</v>
      </c>
      <c r="G283">
        <v>1</v>
      </c>
      <c r="H283">
        <v>0</v>
      </c>
      <c r="I283">
        <v>1</v>
      </c>
      <c r="J283">
        <v>2</v>
      </c>
      <c r="K283">
        <v>0</v>
      </c>
      <c r="L283">
        <v>2</v>
      </c>
      <c r="M283">
        <v>0</v>
      </c>
      <c r="N283">
        <v>4.0599999999999996</v>
      </c>
      <c r="O283" t="s">
        <v>550</v>
      </c>
    </row>
    <row r="284" spans="1:15" ht="17" customHeight="1" x14ac:dyDescent="0.35">
      <c r="A284">
        <v>2024</v>
      </c>
      <c r="B284">
        <v>29</v>
      </c>
      <c r="C284" t="s">
        <v>275</v>
      </c>
      <c r="D284">
        <v>0</v>
      </c>
      <c r="E284">
        <v>0</v>
      </c>
      <c r="F284">
        <v>0</v>
      </c>
      <c r="G284">
        <v>0</v>
      </c>
      <c r="H284">
        <v>0</v>
      </c>
      <c r="I284">
        <v>0</v>
      </c>
      <c r="J284">
        <v>0</v>
      </c>
      <c r="K284">
        <v>0</v>
      </c>
      <c r="L284">
        <v>0</v>
      </c>
      <c r="M284">
        <v>0</v>
      </c>
      <c r="N284">
        <v>4.0599999999999996</v>
      </c>
      <c r="O284" t="s">
        <v>551</v>
      </c>
    </row>
    <row r="285" spans="1:15" ht="17" customHeight="1" x14ac:dyDescent="0.35">
      <c r="A285">
        <v>2024</v>
      </c>
      <c r="B285">
        <v>29</v>
      </c>
      <c r="C285" t="s">
        <v>417</v>
      </c>
      <c r="D285">
        <v>0</v>
      </c>
      <c r="E285">
        <v>1</v>
      </c>
      <c r="F285">
        <v>0</v>
      </c>
      <c r="G285">
        <v>0</v>
      </c>
      <c r="H285">
        <v>1</v>
      </c>
      <c r="I285">
        <v>1</v>
      </c>
      <c r="J285">
        <v>0</v>
      </c>
      <c r="K285">
        <v>0</v>
      </c>
      <c r="L285">
        <v>0</v>
      </c>
      <c r="M285">
        <v>0</v>
      </c>
      <c r="N285">
        <v>4.0599999999999996</v>
      </c>
      <c r="O285" t="s">
        <v>552</v>
      </c>
    </row>
    <row r="286" spans="1:15" ht="17" customHeight="1" x14ac:dyDescent="0.35">
      <c r="A286">
        <v>2024</v>
      </c>
      <c r="B286">
        <v>28</v>
      </c>
      <c r="C286" t="s">
        <v>415</v>
      </c>
      <c r="D286">
        <v>0</v>
      </c>
      <c r="E286">
        <v>3.5</v>
      </c>
      <c r="F286">
        <v>2</v>
      </c>
      <c r="G286">
        <v>2</v>
      </c>
      <c r="H286">
        <v>1</v>
      </c>
      <c r="I286">
        <v>0</v>
      </c>
      <c r="J286">
        <v>0</v>
      </c>
      <c r="K286">
        <v>2</v>
      </c>
      <c r="L286">
        <v>0</v>
      </c>
      <c r="M286">
        <v>0</v>
      </c>
      <c r="N286">
        <v>4.0599999999999996</v>
      </c>
      <c r="O286" t="s">
        <v>460</v>
      </c>
    </row>
    <row r="287" spans="1:15" ht="17" customHeight="1" x14ac:dyDescent="0.35">
      <c r="A287">
        <v>2024</v>
      </c>
      <c r="B287">
        <v>28</v>
      </c>
      <c r="C287" t="s">
        <v>416</v>
      </c>
      <c r="D287">
        <v>0</v>
      </c>
      <c r="E287">
        <v>0</v>
      </c>
      <c r="F287">
        <v>0</v>
      </c>
      <c r="G287">
        <v>0</v>
      </c>
      <c r="H287">
        <v>0</v>
      </c>
      <c r="I287">
        <v>0</v>
      </c>
      <c r="J287">
        <v>0</v>
      </c>
      <c r="K287">
        <v>0</v>
      </c>
      <c r="L287">
        <v>0</v>
      </c>
      <c r="M287">
        <v>0</v>
      </c>
      <c r="N287">
        <v>4.0599999999999996</v>
      </c>
      <c r="O287" t="s">
        <v>553</v>
      </c>
    </row>
    <row r="288" spans="1:15" ht="17" customHeight="1" x14ac:dyDescent="0.35">
      <c r="A288">
        <v>2024</v>
      </c>
      <c r="B288">
        <v>28</v>
      </c>
      <c r="C288" t="s">
        <v>275</v>
      </c>
      <c r="D288">
        <v>0</v>
      </c>
      <c r="E288">
        <v>0</v>
      </c>
      <c r="F288">
        <v>0</v>
      </c>
      <c r="G288">
        <v>0</v>
      </c>
      <c r="H288">
        <v>0</v>
      </c>
      <c r="I288">
        <v>0</v>
      </c>
      <c r="J288">
        <v>0</v>
      </c>
      <c r="K288">
        <v>0</v>
      </c>
      <c r="L288">
        <v>0</v>
      </c>
      <c r="M288">
        <v>0</v>
      </c>
      <c r="N288">
        <v>4.0599999999999996</v>
      </c>
      <c r="O288" t="s">
        <v>460</v>
      </c>
    </row>
    <row r="289" spans="1:15" ht="17" customHeight="1" x14ac:dyDescent="0.35">
      <c r="A289">
        <v>2024</v>
      </c>
      <c r="B289">
        <v>28</v>
      </c>
      <c r="C289" t="s">
        <v>417</v>
      </c>
      <c r="D289">
        <v>0</v>
      </c>
      <c r="E289">
        <v>0.5</v>
      </c>
      <c r="F289">
        <v>1</v>
      </c>
      <c r="G289">
        <v>0</v>
      </c>
      <c r="H289">
        <v>1</v>
      </c>
      <c r="I289">
        <v>1</v>
      </c>
      <c r="J289">
        <v>0</v>
      </c>
      <c r="K289">
        <v>0</v>
      </c>
      <c r="L289">
        <v>0</v>
      </c>
      <c r="M289">
        <v>0</v>
      </c>
      <c r="N289">
        <v>4.0599999999999996</v>
      </c>
      <c r="O289" t="s">
        <v>460</v>
      </c>
    </row>
    <row r="290" spans="1:15" ht="17" customHeight="1" x14ac:dyDescent="0.35">
      <c r="A290">
        <v>2024</v>
      </c>
      <c r="B290">
        <v>72</v>
      </c>
      <c r="C290" t="s">
        <v>415</v>
      </c>
      <c r="D290">
        <v>0</v>
      </c>
      <c r="E290">
        <v>15.5</v>
      </c>
      <c r="F290">
        <v>0</v>
      </c>
      <c r="G290">
        <v>0</v>
      </c>
      <c r="H290">
        <v>0</v>
      </c>
      <c r="I290">
        <v>1</v>
      </c>
      <c r="J290">
        <v>4</v>
      </c>
      <c r="K290">
        <v>0</v>
      </c>
      <c r="L290">
        <v>0</v>
      </c>
      <c r="M290">
        <v>3</v>
      </c>
      <c r="N290">
        <v>4.0599999999999996</v>
      </c>
      <c r="O290" t="s">
        <v>554</v>
      </c>
    </row>
    <row r="291" spans="1:15" ht="17" customHeight="1" x14ac:dyDescent="0.35">
      <c r="A291">
        <v>2024</v>
      </c>
      <c r="B291">
        <v>72</v>
      </c>
      <c r="C291" t="s">
        <v>416</v>
      </c>
      <c r="D291">
        <v>0</v>
      </c>
      <c r="E291">
        <v>3.5</v>
      </c>
      <c r="F291">
        <v>0</v>
      </c>
      <c r="G291">
        <v>0</v>
      </c>
      <c r="H291">
        <v>0</v>
      </c>
      <c r="I291">
        <v>0</v>
      </c>
      <c r="J291">
        <v>0</v>
      </c>
      <c r="K291">
        <v>0</v>
      </c>
      <c r="L291">
        <v>2</v>
      </c>
      <c r="M291">
        <v>0</v>
      </c>
      <c r="N291">
        <v>4.0599999999999996</v>
      </c>
      <c r="O291" t="s">
        <v>555</v>
      </c>
    </row>
    <row r="292" spans="1:15" ht="17" customHeight="1" x14ac:dyDescent="0.35">
      <c r="A292">
        <v>2024</v>
      </c>
      <c r="B292">
        <v>72</v>
      </c>
      <c r="C292" t="s">
        <v>275</v>
      </c>
      <c r="D292">
        <v>0</v>
      </c>
      <c r="E292">
        <v>1</v>
      </c>
      <c r="F292">
        <v>0</v>
      </c>
      <c r="G292">
        <v>0</v>
      </c>
      <c r="H292">
        <v>1</v>
      </c>
      <c r="I292">
        <v>0</v>
      </c>
      <c r="J292">
        <v>1</v>
      </c>
      <c r="K292">
        <v>0</v>
      </c>
      <c r="L292">
        <v>0</v>
      </c>
      <c r="M292">
        <v>0</v>
      </c>
      <c r="N292">
        <v>4.0599999999999996</v>
      </c>
      <c r="O292" t="s">
        <v>556</v>
      </c>
    </row>
    <row r="293" spans="1:15" ht="17" customHeight="1" x14ac:dyDescent="0.35">
      <c r="A293">
        <v>2024</v>
      </c>
      <c r="B293">
        <v>72</v>
      </c>
      <c r="C293" t="s">
        <v>417</v>
      </c>
      <c r="D293">
        <v>0</v>
      </c>
      <c r="E293">
        <v>0.5</v>
      </c>
      <c r="F293">
        <v>0</v>
      </c>
      <c r="G293">
        <v>0</v>
      </c>
      <c r="H293">
        <v>0</v>
      </c>
      <c r="I293">
        <v>1</v>
      </c>
      <c r="J293">
        <v>0</v>
      </c>
      <c r="K293">
        <v>0</v>
      </c>
      <c r="L293">
        <v>0</v>
      </c>
      <c r="M293">
        <v>0</v>
      </c>
      <c r="N293">
        <v>4.0599999999999996</v>
      </c>
      <c r="O293" t="s">
        <v>557</v>
      </c>
    </row>
    <row r="294" spans="1:15" s="11" customFormat="1" ht="17" customHeight="1" x14ac:dyDescent="0.35">
      <c r="A294">
        <v>2024</v>
      </c>
      <c r="B294" s="11">
        <v>80</v>
      </c>
      <c r="C294" s="11" t="s">
        <v>415</v>
      </c>
      <c r="D294" s="11">
        <v>0</v>
      </c>
      <c r="E294" s="11">
        <v>8</v>
      </c>
      <c r="F294" s="11">
        <v>1</v>
      </c>
      <c r="G294" s="11">
        <v>5</v>
      </c>
      <c r="H294" s="11">
        <v>4</v>
      </c>
      <c r="I294" s="11">
        <v>5</v>
      </c>
      <c r="J294" s="11">
        <v>1</v>
      </c>
      <c r="K294" s="11">
        <v>0</v>
      </c>
      <c r="L294" s="11">
        <v>1</v>
      </c>
      <c r="M294" s="11">
        <v>1</v>
      </c>
      <c r="N294">
        <v>4.0599999999999996</v>
      </c>
      <c r="O294" s="11" t="s">
        <v>460</v>
      </c>
    </row>
    <row r="295" spans="1:15" ht="17" customHeight="1" x14ac:dyDescent="0.35">
      <c r="A295">
        <v>2024</v>
      </c>
      <c r="B295">
        <v>80</v>
      </c>
      <c r="C295" t="s">
        <v>416</v>
      </c>
      <c r="D295">
        <v>0</v>
      </c>
      <c r="E295">
        <v>15.5</v>
      </c>
      <c r="F295">
        <v>0</v>
      </c>
      <c r="G295">
        <v>4</v>
      </c>
      <c r="H295">
        <v>5</v>
      </c>
      <c r="I295">
        <v>0</v>
      </c>
      <c r="J295">
        <v>1</v>
      </c>
      <c r="K295">
        <v>1</v>
      </c>
      <c r="L295">
        <v>2</v>
      </c>
      <c r="M295">
        <v>1</v>
      </c>
      <c r="N295">
        <v>4.0599999999999996</v>
      </c>
      <c r="O295" t="s">
        <v>558</v>
      </c>
    </row>
    <row r="296" spans="1:15" ht="17" customHeight="1" x14ac:dyDescent="0.35">
      <c r="A296">
        <v>2024</v>
      </c>
      <c r="B296">
        <v>80</v>
      </c>
      <c r="C296" t="s">
        <v>275</v>
      </c>
      <c r="D296">
        <v>0</v>
      </c>
      <c r="E296">
        <v>25.5</v>
      </c>
      <c r="F296">
        <v>2</v>
      </c>
      <c r="G296">
        <v>4</v>
      </c>
      <c r="H296">
        <v>8</v>
      </c>
      <c r="I296">
        <v>4</v>
      </c>
      <c r="J296">
        <v>0</v>
      </c>
      <c r="K296">
        <v>0</v>
      </c>
      <c r="L296">
        <v>4</v>
      </c>
      <c r="M296">
        <v>1</v>
      </c>
      <c r="N296">
        <v>4.0599999999999996</v>
      </c>
      <c r="O296" t="s">
        <v>559</v>
      </c>
    </row>
    <row r="297" spans="1:15" ht="17" customHeight="1" x14ac:dyDescent="0.35">
      <c r="A297">
        <v>2024</v>
      </c>
      <c r="B297">
        <v>80</v>
      </c>
      <c r="C297" t="s">
        <v>417</v>
      </c>
      <c r="D297">
        <v>0</v>
      </c>
      <c r="E297">
        <v>8</v>
      </c>
      <c r="F297">
        <v>0</v>
      </c>
      <c r="G297">
        <v>2</v>
      </c>
      <c r="H297">
        <v>5</v>
      </c>
      <c r="I297">
        <v>3</v>
      </c>
      <c r="J297">
        <v>0</v>
      </c>
      <c r="K297">
        <v>2</v>
      </c>
      <c r="L297">
        <v>2</v>
      </c>
      <c r="M297">
        <v>1</v>
      </c>
      <c r="N297">
        <v>4.0599999999999996</v>
      </c>
      <c r="O297" t="s">
        <v>560</v>
      </c>
    </row>
    <row r="298" spans="1:15" ht="17" customHeight="1" x14ac:dyDescent="0.35">
      <c r="A298">
        <v>2024</v>
      </c>
      <c r="B298">
        <v>81</v>
      </c>
      <c r="C298" t="s">
        <v>415</v>
      </c>
      <c r="D298">
        <v>0</v>
      </c>
      <c r="E298">
        <v>15.5</v>
      </c>
      <c r="F298">
        <v>4</v>
      </c>
      <c r="G298">
        <v>4</v>
      </c>
      <c r="H298">
        <v>7</v>
      </c>
      <c r="I298">
        <v>1</v>
      </c>
      <c r="J298">
        <v>0</v>
      </c>
      <c r="K298">
        <v>0</v>
      </c>
      <c r="L298">
        <v>0</v>
      </c>
      <c r="M298">
        <v>0</v>
      </c>
      <c r="N298">
        <v>4.0599999999999996</v>
      </c>
      <c r="O298" t="s">
        <v>475</v>
      </c>
    </row>
    <row r="299" spans="1:15" ht="17" customHeight="1" x14ac:dyDescent="0.35">
      <c r="A299">
        <v>2024</v>
      </c>
      <c r="B299">
        <v>81</v>
      </c>
      <c r="C299" t="s">
        <v>416</v>
      </c>
      <c r="D299">
        <v>0</v>
      </c>
      <c r="E299">
        <v>8</v>
      </c>
      <c r="F299">
        <v>2</v>
      </c>
      <c r="G299">
        <v>5</v>
      </c>
      <c r="H299">
        <v>1</v>
      </c>
      <c r="I299">
        <v>1</v>
      </c>
      <c r="J299">
        <v>1</v>
      </c>
      <c r="K299">
        <v>4</v>
      </c>
      <c r="L299">
        <v>2</v>
      </c>
      <c r="M299">
        <v>1</v>
      </c>
      <c r="N299">
        <v>4.0599999999999996</v>
      </c>
      <c r="O299" t="s">
        <v>561</v>
      </c>
    </row>
    <row r="300" spans="1:15" ht="17" customHeight="1" x14ac:dyDescent="0.35">
      <c r="A300">
        <v>2024</v>
      </c>
      <c r="B300">
        <v>81</v>
      </c>
      <c r="C300" t="s">
        <v>275</v>
      </c>
      <c r="D300">
        <v>0</v>
      </c>
      <c r="E300">
        <v>8</v>
      </c>
      <c r="F300">
        <v>4</v>
      </c>
      <c r="G300">
        <v>1</v>
      </c>
      <c r="H300">
        <v>5</v>
      </c>
      <c r="I300">
        <v>2</v>
      </c>
      <c r="J300">
        <v>1</v>
      </c>
      <c r="K300">
        <v>2</v>
      </c>
      <c r="L300">
        <v>1</v>
      </c>
      <c r="M300">
        <v>0</v>
      </c>
      <c r="N300">
        <v>4.0599999999999996</v>
      </c>
      <c r="O300" t="s">
        <v>562</v>
      </c>
    </row>
    <row r="301" spans="1:15" ht="17" customHeight="1" x14ac:dyDescent="0.35">
      <c r="A301">
        <v>2024</v>
      </c>
      <c r="B301">
        <v>81</v>
      </c>
      <c r="C301" t="s">
        <v>417</v>
      </c>
      <c r="D301">
        <v>0</v>
      </c>
      <c r="E301">
        <v>0.5</v>
      </c>
      <c r="F301">
        <v>0</v>
      </c>
      <c r="G301">
        <v>0</v>
      </c>
      <c r="H301">
        <v>1</v>
      </c>
      <c r="I301">
        <v>0</v>
      </c>
      <c r="J301">
        <v>0</v>
      </c>
      <c r="K301">
        <v>0</v>
      </c>
      <c r="L301">
        <v>0</v>
      </c>
      <c r="M301">
        <v>0</v>
      </c>
      <c r="N301">
        <v>4.0599999999999996</v>
      </c>
      <c r="O301" t="s">
        <v>563</v>
      </c>
    </row>
    <row r="302" spans="1:15" ht="17" customHeight="1" x14ac:dyDescent="0.35">
      <c r="A302">
        <v>2024</v>
      </c>
      <c r="B302">
        <v>79</v>
      </c>
      <c r="C302" t="s">
        <v>415</v>
      </c>
      <c r="D302">
        <v>0</v>
      </c>
      <c r="E302">
        <v>75.5</v>
      </c>
      <c r="F302">
        <v>6</v>
      </c>
      <c r="G302">
        <v>14</v>
      </c>
      <c r="H302">
        <v>3</v>
      </c>
      <c r="I302">
        <v>3</v>
      </c>
      <c r="J302">
        <v>11</v>
      </c>
      <c r="K302">
        <v>7</v>
      </c>
      <c r="L302">
        <v>5</v>
      </c>
      <c r="M302">
        <v>8</v>
      </c>
      <c r="N302">
        <v>4.0599999999999996</v>
      </c>
    </row>
    <row r="303" spans="1:15" ht="17" customHeight="1" x14ac:dyDescent="0.35">
      <c r="A303">
        <v>2024</v>
      </c>
      <c r="B303">
        <v>79</v>
      </c>
      <c r="C303" t="s">
        <v>416</v>
      </c>
      <c r="D303">
        <v>0</v>
      </c>
      <c r="E303">
        <v>85.5</v>
      </c>
      <c r="F303">
        <v>0</v>
      </c>
      <c r="G303">
        <v>2</v>
      </c>
      <c r="H303">
        <v>3</v>
      </c>
      <c r="I303">
        <v>3</v>
      </c>
      <c r="J303">
        <v>4</v>
      </c>
      <c r="K303">
        <v>12</v>
      </c>
      <c r="L303">
        <v>17</v>
      </c>
      <c r="M303">
        <v>9</v>
      </c>
      <c r="N303">
        <v>4.0599999999999996</v>
      </c>
      <c r="O303" t="s">
        <v>564</v>
      </c>
    </row>
    <row r="304" spans="1:15" ht="17" customHeight="1" x14ac:dyDescent="0.35">
      <c r="A304">
        <v>2024</v>
      </c>
      <c r="B304">
        <v>79</v>
      </c>
      <c r="C304" t="s">
        <v>275</v>
      </c>
      <c r="D304">
        <v>0</v>
      </c>
      <c r="E304">
        <v>0</v>
      </c>
      <c r="F304">
        <v>0</v>
      </c>
      <c r="G304">
        <v>0</v>
      </c>
      <c r="H304">
        <v>0</v>
      </c>
      <c r="I304">
        <v>0</v>
      </c>
      <c r="J304">
        <v>0</v>
      </c>
      <c r="K304">
        <v>0</v>
      </c>
      <c r="L304">
        <v>0</v>
      </c>
      <c r="M304">
        <v>0</v>
      </c>
      <c r="N304">
        <v>4.0599999999999996</v>
      </c>
      <c r="O304" t="s">
        <v>565</v>
      </c>
    </row>
    <row r="305" spans="1:15" ht="17" customHeight="1" x14ac:dyDescent="0.35">
      <c r="A305">
        <v>2024</v>
      </c>
      <c r="B305">
        <v>79</v>
      </c>
      <c r="C305" t="s">
        <v>417</v>
      </c>
      <c r="D305">
        <v>0</v>
      </c>
      <c r="E305">
        <v>45.5</v>
      </c>
      <c r="F305">
        <v>1</v>
      </c>
      <c r="G305">
        <v>2</v>
      </c>
      <c r="H305">
        <v>1</v>
      </c>
      <c r="I305">
        <v>3</v>
      </c>
      <c r="J305">
        <v>6</v>
      </c>
      <c r="K305">
        <v>0</v>
      </c>
      <c r="L305">
        <v>3</v>
      </c>
      <c r="M305">
        <v>7</v>
      </c>
      <c r="N305">
        <v>4.0599999999999996</v>
      </c>
      <c r="O305" t="s">
        <v>566</v>
      </c>
    </row>
    <row r="306" spans="1:15" ht="17" customHeight="1" x14ac:dyDescent="0.35">
      <c r="A306">
        <v>2024</v>
      </c>
      <c r="B306">
        <v>59</v>
      </c>
      <c r="C306" t="s">
        <v>415</v>
      </c>
      <c r="D306">
        <v>0</v>
      </c>
      <c r="E306">
        <v>1</v>
      </c>
      <c r="F306">
        <v>0</v>
      </c>
      <c r="G306">
        <v>0</v>
      </c>
      <c r="H306">
        <v>0</v>
      </c>
      <c r="I306">
        <v>0</v>
      </c>
      <c r="J306">
        <v>0</v>
      </c>
      <c r="K306">
        <v>1</v>
      </c>
      <c r="L306">
        <v>0</v>
      </c>
      <c r="M306">
        <v>0</v>
      </c>
      <c r="N306">
        <v>4.0599999999999996</v>
      </c>
      <c r="O306" t="s">
        <v>567</v>
      </c>
    </row>
    <row r="307" spans="1:15" ht="17" customHeight="1" x14ac:dyDescent="0.35">
      <c r="A307">
        <v>2024</v>
      </c>
      <c r="B307">
        <v>59</v>
      </c>
      <c r="C307" t="s">
        <v>416</v>
      </c>
      <c r="D307">
        <v>0</v>
      </c>
      <c r="E307">
        <v>1</v>
      </c>
      <c r="F307">
        <v>0</v>
      </c>
      <c r="G307">
        <v>0</v>
      </c>
      <c r="H307">
        <v>0</v>
      </c>
      <c r="I307">
        <v>1</v>
      </c>
      <c r="J307">
        <v>0</v>
      </c>
      <c r="K307">
        <v>0</v>
      </c>
      <c r="L307">
        <v>0</v>
      </c>
      <c r="M307">
        <v>0</v>
      </c>
      <c r="N307">
        <v>4.0599999999999996</v>
      </c>
      <c r="O307" t="s">
        <v>568</v>
      </c>
    </row>
    <row r="308" spans="1:15" ht="17" customHeight="1" x14ac:dyDescent="0.35">
      <c r="A308">
        <v>2024</v>
      </c>
      <c r="B308">
        <v>59</v>
      </c>
      <c r="C308" t="s">
        <v>275</v>
      </c>
      <c r="D308">
        <v>0</v>
      </c>
      <c r="E308">
        <v>3.5</v>
      </c>
      <c r="F308">
        <v>1</v>
      </c>
      <c r="G308">
        <v>4</v>
      </c>
      <c r="H308">
        <v>0</v>
      </c>
      <c r="I308">
        <v>0</v>
      </c>
      <c r="J308">
        <v>0</v>
      </c>
      <c r="K308">
        <v>0</v>
      </c>
      <c r="L308">
        <v>2</v>
      </c>
      <c r="M308">
        <v>0</v>
      </c>
      <c r="N308">
        <v>4.0599999999999996</v>
      </c>
      <c r="O308" t="s">
        <v>569</v>
      </c>
    </row>
    <row r="309" spans="1:15" ht="17" customHeight="1" x14ac:dyDescent="0.35">
      <c r="A309">
        <v>2024</v>
      </c>
      <c r="B309">
        <v>59</v>
      </c>
      <c r="C309" t="s">
        <v>417</v>
      </c>
      <c r="D309">
        <v>0</v>
      </c>
      <c r="E309">
        <v>3.5</v>
      </c>
      <c r="F309">
        <v>0</v>
      </c>
      <c r="G309">
        <v>0</v>
      </c>
      <c r="H309">
        <v>3</v>
      </c>
      <c r="I309">
        <v>1</v>
      </c>
      <c r="J309">
        <v>0</v>
      </c>
      <c r="K309">
        <v>0</v>
      </c>
      <c r="L309">
        <v>0</v>
      </c>
      <c r="M309">
        <v>0</v>
      </c>
      <c r="N309">
        <v>4.0599999999999996</v>
      </c>
      <c r="O309" t="s">
        <v>570</v>
      </c>
    </row>
    <row r="310" spans="1:15" s="11" customFormat="1" ht="17" customHeight="1" x14ac:dyDescent="0.35">
      <c r="A310">
        <v>2024</v>
      </c>
      <c r="B310" s="11">
        <v>20</v>
      </c>
      <c r="C310" s="11" t="s">
        <v>415</v>
      </c>
      <c r="D310" s="11">
        <v>0</v>
      </c>
      <c r="E310" s="11">
        <v>0.5</v>
      </c>
      <c r="F310" s="11">
        <v>0</v>
      </c>
      <c r="G310" s="11">
        <v>0</v>
      </c>
      <c r="H310" s="11">
        <v>1</v>
      </c>
      <c r="I310" s="11">
        <v>0</v>
      </c>
      <c r="J310" s="11">
        <v>0</v>
      </c>
      <c r="K310" s="11">
        <v>0</v>
      </c>
      <c r="L310" s="11">
        <v>0</v>
      </c>
      <c r="M310" s="11">
        <v>0</v>
      </c>
      <c r="N310">
        <v>4.0599999999999996</v>
      </c>
      <c r="O310" s="11" t="s">
        <v>571</v>
      </c>
    </row>
    <row r="311" spans="1:15" ht="17" customHeight="1" x14ac:dyDescent="0.35">
      <c r="A311">
        <v>2024</v>
      </c>
      <c r="B311">
        <v>20</v>
      </c>
      <c r="C311" t="s">
        <v>416</v>
      </c>
      <c r="D311">
        <v>0</v>
      </c>
      <c r="E311">
        <v>1</v>
      </c>
      <c r="F311">
        <v>0</v>
      </c>
      <c r="G311">
        <v>0</v>
      </c>
      <c r="H311">
        <v>0</v>
      </c>
      <c r="I311">
        <v>0</v>
      </c>
      <c r="J311">
        <v>0</v>
      </c>
      <c r="K311">
        <v>0</v>
      </c>
      <c r="L311">
        <v>0</v>
      </c>
      <c r="M311">
        <v>1</v>
      </c>
      <c r="N311">
        <v>4.0599999999999996</v>
      </c>
      <c r="O311" t="s">
        <v>571</v>
      </c>
    </row>
    <row r="312" spans="1:15" ht="17" customHeight="1" x14ac:dyDescent="0.35">
      <c r="A312">
        <v>2024</v>
      </c>
      <c r="B312">
        <v>20</v>
      </c>
      <c r="C312" t="s">
        <v>275</v>
      </c>
      <c r="D312">
        <v>0</v>
      </c>
      <c r="E312">
        <v>1</v>
      </c>
      <c r="F312">
        <v>0</v>
      </c>
      <c r="G312">
        <v>1</v>
      </c>
      <c r="H312">
        <v>0</v>
      </c>
      <c r="I312">
        <v>0</v>
      </c>
      <c r="J312">
        <v>0</v>
      </c>
      <c r="K312">
        <v>0</v>
      </c>
      <c r="L312">
        <v>0</v>
      </c>
      <c r="M312">
        <v>0</v>
      </c>
      <c r="N312">
        <v>4.0599999999999996</v>
      </c>
      <c r="O312" t="s">
        <v>460</v>
      </c>
    </row>
    <row r="313" spans="1:15" ht="17" customHeight="1" x14ac:dyDescent="0.35">
      <c r="A313">
        <v>2024</v>
      </c>
      <c r="B313">
        <v>20</v>
      </c>
      <c r="C313" t="s">
        <v>417</v>
      </c>
      <c r="D313">
        <v>0</v>
      </c>
      <c r="E313">
        <v>0</v>
      </c>
      <c r="F313">
        <v>0</v>
      </c>
      <c r="G313">
        <v>0</v>
      </c>
      <c r="H313">
        <v>0</v>
      </c>
      <c r="I313">
        <v>0</v>
      </c>
      <c r="J313">
        <v>0</v>
      </c>
      <c r="K313">
        <v>0</v>
      </c>
      <c r="L313">
        <v>0</v>
      </c>
      <c r="M313">
        <v>0</v>
      </c>
      <c r="N313">
        <v>4.0599999999999996</v>
      </c>
      <c r="O313" t="s">
        <v>460</v>
      </c>
    </row>
    <row r="314" spans="1:15" ht="17" customHeight="1" x14ac:dyDescent="0.35">
      <c r="A314">
        <v>2024</v>
      </c>
      <c r="B314">
        <v>62</v>
      </c>
      <c r="C314" t="s">
        <v>415</v>
      </c>
      <c r="D314">
        <v>0</v>
      </c>
      <c r="E314">
        <v>8</v>
      </c>
      <c r="F314">
        <v>0</v>
      </c>
      <c r="G314">
        <v>0</v>
      </c>
      <c r="H314">
        <v>0</v>
      </c>
      <c r="I314">
        <v>0</v>
      </c>
      <c r="J314">
        <v>0</v>
      </c>
      <c r="K314">
        <v>0</v>
      </c>
      <c r="L314">
        <v>3</v>
      </c>
      <c r="M314">
        <v>0</v>
      </c>
      <c r="N314">
        <v>4.0599999999999996</v>
      </c>
      <c r="O314" t="s">
        <v>572</v>
      </c>
    </row>
    <row r="315" spans="1:15" ht="17" customHeight="1" x14ac:dyDescent="0.35">
      <c r="A315">
        <v>2024</v>
      </c>
      <c r="B315">
        <v>62</v>
      </c>
      <c r="C315" t="s">
        <v>416</v>
      </c>
      <c r="D315">
        <v>0</v>
      </c>
      <c r="E315">
        <v>3.5</v>
      </c>
      <c r="F315">
        <v>0</v>
      </c>
      <c r="G315">
        <v>0</v>
      </c>
      <c r="H315">
        <v>0</v>
      </c>
      <c r="I315">
        <v>0</v>
      </c>
      <c r="J315">
        <v>1</v>
      </c>
      <c r="K315">
        <v>0</v>
      </c>
      <c r="L315">
        <v>0</v>
      </c>
      <c r="M315">
        <v>0</v>
      </c>
      <c r="N315">
        <v>4.0599999999999996</v>
      </c>
      <c r="O315" t="s">
        <v>573</v>
      </c>
    </row>
    <row r="316" spans="1:15" ht="17" customHeight="1" x14ac:dyDescent="0.35">
      <c r="A316">
        <v>2024</v>
      </c>
      <c r="B316">
        <v>62</v>
      </c>
      <c r="C316" t="s">
        <v>275</v>
      </c>
      <c r="D316">
        <v>0</v>
      </c>
      <c r="E316">
        <v>0</v>
      </c>
      <c r="F316">
        <v>0</v>
      </c>
      <c r="G316">
        <v>0</v>
      </c>
      <c r="H316">
        <v>0</v>
      </c>
      <c r="I316">
        <v>0</v>
      </c>
      <c r="J316">
        <v>0</v>
      </c>
      <c r="K316">
        <v>0</v>
      </c>
      <c r="L316">
        <v>0</v>
      </c>
      <c r="M316">
        <v>0</v>
      </c>
      <c r="N316">
        <v>4.0599999999999996</v>
      </c>
      <c r="O316" t="s">
        <v>574</v>
      </c>
    </row>
    <row r="317" spans="1:15" ht="17" customHeight="1" x14ac:dyDescent="0.35">
      <c r="A317">
        <v>2024</v>
      </c>
      <c r="B317">
        <v>62</v>
      </c>
      <c r="C317" t="s">
        <v>417</v>
      </c>
      <c r="D317">
        <v>0</v>
      </c>
      <c r="E317">
        <v>0</v>
      </c>
      <c r="F317">
        <v>0</v>
      </c>
      <c r="G317">
        <v>0</v>
      </c>
      <c r="H317">
        <v>0</v>
      </c>
      <c r="I317">
        <v>0</v>
      </c>
      <c r="J317">
        <v>0</v>
      </c>
      <c r="K317">
        <v>0</v>
      </c>
      <c r="L317">
        <v>0</v>
      </c>
      <c r="M317">
        <v>0</v>
      </c>
      <c r="N317">
        <v>4.0599999999999996</v>
      </c>
      <c r="O317" t="s">
        <v>575</v>
      </c>
    </row>
    <row r="318" spans="1:15" ht="17" customHeight="1" x14ac:dyDescent="0.35">
      <c r="A318">
        <v>2024</v>
      </c>
      <c r="B318">
        <v>101</v>
      </c>
      <c r="C318" t="s">
        <v>415</v>
      </c>
      <c r="D318">
        <v>0</v>
      </c>
      <c r="E318">
        <v>1</v>
      </c>
      <c r="F318">
        <v>0</v>
      </c>
      <c r="G318">
        <v>0</v>
      </c>
      <c r="H318">
        <v>1</v>
      </c>
      <c r="I318">
        <v>1</v>
      </c>
      <c r="J318">
        <v>0</v>
      </c>
      <c r="K318">
        <v>0</v>
      </c>
      <c r="L318">
        <v>0</v>
      </c>
      <c r="M318">
        <v>0</v>
      </c>
      <c r="N318">
        <v>4.0599999999999996</v>
      </c>
      <c r="O318" t="s">
        <v>576</v>
      </c>
    </row>
    <row r="319" spans="1:15" ht="17" customHeight="1" x14ac:dyDescent="0.35">
      <c r="A319">
        <v>2024</v>
      </c>
      <c r="B319">
        <v>101</v>
      </c>
      <c r="C319" t="s">
        <v>416</v>
      </c>
      <c r="D319">
        <v>0</v>
      </c>
      <c r="E319">
        <v>15.5</v>
      </c>
      <c r="F319">
        <v>1</v>
      </c>
      <c r="G319">
        <v>0</v>
      </c>
      <c r="H319">
        <v>0</v>
      </c>
      <c r="I319">
        <v>1</v>
      </c>
      <c r="J319">
        <v>0</v>
      </c>
      <c r="K319">
        <v>1</v>
      </c>
      <c r="L319">
        <v>4</v>
      </c>
      <c r="M319">
        <v>0</v>
      </c>
      <c r="N319">
        <v>4.0599999999999996</v>
      </c>
      <c r="O319" t="s">
        <v>577</v>
      </c>
    </row>
    <row r="320" spans="1:15" ht="17" customHeight="1" x14ac:dyDescent="0.35">
      <c r="A320">
        <v>2024</v>
      </c>
      <c r="B320">
        <v>101</v>
      </c>
      <c r="C320" t="s">
        <v>275</v>
      </c>
      <c r="D320">
        <v>0</v>
      </c>
      <c r="E320">
        <v>65.5</v>
      </c>
      <c r="F320">
        <v>2</v>
      </c>
      <c r="G320">
        <v>2</v>
      </c>
      <c r="H320">
        <v>0</v>
      </c>
      <c r="I320">
        <v>3</v>
      </c>
      <c r="J320">
        <v>3</v>
      </c>
      <c r="K320">
        <v>5</v>
      </c>
      <c r="L320">
        <v>4</v>
      </c>
      <c r="M320">
        <v>3</v>
      </c>
      <c r="N320">
        <v>4.0599999999999996</v>
      </c>
      <c r="O320" t="s">
        <v>578</v>
      </c>
    </row>
    <row r="321" spans="1:15" ht="17" customHeight="1" x14ac:dyDescent="0.35">
      <c r="A321">
        <v>2024</v>
      </c>
      <c r="B321">
        <v>101</v>
      </c>
      <c r="C321" t="s">
        <v>417</v>
      </c>
      <c r="D321">
        <v>0</v>
      </c>
      <c r="E321">
        <v>25.5</v>
      </c>
      <c r="F321">
        <v>1</v>
      </c>
      <c r="G321">
        <v>0</v>
      </c>
      <c r="H321">
        <v>0</v>
      </c>
      <c r="I321">
        <v>2</v>
      </c>
      <c r="J321">
        <v>2</v>
      </c>
      <c r="K321">
        <v>0</v>
      </c>
      <c r="L321">
        <v>2</v>
      </c>
      <c r="M321">
        <v>0</v>
      </c>
      <c r="N321">
        <v>4.0599999999999996</v>
      </c>
      <c r="O321" t="s">
        <v>579</v>
      </c>
    </row>
    <row r="322" spans="1:15" s="11" customFormat="1" ht="17" customHeight="1" x14ac:dyDescent="0.35">
      <c r="A322">
        <v>2024</v>
      </c>
      <c r="B322" s="11">
        <v>14</v>
      </c>
      <c r="C322" s="11" t="s">
        <v>415</v>
      </c>
      <c r="D322" s="11">
        <v>0</v>
      </c>
      <c r="E322" s="11">
        <v>15.5</v>
      </c>
      <c r="F322" s="11">
        <v>3</v>
      </c>
      <c r="G322" s="11">
        <v>0</v>
      </c>
      <c r="H322" s="11">
        <v>1</v>
      </c>
      <c r="I322" s="11">
        <v>0</v>
      </c>
      <c r="J322" s="11">
        <v>2</v>
      </c>
      <c r="K322" s="11">
        <v>2</v>
      </c>
      <c r="L322" s="11">
        <v>0</v>
      </c>
      <c r="M322" s="11">
        <v>1</v>
      </c>
      <c r="N322">
        <v>4.0599999999999996</v>
      </c>
      <c r="O322" s="11" t="s">
        <v>580</v>
      </c>
    </row>
    <row r="323" spans="1:15" ht="17" customHeight="1" x14ac:dyDescent="0.35">
      <c r="A323">
        <v>2024</v>
      </c>
      <c r="B323">
        <v>14</v>
      </c>
      <c r="C323" t="s">
        <v>416</v>
      </c>
      <c r="D323">
        <v>0</v>
      </c>
      <c r="E323">
        <v>25.5</v>
      </c>
      <c r="F323">
        <v>1</v>
      </c>
      <c r="G323">
        <v>4</v>
      </c>
      <c r="H323">
        <v>1</v>
      </c>
      <c r="I323">
        <v>0</v>
      </c>
      <c r="J323">
        <v>1</v>
      </c>
      <c r="K323">
        <v>3</v>
      </c>
      <c r="L323">
        <v>3</v>
      </c>
      <c r="M323">
        <v>2</v>
      </c>
      <c r="N323">
        <v>4.0599999999999996</v>
      </c>
      <c r="O323" t="s">
        <v>581</v>
      </c>
    </row>
    <row r="324" spans="1:15" ht="17" customHeight="1" x14ac:dyDescent="0.35">
      <c r="A324">
        <v>2024</v>
      </c>
      <c r="B324">
        <v>14</v>
      </c>
      <c r="C324" t="s">
        <v>275</v>
      </c>
      <c r="D324">
        <v>0</v>
      </c>
      <c r="E324">
        <v>8</v>
      </c>
      <c r="F324">
        <v>1</v>
      </c>
      <c r="G324">
        <v>2</v>
      </c>
      <c r="H324">
        <v>2</v>
      </c>
      <c r="I324">
        <v>2</v>
      </c>
      <c r="J324">
        <v>0</v>
      </c>
      <c r="K324">
        <v>0</v>
      </c>
      <c r="L324">
        <v>1</v>
      </c>
      <c r="M324">
        <v>1</v>
      </c>
      <c r="N324">
        <v>4.0599999999999996</v>
      </c>
      <c r="O324" t="s">
        <v>582</v>
      </c>
    </row>
    <row r="325" spans="1:15" ht="17" customHeight="1" x14ac:dyDescent="0.35">
      <c r="A325">
        <v>2024</v>
      </c>
      <c r="B325">
        <v>14</v>
      </c>
      <c r="C325" t="s">
        <v>417</v>
      </c>
      <c r="D325">
        <v>0</v>
      </c>
      <c r="E325">
        <v>35.5</v>
      </c>
      <c r="F325">
        <v>5</v>
      </c>
      <c r="G325">
        <v>5</v>
      </c>
      <c r="H325">
        <v>0</v>
      </c>
      <c r="I325">
        <v>1</v>
      </c>
      <c r="J325">
        <v>4</v>
      </c>
      <c r="K325">
        <v>2</v>
      </c>
      <c r="L325">
        <v>2</v>
      </c>
      <c r="M325">
        <v>1</v>
      </c>
      <c r="N325">
        <v>4.0599999999999996</v>
      </c>
    </row>
    <row r="326" spans="1:15" ht="17" customHeight="1" x14ac:dyDescent="0.35">
      <c r="A326">
        <v>2024</v>
      </c>
      <c r="B326">
        <v>7</v>
      </c>
      <c r="C326" t="s">
        <v>415</v>
      </c>
      <c r="D326">
        <v>0</v>
      </c>
      <c r="E326">
        <v>0</v>
      </c>
      <c r="F326">
        <v>0</v>
      </c>
      <c r="G326">
        <v>0</v>
      </c>
      <c r="H326">
        <v>0</v>
      </c>
      <c r="I326">
        <v>0</v>
      </c>
      <c r="J326">
        <v>0</v>
      </c>
      <c r="K326">
        <v>0</v>
      </c>
      <c r="L326">
        <v>0</v>
      </c>
      <c r="M326">
        <v>0</v>
      </c>
      <c r="N326">
        <v>4.0599999999999996</v>
      </c>
      <c r="O326" t="s">
        <v>460</v>
      </c>
    </row>
    <row r="327" spans="1:15" ht="17" customHeight="1" x14ac:dyDescent="0.35">
      <c r="A327">
        <v>2024</v>
      </c>
      <c r="B327">
        <v>7</v>
      </c>
      <c r="C327" t="s">
        <v>416</v>
      </c>
      <c r="D327">
        <v>0</v>
      </c>
      <c r="E327">
        <v>8</v>
      </c>
      <c r="F327">
        <v>0</v>
      </c>
      <c r="G327">
        <v>2</v>
      </c>
      <c r="H327">
        <v>2</v>
      </c>
      <c r="I327">
        <v>2</v>
      </c>
      <c r="J327">
        <v>2</v>
      </c>
      <c r="K327">
        <v>0</v>
      </c>
      <c r="L327">
        <v>1</v>
      </c>
      <c r="M327">
        <v>0</v>
      </c>
      <c r="N327">
        <v>4.0599999999999996</v>
      </c>
      <c r="O327" t="s">
        <v>583</v>
      </c>
    </row>
    <row r="328" spans="1:15" ht="17" customHeight="1" x14ac:dyDescent="0.35">
      <c r="A328">
        <v>2024</v>
      </c>
      <c r="B328">
        <v>7</v>
      </c>
      <c r="C328" t="s">
        <v>275</v>
      </c>
      <c r="D328">
        <v>0</v>
      </c>
      <c r="E328">
        <v>8</v>
      </c>
      <c r="F328">
        <v>2</v>
      </c>
      <c r="G328">
        <v>0</v>
      </c>
      <c r="H328">
        <v>1</v>
      </c>
      <c r="I328">
        <v>0</v>
      </c>
      <c r="J328">
        <v>1</v>
      </c>
      <c r="K328">
        <v>1</v>
      </c>
      <c r="L328">
        <v>1</v>
      </c>
      <c r="M328">
        <v>0</v>
      </c>
      <c r="N328">
        <v>4.0599999999999996</v>
      </c>
      <c r="O328" t="s">
        <v>584</v>
      </c>
    </row>
    <row r="329" spans="1:15" ht="17" customHeight="1" x14ac:dyDescent="0.35">
      <c r="A329">
        <v>2024</v>
      </c>
      <c r="B329">
        <v>7</v>
      </c>
      <c r="C329" t="s">
        <v>417</v>
      </c>
      <c r="D329">
        <v>0</v>
      </c>
      <c r="E329">
        <v>3.5</v>
      </c>
      <c r="F329">
        <v>1</v>
      </c>
      <c r="G329">
        <v>0</v>
      </c>
      <c r="H329">
        <v>0</v>
      </c>
      <c r="I329">
        <v>1</v>
      </c>
      <c r="J329">
        <v>0</v>
      </c>
      <c r="K329">
        <v>0</v>
      </c>
      <c r="L329">
        <v>0</v>
      </c>
      <c r="M329">
        <v>0</v>
      </c>
      <c r="N329">
        <v>4.0599999999999996</v>
      </c>
      <c r="O329" t="s">
        <v>583</v>
      </c>
    </row>
    <row r="330" spans="1:15" ht="17" customHeight="1" x14ac:dyDescent="0.35">
      <c r="A330">
        <v>2024</v>
      </c>
      <c r="B330">
        <v>9</v>
      </c>
      <c r="C330" t="s">
        <v>415</v>
      </c>
      <c r="D330">
        <v>0</v>
      </c>
      <c r="E330">
        <v>3.5</v>
      </c>
      <c r="F330">
        <v>0</v>
      </c>
      <c r="G330">
        <v>0</v>
      </c>
      <c r="H330">
        <v>0</v>
      </c>
      <c r="I330">
        <v>0</v>
      </c>
      <c r="J330">
        <v>0</v>
      </c>
      <c r="K330">
        <v>0</v>
      </c>
      <c r="L330">
        <v>1</v>
      </c>
      <c r="M330">
        <v>1</v>
      </c>
      <c r="N330">
        <v>4.0599999999999996</v>
      </c>
      <c r="O330" t="s">
        <v>585</v>
      </c>
    </row>
    <row r="331" spans="1:15" ht="17" customHeight="1" x14ac:dyDescent="0.35">
      <c r="A331">
        <v>2024</v>
      </c>
      <c r="B331">
        <v>9</v>
      </c>
      <c r="C331" t="s">
        <v>416</v>
      </c>
      <c r="D331">
        <v>0</v>
      </c>
      <c r="E331">
        <v>0</v>
      </c>
      <c r="F331">
        <v>0</v>
      </c>
      <c r="G331">
        <v>0</v>
      </c>
      <c r="H331">
        <v>0</v>
      </c>
      <c r="I331">
        <v>0</v>
      </c>
      <c r="J331">
        <v>0</v>
      </c>
      <c r="K331">
        <v>0</v>
      </c>
      <c r="L331">
        <v>0</v>
      </c>
      <c r="M331">
        <v>0</v>
      </c>
      <c r="N331">
        <v>4.0599999999999996</v>
      </c>
      <c r="O331" t="s">
        <v>460</v>
      </c>
    </row>
    <row r="332" spans="1:15" ht="17" customHeight="1" x14ac:dyDescent="0.35">
      <c r="A332">
        <v>2024</v>
      </c>
      <c r="B332">
        <v>9</v>
      </c>
      <c r="C332" t="s">
        <v>275</v>
      </c>
      <c r="D332">
        <v>0</v>
      </c>
      <c r="E332">
        <v>1</v>
      </c>
      <c r="F332">
        <v>3</v>
      </c>
      <c r="G332">
        <v>0</v>
      </c>
      <c r="H332">
        <v>0</v>
      </c>
      <c r="I332">
        <v>0</v>
      </c>
      <c r="J332">
        <v>0</v>
      </c>
      <c r="K332">
        <v>0</v>
      </c>
      <c r="L332">
        <v>0</v>
      </c>
      <c r="M332">
        <v>0</v>
      </c>
      <c r="N332">
        <v>4.0599999999999996</v>
      </c>
      <c r="O332" t="s">
        <v>586</v>
      </c>
    </row>
    <row r="333" spans="1:15" ht="17" customHeight="1" x14ac:dyDescent="0.35">
      <c r="A333">
        <v>2024</v>
      </c>
      <c r="B333">
        <v>9</v>
      </c>
      <c r="C333" t="s">
        <v>417</v>
      </c>
      <c r="D333">
        <v>0</v>
      </c>
      <c r="E333">
        <v>3.5</v>
      </c>
      <c r="F333">
        <v>0</v>
      </c>
      <c r="G333">
        <v>0</v>
      </c>
      <c r="H333">
        <v>0</v>
      </c>
      <c r="I333">
        <v>1</v>
      </c>
      <c r="J333">
        <v>0</v>
      </c>
      <c r="K333">
        <v>0</v>
      </c>
      <c r="L333">
        <v>0</v>
      </c>
      <c r="M333">
        <v>0</v>
      </c>
      <c r="N333">
        <v>4.0599999999999996</v>
      </c>
      <c r="O333" t="s">
        <v>587</v>
      </c>
    </row>
    <row r="334" spans="1:15" ht="17" customHeight="1" x14ac:dyDescent="0.35">
      <c r="A334">
        <v>2024</v>
      </c>
      <c r="B334">
        <v>8</v>
      </c>
      <c r="C334" t="s">
        <v>415</v>
      </c>
      <c r="D334">
        <v>0</v>
      </c>
      <c r="E334">
        <v>3.5</v>
      </c>
      <c r="F334">
        <v>0</v>
      </c>
      <c r="G334">
        <v>1</v>
      </c>
      <c r="H334">
        <v>0</v>
      </c>
      <c r="I334">
        <v>4</v>
      </c>
      <c r="J334">
        <v>0</v>
      </c>
      <c r="K334">
        <v>1</v>
      </c>
      <c r="L334">
        <v>0</v>
      </c>
      <c r="M334">
        <v>1</v>
      </c>
      <c r="N334">
        <v>4.0599999999999996</v>
      </c>
      <c r="O334" t="s">
        <v>588</v>
      </c>
    </row>
    <row r="335" spans="1:15" ht="17" customHeight="1" x14ac:dyDescent="0.35">
      <c r="A335">
        <v>2024</v>
      </c>
      <c r="B335">
        <v>8</v>
      </c>
      <c r="C335" t="s">
        <v>416</v>
      </c>
      <c r="D335">
        <v>0</v>
      </c>
      <c r="E335">
        <v>0</v>
      </c>
      <c r="F335">
        <v>0</v>
      </c>
      <c r="G335">
        <v>0</v>
      </c>
      <c r="H335">
        <v>0</v>
      </c>
      <c r="I335">
        <v>0</v>
      </c>
      <c r="J335">
        <v>0</v>
      </c>
      <c r="K335">
        <v>0</v>
      </c>
      <c r="L335">
        <v>0</v>
      </c>
      <c r="M335">
        <v>0</v>
      </c>
      <c r="N335">
        <v>4.0599999999999996</v>
      </c>
      <c r="O335" t="s">
        <v>460</v>
      </c>
    </row>
    <row r="336" spans="1:15" ht="17" customHeight="1" x14ac:dyDescent="0.35">
      <c r="A336">
        <v>2024</v>
      </c>
      <c r="B336">
        <v>8</v>
      </c>
      <c r="C336" t="s">
        <v>275</v>
      </c>
      <c r="D336">
        <v>0</v>
      </c>
      <c r="E336">
        <v>0</v>
      </c>
      <c r="F336">
        <v>0</v>
      </c>
      <c r="G336">
        <v>0</v>
      </c>
      <c r="H336">
        <v>0</v>
      </c>
      <c r="I336">
        <v>0</v>
      </c>
      <c r="J336">
        <v>0</v>
      </c>
      <c r="K336">
        <v>0</v>
      </c>
      <c r="L336">
        <v>0</v>
      </c>
      <c r="M336">
        <v>0</v>
      </c>
      <c r="N336">
        <v>4.0599999999999996</v>
      </c>
      <c r="O336" t="s">
        <v>460</v>
      </c>
    </row>
    <row r="337" spans="1:15" ht="17" customHeight="1" x14ac:dyDescent="0.35">
      <c r="A337">
        <v>2024</v>
      </c>
      <c r="B337">
        <v>8</v>
      </c>
      <c r="C337" t="s">
        <v>417</v>
      </c>
      <c r="D337">
        <v>0</v>
      </c>
      <c r="E337">
        <v>3.5</v>
      </c>
      <c r="F337">
        <v>0</v>
      </c>
      <c r="G337">
        <v>0</v>
      </c>
      <c r="H337">
        <v>0</v>
      </c>
      <c r="I337">
        <v>0</v>
      </c>
      <c r="J337">
        <v>0</v>
      </c>
      <c r="K337">
        <v>0</v>
      </c>
      <c r="L337">
        <v>1</v>
      </c>
      <c r="M337">
        <v>1</v>
      </c>
      <c r="N337">
        <v>4.0599999999999996</v>
      </c>
      <c r="O337" t="s">
        <v>589</v>
      </c>
    </row>
    <row r="338" spans="1:15" ht="17" customHeight="1" x14ac:dyDescent="0.35">
      <c r="A338">
        <v>2024</v>
      </c>
      <c r="B338">
        <v>21</v>
      </c>
      <c r="C338" t="s">
        <v>415</v>
      </c>
      <c r="D338">
        <v>0</v>
      </c>
      <c r="E338">
        <v>0</v>
      </c>
      <c r="F338">
        <v>0</v>
      </c>
      <c r="G338">
        <v>0</v>
      </c>
      <c r="H338">
        <v>0</v>
      </c>
      <c r="I338">
        <v>0</v>
      </c>
      <c r="J338">
        <v>0</v>
      </c>
      <c r="K338">
        <v>0</v>
      </c>
      <c r="L338">
        <v>0</v>
      </c>
      <c r="M338">
        <v>0</v>
      </c>
      <c r="N338">
        <v>4.0599999999999996</v>
      </c>
      <c r="O338" t="s">
        <v>583</v>
      </c>
    </row>
    <row r="339" spans="1:15" ht="17" customHeight="1" x14ac:dyDescent="0.35">
      <c r="A339">
        <v>2024</v>
      </c>
      <c r="B339">
        <v>21</v>
      </c>
      <c r="C339" t="s">
        <v>416</v>
      </c>
      <c r="D339">
        <v>0</v>
      </c>
      <c r="E339">
        <v>0</v>
      </c>
      <c r="F339">
        <v>0</v>
      </c>
      <c r="G339">
        <v>0</v>
      </c>
      <c r="H339">
        <v>0</v>
      </c>
      <c r="I339">
        <v>0</v>
      </c>
      <c r="J339">
        <v>0</v>
      </c>
      <c r="K339">
        <v>0</v>
      </c>
      <c r="L339">
        <v>0</v>
      </c>
      <c r="M339">
        <v>0</v>
      </c>
      <c r="N339">
        <v>4.0599999999999996</v>
      </c>
      <c r="O339" t="s">
        <v>460</v>
      </c>
    </row>
    <row r="340" spans="1:15" ht="17" customHeight="1" x14ac:dyDescent="0.35">
      <c r="A340">
        <v>2024</v>
      </c>
      <c r="B340">
        <v>21</v>
      </c>
      <c r="C340" t="s">
        <v>275</v>
      </c>
      <c r="D340">
        <v>0</v>
      </c>
      <c r="E340">
        <v>0</v>
      </c>
      <c r="F340">
        <v>0</v>
      </c>
      <c r="G340">
        <v>0</v>
      </c>
      <c r="H340">
        <v>0</v>
      </c>
      <c r="I340">
        <v>0</v>
      </c>
      <c r="J340">
        <v>0</v>
      </c>
      <c r="K340">
        <v>0</v>
      </c>
      <c r="L340">
        <v>0</v>
      </c>
      <c r="M340">
        <v>0</v>
      </c>
      <c r="N340">
        <v>4.0599999999999996</v>
      </c>
      <c r="O340" t="s">
        <v>589</v>
      </c>
    </row>
    <row r="341" spans="1:15" ht="17" customHeight="1" x14ac:dyDescent="0.35">
      <c r="A341">
        <v>2024</v>
      </c>
      <c r="B341">
        <v>21</v>
      </c>
      <c r="C341" t="s">
        <v>417</v>
      </c>
      <c r="D341">
        <v>0</v>
      </c>
      <c r="E341">
        <v>0</v>
      </c>
      <c r="F341">
        <v>0</v>
      </c>
      <c r="G341">
        <v>0</v>
      </c>
      <c r="H341">
        <v>0</v>
      </c>
      <c r="I341">
        <v>0</v>
      </c>
      <c r="J341">
        <v>0</v>
      </c>
      <c r="K341">
        <v>0</v>
      </c>
      <c r="L341">
        <v>0</v>
      </c>
      <c r="M341">
        <v>0</v>
      </c>
      <c r="N341">
        <v>4.0599999999999996</v>
      </c>
      <c r="O341" t="s">
        <v>460</v>
      </c>
    </row>
    <row r="342" spans="1:15" ht="17" customHeight="1" x14ac:dyDescent="0.35">
      <c r="A342">
        <v>2024</v>
      </c>
      <c r="B342">
        <v>19</v>
      </c>
      <c r="C342" t="s">
        <v>415</v>
      </c>
      <c r="D342">
        <v>0</v>
      </c>
      <c r="E342">
        <v>1</v>
      </c>
      <c r="F342">
        <v>0</v>
      </c>
      <c r="G342">
        <v>0</v>
      </c>
      <c r="H342">
        <v>1</v>
      </c>
      <c r="I342">
        <v>0</v>
      </c>
      <c r="J342">
        <v>0</v>
      </c>
      <c r="K342">
        <v>0</v>
      </c>
      <c r="L342">
        <v>0</v>
      </c>
      <c r="M342">
        <v>0</v>
      </c>
      <c r="N342">
        <v>4.0599999999999996</v>
      </c>
      <c r="O342" t="s">
        <v>460</v>
      </c>
    </row>
    <row r="343" spans="1:15" ht="17" customHeight="1" x14ac:dyDescent="0.35">
      <c r="A343">
        <v>2024</v>
      </c>
      <c r="B343">
        <v>19</v>
      </c>
      <c r="C343" t="s">
        <v>416</v>
      </c>
      <c r="D343">
        <v>0</v>
      </c>
      <c r="E343">
        <v>1</v>
      </c>
      <c r="F343">
        <v>0</v>
      </c>
      <c r="G343">
        <v>0</v>
      </c>
      <c r="H343">
        <v>0</v>
      </c>
      <c r="I343">
        <v>0</v>
      </c>
      <c r="J343">
        <v>0</v>
      </c>
      <c r="K343">
        <v>2</v>
      </c>
      <c r="L343">
        <v>0</v>
      </c>
      <c r="M343">
        <v>0</v>
      </c>
      <c r="N343">
        <v>4.0599999999999996</v>
      </c>
      <c r="O343" t="s">
        <v>590</v>
      </c>
    </row>
    <row r="344" spans="1:15" ht="17" customHeight="1" x14ac:dyDescent="0.35">
      <c r="A344">
        <v>2024</v>
      </c>
      <c r="B344">
        <v>19</v>
      </c>
      <c r="C344" t="s">
        <v>275</v>
      </c>
      <c r="D344">
        <v>0</v>
      </c>
      <c r="E344">
        <v>0</v>
      </c>
      <c r="F344">
        <v>0</v>
      </c>
      <c r="G344">
        <v>0</v>
      </c>
      <c r="H344">
        <v>0</v>
      </c>
      <c r="I344">
        <v>0</v>
      </c>
      <c r="J344">
        <v>0</v>
      </c>
      <c r="K344">
        <v>0</v>
      </c>
      <c r="L344">
        <v>0</v>
      </c>
      <c r="M344">
        <v>0</v>
      </c>
      <c r="N344">
        <v>4.0599999999999996</v>
      </c>
      <c r="O344" t="s">
        <v>460</v>
      </c>
    </row>
    <row r="345" spans="1:15" ht="17" customHeight="1" x14ac:dyDescent="0.35">
      <c r="A345">
        <v>2024</v>
      </c>
      <c r="B345">
        <v>19</v>
      </c>
      <c r="C345" t="s">
        <v>417</v>
      </c>
      <c r="D345">
        <v>0</v>
      </c>
      <c r="E345">
        <v>8</v>
      </c>
      <c r="F345">
        <v>2</v>
      </c>
      <c r="G345">
        <v>1</v>
      </c>
      <c r="H345">
        <v>5</v>
      </c>
      <c r="I345">
        <v>0</v>
      </c>
      <c r="J345">
        <v>0</v>
      </c>
      <c r="K345">
        <v>0</v>
      </c>
      <c r="L345">
        <v>1</v>
      </c>
      <c r="M345">
        <v>2</v>
      </c>
      <c r="N345">
        <v>4.0599999999999996</v>
      </c>
      <c r="O345" t="s">
        <v>591</v>
      </c>
    </row>
    <row r="346" spans="1:15" s="11" customFormat="1" ht="17" customHeight="1" x14ac:dyDescent="0.35">
      <c r="A346">
        <v>2024</v>
      </c>
      <c r="B346" s="11">
        <v>10</v>
      </c>
      <c r="C346" s="11" t="s">
        <v>415</v>
      </c>
      <c r="D346" s="11">
        <v>0</v>
      </c>
      <c r="E346" s="11">
        <v>8</v>
      </c>
      <c r="F346" s="11">
        <v>0</v>
      </c>
      <c r="G346" s="11">
        <v>0</v>
      </c>
      <c r="H346" s="11">
        <v>0</v>
      </c>
      <c r="I346" s="11">
        <v>0</v>
      </c>
      <c r="J346" s="11">
        <v>0</v>
      </c>
      <c r="K346" s="11">
        <v>2</v>
      </c>
      <c r="L346" s="11">
        <v>1</v>
      </c>
      <c r="M346" s="11">
        <v>0</v>
      </c>
      <c r="N346">
        <v>4.0599999999999996</v>
      </c>
      <c r="O346" s="11" t="s">
        <v>592</v>
      </c>
    </row>
    <row r="347" spans="1:15" ht="17" customHeight="1" x14ac:dyDescent="0.35">
      <c r="A347">
        <v>2024</v>
      </c>
      <c r="B347">
        <v>10</v>
      </c>
      <c r="C347" t="s">
        <v>416</v>
      </c>
      <c r="D347">
        <v>0</v>
      </c>
      <c r="E347">
        <v>15.5</v>
      </c>
      <c r="F347">
        <v>0</v>
      </c>
      <c r="G347">
        <v>0</v>
      </c>
      <c r="H347">
        <v>0</v>
      </c>
      <c r="I347">
        <v>0</v>
      </c>
      <c r="J347">
        <v>1</v>
      </c>
      <c r="K347">
        <v>0</v>
      </c>
      <c r="L347">
        <v>0</v>
      </c>
      <c r="M347">
        <v>1</v>
      </c>
      <c r="N347">
        <v>4.0599999999999996</v>
      </c>
      <c r="O347" t="s">
        <v>593</v>
      </c>
    </row>
    <row r="348" spans="1:15" ht="17" customHeight="1" x14ac:dyDescent="0.35">
      <c r="A348">
        <v>2024</v>
      </c>
      <c r="B348">
        <v>10</v>
      </c>
      <c r="C348" t="s">
        <v>275</v>
      </c>
      <c r="D348">
        <v>0</v>
      </c>
      <c r="E348">
        <v>15.5</v>
      </c>
      <c r="F348">
        <v>0</v>
      </c>
      <c r="G348">
        <v>0</v>
      </c>
      <c r="H348">
        <v>0</v>
      </c>
      <c r="I348">
        <v>0</v>
      </c>
      <c r="J348">
        <v>0</v>
      </c>
      <c r="K348">
        <v>0</v>
      </c>
      <c r="L348">
        <v>1</v>
      </c>
      <c r="M348">
        <v>0</v>
      </c>
      <c r="N348">
        <v>4.0599999999999996</v>
      </c>
      <c r="O348" t="s">
        <v>594</v>
      </c>
    </row>
    <row r="349" spans="1:15" ht="17" customHeight="1" x14ac:dyDescent="0.35">
      <c r="A349">
        <v>2024</v>
      </c>
      <c r="B349">
        <v>10</v>
      </c>
      <c r="C349" t="s">
        <v>417</v>
      </c>
      <c r="D349">
        <v>0</v>
      </c>
      <c r="E349">
        <v>15.5</v>
      </c>
      <c r="F349">
        <v>0</v>
      </c>
      <c r="G349">
        <v>0</v>
      </c>
      <c r="H349">
        <v>0</v>
      </c>
      <c r="I349">
        <v>2</v>
      </c>
      <c r="J349">
        <v>0</v>
      </c>
      <c r="K349">
        <v>2</v>
      </c>
      <c r="L349">
        <v>2</v>
      </c>
      <c r="M349">
        <v>0</v>
      </c>
      <c r="N349">
        <v>4.0599999999999996</v>
      </c>
      <c r="O349" t="s">
        <v>595</v>
      </c>
    </row>
    <row r="350" spans="1:15" ht="17" customHeight="1" x14ac:dyDescent="0.35">
      <c r="A350">
        <v>2024</v>
      </c>
      <c r="B350">
        <v>11</v>
      </c>
      <c r="C350" t="s">
        <v>415</v>
      </c>
      <c r="D350">
        <v>0</v>
      </c>
      <c r="E350">
        <v>15.5</v>
      </c>
      <c r="F350">
        <v>0</v>
      </c>
      <c r="G350">
        <v>0</v>
      </c>
      <c r="H350">
        <v>0</v>
      </c>
      <c r="I350">
        <v>0</v>
      </c>
      <c r="J350">
        <v>0</v>
      </c>
      <c r="K350">
        <v>1</v>
      </c>
      <c r="L350">
        <v>1</v>
      </c>
      <c r="M350">
        <v>0</v>
      </c>
      <c r="N350">
        <v>4.0599999999999996</v>
      </c>
      <c r="O350" t="s">
        <v>596</v>
      </c>
    </row>
    <row r="351" spans="1:15" ht="17" customHeight="1" x14ac:dyDescent="0.35">
      <c r="A351">
        <v>2024</v>
      </c>
      <c r="B351">
        <v>11</v>
      </c>
      <c r="C351" t="s">
        <v>416</v>
      </c>
      <c r="D351">
        <v>0</v>
      </c>
      <c r="E351">
        <v>25.5</v>
      </c>
      <c r="F351">
        <v>0</v>
      </c>
      <c r="G351">
        <v>0</v>
      </c>
      <c r="H351">
        <v>0</v>
      </c>
      <c r="I351">
        <v>1</v>
      </c>
      <c r="J351">
        <v>1</v>
      </c>
      <c r="K351">
        <v>1</v>
      </c>
      <c r="L351">
        <v>1</v>
      </c>
      <c r="M351">
        <v>2</v>
      </c>
      <c r="N351">
        <v>4.0599999999999996</v>
      </c>
      <c r="O351" t="s">
        <v>597</v>
      </c>
    </row>
    <row r="352" spans="1:15" ht="17" customHeight="1" x14ac:dyDescent="0.35">
      <c r="A352">
        <v>2024</v>
      </c>
      <c r="B352">
        <v>11</v>
      </c>
      <c r="C352" t="s">
        <v>275</v>
      </c>
      <c r="D352">
        <v>0</v>
      </c>
      <c r="E352">
        <v>25.5</v>
      </c>
      <c r="F352">
        <v>0</v>
      </c>
      <c r="G352">
        <v>1</v>
      </c>
      <c r="H352">
        <v>0</v>
      </c>
      <c r="I352">
        <v>0</v>
      </c>
      <c r="J352">
        <v>0</v>
      </c>
      <c r="K352">
        <v>3</v>
      </c>
      <c r="L352">
        <v>1</v>
      </c>
      <c r="M352">
        <v>0</v>
      </c>
      <c r="N352">
        <v>4.0599999999999996</v>
      </c>
      <c r="O352" t="s">
        <v>598</v>
      </c>
    </row>
    <row r="353" spans="1:15" ht="17" customHeight="1" x14ac:dyDescent="0.35">
      <c r="A353">
        <v>2024</v>
      </c>
      <c r="B353">
        <v>11</v>
      </c>
      <c r="C353" t="s">
        <v>417</v>
      </c>
      <c r="D353">
        <v>0</v>
      </c>
      <c r="E353">
        <v>25.5</v>
      </c>
      <c r="F353">
        <v>0</v>
      </c>
      <c r="G353">
        <v>0</v>
      </c>
      <c r="H353">
        <v>0</v>
      </c>
      <c r="I353">
        <v>0</v>
      </c>
      <c r="J353">
        <v>3</v>
      </c>
      <c r="K353">
        <v>2</v>
      </c>
      <c r="L353">
        <v>0</v>
      </c>
      <c r="M353">
        <v>1</v>
      </c>
      <c r="N353">
        <v>4.0599999999999996</v>
      </c>
      <c r="O353" t="s">
        <v>599</v>
      </c>
    </row>
    <row r="354" spans="1:15" ht="17" customHeight="1" x14ac:dyDescent="0.35">
      <c r="A354">
        <v>2024</v>
      </c>
      <c r="B354">
        <v>12</v>
      </c>
      <c r="C354" t="s">
        <v>415</v>
      </c>
      <c r="D354">
        <v>0</v>
      </c>
      <c r="E354">
        <v>0</v>
      </c>
      <c r="F354">
        <v>0</v>
      </c>
      <c r="G354">
        <v>0</v>
      </c>
      <c r="H354">
        <v>0</v>
      </c>
      <c r="I354">
        <v>0</v>
      </c>
      <c r="J354">
        <v>0</v>
      </c>
      <c r="K354">
        <v>0</v>
      </c>
      <c r="L354">
        <v>0</v>
      </c>
      <c r="M354">
        <v>0</v>
      </c>
      <c r="N354">
        <v>4.0599999999999996</v>
      </c>
      <c r="O354" t="s">
        <v>600</v>
      </c>
    </row>
    <row r="355" spans="1:15" ht="17" customHeight="1" x14ac:dyDescent="0.35">
      <c r="A355">
        <v>2024</v>
      </c>
      <c r="B355">
        <v>12</v>
      </c>
      <c r="C355" t="s">
        <v>416</v>
      </c>
      <c r="D355">
        <v>0</v>
      </c>
      <c r="E355">
        <v>3.5</v>
      </c>
      <c r="F355">
        <v>0</v>
      </c>
      <c r="G355">
        <v>0</v>
      </c>
      <c r="H355">
        <v>0</v>
      </c>
      <c r="I355">
        <v>0</v>
      </c>
      <c r="J355">
        <v>0</v>
      </c>
      <c r="K355">
        <v>1</v>
      </c>
      <c r="L355">
        <v>0</v>
      </c>
      <c r="M355">
        <v>0</v>
      </c>
      <c r="N355">
        <v>4.0599999999999996</v>
      </c>
      <c r="O355" t="s">
        <v>601</v>
      </c>
    </row>
    <row r="356" spans="1:15" ht="17" customHeight="1" x14ac:dyDescent="0.35">
      <c r="A356">
        <v>2024</v>
      </c>
      <c r="B356">
        <v>12</v>
      </c>
      <c r="C356" t="s">
        <v>275</v>
      </c>
      <c r="D356">
        <v>0</v>
      </c>
      <c r="E356">
        <v>0</v>
      </c>
      <c r="F356">
        <v>0</v>
      </c>
      <c r="G356">
        <v>0</v>
      </c>
      <c r="H356">
        <v>0</v>
      </c>
      <c r="I356">
        <v>0</v>
      </c>
      <c r="J356">
        <v>0</v>
      </c>
      <c r="K356">
        <v>0</v>
      </c>
      <c r="L356">
        <v>0</v>
      </c>
      <c r="M356">
        <v>0</v>
      </c>
      <c r="N356">
        <v>4.0599999999999996</v>
      </c>
      <c r="O356" t="s">
        <v>602</v>
      </c>
    </row>
    <row r="357" spans="1:15" ht="17" customHeight="1" x14ac:dyDescent="0.35">
      <c r="A357">
        <v>2024</v>
      </c>
      <c r="B357">
        <v>12</v>
      </c>
      <c r="C357" t="s">
        <v>417</v>
      </c>
      <c r="D357">
        <v>0</v>
      </c>
      <c r="E357">
        <v>0</v>
      </c>
      <c r="F357">
        <v>0</v>
      </c>
      <c r="G357">
        <v>0</v>
      </c>
      <c r="H357">
        <v>0</v>
      </c>
      <c r="I357">
        <v>0</v>
      </c>
      <c r="J357">
        <v>0</v>
      </c>
      <c r="K357">
        <v>0</v>
      </c>
      <c r="L357">
        <v>0</v>
      </c>
      <c r="M357">
        <v>0</v>
      </c>
      <c r="N357">
        <v>4.0599999999999996</v>
      </c>
      <c r="O357" t="s">
        <v>603</v>
      </c>
    </row>
    <row r="358" spans="1:15" ht="17" customHeight="1" x14ac:dyDescent="0.35">
      <c r="A358">
        <v>2024</v>
      </c>
      <c r="B358">
        <v>5</v>
      </c>
      <c r="C358" t="s">
        <v>415</v>
      </c>
      <c r="D358">
        <v>0</v>
      </c>
      <c r="E358">
        <v>0</v>
      </c>
      <c r="F358">
        <v>0</v>
      </c>
      <c r="G358">
        <v>0</v>
      </c>
      <c r="H358">
        <v>0</v>
      </c>
      <c r="I358">
        <v>0</v>
      </c>
      <c r="J358">
        <v>0</v>
      </c>
      <c r="K358">
        <v>0</v>
      </c>
      <c r="L358">
        <v>0</v>
      </c>
      <c r="M358">
        <v>0</v>
      </c>
      <c r="N358">
        <v>4.0599999999999996</v>
      </c>
      <c r="O358" t="s">
        <v>604</v>
      </c>
    </row>
    <row r="359" spans="1:15" ht="17" customHeight="1" x14ac:dyDescent="0.35">
      <c r="A359">
        <v>2024</v>
      </c>
      <c r="B359">
        <v>5</v>
      </c>
      <c r="C359" t="s">
        <v>416</v>
      </c>
      <c r="D359">
        <v>0</v>
      </c>
      <c r="E359">
        <v>3.5</v>
      </c>
      <c r="F359">
        <v>0</v>
      </c>
      <c r="G359">
        <v>0</v>
      </c>
      <c r="H359">
        <v>0</v>
      </c>
      <c r="I359">
        <v>0</v>
      </c>
      <c r="J359">
        <v>1</v>
      </c>
      <c r="K359">
        <v>0</v>
      </c>
      <c r="L359">
        <v>0</v>
      </c>
      <c r="M359">
        <v>0</v>
      </c>
      <c r="N359">
        <v>4.0599999999999996</v>
      </c>
      <c r="O359" t="s">
        <v>605</v>
      </c>
    </row>
    <row r="360" spans="1:15" ht="17" customHeight="1" x14ac:dyDescent="0.35">
      <c r="A360">
        <v>2024</v>
      </c>
      <c r="B360">
        <v>5</v>
      </c>
      <c r="C360" t="s">
        <v>275</v>
      </c>
      <c r="D360">
        <v>0</v>
      </c>
      <c r="E360">
        <v>3.5</v>
      </c>
      <c r="F360">
        <v>0</v>
      </c>
      <c r="G360">
        <v>0</v>
      </c>
      <c r="H360">
        <v>0</v>
      </c>
      <c r="I360">
        <v>0</v>
      </c>
      <c r="J360">
        <v>0</v>
      </c>
      <c r="K360">
        <v>0</v>
      </c>
      <c r="L360">
        <v>1</v>
      </c>
      <c r="M360">
        <v>0</v>
      </c>
      <c r="N360">
        <v>4.0599999999999996</v>
      </c>
      <c r="O360" t="s">
        <v>606</v>
      </c>
    </row>
    <row r="361" spans="1:15" ht="17" customHeight="1" x14ac:dyDescent="0.35">
      <c r="A361">
        <v>2024</v>
      </c>
      <c r="B361">
        <v>5</v>
      </c>
      <c r="C361" t="s">
        <v>417</v>
      </c>
      <c r="D361">
        <v>0</v>
      </c>
      <c r="E361">
        <v>0</v>
      </c>
      <c r="F361">
        <v>0</v>
      </c>
      <c r="G361">
        <v>0</v>
      </c>
      <c r="H361">
        <v>0</v>
      </c>
      <c r="I361">
        <v>0</v>
      </c>
      <c r="J361">
        <v>0</v>
      </c>
      <c r="K361">
        <v>0</v>
      </c>
      <c r="L361">
        <v>0</v>
      </c>
      <c r="M361">
        <v>0</v>
      </c>
      <c r="N361">
        <v>4.0599999999999996</v>
      </c>
      <c r="O361" t="s">
        <v>607</v>
      </c>
    </row>
    <row r="362" spans="1:15" ht="17" customHeight="1" x14ac:dyDescent="0.35">
      <c r="A362">
        <v>2024</v>
      </c>
      <c r="B362">
        <v>15</v>
      </c>
      <c r="C362" t="s">
        <v>415</v>
      </c>
      <c r="D362">
        <v>0</v>
      </c>
      <c r="E362">
        <v>8</v>
      </c>
      <c r="F362">
        <v>0</v>
      </c>
      <c r="G362">
        <v>0</v>
      </c>
      <c r="H362">
        <v>0</v>
      </c>
      <c r="I362">
        <v>0</v>
      </c>
      <c r="J362">
        <v>1</v>
      </c>
      <c r="K362">
        <v>0</v>
      </c>
      <c r="L362">
        <v>0</v>
      </c>
      <c r="M362">
        <v>0</v>
      </c>
      <c r="N362">
        <v>4.0599999999999996</v>
      </c>
      <c r="O362" t="s">
        <v>608</v>
      </c>
    </row>
    <row r="363" spans="1:15" ht="17" customHeight="1" x14ac:dyDescent="0.35">
      <c r="A363">
        <v>2024</v>
      </c>
      <c r="B363">
        <v>15</v>
      </c>
      <c r="C363" t="s">
        <v>416</v>
      </c>
      <c r="D363">
        <v>0</v>
      </c>
      <c r="E363">
        <v>3.5</v>
      </c>
      <c r="F363">
        <v>2</v>
      </c>
      <c r="G363">
        <v>0</v>
      </c>
      <c r="H363">
        <v>0</v>
      </c>
      <c r="I363">
        <v>1</v>
      </c>
      <c r="J363">
        <v>1</v>
      </c>
      <c r="K363">
        <v>0</v>
      </c>
      <c r="L363">
        <v>1</v>
      </c>
      <c r="M363">
        <v>0</v>
      </c>
      <c r="N363">
        <v>4.0599999999999996</v>
      </c>
      <c r="O363" t="s">
        <v>609</v>
      </c>
    </row>
    <row r="364" spans="1:15" ht="17" customHeight="1" x14ac:dyDescent="0.35">
      <c r="A364">
        <v>2024</v>
      </c>
      <c r="B364">
        <v>15</v>
      </c>
      <c r="C364" t="s">
        <v>275</v>
      </c>
      <c r="D364">
        <v>0</v>
      </c>
      <c r="E364">
        <v>3.5</v>
      </c>
      <c r="F364">
        <v>0</v>
      </c>
      <c r="G364">
        <v>0</v>
      </c>
      <c r="H364">
        <v>0</v>
      </c>
      <c r="I364">
        <v>1</v>
      </c>
      <c r="J364">
        <v>0</v>
      </c>
      <c r="K364">
        <v>0</v>
      </c>
      <c r="L364">
        <v>0</v>
      </c>
      <c r="M364">
        <v>0</v>
      </c>
      <c r="N364">
        <v>4.0599999999999996</v>
      </c>
      <c r="O364" t="s">
        <v>460</v>
      </c>
    </row>
    <row r="365" spans="1:15" ht="17" customHeight="1" x14ac:dyDescent="0.35">
      <c r="A365">
        <v>2024</v>
      </c>
      <c r="B365">
        <v>15</v>
      </c>
      <c r="C365" t="s">
        <v>417</v>
      </c>
      <c r="D365">
        <v>0</v>
      </c>
      <c r="E365">
        <v>0</v>
      </c>
      <c r="F365">
        <v>0</v>
      </c>
      <c r="G365">
        <v>0</v>
      </c>
      <c r="H365">
        <v>0</v>
      </c>
      <c r="I365">
        <v>0</v>
      </c>
      <c r="J365">
        <v>0</v>
      </c>
      <c r="K365">
        <v>0</v>
      </c>
      <c r="L365">
        <v>0</v>
      </c>
      <c r="M365">
        <v>0</v>
      </c>
      <c r="N365">
        <v>4.0599999999999996</v>
      </c>
      <c r="O365" t="s">
        <v>460</v>
      </c>
    </row>
    <row r="366" spans="1:15" ht="17" customHeight="1" x14ac:dyDescent="0.35">
      <c r="A366">
        <v>2024</v>
      </c>
      <c r="B366">
        <v>13</v>
      </c>
      <c r="C366" t="s">
        <v>415</v>
      </c>
      <c r="D366">
        <v>0</v>
      </c>
      <c r="E366">
        <v>8</v>
      </c>
      <c r="F366">
        <v>1</v>
      </c>
      <c r="G366">
        <v>0</v>
      </c>
      <c r="H366">
        <v>3</v>
      </c>
      <c r="I366">
        <v>1</v>
      </c>
      <c r="J366">
        <v>1</v>
      </c>
      <c r="K366">
        <v>0</v>
      </c>
      <c r="L366">
        <v>0</v>
      </c>
      <c r="M366">
        <v>0</v>
      </c>
      <c r="N366">
        <v>4.0599999999999996</v>
      </c>
      <c r="O366" t="s">
        <v>460</v>
      </c>
    </row>
    <row r="367" spans="1:15" ht="17" customHeight="1" x14ac:dyDescent="0.35">
      <c r="A367">
        <v>2024</v>
      </c>
      <c r="B367">
        <v>13</v>
      </c>
      <c r="C367" t="s">
        <v>416</v>
      </c>
      <c r="D367">
        <v>0</v>
      </c>
      <c r="E367">
        <v>8</v>
      </c>
      <c r="F367">
        <v>2</v>
      </c>
      <c r="G367">
        <v>1</v>
      </c>
      <c r="H367">
        <v>4</v>
      </c>
      <c r="I367">
        <v>0</v>
      </c>
      <c r="J367">
        <v>1</v>
      </c>
      <c r="K367">
        <v>2</v>
      </c>
      <c r="L367">
        <v>0</v>
      </c>
      <c r="M367">
        <v>0</v>
      </c>
      <c r="N367">
        <v>4.0599999999999996</v>
      </c>
      <c r="O367" t="s">
        <v>460</v>
      </c>
    </row>
    <row r="368" spans="1:15" ht="17" customHeight="1" x14ac:dyDescent="0.35">
      <c r="A368">
        <v>2024</v>
      </c>
      <c r="B368">
        <v>13</v>
      </c>
      <c r="C368" t="s">
        <v>275</v>
      </c>
      <c r="D368">
        <v>0</v>
      </c>
      <c r="E368">
        <v>3.5</v>
      </c>
      <c r="F368">
        <v>1</v>
      </c>
      <c r="G368">
        <v>0</v>
      </c>
      <c r="H368">
        <v>1</v>
      </c>
      <c r="I368">
        <v>1</v>
      </c>
      <c r="J368">
        <v>1</v>
      </c>
      <c r="K368">
        <v>0</v>
      </c>
      <c r="L368">
        <v>0</v>
      </c>
      <c r="M368">
        <v>1</v>
      </c>
      <c r="N368">
        <v>4.0599999999999996</v>
      </c>
      <c r="O368" t="s">
        <v>610</v>
      </c>
    </row>
    <row r="369" spans="1:15" ht="17" customHeight="1" x14ac:dyDescent="0.35">
      <c r="A369">
        <v>2024</v>
      </c>
      <c r="B369">
        <v>13</v>
      </c>
      <c r="C369" t="s">
        <v>417</v>
      </c>
      <c r="D369">
        <v>0</v>
      </c>
      <c r="E369">
        <v>3.5</v>
      </c>
      <c r="F369">
        <v>1</v>
      </c>
      <c r="G369">
        <v>0</v>
      </c>
      <c r="H369">
        <v>1</v>
      </c>
      <c r="I369">
        <v>1</v>
      </c>
      <c r="J369">
        <v>2</v>
      </c>
      <c r="K369">
        <v>0</v>
      </c>
      <c r="L369">
        <v>0</v>
      </c>
      <c r="M369">
        <v>0</v>
      </c>
      <c r="N369">
        <v>4.0599999999999996</v>
      </c>
      <c r="O369" t="s">
        <v>611</v>
      </c>
    </row>
    <row r="370" spans="1:15" ht="17" customHeight="1" x14ac:dyDescent="0.35">
      <c r="A370">
        <v>2024</v>
      </c>
      <c r="B370">
        <v>91</v>
      </c>
      <c r="C370" t="s">
        <v>415</v>
      </c>
      <c r="D370">
        <v>0</v>
      </c>
      <c r="E370">
        <v>3.5</v>
      </c>
      <c r="F370">
        <v>0</v>
      </c>
      <c r="G370">
        <v>0</v>
      </c>
      <c r="H370">
        <v>1</v>
      </c>
      <c r="I370">
        <v>0</v>
      </c>
      <c r="J370">
        <v>0</v>
      </c>
      <c r="K370">
        <v>0</v>
      </c>
      <c r="L370">
        <v>1</v>
      </c>
      <c r="M370">
        <v>0</v>
      </c>
      <c r="N370">
        <v>4.0599999999999996</v>
      </c>
      <c r="O370" t="s">
        <v>612</v>
      </c>
    </row>
    <row r="371" spans="1:15" ht="17" customHeight="1" x14ac:dyDescent="0.35">
      <c r="A371">
        <v>2024</v>
      </c>
      <c r="B371">
        <v>91</v>
      </c>
      <c r="C371" t="s">
        <v>416</v>
      </c>
      <c r="D371">
        <v>0</v>
      </c>
      <c r="E371">
        <v>8</v>
      </c>
      <c r="F371">
        <v>0</v>
      </c>
      <c r="G371">
        <v>0</v>
      </c>
      <c r="H371">
        <v>0</v>
      </c>
      <c r="I371">
        <v>0</v>
      </c>
      <c r="J371">
        <v>1</v>
      </c>
      <c r="K371">
        <v>0</v>
      </c>
      <c r="L371">
        <v>0</v>
      </c>
      <c r="M371">
        <v>1</v>
      </c>
      <c r="N371">
        <v>4.0599999999999996</v>
      </c>
      <c r="O371" t="s">
        <v>613</v>
      </c>
    </row>
    <row r="372" spans="1:15" ht="17" customHeight="1" x14ac:dyDescent="0.35">
      <c r="A372">
        <v>2024</v>
      </c>
      <c r="B372">
        <v>91</v>
      </c>
      <c r="C372" t="s">
        <v>275</v>
      </c>
      <c r="D372">
        <v>0</v>
      </c>
      <c r="E372">
        <v>15.5</v>
      </c>
      <c r="F372">
        <v>1</v>
      </c>
      <c r="G372">
        <v>0</v>
      </c>
      <c r="H372">
        <v>0</v>
      </c>
      <c r="I372">
        <v>3</v>
      </c>
      <c r="J372">
        <v>1</v>
      </c>
      <c r="K372">
        <v>2</v>
      </c>
      <c r="L372">
        <v>1</v>
      </c>
      <c r="M372">
        <v>0</v>
      </c>
      <c r="N372">
        <v>4.0599999999999996</v>
      </c>
      <c r="O372" t="s">
        <v>614</v>
      </c>
    </row>
    <row r="373" spans="1:15" ht="17" customHeight="1" x14ac:dyDescent="0.35">
      <c r="A373">
        <v>2024</v>
      </c>
      <c r="B373">
        <v>91</v>
      </c>
      <c r="C373" t="s">
        <v>417</v>
      </c>
      <c r="D373">
        <v>0</v>
      </c>
      <c r="E373">
        <v>8</v>
      </c>
      <c r="F373">
        <v>0</v>
      </c>
      <c r="G373">
        <v>0</v>
      </c>
      <c r="H373">
        <v>0</v>
      </c>
      <c r="I373">
        <v>0</v>
      </c>
      <c r="J373">
        <v>0</v>
      </c>
      <c r="K373">
        <v>0</v>
      </c>
      <c r="L373">
        <v>0</v>
      </c>
      <c r="M373">
        <v>1</v>
      </c>
      <c r="N373">
        <v>4.0599999999999996</v>
      </c>
      <c r="O373" t="s">
        <v>615</v>
      </c>
    </row>
    <row r="374" spans="1:15" ht="17" customHeight="1" x14ac:dyDescent="0.35">
      <c r="A374">
        <v>2024</v>
      </c>
      <c r="B374">
        <v>22</v>
      </c>
      <c r="C374" t="s">
        <v>415</v>
      </c>
      <c r="D374">
        <v>0</v>
      </c>
      <c r="E374">
        <v>3.5</v>
      </c>
      <c r="F374">
        <v>0</v>
      </c>
      <c r="G374">
        <v>0</v>
      </c>
      <c r="H374">
        <v>0</v>
      </c>
      <c r="I374">
        <v>0</v>
      </c>
      <c r="J374">
        <v>1</v>
      </c>
      <c r="K374">
        <v>0</v>
      </c>
      <c r="L374">
        <v>0</v>
      </c>
      <c r="M374">
        <v>0</v>
      </c>
      <c r="N374">
        <v>4.0599999999999996</v>
      </c>
      <c r="O374" t="s">
        <v>616</v>
      </c>
    </row>
    <row r="375" spans="1:15" ht="17" customHeight="1" x14ac:dyDescent="0.35">
      <c r="A375">
        <v>2024</v>
      </c>
      <c r="B375">
        <v>22</v>
      </c>
      <c r="C375" t="s">
        <v>416</v>
      </c>
      <c r="D375">
        <v>0</v>
      </c>
      <c r="E375">
        <v>0</v>
      </c>
      <c r="F375">
        <v>0</v>
      </c>
      <c r="G375">
        <v>0</v>
      </c>
      <c r="H375">
        <v>0</v>
      </c>
      <c r="I375">
        <v>0</v>
      </c>
      <c r="J375">
        <v>0</v>
      </c>
      <c r="K375">
        <v>0</v>
      </c>
      <c r="L375">
        <v>0</v>
      </c>
      <c r="M375">
        <v>0</v>
      </c>
      <c r="N375">
        <v>4.0599999999999996</v>
      </c>
      <c r="O375" t="s">
        <v>617</v>
      </c>
    </row>
    <row r="376" spans="1:15" ht="17" customHeight="1" x14ac:dyDescent="0.35">
      <c r="A376">
        <v>2024</v>
      </c>
      <c r="B376">
        <v>22</v>
      </c>
      <c r="C376" t="s">
        <v>275</v>
      </c>
      <c r="D376">
        <v>0</v>
      </c>
      <c r="E376">
        <v>15.5</v>
      </c>
      <c r="F376">
        <v>0</v>
      </c>
      <c r="G376">
        <v>0</v>
      </c>
      <c r="H376">
        <v>0</v>
      </c>
      <c r="I376">
        <v>0</v>
      </c>
      <c r="J376">
        <v>1</v>
      </c>
      <c r="K376">
        <v>0</v>
      </c>
      <c r="L376">
        <v>0</v>
      </c>
      <c r="M376">
        <v>0</v>
      </c>
      <c r="N376">
        <v>4.0599999999999996</v>
      </c>
      <c r="O376" t="s">
        <v>618</v>
      </c>
    </row>
    <row r="377" spans="1:15" ht="17" customHeight="1" x14ac:dyDescent="0.35">
      <c r="A377">
        <v>2024</v>
      </c>
      <c r="B377">
        <v>22</v>
      </c>
      <c r="C377" t="s">
        <v>417</v>
      </c>
      <c r="D377">
        <v>0</v>
      </c>
      <c r="E377">
        <v>0</v>
      </c>
      <c r="F377">
        <v>0</v>
      </c>
      <c r="G377">
        <v>0</v>
      </c>
      <c r="H377">
        <v>0</v>
      </c>
      <c r="I377">
        <v>0</v>
      </c>
      <c r="J377">
        <v>0</v>
      </c>
      <c r="K377">
        <v>0</v>
      </c>
      <c r="L377">
        <v>0</v>
      </c>
      <c r="M377">
        <v>0</v>
      </c>
      <c r="N377">
        <v>4.0599999999999996</v>
      </c>
      <c r="O377" t="s">
        <v>619</v>
      </c>
    </row>
    <row r="378" spans="1:15" ht="17" customHeight="1" x14ac:dyDescent="0.35">
      <c r="A378">
        <v>2024</v>
      </c>
      <c r="B378">
        <v>17</v>
      </c>
      <c r="C378" t="s">
        <v>415</v>
      </c>
      <c r="D378">
        <v>0</v>
      </c>
      <c r="E378">
        <v>3.5</v>
      </c>
      <c r="F378">
        <v>0</v>
      </c>
      <c r="G378">
        <v>0</v>
      </c>
      <c r="H378">
        <v>0</v>
      </c>
      <c r="I378">
        <v>0</v>
      </c>
      <c r="J378">
        <v>1</v>
      </c>
      <c r="K378">
        <v>1</v>
      </c>
      <c r="L378">
        <v>0</v>
      </c>
      <c r="M378">
        <v>0</v>
      </c>
      <c r="N378">
        <v>4.0599999999999996</v>
      </c>
      <c r="O378" t="s">
        <v>434</v>
      </c>
    </row>
    <row r="379" spans="1:15" ht="17" customHeight="1" x14ac:dyDescent="0.35">
      <c r="A379">
        <v>2024</v>
      </c>
      <c r="B379">
        <v>17</v>
      </c>
      <c r="C379" t="s">
        <v>416</v>
      </c>
      <c r="D379">
        <v>0</v>
      </c>
      <c r="E379">
        <v>0.5</v>
      </c>
      <c r="F379">
        <v>0</v>
      </c>
      <c r="G379">
        <v>0</v>
      </c>
      <c r="H379">
        <v>0</v>
      </c>
      <c r="I379">
        <v>1</v>
      </c>
      <c r="J379">
        <v>0</v>
      </c>
      <c r="K379">
        <v>0</v>
      </c>
      <c r="L379">
        <v>0</v>
      </c>
      <c r="M379">
        <v>0</v>
      </c>
      <c r="N379">
        <v>4.0599999999999996</v>
      </c>
      <c r="O379" t="s">
        <v>620</v>
      </c>
    </row>
    <row r="380" spans="1:15" ht="17" customHeight="1" x14ac:dyDescent="0.35">
      <c r="A380">
        <v>2024</v>
      </c>
      <c r="B380">
        <v>17</v>
      </c>
      <c r="C380" t="s">
        <v>275</v>
      </c>
      <c r="D380">
        <v>0</v>
      </c>
      <c r="E380">
        <v>8</v>
      </c>
      <c r="F380">
        <v>0</v>
      </c>
      <c r="G380">
        <v>0</v>
      </c>
      <c r="H380">
        <v>0</v>
      </c>
      <c r="I380">
        <v>0</v>
      </c>
      <c r="J380">
        <v>0</v>
      </c>
      <c r="K380">
        <v>0</v>
      </c>
      <c r="L380">
        <v>0</v>
      </c>
      <c r="M380">
        <v>2</v>
      </c>
      <c r="N380">
        <v>4.0599999999999996</v>
      </c>
      <c r="O380" t="s">
        <v>621</v>
      </c>
    </row>
    <row r="381" spans="1:15" ht="17" customHeight="1" x14ac:dyDescent="0.35">
      <c r="A381">
        <v>2024</v>
      </c>
      <c r="B381">
        <v>17</v>
      </c>
      <c r="C381" t="s">
        <v>417</v>
      </c>
      <c r="D381">
        <v>0</v>
      </c>
      <c r="E381">
        <v>0</v>
      </c>
      <c r="F381">
        <v>0</v>
      </c>
      <c r="G381">
        <v>0</v>
      </c>
      <c r="H381">
        <v>0</v>
      </c>
      <c r="I381">
        <v>0</v>
      </c>
      <c r="J381">
        <v>0</v>
      </c>
      <c r="K381">
        <v>0</v>
      </c>
      <c r="L381">
        <v>0</v>
      </c>
      <c r="M381">
        <v>0</v>
      </c>
      <c r="N381">
        <v>4.0599999999999996</v>
      </c>
      <c r="O381" t="s">
        <v>622</v>
      </c>
    </row>
    <row r="382" spans="1:15" ht="17" customHeight="1" x14ac:dyDescent="0.35">
      <c r="A382">
        <v>2024</v>
      </c>
      <c r="B382">
        <v>64</v>
      </c>
      <c r="C382" t="s">
        <v>415</v>
      </c>
      <c r="D382">
        <v>0</v>
      </c>
      <c r="E382">
        <v>3.5</v>
      </c>
      <c r="F382">
        <v>0</v>
      </c>
      <c r="G382">
        <v>0</v>
      </c>
      <c r="H382">
        <v>0</v>
      </c>
      <c r="I382">
        <v>0</v>
      </c>
      <c r="J382">
        <v>0</v>
      </c>
      <c r="K382">
        <v>0</v>
      </c>
      <c r="L382">
        <v>1</v>
      </c>
      <c r="M382">
        <v>0</v>
      </c>
      <c r="N382">
        <v>4.0599999999999996</v>
      </c>
      <c r="O382" t="s">
        <v>623</v>
      </c>
    </row>
    <row r="383" spans="1:15" ht="17" customHeight="1" x14ac:dyDescent="0.35">
      <c r="A383">
        <v>2024</v>
      </c>
      <c r="B383">
        <v>64</v>
      </c>
      <c r="C383" t="s">
        <v>416</v>
      </c>
      <c r="D383">
        <v>0</v>
      </c>
      <c r="E383">
        <v>35.5</v>
      </c>
      <c r="F383">
        <v>1</v>
      </c>
      <c r="G383">
        <v>0</v>
      </c>
      <c r="H383">
        <v>0</v>
      </c>
      <c r="I383">
        <v>1</v>
      </c>
      <c r="J383">
        <v>1</v>
      </c>
      <c r="K383">
        <v>4</v>
      </c>
      <c r="L383">
        <v>0</v>
      </c>
      <c r="M383">
        <v>0</v>
      </c>
      <c r="N383">
        <v>4.0599999999999996</v>
      </c>
      <c r="O383" t="s">
        <v>560</v>
      </c>
    </row>
    <row r="384" spans="1:15" ht="17" customHeight="1" x14ac:dyDescent="0.35">
      <c r="A384">
        <v>2024</v>
      </c>
      <c r="B384">
        <v>64</v>
      </c>
      <c r="C384" t="s">
        <v>275</v>
      </c>
      <c r="D384">
        <v>0</v>
      </c>
      <c r="E384">
        <v>15.5</v>
      </c>
      <c r="F384">
        <v>0</v>
      </c>
      <c r="G384">
        <v>3</v>
      </c>
      <c r="H384">
        <v>3</v>
      </c>
      <c r="I384">
        <v>0</v>
      </c>
      <c r="J384">
        <v>1</v>
      </c>
      <c r="K384">
        <v>1</v>
      </c>
      <c r="L384">
        <v>2</v>
      </c>
      <c r="M384">
        <v>0</v>
      </c>
      <c r="N384">
        <v>4.0599999999999996</v>
      </c>
      <c r="O384" t="s">
        <v>624</v>
      </c>
    </row>
    <row r="385" spans="1:15" ht="17" customHeight="1" x14ac:dyDescent="0.35">
      <c r="A385">
        <v>2024</v>
      </c>
      <c r="B385">
        <v>64</v>
      </c>
      <c r="C385" t="s">
        <v>417</v>
      </c>
      <c r="D385">
        <v>0</v>
      </c>
      <c r="E385">
        <v>25.5</v>
      </c>
      <c r="F385">
        <v>1</v>
      </c>
      <c r="G385">
        <v>0</v>
      </c>
      <c r="H385">
        <v>0</v>
      </c>
      <c r="I385">
        <v>0</v>
      </c>
      <c r="J385">
        <v>3</v>
      </c>
      <c r="K385">
        <v>1</v>
      </c>
      <c r="L385">
        <v>1</v>
      </c>
      <c r="M385">
        <v>0</v>
      </c>
      <c r="N385">
        <v>4.0599999999999996</v>
      </c>
      <c r="O385" t="s">
        <v>625</v>
      </c>
    </row>
    <row r="386" spans="1:15" ht="17" customHeight="1" x14ac:dyDescent="0.35">
      <c r="A386">
        <v>2024</v>
      </c>
      <c r="B386">
        <v>65</v>
      </c>
      <c r="C386" t="s">
        <v>415</v>
      </c>
      <c r="D386">
        <v>0</v>
      </c>
      <c r="E386">
        <v>0.5</v>
      </c>
      <c r="F386">
        <v>0</v>
      </c>
      <c r="G386">
        <v>0</v>
      </c>
      <c r="H386">
        <v>0</v>
      </c>
      <c r="I386">
        <v>0</v>
      </c>
      <c r="J386">
        <v>1</v>
      </c>
      <c r="K386">
        <v>0</v>
      </c>
      <c r="L386">
        <v>0</v>
      </c>
      <c r="M386">
        <v>0</v>
      </c>
      <c r="N386">
        <v>4.0599999999999996</v>
      </c>
      <c r="O386" t="s">
        <v>626</v>
      </c>
    </row>
    <row r="387" spans="1:15" ht="17" customHeight="1" x14ac:dyDescent="0.35">
      <c r="A387">
        <v>2024</v>
      </c>
      <c r="B387">
        <v>65</v>
      </c>
      <c r="C387" t="s">
        <v>416</v>
      </c>
      <c r="D387">
        <v>0</v>
      </c>
      <c r="E387">
        <v>8</v>
      </c>
      <c r="F387">
        <v>0</v>
      </c>
      <c r="G387">
        <v>2</v>
      </c>
      <c r="H387">
        <v>0</v>
      </c>
      <c r="I387">
        <v>0</v>
      </c>
      <c r="J387">
        <v>0</v>
      </c>
      <c r="K387">
        <v>1</v>
      </c>
      <c r="L387">
        <v>1</v>
      </c>
      <c r="M387">
        <v>0</v>
      </c>
      <c r="N387">
        <v>4.0599999999999996</v>
      </c>
      <c r="O387" t="s">
        <v>627</v>
      </c>
    </row>
    <row r="388" spans="1:15" ht="17" customHeight="1" x14ac:dyDescent="0.35">
      <c r="A388">
        <v>2024</v>
      </c>
      <c r="B388">
        <v>65</v>
      </c>
      <c r="C388" t="s">
        <v>275</v>
      </c>
      <c r="D388">
        <v>0</v>
      </c>
      <c r="E388">
        <v>3.5</v>
      </c>
      <c r="F388">
        <v>0</v>
      </c>
      <c r="G388">
        <v>0</v>
      </c>
      <c r="H388">
        <v>4</v>
      </c>
      <c r="I388">
        <v>0</v>
      </c>
      <c r="J388">
        <v>0</v>
      </c>
      <c r="K388">
        <v>0</v>
      </c>
      <c r="L388">
        <v>0</v>
      </c>
      <c r="M388">
        <v>0</v>
      </c>
      <c r="N388">
        <v>4.0599999999999996</v>
      </c>
      <c r="O388" t="s">
        <v>434</v>
      </c>
    </row>
    <row r="389" spans="1:15" ht="17" customHeight="1" x14ac:dyDescent="0.35">
      <c r="A389">
        <v>2024</v>
      </c>
      <c r="B389">
        <v>65</v>
      </c>
      <c r="C389" t="s">
        <v>417</v>
      </c>
      <c r="D389">
        <v>0</v>
      </c>
      <c r="E389">
        <v>3.5</v>
      </c>
      <c r="F389">
        <v>0</v>
      </c>
      <c r="G389">
        <v>0</v>
      </c>
      <c r="H389">
        <v>0</v>
      </c>
      <c r="I389">
        <v>0</v>
      </c>
      <c r="J389">
        <v>0</v>
      </c>
      <c r="K389">
        <v>0</v>
      </c>
      <c r="L389">
        <v>1</v>
      </c>
      <c r="M389">
        <v>0</v>
      </c>
      <c r="N389">
        <v>4.0599999999999996</v>
      </c>
      <c r="O389" t="s">
        <v>628</v>
      </c>
    </row>
    <row r="390" spans="1:15" ht="17" customHeight="1" x14ac:dyDescent="0.35">
      <c r="A390">
        <v>2024</v>
      </c>
      <c r="B390">
        <v>24</v>
      </c>
      <c r="C390" t="s">
        <v>415</v>
      </c>
      <c r="D390">
        <v>0</v>
      </c>
      <c r="E390">
        <v>0</v>
      </c>
      <c r="F390">
        <v>0</v>
      </c>
      <c r="G390">
        <v>0</v>
      </c>
      <c r="H390">
        <v>0</v>
      </c>
      <c r="I390">
        <v>0</v>
      </c>
      <c r="J390">
        <v>0</v>
      </c>
      <c r="K390">
        <v>0</v>
      </c>
      <c r="L390">
        <v>0</v>
      </c>
      <c r="M390">
        <v>0</v>
      </c>
      <c r="N390">
        <v>4.0599999999999996</v>
      </c>
      <c r="O390" t="s">
        <v>629</v>
      </c>
    </row>
    <row r="391" spans="1:15" ht="17" customHeight="1" x14ac:dyDescent="0.35">
      <c r="A391">
        <v>2024</v>
      </c>
      <c r="B391">
        <v>24</v>
      </c>
      <c r="C391" t="s">
        <v>416</v>
      </c>
      <c r="D391">
        <v>0</v>
      </c>
      <c r="E391">
        <v>0</v>
      </c>
      <c r="F391">
        <v>0</v>
      </c>
      <c r="G391">
        <v>0</v>
      </c>
      <c r="H391">
        <v>0</v>
      </c>
      <c r="I391">
        <v>0</v>
      </c>
      <c r="J391">
        <v>0</v>
      </c>
      <c r="K391">
        <v>0</v>
      </c>
      <c r="L391">
        <v>0</v>
      </c>
      <c r="M391">
        <v>0</v>
      </c>
      <c r="N391">
        <v>4.0599999999999996</v>
      </c>
      <c r="O391" t="s">
        <v>630</v>
      </c>
    </row>
    <row r="392" spans="1:15" ht="17" customHeight="1" x14ac:dyDescent="0.35">
      <c r="A392">
        <v>2024</v>
      </c>
      <c r="B392">
        <v>24</v>
      </c>
      <c r="C392" t="s">
        <v>275</v>
      </c>
      <c r="D392">
        <v>0</v>
      </c>
      <c r="E392">
        <v>0</v>
      </c>
      <c r="F392">
        <v>0</v>
      </c>
      <c r="G392">
        <v>0</v>
      </c>
      <c r="H392">
        <v>0</v>
      </c>
      <c r="I392">
        <v>0</v>
      </c>
      <c r="J392">
        <v>0</v>
      </c>
      <c r="K392">
        <v>0</v>
      </c>
      <c r="L392">
        <v>0</v>
      </c>
      <c r="M392">
        <v>0</v>
      </c>
      <c r="N392">
        <v>4.0599999999999996</v>
      </c>
      <c r="O392" t="s">
        <v>631</v>
      </c>
    </row>
    <row r="393" spans="1:15" ht="17" customHeight="1" x14ac:dyDescent="0.35">
      <c r="A393">
        <v>2024</v>
      </c>
      <c r="B393">
        <v>24</v>
      </c>
      <c r="C393" t="s">
        <v>417</v>
      </c>
      <c r="D393">
        <v>0</v>
      </c>
      <c r="E393">
        <v>0</v>
      </c>
      <c r="F393">
        <v>0</v>
      </c>
      <c r="G393">
        <v>0</v>
      </c>
      <c r="H393">
        <v>0</v>
      </c>
      <c r="I393">
        <v>0</v>
      </c>
      <c r="J393">
        <v>0</v>
      </c>
      <c r="K393">
        <v>0</v>
      </c>
      <c r="L393">
        <v>0</v>
      </c>
      <c r="M393">
        <v>0</v>
      </c>
      <c r="N393">
        <v>4.0599999999999996</v>
      </c>
      <c r="O393" t="s">
        <v>631</v>
      </c>
    </row>
    <row r="394" spans="1:15" ht="17" customHeight="1" x14ac:dyDescent="0.35">
      <c r="A394">
        <v>2024</v>
      </c>
      <c r="B394">
        <v>102</v>
      </c>
      <c r="C394" t="s">
        <v>415</v>
      </c>
      <c r="D394">
        <v>0</v>
      </c>
      <c r="E394">
        <v>75.5</v>
      </c>
      <c r="F394">
        <v>5</v>
      </c>
      <c r="G394">
        <v>4</v>
      </c>
      <c r="H394">
        <v>5</v>
      </c>
      <c r="I394">
        <v>3</v>
      </c>
      <c r="J394">
        <v>5</v>
      </c>
      <c r="K394">
        <v>3</v>
      </c>
      <c r="L394">
        <v>1</v>
      </c>
      <c r="M394">
        <v>4</v>
      </c>
      <c r="N394">
        <v>4.0599999999999996</v>
      </c>
      <c r="O394" t="s">
        <v>632</v>
      </c>
    </row>
    <row r="395" spans="1:15" ht="17" customHeight="1" x14ac:dyDescent="0.35">
      <c r="A395">
        <v>2024</v>
      </c>
      <c r="B395">
        <v>102</v>
      </c>
      <c r="C395" t="s">
        <v>416</v>
      </c>
      <c r="D395">
        <v>0</v>
      </c>
      <c r="E395">
        <v>25.5</v>
      </c>
      <c r="F395">
        <v>1</v>
      </c>
      <c r="G395">
        <v>4</v>
      </c>
      <c r="H395">
        <v>2</v>
      </c>
      <c r="I395">
        <v>2</v>
      </c>
      <c r="J395">
        <v>6</v>
      </c>
      <c r="K395">
        <v>2</v>
      </c>
      <c r="L395">
        <v>5</v>
      </c>
      <c r="M395">
        <v>0</v>
      </c>
      <c r="N395">
        <v>4.0599999999999996</v>
      </c>
      <c r="O395" t="s">
        <v>633</v>
      </c>
    </row>
    <row r="396" spans="1:15" ht="17" customHeight="1" x14ac:dyDescent="0.35">
      <c r="A396">
        <v>2024</v>
      </c>
      <c r="B396">
        <v>102</v>
      </c>
      <c r="C396" t="s">
        <v>275</v>
      </c>
      <c r="D396">
        <v>0</v>
      </c>
      <c r="E396">
        <v>55.5</v>
      </c>
      <c r="F396">
        <v>2</v>
      </c>
      <c r="G396">
        <v>3</v>
      </c>
      <c r="H396">
        <v>0</v>
      </c>
      <c r="I396">
        <v>4</v>
      </c>
      <c r="J396">
        <v>4</v>
      </c>
      <c r="K396">
        <v>6</v>
      </c>
      <c r="L396">
        <v>2</v>
      </c>
      <c r="M396">
        <v>5</v>
      </c>
      <c r="N396">
        <v>4.0599999999999996</v>
      </c>
    </row>
    <row r="397" spans="1:15" ht="17" customHeight="1" x14ac:dyDescent="0.35">
      <c r="A397">
        <v>2024</v>
      </c>
      <c r="B397">
        <v>102</v>
      </c>
      <c r="C397" t="s">
        <v>417</v>
      </c>
      <c r="D397">
        <v>0</v>
      </c>
      <c r="E397">
        <v>8</v>
      </c>
      <c r="F397">
        <v>2</v>
      </c>
      <c r="G397">
        <v>3</v>
      </c>
      <c r="H397">
        <v>2</v>
      </c>
      <c r="I397">
        <v>5</v>
      </c>
      <c r="J397">
        <v>1</v>
      </c>
      <c r="K397">
        <v>2</v>
      </c>
      <c r="L397">
        <v>1</v>
      </c>
      <c r="M397">
        <v>0</v>
      </c>
      <c r="N397">
        <v>4.0599999999999996</v>
      </c>
      <c r="O397" t="s">
        <v>634</v>
      </c>
    </row>
    <row r="398" spans="1:15" x14ac:dyDescent="0.35">
      <c r="A398">
        <v>2025</v>
      </c>
      <c r="B398">
        <v>92</v>
      </c>
      <c r="C398" t="s">
        <v>415</v>
      </c>
      <c r="D398">
        <v>0</v>
      </c>
      <c r="E398">
        <v>8</v>
      </c>
      <c r="F398">
        <v>1</v>
      </c>
      <c r="G398">
        <v>0</v>
      </c>
      <c r="H398">
        <v>1</v>
      </c>
      <c r="I398">
        <v>0</v>
      </c>
      <c r="J398">
        <v>0</v>
      </c>
      <c r="K398">
        <v>0</v>
      </c>
      <c r="L398">
        <v>2</v>
      </c>
      <c r="M398">
        <v>1</v>
      </c>
      <c r="N398">
        <v>4.0599999999999996</v>
      </c>
      <c r="O398" t="s">
        <v>1237</v>
      </c>
    </row>
    <row r="399" spans="1:15" x14ac:dyDescent="0.35">
      <c r="A399">
        <v>2025</v>
      </c>
      <c r="B399">
        <v>92</v>
      </c>
      <c r="C399" t="s">
        <v>416</v>
      </c>
      <c r="D399">
        <v>0</v>
      </c>
      <c r="E399">
        <v>3.5</v>
      </c>
      <c r="F399">
        <v>1</v>
      </c>
      <c r="G399">
        <v>0</v>
      </c>
      <c r="H399">
        <v>0</v>
      </c>
      <c r="I399">
        <v>0</v>
      </c>
      <c r="J399">
        <v>0</v>
      </c>
      <c r="K399">
        <v>1</v>
      </c>
      <c r="L399">
        <v>0</v>
      </c>
      <c r="M399">
        <v>2</v>
      </c>
      <c r="N399">
        <v>4.0599999999999996</v>
      </c>
    </row>
    <row r="400" spans="1:15" x14ac:dyDescent="0.35">
      <c r="A400">
        <v>2025</v>
      </c>
      <c r="B400">
        <v>92</v>
      </c>
      <c r="C400" t="s">
        <v>275</v>
      </c>
      <c r="D400">
        <v>0</v>
      </c>
      <c r="E400">
        <v>8</v>
      </c>
      <c r="F400">
        <v>0</v>
      </c>
      <c r="G400">
        <v>0</v>
      </c>
      <c r="H400">
        <v>0</v>
      </c>
      <c r="I400">
        <v>0</v>
      </c>
      <c r="J400">
        <v>1</v>
      </c>
      <c r="K400">
        <v>1</v>
      </c>
      <c r="L400">
        <v>0</v>
      </c>
      <c r="M400">
        <v>0</v>
      </c>
      <c r="N400">
        <v>4.0599999999999996</v>
      </c>
    </row>
    <row r="401" spans="1:15" x14ac:dyDescent="0.35">
      <c r="A401">
        <v>2025</v>
      </c>
      <c r="B401">
        <v>92</v>
      </c>
      <c r="C401" t="s">
        <v>417</v>
      </c>
      <c r="D401">
        <v>0</v>
      </c>
      <c r="E401">
        <v>8</v>
      </c>
      <c r="F401">
        <v>2</v>
      </c>
      <c r="G401">
        <v>0</v>
      </c>
      <c r="H401">
        <v>0</v>
      </c>
      <c r="I401">
        <v>0</v>
      </c>
      <c r="J401">
        <v>2</v>
      </c>
      <c r="K401">
        <v>2</v>
      </c>
      <c r="L401">
        <v>1</v>
      </c>
      <c r="M401">
        <v>2</v>
      </c>
      <c r="N401">
        <v>4.0599999999999996</v>
      </c>
    </row>
    <row r="402" spans="1:15" x14ac:dyDescent="0.35">
      <c r="A402">
        <v>2025</v>
      </c>
      <c r="B402">
        <v>93</v>
      </c>
      <c r="C402" t="s">
        <v>415</v>
      </c>
      <c r="D402">
        <v>0</v>
      </c>
      <c r="E402">
        <v>3.5</v>
      </c>
      <c r="F402">
        <v>1</v>
      </c>
      <c r="G402">
        <v>3</v>
      </c>
      <c r="H402">
        <v>0</v>
      </c>
      <c r="I402">
        <v>0</v>
      </c>
      <c r="J402">
        <v>1</v>
      </c>
      <c r="K402">
        <v>0</v>
      </c>
      <c r="L402">
        <v>0</v>
      </c>
      <c r="M402">
        <v>1</v>
      </c>
      <c r="N402">
        <v>4.0599999999999996</v>
      </c>
    </row>
    <row r="403" spans="1:15" x14ac:dyDescent="0.35">
      <c r="A403">
        <v>2025</v>
      </c>
      <c r="B403">
        <v>93</v>
      </c>
      <c r="C403" t="s">
        <v>416</v>
      </c>
      <c r="D403">
        <v>0</v>
      </c>
      <c r="E403">
        <v>3.5</v>
      </c>
      <c r="F403">
        <v>0</v>
      </c>
      <c r="G403">
        <v>0</v>
      </c>
      <c r="H403">
        <v>1</v>
      </c>
      <c r="I403">
        <v>0</v>
      </c>
      <c r="J403">
        <v>1</v>
      </c>
      <c r="K403">
        <v>0</v>
      </c>
      <c r="L403">
        <v>0</v>
      </c>
      <c r="M403">
        <v>0</v>
      </c>
      <c r="N403">
        <v>4.0599999999999996</v>
      </c>
      <c r="O403" t="s">
        <v>1238</v>
      </c>
    </row>
    <row r="404" spans="1:15" x14ac:dyDescent="0.35">
      <c r="A404">
        <v>2025</v>
      </c>
      <c r="B404">
        <v>93</v>
      </c>
      <c r="C404" t="s">
        <v>275</v>
      </c>
      <c r="D404">
        <v>0</v>
      </c>
      <c r="E404">
        <v>15.5</v>
      </c>
      <c r="F404">
        <v>0</v>
      </c>
      <c r="G404">
        <v>0</v>
      </c>
      <c r="H404">
        <v>0</v>
      </c>
      <c r="I404">
        <v>0</v>
      </c>
      <c r="J404">
        <v>2</v>
      </c>
      <c r="K404">
        <v>1</v>
      </c>
      <c r="L404">
        <v>0</v>
      </c>
      <c r="M404">
        <v>0</v>
      </c>
      <c r="N404">
        <v>4.0599999999999996</v>
      </c>
    </row>
    <row r="405" spans="1:15" x14ac:dyDescent="0.35">
      <c r="A405">
        <v>2025</v>
      </c>
      <c r="B405">
        <v>93</v>
      </c>
      <c r="C405" t="s">
        <v>417</v>
      </c>
      <c r="D405">
        <v>0</v>
      </c>
      <c r="E405">
        <v>3.5</v>
      </c>
      <c r="F405">
        <v>0</v>
      </c>
      <c r="G405">
        <v>0</v>
      </c>
      <c r="H405">
        <v>0</v>
      </c>
      <c r="I405">
        <v>0</v>
      </c>
      <c r="J405">
        <v>1</v>
      </c>
      <c r="K405">
        <v>0</v>
      </c>
      <c r="L405">
        <v>0</v>
      </c>
      <c r="M405">
        <v>0</v>
      </c>
      <c r="N405">
        <v>4.0599999999999996</v>
      </c>
      <c r="O405" t="s">
        <v>1239</v>
      </c>
    </row>
    <row r="406" spans="1:15" x14ac:dyDescent="0.35">
      <c r="A406">
        <v>2025</v>
      </c>
      <c r="B406">
        <v>4</v>
      </c>
      <c r="C406" t="s">
        <v>415</v>
      </c>
      <c r="D406">
        <v>0</v>
      </c>
      <c r="E406">
        <v>8</v>
      </c>
      <c r="F406">
        <v>0</v>
      </c>
      <c r="G406">
        <v>0</v>
      </c>
      <c r="H406">
        <v>0</v>
      </c>
      <c r="I406">
        <v>0</v>
      </c>
      <c r="J406">
        <v>3</v>
      </c>
      <c r="K406">
        <v>0</v>
      </c>
      <c r="L406">
        <v>1</v>
      </c>
      <c r="M406">
        <v>2</v>
      </c>
      <c r="N406">
        <v>4.0599999999999996</v>
      </c>
    </row>
    <row r="407" spans="1:15" x14ac:dyDescent="0.35">
      <c r="A407">
        <v>2025</v>
      </c>
      <c r="B407">
        <v>4</v>
      </c>
      <c r="C407" t="s">
        <v>416</v>
      </c>
      <c r="D407">
        <v>0</v>
      </c>
      <c r="E407">
        <v>1</v>
      </c>
      <c r="F407">
        <v>0</v>
      </c>
      <c r="G407">
        <v>0</v>
      </c>
      <c r="H407">
        <v>0</v>
      </c>
      <c r="I407">
        <v>0</v>
      </c>
      <c r="J407">
        <v>0</v>
      </c>
      <c r="K407">
        <v>0</v>
      </c>
      <c r="L407">
        <v>1</v>
      </c>
      <c r="M407">
        <v>0</v>
      </c>
      <c r="N407">
        <v>4.0599999999999996</v>
      </c>
    </row>
    <row r="408" spans="1:15" x14ac:dyDescent="0.35">
      <c r="A408">
        <v>2025</v>
      </c>
      <c r="B408">
        <v>4</v>
      </c>
      <c r="C408" t="s">
        <v>275</v>
      </c>
      <c r="D408">
        <v>0</v>
      </c>
      <c r="E408">
        <v>1</v>
      </c>
      <c r="F408">
        <v>0</v>
      </c>
      <c r="G408">
        <v>0</v>
      </c>
      <c r="H408">
        <v>0</v>
      </c>
      <c r="I408">
        <v>0</v>
      </c>
      <c r="J408">
        <v>0</v>
      </c>
      <c r="K408">
        <v>1</v>
      </c>
      <c r="L408">
        <v>0</v>
      </c>
      <c r="M408">
        <v>0</v>
      </c>
      <c r="N408">
        <v>4.0599999999999996</v>
      </c>
    </row>
    <row r="409" spans="1:15" x14ac:dyDescent="0.35">
      <c r="A409">
        <v>2025</v>
      </c>
      <c r="B409">
        <v>4</v>
      </c>
      <c r="C409" t="s">
        <v>417</v>
      </c>
      <c r="D409">
        <v>0</v>
      </c>
      <c r="E409">
        <v>3.5</v>
      </c>
      <c r="F409">
        <v>0</v>
      </c>
      <c r="G409">
        <v>0</v>
      </c>
      <c r="H409">
        <v>0</v>
      </c>
      <c r="I409">
        <v>0</v>
      </c>
      <c r="J409">
        <v>0</v>
      </c>
      <c r="K409">
        <v>0</v>
      </c>
      <c r="L409">
        <v>0</v>
      </c>
      <c r="M409">
        <v>1</v>
      </c>
      <c r="N409">
        <v>4.0599999999999996</v>
      </c>
    </row>
    <row r="410" spans="1:15" x14ac:dyDescent="0.35">
      <c r="A410">
        <v>2025</v>
      </c>
      <c r="B410">
        <v>6</v>
      </c>
      <c r="C410" t="s">
        <v>415</v>
      </c>
      <c r="D410">
        <v>0</v>
      </c>
      <c r="E410">
        <v>15.5</v>
      </c>
      <c r="F410">
        <v>0</v>
      </c>
      <c r="G410">
        <v>0</v>
      </c>
      <c r="H410">
        <v>0</v>
      </c>
      <c r="I410">
        <v>0</v>
      </c>
      <c r="J410">
        <v>0</v>
      </c>
      <c r="K410">
        <v>0</v>
      </c>
      <c r="L410">
        <v>3</v>
      </c>
      <c r="M410">
        <v>3</v>
      </c>
      <c r="N410">
        <v>4.0599999999999996</v>
      </c>
    </row>
    <row r="411" spans="1:15" x14ac:dyDescent="0.35">
      <c r="A411">
        <v>2025</v>
      </c>
      <c r="B411">
        <v>6</v>
      </c>
      <c r="C411" t="s">
        <v>416</v>
      </c>
      <c r="D411">
        <v>0</v>
      </c>
      <c r="E411">
        <v>0</v>
      </c>
      <c r="F411">
        <v>0</v>
      </c>
      <c r="G411">
        <v>0</v>
      </c>
      <c r="H411">
        <v>0</v>
      </c>
      <c r="I411">
        <v>0</v>
      </c>
      <c r="J411">
        <v>0</v>
      </c>
      <c r="K411">
        <v>0</v>
      </c>
      <c r="L411">
        <v>0</v>
      </c>
      <c r="M411">
        <v>0</v>
      </c>
      <c r="N411">
        <v>4.0599999999999996</v>
      </c>
    </row>
    <row r="412" spans="1:15" x14ac:dyDescent="0.35">
      <c r="A412">
        <v>2025</v>
      </c>
      <c r="B412">
        <v>6</v>
      </c>
      <c r="C412" t="s">
        <v>275</v>
      </c>
      <c r="D412">
        <v>0</v>
      </c>
      <c r="E412">
        <v>8</v>
      </c>
      <c r="F412">
        <v>0</v>
      </c>
      <c r="G412">
        <v>0</v>
      </c>
      <c r="H412">
        <v>0</v>
      </c>
      <c r="I412">
        <v>0</v>
      </c>
      <c r="J412">
        <v>2</v>
      </c>
      <c r="K412">
        <v>1</v>
      </c>
      <c r="L412">
        <v>0</v>
      </c>
      <c r="M412">
        <v>0</v>
      </c>
      <c r="N412">
        <v>4.0599999999999996</v>
      </c>
      <c r="O412" t="s">
        <v>1240</v>
      </c>
    </row>
    <row r="413" spans="1:15" x14ac:dyDescent="0.35">
      <c r="A413">
        <v>2025</v>
      </c>
      <c r="B413">
        <v>6</v>
      </c>
      <c r="C413" t="s">
        <v>417</v>
      </c>
      <c r="D413">
        <v>0</v>
      </c>
      <c r="E413">
        <v>0</v>
      </c>
      <c r="F413">
        <v>0</v>
      </c>
      <c r="G413">
        <v>0</v>
      </c>
      <c r="H413">
        <v>0</v>
      </c>
      <c r="I413">
        <v>0</v>
      </c>
      <c r="J413">
        <v>0</v>
      </c>
      <c r="K413">
        <v>0</v>
      </c>
      <c r="L413">
        <v>0</v>
      </c>
      <c r="M413">
        <v>0</v>
      </c>
      <c r="N413">
        <v>4.0599999999999996</v>
      </c>
      <c r="O413" t="s">
        <v>1240</v>
      </c>
    </row>
    <row r="414" spans="1:15" x14ac:dyDescent="0.35">
      <c r="A414">
        <v>2025</v>
      </c>
      <c r="B414">
        <v>94</v>
      </c>
      <c r="C414" t="s">
        <v>415</v>
      </c>
      <c r="D414">
        <v>0</v>
      </c>
      <c r="E414">
        <v>1</v>
      </c>
      <c r="F414">
        <v>0</v>
      </c>
      <c r="G414">
        <v>0</v>
      </c>
      <c r="H414">
        <v>0</v>
      </c>
      <c r="I414">
        <v>1</v>
      </c>
      <c r="J414">
        <v>0</v>
      </c>
      <c r="K414">
        <v>0</v>
      </c>
      <c r="L414">
        <v>0</v>
      </c>
      <c r="M414">
        <v>0</v>
      </c>
      <c r="N414">
        <v>4.0599999999999996</v>
      </c>
    </row>
    <row r="415" spans="1:15" x14ac:dyDescent="0.35">
      <c r="A415">
        <v>2025</v>
      </c>
      <c r="B415">
        <v>94</v>
      </c>
      <c r="C415" t="s">
        <v>416</v>
      </c>
      <c r="D415">
        <v>0</v>
      </c>
      <c r="E415">
        <v>55.5</v>
      </c>
      <c r="F415">
        <v>2</v>
      </c>
      <c r="G415">
        <v>2</v>
      </c>
      <c r="H415">
        <v>6</v>
      </c>
      <c r="I415">
        <v>0</v>
      </c>
      <c r="J415">
        <v>2</v>
      </c>
      <c r="K415">
        <v>1</v>
      </c>
      <c r="L415">
        <v>7</v>
      </c>
      <c r="M415">
        <v>5</v>
      </c>
      <c r="N415">
        <v>4.0599999999999996</v>
      </c>
    </row>
    <row r="416" spans="1:15" x14ac:dyDescent="0.35">
      <c r="A416">
        <v>2025</v>
      </c>
      <c r="B416">
        <v>94</v>
      </c>
      <c r="C416" t="s">
        <v>275</v>
      </c>
      <c r="D416">
        <v>0</v>
      </c>
      <c r="E416">
        <v>25.5</v>
      </c>
      <c r="F416">
        <v>3</v>
      </c>
      <c r="G416">
        <v>0</v>
      </c>
      <c r="H416">
        <v>1</v>
      </c>
      <c r="I416">
        <v>5</v>
      </c>
      <c r="J416">
        <v>2</v>
      </c>
      <c r="K416">
        <v>2</v>
      </c>
      <c r="L416">
        <v>1</v>
      </c>
      <c r="M416">
        <v>4</v>
      </c>
      <c r="N416">
        <v>4.0599999999999996</v>
      </c>
    </row>
    <row r="417" spans="1:15" x14ac:dyDescent="0.35">
      <c r="A417">
        <v>2025</v>
      </c>
      <c r="B417">
        <v>94</v>
      </c>
      <c r="C417" t="s">
        <v>417</v>
      </c>
      <c r="D417">
        <v>0</v>
      </c>
      <c r="E417">
        <v>15.5</v>
      </c>
      <c r="F417">
        <v>0</v>
      </c>
      <c r="G417">
        <v>0</v>
      </c>
      <c r="H417">
        <v>0</v>
      </c>
      <c r="I417">
        <v>2</v>
      </c>
      <c r="J417">
        <v>1</v>
      </c>
      <c r="K417">
        <v>1</v>
      </c>
      <c r="L417">
        <v>4</v>
      </c>
      <c r="M417">
        <v>0</v>
      </c>
      <c r="N417">
        <v>4.0599999999999996</v>
      </c>
    </row>
    <row r="418" spans="1:15" x14ac:dyDescent="0.35">
      <c r="A418">
        <v>2025</v>
      </c>
      <c r="B418">
        <v>95</v>
      </c>
      <c r="C418" t="s">
        <v>415</v>
      </c>
      <c r="D418">
        <v>0</v>
      </c>
      <c r="E418">
        <v>65.5</v>
      </c>
      <c r="F418">
        <v>1</v>
      </c>
      <c r="G418">
        <v>6</v>
      </c>
      <c r="H418">
        <v>10</v>
      </c>
      <c r="I418">
        <v>2</v>
      </c>
      <c r="J418">
        <v>5</v>
      </c>
      <c r="K418">
        <v>1</v>
      </c>
      <c r="L418">
        <v>6</v>
      </c>
      <c r="M418">
        <v>3</v>
      </c>
      <c r="N418">
        <v>4.0599999999999996</v>
      </c>
    </row>
    <row r="419" spans="1:15" x14ac:dyDescent="0.35">
      <c r="A419">
        <v>2025</v>
      </c>
      <c r="B419">
        <v>95</v>
      </c>
      <c r="C419" t="s">
        <v>416</v>
      </c>
      <c r="D419">
        <v>0</v>
      </c>
      <c r="E419">
        <v>8</v>
      </c>
      <c r="F419">
        <v>5</v>
      </c>
      <c r="G419">
        <v>2</v>
      </c>
      <c r="H419">
        <v>0</v>
      </c>
      <c r="I419">
        <v>5</v>
      </c>
      <c r="J419">
        <v>3</v>
      </c>
      <c r="K419">
        <v>0</v>
      </c>
      <c r="L419">
        <v>0</v>
      </c>
      <c r="M419">
        <v>1</v>
      </c>
      <c r="N419">
        <v>4.0599999999999996</v>
      </c>
    </row>
    <row r="420" spans="1:15" x14ac:dyDescent="0.35">
      <c r="A420">
        <v>2025</v>
      </c>
      <c r="B420">
        <v>95</v>
      </c>
      <c r="C420" t="s">
        <v>275</v>
      </c>
      <c r="D420">
        <v>0</v>
      </c>
      <c r="E420">
        <v>15.5</v>
      </c>
      <c r="F420">
        <v>0</v>
      </c>
      <c r="G420">
        <v>0</v>
      </c>
      <c r="H420">
        <v>0</v>
      </c>
      <c r="I420">
        <v>0</v>
      </c>
      <c r="J420">
        <v>1</v>
      </c>
      <c r="K420">
        <v>3</v>
      </c>
      <c r="L420">
        <v>1</v>
      </c>
      <c r="M420">
        <v>2</v>
      </c>
      <c r="N420">
        <v>4.0599999999999996</v>
      </c>
    </row>
    <row r="421" spans="1:15" x14ac:dyDescent="0.35">
      <c r="A421">
        <v>2025</v>
      </c>
      <c r="B421">
        <v>95</v>
      </c>
      <c r="C421" t="s">
        <v>417</v>
      </c>
      <c r="D421">
        <v>0</v>
      </c>
      <c r="E421">
        <v>15.5</v>
      </c>
      <c r="F421">
        <v>2</v>
      </c>
      <c r="G421">
        <v>0</v>
      </c>
      <c r="H421">
        <v>1</v>
      </c>
      <c r="I421">
        <v>0</v>
      </c>
      <c r="J421">
        <v>2</v>
      </c>
      <c r="K421">
        <v>2</v>
      </c>
      <c r="L421">
        <v>3</v>
      </c>
      <c r="M421">
        <v>1</v>
      </c>
      <c r="N421">
        <v>4.0599999999999996</v>
      </c>
    </row>
    <row r="422" spans="1:15" x14ac:dyDescent="0.35">
      <c r="A422">
        <v>2025</v>
      </c>
      <c r="B422" s="11">
        <v>106</v>
      </c>
      <c r="C422" s="11" t="s">
        <v>415</v>
      </c>
      <c r="D422" s="11">
        <v>0</v>
      </c>
      <c r="E422" s="11">
        <v>15.5</v>
      </c>
      <c r="F422" s="11">
        <v>0</v>
      </c>
      <c r="G422" s="11">
        <v>0</v>
      </c>
      <c r="H422" s="11">
        <v>0</v>
      </c>
      <c r="I422" s="11">
        <v>0</v>
      </c>
      <c r="J422" s="11">
        <v>5</v>
      </c>
      <c r="K422" s="11">
        <v>2</v>
      </c>
      <c r="L422" s="11">
        <v>0</v>
      </c>
      <c r="M422" s="11">
        <v>1</v>
      </c>
      <c r="N422" s="11">
        <v>4.0599999999999996</v>
      </c>
      <c r="O422" s="11"/>
    </row>
    <row r="423" spans="1:15" x14ac:dyDescent="0.35">
      <c r="A423">
        <v>2025</v>
      </c>
      <c r="B423">
        <v>106</v>
      </c>
      <c r="C423" t="s">
        <v>416</v>
      </c>
      <c r="D423">
        <v>0</v>
      </c>
      <c r="E423">
        <v>0</v>
      </c>
      <c r="F423">
        <v>0</v>
      </c>
      <c r="G423">
        <v>0</v>
      </c>
      <c r="H423">
        <v>0</v>
      </c>
      <c r="I423">
        <v>0</v>
      </c>
      <c r="J423">
        <v>0</v>
      </c>
      <c r="K423">
        <v>0</v>
      </c>
      <c r="L423">
        <v>0</v>
      </c>
      <c r="M423">
        <v>0</v>
      </c>
      <c r="N423">
        <v>4.0599999999999996</v>
      </c>
    </row>
    <row r="424" spans="1:15" x14ac:dyDescent="0.35">
      <c r="A424">
        <v>2025</v>
      </c>
      <c r="B424">
        <v>106</v>
      </c>
      <c r="C424" t="s">
        <v>275</v>
      </c>
      <c r="D424">
        <v>0</v>
      </c>
      <c r="E424">
        <v>0</v>
      </c>
      <c r="F424">
        <v>0</v>
      </c>
      <c r="G424">
        <v>0</v>
      </c>
      <c r="H424">
        <v>0</v>
      </c>
      <c r="I424">
        <v>0</v>
      </c>
      <c r="J424">
        <v>0</v>
      </c>
      <c r="K424">
        <v>0</v>
      </c>
      <c r="L424">
        <v>0</v>
      </c>
      <c r="M424">
        <v>0</v>
      </c>
      <c r="N424">
        <v>4.0599999999999996</v>
      </c>
    </row>
    <row r="425" spans="1:15" x14ac:dyDescent="0.35">
      <c r="A425">
        <v>2025</v>
      </c>
      <c r="B425">
        <v>106</v>
      </c>
      <c r="C425" t="s">
        <v>417</v>
      </c>
      <c r="D425">
        <v>0</v>
      </c>
      <c r="E425">
        <v>0</v>
      </c>
      <c r="F425">
        <v>0</v>
      </c>
      <c r="G425">
        <v>0</v>
      </c>
      <c r="H425">
        <v>0</v>
      </c>
      <c r="I425">
        <v>0</v>
      </c>
      <c r="J425">
        <v>0</v>
      </c>
      <c r="K425">
        <v>0</v>
      </c>
      <c r="L425">
        <v>0</v>
      </c>
      <c r="M425">
        <v>0</v>
      </c>
      <c r="N425">
        <v>4.0599999999999996</v>
      </c>
    </row>
    <row r="426" spans="1:15" x14ac:dyDescent="0.35">
      <c r="A426">
        <v>2025</v>
      </c>
      <c r="B426">
        <v>107</v>
      </c>
      <c r="C426" t="s">
        <v>415</v>
      </c>
      <c r="D426">
        <v>0</v>
      </c>
      <c r="E426">
        <v>8</v>
      </c>
      <c r="F426">
        <v>0</v>
      </c>
      <c r="G426">
        <v>0</v>
      </c>
      <c r="H426">
        <v>0</v>
      </c>
      <c r="I426">
        <v>0</v>
      </c>
      <c r="J426">
        <v>0</v>
      </c>
      <c r="K426">
        <v>1</v>
      </c>
      <c r="L426">
        <v>1</v>
      </c>
      <c r="M426">
        <v>0</v>
      </c>
      <c r="N426">
        <v>4.0599999999999996</v>
      </c>
    </row>
    <row r="427" spans="1:15" x14ac:dyDescent="0.35">
      <c r="A427">
        <v>2025</v>
      </c>
      <c r="B427">
        <v>107</v>
      </c>
      <c r="C427" t="s">
        <v>416</v>
      </c>
      <c r="D427">
        <v>0</v>
      </c>
      <c r="E427">
        <v>0</v>
      </c>
      <c r="F427">
        <v>0</v>
      </c>
      <c r="G427">
        <v>0</v>
      </c>
      <c r="H427">
        <v>0</v>
      </c>
      <c r="I427">
        <v>0</v>
      </c>
      <c r="J427">
        <v>0</v>
      </c>
      <c r="K427">
        <v>0</v>
      </c>
      <c r="L427">
        <v>0</v>
      </c>
      <c r="M427">
        <v>0</v>
      </c>
      <c r="N427">
        <v>4.0599999999999996</v>
      </c>
    </row>
    <row r="428" spans="1:15" x14ac:dyDescent="0.35">
      <c r="A428">
        <v>2025</v>
      </c>
      <c r="B428">
        <v>107</v>
      </c>
      <c r="C428" t="s">
        <v>275</v>
      </c>
      <c r="D428">
        <v>0</v>
      </c>
      <c r="E428">
        <v>0</v>
      </c>
      <c r="F428">
        <v>0</v>
      </c>
      <c r="G428">
        <v>0</v>
      </c>
      <c r="H428">
        <v>0</v>
      </c>
      <c r="I428">
        <v>0</v>
      </c>
      <c r="J428">
        <v>0</v>
      </c>
      <c r="K428">
        <v>0</v>
      </c>
      <c r="L428">
        <v>0</v>
      </c>
      <c r="M428">
        <v>0</v>
      </c>
      <c r="N428">
        <v>4.0599999999999996</v>
      </c>
    </row>
    <row r="429" spans="1:15" x14ac:dyDescent="0.35">
      <c r="A429">
        <v>2025</v>
      </c>
      <c r="B429">
        <v>107</v>
      </c>
      <c r="C429" t="s">
        <v>417</v>
      </c>
      <c r="D429">
        <v>0</v>
      </c>
      <c r="E429">
        <v>0</v>
      </c>
      <c r="F429">
        <v>0</v>
      </c>
      <c r="G429">
        <v>0</v>
      </c>
      <c r="H429">
        <v>0</v>
      </c>
      <c r="I429">
        <v>0</v>
      </c>
      <c r="J429">
        <v>0</v>
      </c>
      <c r="K429">
        <v>0</v>
      </c>
      <c r="L429">
        <v>0</v>
      </c>
      <c r="M429">
        <v>0</v>
      </c>
      <c r="N429">
        <v>4.0599999999999996</v>
      </c>
    </row>
    <row r="430" spans="1:15" x14ac:dyDescent="0.35">
      <c r="A430">
        <v>2025</v>
      </c>
      <c r="B430">
        <v>1</v>
      </c>
      <c r="C430" t="s">
        <v>415</v>
      </c>
      <c r="D430">
        <v>0</v>
      </c>
      <c r="E430">
        <v>3.5</v>
      </c>
      <c r="F430">
        <v>0</v>
      </c>
      <c r="G430">
        <v>0</v>
      </c>
      <c r="H430">
        <v>1</v>
      </c>
      <c r="I430">
        <v>0</v>
      </c>
      <c r="J430">
        <v>1</v>
      </c>
      <c r="K430">
        <v>0</v>
      </c>
      <c r="L430">
        <v>1</v>
      </c>
      <c r="M430">
        <v>1</v>
      </c>
      <c r="N430">
        <v>4.0599999999999996</v>
      </c>
    </row>
    <row r="431" spans="1:15" x14ac:dyDescent="0.35">
      <c r="A431">
        <v>2025</v>
      </c>
      <c r="B431">
        <v>1</v>
      </c>
      <c r="C431" t="s">
        <v>416</v>
      </c>
      <c r="D431">
        <v>0</v>
      </c>
      <c r="E431">
        <v>8</v>
      </c>
      <c r="F431">
        <v>0</v>
      </c>
      <c r="G431">
        <v>1</v>
      </c>
      <c r="H431">
        <v>1</v>
      </c>
      <c r="I431">
        <v>0</v>
      </c>
      <c r="J431">
        <v>1</v>
      </c>
      <c r="K431">
        <v>2</v>
      </c>
      <c r="L431">
        <v>0</v>
      </c>
      <c r="M431">
        <v>3</v>
      </c>
      <c r="N431">
        <v>4.0599999999999996</v>
      </c>
    </row>
    <row r="432" spans="1:15" x14ac:dyDescent="0.35">
      <c r="A432">
        <v>2025</v>
      </c>
      <c r="B432">
        <v>1</v>
      </c>
      <c r="C432" t="s">
        <v>275</v>
      </c>
      <c r="D432">
        <v>0</v>
      </c>
      <c r="E432">
        <v>15.5</v>
      </c>
      <c r="F432">
        <v>0</v>
      </c>
      <c r="G432">
        <v>0</v>
      </c>
      <c r="H432">
        <v>1</v>
      </c>
      <c r="I432">
        <v>1</v>
      </c>
      <c r="J432">
        <v>3</v>
      </c>
      <c r="K432">
        <v>2</v>
      </c>
      <c r="L432">
        <v>2</v>
      </c>
      <c r="M432">
        <v>1</v>
      </c>
      <c r="N432">
        <v>4.0599999999999996</v>
      </c>
    </row>
    <row r="433" spans="1:15" x14ac:dyDescent="0.35">
      <c r="A433">
        <v>2025</v>
      </c>
      <c r="B433">
        <v>1</v>
      </c>
      <c r="C433" t="s">
        <v>417</v>
      </c>
      <c r="D433">
        <v>0</v>
      </c>
      <c r="E433">
        <v>8</v>
      </c>
      <c r="F433">
        <v>0</v>
      </c>
      <c r="G433">
        <v>0</v>
      </c>
      <c r="H433">
        <v>1</v>
      </c>
      <c r="I433">
        <v>0</v>
      </c>
      <c r="J433">
        <v>3</v>
      </c>
      <c r="K433">
        <v>1</v>
      </c>
      <c r="L433">
        <v>5</v>
      </c>
      <c r="M433">
        <v>0</v>
      </c>
      <c r="N433">
        <v>4.0599999999999996</v>
      </c>
    </row>
    <row r="434" spans="1:15" x14ac:dyDescent="0.35">
      <c r="A434">
        <v>2025</v>
      </c>
      <c r="B434">
        <v>2</v>
      </c>
      <c r="C434" t="s">
        <v>415</v>
      </c>
      <c r="D434">
        <v>0</v>
      </c>
      <c r="E434">
        <v>0</v>
      </c>
      <c r="F434">
        <v>0</v>
      </c>
      <c r="G434">
        <v>0</v>
      </c>
      <c r="H434">
        <v>0</v>
      </c>
      <c r="I434">
        <v>0</v>
      </c>
      <c r="J434">
        <v>0</v>
      </c>
      <c r="K434">
        <v>0</v>
      </c>
      <c r="L434">
        <v>0</v>
      </c>
      <c r="M434">
        <v>0</v>
      </c>
      <c r="N434">
        <v>4.0599999999999996</v>
      </c>
    </row>
    <row r="435" spans="1:15" x14ac:dyDescent="0.35">
      <c r="A435">
        <v>2025</v>
      </c>
      <c r="B435">
        <v>2</v>
      </c>
      <c r="C435" t="s">
        <v>416</v>
      </c>
      <c r="D435">
        <v>0</v>
      </c>
      <c r="E435">
        <v>0</v>
      </c>
      <c r="F435">
        <v>0</v>
      </c>
      <c r="G435">
        <v>0</v>
      </c>
      <c r="H435">
        <v>0</v>
      </c>
      <c r="I435">
        <v>0</v>
      </c>
      <c r="J435">
        <v>0</v>
      </c>
      <c r="K435">
        <v>0</v>
      </c>
      <c r="L435">
        <v>0</v>
      </c>
      <c r="M435">
        <v>0</v>
      </c>
      <c r="N435">
        <v>4.0599999999999996</v>
      </c>
    </row>
    <row r="436" spans="1:15" x14ac:dyDescent="0.35">
      <c r="A436">
        <v>2025</v>
      </c>
      <c r="B436">
        <v>2</v>
      </c>
      <c r="C436" t="s">
        <v>275</v>
      </c>
      <c r="D436">
        <v>0</v>
      </c>
      <c r="E436">
        <v>0</v>
      </c>
      <c r="F436">
        <v>0</v>
      </c>
      <c r="G436">
        <v>0</v>
      </c>
      <c r="H436">
        <v>0</v>
      </c>
      <c r="I436">
        <v>0</v>
      </c>
      <c r="J436">
        <v>0</v>
      </c>
      <c r="K436">
        <v>0</v>
      </c>
      <c r="L436">
        <v>0</v>
      </c>
      <c r="M436">
        <v>0</v>
      </c>
      <c r="N436">
        <v>4.0599999999999996</v>
      </c>
    </row>
    <row r="437" spans="1:15" x14ac:dyDescent="0.35">
      <c r="A437">
        <v>2025</v>
      </c>
      <c r="B437">
        <v>2</v>
      </c>
      <c r="C437" t="s">
        <v>417</v>
      </c>
      <c r="D437">
        <v>0</v>
      </c>
      <c r="E437">
        <v>0.5</v>
      </c>
      <c r="F437">
        <v>0</v>
      </c>
      <c r="G437">
        <v>0</v>
      </c>
      <c r="H437">
        <v>0</v>
      </c>
      <c r="I437">
        <v>1</v>
      </c>
      <c r="J437">
        <v>0</v>
      </c>
      <c r="K437">
        <v>0</v>
      </c>
      <c r="L437">
        <v>0</v>
      </c>
      <c r="M437">
        <v>0</v>
      </c>
      <c r="N437">
        <v>4.0599999999999996</v>
      </c>
    </row>
    <row r="438" spans="1:15" x14ac:dyDescent="0.35">
      <c r="A438">
        <v>2025</v>
      </c>
      <c r="B438">
        <v>3</v>
      </c>
      <c r="C438" t="s">
        <v>415</v>
      </c>
      <c r="D438">
        <v>0</v>
      </c>
      <c r="E438">
        <v>0</v>
      </c>
      <c r="F438">
        <v>0</v>
      </c>
      <c r="G438">
        <v>0</v>
      </c>
      <c r="H438">
        <v>0</v>
      </c>
      <c r="I438">
        <v>0</v>
      </c>
      <c r="J438">
        <v>0</v>
      </c>
      <c r="K438">
        <v>0</v>
      </c>
      <c r="L438">
        <v>0</v>
      </c>
      <c r="M438">
        <v>0</v>
      </c>
      <c r="N438">
        <v>4.0599999999999996</v>
      </c>
    </row>
    <row r="439" spans="1:15" x14ac:dyDescent="0.35">
      <c r="A439">
        <v>2025</v>
      </c>
      <c r="B439">
        <v>3</v>
      </c>
      <c r="C439" t="s">
        <v>416</v>
      </c>
      <c r="D439">
        <v>0</v>
      </c>
      <c r="E439">
        <v>0</v>
      </c>
      <c r="F439">
        <v>0</v>
      </c>
      <c r="G439">
        <v>0</v>
      </c>
      <c r="H439">
        <v>0</v>
      </c>
      <c r="I439">
        <v>0</v>
      </c>
      <c r="J439">
        <v>0</v>
      </c>
      <c r="K439">
        <v>0</v>
      </c>
      <c r="L439">
        <v>0</v>
      </c>
      <c r="M439">
        <v>0</v>
      </c>
      <c r="N439">
        <v>4.0599999999999996</v>
      </c>
    </row>
    <row r="440" spans="1:15" x14ac:dyDescent="0.35">
      <c r="A440">
        <v>2025</v>
      </c>
      <c r="B440">
        <v>3</v>
      </c>
      <c r="C440" t="s">
        <v>275</v>
      </c>
      <c r="D440">
        <v>0</v>
      </c>
      <c r="E440">
        <v>0</v>
      </c>
      <c r="F440">
        <v>0</v>
      </c>
      <c r="G440">
        <v>0</v>
      </c>
      <c r="H440">
        <v>0</v>
      </c>
      <c r="I440">
        <v>0</v>
      </c>
      <c r="J440">
        <v>0</v>
      </c>
      <c r="K440">
        <v>0</v>
      </c>
      <c r="L440">
        <v>0</v>
      </c>
      <c r="M440">
        <v>0</v>
      </c>
      <c r="N440">
        <v>4.0599999999999996</v>
      </c>
    </row>
    <row r="441" spans="1:15" x14ac:dyDescent="0.35">
      <c r="A441">
        <v>2025</v>
      </c>
      <c r="B441">
        <v>3</v>
      </c>
      <c r="C441" t="s">
        <v>417</v>
      </c>
      <c r="D441">
        <v>0</v>
      </c>
      <c r="E441">
        <v>0</v>
      </c>
      <c r="F441">
        <v>0</v>
      </c>
      <c r="G441">
        <v>0</v>
      </c>
      <c r="H441">
        <v>0</v>
      </c>
      <c r="I441">
        <v>0</v>
      </c>
      <c r="J441">
        <v>0</v>
      </c>
      <c r="K441">
        <v>0</v>
      </c>
      <c r="L441">
        <v>0</v>
      </c>
      <c r="M441">
        <v>0</v>
      </c>
      <c r="N441">
        <v>4.0599999999999996</v>
      </c>
    </row>
    <row r="442" spans="1:15" x14ac:dyDescent="0.35">
      <c r="A442">
        <v>2025</v>
      </c>
      <c r="B442" s="11">
        <v>96</v>
      </c>
      <c r="C442" s="11" t="s">
        <v>415</v>
      </c>
      <c r="D442" s="11">
        <v>0</v>
      </c>
      <c r="E442" s="11">
        <v>25.5</v>
      </c>
      <c r="F442" s="11">
        <v>1</v>
      </c>
      <c r="G442" s="11">
        <v>0</v>
      </c>
      <c r="H442" s="11">
        <v>2</v>
      </c>
      <c r="I442" s="11">
        <v>4</v>
      </c>
      <c r="J442" s="11">
        <v>4</v>
      </c>
      <c r="K442" s="11">
        <v>1</v>
      </c>
      <c r="L442" s="11">
        <v>5</v>
      </c>
      <c r="M442" s="11">
        <v>1</v>
      </c>
      <c r="N442">
        <v>4.0599999999999996</v>
      </c>
      <c r="O442" s="11"/>
    </row>
    <row r="443" spans="1:15" x14ac:dyDescent="0.35">
      <c r="A443">
        <v>2025</v>
      </c>
      <c r="B443">
        <v>96</v>
      </c>
      <c r="C443" t="s">
        <v>416</v>
      </c>
      <c r="D443">
        <v>0</v>
      </c>
      <c r="E443">
        <v>55.5</v>
      </c>
      <c r="F443">
        <v>5</v>
      </c>
      <c r="G443">
        <v>4</v>
      </c>
      <c r="H443">
        <v>4</v>
      </c>
      <c r="I443">
        <v>3</v>
      </c>
      <c r="J443">
        <v>2</v>
      </c>
      <c r="K443">
        <v>2</v>
      </c>
      <c r="L443">
        <v>6</v>
      </c>
      <c r="M443">
        <v>4</v>
      </c>
      <c r="N443">
        <v>4.0599999999999996</v>
      </c>
    </row>
    <row r="444" spans="1:15" x14ac:dyDescent="0.35">
      <c r="A444">
        <v>2025</v>
      </c>
      <c r="B444">
        <v>96</v>
      </c>
      <c r="C444" t="s">
        <v>275</v>
      </c>
      <c r="D444">
        <v>0</v>
      </c>
      <c r="E444">
        <v>15.5</v>
      </c>
      <c r="F444">
        <v>1</v>
      </c>
      <c r="G444">
        <v>0</v>
      </c>
      <c r="H444">
        <v>0</v>
      </c>
      <c r="I444">
        <v>1</v>
      </c>
      <c r="J444">
        <v>0</v>
      </c>
      <c r="K444">
        <v>1</v>
      </c>
      <c r="L444">
        <v>0</v>
      </c>
      <c r="M444">
        <v>3</v>
      </c>
      <c r="N444">
        <v>4.0599999999999996</v>
      </c>
    </row>
    <row r="445" spans="1:15" x14ac:dyDescent="0.35">
      <c r="A445">
        <v>2025</v>
      </c>
      <c r="B445">
        <v>96</v>
      </c>
      <c r="C445" t="s">
        <v>417</v>
      </c>
      <c r="D445">
        <v>0</v>
      </c>
      <c r="E445">
        <v>15.5</v>
      </c>
      <c r="F445">
        <v>2</v>
      </c>
      <c r="G445">
        <v>0</v>
      </c>
      <c r="H445">
        <v>1</v>
      </c>
      <c r="I445">
        <v>0</v>
      </c>
      <c r="J445">
        <v>1</v>
      </c>
      <c r="K445">
        <v>0</v>
      </c>
      <c r="L445">
        <v>1</v>
      </c>
      <c r="M445">
        <v>4</v>
      </c>
      <c r="N445">
        <v>4.0599999999999996</v>
      </c>
    </row>
    <row r="446" spans="1:15" x14ac:dyDescent="0.35">
      <c r="A446">
        <v>2025</v>
      </c>
      <c r="B446">
        <v>97</v>
      </c>
      <c r="C446" t="s">
        <v>415</v>
      </c>
      <c r="D446">
        <v>0</v>
      </c>
      <c r="E446">
        <v>8</v>
      </c>
      <c r="F446">
        <v>0</v>
      </c>
      <c r="G446">
        <v>0</v>
      </c>
      <c r="H446">
        <v>0</v>
      </c>
      <c r="I446">
        <v>0</v>
      </c>
      <c r="J446">
        <v>0</v>
      </c>
      <c r="K446">
        <v>3</v>
      </c>
      <c r="L446">
        <v>1</v>
      </c>
      <c r="M446">
        <v>3</v>
      </c>
      <c r="N446">
        <v>4.0599999999999996</v>
      </c>
    </row>
    <row r="447" spans="1:15" x14ac:dyDescent="0.35">
      <c r="A447">
        <v>2025</v>
      </c>
      <c r="B447">
        <v>97</v>
      </c>
      <c r="C447" t="s">
        <v>416</v>
      </c>
      <c r="D447">
        <v>0</v>
      </c>
      <c r="E447">
        <v>25.5</v>
      </c>
      <c r="F447">
        <v>1</v>
      </c>
      <c r="G447">
        <v>1</v>
      </c>
      <c r="H447">
        <v>0</v>
      </c>
      <c r="I447">
        <v>1</v>
      </c>
      <c r="J447">
        <v>3</v>
      </c>
      <c r="K447">
        <v>1</v>
      </c>
      <c r="L447">
        <v>0</v>
      </c>
      <c r="M447">
        <v>0</v>
      </c>
      <c r="N447">
        <v>4.0599999999999996</v>
      </c>
    </row>
    <row r="448" spans="1:15" x14ac:dyDescent="0.35">
      <c r="A448">
        <v>2025</v>
      </c>
      <c r="B448">
        <v>97</v>
      </c>
      <c r="C448" t="s">
        <v>275</v>
      </c>
      <c r="D448">
        <v>0</v>
      </c>
      <c r="E448">
        <v>45.5</v>
      </c>
      <c r="F448">
        <v>0</v>
      </c>
      <c r="G448">
        <v>3</v>
      </c>
      <c r="H448">
        <v>3</v>
      </c>
      <c r="I448">
        <v>0</v>
      </c>
      <c r="J448">
        <v>4</v>
      </c>
      <c r="K448">
        <v>2</v>
      </c>
      <c r="L448">
        <v>7</v>
      </c>
      <c r="M448">
        <v>2</v>
      </c>
      <c r="N448">
        <v>4.0599999999999996</v>
      </c>
    </row>
    <row r="449" spans="1:14" x14ac:dyDescent="0.35">
      <c r="A449">
        <v>2025</v>
      </c>
      <c r="B449">
        <v>97</v>
      </c>
      <c r="C449" t="s">
        <v>417</v>
      </c>
      <c r="D449">
        <v>0</v>
      </c>
      <c r="E449">
        <v>85.5</v>
      </c>
      <c r="F449">
        <v>12</v>
      </c>
      <c r="G449">
        <v>3</v>
      </c>
      <c r="H449">
        <v>2</v>
      </c>
      <c r="I449">
        <v>3</v>
      </c>
      <c r="J449">
        <v>6</v>
      </c>
      <c r="K449">
        <v>6</v>
      </c>
      <c r="L449">
        <v>5</v>
      </c>
      <c r="M449">
        <v>6</v>
      </c>
      <c r="N449">
        <v>4.0599999999999996</v>
      </c>
    </row>
    <row r="450" spans="1:14" x14ac:dyDescent="0.35">
      <c r="A450">
        <v>2025</v>
      </c>
      <c r="B450">
        <v>98</v>
      </c>
      <c r="C450" t="s">
        <v>415</v>
      </c>
      <c r="D450">
        <v>0</v>
      </c>
      <c r="E450">
        <v>0</v>
      </c>
      <c r="F450">
        <v>0</v>
      </c>
      <c r="G450">
        <v>0</v>
      </c>
      <c r="H450">
        <v>0</v>
      </c>
      <c r="I450">
        <v>0</v>
      </c>
      <c r="J450">
        <v>0</v>
      </c>
      <c r="K450">
        <v>0</v>
      </c>
      <c r="L450">
        <v>0</v>
      </c>
      <c r="M450">
        <v>0</v>
      </c>
      <c r="N450">
        <v>4.0599999999999996</v>
      </c>
    </row>
    <row r="451" spans="1:14" x14ac:dyDescent="0.35">
      <c r="A451">
        <v>2025</v>
      </c>
      <c r="B451">
        <v>98</v>
      </c>
      <c r="C451" t="s">
        <v>416</v>
      </c>
      <c r="D451">
        <v>0</v>
      </c>
      <c r="E451">
        <v>35.5</v>
      </c>
      <c r="F451">
        <v>3</v>
      </c>
      <c r="G451">
        <v>0</v>
      </c>
      <c r="H451">
        <v>3</v>
      </c>
      <c r="I451">
        <v>4</v>
      </c>
      <c r="J451">
        <v>3</v>
      </c>
      <c r="K451">
        <v>2</v>
      </c>
      <c r="L451">
        <v>0</v>
      </c>
      <c r="M451">
        <v>1</v>
      </c>
      <c r="N451">
        <v>4.0599999999999996</v>
      </c>
    </row>
    <row r="452" spans="1:14" x14ac:dyDescent="0.35">
      <c r="A452">
        <v>2025</v>
      </c>
      <c r="B452">
        <v>98</v>
      </c>
      <c r="C452" t="s">
        <v>275</v>
      </c>
      <c r="D452">
        <v>0</v>
      </c>
      <c r="E452">
        <v>8</v>
      </c>
      <c r="F452">
        <v>0</v>
      </c>
      <c r="G452">
        <v>0</v>
      </c>
      <c r="H452">
        <v>3</v>
      </c>
      <c r="I452">
        <v>0</v>
      </c>
      <c r="J452">
        <v>0</v>
      </c>
      <c r="K452">
        <v>1</v>
      </c>
      <c r="L452">
        <v>0</v>
      </c>
      <c r="M452">
        <v>0</v>
      </c>
      <c r="N452">
        <v>4.0599999999999996</v>
      </c>
    </row>
    <row r="453" spans="1:14" x14ac:dyDescent="0.35">
      <c r="A453">
        <v>2025</v>
      </c>
      <c r="B453">
        <v>98</v>
      </c>
      <c r="C453" t="s">
        <v>417</v>
      </c>
      <c r="D453">
        <v>0</v>
      </c>
      <c r="E453">
        <v>8</v>
      </c>
      <c r="F453">
        <v>0</v>
      </c>
      <c r="G453">
        <v>1</v>
      </c>
      <c r="H453">
        <v>7</v>
      </c>
      <c r="I453">
        <v>0</v>
      </c>
      <c r="J453">
        <v>0</v>
      </c>
      <c r="K453">
        <v>0</v>
      </c>
      <c r="L453">
        <v>0</v>
      </c>
      <c r="M453">
        <v>0</v>
      </c>
      <c r="N453">
        <v>4.0599999999999996</v>
      </c>
    </row>
    <row r="454" spans="1:14" x14ac:dyDescent="0.35">
      <c r="A454">
        <v>2025</v>
      </c>
      <c r="B454">
        <v>99</v>
      </c>
      <c r="C454" t="s">
        <v>415</v>
      </c>
      <c r="D454">
        <v>0</v>
      </c>
      <c r="E454">
        <v>0</v>
      </c>
      <c r="F454">
        <v>0</v>
      </c>
      <c r="G454">
        <v>0</v>
      </c>
      <c r="H454">
        <v>0</v>
      </c>
      <c r="I454">
        <v>0</v>
      </c>
      <c r="J454">
        <v>0</v>
      </c>
      <c r="K454">
        <v>0</v>
      </c>
      <c r="L454">
        <v>0</v>
      </c>
      <c r="M454">
        <v>0</v>
      </c>
      <c r="N454">
        <v>4.0599999999999996</v>
      </c>
    </row>
    <row r="455" spans="1:14" x14ac:dyDescent="0.35">
      <c r="A455">
        <v>2025</v>
      </c>
      <c r="B455">
        <v>99</v>
      </c>
      <c r="C455" t="s">
        <v>416</v>
      </c>
      <c r="D455">
        <v>0</v>
      </c>
      <c r="E455">
        <v>0</v>
      </c>
      <c r="F455">
        <v>0</v>
      </c>
      <c r="G455">
        <v>0</v>
      </c>
      <c r="H455">
        <v>0</v>
      </c>
      <c r="I455">
        <v>0</v>
      </c>
      <c r="J455">
        <v>0</v>
      </c>
      <c r="K455">
        <v>0</v>
      </c>
      <c r="L455">
        <v>0</v>
      </c>
      <c r="M455">
        <v>0</v>
      </c>
      <c r="N455">
        <v>4.0599999999999996</v>
      </c>
    </row>
    <row r="456" spans="1:14" x14ac:dyDescent="0.35">
      <c r="A456">
        <v>2025</v>
      </c>
      <c r="B456">
        <v>99</v>
      </c>
      <c r="C456" t="s">
        <v>275</v>
      </c>
      <c r="D456">
        <v>0</v>
      </c>
      <c r="E456">
        <v>25.5</v>
      </c>
      <c r="F456">
        <v>0</v>
      </c>
      <c r="G456">
        <v>0</v>
      </c>
      <c r="H456">
        <v>0</v>
      </c>
      <c r="I456">
        <v>0</v>
      </c>
      <c r="J456">
        <v>0</v>
      </c>
      <c r="K456">
        <v>0</v>
      </c>
      <c r="L456">
        <v>13</v>
      </c>
      <c r="M456">
        <v>0</v>
      </c>
      <c r="N456">
        <v>4.0599999999999996</v>
      </c>
    </row>
    <row r="457" spans="1:14" x14ac:dyDescent="0.35">
      <c r="A457">
        <v>2025</v>
      </c>
      <c r="B457">
        <v>99</v>
      </c>
      <c r="C457" t="s">
        <v>417</v>
      </c>
      <c r="D457">
        <v>0</v>
      </c>
      <c r="E457">
        <v>0.5</v>
      </c>
      <c r="F457">
        <v>0</v>
      </c>
      <c r="G457">
        <v>2</v>
      </c>
      <c r="H457">
        <v>0</v>
      </c>
      <c r="I457">
        <v>0</v>
      </c>
      <c r="J457">
        <v>0</v>
      </c>
      <c r="K457">
        <v>0</v>
      </c>
      <c r="L457">
        <v>0</v>
      </c>
      <c r="M457">
        <v>0</v>
      </c>
      <c r="N457">
        <v>4.0599999999999996</v>
      </c>
    </row>
    <row r="458" spans="1:14" x14ac:dyDescent="0.35">
      <c r="A458">
        <v>2025</v>
      </c>
      <c r="B458">
        <v>49</v>
      </c>
      <c r="C458" t="s">
        <v>415</v>
      </c>
      <c r="D458">
        <v>0</v>
      </c>
      <c r="E458">
        <v>75.5</v>
      </c>
      <c r="F458">
        <v>10</v>
      </c>
      <c r="G458">
        <v>9</v>
      </c>
      <c r="H458">
        <v>5</v>
      </c>
      <c r="I458">
        <v>6</v>
      </c>
      <c r="J458">
        <v>3</v>
      </c>
      <c r="K458">
        <v>7</v>
      </c>
      <c r="L458">
        <v>3</v>
      </c>
      <c r="M458">
        <v>3</v>
      </c>
      <c r="N458">
        <v>4.0599999999999996</v>
      </c>
    </row>
    <row r="459" spans="1:14" x14ac:dyDescent="0.35">
      <c r="A459">
        <v>2025</v>
      </c>
      <c r="B459">
        <v>49</v>
      </c>
      <c r="C459" t="s">
        <v>416</v>
      </c>
      <c r="D459">
        <v>0</v>
      </c>
      <c r="E459">
        <v>35.5</v>
      </c>
      <c r="F459">
        <v>4</v>
      </c>
      <c r="G459">
        <v>0</v>
      </c>
      <c r="H459">
        <v>1</v>
      </c>
      <c r="I459">
        <v>7</v>
      </c>
      <c r="J459">
        <v>2</v>
      </c>
      <c r="K459">
        <v>2</v>
      </c>
      <c r="L459">
        <v>5</v>
      </c>
      <c r="M459">
        <v>7</v>
      </c>
      <c r="N459">
        <v>4.0599999999999996</v>
      </c>
    </row>
    <row r="460" spans="1:14" x14ac:dyDescent="0.35">
      <c r="A460">
        <v>2025</v>
      </c>
      <c r="B460">
        <v>49</v>
      </c>
      <c r="C460" t="s">
        <v>275</v>
      </c>
      <c r="D460">
        <v>0</v>
      </c>
      <c r="E460">
        <v>8</v>
      </c>
      <c r="F460">
        <v>1</v>
      </c>
      <c r="G460">
        <v>4</v>
      </c>
      <c r="H460">
        <v>8</v>
      </c>
      <c r="I460">
        <v>4</v>
      </c>
      <c r="J460">
        <v>0</v>
      </c>
      <c r="K460">
        <v>1</v>
      </c>
      <c r="L460">
        <v>2</v>
      </c>
      <c r="M460">
        <v>2</v>
      </c>
      <c r="N460">
        <v>4.0599999999999996</v>
      </c>
    </row>
    <row r="461" spans="1:14" x14ac:dyDescent="0.35">
      <c r="A461">
        <v>2025</v>
      </c>
      <c r="B461">
        <v>49</v>
      </c>
      <c r="C461" t="s">
        <v>417</v>
      </c>
      <c r="D461">
        <v>0</v>
      </c>
      <c r="E461">
        <v>25.5</v>
      </c>
      <c r="F461">
        <v>1</v>
      </c>
      <c r="G461">
        <v>0</v>
      </c>
      <c r="H461">
        <v>1</v>
      </c>
      <c r="I461">
        <v>5</v>
      </c>
      <c r="J461">
        <v>2</v>
      </c>
      <c r="K461">
        <v>1</v>
      </c>
      <c r="L461">
        <v>2</v>
      </c>
      <c r="M461">
        <v>2</v>
      </c>
      <c r="N461">
        <v>4.0599999999999996</v>
      </c>
    </row>
    <row r="462" spans="1:14" x14ac:dyDescent="0.35">
      <c r="A462">
        <v>2025</v>
      </c>
      <c r="B462">
        <v>50</v>
      </c>
      <c r="C462" t="s">
        <v>415</v>
      </c>
      <c r="D462">
        <v>0</v>
      </c>
      <c r="E462">
        <v>15.5</v>
      </c>
      <c r="F462">
        <v>1</v>
      </c>
      <c r="G462">
        <v>0</v>
      </c>
      <c r="H462">
        <v>0</v>
      </c>
      <c r="I462">
        <v>0</v>
      </c>
      <c r="J462">
        <v>1</v>
      </c>
      <c r="K462">
        <v>1</v>
      </c>
      <c r="L462">
        <v>0</v>
      </c>
      <c r="M462">
        <v>3</v>
      </c>
      <c r="N462">
        <v>4.0599999999999996</v>
      </c>
    </row>
    <row r="463" spans="1:14" x14ac:dyDescent="0.35">
      <c r="A463">
        <v>2025</v>
      </c>
      <c r="B463">
        <v>50</v>
      </c>
      <c r="C463" t="s">
        <v>416</v>
      </c>
      <c r="D463">
        <v>0</v>
      </c>
      <c r="E463">
        <v>45.5</v>
      </c>
      <c r="F463">
        <v>3</v>
      </c>
      <c r="G463">
        <v>1</v>
      </c>
      <c r="H463">
        <v>2</v>
      </c>
      <c r="I463">
        <v>2</v>
      </c>
      <c r="J463">
        <v>3</v>
      </c>
      <c r="K463">
        <v>3</v>
      </c>
      <c r="L463">
        <v>0</v>
      </c>
      <c r="M463">
        <v>3</v>
      </c>
      <c r="N463">
        <v>4.0599999999999996</v>
      </c>
    </row>
    <row r="464" spans="1:14" x14ac:dyDescent="0.35">
      <c r="A464">
        <v>2025</v>
      </c>
      <c r="B464">
        <v>50</v>
      </c>
      <c r="C464" t="s">
        <v>275</v>
      </c>
      <c r="D464">
        <v>0</v>
      </c>
      <c r="E464">
        <v>8</v>
      </c>
      <c r="F464">
        <v>1</v>
      </c>
      <c r="G464">
        <v>2</v>
      </c>
      <c r="H464">
        <v>0</v>
      </c>
      <c r="I464">
        <v>2</v>
      </c>
      <c r="J464">
        <v>0</v>
      </c>
      <c r="K464">
        <v>0</v>
      </c>
      <c r="L464">
        <v>3</v>
      </c>
      <c r="M464">
        <v>1</v>
      </c>
      <c r="N464">
        <v>4.0599999999999996</v>
      </c>
    </row>
    <row r="465" spans="1:15" x14ac:dyDescent="0.35">
      <c r="A465">
        <v>2025</v>
      </c>
      <c r="B465">
        <v>50</v>
      </c>
      <c r="C465" t="s">
        <v>417</v>
      </c>
      <c r="D465">
        <v>0</v>
      </c>
      <c r="E465">
        <v>8</v>
      </c>
      <c r="F465">
        <v>3</v>
      </c>
      <c r="G465">
        <v>2</v>
      </c>
      <c r="H465">
        <v>1</v>
      </c>
      <c r="I465">
        <v>0</v>
      </c>
      <c r="J465">
        <v>0</v>
      </c>
      <c r="K465">
        <v>3</v>
      </c>
      <c r="L465">
        <v>2</v>
      </c>
      <c r="M465">
        <v>0</v>
      </c>
      <c r="N465">
        <v>4.0599999999999996</v>
      </c>
    </row>
    <row r="466" spans="1:15" x14ac:dyDescent="0.35">
      <c r="A466">
        <v>2025</v>
      </c>
      <c r="B466">
        <v>53</v>
      </c>
      <c r="C466" t="s">
        <v>415</v>
      </c>
      <c r="D466">
        <v>0</v>
      </c>
      <c r="E466">
        <v>25.5</v>
      </c>
      <c r="F466">
        <v>0</v>
      </c>
      <c r="G466">
        <v>0</v>
      </c>
      <c r="H466">
        <v>0</v>
      </c>
      <c r="I466">
        <v>2</v>
      </c>
      <c r="J466">
        <v>2</v>
      </c>
      <c r="K466">
        <v>1</v>
      </c>
      <c r="L466">
        <v>2</v>
      </c>
      <c r="M466">
        <v>5</v>
      </c>
      <c r="N466">
        <v>4.0599999999999996</v>
      </c>
    </row>
    <row r="467" spans="1:15" x14ac:dyDescent="0.35">
      <c r="A467">
        <v>2025</v>
      </c>
      <c r="B467">
        <v>53</v>
      </c>
      <c r="C467" t="s">
        <v>416</v>
      </c>
      <c r="D467">
        <v>0</v>
      </c>
      <c r="E467">
        <v>35.5</v>
      </c>
      <c r="F467">
        <v>3</v>
      </c>
      <c r="G467">
        <v>0</v>
      </c>
      <c r="H467">
        <v>0</v>
      </c>
      <c r="I467">
        <v>2</v>
      </c>
      <c r="J467">
        <v>3</v>
      </c>
      <c r="K467">
        <v>5</v>
      </c>
      <c r="L467">
        <v>2</v>
      </c>
      <c r="M467">
        <v>2</v>
      </c>
      <c r="N467">
        <v>4.0599999999999996</v>
      </c>
    </row>
    <row r="468" spans="1:15" x14ac:dyDescent="0.35">
      <c r="A468">
        <v>2025</v>
      </c>
      <c r="B468">
        <v>53</v>
      </c>
      <c r="C468" t="s">
        <v>275</v>
      </c>
      <c r="D468">
        <v>0</v>
      </c>
      <c r="E468">
        <v>3.5</v>
      </c>
      <c r="F468">
        <v>4</v>
      </c>
      <c r="G468">
        <v>0</v>
      </c>
      <c r="H468">
        <v>0</v>
      </c>
      <c r="I468">
        <v>0</v>
      </c>
      <c r="J468">
        <v>1</v>
      </c>
      <c r="K468">
        <v>0</v>
      </c>
      <c r="L468">
        <v>0</v>
      </c>
      <c r="M468">
        <v>1</v>
      </c>
      <c r="N468">
        <v>4.0599999999999996</v>
      </c>
    </row>
    <row r="469" spans="1:15" x14ac:dyDescent="0.35">
      <c r="A469">
        <v>2025</v>
      </c>
      <c r="B469">
        <v>53</v>
      </c>
      <c r="C469" t="s">
        <v>417</v>
      </c>
      <c r="D469">
        <v>0</v>
      </c>
      <c r="E469">
        <v>3.5</v>
      </c>
      <c r="F469">
        <v>2</v>
      </c>
      <c r="G469">
        <v>2</v>
      </c>
      <c r="H469">
        <v>1</v>
      </c>
      <c r="I469">
        <v>2</v>
      </c>
      <c r="J469">
        <v>0</v>
      </c>
      <c r="K469">
        <v>0</v>
      </c>
      <c r="L469">
        <v>0</v>
      </c>
      <c r="M469">
        <v>0</v>
      </c>
      <c r="N469">
        <v>4.0599999999999996</v>
      </c>
    </row>
    <row r="470" spans="1:15" x14ac:dyDescent="0.35">
      <c r="A470">
        <v>2025</v>
      </c>
      <c r="B470" s="11">
        <v>108</v>
      </c>
      <c r="C470" s="11" t="s">
        <v>415</v>
      </c>
      <c r="D470" s="11">
        <v>0</v>
      </c>
      <c r="E470" s="11">
        <v>0</v>
      </c>
      <c r="F470" s="11">
        <v>0</v>
      </c>
      <c r="G470" s="11">
        <v>0</v>
      </c>
      <c r="H470" s="11">
        <v>0</v>
      </c>
      <c r="I470" s="11">
        <v>0</v>
      </c>
      <c r="J470" s="11">
        <v>0</v>
      </c>
      <c r="K470" s="11">
        <v>0</v>
      </c>
      <c r="L470" s="11">
        <v>0</v>
      </c>
      <c r="M470" s="11">
        <v>0</v>
      </c>
      <c r="N470">
        <v>4.0599999999999996</v>
      </c>
      <c r="O470" s="11"/>
    </row>
    <row r="471" spans="1:15" x14ac:dyDescent="0.35">
      <c r="A471">
        <v>2025</v>
      </c>
      <c r="B471">
        <v>108</v>
      </c>
      <c r="C471" t="s">
        <v>416</v>
      </c>
      <c r="D471">
        <v>0</v>
      </c>
      <c r="E471">
        <v>0</v>
      </c>
      <c r="F471">
        <v>0</v>
      </c>
      <c r="G471">
        <v>0</v>
      </c>
      <c r="H471">
        <v>0</v>
      </c>
      <c r="I471">
        <v>0</v>
      </c>
      <c r="J471">
        <v>0</v>
      </c>
      <c r="K471">
        <v>0</v>
      </c>
      <c r="L471">
        <v>0</v>
      </c>
      <c r="M471">
        <v>0</v>
      </c>
      <c r="N471">
        <v>4.0599999999999996</v>
      </c>
    </row>
    <row r="472" spans="1:15" x14ac:dyDescent="0.35">
      <c r="A472">
        <v>2025</v>
      </c>
      <c r="B472">
        <v>108</v>
      </c>
      <c r="C472" t="s">
        <v>275</v>
      </c>
      <c r="D472">
        <v>0</v>
      </c>
      <c r="E472">
        <v>0</v>
      </c>
      <c r="F472">
        <v>0</v>
      </c>
      <c r="G472">
        <v>0</v>
      </c>
      <c r="H472">
        <v>0</v>
      </c>
      <c r="I472">
        <v>0</v>
      </c>
      <c r="J472">
        <v>0</v>
      </c>
      <c r="K472">
        <v>0</v>
      </c>
      <c r="L472">
        <v>0</v>
      </c>
      <c r="M472">
        <v>0</v>
      </c>
      <c r="N472">
        <v>4.0599999999999996</v>
      </c>
    </row>
    <row r="473" spans="1:15" x14ac:dyDescent="0.35">
      <c r="A473">
        <v>2025</v>
      </c>
      <c r="B473">
        <v>108</v>
      </c>
      <c r="C473" t="s">
        <v>417</v>
      </c>
      <c r="D473">
        <v>0</v>
      </c>
      <c r="E473">
        <v>0</v>
      </c>
      <c r="F473">
        <v>0</v>
      </c>
      <c r="G473">
        <v>0</v>
      </c>
      <c r="H473">
        <v>0</v>
      </c>
      <c r="I473">
        <v>0</v>
      </c>
      <c r="J473">
        <v>0</v>
      </c>
      <c r="K473">
        <v>0</v>
      </c>
      <c r="L473">
        <v>0</v>
      </c>
      <c r="M473">
        <v>0</v>
      </c>
      <c r="N473">
        <v>4.0599999999999996</v>
      </c>
    </row>
    <row r="474" spans="1:15" x14ac:dyDescent="0.35">
      <c r="A474">
        <v>2025</v>
      </c>
      <c r="B474">
        <v>104</v>
      </c>
      <c r="C474" t="s">
        <v>415</v>
      </c>
      <c r="D474">
        <v>0</v>
      </c>
      <c r="E474">
        <v>0</v>
      </c>
      <c r="F474">
        <v>0</v>
      </c>
      <c r="G474">
        <v>0</v>
      </c>
      <c r="H474">
        <v>0</v>
      </c>
      <c r="I474">
        <v>0</v>
      </c>
      <c r="J474">
        <v>0</v>
      </c>
      <c r="K474">
        <v>0</v>
      </c>
      <c r="L474">
        <v>0</v>
      </c>
      <c r="M474">
        <v>0</v>
      </c>
      <c r="N474">
        <v>4.0599999999999996</v>
      </c>
    </row>
    <row r="475" spans="1:15" x14ac:dyDescent="0.35">
      <c r="A475">
        <v>2025</v>
      </c>
      <c r="B475">
        <v>104</v>
      </c>
      <c r="C475" t="s">
        <v>416</v>
      </c>
      <c r="D475">
        <v>0</v>
      </c>
      <c r="E475">
        <v>0</v>
      </c>
      <c r="F475">
        <v>0</v>
      </c>
      <c r="G475">
        <v>0</v>
      </c>
      <c r="H475">
        <v>0</v>
      </c>
      <c r="I475">
        <v>0</v>
      </c>
      <c r="J475">
        <v>0</v>
      </c>
      <c r="K475">
        <v>0</v>
      </c>
      <c r="L475">
        <v>0</v>
      </c>
      <c r="M475">
        <v>0</v>
      </c>
      <c r="N475">
        <v>4.0599999999999996</v>
      </c>
    </row>
    <row r="476" spans="1:15" x14ac:dyDescent="0.35">
      <c r="A476">
        <v>2025</v>
      </c>
      <c r="B476">
        <v>104</v>
      </c>
      <c r="C476" t="s">
        <v>275</v>
      </c>
      <c r="D476">
        <v>0</v>
      </c>
      <c r="E476">
        <v>3.5</v>
      </c>
      <c r="F476">
        <v>0</v>
      </c>
      <c r="G476">
        <v>0</v>
      </c>
      <c r="H476">
        <v>0</v>
      </c>
      <c r="I476">
        <v>0</v>
      </c>
      <c r="J476">
        <v>0</v>
      </c>
      <c r="K476">
        <v>0</v>
      </c>
      <c r="L476">
        <v>1</v>
      </c>
      <c r="M476">
        <v>0</v>
      </c>
      <c r="N476">
        <v>4.0599999999999996</v>
      </c>
    </row>
    <row r="477" spans="1:15" x14ac:dyDescent="0.35">
      <c r="A477">
        <v>2025</v>
      </c>
      <c r="B477">
        <v>104</v>
      </c>
      <c r="C477" t="s">
        <v>417</v>
      </c>
      <c r="D477">
        <v>0</v>
      </c>
      <c r="E477">
        <v>8</v>
      </c>
      <c r="F477">
        <v>0</v>
      </c>
      <c r="G477">
        <v>0</v>
      </c>
      <c r="H477">
        <v>0</v>
      </c>
      <c r="I477">
        <v>0</v>
      </c>
      <c r="J477">
        <v>2</v>
      </c>
      <c r="K477">
        <v>0</v>
      </c>
      <c r="L477">
        <v>0</v>
      </c>
      <c r="M477">
        <v>1</v>
      </c>
      <c r="N477">
        <v>4.0599999999999996</v>
      </c>
    </row>
    <row r="478" spans="1:15" x14ac:dyDescent="0.35">
      <c r="A478">
        <v>2025</v>
      </c>
      <c r="B478">
        <v>103</v>
      </c>
      <c r="C478" t="s">
        <v>415</v>
      </c>
      <c r="D478">
        <v>0</v>
      </c>
      <c r="E478">
        <v>0</v>
      </c>
      <c r="F478">
        <v>0</v>
      </c>
      <c r="G478">
        <v>0</v>
      </c>
      <c r="H478">
        <v>0</v>
      </c>
      <c r="I478">
        <v>0</v>
      </c>
      <c r="J478">
        <v>0</v>
      </c>
      <c r="K478">
        <v>0</v>
      </c>
      <c r="L478">
        <v>0</v>
      </c>
      <c r="M478">
        <v>0</v>
      </c>
      <c r="N478">
        <v>4.0599999999999996</v>
      </c>
      <c r="O478" t="s">
        <v>1241</v>
      </c>
    </row>
    <row r="479" spans="1:15" x14ac:dyDescent="0.35">
      <c r="A479">
        <v>2025</v>
      </c>
      <c r="B479">
        <v>103</v>
      </c>
      <c r="C479" t="s">
        <v>416</v>
      </c>
      <c r="D479">
        <v>0</v>
      </c>
      <c r="E479">
        <v>0</v>
      </c>
      <c r="F479">
        <v>0</v>
      </c>
      <c r="G479">
        <v>0</v>
      </c>
      <c r="H479">
        <v>0</v>
      </c>
      <c r="I479">
        <v>0</v>
      </c>
      <c r="J479">
        <v>0</v>
      </c>
      <c r="K479">
        <v>0</v>
      </c>
      <c r="L479">
        <v>0</v>
      </c>
      <c r="M479">
        <v>0</v>
      </c>
      <c r="N479">
        <v>4.0599999999999996</v>
      </c>
    </row>
    <row r="480" spans="1:15" x14ac:dyDescent="0.35">
      <c r="A480">
        <v>2025</v>
      </c>
      <c r="B480">
        <v>103</v>
      </c>
      <c r="C480" t="s">
        <v>275</v>
      </c>
      <c r="D480">
        <v>0</v>
      </c>
      <c r="E480">
        <v>0</v>
      </c>
      <c r="F480">
        <v>0</v>
      </c>
      <c r="G480">
        <v>0</v>
      </c>
      <c r="H480">
        <v>0</v>
      </c>
      <c r="I480">
        <v>0</v>
      </c>
      <c r="J480">
        <v>0</v>
      </c>
      <c r="K480">
        <v>0</v>
      </c>
      <c r="L480">
        <v>0</v>
      </c>
      <c r="M480">
        <v>0</v>
      </c>
      <c r="N480">
        <v>4.0599999999999996</v>
      </c>
    </row>
    <row r="481" spans="1:15" x14ac:dyDescent="0.35">
      <c r="A481">
        <v>2025</v>
      </c>
      <c r="B481">
        <v>103</v>
      </c>
      <c r="C481" t="s">
        <v>417</v>
      </c>
      <c r="D481">
        <v>0</v>
      </c>
      <c r="E481">
        <v>0</v>
      </c>
      <c r="F481">
        <v>0</v>
      </c>
      <c r="G481">
        <v>0</v>
      </c>
      <c r="H481">
        <v>0</v>
      </c>
      <c r="I481">
        <v>0</v>
      </c>
      <c r="J481">
        <v>0</v>
      </c>
      <c r="K481">
        <v>0</v>
      </c>
      <c r="L481">
        <v>0</v>
      </c>
      <c r="M481">
        <v>0</v>
      </c>
      <c r="N481">
        <v>4.0599999999999996</v>
      </c>
    </row>
    <row r="482" spans="1:15" x14ac:dyDescent="0.35">
      <c r="A482">
        <v>2025</v>
      </c>
      <c r="B482">
        <v>105</v>
      </c>
      <c r="C482" t="s">
        <v>415</v>
      </c>
      <c r="D482">
        <v>0</v>
      </c>
      <c r="E482">
        <v>0</v>
      </c>
      <c r="F482">
        <v>0</v>
      </c>
      <c r="G482">
        <v>0</v>
      </c>
      <c r="H482">
        <v>0</v>
      </c>
      <c r="I482">
        <v>0</v>
      </c>
      <c r="J482">
        <v>0</v>
      </c>
      <c r="K482">
        <v>0</v>
      </c>
      <c r="L482">
        <v>0</v>
      </c>
      <c r="M482">
        <v>0</v>
      </c>
      <c r="N482">
        <v>4.0599999999999996</v>
      </c>
    </row>
    <row r="483" spans="1:15" x14ac:dyDescent="0.35">
      <c r="A483">
        <v>2025</v>
      </c>
      <c r="B483">
        <v>105</v>
      </c>
      <c r="C483" t="s">
        <v>416</v>
      </c>
      <c r="D483">
        <v>0</v>
      </c>
      <c r="E483">
        <v>0</v>
      </c>
      <c r="F483">
        <v>0</v>
      </c>
      <c r="G483">
        <v>0</v>
      </c>
      <c r="H483">
        <v>0</v>
      </c>
      <c r="I483">
        <v>0</v>
      </c>
      <c r="J483">
        <v>0</v>
      </c>
      <c r="K483">
        <v>0</v>
      </c>
      <c r="L483">
        <v>0</v>
      </c>
      <c r="M483">
        <v>0</v>
      </c>
      <c r="N483">
        <v>4.0599999999999996</v>
      </c>
    </row>
    <row r="484" spans="1:15" x14ac:dyDescent="0.35">
      <c r="A484">
        <v>2025</v>
      </c>
      <c r="B484">
        <v>105</v>
      </c>
      <c r="C484" t="s">
        <v>275</v>
      </c>
      <c r="D484">
        <v>0</v>
      </c>
      <c r="E484">
        <v>3.5</v>
      </c>
      <c r="F484">
        <v>0</v>
      </c>
      <c r="G484">
        <v>0</v>
      </c>
      <c r="H484">
        <v>0</v>
      </c>
      <c r="I484">
        <v>0</v>
      </c>
      <c r="J484">
        <v>0</v>
      </c>
      <c r="K484">
        <v>0</v>
      </c>
      <c r="L484">
        <v>0</v>
      </c>
      <c r="M484">
        <v>1</v>
      </c>
      <c r="N484">
        <v>4.0599999999999996</v>
      </c>
    </row>
    <row r="485" spans="1:15" x14ac:dyDescent="0.35">
      <c r="A485">
        <v>2025</v>
      </c>
      <c r="B485">
        <v>105</v>
      </c>
      <c r="C485" t="s">
        <v>417</v>
      </c>
      <c r="D485">
        <v>0</v>
      </c>
      <c r="E485">
        <v>0</v>
      </c>
      <c r="F485">
        <v>0</v>
      </c>
      <c r="G485">
        <v>0</v>
      </c>
      <c r="H485">
        <v>0</v>
      </c>
      <c r="I485">
        <v>0</v>
      </c>
      <c r="J485">
        <v>0</v>
      </c>
      <c r="K485">
        <v>0</v>
      </c>
      <c r="L485">
        <v>0</v>
      </c>
      <c r="M485">
        <v>0</v>
      </c>
      <c r="N485">
        <v>4.0599999999999996</v>
      </c>
    </row>
    <row r="486" spans="1:15" x14ac:dyDescent="0.35">
      <c r="A486">
        <v>2025</v>
      </c>
      <c r="B486">
        <v>61</v>
      </c>
      <c r="C486" t="s">
        <v>415</v>
      </c>
      <c r="D486">
        <v>0</v>
      </c>
      <c r="E486">
        <v>0</v>
      </c>
      <c r="F486">
        <v>0</v>
      </c>
      <c r="G486">
        <v>0</v>
      </c>
      <c r="H486">
        <v>0</v>
      </c>
      <c r="I486">
        <v>0</v>
      </c>
      <c r="J486">
        <v>0</v>
      </c>
      <c r="K486">
        <v>0</v>
      </c>
      <c r="L486">
        <v>0</v>
      </c>
      <c r="M486">
        <v>0</v>
      </c>
      <c r="N486">
        <v>4.0599999999999996</v>
      </c>
      <c r="O486" t="s">
        <v>1242</v>
      </c>
    </row>
    <row r="487" spans="1:15" x14ac:dyDescent="0.35">
      <c r="A487">
        <v>2025</v>
      </c>
      <c r="B487">
        <v>61</v>
      </c>
      <c r="C487" t="s">
        <v>416</v>
      </c>
      <c r="D487">
        <v>0</v>
      </c>
      <c r="E487">
        <v>0</v>
      </c>
      <c r="F487">
        <v>0</v>
      </c>
      <c r="G487">
        <v>0</v>
      </c>
      <c r="H487">
        <v>0</v>
      </c>
      <c r="I487">
        <v>0</v>
      </c>
      <c r="J487">
        <v>0</v>
      </c>
      <c r="K487">
        <v>0</v>
      </c>
      <c r="L487">
        <v>0</v>
      </c>
      <c r="M487">
        <v>0</v>
      </c>
      <c r="N487">
        <v>4.0599999999999996</v>
      </c>
    </row>
    <row r="488" spans="1:15" x14ac:dyDescent="0.35">
      <c r="A488">
        <v>2025</v>
      </c>
      <c r="B488">
        <v>61</v>
      </c>
      <c r="C488" t="s">
        <v>275</v>
      </c>
      <c r="D488">
        <v>0</v>
      </c>
      <c r="E488">
        <v>0</v>
      </c>
      <c r="F488">
        <v>0</v>
      </c>
      <c r="G488">
        <v>0</v>
      </c>
      <c r="H488">
        <v>0</v>
      </c>
      <c r="I488">
        <v>0</v>
      </c>
      <c r="J488">
        <v>0</v>
      </c>
      <c r="K488">
        <v>0</v>
      </c>
      <c r="L488">
        <v>0</v>
      </c>
      <c r="M488">
        <v>0</v>
      </c>
      <c r="N488">
        <v>4.0599999999999996</v>
      </c>
      <c r="O488" t="s">
        <v>1243</v>
      </c>
    </row>
    <row r="489" spans="1:15" x14ac:dyDescent="0.35">
      <c r="A489">
        <v>2025</v>
      </c>
      <c r="B489">
        <v>61</v>
      </c>
      <c r="C489" t="s">
        <v>417</v>
      </c>
      <c r="D489">
        <v>0</v>
      </c>
      <c r="E489">
        <v>0</v>
      </c>
      <c r="F489">
        <v>0</v>
      </c>
      <c r="G489">
        <v>0</v>
      </c>
      <c r="H489">
        <v>0</v>
      </c>
      <c r="I489">
        <v>0</v>
      </c>
      <c r="J489">
        <v>0</v>
      </c>
      <c r="K489">
        <v>0</v>
      </c>
      <c r="L489">
        <v>0</v>
      </c>
      <c r="M489">
        <v>0</v>
      </c>
      <c r="N489">
        <v>4.0599999999999996</v>
      </c>
      <c r="O489" t="s">
        <v>1244</v>
      </c>
    </row>
    <row r="490" spans="1:15" x14ac:dyDescent="0.35">
      <c r="A490">
        <v>2025</v>
      </c>
      <c r="B490">
        <v>23</v>
      </c>
      <c r="C490" t="s">
        <v>415</v>
      </c>
      <c r="D490">
        <v>0</v>
      </c>
      <c r="E490">
        <v>0</v>
      </c>
      <c r="F490">
        <v>0</v>
      </c>
      <c r="G490">
        <v>0</v>
      </c>
      <c r="H490">
        <v>0</v>
      </c>
      <c r="I490">
        <v>0</v>
      </c>
      <c r="J490">
        <v>0</v>
      </c>
      <c r="K490">
        <v>0</v>
      </c>
      <c r="L490">
        <v>0</v>
      </c>
      <c r="M490">
        <v>0</v>
      </c>
      <c r="N490">
        <v>4.0599999999999996</v>
      </c>
      <c r="O490" t="s">
        <v>1245</v>
      </c>
    </row>
    <row r="491" spans="1:15" x14ac:dyDescent="0.35">
      <c r="A491">
        <v>2025</v>
      </c>
      <c r="B491">
        <v>23</v>
      </c>
      <c r="C491" t="s">
        <v>416</v>
      </c>
      <c r="D491">
        <v>0</v>
      </c>
      <c r="E491">
        <v>8</v>
      </c>
      <c r="F491">
        <v>0</v>
      </c>
      <c r="G491">
        <v>0</v>
      </c>
      <c r="H491">
        <v>0</v>
      </c>
      <c r="I491">
        <v>0</v>
      </c>
      <c r="J491">
        <v>0</v>
      </c>
      <c r="K491">
        <v>0</v>
      </c>
      <c r="L491">
        <v>0</v>
      </c>
      <c r="M491">
        <v>4</v>
      </c>
      <c r="N491">
        <v>4.0599999999999996</v>
      </c>
      <c r="O491" t="s">
        <v>1246</v>
      </c>
    </row>
    <row r="492" spans="1:15" x14ac:dyDescent="0.35">
      <c r="A492">
        <v>2025</v>
      </c>
      <c r="B492">
        <v>23</v>
      </c>
      <c r="C492" t="s">
        <v>275</v>
      </c>
      <c r="D492">
        <v>0</v>
      </c>
      <c r="E492">
        <v>0</v>
      </c>
      <c r="F492">
        <v>0</v>
      </c>
      <c r="G492">
        <v>0</v>
      </c>
      <c r="H492">
        <v>0</v>
      </c>
      <c r="I492">
        <v>0</v>
      </c>
      <c r="J492">
        <v>0</v>
      </c>
      <c r="K492">
        <v>0</v>
      </c>
      <c r="L492">
        <v>0</v>
      </c>
      <c r="M492">
        <v>0</v>
      </c>
      <c r="N492">
        <v>4.0599999999999996</v>
      </c>
    </row>
    <row r="493" spans="1:15" x14ac:dyDescent="0.35">
      <c r="A493">
        <v>2025</v>
      </c>
      <c r="B493">
        <v>23</v>
      </c>
      <c r="C493" t="s">
        <v>417</v>
      </c>
      <c r="D493">
        <v>0</v>
      </c>
      <c r="E493">
        <v>0</v>
      </c>
      <c r="F493">
        <v>0</v>
      </c>
      <c r="G493">
        <v>0</v>
      </c>
      <c r="H493">
        <v>0</v>
      </c>
      <c r="I493">
        <v>0</v>
      </c>
      <c r="J493">
        <v>0</v>
      </c>
      <c r="K493">
        <v>0</v>
      </c>
      <c r="L493">
        <v>0</v>
      </c>
      <c r="M493">
        <v>0</v>
      </c>
      <c r="N493">
        <v>4.0599999999999996</v>
      </c>
    </row>
    <row r="494" spans="1:15" x14ac:dyDescent="0.35">
      <c r="A494">
        <v>2025</v>
      </c>
      <c r="B494">
        <v>66</v>
      </c>
      <c r="C494" t="s">
        <v>415</v>
      </c>
      <c r="D494">
        <v>0</v>
      </c>
      <c r="E494">
        <v>8</v>
      </c>
      <c r="F494">
        <v>0</v>
      </c>
      <c r="G494">
        <v>0</v>
      </c>
      <c r="H494">
        <v>0</v>
      </c>
      <c r="I494">
        <v>0</v>
      </c>
      <c r="J494">
        <v>0</v>
      </c>
      <c r="K494">
        <v>2</v>
      </c>
      <c r="L494">
        <v>0</v>
      </c>
      <c r="M494">
        <v>0</v>
      </c>
      <c r="N494">
        <v>4.0599999999999996</v>
      </c>
    </row>
    <row r="495" spans="1:15" x14ac:dyDescent="0.35">
      <c r="A495">
        <v>2025</v>
      </c>
      <c r="B495">
        <v>66</v>
      </c>
      <c r="C495" t="s">
        <v>416</v>
      </c>
      <c r="D495">
        <v>0</v>
      </c>
      <c r="E495">
        <v>0</v>
      </c>
      <c r="F495">
        <v>0</v>
      </c>
      <c r="G495">
        <v>0</v>
      </c>
      <c r="H495">
        <v>0</v>
      </c>
      <c r="I495">
        <v>0</v>
      </c>
      <c r="J495">
        <v>0</v>
      </c>
      <c r="K495">
        <v>0</v>
      </c>
      <c r="L495">
        <v>0</v>
      </c>
      <c r="M495">
        <v>0</v>
      </c>
      <c r="N495">
        <v>4.0599999999999996</v>
      </c>
    </row>
    <row r="496" spans="1:15" x14ac:dyDescent="0.35">
      <c r="A496">
        <v>2025</v>
      </c>
      <c r="B496">
        <v>66</v>
      </c>
      <c r="C496" t="s">
        <v>275</v>
      </c>
      <c r="D496">
        <v>0</v>
      </c>
      <c r="E496">
        <v>3.5</v>
      </c>
      <c r="F496">
        <v>0</v>
      </c>
      <c r="G496">
        <v>0</v>
      </c>
      <c r="H496">
        <v>0</v>
      </c>
      <c r="I496">
        <v>0</v>
      </c>
      <c r="J496">
        <v>2</v>
      </c>
      <c r="K496">
        <v>0</v>
      </c>
      <c r="L496">
        <v>0</v>
      </c>
      <c r="M496">
        <v>0</v>
      </c>
      <c r="N496">
        <v>4.0599999999999996</v>
      </c>
    </row>
    <row r="497" spans="1:14" x14ac:dyDescent="0.35">
      <c r="A497">
        <v>2025</v>
      </c>
      <c r="B497">
        <v>66</v>
      </c>
      <c r="C497" t="s">
        <v>417</v>
      </c>
      <c r="D497">
        <v>0</v>
      </c>
      <c r="E497">
        <v>0</v>
      </c>
      <c r="F497">
        <v>0</v>
      </c>
      <c r="G497">
        <v>0</v>
      </c>
      <c r="H497">
        <v>0</v>
      </c>
      <c r="I497">
        <v>0</v>
      </c>
      <c r="J497">
        <v>0</v>
      </c>
      <c r="K497">
        <v>0</v>
      </c>
      <c r="L497">
        <v>0</v>
      </c>
      <c r="M497">
        <v>0</v>
      </c>
      <c r="N497">
        <v>4.0599999999999996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B6C6-12D3-4570-8774-02EC12D8D43B}">
  <dimension ref="A1:N449"/>
  <sheetViews>
    <sheetView workbookViewId="0">
      <pane ySplit="1" topLeftCell="A222" activePane="bottomLeft" state="frozen"/>
      <selection pane="bottomLeft" activeCell="O1" sqref="O1:O1048576"/>
    </sheetView>
  </sheetViews>
  <sheetFormatPr defaultRowHeight="14.5" x14ac:dyDescent="0.35"/>
  <cols>
    <col min="1" max="1" width="11.6328125" customWidth="1"/>
    <col min="2" max="2" width="10.26953125" customWidth="1"/>
    <col min="4" max="4" width="22.7265625" customWidth="1"/>
    <col min="5" max="5" width="9.08984375" customWidth="1"/>
    <col min="6" max="6" width="11.453125" customWidth="1"/>
    <col min="15" max="15" width="17" customWidth="1"/>
    <col min="16" max="16" width="16.26953125" customWidth="1"/>
  </cols>
  <sheetData>
    <row r="1" spans="1:14" s="2" customFormat="1" ht="71.5" customHeight="1" x14ac:dyDescent="0.35">
      <c r="A1" s="2" t="s">
        <v>1231</v>
      </c>
      <c r="B1" s="2" t="s">
        <v>2</v>
      </c>
      <c r="C1" s="2" t="s">
        <v>49</v>
      </c>
      <c r="D1" s="2" t="s">
        <v>50</v>
      </c>
      <c r="E1" s="2" t="s">
        <v>52</v>
      </c>
      <c r="F1" s="2" t="s">
        <v>54</v>
      </c>
      <c r="G1" s="2" t="s">
        <v>56</v>
      </c>
      <c r="H1" s="2" t="s">
        <v>57</v>
      </c>
      <c r="I1" s="2" t="s">
        <v>58</v>
      </c>
      <c r="J1" s="2" t="s">
        <v>60</v>
      </c>
      <c r="K1" s="2" t="s">
        <v>62</v>
      </c>
      <c r="L1" s="2" t="s">
        <v>63</v>
      </c>
      <c r="M1" s="2" t="s">
        <v>64</v>
      </c>
      <c r="N1" s="2" t="s">
        <v>66</v>
      </c>
    </row>
    <row r="2" spans="1:14" x14ac:dyDescent="0.35">
      <c r="A2">
        <v>2024</v>
      </c>
      <c r="B2">
        <v>1</v>
      </c>
      <c r="C2" t="s">
        <v>273</v>
      </c>
      <c r="G2">
        <v>0</v>
      </c>
    </row>
    <row r="3" spans="1:14" x14ac:dyDescent="0.35">
      <c r="A3">
        <v>2024</v>
      </c>
      <c r="B3">
        <v>1</v>
      </c>
      <c r="C3" t="s">
        <v>292</v>
      </c>
      <c r="G3">
        <v>0</v>
      </c>
    </row>
    <row r="4" spans="1:14" x14ac:dyDescent="0.35">
      <c r="A4">
        <v>2024</v>
      </c>
      <c r="B4">
        <v>1</v>
      </c>
      <c r="C4" t="s">
        <v>267</v>
      </c>
      <c r="G4">
        <v>0</v>
      </c>
    </row>
    <row r="5" spans="1:14" x14ac:dyDescent="0.35">
      <c r="A5">
        <v>2024</v>
      </c>
      <c r="B5">
        <v>1</v>
      </c>
      <c r="C5" t="s">
        <v>277</v>
      </c>
      <c r="G5">
        <v>0</v>
      </c>
    </row>
    <row r="6" spans="1:14" x14ac:dyDescent="0.35">
      <c r="A6">
        <v>2024</v>
      </c>
      <c r="B6">
        <v>2</v>
      </c>
      <c r="C6" t="s">
        <v>273</v>
      </c>
      <c r="G6">
        <v>0</v>
      </c>
      <c r="H6" t="s">
        <v>180</v>
      </c>
      <c r="I6" t="s">
        <v>180</v>
      </c>
      <c r="J6" t="s">
        <v>180</v>
      </c>
      <c r="K6" t="s">
        <v>180</v>
      </c>
      <c r="L6" t="s">
        <v>180</v>
      </c>
      <c r="M6">
        <v>0</v>
      </c>
    </row>
    <row r="7" spans="1:14" x14ac:dyDescent="0.35">
      <c r="A7">
        <v>2024</v>
      </c>
      <c r="B7">
        <v>2</v>
      </c>
      <c r="C7" t="s">
        <v>292</v>
      </c>
      <c r="G7">
        <v>4</v>
      </c>
      <c r="H7" t="s">
        <v>180</v>
      </c>
      <c r="I7" t="s">
        <v>180</v>
      </c>
      <c r="J7" t="s">
        <v>180</v>
      </c>
      <c r="K7" t="s">
        <v>180</v>
      </c>
      <c r="L7" t="s">
        <v>180</v>
      </c>
      <c r="M7">
        <v>0</v>
      </c>
    </row>
    <row r="8" spans="1:14" x14ac:dyDescent="0.35">
      <c r="A8">
        <v>2024</v>
      </c>
      <c r="B8">
        <v>2</v>
      </c>
      <c r="C8" t="s">
        <v>267</v>
      </c>
      <c r="G8">
        <v>2</v>
      </c>
      <c r="H8" t="s">
        <v>180</v>
      </c>
      <c r="I8" t="s">
        <v>180</v>
      </c>
      <c r="J8" t="s">
        <v>180</v>
      </c>
      <c r="K8" t="s">
        <v>180</v>
      </c>
      <c r="L8" t="s">
        <v>180</v>
      </c>
      <c r="M8">
        <v>0</v>
      </c>
    </row>
    <row r="9" spans="1:14" x14ac:dyDescent="0.35">
      <c r="A9">
        <v>2024</v>
      </c>
      <c r="B9">
        <v>2</v>
      </c>
      <c r="C9" t="s">
        <v>277</v>
      </c>
      <c r="G9">
        <v>2</v>
      </c>
      <c r="H9" t="s">
        <v>180</v>
      </c>
      <c r="I9" t="s">
        <v>180</v>
      </c>
      <c r="J9" t="s">
        <v>180</v>
      </c>
      <c r="K9" t="s">
        <v>180</v>
      </c>
      <c r="L9" t="s">
        <v>180</v>
      </c>
      <c r="M9">
        <v>0</v>
      </c>
    </row>
    <row r="10" spans="1:14" x14ac:dyDescent="0.35">
      <c r="A10">
        <v>2024</v>
      </c>
      <c r="B10">
        <v>3</v>
      </c>
      <c r="C10" t="s">
        <v>273</v>
      </c>
      <c r="G10">
        <v>2</v>
      </c>
      <c r="H10" t="s">
        <v>180</v>
      </c>
      <c r="I10" t="s">
        <v>180</v>
      </c>
      <c r="J10" t="s">
        <v>180</v>
      </c>
      <c r="K10" t="s">
        <v>180</v>
      </c>
      <c r="L10" t="s">
        <v>180</v>
      </c>
      <c r="M10">
        <v>0</v>
      </c>
    </row>
    <row r="11" spans="1:14" x14ac:dyDescent="0.35">
      <c r="A11">
        <v>2024</v>
      </c>
      <c r="B11">
        <v>3</v>
      </c>
      <c r="C11" t="s">
        <v>292</v>
      </c>
      <c r="G11">
        <v>1</v>
      </c>
      <c r="H11" t="s">
        <v>180</v>
      </c>
      <c r="I11" t="s">
        <v>180</v>
      </c>
      <c r="J11" t="s">
        <v>180</v>
      </c>
      <c r="K11" t="s">
        <v>180</v>
      </c>
      <c r="L11" t="s">
        <v>180</v>
      </c>
      <c r="M11">
        <v>0</v>
      </c>
    </row>
    <row r="12" spans="1:14" x14ac:dyDescent="0.35">
      <c r="A12">
        <v>2024</v>
      </c>
      <c r="B12">
        <v>3</v>
      </c>
      <c r="C12" t="s">
        <v>267</v>
      </c>
      <c r="G12">
        <v>2</v>
      </c>
      <c r="H12" t="s">
        <v>180</v>
      </c>
      <c r="I12" t="s">
        <v>180</v>
      </c>
      <c r="J12" t="s">
        <v>179</v>
      </c>
      <c r="K12" t="s">
        <v>179</v>
      </c>
      <c r="L12" t="s">
        <v>180</v>
      </c>
      <c r="M12">
        <v>50</v>
      </c>
    </row>
    <row r="13" spans="1:14" x14ac:dyDescent="0.35">
      <c r="A13">
        <v>2024</v>
      </c>
      <c r="B13">
        <v>3</v>
      </c>
      <c r="C13" t="s">
        <v>277</v>
      </c>
      <c r="G13">
        <v>3</v>
      </c>
      <c r="H13" t="s">
        <v>180</v>
      </c>
      <c r="I13" t="s">
        <v>180</v>
      </c>
      <c r="J13" t="s">
        <v>180</v>
      </c>
      <c r="K13" t="s">
        <v>180</v>
      </c>
      <c r="L13" t="s">
        <v>180</v>
      </c>
      <c r="M13">
        <v>0</v>
      </c>
    </row>
    <row r="14" spans="1:14" x14ac:dyDescent="0.35">
      <c r="A14">
        <v>2024</v>
      </c>
      <c r="B14">
        <v>95</v>
      </c>
      <c r="C14" t="s">
        <v>273</v>
      </c>
      <c r="G14">
        <v>3</v>
      </c>
    </row>
    <row r="15" spans="1:14" x14ac:dyDescent="0.35">
      <c r="A15">
        <v>2024</v>
      </c>
      <c r="B15">
        <v>95</v>
      </c>
      <c r="C15" t="s">
        <v>292</v>
      </c>
      <c r="G15">
        <v>0</v>
      </c>
    </row>
    <row r="16" spans="1:14" x14ac:dyDescent="0.35">
      <c r="A16">
        <v>2024</v>
      </c>
      <c r="B16">
        <v>95</v>
      </c>
      <c r="C16" t="s">
        <v>267</v>
      </c>
      <c r="G16">
        <v>1</v>
      </c>
    </row>
    <row r="17" spans="1:14" x14ac:dyDescent="0.35">
      <c r="A17">
        <v>2024</v>
      </c>
      <c r="B17">
        <v>95</v>
      </c>
      <c r="C17" t="s">
        <v>277</v>
      </c>
      <c r="G17">
        <v>1</v>
      </c>
    </row>
    <row r="18" spans="1:14" x14ac:dyDescent="0.35">
      <c r="A18">
        <v>2024</v>
      </c>
      <c r="B18">
        <v>49</v>
      </c>
      <c r="C18" t="s">
        <v>273</v>
      </c>
      <c r="G18">
        <v>1</v>
      </c>
    </row>
    <row r="19" spans="1:14" x14ac:dyDescent="0.35">
      <c r="A19">
        <v>2024</v>
      </c>
      <c r="B19">
        <v>49</v>
      </c>
      <c r="C19" t="s">
        <v>292</v>
      </c>
      <c r="G19">
        <v>1</v>
      </c>
    </row>
    <row r="20" spans="1:14" x14ac:dyDescent="0.35">
      <c r="A20">
        <v>2024</v>
      </c>
      <c r="B20">
        <v>49</v>
      </c>
      <c r="C20" t="s">
        <v>267</v>
      </c>
      <c r="G20">
        <v>4</v>
      </c>
    </row>
    <row r="21" spans="1:14" x14ac:dyDescent="0.35">
      <c r="A21">
        <v>2024</v>
      </c>
      <c r="B21">
        <v>49</v>
      </c>
      <c r="C21" t="s">
        <v>277</v>
      </c>
      <c r="G21">
        <v>0</v>
      </c>
    </row>
    <row r="22" spans="1:14" x14ac:dyDescent="0.35">
      <c r="A22">
        <v>2024</v>
      </c>
      <c r="B22">
        <v>50</v>
      </c>
      <c r="C22" t="s">
        <v>273</v>
      </c>
      <c r="G22">
        <v>0</v>
      </c>
    </row>
    <row r="23" spans="1:14" x14ac:dyDescent="0.35">
      <c r="A23">
        <v>2024</v>
      </c>
      <c r="B23">
        <v>50</v>
      </c>
      <c r="C23" t="s">
        <v>292</v>
      </c>
      <c r="G23">
        <v>3</v>
      </c>
    </row>
    <row r="24" spans="1:14" x14ac:dyDescent="0.35">
      <c r="A24">
        <v>2024</v>
      </c>
      <c r="B24">
        <v>50</v>
      </c>
      <c r="C24" t="s">
        <v>267</v>
      </c>
      <c r="G24">
        <v>0</v>
      </c>
    </row>
    <row r="25" spans="1:14" x14ac:dyDescent="0.35">
      <c r="A25">
        <v>2024</v>
      </c>
      <c r="B25">
        <v>50</v>
      </c>
      <c r="C25" t="s">
        <v>277</v>
      </c>
      <c r="G25">
        <v>0</v>
      </c>
    </row>
    <row r="26" spans="1:14" x14ac:dyDescent="0.35">
      <c r="A26">
        <v>2024</v>
      </c>
      <c r="B26">
        <v>53</v>
      </c>
      <c r="C26" t="s">
        <v>273</v>
      </c>
      <c r="G26">
        <v>26</v>
      </c>
      <c r="N26" t="s">
        <v>402</v>
      </c>
    </row>
    <row r="27" spans="1:14" x14ac:dyDescent="0.35">
      <c r="A27">
        <v>2024</v>
      </c>
      <c r="B27">
        <v>53</v>
      </c>
      <c r="C27" t="s">
        <v>292</v>
      </c>
      <c r="G27">
        <v>20</v>
      </c>
    </row>
    <row r="28" spans="1:14" x14ac:dyDescent="0.35">
      <c r="A28">
        <v>2024</v>
      </c>
      <c r="B28">
        <v>53</v>
      </c>
      <c r="C28" t="s">
        <v>267</v>
      </c>
      <c r="G28">
        <v>14</v>
      </c>
    </row>
    <row r="29" spans="1:14" x14ac:dyDescent="0.35">
      <c r="A29">
        <v>2024</v>
      </c>
      <c r="B29">
        <v>53</v>
      </c>
      <c r="C29" t="s">
        <v>277</v>
      </c>
      <c r="G29">
        <v>28</v>
      </c>
    </row>
    <row r="30" spans="1:14" x14ac:dyDescent="0.35">
      <c r="A30">
        <v>2024</v>
      </c>
      <c r="B30">
        <v>94</v>
      </c>
      <c r="C30" t="s">
        <v>273</v>
      </c>
      <c r="G30">
        <v>14</v>
      </c>
    </row>
    <row r="31" spans="1:14" x14ac:dyDescent="0.35">
      <c r="A31">
        <v>2024</v>
      </c>
      <c r="B31">
        <v>94</v>
      </c>
      <c r="C31" t="s">
        <v>292</v>
      </c>
      <c r="G31">
        <v>22</v>
      </c>
    </row>
    <row r="32" spans="1:14" x14ac:dyDescent="0.35">
      <c r="A32">
        <v>2024</v>
      </c>
      <c r="B32">
        <v>94</v>
      </c>
      <c r="C32" t="s">
        <v>267</v>
      </c>
      <c r="G32">
        <v>1</v>
      </c>
    </row>
    <row r="33" spans="1:7" x14ac:dyDescent="0.35">
      <c r="A33">
        <v>2024</v>
      </c>
      <c r="B33">
        <v>94</v>
      </c>
      <c r="C33" t="s">
        <v>277</v>
      </c>
      <c r="G33">
        <v>1</v>
      </c>
    </row>
    <row r="34" spans="1:7" x14ac:dyDescent="0.35">
      <c r="A34">
        <v>2024</v>
      </c>
      <c r="B34">
        <v>97</v>
      </c>
      <c r="C34" t="s">
        <v>273</v>
      </c>
      <c r="G34">
        <v>8</v>
      </c>
    </row>
    <row r="35" spans="1:7" x14ac:dyDescent="0.35">
      <c r="A35">
        <v>2024</v>
      </c>
      <c r="B35">
        <v>97</v>
      </c>
      <c r="C35" t="s">
        <v>292</v>
      </c>
      <c r="G35">
        <v>3</v>
      </c>
    </row>
    <row r="36" spans="1:7" x14ac:dyDescent="0.35">
      <c r="A36">
        <v>2024</v>
      </c>
      <c r="B36">
        <v>97</v>
      </c>
      <c r="C36" t="s">
        <v>267</v>
      </c>
      <c r="G36">
        <v>2</v>
      </c>
    </row>
    <row r="37" spans="1:7" x14ac:dyDescent="0.35">
      <c r="A37">
        <v>2024</v>
      </c>
      <c r="B37">
        <v>97</v>
      </c>
      <c r="C37" t="s">
        <v>277</v>
      </c>
      <c r="G37">
        <v>0</v>
      </c>
    </row>
    <row r="38" spans="1:7" x14ac:dyDescent="0.35">
      <c r="A38">
        <v>2024</v>
      </c>
      <c r="B38">
        <v>98</v>
      </c>
      <c r="C38" t="s">
        <v>273</v>
      </c>
      <c r="G38">
        <v>0</v>
      </c>
    </row>
    <row r="39" spans="1:7" x14ac:dyDescent="0.35">
      <c r="A39">
        <v>2024</v>
      </c>
      <c r="B39">
        <v>98</v>
      </c>
      <c r="C39" t="s">
        <v>292</v>
      </c>
      <c r="G39">
        <v>0</v>
      </c>
    </row>
    <row r="40" spans="1:7" x14ac:dyDescent="0.35">
      <c r="A40">
        <v>2024</v>
      </c>
      <c r="B40">
        <v>98</v>
      </c>
      <c r="C40" t="s">
        <v>267</v>
      </c>
      <c r="G40">
        <v>0</v>
      </c>
    </row>
    <row r="41" spans="1:7" x14ac:dyDescent="0.35">
      <c r="A41">
        <v>2024</v>
      </c>
      <c r="B41">
        <v>98</v>
      </c>
      <c r="C41" t="s">
        <v>277</v>
      </c>
      <c r="G41">
        <v>0</v>
      </c>
    </row>
    <row r="42" spans="1:7" x14ac:dyDescent="0.35">
      <c r="A42">
        <v>2024</v>
      </c>
      <c r="B42">
        <v>99</v>
      </c>
      <c r="C42" t="s">
        <v>273</v>
      </c>
      <c r="G42">
        <v>0</v>
      </c>
    </row>
    <row r="43" spans="1:7" x14ac:dyDescent="0.35">
      <c r="A43">
        <v>2024</v>
      </c>
      <c r="B43">
        <v>99</v>
      </c>
      <c r="C43" t="s">
        <v>292</v>
      </c>
      <c r="G43">
        <v>0</v>
      </c>
    </row>
    <row r="44" spans="1:7" x14ac:dyDescent="0.35">
      <c r="A44">
        <v>2024</v>
      </c>
      <c r="B44">
        <v>99</v>
      </c>
      <c r="C44" t="s">
        <v>267</v>
      </c>
      <c r="G44">
        <v>0</v>
      </c>
    </row>
    <row r="45" spans="1:7" x14ac:dyDescent="0.35">
      <c r="A45">
        <v>2024</v>
      </c>
      <c r="B45">
        <v>99</v>
      </c>
      <c r="C45" t="s">
        <v>277</v>
      </c>
      <c r="G45">
        <v>0</v>
      </c>
    </row>
    <row r="46" spans="1:7" x14ac:dyDescent="0.35">
      <c r="A46">
        <v>2024</v>
      </c>
      <c r="B46">
        <v>96</v>
      </c>
      <c r="C46" t="s">
        <v>273</v>
      </c>
      <c r="G46">
        <v>8</v>
      </c>
    </row>
    <row r="47" spans="1:7" x14ac:dyDescent="0.35">
      <c r="A47">
        <v>2024</v>
      </c>
      <c r="B47">
        <v>96</v>
      </c>
      <c r="C47" t="s">
        <v>292</v>
      </c>
      <c r="G47">
        <v>16</v>
      </c>
    </row>
    <row r="48" spans="1:7" x14ac:dyDescent="0.35">
      <c r="A48">
        <v>2024</v>
      </c>
      <c r="B48">
        <v>96</v>
      </c>
      <c r="C48" t="s">
        <v>267</v>
      </c>
      <c r="G48">
        <v>15</v>
      </c>
    </row>
    <row r="49" spans="1:13" x14ac:dyDescent="0.35">
      <c r="A49">
        <v>2024</v>
      </c>
      <c r="B49">
        <v>96</v>
      </c>
      <c r="C49" t="s">
        <v>277</v>
      </c>
      <c r="G49">
        <v>6</v>
      </c>
    </row>
    <row r="50" spans="1:13" x14ac:dyDescent="0.35">
      <c r="A50">
        <v>2024</v>
      </c>
      <c r="B50">
        <v>51</v>
      </c>
      <c r="C50" t="s">
        <v>273</v>
      </c>
      <c r="G50">
        <v>2</v>
      </c>
      <c r="H50" t="s">
        <v>180</v>
      </c>
      <c r="I50" t="s">
        <v>180</v>
      </c>
      <c r="J50" t="s">
        <v>180</v>
      </c>
      <c r="K50" t="s">
        <v>180</v>
      </c>
      <c r="L50" t="s">
        <v>180</v>
      </c>
      <c r="M50">
        <v>0</v>
      </c>
    </row>
    <row r="51" spans="1:13" x14ac:dyDescent="0.35">
      <c r="A51">
        <v>2024</v>
      </c>
      <c r="B51">
        <v>51</v>
      </c>
      <c r="C51" t="s">
        <v>292</v>
      </c>
      <c r="G51">
        <v>1</v>
      </c>
      <c r="H51" t="s">
        <v>180</v>
      </c>
      <c r="I51" t="s">
        <v>180</v>
      </c>
      <c r="J51" t="s">
        <v>180</v>
      </c>
      <c r="K51" t="s">
        <v>180</v>
      </c>
      <c r="L51" t="s">
        <v>180</v>
      </c>
      <c r="M51">
        <v>0</v>
      </c>
    </row>
    <row r="52" spans="1:13" x14ac:dyDescent="0.35">
      <c r="A52">
        <v>2024</v>
      </c>
      <c r="B52">
        <v>51</v>
      </c>
      <c r="C52" t="s">
        <v>267</v>
      </c>
      <c r="G52">
        <v>0</v>
      </c>
      <c r="H52" t="s">
        <v>205</v>
      </c>
      <c r="I52" t="s">
        <v>205</v>
      </c>
      <c r="J52" t="s">
        <v>205</v>
      </c>
      <c r="K52" t="s">
        <v>205</v>
      </c>
      <c r="L52" t="s">
        <v>205</v>
      </c>
      <c r="M52" t="s">
        <v>205</v>
      </c>
    </row>
    <row r="53" spans="1:13" x14ac:dyDescent="0.35">
      <c r="A53">
        <v>2024</v>
      </c>
      <c r="B53">
        <v>51</v>
      </c>
      <c r="C53" t="s">
        <v>277</v>
      </c>
      <c r="G53">
        <v>0</v>
      </c>
      <c r="H53" t="s">
        <v>205</v>
      </c>
      <c r="I53" t="s">
        <v>205</v>
      </c>
      <c r="J53" t="s">
        <v>205</v>
      </c>
      <c r="K53" t="s">
        <v>205</v>
      </c>
      <c r="L53" t="s">
        <v>205</v>
      </c>
      <c r="M53" t="s">
        <v>205</v>
      </c>
    </row>
    <row r="54" spans="1:13" x14ac:dyDescent="0.35">
      <c r="A54">
        <v>2024</v>
      </c>
      <c r="B54">
        <v>52</v>
      </c>
      <c r="C54" t="s">
        <v>273</v>
      </c>
      <c r="G54">
        <v>4</v>
      </c>
      <c r="H54" t="s">
        <v>180</v>
      </c>
      <c r="I54" t="s">
        <v>180</v>
      </c>
      <c r="J54" t="s">
        <v>180</v>
      </c>
      <c r="K54" t="s">
        <v>180</v>
      </c>
      <c r="L54" t="s">
        <v>180</v>
      </c>
      <c r="M54">
        <v>0</v>
      </c>
    </row>
    <row r="55" spans="1:13" x14ac:dyDescent="0.35">
      <c r="A55">
        <v>2024</v>
      </c>
      <c r="B55">
        <v>52</v>
      </c>
      <c r="C55" t="s">
        <v>292</v>
      </c>
      <c r="G55">
        <v>1</v>
      </c>
      <c r="H55" t="s">
        <v>180</v>
      </c>
      <c r="I55" t="s">
        <v>180</v>
      </c>
      <c r="J55" t="s">
        <v>180</v>
      </c>
      <c r="K55" t="s">
        <v>180</v>
      </c>
      <c r="L55" t="s">
        <v>180</v>
      </c>
      <c r="M55">
        <v>0</v>
      </c>
    </row>
    <row r="56" spans="1:13" x14ac:dyDescent="0.35">
      <c r="A56">
        <v>2024</v>
      </c>
      <c r="B56">
        <v>52</v>
      </c>
      <c r="C56" t="s">
        <v>267</v>
      </c>
      <c r="G56">
        <v>1</v>
      </c>
      <c r="H56" t="s">
        <v>180</v>
      </c>
      <c r="I56" t="s">
        <v>180</v>
      </c>
      <c r="J56" t="s">
        <v>180</v>
      </c>
      <c r="K56" t="s">
        <v>180</v>
      </c>
      <c r="L56" t="s">
        <v>180</v>
      </c>
      <c r="M56">
        <v>0</v>
      </c>
    </row>
    <row r="57" spans="1:13" x14ac:dyDescent="0.35">
      <c r="A57">
        <v>2024</v>
      </c>
      <c r="B57">
        <v>52</v>
      </c>
      <c r="C57" t="s">
        <v>277</v>
      </c>
      <c r="G57">
        <v>3</v>
      </c>
      <c r="H57" t="s">
        <v>180</v>
      </c>
      <c r="I57" t="s">
        <v>180</v>
      </c>
      <c r="J57" t="s">
        <v>179</v>
      </c>
      <c r="K57" t="s">
        <v>180</v>
      </c>
      <c r="L57" t="s">
        <v>180</v>
      </c>
      <c r="M57">
        <v>33</v>
      </c>
    </row>
    <row r="58" spans="1:13" x14ac:dyDescent="0.35">
      <c r="A58">
        <v>2024</v>
      </c>
      <c r="B58">
        <v>54</v>
      </c>
      <c r="C58" t="s">
        <v>273</v>
      </c>
      <c r="G58">
        <v>0</v>
      </c>
      <c r="H58" t="s">
        <v>205</v>
      </c>
      <c r="I58" t="s">
        <v>205</v>
      </c>
      <c r="J58" t="s">
        <v>205</v>
      </c>
      <c r="K58" t="s">
        <v>205</v>
      </c>
      <c r="L58" t="s">
        <v>205</v>
      </c>
      <c r="M58" t="s">
        <v>205</v>
      </c>
    </row>
    <row r="59" spans="1:13" x14ac:dyDescent="0.35">
      <c r="A59">
        <v>2024</v>
      </c>
      <c r="B59">
        <v>54</v>
      </c>
      <c r="C59" t="s">
        <v>292</v>
      </c>
      <c r="G59">
        <v>0</v>
      </c>
      <c r="H59" t="s">
        <v>205</v>
      </c>
      <c r="I59" t="s">
        <v>205</v>
      </c>
      <c r="J59" t="s">
        <v>205</v>
      </c>
      <c r="K59" t="s">
        <v>205</v>
      </c>
      <c r="L59" t="s">
        <v>205</v>
      </c>
      <c r="M59" t="s">
        <v>205</v>
      </c>
    </row>
    <row r="60" spans="1:13" x14ac:dyDescent="0.35">
      <c r="A60">
        <v>2024</v>
      </c>
      <c r="B60">
        <v>54</v>
      </c>
      <c r="C60" t="s">
        <v>267</v>
      </c>
      <c r="G60">
        <v>0</v>
      </c>
      <c r="H60" t="s">
        <v>205</v>
      </c>
      <c r="I60" t="s">
        <v>205</v>
      </c>
      <c r="J60" t="s">
        <v>205</v>
      </c>
      <c r="K60" t="s">
        <v>205</v>
      </c>
      <c r="L60" t="s">
        <v>205</v>
      </c>
      <c r="M60" t="s">
        <v>205</v>
      </c>
    </row>
    <row r="61" spans="1:13" x14ac:dyDescent="0.35">
      <c r="A61">
        <v>2024</v>
      </c>
      <c r="B61">
        <v>54</v>
      </c>
      <c r="C61" t="s">
        <v>277</v>
      </c>
      <c r="G61">
        <v>0</v>
      </c>
      <c r="H61" t="s">
        <v>205</v>
      </c>
      <c r="I61" t="s">
        <v>205</v>
      </c>
      <c r="J61" t="s">
        <v>205</v>
      </c>
      <c r="K61" t="s">
        <v>205</v>
      </c>
      <c r="L61" t="s">
        <v>205</v>
      </c>
      <c r="M61" t="s">
        <v>205</v>
      </c>
    </row>
    <row r="62" spans="1:13" s="11" customFormat="1" x14ac:dyDescent="0.35">
      <c r="A62">
        <v>2024</v>
      </c>
      <c r="B62" s="11">
        <v>39</v>
      </c>
      <c r="C62" s="11" t="s">
        <v>273</v>
      </c>
      <c r="D62" s="11" t="s">
        <v>289</v>
      </c>
      <c r="E62" s="11" t="s">
        <v>179</v>
      </c>
      <c r="F62" s="11" t="s">
        <v>180</v>
      </c>
      <c r="G62" s="11">
        <v>2</v>
      </c>
      <c r="H62" s="11" t="s">
        <v>180</v>
      </c>
      <c r="I62" s="11" t="s">
        <v>180</v>
      </c>
      <c r="J62" s="11" t="s">
        <v>180</v>
      </c>
      <c r="K62" s="11" t="s">
        <v>180</v>
      </c>
      <c r="L62" s="11" t="s">
        <v>180</v>
      </c>
      <c r="M62" s="11">
        <v>0</v>
      </c>
    </row>
    <row r="63" spans="1:13" x14ac:dyDescent="0.35">
      <c r="A63">
        <v>2024</v>
      </c>
      <c r="B63">
        <v>39</v>
      </c>
      <c r="C63" t="s">
        <v>292</v>
      </c>
      <c r="D63" t="s">
        <v>205</v>
      </c>
      <c r="G63">
        <v>0</v>
      </c>
      <c r="H63" t="s">
        <v>205</v>
      </c>
      <c r="I63" t="s">
        <v>205</v>
      </c>
      <c r="J63" t="s">
        <v>205</v>
      </c>
      <c r="K63" t="s">
        <v>205</v>
      </c>
      <c r="L63" t="s">
        <v>205</v>
      </c>
      <c r="M63" t="s">
        <v>205</v>
      </c>
    </row>
    <row r="64" spans="1:13" x14ac:dyDescent="0.35">
      <c r="A64">
        <v>2024</v>
      </c>
      <c r="B64">
        <v>39</v>
      </c>
      <c r="C64" t="s">
        <v>267</v>
      </c>
      <c r="D64" t="s">
        <v>205</v>
      </c>
      <c r="G64">
        <v>0</v>
      </c>
      <c r="H64" t="s">
        <v>205</v>
      </c>
      <c r="I64" t="s">
        <v>205</v>
      </c>
      <c r="J64" t="s">
        <v>205</v>
      </c>
      <c r="K64" t="s">
        <v>205</v>
      </c>
      <c r="L64" t="s">
        <v>205</v>
      </c>
      <c r="M64" t="s">
        <v>205</v>
      </c>
    </row>
    <row r="65" spans="1:13" x14ac:dyDescent="0.35">
      <c r="A65">
        <v>2024</v>
      </c>
      <c r="B65">
        <v>39</v>
      </c>
      <c r="C65" t="s">
        <v>277</v>
      </c>
      <c r="D65" t="s">
        <v>403</v>
      </c>
      <c r="E65" t="s">
        <v>179</v>
      </c>
      <c r="F65" t="s">
        <v>179</v>
      </c>
      <c r="G65">
        <v>3</v>
      </c>
      <c r="H65" t="s">
        <v>180</v>
      </c>
      <c r="I65" t="s">
        <v>180</v>
      </c>
      <c r="J65" t="s">
        <v>180</v>
      </c>
      <c r="K65" t="s">
        <v>180</v>
      </c>
      <c r="L65" t="s">
        <v>180</v>
      </c>
      <c r="M65">
        <v>0</v>
      </c>
    </row>
    <row r="66" spans="1:13" x14ac:dyDescent="0.35">
      <c r="A66">
        <v>2024</v>
      </c>
      <c r="B66">
        <v>38</v>
      </c>
      <c r="C66" s="11" t="s">
        <v>273</v>
      </c>
      <c r="D66" t="s">
        <v>403</v>
      </c>
      <c r="E66" t="s">
        <v>179</v>
      </c>
      <c r="F66" t="s">
        <v>179</v>
      </c>
      <c r="G66">
        <v>4</v>
      </c>
      <c r="H66" t="s">
        <v>180</v>
      </c>
      <c r="I66" t="s">
        <v>180</v>
      </c>
      <c r="J66" t="s">
        <v>180</v>
      </c>
      <c r="K66" t="s">
        <v>180</v>
      </c>
      <c r="L66" t="s">
        <v>180</v>
      </c>
      <c r="M66">
        <v>0</v>
      </c>
    </row>
    <row r="67" spans="1:13" x14ac:dyDescent="0.35">
      <c r="A67">
        <v>2024</v>
      </c>
      <c r="B67">
        <v>38</v>
      </c>
      <c r="C67" t="s">
        <v>292</v>
      </c>
      <c r="D67" t="s">
        <v>404</v>
      </c>
      <c r="E67" t="s">
        <v>179</v>
      </c>
      <c r="F67" t="s">
        <v>179</v>
      </c>
      <c r="G67">
        <v>2</v>
      </c>
      <c r="H67" t="s">
        <v>180</v>
      </c>
      <c r="I67" t="s">
        <v>180</v>
      </c>
      <c r="J67" t="s">
        <v>180</v>
      </c>
      <c r="K67" t="s">
        <v>180</v>
      </c>
      <c r="L67" t="s">
        <v>180</v>
      </c>
      <c r="M67">
        <v>0</v>
      </c>
    </row>
    <row r="68" spans="1:13" x14ac:dyDescent="0.35">
      <c r="A68">
        <v>2024</v>
      </c>
      <c r="B68">
        <v>38</v>
      </c>
      <c r="C68" t="s">
        <v>267</v>
      </c>
      <c r="D68" t="s">
        <v>404</v>
      </c>
      <c r="E68" t="s">
        <v>179</v>
      </c>
      <c r="F68" t="s">
        <v>179</v>
      </c>
      <c r="G68">
        <v>3</v>
      </c>
      <c r="H68" t="s">
        <v>180</v>
      </c>
      <c r="I68" t="s">
        <v>180</v>
      </c>
      <c r="J68" t="s">
        <v>180</v>
      </c>
      <c r="K68" t="s">
        <v>180</v>
      </c>
      <c r="L68" t="s">
        <v>180</v>
      </c>
      <c r="M68">
        <v>0</v>
      </c>
    </row>
    <row r="69" spans="1:13" x14ac:dyDescent="0.35">
      <c r="A69">
        <v>2024</v>
      </c>
      <c r="B69">
        <v>38</v>
      </c>
      <c r="C69" t="s">
        <v>277</v>
      </c>
      <c r="D69" t="s">
        <v>289</v>
      </c>
      <c r="E69" t="s">
        <v>179</v>
      </c>
      <c r="F69" t="s">
        <v>180</v>
      </c>
      <c r="G69">
        <v>1</v>
      </c>
      <c r="H69" t="s">
        <v>180</v>
      </c>
      <c r="I69" t="s">
        <v>180</v>
      </c>
      <c r="J69" t="s">
        <v>180</v>
      </c>
      <c r="K69" t="s">
        <v>179</v>
      </c>
      <c r="L69" t="s">
        <v>180</v>
      </c>
      <c r="M69">
        <v>100</v>
      </c>
    </row>
    <row r="70" spans="1:13" x14ac:dyDescent="0.35">
      <c r="A70">
        <v>2024</v>
      </c>
      <c r="B70">
        <v>37</v>
      </c>
      <c r="C70" s="11" t="s">
        <v>273</v>
      </c>
      <c r="D70" t="s">
        <v>205</v>
      </c>
      <c r="G70">
        <v>0</v>
      </c>
      <c r="H70" t="s">
        <v>205</v>
      </c>
      <c r="I70" t="s">
        <v>205</v>
      </c>
      <c r="J70" t="s">
        <v>205</v>
      </c>
      <c r="K70" t="s">
        <v>205</v>
      </c>
      <c r="L70" t="s">
        <v>205</v>
      </c>
      <c r="M70" t="s">
        <v>205</v>
      </c>
    </row>
    <row r="71" spans="1:13" x14ac:dyDescent="0.35">
      <c r="A71">
        <v>2024</v>
      </c>
      <c r="B71">
        <v>37</v>
      </c>
      <c r="C71" t="s">
        <v>292</v>
      </c>
      <c r="D71" t="s">
        <v>289</v>
      </c>
      <c r="E71" t="s">
        <v>179</v>
      </c>
      <c r="F71" t="s">
        <v>180</v>
      </c>
      <c r="G71">
        <v>1</v>
      </c>
      <c r="H71" t="s">
        <v>180</v>
      </c>
      <c r="I71" t="s">
        <v>180</v>
      </c>
      <c r="J71" t="s">
        <v>180</v>
      </c>
      <c r="K71" t="s">
        <v>180</v>
      </c>
      <c r="L71" t="s">
        <v>180</v>
      </c>
      <c r="M71">
        <v>0</v>
      </c>
    </row>
    <row r="72" spans="1:13" x14ac:dyDescent="0.35">
      <c r="A72">
        <v>2024</v>
      </c>
      <c r="B72">
        <v>37</v>
      </c>
      <c r="C72" t="s">
        <v>267</v>
      </c>
      <c r="D72" t="s">
        <v>403</v>
      </c>
      <c r="E72" t="s">
        <v>179</v>
      </c>
      <c r="F72" t="s">
        <v>179</v>
      </c>
      <c r="G72">
        <v>4</v>
      </c>
      <c r="H72" t="s">
        <v>180</v>
      </c>
      <c r="I72" t="s">
        <v>180</v>
      </c>
      <c r="J72" t="s">
        <v>179</v>
      </c>
      <c r="K72" t="s">
        <v>180</v>
      </c>
      <c r="L72" t="s">
        <v>180</v>
      </c>
      <c r="M72">
        <v>25</v>
      </c>
    </row>
    <row r="73" spans="1:13" x14ac:dyDescent="0.35">
      <c r="A73">
        <v>2024</v>
      </c>
      <c r="B73">
        <v>37</v>
      </c>
      <c r="C73" t="s">
        <v>277</v>
      </c>
      <c r="D73" t="s">
        <v>289</v>
      </c>
      <c r="E73" t="s">
        <v>179</v>
      </c>
      <c r="F73" t="s">
        <v>180</v>
      </c>
      <c r="G73">
        <v>1</v>
      </c>
      <c r="H73" t="s">
        <v>180</v>
      </c>
      <c r="I73" t="s">
        <v>180</v>
      </c>
      <c r="J73" t="s">
        <v>180</v>
      </c>
      <c r="K73" t="s">
        <v>180</v>
      </c>
      <c r="L73" t="s">
        <v>180</v>
      </c>
      <c r="M73">
        <v>0</v>
      </c>
    </row>
    <row r="74" spans="1:13" x14ac:dyDescent="0.35">
      <c r="A74">
        <v>2024</v>
      </c>
      <c r="B74">
        <v>25</v>
      </c>
      <c r="C74" t="s">
        <v>273</v>
      </c>
      <c r="D74" t="s">
        <v>289</v>
      </c>
      <c r="E74" t="s">
        <v>179</v>
      </c>
      <c r="F74" t="s">
        <v>180</v>
      </c>
      <c r="G74">
        <v>1</v>
      </c>
      <c r="H74" t="s">
        <v>180</v>
      </c>
      <c r="I74" t="s">
        <v>180</v>
      </c>
      <c r="J74" t="s">
        <v>180</v>
      </c>
      <c r="K74" t="s">
        <v>180</v>
      </c>
      <c r="L74" t="s">
        <v>180</v>
      </c>
      <c r="M74">
        <v>0</v>
      </c>
    </row>
    <row r="75" spans="1:13" x14ac:dyDescent="0.35">
      <c r="A75">
        <v>2024</v>
      </c>
      <c r="B75">
        <v>25</v>
      </c>
      <c r="C75" t="s">
        <v>292</v>
      </c>
      <c r="D75" t="s">
        <v>404</v>
      </c>
      <c r="E75" t="s">
        <v>179</v>
      </c>
      <c r="F75" t="s">
        <v>179</v>
      </c>
      <c r="G75">
        <v>8</v>
      </c>
      <c r="H75" t="s">
        <v>180</v>
      </c>
      <c r="I75" t="s">
        <v>179</v>
      </c>
      <c r="J75" t="s">
        <v>179</v>
      </c>
      <c r="K75" t="s">
        <v>180</v>
      </c>
      <c r="L75" t="s">
        <v>179</v>
      </c>
      <c r="M75">
        <v>50</v>
      </c>
    </row>
    <row r="76" spans="1:13" x14ac:dyDescent="0.35">
      <c r="A76">
        <v>2024</v>
      </c>
      <c r="B76">
        <v>25</v>
      </c>
      <c r="C76" t="s">
        <v>267</v>
      </c>
      <c r="D76" t="s">
        <v>404</v>
      </c>
      <c r="E76" t="s">
        <v>179</v>
      </c>
      <c r="F76" t="s">
        <v>179</v>
      </c>
      <c r="G76">
        <v>12</v>
      </c>
      <c r="H76" t="s">
        <v>180</v>
      </c>
      <c r="I76" t="s">
        <v>180</v>
      </c>
      <c r="J76" t="s">
        <v>179</v>
      </c>
      <c r="K76" t="s">
        <v>179</v>
      </c>
      <c r="L76" t="s">
        <v>179</v>
      </c>
      <c r="M76">
        <v>25</v>
      </c>
    </row>
    <row r="77" spans="1:13" x14ac:dyDescent="0.35">
      <c r="A77">
        <v>2024</v>
      </c>
      <c r="B77">
        <v>25</v>
      </c>
      <c r="C77" t="s">
        <v>277</v>
      </c>
      <c r="D77" t="s">
        <v>404</v>
      </c>
      <c r="E77" t="s">
        <v>179</v>
      </c>
      <c r="F77" t="s">
        <v>179</v>
      </c>
      <c r="G77">
        <v>14</v>
      </c>
    </row>
    <row r="78" spans="1:13" x14ac:dyDescent="0.35">
      <c r="A78">
        <v>2024</v>
      </c>
      <c r="B78">
        <v>57</v>
      </c>
      <c r="C78" t="s">
        <v>273</v>
      </c>
      <c r="D78" t="s">
        <v>268</v>
      </c>
      <c r="E78" t="s">
        <v>180</v>
      </c>
      <c r="F78" t="s">
        <v>179</v>
      </c>
      <c r="G78">
        <v>1</v>
      </c>
      <c r="H78" t="s">
        <v>180</v>
      </c>
      <c r="I78" t="s">
        <v>180</v>
      </c>
      <c r="J78" t="s">
        <v>180</v>
      </c>
      <c r="K78" t="s">
        <v>180</v>
      </c>
      <c r="L78" t="s">
        <v>180</v>
      </c>
      <c r="M78">
        <v>0</v>
      </c>
    </row>
    <row r="79" spans="1:13" x14ac:dyDescent="0.35">
      <c r="A79">
        <v>2024</v>
      </c>
      <c r="B79">
        <v>57</v>
      </c>
      <c r="C79" t="s">
        <v>292</v>
      </c>
      <c r="D79" t="s">
        <v>205</v>
      </c>
      <c r="G79">
        <v>0</v>
      </c>
      <c r="H79" t="s">
        <v>205</v>
      </c>
      <c r="I79" t="s">
        <v>205</v>
      </c>
      <c r="J79" t="s">
        <v>205</v>
      </c>
      <c r="K79" t="s">
        <v>205</v>
      </c>
      <c r="L79" t="s">
        <v>205</v>
      </c>
      <c r="M79" t="s">
        <v>205</v>
      </c>
    </row>
    <row r="80" spans="1:13" x14ac:dyDescent="0.35">
      <c r="A80">
        <v>2024</v>
      </c>
      <c r="B80">
        <v>57</v>
      </c>
      <c r="C80" t="s">
        <v>267</v>
      </c>
      <c r="D80" t="s">
        <v>205</v>
      </c>
      <c r="G80">
        <v>0</v>
      </c>
      <c r="H80" t="s">
        <v>205</v>
      </c>
      <c r="I80" t="s">
        <v>205</v>
      </c>
      <c r="J80" t="s">
        <v>205</v>
      </c>
      <c r="K80" t="s">
        <v>205</v>
      </c>
      <c r="L80" t="s">
        <v>205</v>
      </c>
      <c r="M80" t="s">
        <v>205</v>
      </c>
    </row>
    <row r="81" spans="1:13" x14ac:dyDescent="0.35">
      <c r="A81">
        <v>2024</v>
      </c>
      <c r="B81">
        <v>57</v>
      </c>
      <c r="C81" t="s">
        <v>277</v>
      </c>
      <c r="D81" t="s">
        <v>205</v>
      </c>
      <c r="G81">
        <v>0</v>
      </c>
      <c r="H81" t="s">
        <v>205</v>
      </c>
      <c r="I81" t="s">
        <v>205</v>
      </c>
      <c r="J81" t="s">
        <v>205</v>
      </c>
      <c r="K81" t="s">
        <v>205</v>
      </c>
      <c r="L81" t="s">
        <v>205</v>
      </c>
      <c r="M81" t="s">
        <v>205</v>
      </c>
    </row>
    <row r="82" spans="1:13" s="11" customFormat="1" x14ac:dyDescent="0.35">
      <c r="A82">
        <v>2024</v>
      </c>
      <c r="B82" s="11">
        <v>56</v>
      </c>
      <c r="C82" s="11" t="s">
        <v>273</v>
      </c>
      <c r="D82" s="11" t="s">
        <v>205</v>
      </c>
      <c r="G82" s="11">
        <v>0</v>
      </c>
      <c r="H82" s="11" t="s">
        <v>205</v>
      </c>
      <c r="I82" s="11" t="s">
        <v>205</v>
      </c>
      <c r="J82" s="11" t="s">
        <v>205</v>
      </c>
      <c r="K82" s="11" t="s">
        <v>205</v>
      </c>
      <c r="L82" s="11" t="s">
        <v>205</v>
      </c>
      <c r="M82" s="11" t="s">
        <v>205</v>
      </c>
    </row>
    <row r="83" spans="1:13" x14ac:dyDescent="0.35">
      <c r="A83">
        <v>2024</v>
      </c>
      <c r="B83">
        <v>56</v>
      </c>
      <c r="C83" t="s">
        <v>292</v>
      </c>
      <c r="D83" t="s">
        <v>205</v>
      </c>
      <c r="G83">
        <v>0</v>
      </c>
      <c r="H83" t="s">
        <v>205</v>
      </c>
      <c r="I83" t="s">
        <v>205</v>
      </c>
      <c r="J83" t="s">
        <v>205</v>
      </c>
      <c r="K83" t="s">
        <v>205</v>
      </c>
      <c r="L83" t="s">
        <v>205</v>
      </c>
      <c r="M83" t="s">
        <v>205</v>
      </c>
    </row>
    <row r="84" spans="1:13" x14ac:dyDescent="0.35">
      <c r="A84">
        <v>2024</v>
      </c>
      <c r="B84">
        <v>56</v>
      </c>
      <c r="C84" t="s">
        <v>267</v>
      </c>
      <c r="D84" t="s">
        <v>205</v>
      </c>
      <c r="G84">
        <v>0</v>
      </c>
      <c r="H84" t="s">
        <v>205</v>
      </c>
      <c r="I84" t="s">
        <v>205</v>
      </c>
      <c r="J84" t="s">
        <v>205</v>
      </c>
      <c r="K84" t="s">
        <v>205</v>
      </c>
      <c r="L84" t="s">
        <v>205</v>
      </c>
      <c r="M84" t="s">
        <v>205</v>
      </c>
    </row>
    <row r="85" spans="1:13" x14ac:dyDescent="0.35">
      <c r="A85">
        <v>2024</v>
      </c>
      <c r="B85">
        <v>56</v>
      </c>
      <c r="C85" t="s">
        <v>277</v>
      </c>
      <c r="D85" t="s">
        <v>205</v>
      </c>
      <c r="G85">
        <v>0</v>
      </c>
      <c r="H85" t="s">
        <v>205</v>
      </c>
      <c r="I85" t="s">
        <v>205</v>
      </c>
      <c r="J85" t="s">
        <v>205</v>
      </c>
      <c r="K85" t="s">
        <v>205</v>
      </c>
      <c r="L85" t="s">
        <v>205</v>
      </c>
      <c r="M85" t="s">
        <v>205</v>
      </c>
    </row>
    <row r="86" spans="1:13" x14ac:dyDescent="0.35">
      <c r="A86">
        <v>2024</v>
      </c>
      <c r="B86">
        <v>26</v>
      </c>
      <c r="C86" t="s">
        <v>273</v>
      </c>
      <c r="D86" t="s">
        <v>298</v>
      </c>
      <c r="G86">
        <v>2</v>
      </c>
      <c r="H86" t="s">
        <v>180</v>
      </c>
      <c r="I86" t="s">
        <v>180</v>
      </c>
      <c r="J86" t="s">
        <v>180</v>
      </c>
      <c r="K86" t="s">
        <v>180</v>
      </c>
      <c r="L86" t="s">
        <v>180</v>
      </c>
      <c r="M86">
        <v>0</v>
      </c>
    </row>
    <row r="87" spans="1:13" x14ac:dyDescent="0.35">
      <c r="A87">
        <v>2024</v>
      </c>
      <c r="B87">
        <v>26</v>
      </c>
      <c r="C87" t="s">
        <v>292</v>
      </c>
      <c r="D87" t="s">
        <v>298</v>
      </c>
      <c r="G87">
        <v>10</v>
      </c>
      <c r="H87" t="s">
        <v>180</v>
      </c>
      <c r="I87" t="s">
        <v>180</v>
      </c>
      <c r="J87" t="s">
        <v>179</v>
      </c>
      <c r="K87" t="s">
        <v>180</v>
      </c>
      <c r="L87" t="s">
        <v>180</v>
      </c>
      <c r="M87">
        <v>30</v>
      </c>
    </row>
    <row r="88" spans="1:13" x14ac:dyDescent="0.35">
      <c r="A88">
        <v>2024</v>
      </c>
      <c r="B88">
        <v>26</v>
      </c>
      <c r="C88" t="s">
        <v>267</v>
      </c>
      <c r="D88" t="s">
        <v>298</v>
      </c>
      <c r="G88">
        <v>1</v>
      </c>
      <c r="H88" t="s">
        <v>180</v>
      </c>
      <c r="I88" t="s">
        <v>180</v>
      </c>
      <c r="J88" t="s">
        <v>180</v>
      </c>
      <c r="K88" t="s">
        <v>180</v>
      </c>
      <c r="L88" t="s">
        <v>180</v>
      </c>
      <c r="M88">
        <v>0</v>
      </c>
    </row>
    <row r="89" spans="1:13" x14ac:dyDescent="0.35">
      <c r="A89">
        <v>2024</v>
      </c>
      <c r="B89">
        <v>26</v>
      </c>
      <c r="C89" t="s">
        <v>277</v>
      </c>
      <c r="D89" t="s">
        <v>298</v>
      </c>
      <c r="G89">
        <v>2</v>
      </c>
      <c r="H89" t="s">
        <v>180</v>
      </c>
      <c r="I89" t="s">
        <v>180</v>
      </c>
      <c r="J89" t="s">
        <v>180</v>
      </c>
      <c r="K89" t="s">
        <v>180</v>
      </c>
      <c r="L89" t="s">
        <v>180</v>
      </c>
      <c r="M89">
        <v>0</v>
      </c>
    </row>
    <row r="90" spans="1:13" x14ac:dyDescent="0.35">
      <c r="A90">
        <v>2024</v>
      </c>
      <c r="B90">
        <v>27</v>
      </c>
      <c r="C90" t="s">
        <v>273</v>
      </c>
      <c r="D90" t="s">
        <v>298</v>
      </c>
      <c r="G90">
        <v>2</v>
      </c>
      <c r="H90" t="s">
        <v>180</v>
      </c>
      <c r="I90" t="s">
        <v>180</v>
      </c>
      <c r="J90" t="s">
        <v>180</v>
      </c>
      <c r="K90" t="s">
        <v>180</v>
      </c>
      <c r="L90" t="s">
        <v>180</v>
      </c>
      <c r="M90">
        <v>0</v>
      </c>
    </row>
    <row r="91" spans="1:13" x14ac:dyDescent="0.35">
      <c r="A91">
        <v>2024</v>
      </c>
      <c r="B91">
        <v>27</v>
      </c>
      <c r="C91" t="s">
        <v>292</v>
      </c>
      <c r="D91" t="s">
        <v>298</v>
      </c>
      <c r="G91">
        <v>5</v>
      </c>
      <c r="H91" t="s">
        <v>180</v>
      </c>
      <c r="I91" t="s">
        <v>180</v>
      </c>
      <c r="J91" t="s">
        <v>180</v>
      </c>
      <c r="K91" t="s">
        <v>180</v>
      </c>
      <c r="L91" t="s">
        <v>180</v>
      </c>
      <c r="M91">
        <v>0</v>
      </c>
    </row>
    <row r="92" spans="1:13" x14ac:dyDescent="0.35">
      <c r="A92">
        <v>2024</v>
      </c>
      <c r="B92">
        <v>27</v>
      </c>
      <c r="C92" t="s">
        <v>267</v>
      </c>
      <c r="D92" t="s">
        <v>298</v>
      </c>
      <c r="G92">
        <v>6</v>
      </c>
      <c r="H92" t="s">
        <v>180</v>
      </c>
      <c r="I92" t="s">
        <v>180</v>
      </c>
      <c r="J92" t="s">
        <v>179</v>
      </c>
      <c r="K92" t="s">
        <v>180</v>
      </c>
      <c r="L92" t="s">
        <v>180</v>
      </c>
      <c r="M92">
        <v>50</v>
      </c>
    </row>
    <row r="93" spans="1:13" x14ac:dyDescent="0.35">
      <c r="A93">
        <v>2024</v>
      </c>
      <c r="B93">
        <v>27</v>
      </c>
      <c r="C93" t="s">
        <v>277</v>
      </c>
      <c r="D93" t="s">
        <v>298</v>
      </c>
      <c r="G93">
        <v>2</v>
      </c>
      <c r="H93" t="s">
        <v>180</v>
      </c>
      <c r="I93" t="s">
        <v>180</v>
      </c>
      <c r="J93" t="s">
        <v>180</v>
      </c>
      <c r="K93" t="s">
        <v>180</v>
      </c>
      <c r="L93" t="s">
        <v>180</v>
      </c>
      <c r="M93">
        <v>0</v>
      </c>
    </row>
    <row r="94" spans="1:13" x14ac:dyDescent="0.35">
      <c r="A94">
        <v>2024</v>
      </c>
      <c r="B94">
        <v>33</v>
      </c>
      <c r="C94" t="s">
        <v>273</v>
      </c>
      <c r="D94" t="s">
        <v>298</v>
      </c>
      <c r="G94">
        <v>3</v>
      </c>
      <c r="H94" t="s">
        <v>180</v>
      </c>
      <c r="I94" t="s">
        <v>180</v>
      </c>
      <c r="J94" t="s">
        <v>180</v>
      </c>
      <c r="K94" t="s">
        <v>180</v>
      </c>
      <c r="L94" t="s">
        <v>180</v>
      </c>
      <c r="M94">
        <v>0</v>
      </c>
    </row>
    <row r="95" spans="1:13" x14ac:dyDescent="0.35">
      <c r="A95">
        <v>2024</v>
      </c>
      <c r="B95">
        <v>33</v>
      </c>
      <c r="C95" t="s">
        <v>292</v>
      </c>
      <c r="D95" t="s">
        <v>289</v>
      </c>
      <c r="E95" t="s">
        <v>179</v>
      </c>
      <c r="F95" t="s">
        <v>180</v>
      </c>
      <c r="G95">
        <v>1</v>
      </c>
      <c r="H95" t="s">
        <v>180</v>
      </c>
      <c r="I95" t="s">
        <v>180</v>
      </c>
      <c r="J95" t="s">
        <v>180</v>
      </c>
      <c r="K95" t="s">
        <v>180</v>
      </c>
      <c r="L95" t="s">
        <v>180</v>
      </c>
      <c r="M95">
        <v>0</v>
      </c>
    </row>
    <row r="96" spans="1:13" x14ac:dyDescent="0.35">
      <c r="A96">
        <v>2024</v>
      </c>
      <c r="B96">
        <v>33</v>
      </c>
      <c r="C96" t="s">
        <v>267</v>
      </c>
      <c r="D96" t="s">
        <v>298</v>
      </c>
      <c r="G96">
        <v>6</v>
      </c>
      <c r="H96" t="s">
        <v>180</v>
      </c>
      <c r="I96" t="s">
        <v>180</v>
      </c>
      <c r="J96" t="s">
        <v>179</v>
      </c>
      <c r="K96" t="s">
        <v>180</v>
      </c>
      <c r="L96" t="s">
        <v>180</v>
      </c>
      <c r="M96">
        <v>50</v>
      </c>
    </row>
    <row r="97" spans="1:13" x14ac:dyDescent="0.35">
      <c r="A97">
        <v>2024</v>
      </c>
      <c r="B97">
        <v>33</v>
      </c>
      <c r="C97" t="s">
        <v>277</v>
      </c>
      <c r="D97" t="s">
        <v>298</v>
      </c>
      <c r="G97">
        <v>13</v>
      </c>
      <c r="H97" t="s">
        <v>180</v>
      </c>
      <c r="I97" t="s">
        <v>180</v>
      </c>
      <c r="J97" t="s">
        <v>179</v>
      </c>
      <c r="K97" t="s">
        <v>180</v>
      </c>
      <c r="L97" t="s">
        <v>180</v>
      </c>
      <c r="M97">
        <v>15</v>
      </c>
    </row>
    <row r="98" spans="1:13" x14ac:dyDescent="0.35">
      <c r="A98">
        <v>2024</v>
      </c>
      <c r="B98">
        <v>31</v>
      </c>
      <c r="C98" t="s">
        <v>273</v>
      </c>
      <c r="D98" t="s">
        <v>205</v>
      </c>
      <c r="G98">
        <v>0</v>
      </c>
      <c r="H98" t="s">
        <v>205</v>
      </c>
      <c r="I98" t="s">
        <v>205</v>
      </c>
      <c r="J98" t="s">
        <v>205</v>
      </c>
      <c r="K98" t="s">
        <v>205</v>
      </c>
      <c r="L98" t="s">
        <v>205</v>
      </c>
      <c r="M98" t="s">
        <v>205</v>
      </c>
    </row>
    <row r="99" spans="1:13" x14ac:dyDescent="0.35">
      <c r="A99">
        <v>2024</v>
      </c>
      <c r="B99">
        <v>31</v>
      </c>
      <c r="C99" t="s">
        <v>292</v>
      </c>
      <c r="D99" t="s">
        <v>205</v>
      </c>
      <c r="G99">
        <v>0</v>
      </c>
      <c r="H99" t="s">
        <v>205</v>
      </c>
      <c r="I99" t="s">
        <v>205</v>
      </c>
      <c r="J99" t="s">
        <v>205</v>
      </c>
      <c r="K99" t="s">
        <v>205</v>
      </c>
      <c r="L99" t="s">
        <v>205</v>
      </c>
      <c r="M99" t="s">
        <v>205</v>
      </c>
    </row>
    <row r="100" spans="1:13" x14ac:dyDescent="0.35">
      <c r="A100">
        <v>2024</v>
      </c>
      <c r="B100">
        <v>31</v>
      </c>
      <c r="C100" t="s">
        <v>267</v>
      </c>
      <c r="D100" t="s">
        <v>205</v>
      </c>
      <c r="G100">
        <v>0</v>
      </c>
      <c r="H100" t="s">
        <v>205</v>
      </c>
      <c r="I100" t="s">
        <v>205</v>
      </c>
      <c r="J100" t="s">
        <v>205</v>
      </c>
      <c r="K100" t="s">
        <v>205</v>
      </c>
      <c r="L100" t="s">
        <v>205</v>
      </c>
      <c r="M100" t="s">
        <v>205</v>
      </c>
    </row>
    <row r="101" spans="1:13" x14ac:dyDescent="0.35">
      <c r="A101">
        <v>2024</v>
      </c>
      <c r="B101">
        <v>31</v>
      </c>
      <c r="C101" t="s">
        <v>277</v>
      </c>
      <c r="D101" t="s">
        <v>205</v>
      </c>
      <c r="G101">
        <v>0</v>
      </c>
      <c r="H101" t="s">
        <v>205</v>
      </c>
      <c r="I101" t="s">
        <v>205</v>
      </c>
      <c r="J101" t="s">
        <v>205</v>
      </c>
      <c r="K101" t="s">
        <v>205</v>
      </c>
      <c r="L101" t="s">
        <v>205</v>
      </c>
      <c r="M101" t="s">
        <v>205</v>
      </c>
    </row>
    <row r="102" spans="1:13" x14ac:dyDescent="0.35">
      <c r="A102">
        <v>2024</v>
      </c>
      <c r="B102">
        <v>32</v>
      </c>
      <c r="C102" t="s">
        <v>273</v>
      </c>
      <c r="D102" t="s">
        <v>205</v>
      </c>
      <c r="G102">
        <v>0</v>
      </c>
      <c r="H102" t="s">
        <v>205</v>
      </c>
      <c r="I102" t="s">
        <v>205</v>
      </c>
      <c r="J102" t="s">
        <v>205</v>
      </c>
      <c r="K102" t="s">
        <v>205</v>
      </c>
      <c r="L102" t="s">
        <v>205</v>
      </c>
      <c r="M102" t="s">
        <v>205</v>
      </c>
    </row>
    <row r="103" spans="1:13" x14ac:dyDescent="0.35">
      <c r="A103">
        <v>2024</v>
      </c>
      <c r="B103">
        <v>32</v>
      </c>
      <c r="C103" t="s">
        <v>292</v>
      </c>
      <c r="D103" t="s">
        <v>205</v>
      </c>
      <c r="G103">
        <v>0</v>
      </c>
      <c r="H103" t="s">
        <v>205</v>
      </c>
      <c r="I103" t="s">
        <v>205</v>
      </c>
      <c r="J103" t="s">
        <v>205</v>
      </c>
      <c r="K103" t="s">
        <v>205</v>
      </c>
      <c r="L103" t="s">
        <v>205</v>
      </c>
      <c r="M103" t="s">
        <v>205</v>
      </c>
    </row>
    <row r="104" spans="1:13" x14ac:dyDescent="0.35">
      <c r="A104">
        <v>2024</v>
      </c>
      <c r="B104">
        <v>32</v>
      </c>
      <c r="C104" t="s">
        <v>267</v>
      </c>
      <c r="D104" t="s">
        <v>205</v>
      </c>
      <c r="G104">
        <v>0</v>
      </c>
      <c r="H104" t="s">
        <v>205</v>
      </c>
      <c r="I104" t="s">
        <v>205</v>
      </c>
      <c r="J104" t="s">
        <v>205</v>
      </c>
      <c r="K104" t="s">
        <v>205</v>
      </c>
      <c r="L104" t="s">
        <v>205</v>
      </c>
      <c r="M104" t="s">
        <v>205</v>
      </c>
    </row>
    <row r="105" spans="1:13" x14ac:dyDescent="0.35">
      <c r="A105">
        <v>2024</v>
      </c>
      <c r="B105">
        <v>32</v>
      </c>
      <c r="C105" t="s">
        <v>277</v>
      </c>
      <c r="D105" t="s">
        <v>205</v>
      </c>
      <c r="G105">
        <v>0</v>
      </c>
      <c r="H105" t="s">
        <v>205</v>
      </c>
      <c r="I105" t="s">
        <v>205</v>
      </c>
      <c r="J105" t="s">
        <v>205</v>
      </c>
      <c r="K105" t="s">
        <v>205</v>
      </c>
      <c r="L105" t="s">
        <v>205</v>
      </c>
      <c r="M105" t="s">
        <v>205</v>
      </c>
    </row>
    <row r="106" spans="1:13" x14ac:dyDescent="0.35">
      <c r="A106">
        <v>2024</v>
      </c>
      <c r="B106">
        <v>36</v>
      </c>
      <c r="C106" t="s">
        <v>273</v>
      </c>
      <c r="D106" t="s">
        <v>205</v>
      </c>
      <c r="G106">
        <v>0</v>
      </c>
      <c r="H106" t="s">
        <v>205</v>
      </c>
      <c r="I106" t="s">
        <v>205</v>
      </c>
      <c r="J106" t="s">
        <v>205</v>
      </c>
      <c r="K106" t="s">
        <v>205</v>
      </c>
      <c r="L106" t="s">
        <v>205</v>
      </c>
      <c r="M106" t="s">
        <v>205</v>
      </c>
    </row>
    <row r="107" spans="1:13" x14ac:dyDescent="0.35">
      <c r="A107">
        <v>2024</v>
      </c>
      <c r="B107">
        <v>36</v>
      </c>
      <c r="C107" t="s">
        <v>292</v>
      </c>
      <c r="D107" t="s">
        <v>205</v>
      </c>
      <c r="G107">
        <v>0</v>
      </c>
      <c r="H107" t="s">
        <v>205</v>
      </c>
      <c r="I107" t="s">
        <v>205</v>
      </c>
      <c r="J107" t="s">
        <v>205</v>
      </c>
      <c r="K107" t="s">
        <v>205</v>
      </c>
      <c r="L107" t="s">
        <v>205</v>
      </c>
      <c r="M107" t="s">
        <v>205</v>
      </c>
    </row>
    <row r="108" spans="1:13" x14ac:dyDescent="0.35">
      <c r="A108">
        <v>2024</v>
      </c>
      <c r="B108">
        <v>36</v>
      </c>
      <c r="C108" t="s">
        <v>267</v>
      </c>
      <c r="D108" t="s">
        <v>205</v>
      </c>
      <c r="G108">
        <v>0</v>
      </c>
      <c r="H108" t="s">
        <v>205</v>
      </c>
      <c r="I108" t="s">
        <v>205</v>
      </c>
      <c r="J108" t="s">
        <v>205</v>
      </c>
      <c r="K108" t="s">
        <v>205</v>
      </c>
      <c r="L108" t="s">
        <v>205</v>
      </c>
      <c r="M108" t="s">
        <v>205</v>
      </c>
    </row>
    <row r="109" spans="1:13" x14ac:dyDescent="0.35">
      <c r="A109">
        <v>2024</v>
      </c>
      <c r="B109">
        <v>36</v>
      </c>
      <c r="C109" t="s">
        <v>277</v>
      </c>
      <c r="D109" t="s">
        <v>205</v>
      </c>
      <c r="G109">
        <v>0</v>
      </c>
      <c r="H109" t="s">
        <v>205</v>
      </c>
      <c r="I109" t="s">
        <v>205</v>
      </c>
      <c r="J109" t="s">
        <v>205</v>
      </c>
      <c r="K109" t="s">
        <v>205</v>
      </c>
      <c r="L109" t="s">
        <v>205</v>
      </c>
      <c r="M109" t="s">
        <v>205</v>
      </c>
    </row>
    <row r="110" spans="1:13" x14ac:dyDescent="0.35">
      <c r="A110">
        <v>2024</v>
      </c>
      <c r="B110">
        <v>35</v>
      </c>
      <c r="C110" t="s">
        <v>273</v>
      </c>
      <c r="D110" t="s">
        <v>205</v>
      </c>
      <c r="G110">
        <v>0</v>
      </c>
      <c r="H110" t="s">
        <v>205</v>
      </c>
      <c r="I110" t="s">
        <v>205</v>
      </c>
      <c r="J110" t="s">
        <v>205</v>
      </c>
      <c r="K110" t="s">
        <v>205</v>
      </c>
      <c r="L110" t="s">
        <v>205</v>
      </c>
      <c r="M110" t="s">
        <v>205</v>
      </c>
    </row>
    <row r="111" spans="1:13" x14ac:dyDescent="0.35">
      <c r="A111">
        <v>2024</v>
      </c>
      <c r="B111">
        <v>35</v>
      </c>
      <c r="C111" t="s">
        <v>292</v>
      </c>
      <c r="D111" t="s">
        <v>298</v>
      </c>
      <c r="G111">
        <v>2</v>
      </c>
      <c r="H111" t="s">
        <v>180</v>
      </c>
      <c r="I111" t="s">
        <v>180</v>
      </c>
      <c r="J111" t="s">
        <v>180</v>
      </c>
      <c r="K111" t="s">
        <v>180</v>
      </c>
      <c r="L111" t="s">
        <v>180</v>
      </c>
      <c r="M111">
        <v>0</v>
      </c>
    </row>
    <row r="112" spans="1:13" x14ac:dyDescent="0.35">
      <c r="A112">
        <v>2024</v>
      </c>
      <c r="B112">
        <v>35</v>
      </c>
      <c r="C112" t="s">
        <v>267</v>
      </c>
      <c r="D112" t="s">
        <v>298</v>
      </c>
      <c r="G112">
        <v>1</v>
      </c>
      <c r="H112" t="s">
        <v>180</v>
      </c>
      <c r="I112" t="s">
        <v>180</v>
      </c>
      <c r="J112" t="s">
        <v>180</v>
      </c>
      <c r="K112" t="s">
        <v>180</v>
      </c>
      <c r="L112" t="s">
        <v>180</v>
      </c>
      <c r="M112">
        <v>0</v>
      </c>
    </row>
    <row r="113" spans="1:14" x14ac:dyDescent="0.35">
      <c r="A113">
        <v>2024</v>
      </c>
      <c r="B113">
        <v>35</v>
      </c>
      <c r="C113" t="s">
        <v>277</v>
      </c>
      <c r="D113" t="s">
        <v>205</v>
      </c>
      <c r="G113">
        <v>0</v>
      </c>
      <c r="H113" t="s">
        <v>205</v>
      </c>
      <c r="I113" t="s">
        <v>205</v>
      </c>
      <c r="J113" t="s">
        <v>205</v>
      </c>
      <c r="K113" t="s">
        <v>205</v>
      </c>
      <c r="L113" t="s">
        <v>205</v>
      </c>
      <c r="M113" t="s">
        <v>205</v>
      </c>
    </row>
    <row r="114" spans="1:14" x14ac:dyDescent="0.35">
      <c r="A114">
        <v>2024</v>
      </c>
      <c r="B114">
        <v>34</v>
      </c>
      <c r="C114" t="s">
        <v>273</v>
      </c>
      <c r="D114" t="s">
        <v>298</v>
      </c>
      <c r="G114">
        <v>1</v>
      </c>
      <c r="H114" t="s">
        <v>180</v>
      </c>
      <c r="I114" t="s">
        <v>180</v>
      </c>
      <c r="J114" t="s">
        <v>180</v>
      </c>
      <c r="K114" t="s">
        <v>180</v>
      </c>
      <c r="L114" t="s">
        <v>180</v>
      </c>
      <c r="M114">
        <v>0</v>
      </c>
    </row>
    <row r="115" spans="1:14" x14ac:dyDescent="0.35">
      <c r="A115">
        <v>2024</v>
      </c>
      <c r="B115">
        <v>34</v>
      </c>
      <c r="C115" t="s">
        <v>292</v>
      </c>
      <c r="D115" t="s">
        <v>205</v>
      </c>
      <c r="G115">
        <v>0</v>
      </c>
      <c r="H115" t="s">
        <v>205</v>
      </c>
      <c r="I115" t="s">
        <v>205</v>
      </c>
      <c r="J115" t="s">
        <v>205</v>
      </c>
      <c r="K115" t="s">
        <v>205</v>
      </c>
      <c r="L115" t="s">
        <v>205</v>
      </c>
      <c r="M115" t="s">
        <v>205</v>
      </c>
    </row>
    <row r="116" spans="1:14" x14ac:dyDescent="0.35">
      <c r="A116">
        <v>2024</v>
      </c>
      <c r="B116">
        <v>34</v>
      </c>
      <c r="C116" t="s">
        <v>267</v>
      </c>
      <c r="D116" t="s">
        <v>205</v>
      </c>
      <c r="G116">
        <v>0</v>
      </c>
      <c r="H116" t="s">
        <v>205</v>
      </c>
      <c r="I116" t="s">
        <v>205</v>
      </c>
      <c r="J116" t="s">
        <v>205</v>
      </c>
      <c r="K116" t="s">
        <v>205</v>
      </c>
      <c r="L116" t="s">
        <v>205</v>
      </c>
      <c r="M116" t="s">
        <v>205</v>
      </c>
    </row>
    <row r="117" spans="1:14" x14ac:dyDescent="0.35">
      <c r="A117">
        <v>2024</v>
      </c>
      <c r="B117">
        <v>34</v>
      </c>
      <c r="C117" t="s">
        <v>277</v>
      </c>
      <c r="D117" t="s">
        <v>205</v>
      </c>
      <c r="G117">
        <v>0</v>
      </c>
      <c r="H117" t="s">
        <v>205</v>
      </c>
      <c r="I117" t="s">
        <v>205</v>
      </c>
      <c r="J117" t="s">
        <v>205</v>
      </c>
      <c r="K117" t="s">
        <v>205</v>
      </c>
      <c r="L117" t="s">
        <v>205</v>
      </c>
      <c r="M117" t="s">
        <v>205</v>
      </c>
    </row>
    <row r="118" spans="1:14" x14ac:dyDescent="0.35">
      <c r="A118">
        <v>2024</v>
      </c>
      <c r="B118">
        <v>63</v>
      </c>
      <c r="C118" t="s">
        <v>273</v>
      </c>
      <c r="D118" t="s">
        <v>268</v>
      </c>
      <c r="E118" t="s">
        <v>180</v>
      </c>
      <c r="F118" t="s">
        <v>179</v>
      </c>
      <c r="G118">
        <v>3</v>
      </c>
      <c r="H118" t="s">
        <v>180</v>
      </c>
      <c r="I118" t="s">
        <v>180</v>
      </c>
      <c r="J118" t="s">
        <v>179</v>
      </c>
      <c r="K118" t="s">
        <v>180</v>
      </c>
      <c r="L118" t="s">
        <v>180</v>
      </c>
      <c r="M118">
        <v>33</v>
      </c>
    </row>
    <row r="119" spans="1:14" x14ac:dyDescent="0.35">
      <c r="A119">
        <v>2024</v>
      </c>
      <c r="B119">
        <v>63</v>
      </c>
      <c r="C119" t="s">
        <v>292</v>
      </c>
      <c r="D119" t="s">
        <v>298</v>
      </c>
      <c r="G119">
        <v>5</v>
      </c>
      <c r="H119" t="s">
        <v>180</v>
      </c>
      <c r="I119" t="s">
        <v>180</v>
      </c>
      <c r="J119" t="s">
        <v>180</v>
      </c>
      <c r="K119" t="s">
        <v>180</v>
      </c>
      <c r="L119" t="s">
        <v>180</v>
      </c>
      <c r="M119">
        <v>0</v>
      </c>
    </row>
    <row r="120" spans="1:14" x14ac:dyDescent="0.35">
      <c r="A120">
        <v>2024</v>
      </c>
      <c r="B120">
        <v>63</v>
      </c>
      <c r="C120" t="s">
        <v>267</v>
      </c>
      <c r="D120" t="s">
        <v>299</v>
      </c>
      <c r="E120" t="s">
        <v>180</v>
      </c>
      <c r="F120" t="s">
        <v>179</v>
      </c>
      <c r="G120">
        <v>3</v>
      </c>
      <c r="H120" t="s">
        <v>180</v>
      </c>
      <c r="I120" t="s">
        <v>180</v>
      </c>
      <c r="J120" t="s">
        <v>180</v>
      </c>
      <c r="K120" t="s">
        <v>180</v>
      </c>
      <c r="L120" t="s">
        <v>180</v>
      </c>
      <c r="M120">
        <v>0</v>
      </c>
    </row>
    <row r="121" spans="1:14" x14ac:dyDescent="0.35">
      <c r="A121">
        <v>2024</v>
      </c>
      <c r="B121">
        <v>63</v>
      </c>
      <c r="C121" t="s">
        <v>277</v>
      </c>
      <c r="D121" t="s">
        <v>268</v>
      </c>
      <c r="E121" t="s">
        <v>180</v>
      </c>
      <c r="F121" t="s">
        <v>179</v>
      </c>
      <c r="G121">
        <v>12</v>
      </c>
      <c r="H121" t="s">
        <v>180</v>
      </c>
      <c r="I121" t="s">
        <v>180</v>
      </c>
      <c r="J121" t="s">
        <v>179</v>
      </c>
      <c r="K121" t="s">
        <v>180</v>
      </c>
      <c r="L121" t="s">
        <v>180</v>
      </c>
      <c r="M121">
        <v>17</v>
      </c>
    </row>
    <row r="122" spans="1:14" s="11" customFormat="1" x14ac:dyDescent="0.35">
      <c r="A122">
        <v>2024</v>
      </c>
      <c r="B122" s="11">
        <v>86</v>
      </c>
      <c r="C122" t="s">
        <v>273</v>
      </c>
      <c r="D122" s="11" t="s">
        <v>205</v>
      </c>
      <c r="G122" s="11">
        <v>0</v>
      </c>
      <c r="H122" s="11" t="s">
        <v>205</v>
      </c>
      <c r="I122" s="11" t="s">
        <v>205</v>
      </c>
      <c r="J122" s="11" t="s">
        <v>205</v>
      </c>
      <c r="K122" s="11" t="s">
        <v>205</v>
      </c>
      <c r="L122" s="11" t="s">
        <v>205</v>
      </c>
      <c r="M122" s="11" t="s">
        <v>205</v>
      </c>
    </row>
    <row r="123" spans="1:14" x14ac:dyDescent="0.35">
      <c r="A123">
        <v>2024</v>
      </c>
      <c r="B123">
        <v>86</v>
      </c>
      <c r="C123" t="s">
        <v>292</v>
      </c>
      <c r="D123" t="s">
        <v>205</v>
      </c>
      <c r="G123">
        <v>0</v>
      </c>
      <c r="H123" t="s">
        <v>205</v>
      </c>
      <c r="I123" t="s">
        <v>205</v>
      </c>
      <c r="J123" t="s">
        <v>205</v>
      </c>
      <c r="K123" t="s">
        <v>205</v>
      </c>
      <c r="L123" t="s">
        <v>205</v>
      </c>
      <c r="M123" t="s">
        <v>205</v>
      </c>
    </row>
    <row r="124" spans="1:14" x14ac:dyDescent="0.35">
      <c r="A124">
        <v>2024</v>
      </c>
      <c r="B124">
        <v>86</v>
      </c>
      <c r="C124" t="s">
        <v>267</v>
      </c>
      <c r="D124" t="s">
        <v>205</v>
      </c>
      <c r="G124">
        <v>0</v>
      </c>
      <c r="H124" t="s">
        <v>205</v>
      </c>
      <c r="I124" t="s">
        <v>205</v>
      </c>
      <c r="J124" t="s">
        <v>205</v>
      </c>
      <c r="K124" t="s">
        <v>205</v>
      </c>
      <c r="L124" t="s">
        <v>205</v>
      </c>
      <c r="M124" t="s">
        <v>205</v>
      </c>
    </row>
    <row r="125" spans="1:14" x14ac:dyDescent="0.35">
      <c r="A125">
        <v>2024</v>
      </c>
      <c r="B125">
        <v>86</v>
      </c>
      <c r="C125" t="s">
        <v>277</v>
      </c>
      <c r="D125" t="s">
        <v>205</v>
      </c>
      <c r="G125">
        <v>0</v>
      </c>
      <c r="H125" t="s">
        <v>205</v>
      </c>
      <c r="I125" t="s">
        <v>205</v>
      </c>
      <c r="J125" t="s">
        <v>205</v>
      </c>
      <c r="K125" t="s">
        <v>205</v>
      </c>
      <c r="L125" t="s">
        <v>205</v>
      </c>
      <c r="M125" t="s">
        <v>205</v>
      </c>
    </row>
    <row r="126" spans="1:14" ht="19.5" customHeight="1" x14ac:dyDescent="0.35">
      <c r="A126">
        <v>2024</v>
      </c>
      <c r="B126">
        <v>78</v>
      </c>
      <c r="C126" t="s">
        <v>273</v>
      </c>
      <c r="D126" t="s">
        <v>276</v>
      </c>
      <c r="E126" t="s">
        <v>180</v>
      </c>
      <c r="F126" t="s">
        <v>179</v>
      </c>
      <c r="G126">
        <v>14</v>
      </c>
      <c r="H126" t="s">
        <v>180</v>
      </c>
      <c r="I126" t="s">
        <v>180</v>
      </c>
      <c r="J126" t="s">
        <v>179</v>
      </c>
      <c r="K126" t="s">
        <v>179</v>
      </c>
      <c r="L126" t="s">
        <v>180</v>
      </c>
      <c r="M126">
        <v>14</v>
      </c>
      <c r="N126" t="s">
        <v>405</v>
      </c>
    </row>
    <row r="127" spans="1:14" x14ac:dyDescent="0.35">
      <c r="A127">
        <v>2024</v>
      </c>
      <c r="B127">
        <v>78</v>
      </c>
      <c r="C127" t="s">
        <v>292</v>
      </c>
      <c r="D127" t="s">
        <v>299</v>
      </c>
      <c r="E127" t="s">
        <v>180</v>
      </c>
      <c r="F127" t="s">
        <v>179</v>
      </c>
      <c r="G127">
        <v>6</v>
      </c>
      <c r="H127" t="s">
        <v>180</v>
      </c>
      <c r="I127" t="s">
        <v>180</v>
      </c>
      <c r="J127" t="s">
        <v>180</v>
      </c>
      <c r="K127" t="s">
        <v>180</v>
      </c>
      <c r="L127" t="s">
        <v>180</v>
      </c>
      <c r="M127">
        <v>0</v>
      </c>
    </row>
    <row r="128" spans="1:14" x14ac:dyDescent="0.35">
      <c r="A128">
        <v>2024</v>
      </c>
      <c r="B128">
        <v>78</v>
      </c>
      <c r="C128" t="s">
        <v>267</v>
      </c>
      <c r="D128" t="s">
        <v>205</v>
      </c>
      <c r="G128">
        <v>0</v>
      </c>
      <c r="H128" t="s">
        <v>205</v>
      </c>
      <c r="I128" t="s">
        <v>205</v>
      </c>
      <c r="J128" t="s">
        <v>205</v>
      </c>
      <c r="K128" t="s">
        <v>205</v>
      </c>
      <c r="L128" t="s">
        <v>205</v>
      </c>
      <c r="M128" t="s">
        <v>205</v>
      </c>
    </row>
    <row r="129" spans="1:13" x14ac:dyDescent="0.35">
      <c r="A129">
        <v>2024</v>
      </c>
      <c r="B129">
        <v>78</v>
      </c>
      <c r="C129" t="s">
        <v>277</v>
      </c>
      <c r="D129" t="s">
        <v>205</v>
      </c>
      <c r="G129">
        <v>0</v>
      </c>
      <c r="H129" t="s">
        <v>205</v>
      </c>
      <c r="I129" t="s">
        <v>205</v>
      </c>
      <c r="J129" t="s">
        <v>205</v>
      </c>
      <c r="K129" t="s">
        <v>205</v>
      </c>
      <c r="L129" t="s">
        <v>205</v>
      </c>
      <c r="M129" t="s">
        <v>205</v>
      </c>
    </row>
    <row r="130" spans="1:13" x14ac:dyDescent="0.35">
      <c r="A130">
        <v>2024</v>
      </c>
      <c r="B130">
        <v>77</v>
      </c>
      <c r="C130" t="s">
        <v>273</v>
      </c>
      <c r="D130" t="s">
        <v>299</v>
      </c>
      <c r="E130" t="s">
        <v>180</v>
      </c>
      <c r="F130" t="s">
        <v>179</v>
      </c>
      <c r="G130">
        <v>1</v>
      </c>
      <c r="H130" t="s">
        <v>180</v>
      </c>
      <c r="I130" t="s">
        <v>180</v>
      </c>
      <c r="J130" t="s">
        <v>180</v>
      </c>
      <c r="K130" t="s">
        <v>180</v>
      </c>
      <c r="L130" t="s">
        <v>180</v>
      </c>
      <c r="M130">
        <v>0</v>
      </c>
    </row>
    <row r="131" spans="1:13" x14ac:dyDescent="0.35">
      <c r="A131">
        <v>2024</v>
      </c>
      <c r="B131">
        <v>77</v>
      </c>
      <c r="C131" t="s">
        <v>292</v>
      </c>
      <c r="D131" t="s">
        <v>205</v>
      </c>
      <c r="G131">
        <v>0</v>
      </c>
      <c r="H131" t="s">
        <v>205</v>
      </c>
      <c r="I131" t="s">
        <v>205</v>
      </c>
      <c r="J131" t="s">
        <v>205</v>
      </c>
      <c r="K131" t="s">
        <v>205</v>
      </c>
      <c r="L131" t="s">
        <v>205</v>
      </c>
      <c r="M131" t="s">
        <v>205</v>
      </c>
    </row>
    <row r="132" spans="1:13" x14ac:dyDescent="0.35">
      <c r="A132">
        <v>2024</v>
      </c>
      <c r="B132">
        <v>77</v>
      </c>
      <c r="C132" t="s">
        <v>267</v>
      </c>
      <c r="D132" t="s">
        <v>299</v>
      </c>
      <c r="E132" t="s">
        <v>180</v>
      </c>
      <c r="F132" t="s">
        <v>179</v>
      </c>
      <c r="G132">
        <v>2</v>
      </c>
      <c r="H132" t="s">
        <v>180</v>
      </c>
      <c r="I132" t="s">
        <v>180</v>
      </c>
      <c r="J132" t="s">
        <v>180</v>
      </c>
      <c r="K132" t="s">
        <v>180</v>
      </c>
      <c r="L132" t="s">
        <v>180</v>
      </c>
      <c r="M132">
        <v>0</v>
      </c>
    </row>
    <row r="133" spans="1:13" x14ac:dyDescent="0.35">
      <c r="A133">
        <v>2024</v>
      </c>
      <c r="B133">
        <v>77</v>
      </c>
      <c r="C133" t="s">
        <v>277</v>
      </c>
      <c r="D133" t="s">
        <v>299</v>
      </c>
      <c r="E133" t="s">
        <v>180</v>
      </c>
      <c r="F133" t="s">
        <v>179</v>
      </c>
      <c r="G133">
        <v>2</v>
      </c>
      <c r="H133" t="s">
        <v>180</v>
      </c>
      <c r="I133" t="s">
        <v>180</v>
      </c>
      <c r="J133" t="s">
        <v>180</v>
      </c>
      <c r="K133" t="s">
        <v>180</v>
      </c>
      <c r="L133" t="s">
        <v>180</v>
      </c>
      <c r="M133">
        <v>0</v>
      </c>
    </row>
    <row r="134" spans="1:13" x14ac:dyDescent="0.35">
      <c r="A134">
        <v>2024</v>
      </c>
      <c r="B134">
        <v>76</v>
      </c>
      <c r="C134" t="s">
        <v>273</v>
      </c>
      <c r="D134" t="s">
        <v>205</v>
      </c>
      <c r="G134">
        <v>0</v>
      </c>
      <c r="H134" t="s">
        <v>205</v>
      </c>
      <c r="I134" t="s">
        <v>205</v>
      </c>
      <c r="J134" t="s">
        <v>205</v>
      </c>
      <c r="K134" t="s">
        <v>205</v>
      </c>
      <c r="L134" t="s">
        <v>205</v>
      </c>
      <c r="M134" t="s">
        <v>205</v>
      </c>
    </row>
    <row r="135" spans="1:13" x14ac:dyDescent="0.35">
      <c r="A135">
        <v>2024</v>
      </c>
      <c r="B135">
        <v>76</v>
      </c>
      <c r="C135" t="s">
        <v>292</v>
      </c>
      <c r="D135" t="s">
        <v>205</v>
      </c>
      <c r="G135">
        <v>0</v>
      </c>
      <c r="H135" t="s">
        <v>205</v>
      </c>
      <c r="I135" t="s">
        <v>205</v>
      </c>
      <c r="J135" t="s">
        <v>205</v>
      </c>
      <c r="K135" t="s">
        <v>205</v>
      </c>
      <c r="L135" t="s">
        <v>205</v>
      </c>
      <c r="M135" t="s">
        <v>205</v>
      </c>
    </row>
    <row r="136" spans="1:13" x14ac:dyDescent="0.35">
      <c r="A136">
        <v>2024</v>
      </c>
      <c r="B136">
        <v>76</v>
      </c>
      <c r="C136" t="s">
        <v>267</v>
      </c>
      <c r="D136" t="s">
        <v>205</v>
      </c>
      <c r="G136">
        <v>0</v>
      </c>
      <c r="H136" t="s">
        <v>205</v>
      </c>
      <c r="I136" t="s">
        <v>205</v>
      </c>
      <c r="J136" t="s">
        <v>205</v>
      </c>
      <c r="K136" t="s">
        <v>205</v>
      </c>
      <c r="L136" t="s">
        <v>205</v>
      </c>
      <c r="M136" t="s">
        <v>205</v>
      </c>
    </row>
    <row r="137" spans="1:13" x14ac:dyDescent="0.35">
      <c r="A137">
        <v>2024</v>
      </c>
      <c r="B137">
        <v>76</v>
      </c>
      <c r="C137" t="s">
        <v>277</v>
      </c>
      <c r="D137" t="s">
        <v>205</v>
      </c>
      <c r="G137">
        <v>0</v>
      </c>
      <c r="H137" t="s">
        <v>205</v>
      </c>
      <c r="I137" t="s">
        <v>205</v>
      </c>
      <c r="J137" t="s">
        <v>205</v>
      </c>
      <c r="K137" t="s">
        <v>205</v>
      </c>
      <c r="L137" t="s">
        <v>205</v>
      </c>
      <c r="M137" t="s">
        <v>205</v>
      </c>
    </row>
    <row r="138" spans="1:13" x14ac:dyDescent="0.35">
      <c r="A138">
        <v>2024</v>
      </c>
      <c r="B138">
        <v>73</v>
      </c>
      <c r="C138" t="s">
        <v>273</v>
      </c>
      <c r="D138" t="s">
        <v>205</v>
      </c>
      <c r="G138">
        <v>0</v>
      </c>
      <c r="H138" t="s">
        <v>205</v>
      </c>
      <c r="I138" t="s">
        <v>205</v>
      </c>
      <c r="J138" t="s">
        <v>205</v>
      </c>
      <c r="K138" t="s">
        <v>205</v>
      </c>
      <c r="L138" t="s">
        <v>205</v>
      </c>
      <c r="M138" t="s">
        <v>205</v>
      </c>
    </row>
    <row r="139" spans="1:13" x14ac:dyDescent="0.35">
      <c r="A139">
        <v>2024</v>
      </c>
      <c r="B139">
        <v>73</v>
      </c>
      <c r="C139" t="s">
        <v>292</v>
      </c>
      <c r="D139" t="s">
        <v>205</v>
      </c>
      <c r="G139">
        <v>0</v>
      </c>
      <c r="H139" t="s">
        <v>205</v>
      </c>
      <c r="I139" t="s">
        <v>205</v>
      </c>
      <c r="J139" t="s">
        <v>205</v>
      </c>
      <c r="K139" t="s">
        <v>205</v>
      </c>
      <c r="L139" t="s">
        <v>205</v>
      </c>
      <c r="M139" t="s">
        <v>205</v>
      </c>
    </row>
    <row r="140" spans="1:13" x14ac:dyDescent="0.35">
      <c r="A140">
        <v>2024</v>
      </c>
      <c r="B140">
        <v>73</v>
      </c>
      <c r="C140" t="s">
        <v>267</v>
      </c>
      <c r="D140" t="s">
        <v>205</v>
      </c>
      <c r="G140">
        <v>0</v>
      </c>
      <c r="H140" t="s">
        <v>205</v>
      </c>
      <c r="I140" t="s">
        <v>205</v>
      </c>
      <c r="J140" t="s">
        <v>205</v>
      </c>
      <c r="K140" t="s">
        <v>205</v>
      </c>
      <c r="L140" t="s">
        <v>205</v>
      </c>
      <c r="M140" t="s">
        <v>205</v>
      </c>
    </row>
    <row r="141" spans="1:13" x14ac:dyDescent="0.35">
      <c r="A141">
        <v>2024</v>
      </c>
      <c r="B141">
        <v>73</v>
      </c>
      <c r="C141" t="s">
        <v>277</v>
      </c>
      <c r="D141" t="s">
        <v>268</v>
      </c>
      <c r="E141" t="s">
        <v>180</v>
      </c>
      <c r="F141" t="s">
        <v>179</v>
      </c>
      <c r="G141">
        <v>1</v>
      </c>
      <c r="H141" t="s">
        <v>180</v>
      </c>
      <c r="I141" t="s">
        <v>180</v>
      </c>
      <c r="J141" t="s">
        <v>180</v>
      </c>
      <c r="K141" t="s">
        <v>180</v>
      </c>
      <c r="L141" t="s">
        <v>180</v>
      </c>
      <c r="M141">
        <v>0</v>
      </c>
    </row>
    <row r="142" spans="1:13" x14ac:dyDescent="0.35">
      <c r="A142">
        <v>2024</v>
      </c>
      <c r="B142">
        <v>74</v>
      </c>
      <c r="C142" t="s">
        <v>273</v>
      </c>
      <c r="D142" t="s">
        <v>205</v>
      </c>
      <c r="G142">
        <v>0</v>
      </c>
      <c r="H142" t="s">
        <v>205</v>
      </c>
      <c r="I142" t="s">
        <v>205</v>
      </c>
      <c r="J142" t="s">
        <v>205</v>
      </c>
      <c r="K142" t="s">
        <v>205</v>
      </c>
      <c r="L142" t="s">
        <v>205</v>
      </c>
      <c r="M142" t="s">
        <v>205</v>
      </c>
    </row>
    <row r="143" spans="1:13" x14ac:dyDescent="0.35">
      <c r="A143">
        <v>2024</v>
      </c>
      <c r="B143">
        <v>74</v>
      </c>
      <c r="C143" t="s">
        <v>292</v>
      </c>
      <c r="D143" t="s">
        <v>205</v>
      </c>
      <c r="G143">
        <v>0</v>
      </c>
      <c r="H143" t="s">
        <v>205</v>
      </c>
      <c r="I143" t="s">
        <v>205</v>
      </c>
      <c r="J143" t="s">
        <v>205</v>
      </c>
      <c r="K143" t="s">
        <v>205</v>
      </c>
      <c r="L143" t="s">
        <v>205</v>
      </c>
      <c r="M143" t="s">
        <v>205</v>
      </c>
    </row>
    <row r="144" spans="1:13" x14ac:dyDescent="0.35">
      <c r="A144">
        <v>2024</v>
      </c>
      <c r="B144">
        <v>74</v>
      </c>
      <c r="C144" t="s">
        <v>267</v>
      </c>
      <c r="D144" t="s">
        <v>205</v>
      </c>
      <c r="G144">
        <v>0</v>
      </c>
      <c r="H144" t="s">
        <v>205</v>
      </c>
      <c r="I144" t="s">
        <v>205</v>
      </c>
      <c r="J144" t="s">
        <v>205</v>
      </c>
      <c r="K144" t="s">
        <v>205</v>
      </c>
      <c r="L144" t="s">
        <v>205</v>
      </c>
      <c r="M144" t="s">
        <v>205</v>
      </c>
    </row>
    <row r="145" spans="1:13" x14ac:dyDescent="0.35">
      <c r="A145">
        <v>2024</v>
      </c>
      <c r="B145">
        <v>74</v>
      </c>
      <c r="C145" t="s">
        <v>277</v>
      </c>
      <c r="D145" t="s">
        <v>205</v>
      </c>
      <c r="G145">
        <v>0</v>
      </c>
      <c r="H145" t="s">
        <v>205</v>
      </c>
      <c r="I145" t="s">
        <v>205</v>
      </c>
      <c r="J145" t="s">
        <v>205</v>
      </c>
      <c r="K145" t="s">
        <v>205</v>
      </c>
      <c r="L145" t="s">
        <v>205</v>
      </c>
      <c r="M145" t="s">
        <v>205</v>
      </c>
    </row>
    <row r="146" spans="1:13" x14ac:dyDescent="0.35">
      <c r="A146">
        <v>2024</v>
      </c>
      <c r="B146" t="s">
        <v>347</v>
      </c>
      <c r="C146" t="s">
        <v>273</v>
      </c>
      <c r="D146" t="s">
        <v>205</v>
      </c>
      <c r="G146">
        <v>0</v>
      </c>
      <c r="H146" t="s">
        <v>205</v>
      </c>
      <c r="I146" t="s">
        <v>205</v>
      </c>
      <c r="J146" t="s">
        <v>205</v>
      </c>
      <c r="K146" t="s">
        <v>205</v>
      </c>
      <c r="L146" t="s">
        <v>205</v>
      </c>
      <c r="M146" t="s">
        <v>205</v>
      </c>
    </row>
    <row r="147" spans="1:13" x14ac:dyDescent="0.35">
      <c r="A147">
        <v>2024</v>
      </c>
      <c r="B147" t="s">
        <v>347</v>
      </c>
      <c r="C147" t="s">
        <v>292</v>
      </c>
      <c r="D147" t="s">
        <v>205</v>
      </c>
      <c r="G147">
        <v>0</v>
      </c>
      <c r="H147" t="s">
        <v>205</v>
      </c>
      <c r="I147" t="s">
        <v>205</v>
      </c>
      <c r="J147" t="s">
        <v>205</v>
      </c>
      <c r="K147" t="s">
        <v>205</v>
      </c>
      <c r="L147" t="s">
        <v>205</v>
      </c>
      <c r="M147" t="s">
        <v>205</v>
      </c>
    </row>
    <row r="148" spans="1:13" x14ac:dyDescent="0.35">
      <c r="A148">
        <v>2024</v>
      </c>
      <c r="B148" t="s">
        <v>347</v>
      </c>
      <c r="C148" t="s">
        <v>267</v>
      </c>
      <c r="D148" t="s">
        <v>205</v>
      </c>
      <c r="G148">
        <v>0</v>
      </c>
      <c r="H148" t="s">
        <v>205</v>
      </c>
      <c r="I148" t="s">
        <v>205</v>
      </c>
      <c r="J148" t="s">
        <v>205</v>
      </c>
      <c r="K148" t="s">
        <v>205</v>
      </c>
      <c r="L148" t="s">
        <v>205</v>
      </c>
      <c r="M148" t="s">
        <v>205</v>
      </c>
    </row>
    <row r="149" spans="1:13" x14ac:dyDescent="0.35">
      <c r="A149">
        <v>2024</v>
      </c>
      <c r="B149" t="s">
        <v>347</v>
      </c>
      <c r="C149" t="s">
        <v>277</v>
      </c>
      <c r="D149" t="s">
        <v>205</v>
      </c>
      <c r="G149">
        <v>0</v>
      </c>
      <c r="H149" t="s">
        <v>205</v>
      </c>
      <c r="I149" t="s">
        <v>205</v>
      </c>
      <c r="J149" t="s">
        <v>205</v>
      </c>
      <c r="K149" t="s">
        <v>205</v>
      </c>
      <c r="L149" t="s">
        <v>205</v>
      </c>
      <c r="M149" t="s">
        <v>205</v>
      </c>
    </row>
    <row r="150" spans="1:13" x14ac:dyDescent="0.35">
      <c r="A150">
        <v>2024</v>
      </c>
      <c r="B150" t="s">
        <v>350</v>
      </c>
      <c r="C150" t="s">
        <v>273</v>
      </c>
      <c r="D150" t="s">
        <v>205</v>
      </c>
      <c r="G150">
        <v>0</v>
      </c>
      <c r="H150" t="s">
        <v>205</v>
      </c>
      <c r="I150" t="s">
        <v>205</v>
      </c>
      <c r="J150" t="s">
        <v>205</v>
      </c>
      <c r="K150" t="s">
        <v>205</v>
      </c>
      <c r="L150" t="s">
        <v>205</v>
      </c>
      <c r="M150" t="s">
        <v>205</v>
      </c>
    </row>
    <row r="151" spans="1:13" x14ac:dyDescent="0.35">
      <c r="A151">
        <v>2024</v>
      </c>
      <c r="B151" t="s">
        <v>350</v>
      </c>
      <c r="C151" t="s">
        <v>292</v>
      </c>
      <c r="D151" t="s">
        <v>205</v>
      </c>
      <c r="G151">
        <v>0</v>
      </c>
      <c r="H151" t="s">
        <v>205</v>
      </c>
      <c r="I151" t="s">
        <v>205</v>
      </c>
      <c r="J151" t="s">
        <v>205</v>
      </c>
      <c r="K151" t="s">
        <v>205</v>
      </c>
      <c r="L151" t="s">
        <v>205</v>
      </c>
      <c r="M151" t="s">
        <v>205</v>
      </c>
    </row>
    <row r="152" spans="1:13" x14ac:dyDescent="0.35">
      <c r="A152">
        <v>2024</v>
      </c>
      <c r="B152" t="s">
        <v>350</v>
      </c>
      <c r="C152" t="s">
        <v>267</v>
      </c>
      <c r="D152" t="s">
        <v>205</v>
      </c>
      <c r="G152">
        <v>0</v>
      </c>
      <c r="H152" t="s">
        <v>205</v>
      </c>
      <c r="I152" t="s">
        <v>205</v>
      </c>
      <c r="J152" t="s">
        <v>205</v>
      </c>
      <c r="K152" t="s">
        <v>205</v>
      </c>
      <c r="L152" t="s">
        <v>205</v>
      </c>
      <c r="M152" t="s">
        <v>205</v>
      </c>
    </row>
    <row r="153" spans="1:13" x14ac:dyDescent="0.35">
      <c r="A153">
        <v>2024</v>
      </c>
      <c r="B153" t="s">
        <v>350</v>
      </c>
      <c r="C153" t="s">
        <v>277</v>
      </c>
      <c r="D153" t="s">
        <v>205</v>
      </c>
      <c r="G153">
        <v>0</v>
      </c>
      <c r="H153" t="s">
        <v>205</v>
      </c>
      <c r="I153" t="s">
        <v>205</v>
      </c>
      <c r="J153" t="s">
        <v>205</v>
      </c>
      <c r="K153" t="s">
        <v>205</v>
      </c>
      <c r="L153" t="s">
        <v>205</v>
      </c>
      <c r="M153" t="s">
        <v>205</v>
      </c>
    </row>
    <row r="154" spans="1:13" x14ac:dyDescent="0.35">
      <c r="A154">
        <v>2024</v>
      </c>
      <c r="B154">
        <v>109</v>
      </c>
      <c r="C154" t="s">
        <v>273</v>
      </c>
      <c r="D154" t="s">
        <v>205</v>
      </c>
      <c r="G154">
        <v>0</v>
      </c>
      <c r="H154" t="s">
        <v>205</v>
      </c>
      <c r="I154" t="s">
        <v>205</v>
      </c>
      <c r="J154" t="s">
        <v>205</v>
      </c>
      <c r="K154" t="s">
        <v>205</v>
      </c>
      <c r="L154" t="s">
        <v>205</v>
      </c>
      <c r="M154" t="s">
        <v>205</v>
      </c>
    </row>
    <row r="155" spans="1:13" x14ac:dyDescent="0.35">
      <c r="A155">
        <v>2024</v>
      </c>
      <c r="B155">
        <v>109</v>
      </c>
      <c r="C155" t="s">
        <v>292</v>
      </c>
      <c r="D155" t="s">
        <v>205</v>
      </c>
      <c r="G155">
        <v>0</v>
      </c>
      <c r="H155" t="s">
        <v>205</v>
      </c>
      <c r="I155" t="s">
        <v>205</v>
      </c>
      <c r="J155" t="s">
        <v>205</v>
      </c>
      <c r="K155" t="s">
        <v>205</v>
      </c>
      <c r="L155" t="s">
        <v>205</v>
      </c>
      <c r="M155" t="s">
        <v>205</v>
      </c>
    </row>
    <row r="156" spans="1:13" x14ac:dyDescent="0.35">
      <c r="A156">
        <v>2024</v>
      </c>
      <c r="B156">
        <v>109</v>
      </c>
      <c r="C156" t="s">
        <v>267</v>
      </c>
      <c r="D156" t="s">
        <v>205</v>
      </c>
      <c r="G156">
        <v>0</v>
      </c>
      <c r="H156" t="s">
        <v>205</v>
      </c>
      <c r="I156" t="s">
        <v>205</v>
      </c>
      <c r="J156" t="s">
        <v>205</v>
      </c>
      <c r="K156" t="s">
        <v>205</v>
      </c>
      <c r="L156" t="s">
        <v>205</v>
      </c>
      <c r="M156" t="s">
        <v>205</v>
      </c>
    </row>
    <row r="157" spans="1:13" x14ac:dyDescent="0.35">
      <c r="A157">
        <v>2024</v>
      </c>
      <c r="B157">
        <v>109</v>
      </c>
      <c r="C157" t="s">
        <v>277</v>
      </c>
      <c r="D157" t="s">
        <v>205</v>
      </c>
      <c r="G157">
        <v>0</v>
      </c>
      <c r="H157" t="s">
        <v>205</v>
      </c>
      <c r="I157" t="s">
        <v>205</v>
      </c>
      <c r="J157" t="s">
        <v>205</v>
      </c>
      <c r="K157" t="s">
        <v>205</v>
      </c>
      <c r="L157" t="s">
        <v>205</v>
      </c>
      <c r="M157" t="s">
        <v>205</v>
      </c>
    </row>
    <row r="158" spans="1:13" x14ac:dyDescent="0.35">
      <c r="A158">
        <v>2024</v>
      </c>
      <c r="B158">
        <v>100</v>
      </c>
      <c r="C158" t="s">
        <v>273</v>
      </c>
      <c r="D158" t="s">
        <v>268</v>
      </c>
      <c r="E158" t="s">
        <v>180</v>
      </c>
      <c r="F158" t="s">
        <v>179</v>
      </c>
      <c r="G158">
        <v>2</v>
      </c>
      <c r="H158" t="s">
        <v>180</v>
      </c>
      <c r="I158" t="s">
        <v>180</v>
      </c>
      <c r="J158" t="s">
        <v>180</v>
      </c>
      <c r="K158" t="s">
        <v>180</v>
      </c>
      <c r="L158" t="s">
        <v>180</v>
      </c>
      <c r="M158">
        <v>0</v>
      </c>
    </row>
    <row r="159" spans="1:13" x14ac:dyDescent="0.35">
      <c r="A159">
        <v>2024</v>
      </c>
      <c r="B159">
        <v>100</v>
      </c>
      <c r="C159" t="s">
        <v>292</v>
      </c>
      <c r="D159" t="s">
        <v>268</v>
      </c>
      <c r="E159" t="s">
        <v>180</v>
      </c>
      <c r="F159" t="s">
        <v>179</v>
      </c>
      <c r="G159">
        <v>1</v>
      </c>
      <c r="H159" t="s">
        <v>180</v>
      </c>
      <c r="I159" t="s">
        <v>180</v>
      </c>
      <c r="J159" t="s">
        <v>179</v>
      </c>
      <c r="K159" t="s">
        <v>180</v>
      </c>
      <c r="L159" t="s">
        <v>180</v>
      </c>
      <c r="M159">
        <v>100</v>
      </c>
    </row>
    <row r="160" spans="1:13" x14ac:dyDescent="0.35">
      <c r="A160">
        <v>2024</v>
      </c>
      <c r="B160">
        <v>100</v>
      </c>
      <c r="C160" t="s">
        <v>267</v>
      </c>
      <c r="D160" t="s">
        <v>205</v>
      </c>
      <c r="G160">
        <v>0</v>
      </c>
      <c r="H160" t="s">
        <v>205</v>
      </c>
      <c r="I160" t="s">
        <v>205</v>
      </c>
      <c r="J160" t="s">
        <v>205</v>
      </c>
      <c r="K160" t="s">
        <v>205</v>
      </c>
      <c r="L160" t="s">
        <v>205</v>
      </c>
      <c r="M160" t="s">
        <v>205</v>
      </c>
    </row>
    <row r="161" spans="1:14" x14ac:dyDescent="0.35">
      <c r="A161">
        <v>2024</v>
      </c>
      <c r="B161">
        <v>100</v>
      </c>
      <c r="C161" t="s">
        <v>277</v>
      </c>
      <c r="D161" t="s">
        <v>205</v>
      </c>
      <c r="G161">
        <v>0</v>
      </c>
      <c r="H161" t="s">
        <v>205</v>
      </c>
      <c r="I161" t="s">
        <v>205</v>
      </c>
      <c r="J161" t="s">
        <v>205</v>
      </c>
      <c r="K161" t="s">
        <v>205</v>
      </c>
      <c r="L161" t="s">
        <v>205</v>
      </c>
      <c r="M161" t="s">
        <v>205</v>
      </c>
    </row>
    <row r="162" spans="1:14" x14ac:dyDescent="0.35">
      <c r="A162">
        <v>2024</v>
      </c>
      <c r="B162">
        <v>112</v>
      </c>
      <c r="C162" t="s">
        <v>273</v>
      </c>
      <c r="D162" t="s">
        <v>268</v>
      </c>
      <c r="E162" t="s">
        <v>180</v>
      </c>
      <c r="F162" t="s">
        <v>179</v>
      </c>
      <c r="G162">
        <v>15</v>
      </c>
      <c r="H162" t="s">
        <v>180</v>
      </c>
      <c r="I162" t="s">
        <v>180</v>
      </c>
      <c r="J162" t="s">
        <v>179</v>
      </c>
      <c r="K162" t="s">
        <v>180</v>
      </c>
      <c r="L162" t="s">
        <v>180</v>
      </c>
      <c r="M162">
        <v>7</v>
      </c>
    </row>
    <row r="163" spans="1:14" x14ac:dyDescent="0.35">
      <c r="A163">
        <v>2024</v>
      </c>
      <c r="B163">
        <v>112</v>
      </c>
      <c r="C163" t="s">
        <v>292</v>
      </c>
      <c r="D163" t="s">
        <v>268</v>
      </c>
      <c r="E163" t="s">
        <v>180</v>
      </c>
      <c r="F163" t="s">
        <v>179</v>
      </c>
      <c r="G163">
        <v>20</v>
      </c>
      <c r="H163" t="s">
        <v>180</v>
      </c>
      <c r="I163" t="s">
        <v>180</v>
      </c>
      <c r="J163" t="s">
        <v>180</v>
      </c>
      <c r="K163" t="s">
        <v>180</v>
      </c>
      <c r="L163" t="s">
        <v>180</v>
      </c>
      <c r="M163">
        <v>0</v>
      </c>
      <c r="N163" t="s">
        <v>406</v>
      </c>
    </row>
    <row r="164" spans="1:14" x14ac:dyDescent="0.35">
      <c r="A164">
        <v>2024</v>
      </c>
      <c r="B164">
        <v>112</v>
      </c>
      <c r="C164" t="s">
        <v>267</v>
      </c>
      <c r="D164" t="s">
        <v>268</v>
      </c>
      <c r="E164" t="s">
        <v>180</v>
      </c>
      <c r="F164" t="s">
        <v>179</v>
      </c>
      <c r="G164">
        <v>7</v>
      </c>
      <c r="H164" t="s">
        <v>180</v>
      </c>
      <c r="I164" t="s">
        <v>180</v>
      </c>
      <c r="J164" t="s">
        <v>180</v>
      </c>
      <c r="K164" t="s">
        <v>180</v>
      </c>
      <c r="L164" t="s">
        <v>180</v>
      </c>
      <c r="M164">
        <v>0</v>
      </c>
    </row>
    <row r="165" spans="1:14" x14ac:dyDescent="0.35">
      <c r="A165">
        <v>2024</v>
      </c>
      <c r="B165">
        <v>112</v>
      </c>
      <c r="C165" t="s">
        <v>277</v>
      </c>
      <c r="D165" t="s">
        <v>268</v>
      </c>
      <c r="E165" t="s">
        <v>180</v>
      </c>
      <c r="F165" t="s">
        <v>179</v>
      </c>
      <c r="G165">
        <v>18</v>
      </c>
      <c r="H165" t="s">
        <v>180</v>
      </c>
      <c r="I165" t="s">
        <v>180</v>
      </c>
      <c r="J165" t="s">
        <v>179</v>
      </c>
      <c r="K165" t="s">
        <v>180</v>
      </c>
      <c r="L165" t="s">
        <v>180</v>
      </c>
      <c r="M165">
        <v>6</v>
      </c>
    </row>
    <row r="166" spans="1:14" x14ac:dyDescent="0.35">
      <c r="A166">
        <v>2024</v>
      </c>
      <c r="B166">
        <v>113</v>
      </c>
      <c r="C166" t="s">
        <v>273</v>
      </c>
      <c r="D166" t="s">
        <v>268</v>
      </c>
      <c r="E166" t="s">
        <v>180</v>
      </c>
      <c r="F166" t="s">
        <v>179</v>
      </c>
      <c r="G166">
        <v>21</v>
      </c>
      <c r="H166" t="s">
        <v>180</v>
      </c>
      <c r="I166" t="s">
        <v>180</v>
      </c>
      <c r="J166" t="s">
        <v>180</v>
      </c>
      <c r="K166" t="s">
        <v>180</v>
      </c>
      <c r="L166" t="s">
        <v>180</v>
      </c>
      <c r="M166">
        <v>0</v>
      </c>
    </row>
    <row r="167" spans="1:14" x14ac:dyDescent="0.35">
      <c r="A167">
        <v>2024</v>
      </c>
      <c r="B167">
        <v>113</v>
      </c>
      <c r="C167" t="s">
        <v>292</v>
      </c>
      <c r="D167" t="s">
        <v>268</v>
      </c>
      <c r="E167" t="s">
        <v>180</v>
      </c>
      <c r="F167" t="s">
        <v>179</v>
      </c>
      <c r="G167">
        <v>39</v>
      </c>
      <c r="H167" t="s">
        <v>180</v>
      </c>
      <c r="I167" t="s">
        <v>180</v>
      </c>
      <c r="J167" t="s">
        <v>179</v>
      </c>
      <c r="K167" t="s">
        <v>180</v>
      </c>
      <c r="L167" t="s">
        <v>180</v>
      </c>
      <c r="M167">
        <v>3</v>
      </c>
    </row>
    <row r="168" spans="1:14" x14ac:dyDescent="0.35">
      <c r="A168">
        <v>2024</v>
      </c>
      <c r="B168">
        <v>113</v>
      </c>
      <c r="C168" t="s">
        <v>267</v>
      </c>
      <c r="D168" t="s">
        <v>268</v>
      </c>
      <c r="E168" t="s">
        <v>180</v>
      </c>
      <c r="F168" t="s">
        <v>179</v>
      </c>
      <c r="G168">
        <v>27</v>
      </c>
      <c r="H168" t="s">
        <v>180</v>
      </c>
      <c r="I168" t="s">
        <v>180</v>
      </c>
      <c r="J168" t="s">
        <v>179</v>
      </c>
      <c r="K168" t="s">
        <v>180</v>
      </c>
      <c r="L168" t="s">
        <v>180</v>
      </c>
      <c r="M168">
        <v>11</v>
      </c>
    </row>
    <row r="169" spans="1:14" x14ac:dyDescent="0.35">
      <c r="A169">
        <v>2024</v>
      </c>
      <c r="B169">
        <v>113</v>
      </c>
      <c r="C169" t="s">
        <v>277</v>
      </c>
      <c r="D169" t="s">
        <v>268</v>
      </c>
      <c r="E169" t="s">
        <v>180</v>
      </c>
      <c r="F169" t="s">
        <v>179</v>
      </c>
      <c r="G169">
        <v>20</v>
      </c>
      <c r="H169" t="s">
        <v>180</v>
      </c>
      <c r="I169" t="s">
        <v>180</v>
      </c>
      <c r="J169" t="s">
        <v>180</v>
      </c>
      <c r="K169" t="s">
        <v>180</v>
      </c>
      <c r="L169" t="s">
        <v>180</v>
      </c>
      <c r="M169">
        <v>0</v>
      </c>
    </row>
    <row r="170" spans="1:14" x14ac:dyDescent="0.35">
      <c r="A170">
        <v>2024</v>
      </c>
      <c r="B170">
        <v>114</v>
      </c>
      <c r="C170" t="s">
        <v>273</v>
      </c>
      <c r="D170" t="s">
        <v>268</v>
      </c>
      <c r="E170" t="s">
        <v>180</v>
      </c>
      <c r="F170" t="s">
        <v>179</v>
      </c>
      <c r="G170">
        <v>51</v>
      </c>
      <c r="H170" t="s">
        <v>180</v>
      </c>
      <c r="I170" t="s">
        <v>180</v>
      </c>
      <c r="J170" t="s">
        <v>179</v>
      </c>
      <c r="K170" t="s">
        <v>180</v>
      </c>
      <c r="L170" t="s">
        <v>180</v>
      </c>
      <c r="M170">
        <v>4</v>
      </c>
    </row>
    <row r="171" spans="1:14" x14ac:dyDescent="0.35">
      <c r="A171">
        <v>2024</v>
      </c>
      <c r="B171">
        <v>114</v>
      </c>
      <c r="C171" t="s">
        <v>292</v>
      </c>
      <c r="D171" t="s">
        <v>268</v>
      </c>
      <c r="E171" t="s">
        <v>180</v>
      </c>
      <c r="F171" t="s">
        <v>179</v>
      </c>
      <c r="G171">
        <v>56</v>
      </c>
      <c r="H171" t="s">
        <v>180</v>
      </c>
      <c r="I171" t="s">
        <v>180</v>
      </c>
      <c r="J171" t="s">
        <v>180</v>
      </c>
      <c r="K171" t="s">
        <v>180</v>
      </c>
      <c r="L171" t="s">
        <v>180</v>
      </c>
      <c r="M171">
        <v>0</v>
      </c>
    </row>
    <row r="172" spans="1:14" x14ac:dyDescent="0.35">
      <c r="A172">
        <v>2024</v>
      </c>
      <c r="B172">
        <v>114</v>
      </c>
      <c r="C172" t="s">
        <v>267</v>
      </c>
      <c r="D172" t="s">
        <v>268</v>
      </c>
      <c r="E172" t="s">
        <v>180</v>
      </c>
      <c r="F172" t="s">
        <v>179</v>
      </c>
      <c r="G172">
        <v>17</v>
      </c>
      <c r="H172" t="s">
        <v>180</v>
      </c>
      <c r="I172" t="s">
        <v>180</v>
      </c>
      <c r="J172" t="s">
        <v>180</v>
      </c>
      <c r="K172" t="s">
        <v>180</v>
      </c>
      <c r="L172" t="s">
        <v>180</v>
      </c>
      <c r="M172">
        <v>0</v>
      </c>
    </row>
    <row r="173" spans="1:14" x14ac:dyDescent="0.35">
      <c r="A173">
        <v>2024</v>
      </c>
      <c r="B173">
        <v>114</v>
      </c>
      <c r="C173" t="s">
        <v>277</v>
      </c>
      <c r="D173" t="s">
        <v>268</v>
      </c>
      <c r="E173" t="s">
        <v>180</v>
      </c>
      <c r="F173" t="s">
        <v>179</v>
      </c>
      <c r="G173">
        <v>34</v>
      </c>
      <c r="H173" t="s">
        <v>180</v>
      </c>
      <c r="I173" t="s">
        <v>180</v>
      </c>
      <c r="J173" t="s">
        <v>179</v>
      </c>
      <c r="K173" t="s">
        <v>180</v>
      </c>
      <c r="L173" t="s">
        <v>180</v>
      </c>
      <c r="M173">
        <v>12</v>
      </c>
    </row>
    <row r="174" spans="1:14" x14ac:dyDescent="0.35">
      <c r="A174">
        <v>2024</v>
      </c>
      <c r="B174">
        <v>110</v>
      </c>
      <c r="C174" t="s">
        <v>273</v>
      </c>
      <c r="D174" t="s">
        <v>205</v>
      </c>
      <c r="G174">
        <v>0</v>
      </c>
      <c r="H174" t="s">
        <v>205</v>
      </c>
      <c r="I174" t="s">
        <v>205</v>
      </c>
      <c r="J174" t="s">
        <v>205</v>
      </c>
      <c r="K174" t="s">
        <v>205</v>
      </c>
      <c r="L174" t="s">
        <v>205</v>
      </c>
      <c r="M174" t="s">
        <v>205</v>
      </c>
    </row>
    <row r="175" spans="1:14" x14ac:dyDescent="0.35">
      <c r="A175">
        <v>2024</v>
      </c>
      <c r="B175">
        <v>110</v>
      </c>
      <c r="C175" t="s">
        <v>292</v>
      </c>
      <c r="D175" t="s">
        <v>205</v>
      </c>
      <c r="G175">
        <v>0</v>
      </c>
      <c r="H175" t="s">
        <v>205</v>
      </c>
      <c r="I175" t="s">
        <v>205</v>
      </c>
      <c r="J175" t="s">
        <v>205</v>
      </c>
      <c r="K175" t="s">
        <v>205</v>
      </c>
      <c r="L175" t="s">
        <v>205</v>
      </c>
      <c r="M175" t="s">
        <v>205</v>
      </c>
    </row>
    <row r="176" spans="1:14" x14ac:dyDescent="0.35">
      <c r="A176">
        <v>2024</v>
      </c>
      <c r="B176">
        <v>110</v>
      </c>
      <c r="C176" t="s">
        <v>267</v>
      </c>
      <c r="D176" t="s">
        <v>205</v>
      </c>
      <c r="G176">
        <v>0</v>
      </c>
      <c r="H176" t="s">
        <v>205</v>
      </c>
      <c r="I176" t="s">
        <v>205</v>
      </c>
      <c r="J176" t="s">
        <v>205</v>
      </c>
      <c r="K176" t="s">
        <v>205</v>
      </c>
      <c r="L176" t="s">
        <v>205</v>
      </c>
      <c r="M176" t="s">
        <v>205</v>
      </c>
    </row>
    <row r="177" spans="1:14" x14ac:dyDescent="0.35">
      <c r="A177">
        <v>2024</v>
      </c>
      <c r="B177">
        <v>110</v>
      </c>
      <c r="C177" t="s">
        <v>277</v>
      </c>
      <c r="D177" t="s">
        <v>205</v>
      </c>
      <c r="G177">
        <v>0</v>
      </c>
      <c r="H177" t="s">
        <v>205</v>
      </c>
      <c r="I177" t="s">
        <v>205</v>
      </c>
      <c r="J177" t="s">
        <v>205</v>
      </c>
      <c r="K177" t="s">
        <v>205</v>
      </c>
      <c r="L177" t="s">
        <v>205</v>
      </c>
      <c r="M177" t="s">
        <v>205</v>
      </c>
    </row>
    <row r="178" spans="1:14" x14ac:dyDescent="0.35">
      <c r="A178">
        <v>2024</v>
      </c>
      <c r="B178">
        <v>111</v>
      </c>
      <c r="C178" t="s">
        <v>273</v>
      </c>
      <c r="D178" t="s">
        <v>205</v>
      </c>
      <c r="G178">
        <v>0</v>
      </c>
      <c r="H178" t="s">
        <v>205</v>
      </c>
      <c r="I178" t="s">
        <v>205</v>
      </c>
      <c r="J178" t="s">
        <v>205</v>
      </c>
      <c r="K178" t="s">
        <v>205</v>
      </c>
      <c r="L178" t="s">
        <v>205</v>
      </c>
      <c r="M178" t="s">
        <v>205</v>
      </c>
    </row>
    <row r="179" spans="1:14" x14ac:dyDescent="0.35">
      <c r="A179">
        <v>2024</v>
      </c>
      <c r="B179">
        <v>111</v>
      </c>
      <c r="C179" t="s">
        <v>292</v>
      </c>
      <c r="D179" t="s">
        <v>205</v>
      </c>
      <c r="G179">
        <v>0</v>
      </c>
      <c r="H179" t="s">
        <v>205</v>
      </c>
      <c r="I179" t="s">
        <v>205</v>
      </c>
      <c r="J179" t="s">
        <v>205</v>
      </c>
      <c r="K179" t="s">
        <v>205</v>
      </c>
      <c r="L179" t="s">
        <v>205</v>
      </c>
      <c r="M179" t="s">
        <v>205</v>
      </c>
    </row>
    <row r="180" spans="1:14" x14ac:dyDescent="0.35">
      <c r="A180">
        <v>2024</v>
      </c>
      <c r="B180">
        <v>111</v>
      </c>
      <c r="C180" t="s">
        <v>267</v>
      </c>
      <c r="D180" t="s">
        <v>205</v>
      </c>
      <c r="G180">
        <v>0</v>
      </c>
      <c r="H180" t="s">
        <v>205</v>
      </c>
      <c r="I180" t="s">
        <v>205</v>
      </c>
      <c r="J180" t="s">
        <v>205</v>
      </c>
      <c r="K180" t="s">
        <v>205</v>
      </c>
      <c r="L180" t="s">
        <v>205</v>
      </c>
      <c r="M180" t="s">
        <v>205</v>
      </c>
    </row>
    <row r="181" spans="1:14" x14ac:dyDescent="0.35">
      <c r="A181">
        <v>2024</v>
      </c>
      <c r="B181">
        <v>111</v>
      </c>
      <c r="C181" t="s">
        <v>277</v>
      </c>
      <c r="D181" t="s">
        <v>205</v>
      </c>
      <c r="G181">
        <v>0</v>
      </c>
      <c r="H181" t="s">
        <v>205</v>
      </c>
      <c r="I181" t="s">
        <v>205</v>
      </c>
      <c r="J181" t="s">
        <v>205</v>
      </c>
      <c r="K181" t="s">
        <v>205</v>
      </c>
      <c r="L181" t="s">
        <v>205</v>
      </c>
      <c r="M181" t="s">
        <v>205</v>
      </c>
    </row>
    <row r="182" spans="1:14" x14ac:dyDescent="0.35">
      <c r="A182">
        <v>2024</v>
      </c>
      <c r="B182">
        <v>69</v>
      </c>
      <c r="C182" t="s">
        <v>273</v>
      </c>
      <c r="D182" t="s">
        <v>205</v>
      </c>
      <c r="G182">
        <v>0</v>
      </c>
      <c r="H182" t="s">
        <v>205</v>
      </c>
      <c r="I182" t="s">
        <v>205</v>
      </c>
      <c r="J182" t="s">
        <v>205</v>
      </c>
      <c r="K182" t="s">
        <v>205</v>
      </c>
      <c r="L182" t="s">
        <v>205</v>
      </c>
      <c r="M182" t="s">
        <v>205</v>
      </c>
    </row>
    <row r="183" spans="1:14" x14ac:dyDescent="0.35">
      <c r="A183">
        <v>2024</v>
      </c>
      <c r="B183">
        <v>69</v>
      </c>
      <c r="C183" t="s">
        <v>292</v>
      </c>
      <c r="D183" t="s">
        <v>205</v>
      </c>
      <c r="G183">
        <v>0</v>
      </c>
      <c r="H183" t="s">
        <v>205</v>
      </c>
      <c r="I183" t="s">
        <v>205</v>
      </c>
      <c r="J183" t="s">
        <v>205</v>
      </c>
      <c r="K183" t="s">
        <v>205</v>
      </c>
      <c r="L183" t="s">
        <v>205</v>
      </c>
      <c r="M183" t="s">
        <v>205</v>
      </c>
    </row>
    <row r="184" spans="1:14" x14ac:dyDescent="0.35">
      <c r="A184">
        <v>2024</v>
      </c>
      <c r="B184">
        <v>69</v>
      </c>
      <c r="C184" t="s">
        <v>267</v>
      </c>
      <c r="D184" t="s">
        <v>268</v>
      </c>
      <c r="E184" t="s">
        <v>180</v>
      </c>
      <c r="F184" t="s">
        <v>179</v>
      </c>
      <c r="G184">
        <v>1</v>
      </c>
      <c r="H184" t="s">
        <v>180</v>
      </c>
      <c r="I184" t="s">
        <v>180</v>
      </c>
      <c r="J184" t="s">
        <v>180</v>
      </c>
      <c r="K184" t="s">
        <v>180</v>
      </c>
      <c r="L184" t="s">
        <v>180</v>
      </c>
      <c r="M184">
        <v>0</v>
      </c>
    </row>
    <row r="185" spans="1:14" x14ac:dyDescent="0.35">
      <c r="A185">
        <v>2024</v>
      </c>
      <c r="B185">
        <v>69</v>
      </c>
      <c r="C185" t="s">
        <v>277</v>
      </c>
      <c r="D185" t="s">
        <v>205</v>
      </c>
      <c r="G185">
        <v>0</v>
      </c>
      <c r="H185" t="s">
        <v>205</v>
      </c>
      <c r="I185" t="s">
        <v>205</v>
      </c>
      <c r="J185" t="s">
        <v>205</v>
      </c>
      <c r="K185" t="s">
        <v>205</v>
      </c>
      <c r="L185" t="s">
        <v>205</v>
      </c>
      <c r="M185" t="s">
        <v>205</v>
      </c>
    </row>
    <row r="186" spans="1:14" ht="17.5" customHeight="1" x14ac:dyDescent="0.35">
      <c r="A186">
        <v>2024</v>
      </c>
      <c r="B186">
        <v>68</v>
      </c>
      <c r="C186" t="s">
        <v>273</v>
      </c>
      <c r="D186" t="s">
        <v>407</v>
      </c>
      <c r="E186" t="s">
        <v>180</v>
      </c>
      <c r="F186" t="s">
        <v>179</v>
      </c>
      <c r="G186">
        <v>4</v>
      </c>
      <c r="H186" t="s">
        <v>180</v>
      </c>
      <c r="I186" t="s">
        <v>180</v>
      </c>
      <c r="J186" t="s">
        <v>180</v>
      </c>
      <c r="K186" t="s">
        <v>180</v>
      </c>
      <c r="L186" t="s">
        <v>180</v>
      </c>
      <c r="M186">
        <v>0</v>
      </c>
      <c r="N186" t="s">
        <v>408</v>
      </c>
    </row>
    <row r="187" spans="1:14" x14ac:dyDescent="0.35">
      <c r="A187">
        <v>2024</v>
      </c>
      <c r="B187">
        <v>68</v>
      </c>
      <c r="C187" t="s">
        <v>292</v>
      </c>
      <c r="D187" t="s">
        <v>409</v>
      </c>
      <c r="E187" t="s">
        <v>179</v>
      </c>
      <c r="F187" t="s">
        <v>179</v>
      </c>
      <c r="G187">
        <v>13</v>
      </c>
      <c r="H187" t="s">
        <v>180</v>
      </c>
      <c r="I187" t="s">
        <v>180</v>
      </c>
      <c r="J187" t="s">
        <v>180</v>
      </c>
      <c r="K187" t="s">
        <v>180</v>
      </c>
      <c r="L187" t="s">
        <v>180</v>
      </c>
      <c r="M187">
        <v>0</v>
      </c>
    </row>
    <row r="188" spans="1:14" x14ac:dyDescent="0.35">
      <c r="A188">
        <v>2024</v>
      </c>
      <c r="B188">
        <v>68</v>
      </c>
      <c r="C188" t="s">
        <v>267</v>
      </c>
      <c r="D188" t="s">
        <v>407</v>
      </c>
      <c r="E188" t="s">
        <v>180</v>
      </c>
      <c r="F188" t="s">
        <v>179</v>
      </c>
      <c r="G188">
        <v>9</v>
      </c>
      <c r="H188" t="s">
        <v>180</v>
      </c>
      <c r="I188" t="s">
        <v>180</v>
      </c>
      <c r="J188" t="s">
        <v>180</v>
      </c>
      <c r="K188" t="s">
        <v>180</v>
      </c>
      <c r="L188" t="s">
        <v>180</v>
      </c>
      <c r="M188">
        <v>0</v>
      </c>
    </row>
    <row r="189" spans="1:14" x14ac:dyDescent="0.35">
      <c r="A189">
        <v>2024</v>
      </c>
      <c r="B189">
        <v>68</v>
      </c>
      <c r="C189" t="s">
        <v>277</v>
      </c>
      <c r="D189" t="s">
        <v>407</v>
      </c>
      <c r="E189" t="s">
        <v>180</v>
      </c>
      <c r="F189" t="s">
        <v>179</v>
      </c>
      <c r="G189">
        <v>5</v>
      </c>
      <c r="H189" t="s">
        <v>180</v>
      </c>
      <c r="I189" t="s">
        <v>180</v>
      </c>
      <c r="J189" t="s">
        <v>180</v>
      </c>
      <c r="K189" t="s">
        <v>180</v>
      </c>
      <c r="L189" t="s">
        <v>180</v>
      </c>
      <c r="M189">
        <v>0</v>
      </c>
    </row>
    <row r="190" spans="1:14" x14ac:dyDescent="0.35">
      <c r="A190">
        <v>2024</v>
      </c>
      <c r="B190">
        <v>70</v>
      </c>
      <c r="C190" t="s">
        <v>273</v>
      </c>
      <c r="D190" t="s">
        <v>205</v>
      </c>
      <c r="G190">
        <v>0</v>
      </c>
      <c r="H190" t="s">
        <v>205</v>
      </c>
      <c r="I190" t="s">
        <v>205</v>
      </c>
      <c r="J190" t="s">
        <v>205</v>
      </c>
      <c r="K190" t="s">
        <v>205</v>
      </c>
      <c r="L190" t="s">
        <v>205</v>
      </c>
      <c r="M190" t="s">
        <v>205</v>
      </c>
    </row>
    <row r="191" spans="1:14" x14ac:dyDescent="0.35">
      <c r="A191">
        <v>2024</v>
      </c>
      <c r="B191">
        <v>70</v>
      </c>
      <c r="C191" t="s">
        <v>292</v>
      </c>
      <c r="D191" t="s">
        <v>205</v>
      </c>
      <c r="G191">
        <v>0</v>
      </c>
      <c r="H191" t="s">
        <v>205</v>
      </c>
      <c r="I191" t="s">
        <v>205</v>
      </c>
      <c r="J191" t="s">
        <v>205</v>
      </c>
      <c r="K191" t="s">
        <v>205</v>
      </c>
      <c r="L191" t="s">
        <v>205</v>
      </c>
      <c r="M191" t="s">
        <v>205</v>
      </c>
    </row>
    <row r="192" spans="1:14" x14ac:dyDescent="0.35">
      <c r="A192">
        <v>2024</v>
      </c>
      <c r="B192">
        <v>70</v>
      </c>
      <c r="C192" t="s">
        <v>267</v>
      </c>
      <c r="D192" t="s">
        <v>298</v>
      </c>
      <c r="G192">
        <v>3</v>
      </c>
      <c r="H192" t="s">
        <v>180</v>
      </c>
      <c r="I192" t="s">
        <v>180</v>
      </c>
      <c r="J192" t="s">
        <v>180</v>
      </c>
      <c r="K192" t="s">
        <v>180</v>
      </c>
      <c r="L192" t="s">
        <v>180</v>
      </c>
      <c r="M192">
        <v>0</v>
      </c>
    </row>
    <row r="193" spans="1:13" x14ac:dyDescent="0.35">
      <c r="A193">
        <v>2024</v>
      </c>
      <c r="B193">
        <v>70</v>
      </c>
      <c r="C193" t="s">
        <v>277</v>
      </c>
      <c r="D193" t="s">
        <v>298</v>
      </c>
      <c r="G193">
        <v>2</v>
      </c>
      <c r="H193" t="s">
        <v>180</v>
      </c>
      <c r="I193" t="s">
        <v>180</v>
      </c>
      <c r="J193" t="s">
        <v>180</v>
      </c>
      <c r="K193" t="s">
        <v>180</v>
      </c>
      <c r="L193" t="s">
        <v>180</v>
      </c>
      <c r="M193">
        <v>0</v>
      </c>
    </row>
    <row r="194" spans="1:13" x14ac:dyDescent="0.35">
      <c r="A194">
        <v>2024</v>
      </c>
      <c r="B194">
        <v>71</v>
      </c>
      <c r="C194" t="s">
        <v>273</v>
      </c>
      <c r="D194" t="s">
        <v>205</v>
      </c>
      <c r="G194">
        <v>0</v>
      </c>
      <c r="H194" t="s">
        <v>205</v>
      </c>
      <c r="I194" t="s">
        <v>205</v>
      </c>
      <c r="J194" t="s">
        <v>205</v>
      </c>
      <c r="K194" t="s">
        <v>205</v>
      </c>
      <c r="L194" t="s">
        <v>205</v>
      </c>
      <c r="M194" t="s">
        <v>205</v>
      </c>
    </row>
    <row r="195" spans="1:13" x14ac:dyDescent="0.35">
      <c r="A195">
        <v>2024</v>
      </c>
      <c r="B195">
        <v>71</v>
      </c>
      <c r="C195" t="s">
        <v>292</v>
      </c>
      <c r="D195" t="s">
        <v>205</v>
      </c>
      <c r="G195">
        <v>0</v>
      </c>
      <c r="H195" t="s">
        <v>205</v>
      </c>
      <c r="I195" t="s">
        <v>205</v>
      </c>
      <c r="J195" t="s">
        <v>205</v>
      </c>
      <c r="K195" t="s">
        <v>205</v>
      </c>
      <c r="L195" t="s">
        <v>205</v>
      </c>
      <c r="M195" t="s">
        <v>205</v>
      </c>
    </row>
    <row r="196" spans="1:13" x14ac:dyDescent="0.35">
      <c r="A196">
        <v>2024</v>
      </c>
      <c r="B196">
        <v>71</v>
      </c>
      <c r="C196" t="s">
        <v>267</v>
      </c>
      <c r="D196" t="s">
        <v>205</v>
      </c>
      <c r="G196">
        <v>0</v>
      </c>
      <c r="H196" t="s">
        <v>205</v>
      </c>
      <c r="I196" t="s">
        <v>205</v>
      </c>
      <c r="J196" t="s">
        <v>205</v>
      </c>
      <c r="K196" t="s">
        <v>205</v>
      </c>
      <c r="L196" t="s">
        <v>205</v>
      </c>
      <c r="M196" t="s">
        <v>205</v>
      </c>
    </row>
    <row r="197" spans="1:13" x14ac:dyDescent="0.35">
      <c r="A197">
        <v>2024</v>
      </c>
      <c r="B197">
        <v>71</v>
      </c>
      <c r="C197" t="s">
        <v>277</v>
      </c>
      <c r="D197" t="s">
        <v>410</v>
      </c>
      <c r="E197" t="s">
        <v>179</v>
      </c>
      <c r="F197" t="s">
        <v>179</v>
      </c>
      <c r="G197">
        <v>3</v>
      </c>
      <c r="H197" t="s">
        <v>180</v>
      </c>
      <c r="I197" t="s">
        <v>180</v>
      </c>
      <c r="J197" t="s">
        <v>180</v>
      </c>
      <c r="K197" t="s">
        <v>180</v>
      </c>
      <c r="L197" t="s">
        <v>180</v>
      </c>
      <c r="M197">
        <v>0</v>
      </c>
    </row>
    <row r="198" spans="1:13" x14ac:dyDescent="0.35">
      <c r="A198">
        <v>2024</v>
      </c>
      <c r="B198">
        <v>55</v>
      </c>
      <c r="C198" t="s">
        <v>273</v>
      </c>
      <c r="D198" t="s">
        <v>205</v>
      </c>
      <c r="G198">
        <v>0</v>
      </c>
      <c r="H198" t="s">
        <v>205</v>
      </c>
      <c r="I198" t="s">
        <v>205</v>
      </c>
      <c r="J198" t="s">
        <v>205</v>
      </c>
      <c r="K198" t="s">
        <v>205</v>
      </c>
      <c r="L198" t="s">
        <v>205</v>
      </c>
      <c r="M198" t="s">
        <v>205</v>
      </c>
    </row>
    <row r="199" spans="1:13" x14ac:dyDescent="0.35">
      <c r="A199">
        <v>2024</v>
      </c>
      <c r="B199">
        <v>55</v>
      </c>
      <c r="C199" t="s">
        <v>292</v>
      </c>
      <c r="D199" t="s">
        <v>205</v>
      </c>
      <c r="G199">
        <v>0</v>
      </c>
      <c r="H199" t="s">
        <v>205</v>
      </c>
      <c r="I199" t="s">
        <v>205</v>
      </c>
      <c r="J199" t="s">
        <v>205</v>
      </c>
      <c r="K199" t="s">
        <v>205</v>
      </c>
      <c r="L199" t="s">
        <v>205</v>
      </c>
      <c r="M199" t="s">
        <v>205</v>
      </c>
    </row>
    <row r="200" spans="1:13" x14ac:dyDescent="0.35">
      <c r="A200">
        <v>2024</v>
      </c>
      <c r="B200">
        <v>55</v>
      </c>
      <c r="C200" t="s">
        <v>267</v>
      </c>
      <c r="D200" t="s">
        <v>205</v>
      </c>
      <c r="G200">
        <v>0</v>
      </c>
      <c r="H200" t="s">
        <v>205</v>
      </c>
      <c r="I200" t="s">
        <v>205</v>
      </c>
      <c r="J200" t="s">
        <v>205</v>
      </c>
      <c r="K200" t="s">
        <v>205</v>
      </c>
      <c r="L200" t="s">
        <v>205</v>
      </c>
      <c r="M200" t="s">
        <v>205</v>
      </c>
    </row>
    <row r="201" spans="1:13" x14ac:dyDescent="0.35">
      <c r="A201">
        <v>2024</v>
      </c>
      <c r="B201">
        <v>55</v>
      </c>
      <c r="C201" t="s">
        <v>277</v>
      </c>
      <c r="D201" t="s">
        <v>205</v>
      </c>
      <c r="G201">
        <v>0</v>
      </c>
      <c r="H201" t="s">
        <v>205</v>
      </c>
      <c r="I201" t="s">
        <v>205</v>
      </c>
      <c r="J201" t="s">
        <v>205</v>
      </c>
      <c r="K201" t="s">
        <v>205</v>
      </c>
      <c r="L201" t="s">
        <v>205</v>
      </c>
      <c r="M201" t="s">
        <v>205</v>
      </c>
    </row>
    <row r="202" spans="1:13" x14ac:dyDescent="0.35">
      <c r="A202">
        <v>2024</v>
      </c>
      <c r="B202">
        <v>67</v>
      </c>
      <c r="C202" t="s">
        <v>273</v>
      </c>
      <c r="D202" t="s">
        <v>205</v>
      </c>
      <c r="G202">
        <v>0</v>
      </c>
      <c r="H202" t="s">
        <v>205</v>
      </c>
      <c r="I202" t="s">
        <v>205</v>
      </c>
      <c r="J202" t="s">
        <v>205</v>
      </c>
      <c r="K202" t="s">
        <v>205</v>
      </c>
      <c r="L202" t="s">
        <v>205</v>
      </c>
      <c r="M202" t="s">
        <v>205</v>
      </c>
    </row>
    <row r="203" spans="1:13" x14ac:dyDescent="0.35">
      <c r="A203">
        <v>2024</v>
      </c>
      <c r="B203">
        <v>67</v>
      </c>
      <c r="C203" t="s">
        <v>292</v>
      </c>
      <c r="D203" t="s">
        <v>205</v>
      </c>
      <c r="G203">
        <v>0</v>
      </c>
      <c r="H203" t="s">
        <v>205</v>
      </c>
      <c r="I203" t="s">
        <v>205</v>
      </c>
      <c r="J203" t="s">
        <v>205</v>
      </c>
      <c r="K203" t="s">
        <v>205</v>
      </c>
      <c r="L203" t="s">
        <v>205</v>
      </c>
      <c r="M203" t="s">
        <v>205</v>
      </c>
    </row>
    <row r="204" spans="1:13" x14ac:dyDescent="0.35">
      <c r="A204">
        <v>2024</v>
      </c>
      <c r="B204">
        <v>67</v>
      </c>
      <c r="C204" t="s">
        <v>267</v>
      </c>
      <c r="D204" t="s">
        <v>205</v>
      </c>
      <c r="G204">
        <v>0</v>
      </c>
      <c r="H204" t="s">
        <v>205</v>
      </c>
      <c r="I204" t="s">
        <v>205</v>
      </c>
      <c r="J204" t="s">
        <v>205</v>
      </c>
      <c r="K204" t="s">
        <v>205</v>
      </c>
      <c r="L204" t="s">
        <v>205</v>
      </c>
      <c r="M204" t="s">
        <v>205</v>
      </c>
    </row>
    <row r="205" spans="1:13" x14ac:dyDescent="0.35">
      <c r="A205">
        <v>2024</v>
      </c>
      <c r="B205">
        <v>67</v>
      </c>
      <c r="C205" t="s">
        <v>277</v>
      </c>
      <c r="D205" t="s">
        <v>205</v>
      </c>
      <c r="G205">
        <v>0</v>
      </c>
      <c r="H205" t="s">
        <v>205</v>
      </c>
      <c r="I205" t="s">
        <v>205</v>
      </c>
      <c r="J205" t="s">
        <v>205</v>
      </c>
      <c r="K205" t="s">
        <v>205</v>
      </c>
      <c r="L205" t="s">
        <v>205</v>
      </c>
      <c r="M205" t="s">
        <v>205</v>
      </c>
    </row>
    <row r="206" spans="1:13" s="11" customFormat="1" x14ac:dyDescent="0.35">
      <c r="A206">
        <v>2024</v>
      </c>
      <c r="B206" s="11">
        <v>40</v>
      </c>
      <c r="C206" t="s">
        <v>273</v>
      </c>
      <c r="D206" s="11" t="s">
        <v>296</v>
      </c>
      <c r="G206" s="11">
        <v>0</v>
      </c>
      <c r="H206" t="s">
        <v>205</v>
      </c>
      <c r="I206" t="s">
        <v>205</v>
      </c>
      <c r="J206" t="s">
        <v>205</v>
      </c>
      <c r="K206" t="s">
        <v>205</v>
      </c>
      <c r="L206" t="s">
        <v>205</v>
      </c>
      <c r="M206" t="s">
        <v>205</v>
      </c>
    </row>
    <row r="207" spans="1:13" x14ac:dyDescent="0.35">
      <c r="A207">
        <v>2024</v>
      </c>
      <c r="B207">
        <v>40</v>
      </c>
      <c r="C207" t="s">
        <v>292</v>
      </c>
      <c r="D207" t="s">
        <v>296</v>
      </c>
      <c r="G207">
        <v>0</v>
      </c>
      <c r="H207" t="s">
        <v>205</v>
      </c>
      <c r="I207" t="s">
        <v>205</v>
      </c>
      <c r="J207" t="s">
        <v>205</v>
      </c>
      <c r="K207" t="s">
        <v>205</v>
      </c>
      <c r="L207" t="s">
        <v>205</v>
      </c>
      <c r="M207" t="s">
        <v>205</v>
      </c>
    </row>
    <row r="208" spans="1:13" x14ac:dyDescent="0.35">
      <c r="A208">
        <v>2024</v>
      </c>
      <c r="B208">
        <v>40</v>
      </c>
      <c r="C208" t="s">
        <v>267</v>
      </c>
      <c r="D208" t="s">
        <v>296</v>
      </c>
      <c r="G208">
        <v>0</v>
      </c>
      <c r="H208" t="s">
        <v>205</v>
      </c>
      <c r="I208" t="s">
        <v>205</v>
      </c>
      <c r="J208" t="s">
        <v>205</v>
      </c>
      <c r="K208" t="s">
        <v>205</v>
      </c>
      <c r="L208" t="s">
        <v>205</v>
      </c>
      <c r="M208" t="s">
        <v>205</v>
      </c>
    </row>
    <row r="209" spans="1:13" x14ac:dyDescent="0.35">
      <c r="A209">
        <v>2024</v>
      </c>
      <c r="B209">
        <v>40</v>
      </c>
      <c r="C209" t="s">
        <v>277</v>
      </c>
      <c r="D209" t="s">
        <v>296</v>
      </c>
      <c r="G209">
        <v>0</v>
      </c>
      <c r="H209" t="s">
        <v>205</v>
      </c>
      <c r="I209" t="s">
        <v>205</v>
      </c>
      <c r="J209" t="s">
        <v>205</v>
      </c>
      <c r="K209" t="s">
        <v>205</v>
      </c>
      <c r="L209" t="s">
        <v>205</v>
      </c>
      <c r="M209" t="s">
        <v>205</v>
      </c>
    </row>
    <row r="210" spans="1:13" x14ac:dyDescent="0.35">
      <c r="A210">
        <v>2024</v>
      </c>
      <c r="B210">
        <v>44</v>
      </c>
      <c r="C210" t="s">
        <v>273</v>
      </c>
      <c r="D210" t="s">
        <v>296</v>
      </c>
      <c r="G210">
        <v>0</v>
      </c>
      <c r="H210" t="s">
        <v>205</v>
      </c>
      <c r="I210" t="s">
        <v>205</v>
      </c>
      <c r="J210" t="s">
        <v>205</v>
      </c>
      <c r="K210" t="s">
        <v>205</v>
      </c>
      <c r="L210" t="s">
        <v>205</v>
      </c>
      <c r="M210" t="s">
        <v>205</v>
      </c>
    </row>
    <row r="211" spans="1:13" x14ac:dyDescent="0.35">
      <c r="A211">
        <v>2024</v>
      </c>
      <c r="B211">
        <v>44</v>
      </c>
      <c r="C211" t="s">
        <v>292</v>
      </c>
      <c r="D211" t="s">
        <v>296</v>
      </c>
      <c r="G211">
        <v>0</v>
      </c>
      <c r="H211" t="s">
        <v>205</v>
      </c>
      <c r="I211" t="s">
        <v>205</v>
      </c>
      <c r="J211" t="s">
        <v>205</v>
      </c>
      <c r="K211" t="s">
        <v>205</v>
      </c>
      <c r="L211" t="s">
        <v>205</v>
      </c>
      <c r="M211" t="s">
        <v>205</v>
      </c>
    </row>
    <row r="212" spans="1:13" x14ac:dyDescent="0.35">
      <c r="A212">
        <v>2024</v>
      </c>
      <c r="B212">
        <v>44</v>
      </c>
      <c r="C212" t="s">
        <v>267</v>
      </c>
      <c r="D212" t="s">
        <v>296</v>
      </c>
      <c r="G212">
        <v>0</v>
      </c>
      <c r="H212" t="s">
        <v>205</v>
      </c>
      <c r="I212" t="s">
        <v>205</v>
      </c>
      <c r="J212" t="s">
        <v>205</v>
      </c>
      <c r="K212" t="s">
        <v>205</v>
      </c>
      <c r="L212" t="s">
        <v>205</v>
      </c>
      <c r="M212" t="s">
        <v>205</v>
      </c>
    </row>
    <row r="213" spans="1:13" x14ac:dyDescent="0.35">
      <c r="A213">
        <v>2024</v>
      </c>
      <c r="B213">
        <v>44</v>
      </c>
      <c r="C213" t="s">
        <v>277</v>
      </c>
      <c r="D213" t="s">
        <v>296</v>
      </c>
      <c r="G213">
        <v>0</v>
      </c>
      <c r="H213" t="s">
        <v>205</v>
      </c>
      <c r="I213" t="s">
        <v>205</v>
      </c>
      <c r="J213" t="s">
        <v>205</v>
      </c>
      <c r="K213" t="s">
        <v>205</v>
      </c>
      <c r="L213" t="s">
        <v>205</v>
      </c>
      <c r="M213" t="s">
        <v>205</v>
      </c>
    </row>
    <row r="214" spans="1:13" x14ac:dyDescent="0.35">
      <c r="A214">
        <v>2024</v>
      </c>
      <c r="B214">
        <v>43</v>
      </c>
      <c r="C214" t="s">
        <v>273</v>
      </c>
      <c r="D214" t="s">
        <v>296</v>
      </c>
      <c r="G214">
        <v>0</v>
      </c>
      <c r="H214" t="s">
        <v>205</v>
      </c>
      <c r="I214" t="s">
        <v>205</v>
      </c>
      <c r="J214" t="s">
        <v>205</v>
      </c>
      <c r="K214" t="s">
        <v>205</v>
      </c>
      <c r="L214" t="s">
        <v>205</v>
      </c>
      <c r="M214" t="s">
        <v>205</v>
      </c>
    </row>
    <row r="215" spans="1:13" x14ac:dyDescent="0.35">
      <c r="A215">
        <v>2024</v>
      </c>
      <c r="B215">
        <v>43</v>
      </c>
      <c r="C215" t="s">
        <v>292</v>
      </c>
      <c r="D215" t="s">
        <v>296</v>
      </c>
      <c r="G215">
        <v>0</v>
      </c>
      <c r="H215" t="s">
        <v>205</v>
      </c>
      <c r="I215" t="s">
        <v>205</v>
      </c>
      <c r="J215" t="s">
        <v>205</v>
      </c>
      <c r="K215" t="s">
        <v>205</v>
      </c>
      <c r="L215" t="s">
        <v>205</v>
      </c>
      <c r="M215" t="s">
        <v>205</v>
      </c>
    </row>
    <row r="216" spans="1:13" x14ac:dyDescent="0.35">
      <c r="A216">
        <v>2024</v>
      </c>
      <c r="B216">
        <v>43</v>
      </c>
      <c r="C216" t="s">
        <v>267</v>
      </c>
      <c r="D216" t="s">
        <v>296</v>
      </c>
      <c r="G216">
        <v>0</v>
      </c>
      <c r="H216" t="s">
        <v>205</v>
      </c>
      <c r="I216" t="s">
        <v>205</v>
      </c>
      <c r="J216" t="s">
        <v>205</v>
      </c>
      <c r="K216" t="s">
        <v>205</v>
      </c>
      <c r="L216" t="s">
        <v>205</v>
      </c>
      <c r="M216" t="s">
        <v>205</v>
      </c>
    </row>
    <row r="217" spans="1:13" x14ac:dyDescent="0.35">
      <c r="A217">
        <v>2024</v>
      </c>
      <c r="B217">
        <v>43</v>
      </c>
      <c r="C217" t="s">
        <v>277</v>
      </c>
      <c r="D217" t="s">
        <v>296</v>
      </c>
      <c r="G217">
        <v>0</v>
      </c>
      <c r="H217" t="s">
        <v>205</v>
      </c>
      <c r="I217" t="s">
        <v>205</v>
      </c>
      <c r="J217" t="s">
        <v>205</v>
      </c>
      <c r="K217" t="s">
        <v>205</v>
      </c>
      <c r="L217" t="s">
        <v>205</v>
      </c>
      <c r="M217" t="s">
        <v>205</v>
      </c>
    </row>
    <row r="218" spans="1:13" x14ac:dyDescent="0.35">
      <c r="A218">
        <v>2024</v>
      </c>
      <c r="B218">
        <v>45</v>
      </c>
      <c r="C218" t="s">
        <v>273</v>
      </c>
      <c r="D218" t="s">
        <v>296</v>
      </c>
      <c r="G218">
        <v>0</v>
      </c>
      <c r="H218" t="s">
        <v>205</v>
      </c>
      <c r="I218" t="s">
        <v>205</v>
      </c>
      <c r="J218" t="s">
        <v>205</v>
      </c>
      <c r="K218" t="s">
        <v>205</v>
      </c>
      <c r="L218" t="s">
        <v>205</v>
      </c>
      <c r="M218" t="s">
        <v>205</v>
      </c>
    </row>
    <row r="219" spans="1:13" x14ac:dyDescent="0.35">
      <c r="A219">
        <v>2024</v>
      </c>
      <c r="B219">
        <v>45</v>
      </c>
      <c r="C219" t="s">
        <v>292</v>
      </c>
      <c r="D219" t="s">
        <v>296</v>
      </c>
      <c r="G219">
        <v>0</v>
      </c>
      <c r="H219" t="s">
        <v>205</v>
      </c>
      <c r="I219" t="s">
        <v>205</v>
      </c>
      <c r="J219" t="s">
        <v>205</v>
      </c>
      <c r="K219" t="s">
        <v>205</v>
      </c>
      <c r="L219" t="s">
        <v>205</v>
      </c>
      <c r="M219" t="s">
        <v>205</v>
      </c>
    </row>
    <row r="220" spans="1:13" x14ac:dyDescent="0.35">
      <c r="A220">
        <v>2024</v>
      </c>
      <c r="B220">
        <v>45</v>
      </c>
      <c r="C220" t="s">
        <v>267</v>
      </c>
      <c r="D220" t="s">
        <v>296</v>
      </c>
      <c r="G220">
        <v>0</v>
      </c>
      <c r="H220" t="s">
        <v>205</v>
      </c>
      <c r="I220" t="s">
        <v>205</v>
      </c>
      <c r="J220" t="s">
        <v>205</v>
      </c>
      <c r="K220" t="s">
        <v>205</v>
      </c>
      <c r="L220" t="s">
        <v>205</v>
      </c>
      <c r="M220" t="s">
        <v>205</v>
      </c>
    </row>
    <row r="221" spans="1:13" x14ac:dyDescent="0.35">
      <c r="A221">
        <v>2024</v>
      </c>
      <c r="B221">
        <v>45</v>
      </c>
      <c r="C221" t="s">
        <v>277</v>
      </c>
      <c r="D221" t="s">
        <v>296</v>
      </c>
      <c r="G221">
        <v>0</v>
      </c>
      <c r="H221" t="s">
        <v>205</v>
      </c>
      <c r="I221" t="s">
        <v>205</v>
      </c>
      <c r="J221" t="s">
        <v>205</v>
      </c>
      <c r="K221" t="s">
        <v>205</v>
      </c>
      <c r="L221" t="s">
        <v>205</v>
      </c>
      <c r="M221" t="s">
        <v>205</v>
      </c>
    </row>
    <row r="222" spans="1:13" x14ac:dyDescent="0.35">
      <c r="A222">
        <v>2024</v>
      </c>
      <c r="B222">
        <v>41</v>
      </c>
      <c r="C222" t="s">
        <v>273</v>
      </c>
      <c r="D222" t="s">
        <v>296</v>
      </c>
      <c r="G222">
        <v>0</v>
      </c>
      <c r="H222" t="s">
        <v>205</v>
      </c>
      <c r="I222" t="s">
        <v>205</v>
      </c>
      <c r="J222" t="s">
        <v>205</v>
      </c>
      <c r="K222" t="s">
        <v>205</v>
      </c>
      <c r="L222" t="s">
        <v>205</v>
      </c>
      <c r="M222" t="s">
        <v>205</v>
      </c>
    </row>
    <row r="223" spans="1:13" x14ac:dyDescent="0.35">
      <c r="A223">
        <v>2024</v>
      </c>
      <c r="B223">
        <v>41</v>
      </c>
      <c r="C223" t="s">
        <v>292</v>
      </c>
      <c r="D223" t="s">
        <v>296</v>
      </c>
      <c r="G223">
        <v>0</v>
      </c>
      <c r="H223" t="s">
        <v>205</v>
      </c>
      <c r="I223" t="s">
        <v>205</v>
      </c>
      <c r="J223" t="s">
        <v>205</v>
      </c>
      <c r="K223" t="s">
        <v>205</v>
      </c>
      <c r="L223" t="s">
        <v>205</v>
      </c>
      <c r="M223" t="s">
        <v>205</v>
      </c>
    </row>
    <row r="224" spans="1:13" x14ac:dyDescent="0.35">
      <c r="A224">
        <v>2024</v>
      </c>
      <c r="B224">
        <v>41</v>
      </c>
      <c r="C224" t="s">
        <v>267</v>
      </c>
      <c r="D224" t="s">
        <v>296</v>
      </c>
      <c r="G224">
        <v>0</v>
      </c>
      <c r="H224" t="s">
        <v>205</v>
      </c>
      <c r="I224" t="s">
        <v>205</v>
      </c>
      <c r="J224" t="s">
        <v>205</v>
      </c>
      <c r="K224" t="s">
        <v>205</v>
      </c>
      <c r="L224" t="s">
        <v>205</v>
      </c>
      <c r="M224" t="s">
        <v>205</v>
      </c>
    </row>
    <row r="225" spans="1:13" x14ac:dyDescent="0.35">
      <c r="A225">
        <v>2024</v>
      </c>
      <c r="B225">
        <v>41</v>
      </c>
      <c r="C225" t="s">
        <v>277</v>
      </c>
      <c r="D225" t="s">
        <v>296</v>
      </c>
      <c r="G225">
        <v>0</v>
      </c>
      <c r="H225" t="s">
        <v>205</v>
      </c>
      <c r="I225" t="s">
        <v>205</v>
      </c>
      <c r="J225" t="s">
        <v>205</v>
      </c>
      <c r="K225" t="s">
        <v>205</v>
      </c>
      <c r="L225" t="s">
        <v>205</v>
      </c>
      <c r="M225" t="s">
        <v>205</v>
      </c>
    </row>
    <row r="226" spans="1:13" x14ac:dyDescent="0.35">
      <c r="A226">
        <v>2024</v>
      </c>
      <c r="B226">
        <v>42</v>
      </c>
      <c r="C226" t="s">
        <v>273</v>
      </c>
      <c r="D226" t="s">
        <v>296</v>
      </c>
      <c r="G226">
        <v>0</v>
      </c>
      <c r="H226" t="s">
        <v>205</v>
      </c>
      <c r="I226" t="s">
        <v>205</v>
      </c>
      <c r="J226" t="s">
        <v>205</v>
      </c>
      <c r="K226" t="s">
        <v>205</v>
      </c>
      <c r="L226" t="s">
        <v>205</v>
      </c>
      <c r="M226" t="s">
        <v>205</v>
      </c>
    </row>
    <row r="227" spans="1:13" x14ac:dyDescent="0.35">
      <c r="A227">
        <v>2024</v>
      </c>
      <c r="B227">
        <v>42</v>
      </c>
      <c r="C227" t="s">
        <v>292</v>
      </c>
      <c r="D227" t="s">
        <v>296</v>
      </c>
      <c r="G227">
        <v>0</v>
      </c>
      <c r="H227" t="s">
        <v>205</v>
      </c>
      <c r="I227" t="s">
        <v>205</v>
      </c>
      <c r="J227" t="s">
        <v>205</v>
      </c>
      <c r="K227" t="s">
        <v>205</v>
      </c>
      <c r="L227" t="s">
        <v>205</v>
      </c>
      <c r="M227" t="s">
        <v>205</v>
      </c>
    </row>
    <row r="228" spans="1:13" x14ac:dyDescent="0.35">
      <c r="A228">
        <v>2024</v>
      </c>
      <c r="B228">
        <v>42</v>
      </c>
      <c r="C228" t="s">
        <v>267</v>
      </c>
      <c r="D228" t="s">
        <v>296</v>
      </c>
      <c r="G228">
        <v>0</v>
      </c>
      <c r="H228" t="s">
        <v>205</v>
      </c>
      <c r="I228" t="s">
        <v>205</v>
      </c>
      <c r="J228" t="s">
        <v>205</v>
      </c>
      <c r="K228" t="s">
        <v>205</v>
      </c>
      <c r="L228" t="s">
        <v>205</v>
      </c>
      <c r="M228" t="s">
        <v>205</v>
      </c>
    </row>
    <row r="229" spans="1:13" x14ac:dyDescent="0.35">
      <c r="A229">
        <v>2024</v>
      </c>
      <c r="B229">
        <v>42</v>
      </c>
      <c r="C229" t="s">
        <v>277</v>
      </c>
      <c r="D229" t="s">
        <v>296</v>
      </c>
      <c r="G229">
        <v>0</v>
      </c>
      <c r="H229" t="s">
        <v>205</v>
      </c>
      <c r="I229" t="s">
        <v>205</v>
      </c>
      <c r="J229" t="s">
        <v>205</v>
      </c>
      <c r="K229" t="s">
        <v>205</v>
      </c>
      <c r="L229" t="s">
        <v>205</v>
      </c>
      <c r="M229" t="s">
        <v>205</v>
      </c>
    </row>
    <row r="230" spans="1:13" x14ac:dyDescent="0.35">
      <c r="A230">
        <v>2024</v>
      </c>
      <c r="B230">
        <v>85</v>
      </c>
      <c r="C230" t="s">
        <v>273</v>
      </c>
      <c r="D230" t="s">
        <v>296</v>
      </c>
      <c r="G230">
        <v>0</v>
      </c>
      <c r="H230" t="s">
        <v>205</v>
      </c>
      <c r="I230" t="s">
        <v>205</v>
      </c>
      <c r="J230" t="s">
        <v>205</v>
      </c>
      <c r="K230" t="s">
        <v>205</v>
      </c>
      <c r="L230" t="s">
        <v>205</v>
      </c>
      <c r="M230" t="s">
        <v>205</v>
      </c>
    </row>
    <row r="231" spans="1:13" x14ac:dyDescent="0.35">
      <c r="A231">
        <v>2024</v>
      </c>
      <c r="B231">
        <v>85</v>
      </c>
      <c r="C231" t="s">
        <v>292</v>
      </c>
      <c r="D231" t="s">
        <v>296</v>
      </c>
      <c r="G231">
        <v>0</v>
      </c>
      <c r="H231" t="s">
        <v>205</v>
      </c>
      <c r="I231" t="s">
        <v>205</v>
      </c>
      <c r="J231" t="s">
        <v>205</v>
      </c>
      <c r="K231" t="s">
        <v>205</v>
      </c>
      <c r="L231" t="s">
        <v>205</v>
      </c>
      <c r="M231" t="s">
        <v>205</v>
      </c>
    </row>
    <row r="232" spans="1:13" x14ac:dyDescent="0.35">
      <c r="A232">
        <v>2024</v>
      </c>
      <c r="B232">
        <v>85</v>
      </c>
      <c r="C232" t="s">
        <v>267</v>
      </c>
      <c r="D232" t="s">
        <v>296</v>
      </c>
      <c r="G232">
        <v>0</v>
      </c>
      <c r="H232" t="s">
        <v>205</v>
      </c>
      <c r="I232" t="s">
        <v>205</v>
      </c>
      <c r="J232" t="s">
        <v>205</v>
      </c>
      <c r="K232" t="s">
        <v>205</v>
      </c>
      <c r="L232" t="s">
        <v>205</v>
      </c>
      <c r="M232" t="s">
        <v>205</v>
      </c>
    </row>
    <row r="233" spans="1:13" x14ac:dyDescent="0.35">
      <c r="A233">
        <v>2024</v>
      </c>
      <c r="B233">
        <v>85</v>
      </c>
      <c r="C233" t="s">
        <v>277</v>
      </c>
      <c r="D233" t="s">
        <v>296</v>
      </c>
      <c r="G233">
        <v>0</v>
      </c>
      <c r="H233" t="s">
        <v>205</v>
      </c>
      <c r="I233" t="s">
        <v>205</v>
      </c>
      <c r="J233" t="s">
        <v>205</v>
      </c>
      <c r="K233" t="s">
        <v>205</v>
      </c>
      <c r="L233" t="s">
        <v>205</v>
      </c>
      <c r="M233" t="s">
        <v>205</v>
      </c>
    </row>
    <row r="234" spans="1:13" x14ac:dyDescent="0.35">
      <c r="A234">
        <v>2024</v>
      </c>
      <c r="B234">
        <v>87</v>
      </c>
      <c r="C234" t="s">
        <v>273</v>
      </c>
      <c r="D234" t="s">
        <v>296</v>
      </c>
      <c r="G234">
        <v>0</v>
      </c>
      <c r="H234" t="s">
        <v>205</v>
      </c>
      <c r="I234" t="s">
        <v>205</v>
      </c>
      <c r="J234" t="s">
        <v>205</v>
      </c>
      <c r="K234" t="s">
        <v>205</v>
      </c>
      <c r="L234" t="s">
        <v>205</v>
      </c>
      <c r="M234" t="s">
        <v>205</v>
      </c>
    </row>
    <row r="235" spans="1:13" x14ac:dyDescent="0.35">
      <c r="A235">
        <v>2024</v>
      </c>
      <c r="B235">
        <v>87</v>
      </c>
      <c r="C235" t="s">
        <v>292</v>
      </c>
      <c r="D235" t="s">
        <v>296</v>
      </c>
      <c r="G235">
        <v>0</v>
      </c>
      <c r="H235" t="s">
        <v>205</v>
      </c>
      <c r="I235" t="s">
        <v>205</v>
      </c>
      <c r="J235" t="s">
        <v>205</v>
      </c>
      <c r="K235" t="s">
        <v>205</v>
      </c>
      <c r="L235" t="s">
        <v>205</v>
      </c>
      <c r="M235" t="s">
        <v>205</v>
      </c>
    </row>
    <row r="236" spans="1:13" x14ac:dyDescent="0.35">
      <c r="A236">
        <v>2024</v>
      </c>
      <c r="B236">
        <v>87</v>
      </c>
      <c r="C236" t="s">
        <v>267</v>
      </c>
      <c r="D236" t="s">
        <v>296</v>
      </c>
      <c r="G236">
        <v>0</v>
      </c>
      <c r="H236" t="s">
        <v>205</v>
      </c>
      <c r="I236" t="s">
        <v>205</v>
      </c>
      <c r="J236" t="s">
        <v>205</v>
      </c>
      <c r="K236" t="s">
        <v>205</v>
      </c>
      <c r="L236" t="s">
        <v>205</v>
      </c>
      <c r="M236" t="s">
        <v>205</v>
      </c>
    </row>
    <row r="237" spans="1:13" x14ac:dyDescent="0.35">
      <c r="A237">
        <v>2024</v>
      </c>
      <c r="B237">
        <v>87</v>
      </c>
      <c r="C237" t="s">
        <v>277</v>
      </c>
      <c r="D237" t="s">
        <v>296</v>
      </c>
      <c r="G237">
        <v>0</v>
      </c>
      <c r="H237" t="s">
        <v>205</v>
      </c>
      <c r="I237" t="s">
        <v>205</v>
      </c>
      <c r="J237" t="s">
        <v>205</v>
      </c>
      <c r="K237" t="s">
        <v>205</v>
      </c>
      <c r="L237" t="s">
        <v>205</v>
      </c>
      <c r="M237" t="s">
        <v>205</v>
      </c>
    </row>
    <row r="238" spans="1:13" x14ac:dyDescent="0.35">
      <c r="A238">
        <v>2024</v>
      </c>
      <c r="B238">
        <v>88</v>
      </c>
      <c r="C238" t="s">
        <v>273</v>
      </c>
      <c r="D238" t="s">
        <v>296</v>
      </c>
      <c r="G238">
        <v>0</v>
      </c>
      <c r="H238" t="s">
        <v>205</v>
      </c>
      <c r="I238" t="s">
        <v>205</v>
      </c>
      <c r="J238" t="s">
        <v>205</v>
      </c>
      <c r="K238" t="s">
        <v>205</v>
      </c>
      <c r="L238" t="s">
        <v>205</v>
      </c>
      <c r="M238" t="s">
        <v>205</v>
      </c>
    </row>
    <row r="239" spans="1:13" x14ac:dyDescent="0.35">
      <c r="A239">
        <v>2024</v>
      </c>
      <c r="B239">
        <v>88</v>
      </c>
      <c r="C239" t="s">
        <v>292</v>
      </c>
      <c r="D239" t="s">
        <v>296</v>
      </c>
      <c r="G239">
        <v>0</v>
      </c>
      <c r="H239" t="s">
        <v>205</v>
      </c>
      <c r="I239" t="s">
        <v>205</v>
      </c>
      <c r="J239" t="s">
        <v>205</v>
      </c>
      <c r="K239" t="s">
        <v>205</v>
      </c>
      <c r="L239" t="s">
        <v>205</v>
      </c>
      <c r="M239" t="s">
        <v>205</v>
      </c>
    </row>
    <row r="240" spans="1:13" x14ac:dyDescent="0.35">
      <c r="A240">
        <v>2024</v>
      </c>
      <c r="B240">
        <v>88</v>
      </c>
      <c r="C240" t="s">
        <v>267</v>
      </c>
      <c r="D240" t="s">
        <v>296</v>
      </c>
      <c r="G240">
        <v>0</v>
      </c>
      <c r="H240" t="s">
        <v>205</v>
      </c>
      <c r="I240" t="s">
        <v>205</v>
      </c>
      <c r="J240" t="s">
        <v>205</v>
      </c>
      <c r="K240" t="s">
        <v>205</v>
      </c>
      <c r="L240" t="s">
        <v>205</v>
      </c>
      <c r="M240" t="s">
        <v>205</v>
      </c>
    </row>
    <row r="241" spans="1:13" x14ac:dyDescent="0.35">
      <c r="A241">
        <v>2024</v>
      </c>
      <c r="B241">
        <v>88</v>
      </c>
      <c r="C241" t="s">
        <v>277</v>
      </c>
      <c r="D241" t="s">
        <v>296</v>
      </c>
      <c r="G241">
        <v>0</v>
      </c>
      <c r="H241" t="s">
        <v>205</v>
      </c>
      <c r="I241" t="s">
        <v>205</v>
      </c>
      <c r="J241" t="s">
        <v>205</v>
      </c>
      <c r="K241" t="s">
        <v>205</v>
      </c>
      <c r="L241" t="s">
        <v>205</v>
      </c>
      <c r="M241" t="s">
        <v>205</v>
      </c>
    </row>
    <row r="242" spans="1:13" x14ac:dyDescent="0.35">
      <c r="A242">
        <v>2024</v>
      </c>
      <c r="B242">
        <v>89</v>
      </c>
      <c r="C242" t="s">
        <v>273</v>
      </c>
      <c r="D242" t="s">
        <v>296</v>
      </c>
      <c r="G242">
        <v>0</v>
      </c>
      <c r="H242" t="s">
        <v>205</v>
      </c>
      <c r="I242" t="s">
        <v>205</v>
      </c>
      <c r="J242" t="s">
        <v>205</v>
      </c>
      <c r="K242" t="s">
        <v>205</v>
      </c>
      <c r="L242" t="s">
        <v>205</v>
      </c>
      <c r="M242" t="s">
        <v>205</v>
      </c>
    </row>
    <row r="243" spans="1:13" x14ac:dyDescent="0.35">
      <c r="A243">
        <v>2024</v>
      </c>
      <c r="B243">
        <v>89</v>
      </c>
      <c r="C243" t="s">
        <v>292</v>
      </c>
      <c r="D243" t="s">
        <v>296</v>
      </c>
      <c r="G243">
        <v>0</v>
      </c>
      <c r="H243" t="s">
        <v>205</v>
      </c>
      <c r="I243" t="s">
        <v>205</v>
      </c>
      <c r="J243" t="s">
        <v>205</v>
      </c>
      <c r="K243" t="s">
        <v>205</v>
      </c>
      <c r="L243" t="s">
        <v>205</v>
      </c>
      <c r="M243" t="s">
        <v>205</v>
      </c>
    </row>
    <row r="244" spans="1:13" x14ac:dyDescent="0.35">
      <c r="A244">
        <v>2024</v>
      </c>
      <c r="B244">
        <v>89</v>
      </c>
      <c r="C244" t="s">
        <v>267</v>
      </c>
      <c r="D244" t="s">
        <v>296</v>
      </c>
      <c r="G244">
        <v>0</v>
      </c>
      <c r="H244" t="s">
        <v>205</v>
      </c>
      <c r="I244" t="s">
        <v>205</v>
      </c>
      <c r="J244" t="s">
        <v>205</v>
      </c>
      <c r="K244" t="s">
        <v>205</v>
      </c>
      <c r="L244" t="s">
        <v>205</v>
      </c>
      <c r="M244" t="s">
        <v>205</v>
      </c>
    </row>
    <row r="245" spans="1:13" x14ac:dyDescent="0.35">
      <c r="A245">
        <v>2024</v>
      </c>
      <c r="B245">
        <v>89</v>
      </c>
      <c r="C245" t="s">
        <v>277</v>
      </c>
      <c r="D245" t="s">
        <v>296</v>
      </c>
      <c r="G245">
        <v>0</v>
      </c>
      <c r="H245" t="s">
        <v>205</v>
      </c>
      <c r="I245" t="s">
        <v>205</v>
      </c>
      <c r="J245" t="s">
        <v>205</v>
      </c>
      <c r="K245" t="s">
        <v>205</v>
      </c>
      <c r="L245" t="s">
        <v>205</v>
      </c>
      <c r="M245" t="s">
        <v>205</v>
      </c>
    </row>
    <row r="246" spans="1:13" x14ac:dyDescent="0.35">
      <c r="A246">
        <v>2024</v>
      </c>
      <c r="B246">
        <v>90</v>
      </c>
      <c r="C246" t="s">
        <v>273</v>
      </c>
      <c r="D246" t="s">
        <v>296</v>
      </c>
      <c r="G246">
        <v>0</v>
      </c>
      <c r="H246" t="s">
        <v>205</v>
      </c>
      <c r="I246" t="s">
        <v>205</v>
      </c>
      <c r="J246" t="s">
        <v>205</v>
      </c>
      <c r="K246" t="s">
        <v>205</v>
      </c>
      <c r="L246" t="s">
        <v>205</v>
      </c>
      <c r="M246" t="s">
        <v>205</v>
      </c>
    </row>
    <row r="247" spans="1:13" x14ac:dyDescent="0.35">
      <c r="A247">
        <v>2024</v>
      </c>
      <c r="B247">
        <v>90</v>
      </c>
      <c r="C247" t="s">
        <v>292</v>
      </c>
      <c r="D247" t="s">
        <v>296</v>
      </c>
      <c r="G247">
        <v>0</v>
      </c>
      <c r="H247" t="s">
        <v>205</v>
      </c>
      <c r="I247" t="s">
        <v>205</v>
      </c>
      <c r="J247" t="s">
        <v>205</v>
      </c>
      <c r="K247" t="s">
        <v>205</v>
      </c>
      <c r="L247" t="s">
        <v>205</v>
      </c>
      <c r="M247" t="s">
        <v>205</v>
      </c>
    </row>
    <row r="248" spans="1:13" x14ac:dyDescent="0.35">
      <c r="A248">
        <v>2024</v>
      </c>
      <c r="B248">
        <v>90</v>
      </c>
      <c r="C248" t="s">
        <v>267</v>
      </c>
      <c r="D248" t="s">
        <v>296</v>
      </c>
      <c r="G248">
        <v>0</v>
      </c>
      <c r="H248" t="s">
        <v>205</v>
      </c>
      <c r="I248" t="s">
        <v>205</v>
      </c>
      <c r="J248" t="s">
        <v>205</v>
      </c>
      <c r="K248" t="s">
        <v>205</v>
      </c>
      <c r="L248" t="s">
        <v>205</v>
      </c>
      <c r="M248" t="s">
        <v>205</v>
      </c>
    </row>
    <row r="249" spans="1:13" x14ac:dyDescent="0.35">
      <c r="A249">
        <v>2024</v>
      </c>
      <c r="B249">
        <v>90</v>
      </c>
      <c r="C249" t="s">
        <v>277</v>
      </c>
      <c r="D249" t="s">
        <v>296</v>
      </c>
      <c r="G249">
        <v>0</v>
      </c>
      <c r="H249" t="s">
        <v>205</v>
      </c>
      <c r="I249" t="s">
        <v>205</v>
      </c>
      <c r="J249" t="s">
        <v>205</v>
      </c>
      <c r="K249" t="s">
        <v>205</v>
      </c>
      <c r="L249" t="s">
        <v>205</v>
      </c>
      <c r="M249" t="s">
        <v>205</v>
      </c>
    </row>
    <row r="250" spans="1:13" x14ac:dyDescent="0.35">
      <c r="A250">
        <v>2024</v>
      </c>
      <c r="B250">
        <v>82</v>
      </c>
      <c r="C250" t="s">
        <v>273</v>
      </c>
      <c r="D250" t="s">
        <v>296</v>
      </c>
      <c r="G250">
        <v>0</v>
      </c>
      <c r="H250" t="s">
        <v>205</v>
      </c>
      <c r="I250" t="s">
        <v>205</v>
      </c>
      <c r="J250" t="s">
        <v>205</v>
      </c>
      <c r="K250" t="s">
        <v>205</v>
      </c>
      <c r="L250" t="s">
        <v>205</v>
      </c>
      <c r="M250" t="s">
        <v>205</v>
      </c>
    </row>
    <row r="251" spans="1:13" x14ac:dyDescent="0.35">
      <c r="A251">
        <v>2024</v>
      </c>
      <c r="B251">
        <v>82</v>
      </c>
      <c r="C251" t="s">
        <v>292</v>
      </c>
      <c r="D251" t="s">
        <v>296</v>
      </c>
      <c r="G251">
        <v>0</v>
      </c>
      <c r="H251" t="s">
        <v>205</v>
      </c>
      <c r="I251" t="s">
        <v>205</v>
      </c>
      <c r="J251" t="s">
        <v>205</v>
      </c>
      <c r="K251" t="s">
        <v>205</v>
      </c>
      <c r="L251" t="s">
        <v>205</v>
      </c>
      <c r="M251" t="s">
        <v>205</v>
      </c>
    </row>
    <row r="252" spans="1:13" x14ac:dyDescent="0.35">
      <c r="A252">
        <v>2024</v>
      </c>
      <c r="B252">
        <v>82</v>
      </c>
      <c r="C252" t="s">
        <v>267</v>
      </c>
      <c r="D252" t="s">
        <v>296</v>
      </c>
      <c r="G252">
        <v>0</v>
      </c>
      <c r="H252" t="s">
        <v>205</v>
      </c>
      <c r="I252" t="s">
        <v>205</v>
      </c>
      <c r="J252" t="s">
        <v>205</v>
      </c>
      <c r="K252" t="s">
        <v>205</v>
      </c>
      <c r="L252" t="s">
        <v>205</v>
      </c>
      <c r="M252" t="s">
        <v>205</v>
      </c>
    </row>
    <row r="253" spans="1:13" x14ac:dyDescent="0.35">
      <c r="A253">
        <v>2024</v>
      </c>
      <c r="B253">
        <v>82</v>
      </c>
      <c r="C253" t="s">
        <v>277</v>
      </c>
      <c r="D253" t="s">
        <v>296</v>
      </c>
      <c r="G253">
        <v>0</v>
      </c>
      <c r="H253" t="s">
        <v>205</v>
      </c>
      <c r="I253" t="s">
        <v>205</v>
      </c>
      <c r="J253" t="s">
        <v>205</v>
      </c>
      <c r="K253" t="s">
        <v>205</v>
      </c>
      <c r="L253" t="s">
        <v>205</v>
      </c>
      <c r="M253" t="s">
        <v>205</v>
      </c>
    </row>
    <row r="254" spans="1:13" x14ac:dyDescent="0.35">
      <c r="A254">
        <v>2024</v>
      </c>
      <c r="B254">
        <v>83</v>
      </c>
      <c r="C254" t="s">
        <v>273</v>
      </c>
      <c r="D254" t="s">
        <v>296</v>
      </c>
      <c r="G254">
        <v>0</v>
      </c>
      <c r="H254" t="s">
        <v>205</v>
      </c>
      <c r="I254" t="s">
        <v>205</v>
      </c>
      <c r="J254" t="s">
        <v>205</v>
      </c>
      <c r="K254" t="s">
        <v>205</v>
      </c>
      <c r="L254" t="s">
        <v>205</v>
      </c>
      <c r="M254" t="s">
        <v>205</v>
      </c>
    </row>
    <row r="255" spans="1:13" x14ac:dyDescent="0.35">
      <c r="A255">
        <v>2024</v>
      </c>
      <c r="B255">
        <v>83</v>
      </c>
      <c r="C255" t="s">
        <v>292</v>
      </c>
      <c r="D255" t="s">
        <v>296</v>
      </c>
      <c r="G255">
        <v>0</v>
      </c>
      <c r="H255" t="s">
        <v>205</v>
      </c>
      <c r="I255" t="s">
        <v>205</v>
      </c>
      <c r="J255" t="s">
        <v>205</v>
      </c>
      <c r="K255" t="s">
        <v>205</v>
      </c>
      <c r="L255" t="s">
        <v>205</v>
      </c>
      <c r="M255" t="s">
        <v>205</v>
      </c>
    </row>
    <row r="256" spans="1:13" x14ac:dyDescent="0.35">
      <c r="A256">
        <v>2024</v>
      </c>
      <c r="B256">
        <v>83</v>
      </c>
      <c r="C256" t="s">
        <v>267</v>
      </c>
      <c r="D256" t="s">
        <v>296</v>
      </c>
      <c r="G256">
        <v>0</v>
      </c>
      <c r="H256" t="s">
        <v>205</v>
      </c>
      <c r="I256" t="s">
        <v>205</v>
      </c>
      <c r="J256" t="s">
        <v>205</v>
      </c>
      <c r="K256" t="s">
        <v>205</v>
      </c>
      <c r="L256" t="s">
        <v>205</v>
      </c>
      <c r="M256" t="s">
        <v>205</v>
      </c>
    </row>
    <row r="257" spans="1:13" x14ac:dyDescent="0.35">
      <c r="A257">
        <v>2024</v>
      </c>
      <c r="B257">
        <v>83</v>
      </c>
      <c r="C257" t="s">
        <v>277</v>
      </c>
      <c r="D257" t="s">
        <v>296</v>
      </c>
      <c r="G257">
        <v>0</v>
      </c>
      <c r="H257" t="s">
        <v>205</v>
      </c>
      <c r="I257" t="s">
        <v>205</v>
      </c>
      <c r="J257" t="s">
        <v>205</v>
      </c>
      <c r="K257" t="s">
        <v>205</v>
      </c>
      <c r="L257" t="s">
        <v>205</v>
      </c>
      <c r="M257" t="s">
        <v>205</v>
      </c>
    </row>
    <row r="258" spans="1:13" x14ac:dyDescent="0.35">
      <c r="A258">
        <v>2024</v>
      </c>
      <c r="B258">
        <v>84</v>
      </c>
      <c r="C258" t="s">
        <v>273</v>
      </c>
      <c r="D258" t="s">
        <v>296</v>
      </c>
      <c r="G258">
        <v>0</v>
      </c>
      <c r="H258" t="s">
        <v>205</v>
      </c>
      <c r="I258" t="s">
        <v>205</v>
      </c>
      <c r="J258" t="s">
        <v>205</v>
      </c>
      <c r="K258" t="s">
        <v>205</v>
      </c>
      <c r="L258" t="s">
        <v>205</v>
      </c>
      <c r="M258" t="s">
        <v>205</v>
      </c>
    </row>
    <row r="259" spans="1:13" x14ac:dyDescent="0.35">
      <c r="A259">
        <v>2024</v>
      </c>
      <c r="B259">
        <v>84</v>
      </c>
      <c r="C259" t="s">
        <v>292</v>
      </c>
      <c r="D259" t="s">
        <v>296</v>
      </c>
      <c r="G259">
        <v>0</v>
      </c>
      <c r="H259" t="s">
        <v>205</v>
      </c>
      <c r="I259" t="s">
        <v>205</v>
      </c>
      <c r="J259" t="s">
        <v>205</v>
      </c>
      <c r="K259" t="s">
        <v>205</v>
      </c>
      <c r="L259" t="s">
        <v>205</v>
      </c>
      <c r="M259" t="s">
        <v>205</v>
      </c>
    </row>
    <row r="260" spans="1:13" x14ac:dyDescent="0.35">
      <c r="A260">
        <v>2024</v>
      </c>
      <c r="B260">
        <v>84</v>
      </c>
      <c r="C260" t="s">
        <v>267</v>
      </c>
      <c r="D260" t="s">
        <v>296</v>
      </c>
      <c r="G260">
        <v>0</v>
      </c>
      <c r="H260" t="s">
        <v>205</v>
      </c>
      <c r="I260" t="s">
        <v>205</v>
      </c>
      <c r="J260" t="s">
        <v>205</v>
      </c>
      <c r="K260" t="s">
        <v>205</v>
      </c>
      <c r="L260" t="s">
        <v>205</v>
      </c>
      <c r="M260" t="s">
        <v>205</v>
      </c>
    </row>
    <row r="261" spans="1:13" x14ac:dyDescent="0.35">
      <c r="A261">
        <v>2024</v>
      </c>
      <c r="B261">
        <v>84</v>
      </c>
      <c r="C261" t="s">
        <v>277</v>
      </c>
      <c r="D261" t="s">
        <v>296</v>
      </c>
      <c r="G261">
        <v>0</v>
      </c>
      <c r="H261" t="s">
        <v>205</v>
      </c>
      <c r="I261" t="s">
        <v>205</v>
      </c>
      <c r="J261" t="s">
        <v>205</v>
      </c>
      <c r="K261" t="s">
        <v>205</v>
      </c>
      <c r="L261" t="s">
        <v>205</v>
      </c>
      <c r="M261" t="s">
        <v>205</v>
      </c>
    </row>
    <row r="262" spans="1:13" x14ac:dyDescent="0.35">
      <c r="A262">
        <v>2024</v>
      </c>
      <c r="B262">
        <v>58</v>
      </c>
      <c r="C262" t="s">
        <v>273</v>
      </c>
      <c r="D262" t="s">
        <v>296</v>
      </c>
      <c r="G262">
        <v>0</v>
      </c>
      <c r="H262" t="s">
        <v>205</v>
      </c>
      <c r="I262" t="s">
        <v>205</v>
      </c>
      <c r="J262" t="s">
        <v>205</v>
      </c>
      <c r="K262" t="s">
        <v>205</v>
      </c>
      <c r="L262" t="s">
        <v>205</v>
      </c>
      <c r="M262" t="s">
        <v>205</v>
      </c>
    </row>
    <row r="263" spans="1:13" x14ac:dyDescent="0.35">
      <c r="A263">
        <v>2024</v>
      </c>
      <c r="B263">
        <v>58</v>
      </c>
      <c r="C263" t="s">
        <v>292</v>
      </c>
      <c r="D263" t="s">
        <v>268</v>
      </c>
      <c r="E263" t="s">
        <v>180</v>
      </c>
      <c r="F263" t="s">
        <v>179</v>
      </c>
      <c r="G263">
        <v>2</v>
      </c>
      <c r="H263" t="s">
        <v>180</v>
      </c>
      <c r="I263" t="s">
        <v>180</v>
      </c>
      <c r="J263" t="s">
        <v>180</v>
      </c>
      <c r="K263" t="s">
        <v>180</v>
      </c>
      <c r="L263" t="s">
        <v>180</v>
      </c>
      <c r="M263">
        <v>0</v>
      </c>
    </row>
    <row r="264" spans="1:13" x14ac:dyDescent="0.35">
      <c r="A264">
        <v>2024</v>
      </c>
      <c r="B264">
        <v>58</v>
      </c>
      <c r="C264" t="s">
        <v>267</v>
      </c>
      <c r="D264" t="s">
        <v>296</v>
      </c>
      <c r="G264">
        <v>0</v>
      </c>
      <c r="H264" t="s">
        <v>205</v>
      </c>
      <c r="I264" t="s">
        <v>205</v>
      </c>
      <c r="J264" t="s">
        <v>205</v>
      </c>
      <c r="K264" t="s">
        <v>205</v>
      </c>
      <c r="L264" t="s">
        <v>205</v>
      </c>
      <c r="M264" t="s">
        <v>205</v>
      </c>
    </row>
    <row r="265" spans="1:13" x14ac:dyDescent="0.35">
      <c r="A265">
        <v>2024</v>
      </c>
      <c r="B265">
        <v>58</v>
      </c>
      <c r="C265" t="s">
        <v>277</v>
      </c>
      <c r="D265" t="s">
        <v>268</v>
      </c>
      <c r="E265" t="s">
        <v>180</v>
      </c>
      <c r="F265" t="s">
        <v>179</v>
      </c>
      <c r="G265">
        <v>3</v>
      </c>
      <c r="H265" t="s">
        <v>180</v>
      </c>
      <c r="I265" t="s">
        <v>180</v>
      </c>
      <c r="J265" t="s">
        <v>179</v>
      </c>
      <c r="K265" t="s">
        <v>180</v>
      </c>
      <c r="L265" t="s">
        <v>180</v>
      </c>
      <c r="M265">
        <v>33</v>
      </c>
    </row>
    <row r="266" spans="1:13" s="11" customFormat="1" x14ac:dyDescent="0.35">
      <c r="A266">
        <v>2024</v>
      </c>
      <c r="B266" s="11">
        <v>16</v>
      </c>
      <c r="C266" s="11" t="s">
        <v>273</v>
      </c>
      <c r="D266" s="11" t="s">
        <v>404</v>
      </c>
      <c r="E266" s="11" t="s">
        <v>179</v>
      </c>
      <c r="F266" s="11" t="s">
        <v>179</v>
      </c>
      <c r="G266" s="11">
        <v>5</v>
      </c>
      <c r="H266" s="11" t="s">
        <v>180</v>
      </c>
      <c r="I266" s="11" t="s">
        <v>180</v>
      </c>
      <c r="J266" s="11" t="s">
        <v>180</v>
      </c>
      <c r="K266" s="11" t="s">
        <v>180</v>
      </c>
      <c r="L266" s="11" t="s">
        <v>180</v>
      </c>
      <c r="M266" s="11">
        <v>0</v>
      </c>
    </row>
    <row r="267" spans="1:13" x14ac:dyDescent="0.35">
      <c r="A267">
        <v>2024</v>
      </c>
      <c r="B267">
        <v>16</v>
      </c>
      <c r="C267" t="s">
        <v>292</v>
      </c>
      <c r="D267" t="s">
        <v>268</v>
      </c>
      <c r="E267" t="s">
        <v>180</v>
      </c>
      <c r="F267" t="s">
        <v>179</v>
      </c>
      <c r="G267">
        <v>2</v>
      </c>
      <c r="H267" t="s">
        <v>180</v>
      </c>
      <c r="I267" t="s">
        <v>180</v>
      </c>
      <c r="J267" t="s">
        <v>180</v>
      </c>
      <c r="K267" t="s">
        <v>180</v>
      </c>
      <c r="L267" t="s">
        <v>180</v>
      </c>
      <c r="M267">
        <v>0</v>
      </c>
    </row>
    <row r="268" spans="1:13" x14ac:dyDescent="0.35">
      <c r="A268">
        <v>2024</v>
      </c>
      <c r="B268">
        <v>16</v>
      </c>
      <c r="C268" t="s">
        <v>267</v>
      </c>
      <c r="D268" t="s">
        <v>404</v>
      </c>
      <c r="E268" t="s">
        <v>179</v>
      </c>
      <c r="F268" t="s">
        <v>179</v>
      </c>
      <c r="G268">
        <v>2</v>
      </c>
      <c r="H268" t="s">
        <v>180</v>
      </c>
      <c r="I268" t="s">
        <v>180</v>
      </c>
      <c r="J268" t="s">
        <v>180</v>
      </c>
      <c r="K268" t="s">
        <v>180</v>
      </c>
      <c r="L268" t="s">
        <v>180</v>
      </c>
      <c r="M268">
        <v>0</v>
      </c>
    </row>
    <row r="269" spans="1:13" x14ac:dyDescent="0.35">
      <c r="A269">
        <v>2024</v>
      </c>
      <c r="B269">
        <v>16</v>
      </c>
      <c r="C269" t="s">
        <v>277</v>
      </c>
      <c r="D269" t="s">
        <v>268</v>
      </c>
      <c r="E269" t="s">
        <v>180</v>
      </c>
      <c r="F269" t="s">
        <v>179</v>
      </c>
      <c r="G269">
        <v>1</v>
      </c>
      <c r="H269" t="s">
        <v>180</v>
      </c>
      <c r="I269" t="s">
        <v>180</v>
      </c>
      <c r="J269" t="s">
        <v>180</v>
      </c>
      <c r="K269" t="s">
        <v>180</v>
      </c>
      <c r="L269" t="s">
        <v>180</v>
      </c>
      <c r="M269">
        <v>0</v>
      </c>
    </row>
    <row r="270" spans="1:13" x14ac:dyDescent="0.35">
      <c r="A270">
        <v>2024</v>
      </c>
      <c r="B270">
        <v>18</v>
      </c>
      <c r="C270" t="s">
        <v>273</v>
      </c>
      <c r="D270" t="s">
        <v>289</v>
      </c>
      <c r="E270" t="s">
        <v>179</v>
      </c>
      <c r="F270" t="s">
        <v>180</v>
      </c>
      <c r="G270">
        <v>15</v>
      </c>
      <c r="H270" t="s">
        <v>180</v>
      </c>
      <c r="I270" t="s">
        <v>180</v>
      </c>
      <c r="J270" t="s">
        <v>180</v>
      </c>
      <c r="K270" t="s">
        <v>180</v>
      </c>
      <c r="L270" t="s">
        <v>180</v>
      </c>
      <c r="M270">
        <v>0</v>
      </c>
    </row>
    <row r="271" spans="1:13" x14ac:dyDescent="0.35">
      <c r="A271">
        <v>2024</v>
      </c>
      <c r="B271">
        <v>18</v>
      </c>
      <c r="C271" t="s">
        <v>292</v>
      </c>
      <c r="D271" t="s">
        <v>404</v>
      </c>
      <c r="E271" t="s">
        <v>179</v>
      </c>
      <c r="F271" t="s">
        <v>179</v>
      </c>
      <c r="G271">
        <v>11</v>
      </c>
      <c r="H271" t="s">
        <v>180</v>
      </c>
      <c r="I271" t="s">
        <v>180</v>
      </c>
      <c r="J271" t="s">
        <v>180</v>
      </c>
      <c r="K271" t="s">
        <v>180</v>
      </c>
      <c r="L271" t="s">
        <v>180</v>
      </c>
      <c r="M271">
        <v>0</v>
      </c>
    </row>
    <row r="272" spans="1:13" x14ac:dyDescent="0.35">
      <c r="A272">
        <v>2024</v>
      </c>
      <c r="B272">
        <v>18</v>
      </c>
      <c r="C272" t="s">
        <v>267</v>
      </c>
      <c r="D272" t="s">
        <v>289</v>
      </c>
      <c r="E272" t="s">
        <v>179</v>
      </c>
      <c r="F272" t="s">
        <v>180</v>
      </c>
      <c r="G272">
        <v>11</v>
      </c>
      <c r="H272" t="s">
        <v>180</v>
      </c>
      <c r="I272" t="s">
        <v>180</v>
      </c>
      <c r="J272" t="s">
        <v>180</v>
      </c>
      <c r="K272" t="s">
        <v>180</v>
      </c>
      <c r="L272" t="s">
        <v>180</v>
      </c>
      <c r="M272">
        <v>0</v>
      </c>
    </row>
    <row r="273" spans="1:13" x14ac:dyDescent="0.35">
      <c r="A273">
        <v>2024</v>
      </c>
      <c r="B273">
        <v>18</v>
      </c>
      <c r="C273" t="s">
        <v>277</v>
      </c>
      <c r="D273" t="s">
        <v>289</v>
      </c>
      <c r="E273" t="s">
        <v>179</v>
      </c>
      <c r="F273" t="s">
        <v>180</v>
      </c>
      <c r="G273">
        <v>14</v>
      </c>
      <c r="H273" t="s">
        <v>180</v>
      </c>
      <c r="I273" t="s">
        <v>180</v>
      </c>
      <c r="J273" t="s">
        <v>179</v>
      </c>
      <c r="K273" t="s">
        <v>179</v>
      </c>
      <c r="L273" t="s">
        <v>179</v>
      </c>
      <c r="M273">
        <v>7</v>
      </c>
    </row>
    <row r="274" spans="1:13" x14ac:dyDescent="0.35">
      <c r="A274">
        <v>2024</v>
      </c>
      <c r="B274">
        <v>30</v>
      </c>
      <c r="C274" t="s">
        <v>273</v>
      </c>
      <c r="D274" t="s">
        <v>296</v>
      </c>
      <c r="G274">
        <v>0</v>
      </c>
      <c r="H274" t="s">
        <v>205</v>
      </c>
      <c r="I274" t="s">
        <v>205</v>
      </c>
      <c r="J274" t="s">
        <v>205</v>
      </c>
      <c r="K274" t="s">
        <v>205</v>
      </c>
      <c r="L274" t="s">
        <v>205</v>
      </c>
      <c r="M274" t="s">
        <v>205</v>
      </c>
    </row>
    <row r="275" spans="1:13" x14ac:dyDescent="0.35">
      <c r="A275">
        <v>2024</v>
      </c>
      <c r="B275">
        <v>30</v>
      </c>
      <c r="C275" t="s">
        <v>292</v>
      </c>
      <c r="D275" t="s">
        <v>296</v>
      </c>
      <c r="G275">
        <v>0</v>
      </c>
      <c r="H275" t="s">
        <v>205</v>
      </c>
      <c r="I275" t="s">
        <v>205</v>
      </c>
      <c r="J275" t="s">
        <v>205</v>
      </c>
      <c r="K275" t="s">
        <v>205</v>
      </c>
      <c r="L275" t="s">
        <v>205</v>
      </c>
      <c r="M275" t="s">
        <v>205</v>
      </c>
    </row>
    <row r="276" spans="1:13" x14ac:dyDescent="0.35">
      <c r="A276">
        <v>2024</v>
      </c>
      <c r="B276">
        <v>30</v>
      </c>
      <c r="C276" t="s">
        <v>267</v>
      </c>
      <c r="D276" t="s">
        <v>296</v>
      </c>
      <c r="G276">
        <v>0</v>
      </c>
      <c r="H276" t="s">
        <v>205</v>
      </c>
      <c r="I276" t="s">
        <v>205</v>
      </c>
      <c r="J276" t="s">
        <v>205</v>
      </c>
      <c r="K276" t="s">
        <v>205</v>
      </c>
      <c r="L276" t="s">
        <v>205</v>
      </c>
      <c r="M276" t="s">
        <v>205</v>
      </c>
    </row>
    <row r="277" spans="1:13" x14ac:dyDescent="0.35">
      <c r="A277">
        <v>2024</v>
      </c>
      <c r="B277">
        <v>30</v>
      </c>
      <c r="C277" t="s">
        <v>277</v>
      </c>
      <c r="D277" t="s">
        <v>296</v>
      </c>
      <c r="G277">
        <v>0</v>
      </c>
      <c r="H277" t="s">
        <v>205</v>
      </c>
      <c r="I277" t="s">
        <v>205</v>
      </c>
      <c r="J277" t="s">
        <v>205</v>
      </c>
      <c r="K277" t="s">
        <v>205</v>
      </c>
      <c r="L277" t="s">
        <v>205</v>
      </c>
      <c r="M277" t="s">
        <v>205</v>
      </c>
    </row>
    <row r="278" spans="1:13" x14ac:dyDescent="0.35">
      <c r="A278">
        <v>2024</v>
      </c>
      <c r="B278">
        <v>29</v>
      </c>
      <c r="C278" t="s">
        <v>273</v>
      </c>
      <c r="D278" t="s">
        <v>296</v>
      </c>
      <c r="G278">
        <v>0</v>
      </c>
      <c r="H278" t="s">
        <v>205</v>
      </c>
      <c r="I278" t="s">
        <v>205</v>
      </c>
      <c r="J278" t="s">
        <v>205</v>
      </c>
      <c r="K278" t="s">
        <v>205</v>
      </c>
      <c r="L278" t="s">
        <v>205</v>
      </c>
      <c r="M278" t="s">
        <v>205</v>
      </c>
    </row>
    <row r="279" spans="1:13" x14ac:dyDescent="0.35">
      <c r="A279">
        <v>2024</v>
      </c>
      <c r="B279">
        <v>29</v>
      </c>
      <c r="C279" t="s">
        <v>292</v>
      </c>
      <c r="D279" t="s">
        <v>296</v>
      </c>
      <c r="G279">
        <v>0</v>
      </c>
      <c r="H279" t="s">
        <v>205</v>
      </c>
      <c r="I279" t="s">
        <v>205</v>
      </c>
      <c r="J279" t="s">
        <v>205</v>
      </c>
      <c r="K279" t="s">
        <v>205</v>
      </c>
      <c r="L279" t="s">
        <v>205</v>
      </c>
      <c r="M279" t="s">
        <v>205</v>
      </c>
    </row>
    <row r="280" spans="1:13" x14ac:dyDescent="0.35">
      <c r="A280">
        <v>2024</v>
      </c>
      <c r="B280">
        <v>29</v>
      </c>
      <c r="C280" t="s">
        <v>267</v>
      </c>
      <c r="D280" t="s">
        <v>296</v>
      </c>
      <c r="G280">
        <v>0</v>
      </c>
      <c r="H280" t="s">
        <v>205</v>
      </c>
      <c r="I280" t="s">
        <v>205</v>
      </c>
      <c r="J280" t="s">
        <v>205</v>
      </c>
      <c r="K280" t="s">
        <v>205</v>
      </c>
      <c r="L280" t="s">
        <v>205</v>
      </c>
      <c r="M280" t="s">
        <v>205</v>
      </c>
    </row>
    <row r="281" spans="1:13" x14ac:dyDescent="0.35">
      <c r="A281">
        <v>2024</v>
      </c>
      <c r="B281">
        <v>29</v>
      </c>
      <c r="C281" t="s">
        <v>277</v>
      </c>
      <c r="D281" t="s">
        <v>296</v>
      </c>
      <c r="G281">
        <v>0</v>
      </c>
      <c r="H281" t="s">
        <v>205</v>
      </c>
      <c r="I281" t="s">
        <v>205</v>
      </c>
      <c r="J281" t="s">
        <v>205</v>
      </c>
      <c r="K281" t="s">
        <v>205</v>
      </c>
      <c r="L281" t="s">
        <v>205</v>
      </c>
      <c r="M281" t="s">
        <v>205</v>
      </c>
    </row>
    <row r="282" spans="1:13" x14ac:dyDescent="0.35">
      <c r="A282">
        <v>2024</v>
      </c>
      <c r="B282">
        <v>28</v>
      </c>
      <c r="C282" t="s">
        <v>273</v>
      </c>
      <c r="D282" t="s">
        <v>296</v>
      </c>
      <c r="G282">
        <v>0</v>
      </c>
      <c r="H282" t="s">
        <v>205</v>
      </c>
      <c r="I282" t="s">
        <v>205</v>
      </c>
      <c r="J282" t="s">
        <v>205</v>
      </c>
      <c r="K282" t="s">
        <v>205</v>
      </c>
      <c r="L282" t="s">
        <v>205</v>
      </c>
      <c r="M282" t="s">
        <v>205</v>
      </c>
    </row>
    <row r="283" spans="1:13" x14ac:dyDescent="0.35">
      <c r="A283">
        <v>2024</v>
      </c>
      <c r="B283">
        <v>28</v>
      </c>
      <c r="C283" t="s">
        <v>292</v>
      </c>
      <c r="D283" t="s">
        <v>296</v>
      </c>
      <c r="G283">
        <v>0</v>
      </c>
      <c r="H283" t="s">
        <v>205</v>
      </c>
      <c r="I283" t="s">
        <v>205</v>
      </c>
      <c r="J283" t="s">
        <v>205</v>
      </c>
      <c r="K283" t="s">
        <v>205</v>
      </c>
      <c r="L283" t="s">
        <v>205</v>
      </c>
      <c r="M283" t="s">
        <v>205</v>
      </c>
    </row>
    <row r="284" spans="1:13" x14ac:dyDescent="0.35">
      <c r="A284">
        <v>2024</v>
      </c>
      <c r="B284">
        <v>28</v>
      </c>
      <c r="C284" t="s">
        <v>267</v>
      </c>
      <c r="D284" t="s">
        <v>296</v>
      </c>
      <c r="G284">
        <v>0</v>
      </c>
      <c r="H284" t="s">
        <v>205</v>
      </c>
      <c r="I284" t="s">
        <v>205</v>
      </c>
      <c r="J284" t="s">
        <v>205</v>
      </c>
      <c r="K284" t="s">
        <v>205</v>
      </c>
      <c r="L284" t="s">
        <v>205</v>
      </c>
      <c r="M284" t="s">
        <v>205</v>
      </c>
    </row>
    <row r="285" spans="1:13" x14ac:dyDescent="0.35">
      <c r="A285">
        <v>2024</v>
      </c>
      <c r="B285">
        <v>28</v>
      </c>
      <c r="C285" t="s">
        <v>277</v>
      </c>
      <c r="D285" t="s">
        <v>296</v>
      </c>
      <c r="G285">
        <v>0</v>
      </c>
      <c r="H285" t="s">
        <v>205</v>
      </c>
      <c r="I285" t="s">
        <v>205</v>
      </c>
      <c r="J285" t="s">
        <v>205</v>
      </c>
      <c r="K285" t="s">
        <v>205</v>
      </c>
      <c r="L285" t="s">
        <v>205</v>
      </c>
      <c r="M285" t="s">
        <v>205</v>
      </c>
    </row>
    <row r="286" spans="1:13" x14ac:dyDescent="0.35">
      <c r="A286">
        <v>2024</v>
      </c>
      <c r="B286">
        <v>72</v>
      </c>
      <c r="C286" t="s">
        <v>273</v>
      </c>
      <c r="D286" t="s">
        <v>289</v>
      </c>
      <c r="E286" t="s">
        <v>179</v>
      </c>
      <c r="F286" t="s">
        <v>180</v>
      </c>
      <c r="G286">
        <v>6</v>
      </c>
      <c r="H286" t="s">
        <v>180</v>
      </c>
      <c r="I286" t="s">
        <v>180</v>
      </c>
      <c r="J286" t="s">
        <v>180</v>
      </c>
      <c r="K286" t="s">
        <v>180</v>
      </c>
      <c r="L286" t="s">
        <v>180</v>
      </c>
      <c r="M286">
        <v>0</v>
      </c>
    </row>
    <row r="287" spans="1:13" x14ac:dyDescent="0.35">
      <c r="A287">
        <v>2024</v>
      </c>
      <c r="B287">
        <v>72</v>
      </c>
      <c r="C287" t="s">
        <v>292</v>
      </c>
      <c r="D287" t="s">
        <v>289</v>
      </c>
      <c r="E287" t="s">
        <v>179</v>
      </c>
      <c r="F287" t="s">
        <v>180</v>
      </c>
      <c r="G287">
        <v>2</v>
      </c>
      <c r="H287" t="s">
        <v>180</v>
      </c>
      <c r="I287" t="s">
        <v>180</v>
      </c>
      <c r="J287" t="s">
        <v>180</v>
      </c>
      <c r="K287" t="s">
        <v>180</v>
      </c>
      <c r="L287" t="s">
        <v>180</v>
      </c>
      <c r="M287">
        <v>0</v>
      </c>
    </row>
    <row r="288" spans="1:13" x14ac:dyDescent="0.35">
      <c r="A288">
        <v>2024</v>
      </c>
      <c r="B288">
        <v>72</v>
      </c>
      <c r="C288" t="s">
        <v>267</v>
      </c>
      <c r="D288" t="s">
        <v>289</v>
      </c>
      <c r="E288" t="s">
        <v>179</v>
      </c>
      <c r="F288" t="s">
        <v>180</v>
      </c>
      <c r="G288">
        <v>12</v>
      </c>
      <c r="H288" t="s">
        <v>180</v>
      </c>
      <c r="I288" t="s">
        <v>180</v>
      </c>
      <c r="J288" t="s">
        <v>180</v>
      </c>
      <c r="K288" t="s">
        <v>180</v>
      </c>
      <c r="L288" t="s">
        <v>180</v>
      </c>
      <c r="M288">
        <v>0</v>
      </c>
    </row>
    <row r="289" spans="1:13" x14ac:dyDescent="0.35">
      <c r="A289">
        <v>2024</v>
      </c>
      <c r="B289">
        <v>72</v>
      </c>
      <c r="C289" t="s">
        <v>277</v>
      </c>
      <c r="D289" t="s">
        <v>411</v>
      </c>
      <c r="E289" t="s">
        <v>179</v>
      </c>
      <c r="F289" t="s">
        <v>179</v>
      </c>
      <c r="G289">
        <v>10</v>
      </c>
      <c r="H289" t="s">
        <v>180</v>
      </c>
      <c r="I289" t="s">
        <v>180</v>
      </c>
      <c r="J289" t="s">
        <v>180</v>
      </c>
      <c r="K289" t="s">
        <v>180</v>
      </c>
      <c r="L289" t="s">
        <v>180</v>
      </c>
      <c r="M289">
        <v>0</v>
      </c>
    </row>
    <row r="290" spans="1:13" x14ac:dyDescent="0.35">
      <c r="A290">
        <v>2024</v>
      </c>
      <c r="B290">
        <v>60</v>
      </c>
      <c r="C290" t="s">
        <v>273</v>
      </c>
      <c r="D290" t="s">
        <v>268</v>
      </c>
      <c r="E290" t="s">
        <v>180</v>
      </c>
      <c r="F290" t="s">
        <v>179</v>
      </c>
      <c r="G290">
        <v>12</v>
      </c>
      <c r="H290" t="s">
        <v>180</v>
      </c>
      <c r="I290" t="s">
        <v>180</v>
      </c>
      <c r="J290" t="s">
        <v>180</v>
      </c>
      <c r="K290" t="s">
        <v>180</v>
      </c>
      <c r="L290" t="s">
        <v>180</v>
      </c>
      <c r="M290">
        <v>0</v>
      </c>
    </row>
    <row r="291" spans="1:13" x14ac:dyDescent="0.35">
      <c r="A291">
        <v>2024</v>
      </c>
      <c r="B291">
        <v>60</v>
      </c>
      <c r="C291" t="s">
        <v>292</v>
      </c>
      <c r="D291" t="s">
        <v>268</v>
      </c>
      <c r="E291" t="s">
        <v>180</v>
      </c>
      <c r="F291" t="s">
        <v>179</v>
      </c>
      <c r="G291">
        <v>3</v>
      </c>
      <c r="H291" t="s">
        <v>180</v>
      </c>
      <c r="I291" t="s">
        <v>180</v>
      </c>
      <c r="J291" t="s">
        <v>180</v>
      </c>
      <c r="K291" t="s">
        <v>180</v>
      </c>
      <c r="L291" t="s">
        <v>180</v>
      </c>
      <c r="M291">
        <v>0</v>
      </c>
    </row>
    <row r="292" spans="1:13" x14ac:dyDescent="0.35">
      <c r="A292">
        <v>2024</v>
      </c>
      <c r="B292">
        <v>60</v>
      </c>
      <c r="C292" t="s">
        <v>267</v>
      </c>
      <c r="D292" t="s">
        <v>268</v>
      </c>
      <c r="E292" t="s">
        <v>180</v>
      </c>
      <c r="F292" t="s">
        <v>179</v>
      </c>
      <c r="G292">
        <v>4</v>
      </c>
      <c r="H292" t="s">
        <v>180</v>
      </c>
      <c r="I292" t="s">
        <v>180</v>
      </c>
      <c r="J292" t="s">
        <v>180</v>
      </c>
      <c r="K292" t="s">
        <v>180</v>
      </c>
      <c r="L292" t="s">
        <v>180</v>
      </c>
      <c r="M292">
        <v>0</v>
      </c>
    </row>
    <row r="293" spans="1:13" x14ac:dyDescent="0.35">
      <c r="A293">
        <v>2024</v>
      </c>
      <c r="B293">
        <v>60</v>
      </c>
      <c r="C293" t="s">
        <v>277</v>
      </c>
      <c r="D293" t="s">
        <v>268</v>
      </c>
      <c r="E293" t="s">
        <v>180</v>
      </c>
      <c r="F293" t="s">
        <v>179</v>
      </c>
      <c r="G293">
        <v>8</v>
      </c>
      <c r="H293" t="s">
        <v>180</v>
      </c>
      <c r="I293" t="s">
        <v>180</v>
      </c>
      <c r="J293" t="s">
        <v>180</v>
      </c>
      <c r="K293" t="s">
        <v>179</v>
      </c>
      <c r="L293" t="s">
        <v>180</v>
      </c>
      <c r="M293">
        <v>13</v>
      </c>
    </row>
    <row r="294" spans="1:13" x14ac:dyDescent="0.35">
      <c r="A294">
        <v>2024</v>
      </c>
      <c r="B294">
        <v>80</v>
      </c>
      <c r="C294" t="s">
        <v>273</v>
      </c>
      <c r="D294" t="s">
        <v>296</v>
      </c>
      <c r="G294">
        <v>0</v>
      </c>
      <c r="H294" t="s">
        <v>205</v>
      </c>
      <c r="I294" t="s">
        <v>205</v>
      </c>
      <c r="J294" t="s">
        <v>205</v>
      </c>
      <c r="K294" t="s">
        <v>205</v>
      </c>
      <c r="L294" t="s">
        <v>205</v>
      </c>
      <c r="M294" t="s">
        <v>205</v>
      </c>
    </row>
    <row r="295" spans="1:13" x14ac:dyDescent="0.35">
      <c r="A295">
        <v>2024</v>
      </c>
      <c r="B295">
        <v>80</v>
      </c>
      <c r="C295" t="s">
        <v>292</v>
      </c>
      <c r="D295" t="s">
        <v>268</v>
      </c>
      <c r="E295" t="s">
        <v>180</v>
      </c>
      <c r="F295" t="s">
        <v>179</v>
      </c>
      <c r="G295">
        <v>1</v>
      </c>
      <c r="H295" t="s">
        <v>180</v>
      </c>
      <c r="I295" t="s">
        <v>180</v>
      </c>
      <c r="J295" t="s">
        <v>180</v>
      </c>
      <c r="K295" t="s">
        <v>180</v>
      </c>
      <c r="L295" t="s">
        <v>180</v>
      </c>
      <c r="M295">
        <v>0</v>
      </c>
    </row>
    <row r="296" spans="1:13" x14ac:dyDescent="0.35">
      <c r="A296">
        <v>2024</v>
      </c>
      <c r="B296">
        <v>80</v>
      </c>
      <c r="C296" t="s">
        <v>267</v>
      </c>
      <c r="D296" t="s">
        <v>296</v>
      </c>
      <c r="G296">
        <v>0</v>
      </c>
      <c r="H296" t="s">
        <v>205</v>
      </c>
      <c r="I296" t="s">
        <v>205</v>
      </c>
      <c r="J296" t="s">
        <v>205</v>
      </c>
      <c r="K296" t="s">
        <v>205</v>
      </c>
      <c r="L296" t="s">
        <v>205</v>
      </c>
      <c r="M296" t="s">
        <v>205</v>
      </c>
    </row>
    <row r="297" spans="1:13" x14ac:dyDescent="0.35">
      <c r="A297">
        <v>2024</v>
      </c>
      <c r="B297">
        <v>80</v>
      </c>
      <c r="C297" t="s">
        <v>277</v>
      </c>
      <c r="D297" t="s">
        <v>296</v>
      </c>
      <c r="G297">
        <v>0</v>
      </c>
      <c r="H297" t="s">
        <v>205</v>
      </c>
      <c r="I297" t="s">
        <v>205</v>
      </c>
      <c r="J297" t="s">
        <v>205</v>
      </c>
      <c r="K297" t="s">
        <v>205</v>
      </c>
      <c r="L297" t="s">
        <v>205</v>
      </c>
      <c r="M297" t="s">
        <v>205</v>
      </c>
    </row>
    <row r="298" spans="1:13" x14ac:dyDescent="0.35">
      <c r="A298">
        <v>2024</v>
      </c>
      <c r="B298">
        <v>81</v>
      </c>
      <c r="C298" t="s">
        <v>273</v>
      </c>
      <c r="D298" t="s">
        <v>296</v>
      </c>
      <c r="G298">
        <v>0</v>
      </c>
      <c r="H298" t="s">
        <v>205</v>
      </c>
      <c r="I298" t="s">
        <v>205</v>
      </c>
      <c r="J298" t="s">
        <v>205</v>
      </c>
      <c r="K298" t="s">
        <v>205</v>
      </c>
      <c r="L298" t="s">
        <v>205</v>
      </c>
      <c r="M298" t="s">
        <v>205</v>
      </c>
    </row>
    <row r="299" spans="1:13" x14ac:dyDescent="0.35">
      <c r="A299">
        <v>2024</v>
      </c>
      <c r="B299">
        <v>81</v>
      </c>
      <c r="C299" t="s">
        <v>292</v>
      </c>
      <c r="D299" t="s">
        <v>296</v>
      </c>
      <c r="G299">
        <v>0</v>
      </c>
      <c r="H299" t="s">
        <v>205</v>
      </c>
      <c r="I299" t="s">
        <v>205</v>
      </c>
      <c r="J299" t="s">
        <v>205</v>
      </c>
      <c r="K299" t="s">
        <v>205</v>
      </c>
      <c r="L299" t="s">
        <v>205</v>
      </c>
      <c r="M299" t="s">
        <v>205</v>
      </c>
    </row>
    <row r="300" spans="1:13" x14ac:dyDescent="0.35">
      <c r="A300">
        <v>2024</v>
      </c>
      <c r="B300">
        <v>81</v>
      </c>
      <c r="C300" t="s">
        <v>267</v>
      </c>
      <c r="D300" t="s">
        <v>296</v>
      </c>
      <c r="G300">
        <v>0</v>
      </c>
      <c r="H300" t="s">
        <v>205</v>
      </c>
      <c r="I300" t="s">
        <v>205</v>
      </c>
      <c r="J300" t="s">
        <v>205</v>
      </c>
      <c r="K300" t="s">
        <v>205</v>
      </c>
      <c r="L300" t="s">
        <v>205</v>
      </c>
      <c r="M300" t="s">
        <v>205</v>
      </c>
    </row>
    <row r="301" spans="1:13" x14ac:dyDescent="0.35">
      <c r="A301">
        <v>2024</v>
      </c>
      <c r="B301">
        <v>81</v>
      </c>
      <c r="C301" t="s">
        <v>277</v>
      </c>
      <c r="D301" t="s">
        <v>296</v>
      </c>
      <c r="G301">
        <v>0</v>
      </c>
      <c r="H301" t="s">
        <v>205</v>
      </c>
      <c r="I301" t="s">
        <v>205</v>
      </c>
      <c r="J301" t="s">
        <v>205</v>
      </c>
      <c r="K301" t="s">
        <v>205</v>
      </c>
      <c r="L301" t="s">
        <v>205</v>
      </c>
      <c r="M301" t="s">
        <v>205</v>
      </c>
    </row>
    <row r="302" spans="1:13" x14ac:dyDescent="0.35">
      <c r="A302">
        <v>2024</v>
      </c>
      <c r="B302">
        <v>79</v>
      </c>
      <c r="C302" t="s">
        <v>273</v>
      </c>
      <c r="D302" t="s">
        <v>268</v>
      </c>
      <c r="E302" t="s">
        <v>180</v>
      </c>
      <c r="F302" t="s">
        <v>179</v>
      </c>
      <c r="G302">
        <v>5</v>
      </c>
      <c r="H302" t="s">
        <v>180</v>
      </c>
      <c r="I302" t="s">
        <v>180</v>
      </c>
      <c r="J302" t="s">
        <v>180</v>
      </c>
      <c r="K302" t="s">
        <v>180</v>
      </c>
      <c r="L302" t="s">
        <v>180</v>
      </c>
      <c r="M302">
        <v>0</v>
      </c>
    </row>
    <row r="303" spans="1:13" x14ac:dyDescent="0.35">
      <c r="A303">
        <v>2024</v>
      </c>
      <c r="B303">
        <v>79</v>
      </c>
      <c r="C303" t="s">
        <v>292</v>
      </c>
      <c r="D303" t="s">
        <v>268</v>
      </c>
      <c r="E303" t="s">
        <v>180</v>
      </c>
      <c r="F303" t="s">
        <v>179</v>
      </c>
      <c r="G303">
        <v>3</v>
      </c>
      <c r="H303" t="s">
        <v>180</v>
      </c>
      <c r="I303" t="s">
        <v>180</v>
      </c>
      <c r="J303" t="s">
        <v>180</v>
      </c>
      <c r="K303" t="s">
        <v>180</v>
      </c>
      <c r="L303" t="s">
        <v>180</v>
      </c>
      <c r="M303">
        <v>0</v>
      </c>
    </row>
    <row r="304" spans="1:13" x14ac:dyDescent="0.35">
      <c r="A304">
        <v>2024</v>
      </c>
      <c r="B304">
        <v>79</v>
      </c>
      <c r="C304" t="s">
        <v>267</v>
      </c>
      <c r="D304" t="s">
        <v>268</v>
      </c>
      <c r="E304" t="s">
        <v>180</v>
      </c>
      <c r="F304" t="s">
        <v>179</v>
      </c>
      <c r="G304">
        <v>4</v>
      </c>
      <c r="H304" t="s">
        <v>180</v>
      </c>
      <c r="I304" t="s">
        <v>180</v>
      </c>
      <c r="J304" t="s">
        <v>180</v>
      </c>
      <c r="K304" t="s">
        <v>180</v>
      </c>
      <c r="L304" t="s">
        <v>180</v>
      </c>
      <c r="M304">
        <v>0</v>
      </c>
    </row>
    <row r="305" spans="1:13" x14ac:dyDescent="0.35">
      <c r="A305">
        <v>2024</v>
      </c>
      <c r="B305">
        <v>79</v>
      </c>
      <c r="C305" t="s">
        <v>277</v>
      </c>
      <c r="D305" t="s">
        <v>268</v>
      </c>
      <c r="E305" t="s">
        <v>180</v>
      </c>
      <c r="F305" t="s">
        <v>179</v>
      </c>
      <c r="G305">
        <v>2</v>
      </c>
      <c r="H305" t="s">
        <v>180</v>
      </c>
      <c r="I305" t="s">
        <v>180</v>
      </c>
      <c r="J305" t="s">
        <v>180</v>
      </c>
      <c r="K305" t="s">
        <v>180</v>
      </c>
      <c r="L305" t="s">
        <v>180</v>
      </c>
      <c r="M305">
        <v>0</v>
      </c>
    </row>
    <row r="306" spans="1:13" x14ac:dyDescent="0.35">
      <c r="A306">
        <v>2024</v>
      </c>
      <c r="B306">
        <v>13</v>
      </c>
      <c r="C306" t="s">
        <v>273</v>
      </c>
      <c r="D306" t="s">
        <v>296</v>
      </c>
      <c r="G306">
        <v>0</v>
      </c>
      <c r="H306" t="s">
        <v>205</v>
      </c>
      <c r="I306" t="s">
        <v>205</v>
      </c>
      <c r="J306" t="s">
        <v>205</v>
      </c>
      <c r="K306" t="s">
        <v>205</v>
      </c>
      <c r="L306" t="s">
        <v>205</v>
      </c>
      <c r="M306" t="s">
        <v>205</v>
      </c>
    </row>
    <row r="307" spans="1:13" x14ac:dyDescent="0.35">
      <c r="A307">
        <v>2024</v>
      </c>
      <c r="B307">
        <v>13</v>
      </c>
      <c r="C307" t="s">
        <v>292</v>
      </c>
      <c r="D307" t="s">
        <v>296</v>
      </c>
      <c r="G307">
        <v>0</v>
      </c>
      <c r="H307" t="s">
        <v>205</v>
      </c>
      <c r="I307" t="s">
        <v>205</v>
      </c>
      <c r="J307" t="s">
        <v>205</v>
      </c>
      <c r="K307" t="s">
        <v>205</v>
      </c>
      <c r="L307" t="s">
        <v>205</v>
      </c>
      <c r="M307" t="s">
        <v>205</v>
      </c>
    </row>
    <row r="308" spans="1:13" x14ac:dyDescent="0.35">
      <c r="A308">
        <v>2024</v>
      </c>
      <c r="B308">
        <v>13</v>
      </c>
      <c r="C308" t="s">
        <v>267</v>
      </c>
      <c r="D308" t="s">
        <v>296</v>
      </c>
      <c r="G308">
        <v>0</v>
      </c>
      <c r="H308" t="s">
        <v>205</v>
      </c>
      <c r="I308" t="s">
        <v>205</v>
      </c>
      <c r="J308" t="s">
        <v>205</v>
      </c>
      <c r="K308" t="s">
        <v>205</v>
      </c>
      <c r="L308" t="s">
        <v>205</v>
      </c>
      <c r="M308" t="s">
        <v>205</v>
      </c>
    </row>
    <row r="309" spans="1:13" x14ac:dyDescent="0.35">
      <c r="A309">
        <v>2024</v>
      </c>
      <c r="B309">
        <v>13</v>
      </c>
      <c r="C309" t="s">
        <v>277</v>
      </c>
      <c r="D309" t="s">
        <v>296</v>
      </c>
      <c r="G309">
        <v>0</v>
      </c>
      <c r="H309" t="s">
        <v>205</v>
      </c>
      <c r="I309" t="s">
        <v>205</v>
      </c>
      <c r="J309" t="s">
        <v>205</v>
      </c>
      <c r="K309" t="s">
        <v>205</v>
      </c>
      <c r="L309" t="s">
        <v>205</v>
      </c>
      <c r="M309" t="s">
        <v>205</v>
      </c>
    </row>
    <row r="310" spans="1:13" x14ac:dyDescent="0.35">
      <c r="A310">
        <v>2024</v>
      </c>
      <c r="B310">
        <v>14</v>
      </c>
      <c r="C310" t="s">
        <v>273</v>
      </c>
      <c r="D310" t="s">
        <v>296</v>
      </c>
      <c r="G310">
        <v>0</v>
      </c>
      <c r="H310" t="s">
        <v>205</v>
      </c>
      <c r="I310" t="s">
        <v>205</v>
      </c>
      <c r="J310" t="s">
        <v>205</v>
      </c>
      <c r="K310" t="s">
        <v>205</v>
      </c>
      <c r="L310" t="s">
        <v>205</v>
      </c>
      <c r="M310" t="s">
        <v>205</v>
      </c>
    </row>
    <row r="311" spans="1:13" x14ac:dyDescent="0.35">
      <c r="A311">
        <v>2024</v>
      </c>
      <c r="B311">
        <v>14</v>
      </c>
      <c r="C311" t="s">
        <v>292</v>
      </c>
      <c r="D311" t="s">
        <v>296</v>
      </c>
      <c r="G311">
        <v>0</v>
      </c>
      <c r="H311" t="s">
        <v>205</v>
      </c>
      <c r="I311" t="s">
        <v>205</v>
      </c>
      <c r="J311" t="s">
        <v>205</v>
      </c>
      <c r="K311" t="s">
        <v>205</v>
      </c>
      <c r="L311" t="s">
        <v>205</v>
      </c>
      <c r="M311" t="s">
        <v>205</v>
      </c>
    </row>
    <row r="312" spans="1:13" x14ac:dyDescent="0.35">
      <c r="A312">
        <v>2024</v>
      </c>
      <c r="B312">
        <v>14</v>
      </c>
      <c r="C312" t="s">
        <v>267</v>
      </c>
      <c r="D312" t="s">
        <v>296</v>
      </c>
      <c r="G312">
        <v>0</v>
      </c>
      <c r="H312" t="s">
        <v>205</v>
      </c>
      <c r="I312" t="s">
        <v>205</v>
      </c>
      <c r="J312" t="s">
        <v>205</v>
      </c>
      <c r="K312" t="s">
        <v>205</v>
      </c>
      <c r="L312" t="s">
        <v>205</v>
      </c>
      <c r="M312" t="s">
        <v>205</v>
      </c>
    </row>
    <row r="313" spans="1:13" x14ac:dyDescent="0.35">
      <c r="A313">
        <v>2024</v>
      </c>
      <c r="B313">
        <v>14</v>
      </c>
      <c r="C313" t="s">
        <v>277</v>
      </c>
      <c r="D313" t="s">
        <v>296</v>
      </c>
      <c r="G313">
        <v>0</v>
      </c>
      <c r="H313" t="s">
        <v>205</v>
      </c>
      <c r="I313" t="s">
        <v>205</v>
      </c>
      <c r="J313" t="s">
        <v>205</v>
      </c>
      <c r="K313" t="s">
        <v>205</v>
      </c>
      <c r="L313" t="s">
        <v>205</v>
      </c>
      <c r="M313" t="s">
        <v>205</v>
      </c>
    </row>
    <row r="314" spans="1:13" x14ac:dyDescent="0.35">
      <c r="A314">
        <v>2024</v>
      </c>
      <c r="B314">
        <v>7</v>
      </c>
      <c r="C314" t="s">
        <v>273</v>
      </c>
      <c r="D314" t="s">
        <v>296</v>
      </c>
      <c r="G314">
        <v>0</v>
      </c>
      <c r="H314" t="s">
        <v>205</v>
      </c>
      <c r="I314" t="s">
        <v>205</v>
      </c>
      <c r="J314" t="s">
        <v>205</v>
      </c>
      <c r="K314" t="s">
        <v>205</v>
      </c>
      <c r="L314" t="s">
        <v>205</v>
      </c>
      <c r="M314" t="s">
        <v>205</v>
      </c>
    </row>
    <row r="315" spans="1:13" x14ac:dyDescent="0.35">
      <c r="A315">
        <v>2024</v>
      </c>
      <c r="B315">
        <v>7</v>
      </c>
      <c r="C315" t="s">
        <v>292</v>
      </c>
      <c r="D315" t="s">
        <v>296</v>
      </c>
      <c r="G315">
        <v>0</v>
      </c>
      <c r="H315" t="s">
        <v>205</v>
      </c>
      <c r="I315" t="s">
        <v>205</v>
      </c>
      <c r="J315" t="s">
        <v>205</v>
      </c>
      <c r="K315" t="s">
        <v>205</v>
      </c>
      <c r="L315" t="s">
        <v>205</v>
      </c>
      <c r="M315" t="s">
        <v>205</v>
      </c>
    </row>
    <row r="316" spans="1:13" x14ac:dyDescent="0.35">
      <c r="A316">
        <v>2024</v>
      </c>
      <c r="B316">
        <v>7</v>
      </c>
      <c r="C316" t="s">
        <v>267</v>
      </c>
      <c r="D316" t="s">
        <v>296</v>
      </c>
      <c r="G316">
        <v>0</v>
      </c>
      <c r="H316" t="s">
        <v>205</v>
      </c>
      <c r="I316" t="s">
        <v>205</v>
      </c>
      <c r="J316" t="s">
        <v>205</v>
      </c>
      <c r="K316" t="s">
        <v>205</v>
      </c>
      <c r="L316" t="s">
        <v>205</v>
      </c>
      <c r="M316" t="s">
        <v>205</v>
      </c>
    </row>
    <row r="317" spans="1:13" x14ac:dyDescent="0.35">
      <c r="A317">
        <v>2024</v>
      </c>
      <c r="B317">
        <v>7</v>
      </c>
      <c r="C317" t="s">
        <v>277</v>
      </c>
      <c r="D317" t="s">
        <v>296</v>
      </c>
      <c r="G317">
        <v>0</v>
      </c>
      <c r="H317" t="s">
        <v>205</v>
      </c>
      <c r="I317" t="s">
        <v>205</v>
      </c>
      <c r="J317" t="s">
        <v>205</v>
      </c>
      <c r="K317" t="s">
        <v>205</v>
      </c>
      <c r="L317" t="s">
        <v>205</v>
      </c>
      <c r="M317" t="s">
        <v>205</v>
      </c>
    </row>
    <row r="318" spans="1:13" x14ac:dyDescent="0.35">
      <c r="A318">
        <v>2024</v>
      </c>
      <c r="B318">
        <v>9</v>
      </c>
      <c r="C318" t="s">
        <v>273</v>
      </c>
      <c r="D318" t="s">
        <v>296</v>
      </c>
      <c r="G318">
        <v>0</v>
      </c>
      <c r="H318" t="s">
        <v>205</v>
      </c>
      <c r="I318" t="s">
        <v>205</v>
      </c>
      <c r="J318" t="s">
        <v>205</v>
      </c>
      <c r="K318" t="s">
        <v>205</v>
      </c>
      <c r="L318" t="s">
        <v>205</v>
      </c>
      <c r="M318" t="s">
        <v>205</v>
      </c>
    </row>
    <row r="319" spans="1:13" x14ac:dyDescent="0.35">
      <c r="A319">
        <v>2024</v>
      </c>
      <c r="B319">
        <v>9</v>
      </c>
      <c r="C319" t="s">
        <v>292</v>
      </c>
      <c r="D319" t="s">
        <v>296</v>
      </c>
      <c r="G319">
        <v>0</v>
      </c>
      <c r="H319" t="s">
        <v>205</v>
      </c>
      <c r="I319" t="s">
        <v>205</v>
      </c>
      <c r="J319" t="s">
        <v>205</v>
      </c>
      <c r="K319" t="s">
        <v>205</v>
      </c>
      <c r="L319" t="s">
        <v>205</v>
      </c>
      <c r="M319" t="s">
        <v>205</v>
      </c>
    </row>
    <row r="320" spans="1:13" x14ac:dyDescent="0.35">
      <c r="A320">
        <v>2024</v>
      </c>
      <c r="B320">
        <v>9</v>
      </c>
      <c r="C320" t="s">
        <v>267</v>
      </c>
      <c r="D320" t="s">
        <v>296</v>
      </c>
      <c r="G320">
        <v>0</v>
      </c>
      <c r="H320" t="s">
        <v>205</v>
      </c>
      <c r="I320" t="s">
        <v>205</v>
      </c>
      <c r="J320" t="s">
        <v>205</v>
      </c>
      <c r="K320" t="s">
        <v>205</v>
      </c>
      <c r="L320" t="s">
        <v>205</v>
      </c>
      <c r="M320" t="s">
        <v>205</v>
      </c>
    </row>
    <row r="321" spans="1:13" x14ac:dyDescent="0.35">
      <c r="A321">
        <v>2024</v>
      </c>
      <c r="B321">
        <v>9</v>
      </c>
      <c r="C321" t="s">
        <v>277</v>
      </c>
      <c r="D321" t="s">
        <v>296</v>
      </c>
      <c r="G321">
        <v>0</v>
      </c>
      <c r="H321" t="s">
        <v>205</v>
      </c>
      <c r="I321" t="s">
        <v>205</v>
      </c>
      <c r="J321" t="s">
        <v>205</v>
      </c>
      <c r="K321" t="s">
        <v>205</v>
      </c>
      <c r="L321" t="s">
        <v>205</v>
      </c>
      <c r="M321" t="s">
        <v>205</v>
      </c>
    </row>
    <row r="322" spans="1:13" x14ac:dyDescent="0.35">
      <c r="A322">
        <v>2024</v>
      </c>
      <c r="B322">
        <v>8</v>
      </c>
      <c r="C322" t="s">
        <v>273</v>
      </c>
      <c r="D322" t="s">
        <v>296</v>
      </c>
      <c r="G322">
        <v>0</v>
      </c>
      <c r="H322" t="s">
        <v>205</v>
      </c>
      <c r="I322" t="s">
        <v>205</v>
      </c>
      <c r="J322" t="s">
        <v>205</v>
      </c>
      <c r="K322" t="s">
        <v>205</v>
      </c>
      <c r="L322" t="s">
        <v>205</v>
      </c>
      <c r="M322" t="s">
        <v>205</v>
      </c>
    </row>
    <row r="323" spans="1:13" x14ac:dyDescent="0.35">
      <c r="A323">
        <v>2024</v>
      </c>
      <c r="B323">
        <v>8</v>
      </c>
      <c r="C323" t="s">
        <v>292</v>
      </c>
      <c r="D323" t="s">
        <v>296</v>
      </c>
      <c r="G323">
        <v>0</v>
      </c>
      <c r="H323" t="s">
        <v>205</v>
      </c>
      <c r="I323" t="s">
        <v>205</v>
      </c>
      <c r="J323" t="s">
        <v>205</v>
      </c>
      <c r="K323" t="s">
        <v>205</v>
      </c>
      <c r="L323" t="s">
        <v>205</v>
      </c>
      <c r="M323" t="s">
        <v>205</v>
      </c>
    </row>
    <row r="324" spans="1:13" x14ac:dyDescent="0.35">
      <c r="A324">
        <v>2024</v>
      </c>
      <c r="B324">
        <v>8</v>
      </c>
      <c r="C324" t="s">
        <v>267</v>
      </c>
      <c r="D324" t="s">
        <v>296</v>
      </c>
      <c r="G324">
        <v>0</v>
      </c>
      <c r="H324" t="s">
        <v>205</v>
      </c>
      <c r="I324" t="s">
        <v>205</v>
      </c>
      <c r="J324" t="s">
        <v>205</v>
      </c>
      <c r="K324" t="s">
        <v>205</v>
      </c>
      <c r="L324" t="s">
        <v>205</v>
      </c>
      <c r="M324" t="s">
        <v>205</v>
      </c>
    </row>
    <row r="325" spans="1:13" x14ac:dyDescent="0.35">
      <c r="A325">
        <v>2024</v>
      </c>
      <c r="B325">
        <v>8</v>
      </c>
      <c r="C325" t="s">
        <v>277</v>
      </c>
      <c r="D325" t="s">
        <v>296</v>
      </c>
      <c r="G325">
        <v>0</v>
      </c>
      <c r="H325" t="s">
        <v>205</v>
      </c>
      <c r="I325" t="s">
        <v>205</v>
      </c>
      <c r="J325" t="s">
        <v>205</v>
      </c>
      <c r="K325" t="s">
        <v>205</v>
      </c>
      <c r="L325" t="s">
        <v>205</v>
      </c>
      <c r="M325" t="s">
        <v>205</v>
      </c>
    </row>
    <row r="326" spans="1:13" x14ac:dyDescent="0.35">
      <c r="A326">
        <v>2024</v>
      </c>
      <c r="B326">
        <v>21</v>
      </c>
      <c r="C326" t="s">
        <v>273</v>
      </c>
      <c r="D326" t="s">
        <v>296</v>
      </c>
      <c r="G326">
        <v>0</v>
      </c>
      <c r="H326" t="s">
        <v>205</v>
      </c>
      <c r="I326" t="s">
        <v>205</v>
      </c>
      <c r="J326" t="s">
        <v>205</v>
      </c>
      <c r="K326" t="s">
        <v>205</v>
      </c>
      <c r="L326" t="s">
        <v>205</v>
      </c>
      <c r="M326" t="s">
        <v>205</v>
      </c>
    </row>
    <row r="327" spans="1:13" x14ac:dyDescent="0.35">
      <c r="A327">
        <v>2024</v>
      </c>
      <c r="B327">
        <v>21</v>
      </c>
      <c r="C327" t="s">
        <v>292</v>
      </c>
      <c r="D327" t="s">
        <v>296</v>
      </c>
      <c r="G327">
        <v>0</v>
      </c>
      <c r="H327" t="s">
        <v>205</v>
      </c>
      <c r="I327" t="s">
        <v>205</v>
      </c>
      <c r="J327" t="s">
        <v>205</v>
      </c>
      <c r="K327" t="s">
        <v>205</v>
      </c>
      <c r="L327" t="s">
        <v>205</v>
      </c>
      <c r="M327" t="s">
        <v>205</v>
      </c>
    </row>
    <row r="328" spans="1:13" x14ac:dyDescent="0.35">
      <c r="A328">
        <v>2024</v>
      </c>
      <c r="B328">
        <v>21</v>
      </c>
      <c r="C328" t="s">
        <v>267</v>
      </c>
      <c r="D328" t="s">
        <v>296</v>
      </c>
      <c r="G328">
        <v>0</v>
      </c>
      <c r="H328" t="s">
        <v>205</v>
      </c>
      <c r="I328" t="s">
        <v>205</v>
      </c>
      <c r="J328" t="s">
        <v>205</v>
      </c>
      <c r="K328" t="s">
        <v>205</v>
      </c>
      <c r="L328" t="s">
        <v>205</v>
      </c>
      <c r="M328" t="s">
        <v>205</v>
      </c>
    </row>
    <row r="329" spans="1:13" x14ac:dyDescent="0.35">
      <c r="A329">
        <v>2024</v>
      </c>
      <c r="B329">
        <v>21</v>
      </c>
      <c r="C329" t="s">
        <v>277</v>
      </c>
      <c r="D329" t="s">
        <v>296</v>
      </c>
      <c r="G329">
        <v>0</v>
      </c>
      <c r="H329" t="s">
        <v>205</v>
      </c>
      <c r="I329" t="s">
        <v>205</v>
      </c>
      <c r="J329" t="s">
        <v>205</v>
      </c>
      <c r="K329" t="s">
        <v>205</v>
      </c>
      <c r="L329" t="s">
        <v>205</v>
      </c>
      <c r="M329" t="s">
        <v>205</v>
      </c>
    </row>
    <row r="330" spans="1:13" x14ac:dyDescent="0.35">
      <c r="A330">
        <v>2024</v>
      </c>
      <c r="B330">
        <v>19</v>
      </c>
      <c r="C330" t="s">
        <v>273</v>
      </c>
      <c r="D330" t="s">
        <v>296</v>
      </c>
      <c r="G330">
        <v>0</v>
      </c>
      <c r="H330" t="s">
        <v>205</v>
      </c>
      <c r="I330" t="s">
        <v>205</v>
      </c>
      <c r="J330" t="s">
        <v>205</v>
      </c>
      <c r="K330" t="s">
        <v>205</v>
      </c>
      <c r="L330" t="s">
        <v>205</v>
      </c>
      <c r="M330" t="s">
        <v>205</v>
      </c>
    </row>
    <row r="331" spans="1:13" x14ac:dyDescent="0.35">
      <c r="A331">
        <v>2024</v>
      </c>
      <c r="B331">
        <v>19</v>
      </c>
      <c r="C331" t="s">
        <v>292</v>
      </c>
      <c r="D331" t="s">
        <v>296</v>
      </c>
      <c r="G331">
        <v>0</v>
      </c>
      <c r="H331" t="s">
        <v>205</v>
      </c>
      <c r="I331" t="s">
        <v>205</v>
      </c>
      <c r="J331" t="s">
        <v>205</v>
      </c>
      <c r="K331" t="s">
        <v>205</v>
      </c>
      <c r="L331" t="s">
        <v>205</v>
      </c>
      <c r="M331" t="s">
        <v>205</v>
      </c>
    </row>
    <row r="332" spans="1:13" x14ac:dyDescent="0.35">
      <c r="A332">
        <v>2024</v>
      </c>
      <c r="B332">
        <v>19</v>
      </c>
      <c r="C332" t="s">
        <v>267</v>
      </c>
      <c r="D332" t="s">
        <v>296</v>
      </c>
      <c r="G332">
        <v>0</v>
      </c>
      <c r="H332" t="s">
        <v>205</v>
      </c>
      <c r="I332" t="s">
        <v>205</v>
      </c>
      <c r="J332" t="s">
        <v>205</v>
      </c>
      <c r="K332" t="s">
        <v>205</v>
      </c>
      <c r="L332" t="s">
        <v>205</v>
      </c>
      <c r="M332" t="s">
        <v>205</v>
      </c>
    </row>
    <row r="333" spans="1:13" x14ac:dyDescent="0.35">
      <c r="A333">
        <v>2024</v>
      </c>
      <c r="B333">
        <v>19</v>
      </c>
      <c r="C333" t="s">
        <v>277</v>
      </c>
      <c r="D333" t="s">
        <v>296</v>
      </c>
      <c r="G333">
        <v>0</v>
      </c>
      <c r="H333" t="s">
        <v>205</v>
      </c>
      <c r="I333" t="s">
        <v>205</v>
      </c>
      <c r="J333" t="s">
        <v>205</v>
      </c>
      <c r="K333" t="s">
        <v>205</v>
      </c>
      <c r="L333" t="s">
        <v>205</v>
      </c>
      <c r="M333" t="s">
        <v>205</v>
      </c>
    </row>
    <row r="334" spans="1:13" x14ac:dyDescent="0.35">
      <c r="A334">
        <v>2024</v>
      </c>
      <c r="B334">
        <v>20</v>
      </c>
      <c r="C334" t="s">
        <v>273</v>
      </c>
      <c r="D334" t="s">
        <v>296</v>
      </c>
      <c r="G334">
        <v>0</v>
      </c>
      <c r="H334" t="s">
        <v>205</v>
      </c>
      <c r="I334" t="s">
        <v>205</v>
      </c>
      <c r="J334" t="s">
        <v>205</v>
      </c>
      <c r="K334" t="s">
        <v>205</v>
      </c>
      <c r="L334" t="s">
        <v>205</v>
      </c>
      <c r="M334" t="s">
        <v>205</v>
      </c>
    </row>
    <row r="335" spans="1:13" x14ac:dyDescent="0.35">
      <c r="A335">
        <v>2024</v>
      </c>
      <c r="B335">
        <v>20</v>
      </c>
      <c r="C335" t="s">
        <v>292</v>
      </c>
      <c r="D335" t="s">
        <v>296</v>
      </c>
      <c r="G335">
        <v>0</v>
      </c>
      <c r="H335" t="s">
        <v>205</v>
      </c>
      <c r="I335" t="s">
        <v>205</v>
      </c>
      <c r="J335" t="s">
        <v>205</v>
      </c>
      <c r="K335" t="s">
        <v>205</v>
      </c>
      <c r="L335" t="s">
        <v>205</v>
      </c>
      <c r="M335" t="s">
        <v>205</v>
      </c>
    </row>
    <row r="336" spans="1:13" x14ac:dyDescent="0.35">
      <c r="A336">
        <v>2024</v>
      </c>
      <c r="B336">
        <v>20</v>
      </c>
      <c r="C336" t="s">
        <v>267</v>
      </c>
      <c r="D336" t="s">
        <v>296</v>
      </c>
      <c r="G336">
        <v>0</v>
      </c>
      <c r="H336" t="s">
        <v>205</v>
      </c>
      <c r="I336" t="s">
        <v>205</v>
      </c>
      <c r="J336" t="s">
        <v>205</v>
      </c>
      <c r="K336" t="s">
        <v>205</v>
      </c>
      <c r="L336" t="s">
        <v>205</v>
      </c>
      <c r="M336" t="s">
        <v>205</v>
      </c>
    </row>
    <row r="337" spans="1:13" x14ac:dyDescent="0.35">
      <c r="A337">
        <v>2024</v>
      </c>
      <c r="B337">
        <v>20</v>
      </c>
      <c r="C337" t="s">
        <v>277</v>
      </c>
      <c r="D337" t="s">
        <v>296</v>
      </c>
      <c r="G337">
        <v>0</v>
      </c>
      <c r="H337" t="s">
        <v>205</v>
      </c>
      <c r="I337" t="s">
        <v>205</v>
      </c>
      <c r="J337" t="s">
        <v>205</v>
      </c>
      <c r="K337" t="s">
        <v>205</v>
      </c>
      <c r="L337" t="s">
        <v>205</v>
      </c>
      <c r="M337" t="s">
        <v>205</v>
      </c>
    </row>
    <row r="338" spans="1:13" x14ac:dyDescent="0.35">
      <c r="A338">
        <v>2024</v>
      </c>
      <c r="B338">
        <v>62</v>
      </c>
      <c r="C338" t="s">
        <v>273</v>
      </c>
      <c r="D338" t="s">
        <v>299</v>
      </c>
      <c r="E338" t="s">
        <v>180</v>
      </c>
      <c r="F338" t="s">
        <v>179</v>
      </c>
      <c r="G338">
        <v>1</v>
      </c>
    </row>
    <row r="339" spans="1:13" x14ac:dyDescent="0.35">
      <c r="A339">
        <v>2024</v>
      </c>
      <c r="B339">
        <v>62</v>
      </c>
      <c r="C339" t="s">
        <v>292</v>
      </c>
      <c r="D339" t="s">
        <v>296</v>
      </c>
      <c r="G339">
        <v>0</v>
      </c>
      <c r="H339" t="s">
        <v>205</v>
      </c>
      <c r="I339" t="s">
        <v>205</v>
      </c>
      <c r="J339" t="s">
        <v>205</v>
      </c>
      <c r="K339" t="s">
        <v>205</v>
      </c>
      <c r="L339" t="s">
        <v>205</v>
      </c>
      <c r="M339" t="s">
        <v>205</v>
      </c>
    </row>
    <row r="340" spans="1:13" x14ac:dyDescent="0.35">
      <c r="A340">
        <v>2024</v>
      </c>
      <c r="B340">
        <v>62</v>
      </c>
      <c r="C340" t="s">
        <v>267</v>
      </c>
      <c r="D340" t="s">
        <v>299</v>
      </c>
      <c r="E340" t="s">
        <v>180</v>
      </c>
      <c r="F340" t="s">
        <v>179</v>
      </c>
      <c r="G340">
        <v>2</v>
      </c>
    </row>
    <row r="341" spans="1:13" x14ac:dyDescent="0.35">
      <c r="A341">
        <v>2024</v>
      </c>
      <c r="B341">
        <v>62</v>
      </c>
      <c r="C341" t="s">
        <v>277</v>
      </c>
      <c r="D341" t="s">
        <v>299</v>
      </c>
      <c r="E341" t="s">
        <v>180</v>
      </c>
      <c r="F341" t="s">
        <v>179</v>
      </c>
      <c r="G341">
        <v>1</v>
      </c>
    </row>
    <row r="342" spans="1:13" x14ac:dyDescent="0.35">
      <c r="A342">
        <v>2024</v>
      </c>
      <c r="B342">
        <v>59</v>
      </c>
      <c r="C342" t="s">
        <v>273</v>
      </c>
      <c r="D342" t="s">
        <v>296</v>
      </c>
      <c r="G342">
        <v>0</v>
      </c>
      <c r="H342" t="s">
        <v>205</v>
      </c>
      <c r="I342" t="s">
        <v>205</v>
      </c>
      <c r="J342" t="s">
        <v>205</v>
      </c>
      <c r="K342" t="s">
        <v>205</v>
      </c>
      <c r="L342" t="s">
        <v>205</v>
      </c>
      <c r="M342" t="s">
        <v>205</v>
      </c>
    </row>
    <row r="343" spans="1:13" x14ac:dyDescent="0.35">
      <c r="A343">
        <v>2024</v>
      </c>
      <c r="B343">
        <v>59</v>
      </c>
      <c r="C343" t="s">
        <v>292</v>
      </c>
      <c r="D343" t="s">
        <v>296</v>
      </c>
      <c r="G343">
        <v>0</v>
      </c>
      <c r="H343" t="s">
        <v>205</v>
      </c>
      <c r="I343" t="s">
        <v>205</v>
      </c>
      <c r="J343" t="s">
        <v>205</v>
      </c>
      <c r="K343" t="s">
        <v>205</v>
      </c>
      <c r="L343" t="s">
        <v>205</v>
      </c>
      <c r="M343" t="s">
        <v>205</v>
      </c>
    </row>
    <row r="344" spans="1:13" x14ac:dyDescent="0.35">
      <c r="A344">
        <v>2024</v>
      </c>
      <c r="B344">
        <v>59</v>
      </c>
      <c r="C344" t="s">
        <v>267</v>
      </c>
      <c r="D344" t="s">
        <v>296</v>
      </c>
      <c r="G344">
        <v>0</v>
      </c>
      <c r="H344" t="s">
        <v>205</v>
      </c>
      <c r="I344" t="s">
        <v>205</v>
      </c>
      <c r="J344" t="s">
        <v>205</v>
      </c>
      <c r="K344" t="s">
        <v>205</v>
      </c>
      <c r="L344" t="s">
        <v>205</v>
      </c>
      <c r="M344" t="s">
        <v>205</v>
      </c>
    </row>
    <row r="345" spans="1:13" x14ac:dyDescent="0.35">
      <c r="A345">
        <v>2024</v>
      </c>
      <c r="B345">
        <v>59</v>
      </c>
      <c r="C345" t="s">
        <v>277</v>
      </c>
      <c r="D345" t="s">
        <v>296</v>
      </c>
      <c r="G345">
        <v>0</v>
      </c>
      <c r="H345" t="s">
        <v>205</v>
      </c>
      <c r="I345" t="s">
        <v>205</v>
      </c>
      <c r="J345" t="s">
        <v>205</v>
      </c>
      <c r="K345" t="s">
        <v>205</v>
      </c>
      <c r="L345" t="s">
        <v>205</v>
      </c>
      <c r="M345" t="s">
        <v>205</v>
      </c>
    </row>
    <row r="346" spans="1:13" x14ac:dyDescent="0.35">
      <c r="A346">
        <v>2024</v>
      </c>
      <c r="B346">
        <v>101</v>
      </c>
      <c r="C346" t="s">
        <v>273</v>
      </c>
      <c r="D346" t="s">
        <v>296</v>
      </c>
      <c r="G346">
        <v>0</v>
      </c>
      <c r="H346" t="s">
        <v>205</v>
      </c>
      <c r="I346" t="s">
        <v>205</v>
      </c>
      <c r="J346" t="s">
        <v>205</v>
      </c>
      <c r="K346" t="s">
        <v>205</v>
      </c>
      <c r="L346" t="s">
        <v>205</v>
      </c>
      <c r="M346" t="s">
        <v>205</v>
      </c>
    </row>
    <row r="347" spans="1:13" x14ac:dyDescent="0.35">
      <c r="A347">
        <v>2024</v>
      </c>
      <c r="B347">
        <v>101</v>
      </c>
      <c r="C347" t="s">
        <v>292</v>
      </c>
      <c r="D347" t="s">
        <v>268</v>
      </c>
      <c r="E347" t="s">
        <v>180</v>
      </c>
      <c r="F347" t="s">
        <v>179</v>
      </c>
      <c r="G347">
        <v>2</v>
      </c>
      <c r="H347" t="s">
        <v>180</v>
      </c>
      <c r="I347" t="s">
        <v>180</v>
      </c>
      <c r="J347" t="s">
        <v>180</v>
      </c>
      <c r="K347" t="s">
        <v>180</v>
      </c>
      <c r="L347" t="s">
        <v>180</v>
      </c>
      <c r="M347">
        <v>0</v>
      </c>
    </row>
    <row r="348" spans="1:13" x14ac:dyDescent="0.35">
      <c r="A348">
        <v>2024</v>
      </c>
      <c r="B348">
        <v>101</v>
      </c>
      <c r="C348" t="s">
        <v>267</v>
      </c>
      <c r="D348" t="s">
        <v>268</v>
      </c>
      <c r="E348" t="s">
        <v>180</v>
      </c>
      <c r="F348" t="s">
        <v>179</v>
      </c>
      <c r="G348">
        <v>1</v>
      </c>
      <c r="H348" t="s">
        <v>180</v>
      </c>
      <c r="I348" t="s">
        <v>180</v>
      </c>
      <c r="J348" t="s">
        <v>180</v>
      </c>
      <c r="K348" t="s">
        <v>180</v>
      </c>
      <c r="L348" t="s">
        <v>180</v>
      </c>
      <c r="M348">
        <v>0</v>
      </c>
    </row>
    <row r="349" spans="1:13" x14ac:dyDescent="0.35">
      <c r="A349">
        <v>2024</v>
      </c>
      <c r="B349">
        <v>101</v>
      </c>
      <c r="C349" t="s">
        <v>277</v>
      </c>
      <c r="D349" t="s">
        <v>296</v>
      </c>
      <c r="G349">
        <v>0</v>
      </c>
      <c r="H349" t="s">
        <v>205</v>
      </c>
      <c r="I349" t="s">
        <v>205</v>
      </c>
      <c r="J349" t="s">
        <v>205</v>
      </c>
      <c r="K349" t="s">
        <v>205</v>
      </c>
      <c r="L349" t="s">
        <v>205</v>
      </c>
      <c r="M349" t="s">
        <v>205</v>
      </c>
    </row>
    <row r="350" spans="1:13" x14ac:dyDescent="0.35">
      <c r="A350">
        <v>2024</v>
      </c>
      <c r="B350">
        <v>10</v>
      </c>
      <c r="C350" t="s">
        <v>273</v>
      </c>
      <c r="D350" t="s">
        <v>268</v>
      </c>
      <c r="E350" t="s">
        <v>180</v>
      </c>
      <c r="F350" t="s">
        <v>179</v>
      </c>
      <c r="G350">
        <v>1</v>
      </c>
      <c r="H350" t="s">
        <v>180</v>
      </c>
      <c r="I350" t="s">
        <v>180</v>
      </c>
      <c r="J350" t="s">
        <v>180</v>
      </c>
      <c r="K350" t="s">
        <v>180</v>
      </c>
      <c r="L350" t="s">
        <v>180</v>
      </c>
      <c r="M350">
        <v>0</v>
      </c>
    </row>
    <row r="351" spans="1:13" x14ac:dyDescent="0.35">
      <c r="A351">
        <v>2024</v>
      </c>
      <c r="B351">
        <v>10</v>
      </c>
      <c r="C351" t="s">
        <v>292</v>
      </c>
      <c r="D351" t="s">
        <v>268</v>
      </c>
      <c r="E351" t="s">
        <v>180</v>
      </c>
      <c r="F351" t="s">
        <v>179</v>
      </c>
      <c r="G351">
        <v>4</v>
      </c>
      <c r="H351" t="s">
        <v>180</v>
      </c>
      <c r="I351" t="s">
        <v>180</v>
      </c>
      <c r="J351" t="s">
        <v>179</v>
      </c>
      <c r="K351" t="s">
        <v>180</v>
      </c>
      <c r="L351" t="s">
        <v>180</v>
      </c>
      <c r="M351">
        <v>50</v>
      </c>
    </row>
    <row r="352" spans="1:13" x14ac:dyDescent="0.35">
      <c r="A352">
        <v>2024</v>
      </c>
      <c r="B352">
        <v>10</v>
      </c>
      <c r="C352" t="s">
        <v>267</v>
      </c>
      <c r="D352" t="s">
        <v>268</v>
      </c>
      <c r="E352" t="s">
        <v>180</v>
      </c>
      <c r="F352" t="s">
        <v>179</v>
      </c>
      <c r="G352">
        <v>3</v>
      </c>
      <c r="H352" t="s">
        <v>180</v>
      </c>
      <c r="I352" t="s">
        <v>180</v>
      </c>
      <c r="J352" t="s">
        <v>180</v>
      </c>
      <c r="K352" t="s">
        <v>180</v>
      </c>
      <c r="L352" t="s">
        <v>180</v>
      </c>
      <c r="M352">
        <v>0</v>
      </c>
    </row>
    <row r="353" spans="1:14" x14ac:dyDescent="0.35">
      <c r="A353">
        <v>2024</v>
      </c>
      <c r="B353">
        <v>10</v>
      </c>
      <c r="C353" t="s">
        <v>277</v>
      </c>
      <c r="D353" t="s">
        <v>296</v>
      </c>
      <c r="G353">
        <v>0</v>
      </c>
      <c r="H353" t="s">
        <v>205</v>
      </c>
      <c r="I353" t="s">
        <v>205</v>
      </c>
      <c r="J353" t="s">
        <v>205</v>
      </c>
      <c r="K353" t="s">
        <v>205</v>
      </c>
      <c r="L353" t="s">
        <v>205</v>
      </c>
      <c r="M353" t="s">
        <v>205</v>
      </c>
    </row>
    <row r="354" spans="1:14" x14ac:dyDescent="0.35">
      <c r="A354">
        <v>2024</v>
      </c>
      <c r="B354">
        <v>11</v>
      </c>
      <c r="C354" t="s">
        <v>273</v>
      </c>
      <c r="D354" t="s">
        <v>268</v>
      </c>
      <c r="E354" t="s">
        <v>180</v>
      </c>
      <c r="F354" t="s">
        <v>179</v>
      </c>
      <c r="G354">
        <v>2</v>
      </c>
      <c r="H354" t="s">
        <v>180</v>
      </c>
      <c r="I354" t="s">
        <v>180</v>
      </c>
      <c r="J354" t="s">
        <v>179</v>
      </c>
      <c r="K354" t="s">
        <v>180</v>
      </c>
      <c r="L354" t="s">
        <v>180</v>
      </c>
      <c r="M354">
        <v>50</v>
      </c>
      <c r="N354" t="s">
        <v>412</v>
      </c>
    </row>
    <row r="355" spans="1:14" x14ac:dyDescent="0.35">
      <c r="A355">
        <v>2024</v>
      </c>
      <c r="B355">
        <v>11</v>
      </c>
      <c r="C355" t="s">
        <v>292</v>
      </c>
      <c r="D355" t="s">
        <v>268</v>
      </c>
      <c r="E355" t="s">
        <v>180</v>
      </c>
      <c r="F355" t="s">
        <v>179</v>
      </c>
      <c r="G355">
        <v>1</v>
      </c>
      <c r="H355" t="s">
        <v>180</v>
      </c>
      <c r="I355" t="s">
        <v>180</v>
      </c>
      <c r="J355" t="s">
        <v>179</v>
      </c>
      <c r="K355" t="s">
        <v>180</v>
      </c>
      <c r="L355" t="s">
        <v>180</v>
      </c>
      <c r="M355">
        <v>100</v>
      </c>
    </row>
    <row r="356" spans="1:14" x14ac:dyDescent="0.35">
      <c r="A356">
        <v>2024</v>
      </c>
      <c r="B356">
        <v>11</v>
      </c>
      <c r="C356" t="s">
        <v>267</v>
      </c>
      <c r="D356" t="s">
        <v>268</v>
      </c>
      <c r="E356" t="s">
        <v>180</v>
      </c>
      <c r="F356" t="s">
        <v>179</v>
      </c>
      <c r="G356">
        <v>3</v>
      </c>
      <c r="H356" t="s">
        <v>180</v>
      </c>
      <c r="I356" t="s">
        <v>180</v>
      </c>
      <c r="J356" t="s">
        <v>180</v>
      </c>
      <c r="K356" t="s">
        <v>180</v>
      </c>
      <c r="L356" t="s">
        <v>180</v>
      </c>
      <c r="M356">
        <v>0</v>
      </c>
    </row>
    <row r="357" spans="1:14" x14ac:dyDescent="0.35">
      <c r="A357">
        <v>2024</v>
      </c>
      <c r="B357">
        <v>11</v>
      </c>
      <c r="C357" t="s">
        <v>277</v>
      </c>
      <c r="D357" t="s">
        <v>296</v>
      </c>
      <c r="G357">
        <v>0</v>
      </c>
      <c r="H357" t="s">
        <v>205</v>
      </c>
      <c r="I357" t="s">
        <v>205</v>
      </c>
      <c r="J357" t="s">
        <v>205</v>
      </c>
      <c r="K357" t="s">
        <v>205</v>
      </c>
      <c r="L357" t="s">
        <v>205</v>
      </c>
      <c r="M357" t="s">
        <v>205</v>
      </c>
    </row>
    <row r="358" spans="1:14" x14ac:dyDescent="0.35">
      <c r="A358">
        <v>2024</v>
      </c>
      <c r="B358">
        <v>12</v>
      </c>
      <c r="C358" t="s">
        <v>273</v>
      </c>
      <c r="D358" t="s">
        <v>296</v>
      </c>
      <c r="G358">
        <v>0</v>
      </c>
      <c r="H358" t="s">
        <v>205</v>
      </c>
      <c r="I358" t="s">
        <v>205</v>
      </c>
      <c r="J358" t="s">
        <v>205</v>
      </c>
      <c r="K358" t="s">
        <v>205</v>
      </c>
      <c r="L358" t="s">
        <v>205</v>
      </c>
      <c r="M358" t="s">
        <v>205</v>
      </c>
    </row>
    <row r="359" spans="1:14" x14ac:dyDescent="0.35">
      <c r="A359">
        <v>2024</v>
      </c>
      <c r="B359">
        <v>12</v>
      </c>
      <c r="C359" t="s">
        <v>292</v>
      </c>
      <c r="D359" t="s">
        <v>296</v>
      </c>
      <c r="G359">
        <v>0</v>
      </c>
      <c r="H359" t="s">
        <v>205</v>
      </c>
      <c r="I359" t="s">
        <v>205</v>
      </c>
      <c r="J359" t="s">
        <v>205</v>
      </c>
      <c r="K359" t="s">
        <v>205</v>
      </c>
      <c r="L359" t="s">
        <v>205</v>
      </c>
      <c r="M359" t="s">
        <v>205</v>
      </c>
    </row>
    <row r="360" spans="1:14" x14ac:dyDescent="0.35">
      <c r="A360">
        <v>2024</v>
      </c>
      <c r="B360">
        <v>12</v>
      </c>
      <c r="C360" t="s">
        <v>267</v>
      </c>
      <c r="D360" t="s">
        <v>296</v>
      </c>
      <c r="G360">
        <v>0</v>
      </c>
      <c r="H360" t="s">
        <v>205</v>
      </c>
      <c r="I360" t="s">
        <v>205</v>
      </c>
      <c r="J360" t="s">
        <v>205</v>
      </c>
      <c r="K360" t="s">
        <v>205</v>
      </c>
      <c r="L360" t="s">
        <v>205</v>
      </c>
      <c r="M360" t="s">
        <v>205</v>
      </c>
    </row>
    <row r="361" spans="1:14" x14ac:dyDescent="0.35">
      <c r="A361">
        <v>2024</v>
      </c>
      <c r="B361">
        <v>12</v>
      </c>
      <c r="C361" t="s">
        <v>277</v>
      </c>
      <c r="D361" t="s">
        <v>268</v>
      </c>
      <c r="E361" t="s">
        <v>180</v>
      </c>
      <c r="F361" t="s">
        <v>179</v>
      </c>
      <c r="G361">
        <v>1</v>
      </c>
      <c r="H361" t="s">
        <v>180</v>
      </c>
      <c r="I361" t="s">
        <v>180</v>
      </c>
      <c r="J361" t="s">
        <v>179</v>
      </c>
      <c r="K361" t="s">
        <v>180</v>
      </c>
      <c r="L361" t="s">
        <v>180</v>
      </c>
      <c r="M361">
        <v>100</v>
      </c>
    </row>
    <row r="362" spans="1:14" x14ac:dyDescent="0.35">
      <c r="A362">
        <v>2024</v>
      </c>
      <c r="B362">
        <v>5</v>
      </c>
      <c r="C362" t="s">
        <v>273</v>
      </c>
      <c r="D362" t="s">
        <v>296</v>
      </c>
      <c r="G362">
        <v>0</v>
      </c>
      <c r="H362" t="s">
        <v>205</v>
      </c>
      <c r="I362" t="s">
        <v>205</v>
      </c>
      <c r="J362" t="s">
        <v>205</v>
      </c>
      <c r="K362" t="s">
        <v>205</v>
      </c>
      <c r="L362" t="s">
        <v>205</v>
      </c>
      <c r="M362" t="s">
        <v>205</v>
      </c>
    </row>
    <row r="363" spans="1:14" x14ac:dyDescent="0.35">
      <c r="A363">
        <v>2024</v>
      </c>
      <c r="B363">
        <v>5</v>
      </c>
      <c r="C363" t="s">
        <v>292</v>
      </c>
      <c r="D363" t="s">
        <v>296</v>
      </c>
      <c r="G363">
        <v>0</v>
      </c>
      <c r="H363" t="s">
        <v>205</v>
      </c>
      <c r="I363" t="s">
        <v>205</v>
      </c>
      <c r="J363" t="s">
        <v>205</v>
      </c>
      <c r="K363" t="s">
        <v>205</v>
      </c>
      <c r="L363" t="s">
        <v>205</v>
      </c>
      <c r="M363" t="s">
        <v>205</v>
      </c>
    </row>
    <row r="364" spans="1:14" x14ac:dyDescent="0.35">
      <c r="A364">
        <v>2024</v>
      </c>
      <c r="B364">
        <v>5</v>
      </c>
      <c r="C364" t="s">
        <v>267</v>
      </c>
      <c r="D364" t="s">
        <v>296</v>
      </c>
      <c r="G364">
        <v>0</v>
      </c>
      <c r="H364" t="s">
        <v>205</v>
      </c>
      <c r="I364" t="s">
        <v>205</v>
      </c>
      <c r="J364" t="s">
        <v>205</v>
      </c>
      <c r="K364" t="s">
        <v>205</v>
      </c>
      <c r="L364" t="s">
        <v>205</v>
      </c>
      <c r="M364" t="s">
        <v>205</v>
      </c>
    </row>
    <row r="365" spans="1:14" x14ac:dyDescent="0.35">
      <c r="A365">
        <v>2024</v>
      </c>
      <c r="B365">
        <v>5</v>
      </c>
      <c r="C365" t="s">
        <v>277</v>
      </c>
      <c r="D365" t="s">
        <v>268</v>
      </c>
      <c r="E365" t="s">
        <v>180</v>
      </c>
      <c r="F365" t="s">
        <v>179</v>
      </c>
      <c r="G365">
        <v>2</v>
      </c>
      <c r="H365" t="s">
        <v>180</v>
      </c>
      <c r="I365" t="s">
        <v>180</v>
      </c>
      <c r="J365" t="s">
        <v>180</v>
      </c>
      <c r="K365" t="s">
        <v>180</v>
      </c>
      <c r="L365" t="s">
        <v>180</v>
      </c>
      <c r="M365">
        <v>0</v>
      </c>
    </row>
    <row r="366" spans="1:14" x14ac:dyDescent="0.35">
      <c r="A366">
        <v>2024</v>
      </c>
      <c r="B366">
        <v>15</v>
      </c>
      <c r="C366" t="s">
        <v>273</v>
      </c>
      <c r="D366" t="s">
        <v>296</v>
      </c>
      <c r="G366">
        <v>0</v>
      </c>
      <c r="H366" t="s">
        <v>205</v>
      </c>
      <c r="I366" t="s">
        <v>205</v>
      </c>
      <c r="J366" t="s">
        <v>205</v>
      </c>
      <c r="K366" t="s">
        <v>205</v>
      </c>
      <c r="L366" t="s">
        <v>205</v>
      </c>
      <c r="M366" t="s">
        <v>205</v>
      </c>
    </row>
    <row r="367" spans="1:14" x14ac:dyDescent="0.35">
      <c r="A367">
        <v>2024</v>
      </c>
      <c r="B367">
        <v>15</v>
      </c>
      <c r="C367" t="s">
        <v>292</v>
      </c>
      <c r="D367" t="s">
        <v>296</v>
      </c>
      <c r="G367">
        <v>0</v>
      </c>
      <c r="H367" t="s">
        <v>205</v>
      </c>
      <c r="I367" t="s">
        <v>205</v>
      </c>
      <c r="J367" t="s">
        <v>205</v>
      </c>
      <c r="K367" t="s">
        <v>205</v>
      </c>
      <c r="L367" t="s">
        <v>205</v>
      </c>
      <c r="M367" t="s">
        <v>205</v>
      </c>
    </row>
    <row r="368" spans="1:14" x14ac:dyDescent="0.35">
      <c r="A368">
        <v>2024</v>
      </c>
      <c r="B368">
        <v>15</v>
      </c>
      <c r="C368" t="s">
        <v>267</v>
      </c>
      <c r="D368" t="s">
        <v>296</v>
      </c>
      <c r="G368">
        <v>0</v>
      </c>
      <c r="H368" t="s">
        <v>205</v>
      </c>
      <c r="I368" t="s">
        <v>205</v>
      </c>
      <c r="J368" t="s">
        <v>205</v>
      </c>
      <c r="K368" t="s">
        <v>205</v>
      </c>
      <c r="L368" t="s">
        <v>205</v>
      </c>
      <c r="M368" t="s">
        <v>205</v>
      </c>
    </row>
    <row r="369" spans="1:13" x14ac:dyDescent="0.35">
      <c r="A369">
        <v>2024</v>
      </c>
      <c r="B369">
        <v>15</v>
      </c>
      <c r="C369" t="s">
        <v>277</v>
      </c>
      <c r="D369" t="s">
        <v>296</v>
      </c>
      <c r="G369">
        <v>0</v>
      </c>
      <c r="H369" t="s">
        <v>205</v>
      </c>
      <c r="I369" t="s">
        <v>205</v>
      </c>
      <c r="J369" t="s">
        <v>205</v>
      </c>
      <c r="K369" t="s">
        <v>205</v>
      </c>
      <c r="L369" t="s">
        <v>205</v>
      </c>
      <c r="M369" t="s">
        <v>205</v>
      </c>
    </row>
    <row r="370" spans="1:13" x14ac:dyDescent="0.35">
      <c r="A370">
        <v>2024</v>
      </c>
      <c r="B370">
        <v>91</v>
      </c>
      <c r="C370" t="s">
        <v>273</v>
      </c>
      <c r="D370" t="s">
        <v>296</v>
      </c>
      <c r="G370">
        <v>0</v>
      </c>
      <c r="H370" t="s">
        <v>205</v>
      </c>
      <c r="I370" t="s">
        <v>205</v>
      </c>
      <c r="J370" t="s">
        <v>205</v>
      </c>
      <c r="K370" t="s">
        <v>205</v>
      </c>
      <c r="L370" t="s">
        <v>205</v>
      </c>
      <c r="M370" t="s">
        <v>205</v>
      </c>
    </row>
    <row r="371" spans="1:13" x14ac:dyDescent="0.35">
      <c r="A371">
        <v>2024</v>
      </c>
      <c r="B371">
        <v>91</v>
      </c>
      <c r="C371" t="s">
        <v>292</v>
      </c>
      <c r="D371" t="s">
        <v>296</v>
      </c>
      <c r="G371">
        <v>0</v>
      </c>
      <c r="H371" t="s">
        <v>205</v>
      </c>
      <c r="I371" t="s">
        <v>205</v>
      </c>
      <c r="J371" t="s">
        <v>205</v>
      </c>
      <c r="K371" t="s">
        <v>205</v>
      </c>
      <c r="L371" t="s">
        <v>205</v>
      </c>
      <c r="M371" t="s">
        <v>205</v>
      </c>
    </row>
    <row r="372" spans="1:13" x14ac:dyDescent="0.35">
      <c r="A372">
        <v>2024</v>
      </c>
      <c r="B372">
        <v>91</v>
      </c>
      <c r="C372" t="s">
        <v>267</v>
      </c>
      <c r="D372" t="s">
        <v>296</v>
      </c>
      <c r="G372">
        <v>0</v>
      </c>
      <c r="H372" t="s">
        <v>205</v>
      </c>
      <c r="I372" t="s">
        <v>205</v>
      </c>
      <c r="J372" t="s">
        <v>205</v>
      </c>
      <c r="K372" t="s">
        <v>205</v>
      </c>
      <c r="L372" t="s">
        <v>205</v>
      </c>
      <c r="M372" t="s">
        <v>205</v>
      </c>
    </row>
    <row r="373" spans="1:13" x14ac:dyDescent="0.35">
      <c r="A373">
        <v>2024</v>
      </c>
      <c r="B373">
        <v>91</v>
      </c>
      <c r="C373" t="s">
        <v>277</v>
      </c>
      <c r="D373" t="s">
        <v>296</v>
      </c>
      <c r="G373">
        <v>0</v>
      </c>
      <c r="H373" t="s">
        <v>205</v>
      </c>
      <c r="I373" t="s">
        <v>205</v>
      </c>
      <c r="J373" t="s">
        <v>205</v>
      </c>
      <c r="K373" t="s">
        <v>205</v>
      </c>
      <c r="L373" t="s">
        <v>205</v>
      </c>
      <c r="M373" t="s">
        <v>205</v>
      </c>
    </row>
    <row r="374" spans="1:13" x14ac:dyDescent="0.35">
      <c r="A374">
        <v>2024</v>
      </c>
      <c r="B374">
        <v>22</v>
      </c>
      <c r="C374" t="s">
        <v>273</v>
      </c>
      <c r="D374" t="s">
        <v>296</v>
      </c>
      <c r="G374">
        <v>0</v>
      </c>
      <c r="H374" t="s">
        <v>205</v>
      </c>
      <c r="I374" t="s">
        <v>205</v>
      </c>
      <c r="J374" t="s">
        <v>205</v>
      </c>
      <c r="K374" t="s">
        <v>205</v>
      </c>
      <c r="L374" t="s">
        <v>205</v>
      </c>
      <c r="M374" t="s">
        <v>205</v>
      </c>
    </row>
    <row r="375" spans="1:13" x14ac:dyDescent="0.35">
      <c r="A375">
        <v>2024</v>
      </c>
      <c r="B375">
        <v>22</v>
      </c>
      <c r="C375" t="s">
        <v>292</v>
      </c>
      <c r="D375" t="s">
        <v>289</v>
      </c>
      <c r="E375" t="s">
        <v>179</v>
      </c>
      <c r="F375" t="s">
        <v>180</v>
      </c>
      <c r="G375">
        <v>1</v>
      </c>
      <c r="H375" t="s">
        <v>180</v>
      </c>
      <c r="I375" t="s">
        <v>180</v>
      </c>
      <c r="J375" t="s">
        <v>180</v>
      </c>
      <c r="K375" t="s">
        <v>180</v>
      </c>
      <c r="L375" t="s">
        <v>180</v>
      </c>
      <c r="M375">
        <v>0</v>
      </c>
    </row>
    <row r="376" spans="1:13" x14ac:dyDescent="0.35">
      <c r="A376">
        <v>2024</v>
      </c>
      <c r="B376">
        <v>22</v>
      </c>
      <c r="C376" t="s">
        <v>267</v>
      </c>
      <c r="D376" t="s">
        <v>296</v>
      </c>
      <c r="G376">
        <v>0</v>
      </c>
      <c r="H376" t="s">
        <v>205</v>
      </c>
      <c r="I376" t="s">
        <v>205</v>
      </c>
      <c r="J376" t="s">
        <v>205</v>
      </c>
      <c r="K376" t="s">
        <v>205</v>
      </c>
      <c r="L376" t="s">
        <v>205</v>
      </c>
      <c r="M376" t="s">
        <v>205</v>
      </c>
    </row>
    <row r="377" spans="1:13" x14ac:dyDescent="0.35">
      <c r="A377">
        <v>2024</v>
      </c>
      <c r="B377">
        <v>22</v>
      </c>
      <c r="C377" t="s">
        <v>277</v>
      </c>
      <c r="D377" t="s">
        <v>289</v>
      </c>
      <c r="E377" t="s">
        <v>179</v>
      </c>
      <c r="F377" t="s">
        <v>180</v>
      </c>
      <c r="G377">
        <v>3</v>
      </c>
      <c r="H377" t="s">
        <v>180</v>
      </c>
      <c r="I377" t="s">
        <v>180</v>
      </c>
      <c r="J377" t="s">
        <v>179</v>
      </c>
      <c r="K377" t="s">
        <v>180</v>
      </c>
      <c r="L377" t="s">
        <v>180</v>
      </c>
      <c r="M377">
        <v>33</v>
      </c>
    </row>
    <row r="378" spans="1:13" x14ac:dyDescent="0.35">
      <c r="A378">
        <v>2024</v>
      </c>
      <c r="B378">
        <v>17</v>
      </c>
      <c r="C378" t="s">
        <v>273</v>
      </c>
      <c r="D378" t="s">
        <v>268</v>
      </c>
      <c r="E378" t="s">
        <v>180</v>
      </c>
      <c r="F378" t="s">
        <v>179</v>
      </c>
      <c r="G378">
        <v>1</v>
      </c>
      <c r="H378" t="s">
        <v>180</v>
      </c>
      <c r="I378" t="s">
        <v>180</v>
      </c>
      <c r="J378" t="s">
        <v>180</v>
      </c>
      <c r="K378" t="s">
        <v>180</v>
      </c>
      <c r="L378" t="s">
        <v>180</v>
      </c>
      <c r="M378">
        <v>0</v>
      </c>
    </row>
    <row r="379" spans="1:13" x14ac:dyDescent="0.35">
      <c r="A379">
        <v>2024</v>
      </c>
      <c r="B379">
        <v>17</v>
      </c>
      <c r="C379" t="s">
        <v>292</v>
      </c>
      <c r="D379" t="s">
        <v>268</v>
      </c>
      <c r="E379" t="s">
        <v>180</v>
      </c>
      <c r="F379" t="s">
        <v>179</v>
      </c>
      <c r="G379">
        <v>1</v>
      </c>
      <c r="H379" t="s">
        <v>180</v>
      </c>
      <c r="I379" t="s">
        <v>180</v>
      </c>
      <c r="J379" t="s">
        <v>180</v>
      </c>
      <c r="K379" t="s">
        <v>180</v>
      </c>
      <c r="L379" t="s">
        <v>180</v>
      </c>
      <c r="M379">
        <v>0</v>
      </c>
    </row>
    <row r="380" spans="1:13" x14ac:dyDescent="0.35">
      <c r="A380">
        <v>2024</v>
      </c>
      <c r="B380">
        <v>17</v>
      </c>
      <c r="C380" t="s">
        <v>267</v>
      </c>
      <c r="D380" t="s">
        <v>289</v>
      </c>
      <c r="E380" t="s">
        <v>179</v>
      </c>
      <c r="F380" t="s">
        <v>180</v>
      </c>
      <c r="G380">
        <v>2</v>
      </c>
      <c r="H380" t="s">
        <v>180</v>
      </c>
      <c r="I380" t="s">
        <v>180</v>
      </c>
      <c r="J380" t="s">
        <v>180</v>
      </c>
      <c r="K380" t="s">
        <v>180</v>
      </c>
      <c r="L380" t="s">
        <v>180</v>
      </c>
      <c r="M380">
        <v>0</v>
      </c>
    </row>
    <row r="381" spans="1:13" x14ac:dyDescent="0.35">
      <c r="A381">
        <v>2024</v>
      </c>
      <c r="B381">
        <v>17</v>
      </c>
      <c r="C381" t="s">
        <v>277</v>
      </c>
      <c r="D381" t="s">
        <v>296</v>
      </c>
      <c r="G381">
        <v>0</v>
      </c>
      <c r="H381" t="s">
        <v>205</v>
      </c>
      <c r="I381" t="s">
        <v>205</v>
      </c>
      <c r="J381" t="s">
        <v>205</v>
      </c>
      <c r="K381" t="s">
        <v>205</v>
      </c>
      <c r="L381" t="s">
        <v>205</v>
      </c>
      <c r="M381" t="s">
        <v>205</v>
      </c>
    </row>
    <row r="382" spans="1:13" x14ac:dyDescent="0.35">
      <c r="A382">
        <v>2024</v>
      </c>
      <c r="B382">
        <v>64</v>
      </c>
      <c r="C382" t="s">
        <v>273</v>
      </c>
      <c r="D382" t="s">
        <v>289</v>
      </c>
      <c r="E382" t="s">
        <v>179</v>
      </c>
      <c r="F382" t="s">
        <v>180</v>
      </c>
      <c r="G382">
        <v>1</v>
      </c>
      <c r="H382" t="s">
        <v>180</v>
      </c>
      <c r="I382" t="s">
        <v>180</v>
      </c>
      <c r="J382" t="s">
        <v>180</v>
      </c>
      <c r="K382" t="s">
        <v>180</v>
      </c>
      <c r="L382" t="s">
        <v>180</v>
      </c>
      <c r="M382">
        <v>0</v>
      </c>
    </row>
    <row r="383" spans="1:13" x14ac:dyDescent="0.35">
      <c r="A383">
        <v>2024</v>
      </c>
      <c r="B383">
        <v>64</v>
      </c>
      <c r="C383" t="s">
        <v>292</v>
      </c>
      <c r="D383" t="s">
        <v>410</v>
      </c>
      <c r="E383" t="s">
        <v>179</v>
      </c>
      <c r="F383" t="s">
        <v>179</v>
      </c>
      <c r="G383">
        <v>3</v>
      </c>
      <c r="H383" t="s">
        <v>180</v>
      </c>
      <c r="I383" t="s">
        <v>180</v>
      </c>
      <c r="J383" t="s">
        <v>180</v>
      </c>
      <c r="K383" t="s">
        <v>180</v>
      </c>
      <c r="L383" t="s">
        <v>180</v>
      </c>
      <c r="M383">
        <v>0</v>
      </c>
    </row>
    <row r="384" spans="1:13" x14ac:dyDescent="0.35">
      <c r="A384">
        <v>2024</v>
      </c>
      <c r="B384">
        <v>64</v>
      </c>
      <c r="C384" t="s">
        <v>267</v>
      </c>
      <c r="D384" t="s">
        <v>410</v>
      </c>
      <c r="E384" t="s">
        <v>179</v>
      </c>
      <c r="F384" t="s">
        <v>179</v>
      </c>
      <c r="G384">
        <v>5</v>
      </c>
      <c r="H384" t="s">
        <v>180</v>
      </c>
      <c r="I384" t="s">
        <v>180</v>
      </c>
      <c r="J384" t="s">
        <v>180</v>
      </c>
      <c r="K384" t="s">
        <v>180</v>
      </c>
      <c r="L384" t="s">
        <v>180</v>
      </c>
      <c r="M384">
        <v>0</v>
      </c>
    </row>
    <row r="385" spans="1:13" x14ac:dyDescent="0.35">
      <c r="A385">
        <v>2024</v>
      </c>
      <c r="B385">
        <v>64</v>
      </c>
      <c r="C385" t="s">
        <v>277</v>
      </c>
      <c r="D385" t="s">
        <v>413</v>
      </c>
      <c r="E385" t="s">
        <v>179</v>
      </c>
      <c r="F385" t="s">
        <v>179</v>
      </c>
      <c r="G385">
        <v>5</v>
      </c>
      <c r="H385" t="s">
        <v>180</v>
      </c>
      <c r="I385" t="s">
        <v>180</v>
      </c>
      <c r="J385" t="s">
        <v>179</v>
      </c>
      <c r="K385" t="s">
        <v>180</v>
      </c>
      <c r="L385" t="s">
        <v>180</v>
      </c>
      <c r="M385">
        <v>20</v>
      </c>
    </row>
    <row r="386" spans="1:13" x14ac:dyDescent="0.35">
      <c r="A386">
        <v>2024</v>
      </c>
      <c r="B386">
        <v>65</v>
      </c>
      <c r="C386" t="s">
        <v>273</v>
      </c>
      <c r="D386" t="s">
        <v>289</v>
      </c>
      <c r="E386" t="s">
        <v>179</v>
      </c>
      <c r="F386" t="s">
        <v>180</v>
      </c>
      <c r="G386">
        <v>2</v>
      </c>
      <c r="H386" t="s">
        <v>180</v>
      </c>
      <c r="I386" t="s">
        <v>180</v>
      </c>
      <c r="J386" t="s">
        <v>180</v>
      </c>
      <c r="K386" t="s">
        <v>180</v>
      </c>
      <c r="L386" t="s">
        <v>180</v>
      </c>
      <c r="M386">
        <v>0</v>
      </c>
    </row>
    <row r="387" spans="1:13" x14ac:dyDescent="0.35">
      <c r="A387">
        <v>2024</v>
      </c>
      <c r="B387">
        <v>65</v>
      </c>
      <c r="C387" t="s">
        <v>292</v>
      </c>
      <c r="D387" t="s">
        <v>289</v>
      </c>
      <c r="E387" t="s">
        <v>179</v>
      </c>
      <c r="F387" t="s">
        <v>180</v>
      </c>
      <c r="G387">
        <v>2</v>
      </c>
      <c r="H387" t="s">
        <v>180</v>
      </c>
      <c r="I387" t="s">
        <v>180</v>
      </c>
      <c r="J387" t="s">
        <v>180</v>
      </c>
      <c r="K387" t="s">
        <v>180</v>
      </c>
      <c r="L387" t="s">
        <v>180</v>
      </c>
      <c r="M387">
        <v>0</v>
      </c>
    </row>
    <row r="388" spans="1:13" x14ac:dyDescent="0.35">
      <c r="A388">
        <v>2024</v>
      </c>
      <c r="B388">
        <v>65</v>
      </c>
      <c r="C388" t="s">
        <v>267</v>
      </c>
      <c r="D388" t="s">
        <v>289</v>
      </c>
      <c r="E388" t="s">
        <v>179</v>
      </c>
      <c r="F388" t="s">
        <v>180</v>
      </c>
      <c r="G388">
        <v>5</v>
      </c>
      <c r="H388" t="s">
        <v>180</v>
      </c>
      <c r="I388" t="s">
        <v>180</v>
      </c>
      <c r="J388" t="s">
        <v>179</v>
      </c>
      <c r="K388" t="s">
        <v>180</v>
      </c>
      <c r="L388" t="s">
        <v>180</v>
      </c>
      <c r="M388">
        <v>40</v>
      </c>
    </row>
    <row r="389" spans="1:13" x14ac:dyDescent="0.35">
      <c r="A389">
        <v>2024</v>
      </c>
      <c r="B389">
        <v>65</v>
      </c>
      <c r="C389" t="s">
        <v>277</v>
      </c>
      <c r="D389" t="s">
        <v>289</v>
      </c>
      <c r="E389" t="s">
        <v>179</v>
      </c>
      <c r="F389" t="s">
        <v>180</v>
      </c>
      <c r="G389">
        <v>6</v>
      </c>
      <c r="H389" t="s">
        <v>180</v>
      </c>
      <c r="I389" t="s">
        <v>180</v>
      </c>
      <c r="J389" t="s">
        <v>180</v>
      </c>
      <c r="K389" t="s">
        <v>180</v>
      </c>
      <c r="L389" t="s">
        <v>180</v>
      </c>
      <c r="M389">
        <v>0</v>
      </c>
    </row>
    <row r="390" spans="1:13" x14ac:dyDescent="0.35">
      <c r="A390">
        <v>2024</v>
      </c>
      <c r="B390">
        <v>24</v>
      </c>
      <c r="C390" t="s">
        <v>273</v>
      </c>
      <c r="D390" t="s">
        <v>410</v>
      </c>
      <c r="E390" t="s">
        <v>179</v>
      </c>
      <c r="F390" t="s">
        <v>179</v>
      </c>
      <c r="G390">
        <v>9</v>
      </c>
      <c r="H390" t="s">
        <v>180</v>
      </c>
      <c r="I390" t="s">
        <v>180</v>
      </c>
      <c r="J390" t="s">
        <v>180</v>
      </c>
      <c r="K390" t="s">
        <v>180</v>
      </c>
      <c r="L390" t="s">
        <v>180</v>
      </c>
      <c r="M390">
        <v>0</v>
      </c>
    </row>
    <row r="391" spans="1:13" x14ac:dyDescent="0.35">
      <c r="A391">
        <v>2024</v>
      </c>
      <c r="B391">
        <v>24</v>
      </c>
      <c r="C391" t="s">
        <v>292</v>
      </c>
      <c r="D391" t="s">
        <v>411</v>
      </c>
      <c r="E391" t="s">
        <v>179</v>
      </c>
      <c r="F391" t="s">
        <v>179</v>
      </c>
      <c r="G391">
        <v>10</v>
      </c>
      <c r="H391" t="s">
        <v>180</v>
      </c>
      <c r="I391" t="s">
        <v>180</v>
      </c>
      <c r="J391" t="s">
        <v>179</v>
      </c>
      <c r="K391" t="s">
        <v>180</v>
      </c>
      <c r="L391" t="s">
        <v>180</v>
      </c>
      <c r="M391">
        <v>10</v>
      </c>
    </row>
    <row r="392" spans="1:13" x14ac:dyDescent="0.35">
      <c r="A392">
        <v>2024</v>
      </c>
      <c r="B392">
        <v>24</v>
      </c>
      <c r="C392" t="s">
        <v>267</v>
      </c>
      <c r="D392" t="s">
        <v>410</v>
      </c>
      <c r="E392" t="s">
        <v>179</v>
      </c>
      <c r="F392" t="s">
        <v>179</v>
      </c>
      <c r="G392">
        <v>2</v>
      </c>
      <c r="H392" t="s">
        <v>180</v>
      </c>
      <c r="I392" t="s">
        <v>180</v>
      </c>
      <c r="J392" t="s">
        <v>179</v>
      </c>
      <c r="K392" t="s">
        <v>180</v>
      </c>
      <c r="L392" t="s">
        <v>180</v>
      </c>
      <c r="M392">
        <v>50</v>
      </c>
    </row>
    <row r="393" spans="1:13" x14ac:dyDescent="0.35">
      <c r="A393">
        <v>2024</v>
      </c>
      <c r="B393">
        <v>24</v>
      </c>
      <c r="C393" t="s">
        <v>277</v>
      </c>
      <c r="D393" t="s">
        <v>410</v>
      </c>
      <c r="E393" t="s">
        <v>179</v>
      </c>
      <c r="F393" t="s">
        <v>179</v>
      </c>
      <c r="G393">
        <v>14</v>
      </c>
      <c r="H393" t="s">
        <v>180</v>
      </c>
      <c r="I393" t="s">
        <v>180</v>
      </c>
      <c r="J393" t="s">
        <v>179</v>
      </c>
      <c r="K393" t="s">
        <v>180</v>
      </c>
      <c r="L393" t="s">
        <v>180</v>
      </c>
      <c r="M393">
        <v>7</v>
      </c>
    </row>
    <row r="394" spans="1:13" x14ac:dyDescent="0.35">
      <c r="A394">
        <v>2024</v>
      </c>
      <c r="B394">
        <v>102</v>
      </c>
      <c r="C394" t="s">
        <v>273</v>
      </c>
      <c r="D394" t="s">
        <v>296</v>
      </c>
      <c r="G394">
        <v>0</v>
      </c>
      <c r="H394" t="s">
        <v>205</v>
      </c>
      <c r="I394" t="s">
        <v>205</v>
      </c>
      <c r="J394" t="s">
        <v>205</v>
      </c>
      <c r="K394" t="s">
        <v>205</v>
      </c>
      <c r="L394" t="s">
        <v>205</v>
      </c>
      <c r="M394" t="s">
        <v>205</v>
      </c>
    </row>
    <row r="395" spans="1:13" x14ac:dyDescent="0.35">
      <c r="A395">
        <v>2024</v>
      </c>
      <c r="B395">
        <v>102</v>
      </c>
      <c r="C395" t="s">
        <v>292</v>
      </c>
      <c r="D395" t="s">
        <v>296</v>
      </c>
      <c r="G395">
        <v>0</v>
      </c>
      <c r="H395" t="s">
        <v>205</v>
      </c>
      <c r="I395" t="s">
        <v>205</v>
      </c>
      <c r="J395" t="s">
        <v>205</v>
      </c>
      <c r="K395" t="s">
        <v>205</v>
      </c>
      <c r="L395" t="s">
        <v>205</v>
      </c>
      <c r="M395" t="s">
        <v>205</v>
      </c>
    </row>
    <row r="396" spans="1:13" x14ac:dyDescent="0.35">
      <c r="A396">
        <v>2024</v>
      </c>
      <c r="B396">
        <v>102</v>
      </c>
      <c r="C396" t="s">
        <v>267</v>
      </c>
      <c r="D396" t="s">
        <v>296</v>
      </c>
      <c r="G396">
        <v>0</v>
      </c>
      <c r="H396" t="s">
        <v>205</v>
      </c>
      <c r="I396" t="s">
        <v>205</v>
      </c>
      <c r="J396" t="s">
        <v>205</v>
      </c>
      <c r="K396" t="s">
        <v>205</v>
      </c>
      <c r="L396" t="s">
        <v>205</v>
      </c>
      <c r="M396" t="s">
        <v>205</v>
      </c>
    </row>
    <row r="397" spans="1:13" x14ac:dyDescent="0.35">
      <c r="A397">
        <v>2024</v>
      </c>
      <c r="B397">
        <v>102</v>
      </c>
      <c r="C397" t="s">
        <v>277</v>
      </c>
      <c r="D397" t="s">
        <v>268</v>
      </c>
      <c r="E397" t="s">
        <v>180</v>
      </c>
      <c r="F397" t="s">
        <v>179</v>
      </c>
      <c r="G397">
        <v>3</v>
      </c>
      <c r="H397" t="s">
        <v>180</v>
      </c>
      <c r="I397" t="s">
        <v>180</v>
      </c>
      <c r="J397" t="s">
        <v>180</v>
      </c>
      <c r="K397" t="s">
        <v>180</v>
      </c>
      <c r="L397" t="s">
        <v>180</v>
      </c>
      <c r="M397">
        <v>0</v>
      </c>
    </row>
    <row r="398" spans="1:13" x14ac:dyDescent="0.35">
      <c r="A398">
        <v>2025</v>
      </c>
      <c r="B398">
        <v>92</v>
      </c>
      <c r="C398" t="s">
        <v>273</v>
      </c>
      <c r="D398" t="s">
        <v>205</v>
      </c>
      <c r="G398">
        <v>0</v>
      </c>
      <c r="H398" t="s">
        <v>205</v>
      </c>
      <c r="I398" t="s">
        <v>205</v>
      </c>
      <c r="J398" t="s">
        <v>205</v>
      </c>
      <c r="K398" t="s">
        <v>205</v>
      </c>
      <c r="L398" t="s">
        <v>205</v>
      </c>
      <c r="M398" t="s">
        <v>205</v>
      </c>
    </row>
    <row r="399" spans="1:13" x14ac:dyDescent="0.35">
      <c r="A399">
        <v>2025</v>
      </c>
      <c r="B399">
        <v>92</v>
      </c>
      <c r="C399" t="s">
        <v>292</v>
      </c>
      <c r="D399" t="s">
        <v>205</v>
      </c>
      <c r="G399">
        <v>0</v>
      </c>
      <c r="H399" t="s">
        <v>205</v>
      </c>
      <c r="I399" t="s">
        <v>205</v>
      </c>
      <c r="J399" t="s">
        <v>205</v>
      </c>
      <c r="K399" t="s">
        <v>205</v>
      </c>
      <c r="L399" t="s">
        <v>205</v>
      </c>
      <c r="M399" t="s">
        <v>205</v>
      </c>
    </row>
    <row r="400" spans="1:13" x14ac:dyDescent="0.35">
      <c r="A400">
        <v>2025</v>
      </c>
      <c r="B400">
        <v>92</v>
      </c>
      <c r="C400" t="s">
        <v>267</v>
      </c>
      <c r="D400" t="s">
        <v>205</v>
      </c>
      <c r="G400">
        <v>0</v>
      </c>
      <c r="H400" t="s">
        <v>205</v>
      </c>
      <c r="I400" t="s">
        <v>205</v>
      </c>
      <c r="J400" t="s">
        <v>205</v>
      </c>
      <c r="K400" t="s">
        <v>205</v>
      </c>
      <c r="L400" t="s">
        <v>205</v>
      </c>
      <c r="M400" t="s">
        <v>205</v>
      </c>
    </row>
    <row r="401" spans="1:13" x14ac:dyDescent="0.35">
      <c r="A401">
        <v>2025</v>
      </c>
      <c r="B401">
        <v>92</v>
      </c>
      <c r="C401" t="s">
        <v>277</v>
      </c>
      <c r="D401" t="s">
        <v>299</v>
      </c>
      <c r="E401" t="s">
        <v>180</v>
      </c>
      <c r="F401" t="s">
        <v>179</v>
      </c>
      <c r="G401">
        <v>1</v>
      </c>
      <c r="H401" t="s">
        <v>180</v>
      </c>
      <c r="I401" t="s">
        <v>180</v>
      </c>
      <c r="J401" t="s">
        <v>179</v>
      </c>
      <c r="K401" t="s">
        <v>180</v>
      </c>
      <c r="L401" t="s">
        <v>180</v>
      </c>
      <c r="M401">
        <v>100</v>
      </c>
    </row>
    <row r="402" spans="1:13" x14ac:dyDescent="0.35">
      <c r="A402">
        <v>2025</v>
      </c>
      <c r="B402">
        <v>93</v>
      </c>
      <c r="C402" t="s">
        <v>273</v>
      </c>
      <c r="D402" t="s">
        <v>205</v>
      </c>
      <c r="G402">
        <v>0</v>
      </c>
      <c r="H402" t="s">
        <v>205</v>
      </c>
      <c r="I402" t="s">
        <v>205</v>
      </c>
      <c r="J402" t="s">
        <v>205</v>
      </c>
      <c r="K402" t="s">
        <v>205</v>
      </c>
      <c r="L402" t="s">
        <v>205</v>
      </c>
      <c r="M402" t="s">
        <v>205</v>
      </c>
    </row>
    <row r="403" spans="1:13" x14ac:dyDescent="0.35">
      <c r="A403">
        <v>2025</v>
      </c>
      <c r="B403">
        <v>93</v>
      </c>
      <c r="C403" t="s">
        <v>292</v>
      </c>
      <c r="D403" t="s">
        <v>205</v>
      </c>
      <c r="G403">
        <v>0</v>
      </c>
      <c r="H403" t="s">
        <v>205</v>
      </c>
      <c r="I403" t="s">
        <v>205</v>
      </c>
      <c r="J403" t="s">
        <v>205</v>
      </c>
      <c r="K403" t="s">
        <v>205</v>
      </c>
      <c r="L403" t="s">
        <v>205</v>
      </c>
      <c r="M403" t="s">
        <v>205</v>
      </c>
    </row>
    <row r="404" spans="1:13" x14ac:dyDescent="0.35">
      <c r="A404">
        <v>2025</v>
      </c>
      <c r="B404">
        <v>93</v>
      </c>
      <c r="C404" t="s">
        <v>267</v>
      </c>
      <c r="D404" t="s">
        <v>205</v>
      </c>
      <c r="G404">
        <v>0</v>
      </c>
      <c r="H404" t="s">
        <v>205</v>
      </c>
      <c r="I404" t="s">
        <v>205</v>
      </c>
      <c r="J404" t="s">
        <v>205</v>
      </c>
      <c r="K404" t="s">
        <v>205</v>
      </c>
      <c r="L404" t="s">
        <v>205</v>
      </c>
      <c r="M404" t="s">
        <v>205</v>
      </c>
    </row>
    <row r="405" spans="1:13" x14ac:dyDescent="0.35">
      <c r="A405">
        <v>2025</v>
      </c>
      <c r="B405">
        <v>93</v>
      </c>
      <c r="C405" t="s">
        <v>277</v>
      </c>
      <c r="D405" t="s">
        <v>205</v>
      </c>
      <c r="G405">
        <v>0</v>
      </c>
      <c r="H405" t="s">
        <v>205</v>
      </c>
      <c r="I405" t="s">
        <v>205</v>
      </c>
      <c r="J405" t="s">
        <v>205</v>
      </c>
      <c r="K405" t="s">
        <v>205</v>
      </c>
      <c r="L405" t="s">
        <v>205</v>
      </c>
      <c r="M405" t="s">
        <v>205</v>
      </c>
    </row>
    <row r="406" spans="1:13" x14ac:dyDescent="0.35">
      <c r="A406">
        <v>2025</v>
      </c>
      <c r="B406">
        <v>4</v>
      </c>
      <c r="C406" t="s">
        <v>273</v>
      </c>
      <c r="D406" t="s">
        <v>205</v>
      </c>
      <c r="G406">
        <v>0</v>
      </c>
      <c r="H406" t="s">
        <v>205</v>
      </c>
      <c r="I406" t="s">
        <v>205</v>
      </c>
      <c r="J406" t="s">
        <v>205</v>
      </c>
      <c r="K406" t="s">
        <v>205</v>
      </c>
      <c r="L406" t="s">
        <v>205</v>
      </c>
      <c r="M406" t="s">
        <v>205</v>
      </c>
    </row>
    <row r="407" spans="1:13" x14ac:dyDescent="0.35">
      <c r="A407">
        <v>2025</v>
      </c>
      <c r="B407">
        <v>4</v>
      </c>
      <c r="C407" t="s">
        <v>292</v>
      </c>
      <c r="D407" t="s">
        <v>205</v>
      </c>
      <c r="G407">
        <v>0</v>
      </c>
      <c r="H407" t="s">
        <v>205</v>
      </c>
      <c r="I407" t="s">
        <v>205</v>
      </c>
      <c r="J407" t="s">
        <v>205</v>
      </c>
      <c r="K407" t="s">
        <v>205</v>
      </c>
      <c r="L407" t="s">
        <v>205</v>
      </c>
      <c r="M407" t="s">
        <v>205</v>
      </c>
    </row>
    <row r="408" spans="1:13" x14ac:dyDescent="0.35">
      <c r="A408">
        <v>2025</v>
      </c>
      <c r="B408">
        <v>4</v>
      </c>
      <c r="C408" t="s">
        <v>267</v>
      </c>
      <c r="D408" t="s">
        <v>205</v>
      </c>
      <c r="G408">
        <v>0</v>
      </c>
      <c r="H408" t="s">
        <v>205</v>
      </c>
      <c r="I408" t="s">
        <v>205</v>
      </c>
      <c r="J408" t="s">
        <v>205</v>
      </c>
      <c r="K408" t="s">
        <v>205</v>
      </c>
      <c r="L408" t="s">
        <v>205</v>
      </c>
      <c r="M408" t="s">
        <v>205</v>
      </c>
    </row>
    <row r="409" spans="1:13" x14ac:dyDescent="0.35">
      <c r="A409">
        <v>2025</v>
      </c>
      <c r="B409">
        <v>4</v>
      </c>
      <c r="C409" t="s">
        <v>277</v>
      </c>
      <c r="D409" t="s">
        <v>205</v>
      </c>
      <c r="G409">
        <v>0</v>
      </c>
      <c r="H409" t="s">
        <v>205</v>
      </c>
      <c r="I409" t="s">
        <v>205</v>
      </c>
      <c r="J409" t="s">
        <v>205</v>
      </c>
      <c r="K409" t="s">
        <v>205</v>
      </c>
      <c r="L409" t="s">
        <v>205</v>
      </c>
      <c r="M409" t="s">
        <v>205</v>
      </c>
    </row>
    <row r="410" spans="1:13" x14ac:dyDescent="0.35">
      <c r="A410">
        <v>2025</v>
      </c>
      <c r="B410">
        <v>6</v>
      </c>
      <c r="C410" t="s">
        <v>273</v>
      </c>
      <c r="D410" t="s">
        <v>205</v>
      </c>
      <c r="G410">
        <v>0</v>
      </c>
      <c r="H410" t="s">
        <v>205</v>
      </c>
      <c r="I410" t="s">
        <v>205</v>
      </c>
      <c r="J410" t="s">
        <v>205</v>
      </c>
      <c r="K410" t="s">
        <v>205</v>
      </c>
      <c r="L410" t="s">
        <v>205</v>
      </c>
      <c r="M410" t="s">
        <v>205</v>
      </c>
    </row>
    <row r="411" spans="1:13" x14ac:dyDescent="0.35">
      <c r="A411">
        <v>2025</v>
      </c>
      <c r="B411">
        <v>6</v>
      </c>
      <c r="C411" t="s">
        <v>292</v>
      </c>
      <c r="D411" t="s">
        <v>299</v>
      </c>
      <c r="E411" t="s">
        <v>180</v>
      </c>
      <c r="F411" t="s">
        <v>179</v>
      </c>
      <c r="G411">
        <v>3</v>
      </c>
      <c r="H411" t="s">
        <v>180</v>
      </c>
      <c r="I411" t="s">
        <v>180</v>
      </c>
      <c r="J411" t="s">
        <v>179</v>
      </c>
      <c r="K411" t="s">
        <v>180</v>
      </c>
      <c r="L411" t="s">
        <v>180</v>
      </c>
      <c r="M411">
        <v>33</v>
      </c>
    </row>
    <row r="412" spans="1:13" x14ac:dyDescent="0.35">
      <c r="A412">
        <v>2025</v>
      </c>
      <c r="B412">
        <v>6</v>
      </c>
      <c r="C412" t="s">
        <v>267</v>
      </c>
      <c r="D412" t="s">
        <v>205</v>
      </c>
      <c r="G412">
        <v>0</v>
      </c>
      <c r="H412" t="s">
        <v>205</v>
      </c>
      <c r="I412" t="s">
        <v>205</v>
      </c>
      <c r="J412" t="s">
        <v>205</v>
      </c>
      <c r="K412" t="s">
        <v>205</v>
      </c>
      <c r="L412" t="s">
        <v>205</v>
      </c>
      <c r="M412" t="s">
        <v>205</v>
      </c>
    </row>
    <row r="413" spans="1:13" x14ac:dyDescent="0.35">
      <c r="A413">
        <v>2025</v>
      </c>
      <c r="B413">
        <v>6</v>
      </c>
      <c r="C413" t="s">
        <v>277</v>
      </c>
      <c r="D413" t="s">
        <v>299</v>
      </c>
      <c r="E413" t="s">
        <v>180</v>
      </c>
      <c r="F413" t="s">
        <v>179</v>
      </c>
      <c r="G413">
        <v>1</v>
      </c>
      <c r="H413" t="s">
        <v>180</v>
      </c>
      <c r="I413" t="s">
        <v>180</v>
      </c>
      <c r="J413" t="s">
        <v>179</v>
      </c>
      <c r="K413" t="s">
        <v>180</v>
      </c>
      <c r="L413" t="s">
        <v>179</v>
      </c>
      <c r="M413">
        <v>100</v>
      </c>
    </row>
    <row r="414" spans="1:13" x14ac:dyDescent="0.35">
      <c r="A414">
        <v>2025</v>
      </c>
      <c r="B414">
        <v>106</v>
      </c>
      <c r="C414" t="s">
        <v>273</v>
      </c>
      <c r="D414" t="s">
        <v>1247</v>
      </c>
      <c r="G414">
        <v>1</v>
      </c>
      <c r="H414" t="s">
        <v>180</v>
      </c>
      <c r="I414" t="s">
        <v>180</v>
      </c>
      <c r="J414" t="s">
        <v>180</v>
      </c>
      <c r="K414" t="s">
        <v>180</v>
      </c>
      <c r="L414" t="s">
        <v>180</v>
      </c>
      <c r="M414">
        <v>0</v>
      </c>
    </row>
    <row r="415" spans="1:13" x14ac:dyDescent="0.35">
      <c r="A415">
        <v>2025</v>
      </c>
      <c r="B415">
        <v>106</v>
      </c>
      <c r="C415" t="s">
        <v>292</v>
      </c>
      <c r="D415" t="s">
        <v>1247</v>
      </c>
      <c r="G415">
        <v>3</v>
      </c>
      <c r="H415" t="s">
        <v>180</v>
      </c>
      <c r="I415" t="s">
        <v>180</v>
      </c>
      <c r="J415" t="s">
        <v>180</v>
      </c>
      <c r="K415" t="s">
        <v>180</v>
      </c>
      <c r="L415" t="s">
        <v>180</v>
      </c>
      <c r="M415">
        <v>0</v>
      </c>
    </row>
    <row r="416" spans="1:13" x14ac:dyDescent="0.35">
      <c r="A416">
        <v>2025</v>
      </c>
      <c r="B416">
        <v>106</v>
      </c>
      <c r="C416" t="s">
        <v>267</v>
      </c>
      <c r="D416" t="s">
        <v>299</v>
      </c>
      <c r="E416" t="s">
        <v>180</v>
      </c>
      <c r="F416" t="s">
        <v>179</v>
      </c>
      <c r="G416">
        <v>6</v>
      </c>
      <c r="H416" t="s">
        <v>180</v>
      </c>
      <c r="I416" t="s">
        <v>180</v>
      </c>
      <c r="J416" t="s">
        <v>180</v>
      </c>
      <c r="K416" t="s">
        <v>180</v>
      </c>
      <c r="L416" t="s">
        <v>180</v>
      </c>
      <c r="M416">
        <v>0</v>
      </c>
    </row>
    <row r="417" spans="1:14" x14ac:dyDescent="0.35">
      <c r="A417">
        <v>2025</v>
      </c>
      <c r="B417">
        <v>106</v>
      </c>
      <c r="C417" t="s">
        <v>277</v>
      </c>
      <c r="D417" t="s">
        <v>1247</v>
      </c>
      <c r="G417">
        <v>2</v>
      </c>
      <c r="H417" t="s">
        <v>180</v>
      </c>
      <c r="I417" t="s">
        <v>180</v>
      </c>
      <c r="J417" t="s">
        <v>180</v>
      </c>
      <c r="K417" t="s">
        <v>180</v>
      </c>
      <c r="L417" t="s">
        <v>180</v>
      </c>
      <c r="M417">
        <v>0</v>
      </c>
    </row>
    <row r="418" spans="1:14" x14ac:dyDescent="0.35">
      <c r="A418">
        <v>2025</v>
      </c>
      <c r="B418">
        <v>107</v>
      </c>
      <c r="C418" t="s">
        <v>273</v>
      </c>
      <c r="D418" t="s">
        <v>205</v>
      </c>
      <c r="G418">
        <v>0</v>
      </c>
      <c r="H418" t="s">
        <v>205</v>
      </c>
      <c r="I418" t="s">
        <v>205</v>
      </c>
      <c r="J418" t="s">
        <v>205</v>
      </c>
      <c r="K418" t="s">
        <v>205</v>
      </c>
      <c r="L418" t="s">
        <v>205</v>
      </c>
      <c r="M418" t="s">
        <v>205</v>
      </c>
    </row>
    <row r="419" spans="1:14" x14ac:dyDescent="0.35">
      <c r="A419">
        <v>2025</v>
      </c>
      <c r="B419">
        <v>107</v>
      </c>
      <c r="C419" t="s">
        <v>292</v>
      </c>
      <c r="D419" t="s">
        <v>205</v>
      </c>
      <c r="G419">
        <v>0</v>
      </c>
      <c r="H419" t="s">
        <v>205</v>
      </c>
      <c r="I419" t="s">
        <v>205</v>
      </c>
      <c r="J419" t="s">
        <v>205</v>
      </c>
      <c r="K419" t="s">
        <v>205</v>
      </c>
      <c r="L419" t="s">
        <v>205</v>
      </c>
      <c r="M419" t="s">
        <v>205</v>
      </c>
    </row>
    <row r="420" spans="1:14" x14ac:dyDescent="0.35">
      <c r="A420">
        <v>2025</v>
      </c>
      <c r="B420">
        <v>107</v>
      </c>
      <c r="C420" t="s">
        <v>267</v>
      </c>
      <c r="D420" t="s">
        <v>205</v>
      </c>
      <c r="G420">
        <v>0</v>
      </c>
      <c r="H420" t="s">
        <v>205</v>
      </c>
      <c r="I420" t="s">
        <v>205</v>
      </c>
      <c r="J420" t="s">
        <v>205</v>
      </c>
      <c r="K420" t="s">
        <v>205</v>
      </c>
      <c r="L420" t="s">
        <v>205</v>
      </c>
      <c r="M420" t="s">
        <v>205</v>
      </c>
    </row>
    <row r="421" spans="1:14" x14ac:dyDescent="0.35">
      <c r="A421">
        <v>2025</v>
      </c>
      <c r="B421">
        <v>107</v>
      </c>
      <c r="C421" t="s">
        <v>277</v>
      </c>
      <c r="D421" t="s">
        <v>299</v>
      </c>
      <c r="E421" t="s">
        <v>180</v>
      </c>
      <c r="F421" t="s">
        <v>179</v>
      </c>
      <c r="G421">
        <v>3</v>
      </c>
      <c r="H421" t="s">
        <v>180</v>
      </c>
      <c r="I421" t="s">
        <v>180</v>
      </c>
      <c r="J421" t="s">
        <v>179</v>
      </c>
      <c r="K421" t="s">
        <v>180</v>
      </c>
      <c r="L421" t="s">
        <v>180</v>
      </c>
      <c r="M421">
        <v>33</v>
      </c>
    </row>
    <row r="422" spans="1:14" x14ac:dyDescent="0.35">
      <c r="A422">
        <v>2025</v>
      </c>
      <c r="B422">
        <v>108</v>
      </c>
      <c r="C422" t="s">
        <v>273</v>
      </c>
      <c r="D422" t="s">
        <v>205</v>
      </c>
      <c r="G422">
        <v>0</v>
      </c>
      <c r="H422" t="s">
        <v>205</v>
      </c>
      <c r="I422" t="s">
        <v>205</v>
      </c>
      <c r="J422" t="s">
        <v>205</v>
      </c>
      <c r="K422" t="s">
        <v>205</v>
      </c>
      <c r="L422" t="s">
        <v>205</v>
      </c>
      <c r="M422" t="s">
        <v>205</v>
      </c>
    </row>
    <row r="423" spans="1:14" x14ac:dyDescent="0.35">
      <c r="A423">
        <v>2025</v>
      </c>
      <c r="B423">
        <v>108</v>
      </c>
      <c r="C423" t="s">
        <v>292</v>
      </c>
      <c r="D423" t="s">
        <v>205</v>
      </c>
      <c r="G423">
        <v>0</v>
      </c>
      <c r="H423" t="s">
        <v>205</v>
      </c>
      <c r="I423" t="s">
        <v>205</v>
      </c>
      <c r="J423" t="s">
        <v>205</v>
      </c>
      <c r="K423" t="s">
        <v>205</v>
      </c>
      <c r="L423" t="s">
        <v>205</v>
      </c>
      <c r="M423" t="s">
        <v>205</v>
      </c>
    </row>
    <row r="424" spans="1:14" x14ac:dyDescent="0.35">
      <c r="A424">
        <v>2025</v>
      </c>
      <c r="B424">
        <v>108</v>
      </c>
      <c r="C424" t="s">
        <v>267</v>
      </c>
      <c r="D424" t="s">
        <v>205</v>
      </c>
      <c r="G424">
        <v>0</v>
      </c>
      <c r="H424" t="s">
        <v>205</v>
      </c>
      <c r="I424" t="s">
        <v>205</v>
      </c>
      <c r="J424" t="s">
        <v>205</v>
      </c>
      <c r="K424" t="s">
        <v>205</v>
      </c>
      <c r="L424" t="s">
        <v>205</v>
      </c>
      <c r="M424" t="s">
        <v>205</v>
      </c>
    </row>
    <row r="425" spans="1:14" x14ac:dyDescent="0.35">
      <c r="A425">
        <v>2025</v>
      </c>
      <c r="B425">
        <v>108</v>
      </c>
      <c r="C425" t="s">
        <v>277</v>
      </c>
      <c r="D425" t="s">
        <v>299</v>
      </c>
      <c r="E425" t="s">
        <v>180</v>
      </c>
      <c r="F425" t="s">
        <v>179</v>
      </c>
      <c r="G425">
        <v>1</v>
      </c>
      <c r="H425" t="s">
        <v>180</v>
      </c>
      <c r="I425" t="s">
        <v>180</v>
      </c>
      <c r="J425" t="s">
        <v>180</v>
      </c>
      <c r="K425" t="s">
        <v>180</v>
      </c>
      <c r="L425" t="s">
        <v>180</v>
      </c>
      <c r="M425">
        <v>0</v>
      </c>
    </row>
    <row r="426" spans="1:14" x14ac:dyDescent="0.35">
      <c r="A426">
        <v>2025</v>
      </c>
      <c r="B426">
        <v>104</v>
      </c>
      <c r="C426" t="s">
        <v>292</v>
      </c>
      <c r="D426" t="s">
        <v>205</v>
      </c>
      <c r="G426">
        <v>0</v>
      </c>
      <c r="H426" t="s">
        <v>205</v>
      </c>
      <c r="I426" t="s">
        <v>205</v>
      </c>
      <c r="J426" t="s">
        <v>205</v>
      </c>
      <c r="K426" t="s">
        <v>205</v>
      </c>
      <c r="L426" t="s">
        <v>205</v>
      </c>
      <c r="M426" t="s">
        <v>205</v>
      </c>
    </row>
    <row r="427" spans="1:14" x14ac:dyDescent="0.35">
      <c r="A427">
        <v>2025</v>
      </c>
      <c r="B427">
        <v>104</v>
      </c>
      <c r="C427" t="s">
        <v>273</v>
      </c>
      <c r="D427" t="s">
        <v>299</v>
      </c>
      <c r="E427" t="s">
        <v>180</v>
      </c>
      <c r="F427" t="s">
        <v>179</v>
      </c>
      <c r="G427">
        <v>2</v>
      </c>
      <c r="H427" t="s">
        <v>180</v>
      </c>
      <c r="I427" t="s">
        <v>180</v>
      </c>
      <c r="J427" t="s">
        <v>180</v>
      </c>
      <c r="K427" t="s">
        <v>180</v>
      </c>
      <c r="L427" t="s">
        <v>180</v>
      </c>
      <c r="M427">
        <v>0</v>
      </c>
    </row>
    <row r="428" spans="1:14" x14ac:dyDescent="0.35">
      <c r="A428">
        <v>2025</v>
      </c>
      <c r="B428">
        <v>104</v>
      </c>
      <c r="C428" t="s">
        <v>277</v>
      </c>
      <c r="D428" t="s">
        <v>299</v>
      </c>
      <c r="E428" t="s">
        <v>180</v>
      </c>
      <c r="F428" t="s">
        <v>179</v>
      </c>
      <c r="G428">
        <v>3</v>
      </c>
      <c r="H428" t="s">
        <v>180</v>
      </c>
      <c r="I428" t="s">
        <v>180</v>
      </c>
      <c r="J428" t="s">
        <v>180</v>
      </c>
      <c r="K428" t="s">
        <v>179</v>
      </c>
      <c r="L428" t="s">
        <v>180</v>
      </c>
      <c r="M428">
        <v>33</v>
      </c>
      <c r="N428" t="s">
        <v>1248</v>
      </c>
    </row>
    <row r="429" spans="1:14" x14ac:dyDescent="0.35">
      <c r="A429">
        <v>2025</v>
      </c>
      <c r="B429">
        <v>104</v>
      </c>
      <c r="C429" t="s">
        <v>267</v>
      </c>
      <c r="D429" t="s">
        <v>299</v>
      </c>
      <c r="E429" t="s">
        <v>180</v>
      </c>
      <c r="F429" t="s">
        <v>179</v>
      </c>
      <c r="G429">
        <v>3</v>
      </c>
      <c r="H429" t="s">
        <v>180</v>
      </c>
      <c r="I429" t="s">
        <v>180</v>
      </c>
      <c r="J429" t="s">
        <v>180</v>
      </c>
      <c r="K429" t="s">
        <v>180</v>
      </c>
      <c r="L429" t="s">
        <v>180</v>
      </c>
      <c r="M429">
        <v>0</v>
      </c>
    </row>
    <row r="430" spans="1:14" x14ac:dyDescent="0.35">
      <c r="A430">
        <v>2025</v>
      </c>
      <c r="B430">
        <v>103</v>
      </c>
      <c r="C430" t="s">
        <v>273</v>
      </c>
      <c r="D430" t="s">
        <v>205</v>
      </c>
      <c r="G430">
        <v>0</v>
      </c>
      <c r="H430" t="s">
        <v>205</v>
      </c>
      <c r="I430" t="s">
        <v>205</v>
      </c>
      <c r="J430" t="s">
        <v>205</v>
      </c>
      <c r="K430" t="s">
        <v>205</v>
      </c>
      <c r="L430" t="s">
        <v>205</v>
      </c>
      <c r="M430" t="s">
        <v>205</v>
      </c>
    </row>
    <row r="431" spans="1:14" x14ac:dyDescent="0.35">
      <c r="A431">
        <v>2025</v>
      </c>
      <c r="B431">
        <v>103</v>
      </c>
      <c r="C431" t="s">
        <v>292</v>
      </c>
      <c r="D431" t="s">
        <v>205</v>
      </c>
      <c r="G431">
        <v>0</v>
      </c>
      <c r="H431" t="s">
        <v>205</v>
      </c>
      <c r="I431" t="s">
        <v>205</v>
      </c>
      <c r="J431" t="s">
        <v>205</v>
      </c>
      <c r="K431" t="s">
        <v>205</v>
      </c>
      <c r="L431" t="s">
        <v>205</v>
      </c>
      <c r="M431" t="s">
        <v>205</v>
      </c>
    </row>
    <row r="432" spans="1:14" x14ac:dyDescent="0.35">
      <c r="A432">
        <v>2025</v>
      </c>
      <c r="B432">
        <v>103</v>
      </c>
      <c r="C432" t="s">
        <v>267</v>
      </c>
      <c r="D432" t="s">
        <v>205</v>
      </c>
      <c r="G432">
        <v>0</v>
      </c>
      <c r="H432" t="s">
        <v>205</v>
      </c>
      <c r="I432" t="s">
        <v>205</v>
      </c>
      <c r="J432" t="s">
        <v>205</v>
      </c>
      <c r="K432" t="s">
        <v>205</v>
      </c>
      <c r="L432" t="s">
        <v>205</v>
      </c>
      <c r="M432" t="s">
        <v>205</v>
      </c>
    </row>
    <row r="433" spans="1:13" x14ac:dyDescent="0.35">
      <c r="A433">
        <v>2025</v>
      </c>
      <c r="B433">
        <v>103</v>
      </c>
      <c r="C433" t="s">
        <v>277</v>
      </c>
      <c r="D433" t="s">
        <v>205</v>
      </c>
      <c r="G433">
        <v>0</v>
      </c>
      <c r="H433" t="s">
        <v>205</v>
      </c>
      <c r="I433" t="s">
        <v>205</v>
      </c>
      <c r="J433" t="s">
        <v>205</v>
      </c>
      <c r="K433" t="s">
        <v>205</v>
      </c>
      <c r="L433" t="s">
        <v>205</v>
      </c>
      <c r="M433" t="s">
        <v>205</v>
      </c>
    </row>
    <row r="434" spans="1:13" x14ac:dyDescent="0.35">
      <c r="A434">
        <v>2025</v>
      </c>
      <c r="B434">
        <v>105</v>
      </c>
      <c r="C434" t="s">
        <v>273</v>
      </c>
      <c r="D434" t="s">
        <v>205</v>
      </c>
      <c r="G434">
        <v>0</v>
      </c>
      <c r="H434" t="s">
        <v>205</v>
      </c>
      <c r="I434" t="s">
        <v>205</v>
      </c>
      <c r="J434" t="s">
        <v>205</v>
      </c>
      <c r="K434" t="s">
        <v>205</v>
      </c>
      <c r="L434" t="s">
        <v>205</v>
      </c>
      <c r="M434" t="s">
        <v>205</v>
      </c>
    </row>
    <row r="435" spans="1:13" x14ac:dyDescent="0.35">
      <c r="A435">
        <v>2025</v>
      </c>
      <c r="B435">
        <v>105</v>
      </c>
      <c r="C435" t="s">
        <v>292</v>
      </c>
      <c r="D435" t="s">
        <v>205</v>
      </c>
      <c r="G435">
        <v>0</v>
      </c>
      <c r="H435" t="s">
        <v>205</v>
      </c>
      <c r="I435" t="s">
        <v>205</v>
      </c>
      <c r="J435" t="s">
        <v>205</v>
      </c>
      <c r="K435" t="s">
        <v>205</v>
      </c>
      <c r="L435" t="s">
        <v>205</v>
      </c>
      <c r="M435" t="s">
        <v>205</v>
      </c>
    </row>
    <row r="436" spans="1:13" x14ac:dyDescent="0.35">
      <c r="A436">
        <v>2025</v>
      </c>
      <c r="B436">
        <v>105</v>
      </c>
      <c r="C436" t="s">
        <v>267</v>
      </c>
      <c r="D436" t="s">
        <v>299</v>
      </c>
      <c r="E436" t="s">
        <v>180</v>
      </c>
      <c r="F436" t="s">
        <v>179</v>
      </c>
      <c r="G436">
        <v>1</v>
      </c>
    </row>
    <row r="437" spans="1:13" x14ac:dyDescent="0.35">
      <c r="A437">
        <v>2025</v>
      </c>
      <c r="B437">
        <v>105</v>
      </c>
      <c r="C437" t="s">
        <v>277</v>
      </c>
      <c r="D437" t="s">
        <v>205</v>
      </c>
      <c r="G437">
        <v>0</v>
      </c>
      <c r="H437" t="s">
        <v>205</v>
      </c>
      <c r="I437" t="s">
        <v>205</v>
      </c>
      <c r="J437" t="s">
        <v>205</v>
      </c>
      <c r="K437" t="s">
        <v>205</v>
      </c>
      <c r="L437" t="s">
        <v>205</v>
      </c>
      <c r="M437" t="s">
        <v>205</v>
      </c>
    </row>
    <row r="438" spans="1:13" x14ac:dyDescent="0.35">
      <c r="A438">
        <v>2025</v>
      </c>
      <c r="B438">
        <v>61</v>
      </c>
      <c r="C438" t="s">
        <v>273</v>
      </c>
      <c r="D438" t="s">
        <v>299</v>
      </c>
      <c r="E438" t="s">
        <v>180</v>
      </c>
      <c r="F438" t="s">
        <v>179</v>
      </c>
      <c r="G438">
        <v>1</v>
      </c>
      <c r="H438" t="s">
        <v>180</v>
      </c>
      <c r="I438" t="s">
        <v>180</v>
      </c>
      <c r="J438" t="s">
        <v>179</v>
      </c>
      <c r="K438" t="s">
        <v>180</v>
      </c>
      <c r="L438" t="s">
        <v>180</v>
      </c>
      <c r="M438">
        <v>100</v>
      </c>
    </row>
    <row r="439" spans="1:13" x14ac:dyDescent="0.35">
      <c r="A439">
        <v>2025</v>
      </c>
      <c r="B439">
        <v>61</v>
      </c>
      <c r="C439" t="s">
        <v>292</v>
      </c>
      <c r="D439" t="s">
        <v>299</v>
      </c>
      <c r="E439" t="s">
        <v>180</v>
      </c>
      <c r="F439" t="s">
        <v>179</v>
      </c>
      <c r="G439">
        <v>1</v>
      </c>
      <c r="H439" t="s">
        <v>180</v>
      </c>
      <c r="I439" t="s">
        <v>180</v>
      </c>
      <c r="J439" t="s">
        <v>180</v>
      </c>
      <c r="K439" t="s">
        <v>180</v>
      </c>
      <c r="L439" t="s">
        <v>180</v>
      </c>
      <c r="M439">
        <v>0</v>
      </c>
    </row>
    <row r="440" spans="1:13" x14ac:dyDescent="0.35">
      <c r="A440">
        <v>2025</v>
      </c>
      <c r="B440">
        <v>61</v>
      </c>
      <c r="C440" t="s">
        <v>267</v>
      </c>
      <c r="D440" t="s">
        <v>299</v>
      </c>
      <c r="E440" t="s">
        <v>180</v>
      </c>
      <c r="F440" t="s">
        <v>179</v>
      </c>
      <c r="G440">
        <v>1</v>
      </c>
      <c r="H440" t="s">
        <v>180</v>
      </c>
      <c r="I440" t="s">
        <v>180</v>
      </c>
      <c r="J440" t="s">
        <v>179</v>
      </c>
      <c r="K440" t="s">
        <v>179</v>
      </c>
      <c r="L440" t="s">
        <v>179</v>
      </c>
      <c r="M440">
        <v>100</v>
      </c>
    </row>
    <row r="441" spans="1:13" x14ac:dyDescent="0.35">
      <c r="A441">
        <v>2025</v>
      </c>
      <c r="B441">
        <v>61</v>
      </c>
      <c r="C441" t="s">
        <v>277</v>
      </c>
      <c r="D441" t="s">
        <v>299</v>
      </c>
      <c r="E441" t="s">
        <v>180</v>
      </c>
      <c r="F441" t="s">
        <v>179</v>
      </c>
      <c r="G441">
        <v>1</v>
      </c>
      <c r="H441" t="s">
        <v>180</v>
      </c>
      <c r="I441" t="s">
        <v>180</v>
      </c>
      <c r="J441" t="s">
        <v>180</v>
      </c>
      <c r="K441" t="s">
        <v>180</v>
      </c>
      <c r="L441" t="s">
        <v>180</v>
      </c>
      <c r="M441">
        <v>0</v>
      </c>
    </row>
    <row r="442" spans="1:13" x14ac:dyDescent="0.35">
      <c r="A442">
        <v>2025</v>
      </c>
      <c r="B442">
        <v>23</v>
      </c>
      <c r="C442" t="s">
        <v>273</v>
      </c>
      <c r="D442" t="s">
        <v>205</v>
      </c>
      <c r="G442">
        <v>0</v>
      </c>
      <c r="H442" t="s">
        <v>205</v>
      </c>
      <c r="I442" t="s">
        <v>205</v>
      </c>
      <c r="J442" t="s">
        <v>205</v>
      </c>
      <c r="K442" t="s">
        <v>205</v>
      </c>
      <c r="L442" t="s">
        <v>205</v>
      </c>
      <c r="M442" t="s">
        <v>205</v>
      </c>
    </row>
    <row r="443" spans="1:13" x14ac:dyDescent="0.35">
      <c r="A443">
        <v>2025</v>
      </c>
      <c r="B443">
        <v>23</v>
      </c>
      <c r="C443" t="s">
        <v>292</v>
      </c>
      <c r="D443" t="s">
        <v>205</v>
      </c>
      <c r="G443">
        <v>0</v>
      </c>
      <c r="H443" t="s">
        <v>205</v>
      </c>
      <c r="I443" t="s">
        <v>205</v>
      </c>
      <c r="J443" t="s">
        <v>205</v>
      </c>
      <c r="K443" t="s">
        <v>205</v>
      </c>
      <c r="L443" t="s">
        <v>205</v>
      </c>
      <c r="M443" t="s">
        <v>205</v>
      </c>
    </row>
    <row r="444" spans="1:13" x14ac:dyDescent="0.35">
      <c r="A444">
        <v>2025</v>
      </c>
      <c r="B444">
        <v>23</v>
      </c>
      <c r="C444" t="s">
        <v>267</v>
      </c>
      <c r="D444" t="s">
        <v>205</v>
      </c>
      <c r="G444">
        <v>0</v>
      </c>
      <c r="H444" t="s">
        <v>205</v>
      </c>
      <c r="I444" t="s">
        <v>205</v>
      </c>
      <c r="J444" t="s">
        <v>205</v>
      </c>
      <c r="K444" t="s">
        <v>205</v>
      </c>
      <c r="L444" t="s">
        <v>205</v>
      </c>
      <c r="M444" t="s">
        <v>205</v>
      </c>
    </row>
    <row r="445" spans="1:13" x14ac:dyDescent="0.35">
      <c r="A445">
        <v>2025</v>
      </c>
      <c r="B445">
        <v>23</v>
      </c>
      <c r="C445" t="s">
        <v>277</v>
      </c>
      <c r="D445" t="s">
        <v>205</v>
      </c>
      <c r="G445">
        <v>0</v>
      </c>
      <c r="H445" t="s">
        <v>205</v>
      </c>
      <c r="I445" t="s">
        <v>205</v>
      </c>
      <c r="J445" t="s">
        <v>205</v>
      </c>
      <c r="K445" t="s">
        <v>205</v>
      </c>
      <c r="L445" t="s">
        <v>205</v>
      </c>
      <c r="M445" t="s">
        <v>205</v>
      </c>
    </row>
    <row r="446" spans="1:13" x14ac:dyDescent="0.35">
      <c r="A446">
        <v>2025</v>
      </c>
      <c r="B446">
        <v>66</v>
      </c>
      <c r="C446" t="s">
        <v>273</v>
      </c>
      <c r="D446" t="s">
        <v>299</v>
      </c>
      <c r="E446" t="s">
        <v>180</v>
      </c>
      <c r="F446" t="s">
        <v>179</v>
      </c>
      <c r="G446">
        <v>1</v>
      </c>
      <c r="H446" t="s">
        <v>180</v>
      </c>
      <c r="I446" t="s">
        <v>180</v>
      </c>
      <c r="J446" t="s">
        <v>180</v>
      </c>
      <c r="K446" t="s">
        <v>180</v>
      </c>
      <c r="L446" t="s">
        <v>180</v>
      </c>
      <c r="M446">
        <v>0</v>
      </c>
    </row>
    <row r="447" spans="1:13" x14ac:dyDescent="0.35">
      <c r="A447">
        <v>2025</v>
      </c>
      <c r="B447">
        <v>66</v>
      </c>
      <c r="C447" t="s">
        <v>292</v>
      </c>
      <c r="D447" t="s">
        <v>299</v>
      </c>
      <c r="E447" t="s">
        <v>180</v>
      </c>
      <c r="F447" t="s">
        <v>179</v>
      </c>
      <c r="G447">
        <v>7</v>
      </c>
      <c r="H447" t="s">
        <v>180</v>
      </c>
      <c r="I447" t="s">
        <v>180</v>
      </c>
      <c r="J447" t="s">
        <v>179</v>
      </c>
      <c r="K447" t="s">
        <v>179</v>
      </c>
      <c r="L447" t="s">
        <v>179</v>
      </c>
      <c r="M447">
        <f>4/7</f>
        <v>0.5714285714285714</v>
      </c>
    </row>
    <row r="448" spans="1:13" x14ac:dyDescent="0.35">
      <c r="A448">
        <v>2025</v>
      </c>
      <c r="B448">
        <v>66</v>
      </c>
      <c r="C448" t="s">
        <v>267</v>
      </c>
      <c r="D448" t="s">
        <v>299</v>
      </c>
      <c r="E448" t="s">
        <v>180</v>
      </c>
      <c r="F448" t="s">
        <v>179</v>
      </c>
      <c r="G448">
        <v>1</v>
      </c>
      <c r="H448" t="s">
        <v>180</v>
      </c>
      <c r="I448" t="s">
        <v>180</v>
      </c>
      <c r="J448" t="s">
        <v>180</v>
      </c>
      <c r="K448" t="s">
        <v>179</v>
      </c>
      <c r="L448" t="s">
        <v>180</v>
      </c>
      <c r="M448">
        <v>100</v>
      </c>
    </row>
    <row r="449" spans="1:13" x14ac:dyDescent="0.35">
      <c r="A449">
        <v>2025</v>
      </c>
      <c r="B449">
        <v>66</v>
      </c>
      <c r="C449" t="s">
        <v>277</v>
      </c>
      <c r="D449" t="s">
        <v>205</v>
      </c>
      <c r="G449">
        <v>0</v>
      </c>
      <c r="H449" t="s">
        <v>205</v>
      </c>
      <c r="I449" t="s">
        <v>205</v>
      </c>
      <c r="J449" t="s">
        <v>205</v>
      </c>
      <c r="K449" t="s">
        <v>205</v>
      </c>
      <c r="L449" t="s">
        <v>205</v>
      </c>
      <c r="M449" t="s">
        <v>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EDCB-EB20-4A27-B5F9-562B1BCB4799}">
  <dimension ref="A1:U506"/>
  <sheetViews>
    <sheetView workbookViewId="0">
      <pane ySplit="1" topLeftCell="A440" activePane="bottomLeft" state="frozen"/>
      <selection pane="bottomLeft" activeCell="A478" sqref="A478"/>
    </sheetView>
  </sheetViews>
  <sheetFormatPr defaultRowHeight="14.5" x14ac:dyDescent="0.35"/>
  <cols>
    <col min="1" max="1" width="21.36328125" customWidth="1"/>
    <col min="2" max="2" width="5.90625" customWidth="1"/>
    <col min="3" max="3" width="4.1796875" customWidth="1"/>
    <col min="4" max="4" width="6" customWidth="1"/>
    <col min="5" max="5" width="10" customWidth="1"/>
    <col min="6" max="6" width="15.6328125" customWidth="1"/>
    <col min="7" max="7" width="5.453125" customWidth="1"/>
    <col min="8" max="8" width="4.54296875" customWidth="1"/>
    <col min="9" max="9" width="5.1796875" customWidth="1"/>
    <col min="10" max="10" width="5" customWidth="1"/>
    <col min="11" max="11" width="5.1796875" customWidth="1"/>
    <col min="12" max="12" width="7.08984375" customWidth="1"/>
    <col min="13" max="13" width="7.54296875" customWidth="1"/>
    <col min="14" max="14" width="6.08984375" customWidth="1"/>
    <col min="15" max="15" width="5.26953125" customWidth="1"/>
    <col min="16" max="16" width="5.7265625" customWidth="1"/>
    <col min="17" max="17" width="4.81640625" customWidth="1"/>
    <col min="18" max="18" width="22.26953125" customWidth="1"/>
    <col min="19" max="19" width="29.26953125" customWidth="1"/>
    <col min="20" max="20" width="4.08984375" customWidth="1"/>
    <col min="21" max="21" width="12.08984375" customWidth="1"/>
    <col min="22" max="22" width="21.1796875" customWidth="1"/>
  </cols>
  <sheetData>
    <row r="1" spans="1:21" s="2" customFormat="1" ht="13" customHeight="1" x14ac:dyDescent="0.35">
      <c r="A1" s="2" t="s">
        <v>1231</v>
      </c>
      <c r="B1" s="2" t="s">
        <v>2</v>
      </c>
      <c r="C1" s="2" t="s">
        <v>49</v>
      </c>
      <c r="D1" s="2" t="s">
        <v>70</v>
      </c>
      <c r="E1" s="2" t="s">
        <v>71</v>
      </c>
      <c r="F1" s="2" t="s">
        <v>50</v>
      </c>
      <c r="G1" s="2" t="s">
        <v>77</v>
      </c>
      <c r="H1" s="2" t="s">
        <v>79</v>
      </c>
      <c r="I1" s="2" t="s">
        <v>81</v>
      </c>
      <c r="J1" s="2" t="s">
        <v>57</v>
      </c>
      <c r="K1" s="2" t="s">
        <v>58</v>
      </c>
      <c r="L1" s="2" t="s">
        <v>83</v>
      </c>
      <c r="M1" s="2" t="s">
        <v>62</v>
      </c>
      <c r="N1" s="2" t="s">
        <v>63</v>
      </c>
      <c r="O1" s="2" t="s">
        <v>84</v>
      </c>
      <c r="P1" s="2" t="s">
        <v>85</v>
      </c>
      <c r="Q1" s="2" t="s">
        <v>87</v>
      </c>
      <c r="R1" s="2" t="s">
        <v>73</v>
      </c>
      <c r="S1" s="2" t="s">
        <v>88</v>
      </c>
      <c r="T1" s="2" t="s">
        <v>75</v>
      </c>
      <c r="U1" s="2" t="s">
        <v>89</v>
      </c>
    </row>
    <row r="2" spans="1:21" s="2" customFormat="1" ht="16" customHeight="1" x14ac:dyDescent="0.35">
      <c r="A2">
        <v>2024</v>
      </c>
      <c r="B2" s="2">
        <v>1</v>
      </c>
      <c r="C2" s="2" t="s">
        <v>296</v>
      </c>
      <c r="D2" t="s">
        <v>205</v>
      </c>
      <c r="E2" t="s">
        <v>205</v>
      </c>
      <c r="F2" s="2" t="s">
        <v>205</v>
      </c>
      <c r="G2" t="s">
        <v>205</v>
      </c>
      <c r="H2" t="s">
        <v>205</v>
      </c>
      <c r="I2" t="s">
        <v>205</v>
      </c>
      <c r="J2" t="s">
        <v>205</v>
      </c>
      <c r="K2" t="s">
        <v>205</v>
      </c>
      <c r="L2" t="s">
        <v>205</v>
      </c>
      <c r="M2" t="s">
        <v>205</v>
      </c>
      <c r="N2" t="s">
        <v>205</v>
      </c>
      <c r="O2" t="s">
        <v>205</v>
      </c>
      <c r="P2" t="s">
        <v>205</v>
      </c>
      <c r="Q2" t="s">
        <v>205</v>
      </c>
      <c r="R2" t="s">
        <v>205</v>
      </c>
      <c r="S2" t="s">
        <v>205</v>
      </c>
      <c r="T2" t="s">
        <v>205</v>
      </c>
      <c r="U2" s="2" t="s">
        <v>205</v>
      </c>
    </row>
    <row r="3" spans="1:21" x14ac:dyDescent="0.35">
      <c r="A3">
        <v>2024</v>
      </c>
      <c r="B3">
        <v>2</v>
      </c>
      <c r="C3" t="s">
        <v>267</v>
      </c>
      <c r="E3" t="s">
        <v>297</v>
      </c>
      <c r="F3" t="s">
        <v>298</v>
      </c>
      <c r="G3">
        <v>4.0999999999999996</v>
      </c>
      <c r="H3">
        <v>1</v>
      </c>
      <c r="I3" t="s">
        <v>271</v>
      </c>
      <c r="J3" t="s">
        <v>180</v>
      </c>
      <c r="K3" t="s">
        <v>180</v>
      </c>
      <c r="L3" t="s">
        <v>179</v>
      </c>
      <c r="M3" t="s">
        <v>180</v>
      </c>
      <c r="N3" t="s">
        <v>180</v>
      </c>
      <c r="O3" t="s">
        <v>180</v>
      </c>
      <c r="P3">
        <v>0</v>
      </c>
      <c r="Q3">
        <v>0</v>
      </c>
      <c r="R3" t="s">
        <v>205</v>
      </c>
      <c r="U3" t="s">
        <v>205</v>
      </c>
    </row>
    <row r="4" spans="1:21" x14ac:dyDescent="0.35">
      <c r="A4">
        <v>2024</v>
      </c>
      <c r="B4">
        <v>3</v>
      </c>
      <c r="C4" t="s">
        <v>292</v>
      </c>
      <c r="D4">
        <v>180</v>
      </c>
      <c r="E4">
        <v>23.29</v>
      </c>
      <c r="F4" t="s">
        <v>299</v>
      </c>
      <c r="G4">
        <v>11</v>
      </c>
      <c r="H4">
        <v>3</v>
      </c>
      <c r="I4" t="s">
        <v>269</v>
      </c>
      <c r="J4" t="s">
        <v>179</v>
      </c>
      <c r="K4" t="s">
        <v>179</v>
      </c>
      <c r="L4" t="s">
        <v>179</v>
      </c>
      <c r="M4" t="s">
        <v>179</v>
      </c>
      <c r="N4" t="s">
        <v>179</v>
      </c>
      <c r="P4">
        <v>10</v>
      </c>
      <c r="Q4">
        <v>16</v>
      </c>
      <c r="R4" t="s">
        <v>205</v>
      </c>
      <c r="S4" t="s">
        <v>300</v>
      </c>
      <c r="U4" t="s">
        <v>301</v>
      </c>
    </row>
    <row r="5" spans="1:21" x14ac:dyDescent="0.35">
      <c r="A5">
        <v>2024</v>
      </c>
      <c r="B5">
        <v>94</v>
      </c>
      <c r="C5" t="s">
        <v>296</v>
      </c>
      <c r="D5" t="s">
        <v>205</v>
      </c>
      <c r="E5" t="s">
        <v>205</v>
      </c>
      <c r="F5" t="s">
        <v>205</v>
      </c>
      <c r="G5" t="s">
        <v>205</v>
      </c>
      <c r="H5" t="s">
        <v>205</v>
      </c>
      <c r="I5" t="s">
        <v>205</v>
      </c>
      <c r="J5" t="s">
        <v>205</v>
      </c>
      <c r="K5" t="s">
        <v>205</v>
      </c>
      <c r="L5" t="s">
        <v>205</v>
      </c>
      <c r="M5" t="s">
        <v>205</v>
      </c>
      <c r="N5" t="s">
        <v>205</v>
      </c>
      <c r="O5" t="s">
        <v>205</v>
      </c>
      <c r="P5" t="s">
        <v>205</v>
      </c>
      <c r="Q5" t="s">
        <v>205</v>
      </c>
      <c r="R5" t="s">
        <v>205</v>
      </c>
      <c r="S5" t="s">
        <v>205</v>
      </c>
      <c r="T5" t="s">
        <v>205</v>
      </c>
      <c r="U5" t="s">
        <v>205</v>
      </c>
    </row>
    <row r="6" spans="1:21" x14ac:dyDescent="0.35">
      <c r="A6">
        <v>2024</v>
      </c>
      <c r="B6">
        <v>97</v>
      </c>
      <c r="C6" t="s">
        <v>296</v>
      </c>
      <c r="D6" t="s">
        <v>205</v>
      </c>
      <c r="E6" t="s">
        <v>205</v>
      </c>
      <c r="F6" t="s">
        <v>205</v>
      </c>
      <c r="G6" t="s">
        <v>205</v>
      </c>
      <c r="H6" t="s">
        <v>205</v>
      </c>
      <c r="I6" t="s">
        <v>205</v>
      </c>
      <c r="J6" t="s">
        <v>205</v>
      </c>
      <c r="K6" t="s">
        <v>205</v>
      </c>
      <c r="L6" t="s">
        <v>205</v>
      </c>
      <c r="M6" t="s">
        <v>205</v>
      </c>
      <c r="N6" t="s">
        <v>205</v>
      </c>
      <c r="O6" t="s">
        <v>205</v>
      </c>
      <c r="P6" t="s">
        <v>205</v>
      </c>
      <c r="Q6" t="s">
        <v>205</v>
      </c>
      <c r="R6" t="s">
        <v>205</v>
      </c>
      <c r="S6" t="s">
        <v>205</v>
      </c>
      <c r="T6" t="s">
        <v>205</v>
      </c>
      <c r="U6" t="s">
        <v>205</v>
      </c>
    </row>
    <row r="7" spans="1:21" x14ac:dyDescent="0.35">
      <c r="A7">
        <v>2024</v>
      </c>
      <c r="B7">
        <v>98</v>
      </c>
      <c r="C7" t="s">
        <v>296</v>
      </c>
      <c r="D7" t="s">
        <v>205</v>
      </c>
      <c r="E7" t="s">
        <v>205</v>
      </c>
      <c r="F7" t="s">
        <v>205</v>
      </c>
      <c r="G7" t="s">
        <v>205</v>
      </c>
      <c r="H7" t="s">
        <v>205</v>
      </c>
      <c r="I7" t="s">
        <v>205</v>
      </c>
      <c r="J7" t="s">
        <v>205</v>
      </c>
      <c r="K7" t="s">
        <v>205</v>
      </c>
      <c r="L7" t="s">
        <v>205</v>
      </c>
      <c r="M7" t="s">
        <v>205</v>
      </c>
      <c r="N7" t="s">
        <v>205</v>
      </c>
      <c r="O7" t="s">
        <v>205</v>
      </c>
      <c r="P7" t="s">
        <v>205</v>
      </c>
      <c r="Q7" t="s">
        <v>205</v>
      </c>
      <c r="R7" t="s">
        <v>205</v>
      </c>
      <c r="S7" t="s">
        <v>205</v>
      </c>
      <c r="T7" t="s">
        <v>205</v>
      </c>
      <c r="U7" t="s">
        <v>205</v>
      </c>
    </row>
    <row r="8" spans="1:21" x14ac:dyDescent="0.35">
      <c r="A8">
        <v>2024</v>
      </c>
      <c r="B8">
        <v>99</v>
      </c>
      <c r="C8" t="s">
        <v>296</v>
      </c>
      <c r="D8" t="s">
        <v>205</v>
      </c>
      <c r="E8" t="s">
        <v>205</v>
      </c>
      <c r="F8" t="s">
        <v>205</v>
      </c>
      <c r="G8" t="s">
        <v>205</v>
      </c>
      <c r="H8" t="s">
        <v>205</v>
      </c>
      <c r="I8" t="s">
        <v>205</v>
      </c>
      <c r="J8" t="s">
        <v>205</v>
      </c>
      <c r="K8" t="s">
        <v>205</v>
      </c>
      <c r="L8" t="s">
        <v>205</v>
      </c>
      <c r="M8" t="s">
        <v>205</v>
      </c>
      <c r="N8" t="s">
        <v>205</v>
      </c>
      <c r="O8" t="s">
        <v>205</v>
      </c>
      <c r="P8" t="s">
        <v>205</v>
      </c>
      <c r="Q8" t="s">
        <v>205</v>
      </c>
      <c r="R8" t="s">
        <v>205</v>
      </c>
      <c r="S8" t="s">
        <v>205</v>
      </c>
      <c r="T8" t="s">
        <v>205</v>
      </c>
      <c r="U8" t="s">
        <v>205</v>
      </c>
    </row>
    <row r="9" spans="1:21" x14ac:dyDescent="0.35">
      <c r="A9">
        <v>2024</v>
      </c>
      <c r="B9">
        <v>95</v>
      </c>
      <c r="C9" t="s">
        <v>296</v>
      </c>
      <c r="D9" t="s">
        <v>205</v>
      </c>
      <c r="E9" t="s">
        <v>205</v>
      </c>
      <c r="F9" t="s">
        <v>205</v>
      </c>
      <c r="G9" t="s">
        <v>205</v>
      </c>
      <c r="H9" t="s">
        <v>205</v>
      </c>
      <c r="I9" t="s">
        <v>205</v>
      </c>
      <c r="J9" t="s">
        <v>205</v>
      </c>
      <c r="K9" t="s">
        <v>205</v>
      </c>
      <c r="L9" t="s">
        <v>205</v>
      </c>
      <c r="M9" t="s">
        <v>205</v>
      </c>
      <c r="N9" t="s">
        <v>205</v>
      </c>
      <c r="O9" t="s">
        <v>205</v>
      </c>
      <c r="P9" t="s">
        <v>205</v>
      </c>
      <c r="Q9" t="s">
        <v>205</v>
      </c>
      <c r="R9" t="s">
        <v>205</v>
      </c>
      <c r="S9" t="s">
        <v>205</v>
      </c>
      <c r="T9" t="s">
        <v>205</v>
      </c>
      <c r="U9" t="s">
        <v>205</v>
      </c>
    </row>
    <row r="10" spans="1:21" x14ac:dyDescent="0.35">
      <c r="A10">
        <v>2024</v>
      </c>
      <c r="B10">
        <v>49</v>
      </c>
      <c r="C10" t="s">
        <v>296</v>
      </c>
      <c r="D10" t="s">
        <v>205</v>
      </c>
      <c r="E10" t="s">
        <v>205</v>
      </c>
      <c r="F10" t="s">
        <v>205</v>
      </c>
      <c r="G10" t="s">
        <v>205</v>
      </c>
      <c r="H10" t="s">
        <v>205</v>
      </c>
      <c r="I10" t="s">
        <v>205</v>
      </c>
      <c r="J10" t="s">
        <v>205</v>
      </c>
      <c r="K10" t="s">
        <v>205</v>
      </c>
      <c r="L10" t="s">
        <v>205</v>
      </c>
      <c r="M10" t="s">
        <v>205</v>
      </c>
      <c r="N10" t="s">
        <v>205</v>
      </c>
      <c r="O10" t="s">
        <v>205</v>
      </c>
      <c r="P10" t="s">
        <v>205</v>
      </c>
      <c r="Q10" t="s">
        <v>205</v>
      </c>
      <c r="R10" t="s">
        <v>205</v>
      </c>
      <c r="S10" t="s">
        <v>205</v>
      </c>
      <c r="T10" t="s">
        <v>205</v>
      </c>
      <c r="U10" t="s">
        <v>205</v>
      </c>
    </row>
    <row r="11" spans="1:21" x14ac:dyDescent="0.35">
      <c r="A11">
        <v>2024</v>
      </c>
      <c r="B11">
        <v>50</v>
      </c>
      <c r="C11" t="s">
        <v>296</v>
      </c>
      <c r="D11" t="s">
        <v>205</v>
      </c>
      <c r="E11" t="s">
        <v>205</v>
      </c>
      <c r="F11" t="s">
        <v>205</v>
      </c>
      <c r="G11" t="s">
        <v>205</v>
      </c>
      <c r="H11" t="s">
        <v>205</v>
      </c>
      <c r="I11" t="s">
        <v>205</v>
      </c>
      <c r="J11" t="s">
        <v>205</v>
      </c>
      <c r="K11" t="s">
        <v>205</v>
      </c>
      <c r="L11" t="s">
        <v>205</v>
      </c>
      <c r="M11" t="s">
        <v>205</v>
      </c>
      <c r="N11" t="s">
        <v>205</v>
      </c>
      <c r="O11" t="s">
        <v>205</v>
      </c>
      <c r="P11" t="s">
        <v>205</v>
      </c>
      <c r="Q11" t="s">
        <v>205</v>
      </c>
      <c r="R11" t="s">
        <v>205</v>
      </c>
      <c r="S11" t="s">
        <v>205</v>
      </c>
      <c r="T11" t="s">
        <v>205</v>
      </c>
      <c r="U11" t="s">
        <v>205</v>
      </c>
    </row>
    <row r="12" spans="1:21" x14ac:dyDescent="0.35">
      <c r="A12">
        <v>2024</v>
      </c>
      <c r="B12">
        <v>96</v>
      </c>
      <c r="C12" t="s">
        <v>296</v>
      </c>
      <c r="D12" t="s">
        <v>205</v>
      </c>
      <c r="E12" t="s">
        <v>205</v>
      </c>
      <c r="F12" t="s">
        <v>205</v>
      </c>
      <c r="G12" t="s">
        <v>205</v>
      </c>
      <c r="H12" t="s">
        <v>205</v>
      </c>
      <c r="I12" t="s">
        <v>205</v>
      </c>
      <c r="J12" t="s">
        <v>205</v>
      </c>
      <c r="K12" t="s">
        <v>205</v>
      </c>
      <c r="L12" t="s">
        <v>205</v>
      </c>
      <c r="M12" t="s">
        <v>205</v>
      </c>
      <c r="N12" t="s">
        <v>205</v>
      </c>
      <c r="O12" t="s">
        <v>205</v>
      </c>
      <c r="P12" t="s">
        <v>205</v>
      </c>
      <c r="Q12" t="s">
        <v>205</v>
      </c>
      <c r="R12" t="s">
        <v>205</v>
      </c>
      <c r="S12" t="s">
        <v>205</v>
      </c>
      <c r="T12" t="s">
        <v>205</v>
      </c>
      <c r="U12" t="s">
        <v>205</v>
      </c>
    </row>
    <row r="13" spans="1:21" x14ac:dyDescent="0.35">
      <c r="A13">
        <v>2024</v>
      </c>
      <c r="B13">
        <v>53</v>
      </c>
      <c r="C13" t="s">
        <v>273</v>
      </c>
      <c r="D13">
        <v>9</v>
      </c>
      <c r="E13">
        <v>2.42</v>
      </c>
      <c r="F13" t="s">
        <v>298</v>
      </c>
      <c r="G13">
        <v>2.5499999999999998</v>
      </c>
      <c r="H13">
        <v>1</v>
      </c>
      <c r="I13" t="s">
        <v>278</v>
      </c>
      <c r="J13" t="s">
        <v>180</v>
      </c>
      <c r="K13" t="s">
        <v>180</v>
      </c>
      <c r="L13" t="s">
        <v>179</v>
      </c>
      <c r="M13" t="s">
        <v>180</v>
      </c>
      <c r="N13" t="s">
        <v>180</v>
      </c>
      <c r="O13" t="s">
        <v>180</v>
      </c>
      <c r="P13">
        <v>0</v>
      </c>
      <c r="Q13">
        <v>0</v>
      </c>
      <c r="R13" t="s">
        <v>205</v>
      </c>
      <c r="T13">
        <v>7</v>
      </c>
      <c r="U13" t="s">
        <v>205</v>
      </c>
    </row>
    <row r="14" spans="1:21" x14ac:dyDescent="0.35">
      <c r="A14">
        <v>2024</v>
      </c>
      <c r="B14">
        <v>53</v>
      </c>
      <c r="C14" t="s">
        <v>273</v>
      </c>
      <c r="D14">
        <v>30</v>
      </c>
      <c r="E14">
        <v>4.68</v>
      </c>
      <c r="F14" t="s">
        <v>298</v>
      </c>
      <c r="G14">
        <v>2.9</v>
      </c>
      <c r="H14">
        <v>1</v>
      </c>
      <c r="I14" t="s">
        <v>278</v>
      </c>
      <c r="J14" t="s">
        <v>180</v>
      </c>
      <c r="K14" t="s">
        <v>180</v>
      </c>
      <c r="L14" t="s">
        <v>179</v>
      </c>
      <c r="M14" t="s">
        <v>180</v>
      </c>
      <c r="N14" t="s">
        <v>180</v>
      </c>
      <c r="O14" t="s">
        <v>180</v>
      </c>
      <c r="P14">
        <v>0</v>
      </c>
      <c r="Q14">
        <v>0</v>
      </c>
      <c r="R14" t="s">
        <v>205</v>
      </c>
      <c r="T14">
        <v>10</v>
      </c>
      <c r="U14" t="s">
        <v>205</v>
      </c>
    </row>
    <row r="15" spans="1:21" x14ac:dyDescent="0.35">
      <c r="A15">
        <v>2024</v>
      </c>
      <c r="B15">
        <v>53</v>
      </c>
      <c r="C15" t="s">
        <v>273</v>
      </c>
      <c r="D15">
        <v>52</v>
      </c>
      <c r="E15">
        <v>4.47</v>
      </c>
      <c r="F15" t="s">
        <v>298</v>
      </c>
      <c r="G15">
        <v>4.25</v>
      </c>
      <c r="H15">
        <v>1</v>
      </c>
      <c r="I15" t="s">
        <v>278</v>
      </c>
      <c r="J15" t="s">
        <v>180</v>
      </c>
      <c r="K15" t="s">
        <v>180</v>
      </c>
      <c r="L15" t="s">
        <v>179</v>
      </c>
      <c r="M15" t="s">
        <v>180</v>
      </c>
      <c r="N15" t="s">
        <v>180</v>
      </c>
      <c r="O15" t="s">
        <v>180</v>
      </c>
      <c r="P15">
        <v>0</v>
      </c>
      <c r="Q15">
        <v>0</v>
      </c>
      <c r="R15" t="s">
        <v>205</v>
      </c>
      <c r="T15">
        <v>6</v>
      </c>
      <c r="U15" t="s">
        <v>205</v>
      </c>
    </row>
    <row r="16" spans="1:21" x14ac:dyDescent="0.35">
      <c r="A16">
        <v>2024</v>
      </c>
      <c r="B16">
        <v>53</v>
      </c>
      <c r="C16" t="s">
        <v>267</v>
      </c>
      <c r="D16">
        <v>200</v>
      </c>
      <c r="E16">
        <v>9.67</v>
      </c>
      <c r="F16" t="s">
        <v>298</v>
      </c>
      <c r="G16">
        <v>2.5</v>
      </c>
      <c r="H16">
        <v>1</v>
      </c>
      <c r="I16" t="s">
        <v>278</v>
      </c>
      <c r="J16" t="s">
        <v>180</v>
      </c>
      <c r="K16" t="s">
        <v>180</v>
      </c>
      <c r="L16" t="s">
        <v>179</v>
      </c>
      <c r="M16" t="s">
        <v>180</v>
      </c>
      <c r="N16" t="s">
        <v>180</v>
      </c>
      <c r="O16" t="s">
        <v>180</v>
      </c>
      <c r="P16">
        <v>0</v>
      </c>
      <c r="Q16">
        <v>0</v>
      </c>
      <c r="R16" t="s">
        <v>205</v>
      </c>
      <c r="S16" t="s">
        <v>302</v>
      </c>
      <c r="T16">
        <v>5</v>
      </c>
      <c r="U16" t="s">
        <v>205</v>
      </c>
    </row>
    <row r="17" spans="1:21" x14ac:dyDescent="0.35">
      <c r="A17">
        <v>2024</v>
      </c>
      <c r="B17">
        <v>53</v>
      </c>
      <c r="C17" t="s">
        <v>292</v>
      </c>
      <c r="D17">
        <v>144</v>
      </c>
      <c r="E17">
        <v>10.61</v>
      </c>
      <c r="F17" t="s">
        <v>298</v>
      </c>
      <c r="G17">
        <v>3.2</v>
      </c>
      <c r="H17">
        <v>3</v>
      </c>
      <c r="I17" t="s">
        <v>275</v>
      </c>
      <c r="J17" t="s">
        <v>180</v>
      </c>
      <c r="K17" t="s">
        <v>180</v>
      </c>
      <c r="L17" t="s">
        <v>179</v>
      </c>
      <c r="M17" t="s">
        <v>179</v>
      </c>
      <c r="N17" t="s">
        <v>180</v>
      </c>
      <c r="O17" t="s">
        <v>179</v>
      </c>
      <c r="P17">
        <v>0</v>
      </c>
      <c r="Q17">
        <v>0</v>
      </c>
      <c r="R17" t="s">
        <v>205</v>
      </c>
      <c r="S17" t="s">
        <v>303</v>
      </c>
      <c r="T17">
        <v>4</v>
      </c>
      <c r="U17" t="s">
        <v>301</v>
      </c>
    </row>
    <row r="18" spans="1:21" x14ac:dyDescent="0.35">
      <c r="A18">
        <v>2024</v>
      </c>
      <c r="B18">
        <v>53</v>
      </c>
      <c r="C18" t="s">
        <v>267</v>
      </c>
      <c r="D18">
        <v>244</v>
      </c>
      <c r="E18">
        <v>15.64</v>
      </c>
      <c r="F18" t="s">
        <v>298</v>
      </c>
      <c r="G18">
        <v>6.65</v>
      </c>
      <c r="H18">
        <v>1</v>
      </c>
      <c r="I18" t="s">
        <v>275</v>
      </c>
      <c r="J18" t="s">
        <v>180</v>
      </c>
      <c r="K18" t="s">
        <v>180</v>
      </c>
      <c r="L18" t="s">
        <v>180</v>
      </c>
      <c r="M18" t="s">
        <v>179</v>
      </c>
      <c r="N18" t="s">
        <v>180</v>
      </c>
      <c r="O18" t="s">
        <v>180</v>
      </c>
      <c r="P18">
        <v>0</v>
      </c>
      <c r="Q18">
        <v>0</v>
      </c>
      <c r="R18" t="s">
        <v>205</v>
      </c>
      <c r="T18">
        <v>5</v>
      </c>
      <c r="U18" t="s">
        <v>301</v>
      </c>
    </row>
    <row r="19" spans="1:21" x14ac:dyDescent="0.35">
      <c r="A19">
        <v>2024</v>
      </c>
      <c r="B19">
        <v>53</v>
      </c>
      <c r="C19" t="s">
        <v>267</v>
      </c>
      <c r="E19">
        <v>21.92</v>
      </c>
      <c r="F19" t="s">
        <v>298</v>
      </c>
      <c r="G19">
        <v>4.5</v>
      </c>
      <c r="H19">
        <v>3</v>
      </c>
      <c r="I19" t="s">
        <v>275</v>
      </c>
      <c r="J19" t="s">
        <v>180</v>
      </c>
      <c r="K19" t="s">
        <v>180</v>
      </c>
      <c r="L19" t="s">
        <v>179</v>
      </c>
      <c r="M19" t="s">
        <v>179</v>
      </c>
      <c r="N19" t="s">
        <v>179</v>
      </c>
      <c r="O19" t="s">
        <v>180</v>
      </c>
      <c r="P19">
        <v>0</v>
      </c>
      <c r="Q19">
        <v>0</v>
      </c>
      <c r="R19" t="s">
        <v>205</v>
      </c>
      <c r="T19">
        <v>7</v>
      </c>
      <c r="U19" t="s">
        <v>301</v>
      </c>
    </row>
    <row r="20" spans="1:21" x14ac:dyDescent="0.35">
      <c r="A20">
        <v>2024</v>
      </c>
      <c r="B20">
        <v>53</v>
      </c>
      <c r="C20" t="s">
        <v>267</v>
      </c>
      <c r="E20">
        <v>24.19</v>
      </c>
      <c r="F20" t="s">
        <v>298</v>
      </c>
      <c r="G20">
        <v>6.65</v>
      </c>
      <c r="H20">
        <v>2</v>
      </c>
      <c r="I20" t="s">
        <v>275</v>
      </c>
      <c r="J20" t="s">
        <v>180</v>
      </c>
      <c r="K20" t="s">
        <v>180</v>
      </c>
      <c r="L20" t="s">
        <v>179</v>
      </c>
      <c r="M20" t="s">
        <v>179</v>
      </c>
      <c r="N20" t="s">
        <v>180</v>
      </c>
      <c r="O20" t="s">
        <v>180</v>
      </c>
      <c r="P20">
        <v>0</v>
      </c>
      <c r="Q20">
        <v>0</v>
      </c>
      <c r="R20" t="s">
        <v>205</v>
      </c>
      <c r="U20" t="s">
        <v>301</v>
      </c>
    </row>
    <row r="21" spans="1:21" x14ac:dyDescent="0.35">
      <c r="A21">
        <v>2024</v>
      </c>
      <c r="B21">
        <v>53</v>
      </c>
      <c r="C21" t="s">
        <v>267</v>
      </c>
      <c r="E21">
        <v>24.62</v>
      </c>
      <c r="F21" t="s">
        <v>298</v>
      </c>
      <c r="G21">
        <v>5.45</v>
      </c>
      <c r="H21">
        <v>5</v>
      </c>
      <c r="I21" t="s">
        <v>275</v>
      </c>
      <c r="J21" t="s">
        <v>179</v>
      </c>
      <c r="K21" t="s">
        <v>179</v>
      </c>
      <c r="L21" t="s">
        <v>179</v>
      </c>
      <c r="M21" t="s">
        <v>179</v>
      </c>
      <c r="N21" t="s">
        <v>179</v>
      </c>
      <c r="O21" t="s">
        <v>180</v>
      </c>
      <c r="P21">
        <v>0</v>
      </c>
      <c r="Q21">
        <v>0</v>
      </c>
      <c r="R21" t="s">
        <v>205</v>
      </c>
      <c r="T21">
        <v>4</v>
      </c>
      <c r="U21" t="s">
        <v>301</v>
      </c>
    </row>
    <row r="22" spans="1:21" x14ac:dyDescent="0.35">
      <c r="A22">
        <v>2024</v>
      </c>
      <c r="B22">
        <v>53</v>
      </c>
      <c r="C22" t="s">
        <v>267</v>
      </c>
      <c r="D22">
        <v>262</v>
      </c>
      <c r="E22">
        <v>21.02</v>
      </c>
      <c r="F22" t="s">
        <v>298</v>
      </c>
      <c r="G22">
        <v>4.0999999999999996</v>
      </c>
      <c r="H22">
        <v>1</v>
      </c>
      <c r="I22" t="s">
        <v>278</v>
      </c>
      <c r="J22" t="s">
        <v>180</v>
      </c>
      <c r="K22" t="s">
        <v>180</v>
      </c>
      <c r="L22" t="s">
        <v>179</v>
      </c>
      <c r="M22" t="s">
        <v>180</v>
      </c>
      <c r="N22" t="s">
        <v>180</v>
      </c>
      <c r="O22" t="s">
        <v>180</v>
      </c>
      <c r="P22">
        <v>0</v>
      </c>
      <c r="Q22">
        <v>0</v>
      </c>
      <c r="R22" t="s">
        <v>205</v>
      </c>
      <c r="T22">
        <v>6</v>
      </c>
      <c r="U22" t="s">
        <v>205</v>
      </c>
    </row>
    <row r="23" spans="1:21" x14ac:dyDescent="0.35">
      <c r="A23">
        <v>2024</v>
      </c>
      <c r="B23">
        <v>53</v>
      </c>
      <c r="C23" t="s">
        <v>277</v>
      </c>
      <c r="E23">
        <v>25.25</v>
      </c>
      <c r="F23" t="s">
        <v>298</v>
      </c>
      <c r="G23">
        <v>8.85</v>
      </c>
      <c r="H23">
        <v>4</v>
      </c>
      <c r="I23" t="s">
        <v>269</v>
      </c>
      <c r="J23" t="s">
        <v>179</v>
      </c>
      <c r="K23" t="s">
        <v>179</v>
      </c>
      <c r="L23" t="s">
        <v>179</v>
      </c>
      <c r="M23" t="s">
        <v>179</v>
      </c>
      <c r="N23" t="s">
        <v>179</v>
      </c>
      <c r="O23" t="s">
        <v>180</v>
      </c>
      <c r="P23">
        <v>3</v>
      </c>
      <c r="Q23">
        <v>7</v>
      </c>
      <c r="R23" t="s">
        <v>205</v>
      </c>
      <c r="U23" t="s">
        <v>301</v>
      </c>
    </row>
    <row r="24" spans="1:21" x14ac:dyDescent="0.35">
      <c r="A24">
        <v>2024</v>
      </c>
      <c r="B24">
        <v>53</v>
      </c>
      <c r="C24" t="s">
        <v>277</v>
      </c>
      <c r="D24">
        <v>322</v>
      </c>
      <c r="E24">
        <v>16.27</v>
      </c>
      <c r="F24" t="s">
        <v>298</v>
      </c>
      <c r="G24">
        <v>2.5</v>
      </c>
      <c r="H24">
        <v>2</v>
      </c>
      <c r="I24" t="s">
        <v>278</v>
      </c>
      <c r="J24" t="s">
        <v>180</v>
      </c>
      <c r="K24" t="s">
        <v>180</v>
      </c>
      <c r="L24" t="s">
        <v>179</v>
      </c>
      <c r="M24" t="s">
        <v>179</v>
      </c>
      <c r="N24" t="s">
        <v>180</v>
      </c>
      <c r="O24" t="s">
        <v>180</v>
      </c>
      <c r="P24">
        <v>0</v>
      </c>
      <c r="Q24">
        <v>0</v>
      </c>
      <c r="R24" t="s">
        <v>205</v>
      </c>
      <c r="S24" t="s">
        <v>304</v>
      </c>
      <c r="U24" t="s">
        <v>301</v>
      </c>
    </row>
    <row r="25" spans="1:21" x14ac:dyDescent="0.35">
      <c r="A25">
        <v>2024</v>
      </c>
      <c r="B25">
        <v>53</v>
      </c>
      <c r="C25" t="s">
        <v>277</v>
      </c>
      <c r="D25">
        <v>293</v>
      </c>
      <c r="E25">
        <v>16.97</v>
      </c>
      <c r="F25" t="s">
        <v>298</v>
      </c>
      <c r="G25">
        <v>2.9</v>
      </c>
      <c r="H25">
        <v>2</v>
      </c>
      <c r="I25" t="s">
        <v>278</v>
      </c>
      <c r="J25" t="s">
        <v>180</v>
      </c>
      <c r="K25" t="s">
        <v>180</v>
      </c>
      <c r="L25" t="s">
        <v>179</v>
      </c>
      <c r="M25" t="s">
        <v>179</v>
      </c>
      <c r="N25" t="s">
        <v>180</v>
      </c>
      <c r="O25" t="s">
        <v>180</v>
      </c>
      <c r="P25">
        <v>0</v>
      </c>
      <c r="Q25">
        <v>0</v>
      </c>
      <c r="R25" t="s">
        <v>205</v>
      </c>
      <c r="U25" t="s">
        <v>301</v>
      </c>
    </row>
    <row r="26" spans="1:21" x14ac:dyDescent="0.35">
      <c r="A26">
        <v>2024</v>
      </c>
      <c r="B26">
        <v>53</v>
      </c>
      <c r="C26" t="s">
        <v>277</v>
      </c>
      <c r="D26">
        <v>301</v>
      </c>
      <c r="E26">
        <v>16.079999999999998</v>
      </c>
      <c r="F26" t="s">
        <v>298</v>
      </c>
      <c r="G26">
        <v>6</v>
      </c>
      <c r="H26">
        <v>2</v>
      </c>
      <c r="I26" t="s">
        <v>278</v>
      </c>
      <c r="J26" t="s">
        <v>180</v>
      </c>
      <c r="K26" t="s">
        <v>180</v>
      </c>
      <c r="L26" t="s">
        <v>179</v>
      </c>
      <c r="M26" t="s">
        <v>180</v>
      </c>
      <c r="N26" t="s">
        <v>180</v>
      </c>
      <c r="O26" t="s">
        <v>180</v>
      </c>
      <c r="P26">
        <v>0</v>
      </c>
      <c r="Q26">
        <v>0</v>
      </c>
      <c r="R26" t="s">
        <v>205</v>
      </c>
      <c r="U26" t="s">
        <v>205</v>
      </c>
    </row>
    <row r="27" spans="1:21" x14ac:dyDescent="0.35">
      <c r="A27">
        <v>2024</v>
      </c>
      <c r="B27">
        <v>53</v>
      </c>
      <c r="C27" t="s">
        <v>277</v>
      </c>
      <c r="D27">
        <v>304</v>
      </c>
      <c r="E27">
        <v>16.2</v>
      </c>
      <c r="F27" t="s">
        <v>298</v>
      </c>
      <c r="G27">
        <v>3.5</v>
      </c>
      <c r="H27">
        <v>1</v>
      </c>
      <c r="I27" t="s">
        <v>275</v>
      </c>
      <c r="J27" t="s">
        <v>180</v>
      </c>
      <c r="K27" t="s">
        <v>180</v>
      </c>
      <c r="L27" t="s">
        <v>180</v>
      </c>
      <c r="M27" t="s">
        <v>179</v>
      </c>
      <c r="N27" t="s">
        <v>180</v>
      </c>
      <c r="O27" t="s">
        <v>180</v>
      </c>
      <c r="P27">
        <v>0</v>
      </c>
      <c r="Q27">
        <v>0</v>
      </c>
      <c r="R27" t="s">
        <v>205</v>
      </c>
      <c r="U27" t="s">
        <v>301</v>
      </c>
    </row>
    <row r="28" spans="1:21" x14ac:dyDescent="0.35">
      <c r="A28">
        <v>2024</v>
      </c>
      <c r="B28">
        <v>53</v>
      </c>
      <c r="C28" t="s">
        <v>277</v>
      </c>
      <c r="D28">
        <v>296</v>
      </c>
      <c r="E28">
        <v>15.1</v>
      </c>
      <c r="F28" t="s">
        <v>298</v>
      </c>
      <c r="G28">
        <v>3.5</v>
      </c>
      <c r="H28">
        <v>4</v>
      </c>
      <c r="I28" t="s">
        <v>275</v>
      </c>
      <c r="J28" t="s">
        <v>180</v>
      </c>
      <c r="K28" t="s">
        <v>179</v>
      </c>
      <c r="L28" t="s">
        <v>179</v>
      </c>
      <c r="M28" t="s">
        <v>179</v>
      </c>
      <c r="N28" t="s">
        <v>179</v>
      </c>
      <c r="O28" t="s">
        <v>180</v>
      </c>
      <c r="P28">
        <v>0</v>
      </c>
      <c r="Q28">
        <v>0</v>
      </c>
      <c r="R28" t="s">
        <v>205</v>
      </c>
      <c r="U28" t="s">
        <v>301</v>
      </c>
    </row>
    <row r="29" spans="1:21" x14ac:dyDescent="0.35">
      <c r="A29">
        <v>2024</v>
      </c>
      <c r="B29">
        <v>53</v>
      </c>
      <c r="C29" t="s">
        <v>277</v>
      </c>
      <c r="D29">
        <v>295</v>
      </c>
      <c r="E29">
        <v>15.2</v>
      </c>
      <c r="F29" t="s">
        <v>298</v>
      </c>
      <c r="G29">
        <v>3.6</v>
      </c>
      <c r="H29">
        <v>5</v>
      </c>
      <c r="I29" t="s">
        <v>275</v>
      </c>
      <c r="J29" t="s">
        <v>180</v>
      </c>
      <c r="K29" t="s">
        <v>180</v>
      </c>
      <c r="L29" t="s">
        <v>179</v>
      </c>
      <c r="N29" t="s">
        <v>180</v>
      </c>
      <c r="O29" t="s">
        <v>179</v>
      </c>
      <c r="P29">
        <v>0</v>
      </c>
      <c r="Q29">
        <v>0</v>
      </c>
      <c r="R29" t="s">
        <v>205</v>
      </c>
      <c r="U29" t="s">
        <v>205</v>
      </c>
    </row>
    <row r="30" spans="1:21" x14ac:dyDescent="0.35">
      <c r="A30">
        <v>2024</v>
      </c>
      <c r="B30">
        <v>53</v>
      </c>
      <c r="C30" t="s">
        <v>277</v>
      </c>
      <c r="D30">
        <v>303</v>
      </c>
      <c r="E30">
        <v>17.5</v>
      </c>
      <c r="F30" t="s">
        <v>298</v>
      </c>
      <c r="G30">
        <v>2.5499999999999998</v>
      </c>
      <c r="H30">
        <v>1</v>
      </c>
      <c r="I30" t="s">
        <v>278</v>
      </c>
      <c r="J30" t="s">
        <v>180</v>
      </c>
      <c r="K30" t="s">
        <v>180</v>
      </c>
      <c r="L30" t="s">
        <v>179</v>
      </c>
      <c r="M30" t="s">
        <v>180</v>
      </c>
      <c r="N30" t="s">
        <v>180</v>
      </c>
      <c r="O30" t="s">
        <v>180</v>
      </c>
      <c r="P30">
        <v>0</v>
      </c>
      <c r="Q30">
        <v>0</v>
      </c>
      <c r="R30" t="s">
        <v>205</v>
      </c>
      <c r="U30" t="s">
        <v>205</v>
      </c>
    </row>
    <row r="31" spans="1:21" x14ac:dyDescent="0.35">
      <c r="A31">
        <v>2024</v>
      </c>
      <c r="B31">
        <v>53</v>
      </c>
      <c r="C31" t="s">
        <v>277</v>
      </c>
      <c r="D31">
        <v>301</v>
      </c>
      <c r="E31">
        <v>13.5</v>
      </c>
      <c r="F31" t="s">
        <v>298</v>
      </c>
      <c r="G31">
        <v>5.7</v>
      </c>
      <c r="H31">
        <v>4</v>
      </c>
      <c r="I31" t="s">
        <v>278</v>
      </c>
      <c r="J31" t="s">
        <v>180</v>
      </c>
      <c r="K31" t="s">
        <v>179</v>
      </c>
      <c r="L31" t="s">
        <v>179</v>
      </c>
      <c r="M31" t="s">
        <v>180</v>
      </c>
      <c r="N31" t="s">
        <v>180</v>
      </c>
      <c r="O31" t="s">
        <v>180</v>
      </c>
      <c r="P31">
        <v>0</v>
      </c>
      <c r="Q31">
        <v>0</v>
      </c>
      <c r="R31" t="s">
        <v>305</v>
      </c>
      <c r="S31" t="s">
        <v>305</v>
      </c>
      <c r="U31" t="s">
        <v>205</v>
      </c>
    </row>
    <row r="32" spans="1:21" x14ac:dyDescent="0.35">
      <c r="A32">
        <v>2024</v>
      </c>
      <c r="B32">
        <v>53</v>
      </c>
      <c r="C32" t="s">
        <v>277</v>
      </c>
      <c r="D32">
        <v>308</v>
      </c>
      <c r="E32">
        <v>16.899999999999999</v>
      </c>
      <c r="F32" t="s">
        <v>298</v>
      </c>
      <c r="G32">
        <v>4.3</v>
      </c>
      <c r="H32">
        <v>1</v>
      </c>
      <c r="I32" t="s">
        <v>278</v>
      </c>
      <c r="J32" t="s">
        <v>180</v>
      </c>
      <c r="K32" t="s">
        <v>180</v>
      </c>
      <c r="L32" t="s">
        <v>179</v>
      </c>
      <c r="M32" t="s">
        <v>180</v>
      </c>
      <c r="N32" t="s">
        <v>180</v>
      </c>
      <c r="O32" t="s">
        <v>180</v>
      </c>
      <c r="P32">
        <v>0</v>
      </c>
      <c r="Q32">
        <v>0</v>
      </c>
      <c r="R32" t="s">
        <v>205</v>
      </c>
      <c r="U32" t="s">
        <v>205</v>
      </c>
    </row>
    <row r="33" spans="1:21" x14ac:dyDescent="0.35">
      <c r="A33">
        <v>2024</v>
      </c>
      <c r="B33">
        <v>53</v>
      </c>
      <c r="C33" t="s">
        <v>277</v>
      </c>
      <c r="D33">
        <v>314</v>
      </c>
      <c r="E33">
        <v>17.100000000000001</v>
      </c>
      <c r="F33" t="s">
        <v>298</v>
      </c>
      <c r="G33">
        <v>3.9</v>
      </c>
      <c r="H33">
        <v>2</v>
      </c>
      <c r="I33" t="s">
        <v>278</v>
      </c>
      <c r="J33" t="s">
        <v>180</v>
      </c>
      <c r="K33" t="s">
        <v>180</v>
      </c>
      <c r="L33" t="s">
        <v>179</v>
      </c>
      <c r="M33" t="s">
        <v>179</v>
      </c>
      <c r="N33" t="s">
        <v>180</v>
      </c>
      <c r="O33" t="s">
        <v>180</v>
      </c>
      <c r="P33">
        <v>0</v>
      </c>
      <c r="Q33">
        <v>0</v>
      </c>
      <c r="R33" t="s">
        <v>205</v>
      </c>
      <c r="U33" t="s">
        <v>301</v>
      </c>
    </row>
    <row r="34" spans="1:21" x14ac:dyDescent="0.35">
      <c r="A34">
        <v>2024</v>
      </c>
      <c r="B34">
        <v>53</v>
      </c>
      <c r="C34" t="s">
        <v>277</v>
      </c>
      <c r="D34">
        <v>314</v>
      </c>
      <c r="E34">
        <v>16.399999999999999</v>
      </c>
      <c r="F34" t="s">
        <v>298</v>
      </c>
      <c r="G34">
        <v>2.9</v>
      </c>
      <c r="H34">
        <v>1</v>
      </c>
      <c r="I34" t="s">
        <v>278</v>
      </c>
      <c r="J34" t="s">
        <v>180</v>
      </c>
      <c r="K34" t="s">
        <v>180</v>
      </c>
      <c r="L34" t="s">
        <v>180</v>
      </c>
      <c r="M34" t="s">
        <v>180</v>
      </c>
      <c r="N34" t="s">
        <v>180</v>
      </c>
      <c r="O34" t="s">
        <v>180</v>
      </c>
      <c r="P34">
        <v>0</v>
      </c>
      <c r="Q34">
        <v>0</v>
      </c>
      <c r="R34" t="s">
        <v>205</v>
      </c>
      <c r="U34" t="s">
        <v>205</v>
      </c>
    </row>
    <row r="35" spans="1:21" x14ac:dyDescent="0.35">
      <c r="A35">
        <v>2024</v>
      </c>
      <c r="B35">
        <v>53</v>
      </c>
      <c r="C35" t="s">
        <v>277</v>
      </c>
      <c r="D35">
        <v>315</v>
      </c>
      <c r="E35">
        <v>17.100000000000001</v>
      </c>
      <c r="F35" t="s">
        <v>298</v>
      </c>
      <c r="G35">
        <v>2.5</v>
      </c>
      <c r="H35">
        <v>3</v>
      </c>
      <c r="I35" t="s">
        <v>275</v>
      </c>
      <c r="J35" t="s">
        <v>180</v>
      </c>
      <c r="K35" t="s">
        <v>180</v>
      </c>
      <c r="L35" t="s">
        <v>179</v>
      </c>
      <c r="M35" t="s">
        <v>179</v>
      </c>
      <c r="N35" t="s">
        <v>180</v>
      </c>
      <c r="O35" t="s">
        <v>180</v>
      </c>
      <c r="P35">
        <v>0</v>
      </c>
      <c r="Q35">
        <v>0</v>
      </c>
      <c r="R35" t="s">
        <v>205</v>
      </c>
      <c r="U35" t="s">
        <v>301</v>
      </c>
    </row>
    <row r="36" spans="1:21" x14ac:dyDescent="0.35">
      <c r="A36">
        <v>2024</v>
      </c>
      <c r="B36">
        <v>53</v>
      </c>
      <c r="C36" t="s">
        <v>277</v>
      </c>
      <c r="D36">
        <v>310</v>
      </c>
      <c r="E36">
        <v>15.4</v>
      </c>
      <c r="F36" t="s">
        <v>298</v>
      </c>
      <c r="G36">
        <v>4.3</v>
      </c>
      <c r="H36">
        <v>1</v>
      </c>
      <c r="I36" t="s">
        <v>278</v>
      </c>
      <c r="J36" t="s">
        <v>180</v>
      </c>
      <c r="K36" t="s">
        <v>180</v>
      </c>
      <c r="L36" t="s">
        <v>180</v>
      </c>
      <c r="M36" t="s">
        <v>180</v>
      </c>
      <c r="N36" t="s">
        <v>179</v>
      </c>
      <c r="O36" t="s">
        <v>180</v>
      </c>
      <c r="P36">
        <v>0</v>
      </c>
      <c r="Q36">
        <v>0</v>
      </c>
      <c r="R36" t="s">
        <v>205</v>
      </c>
      <c r="U36" t="s">
        <v>205</v>
      </c>
    </row>
    <row r="37" spans="1:21" x14ac:dyDescent="0.35">
      <c r="A37">
        <v>2024</v>
      </c>
      <c r="B37">
        <v>53</v>
      </c>
      <c r="C37" t="s">
        <v>277</v>
      </c>
      <c r="D37">
        <v>300</v>
      </c>
      <c r="E37">
        <v>12.1</v>
      </c>
      <c r="F37" t="s">
        <v>298</v>
      </c>
      <c r="G37">
        <v>2.7</v>
      </c>
      <c r="H37">
        <v>5</v>
      </c>
      <c r="I37" t="s">
        <v>275</v>
      </c>
      <c r="J37" t="s">
        <v>180</v>
      </c>
      <c r="K37" t="s">
        <v>180</v>
      </c>
      <c r="L37" t="s">
        <v>179</v>
      </c>
      <c r="M37" t="s">
        <v>180</v>
      </c>
      <c r="N37" t="s">
        <v>179</v>
      </c>
      <c r="O37" t="s">
        <v>180</v>
      </c>
      <c r="P37">
        <v>0</v>
      </c>
      <c r="Q37">
        <v>0</v>
      </c>
      <c r="R37" t="s">
        <v>205</v>
      </c>
      <c r="U37" t="s">
        <v>205</v>
      </c>
    </row>
    <row r="38" spans="1:21" x14ac:dyDescent="0.35">
      <c r="A38">
        <v>2024</v>
      </c>
      <c r="B38">
        <v>53</v>
      </c>
      <c r="C38" t="s">
        <v>277</v>
      </c>
      <c r="D38">
        <v>301</v>
      </c>
      <c r="E38">
        <v>10</v>
      </c>
      <c r="F38" t="s">
        <v>298</v>
      </c>
      <c r="G38">
        <v>4.5999999999999996</v>
      </c>
      <c r="H38">
        <v>1</v>
      </c>
      <c r="I38" t="s">
        <v>278</v>
      </c>
      <c r="J38" t="s">
        <v>179</v>
      </c>
      <c r="K38" t="s">
        <v>180</v>
      </c>
      <c r="L38" t="s">
        <v>179</v>
      </c>
      <c r="M38" t="s">
        <v>179</v>
      </c>
      <c r="N38" t="s">
        <v>180</v>
      </c>
      <c r="O38" t="s">
        <v>180</v>
      </c>
      <c r="P38">
        <v>0</v>
      </c>
      <c r="Q38">
        <v>0</v>
      </c>
      <c r="R38" t="s">
        <v>305</v>
      </c>
      <c r="S38" t="s">
        <v>305</v>
      </c>
      <c r="U38" t="s">
        <v>301</v>
      </c>
    </row>
    <row r="39" spans="1:21" x14ac:dyDescent="0.35">
      <c r="A39">
        <v>2024</v>
      </c>
      <c r="B39">
        <v>53</v>
      </c>
      <c r="C39" t="s">
        <v>277</v>
      </c>
      <c r="D39">
        <v>316</v>
      </c>
      <c r="E39">
        <v>11.9</v>
      </c>
      <c r="F39" t="s">
        <v>298</v>
      </c>
      <c r="G39">
        <v>3</v>
      </c>
      <c r="H39">
        <v>1</v>
      </c>
      <c r="I39" t="s">
        <v>278</v>
      </c>
      <c r="J39" t="s">
        <v>180</v>
      </c>
      <c r="K39" t="s">
        <v>180</v>
      </c>
      <c r="L39" t="s">
        <v>179</v>
      </c>
      <c r="M39" t="s">
        <v>179</v>
      </c>
      <c r="N39" t="s">
        <v>180</v>
      </c>
      <c r="O39" t="s">
        <v>180</v>
      </c>
      <c r="P39">
        <v>0</v>
      </c>
      <c r="Q39">
        <v>0</v>
      </c>
      <c r="R39" t="s">
        <v>306</v>
      </c>
      <c r="S39" t="s">
        <v>306</v>
      </c>
      <c r="U39" t="s">
        <v>301</v>
      </c>
    </row>
    <row r="40" spans="1:21" x14ac:dyDescent="0.35">
      <c r="A40">
        <v>2024</v>
      </c>
      <c r="B40">
        <v>53</v>
      </c>
      <c r="C40" t="s">
        <v>277</v>
      </c>
      <c r="D40">
        <v>322</v>
      </c>
      <c r="E40">
        <v>14</v>
      </c>
      <c r="F40" t="s">
        <v>298</v>
      </c>
      <c r="G40">
        <v>4.9000000000000004</v>
      </c>
      <c r="H40">
        <v>1</v>
      </c>
      <c r="I40" t="s">
        <v>278</v>
      </c>
      <c r="J40" t="s">
        <v>180</v>
      </c>
      <c r="K40" t="s">
        <v>180</v>
      </c>
      <c r="L40" t="s">
        <v>180</v>
      </c>
      <c r="M40" t="s">
        <v>180</v>
      </c>
      <c r="N40" t="s">
        <v>180</v>
      </c>
      <c r="O40" t="s">
        <v>180</v>
      </c>
      <c r="P40">
        <v>0</v>
      </c>
      <c r="Q40">
        <v>0</v>
      </c>
      <c r="R40" t="s">
        <v>305</v>
      </c>
      <c r="S40" t="s">
        <v>305</v>
      </c>
      <c r="U40" t="s">
        <v>205</v>
      </c>
    </row>
    <row r="41" spans="1:21" x14ac:dyDescent="0.35">
      <c r="A41">
        <v>2024</v>
      </c>
      <c r="B41">
        <v>53</v>
      </c>
      <c r="C41" t="s">
        <v>277</v>
      </c>
      <c r="D41">
        <v>327</v>
      </c>
      <c r="E41">
        <v>15</v>
      </c>
      <c r="F41" t="s">
        <v>298</v>
      </c>
      <c r="G41">
        <v>3.4</v>
      </c>
      <c r="H41">
        <v>1</v>
      </c>
      <c r="I41" t="s">
        <v>278</v>
      </c>
      <c r="J41" t="s">
        <v>180</v>
      </c>
      <c r="K41" t="s">
        <v>180</v>
      </c>
      <c r="L41" t="s">
        <v>180</v>
      </c>
      <c r="M41" t="s">
        <v>180</v>
      </c>
      <c r="N41" t="s">
        <v>180</v>
      </c>
      <c r="O41" t="s">
        <v>180</v>
      </c>
      <c r="P41">
        <v>0</v>
      </c>
      <c r="Q41">
        <v>0</v>
      </c>
      <c r="R41" t="s">
        <v>205</v>
      </c>
      <c r="U41" t="s">
        <v>205</v>
      </c>
    </row>
    <row r="42" spans="1:21" x14ac:dyDescent="0.35">
      <c r="A42">
        <v>2024</v>
      </c>
      <c r="B42">
        <v>53</v>
      </c>
      <c r="C42" t="s">
        <v>277</v>
      </c>
      <c r="D42">
        <v>326</v>
      </c>
      <c r="E42">
        <v>14.7</v>
      </c>
      <c r="F42" t="s">
        <v>298</v>
      </c>
      <c r="G42">
        <v>3</v>
      </c>
      <c r="H42">
        <v>1</v>
      </c>
      <c r="I42" t="s">
        <v>278</v>
      </c>
      <c r="J42" t="s">
        <v>180</v>
      </c>
      <c r="K42" t="s">
        <v>180</v>
      </c>
      <c r="L42" t="s">
        <v>179</v>
      </c>
      <c r="M42" t="s">
        <v>180</v>
      </c>
      <c r="N42" t="s">
        <v>180</v>
      </c>
      <c r="O42" t="s">
        <v>180</v>
      </c>
      <c r="P42">
        <v>0</v>
      </c>
      <c r="Q42">
        <v>0</v>
      </c>
      <c r="R42" t="s">
        <v>205</v>
      </c>
      <c r="U42" t="s">
        <v>205</v>
      </c>
    </row>
    <row r="43" spans="1:21" x14ac:dyDescent="0.35">
      <c r="A43">
        <v>2024</v>
      </c>
      <c r="B43">
        <v>53</v>
      </c>
      <c r="C43" t="s">
        <v>277</v>
      </c>
      <c r="D43">
        <v>334</v>
      </c>
      <c r="E43">
        <v>15.6</v>
      </c>
      <c r="F43" t="s">
        <v>298</v>
      </c>
      <c r="G43">
        <v>2.8</v>
      </c>
      <c r="H43">
        <v>1</v>
      </c>
      <c r="I43" t="s">
        <v>278</v>
      </c>
      <c r="J43" t="s">
        <v>180</v>
      </c>
      <c r="K43" t="s">
        <v>180</v>
      </c>
      <c r="L43" t="s">
        <v>179</v>
      </c>
      <c r="M43" t="s">
        <v>180</v>
      </c>
      <c r="N43" t="s">
        <v>180</v>
      </c>
      <c r="O43" t="s">
        <v>180</v>
      </c>
      <c r="P43">
        <v>0</v>
      </c>
      <c r="Q43">
        <v>0</v>
      </c>
      <c r="R43" t="s">
        <v>205</v>
      </c>
      <c r="U43" t="s">
        <v>205</v>
      </c>
    </row>
    <row r="44" spans="1:21" x14ac:dyDescent="0.35">
      <c r="A44">
        <v>2024</v>
      </c>
      <c r="B44">
        <v>53</v>
      </c>
      <c r="C44" t="s">
        <v>277</v>
      </c>
      <c r="D44">
        <v>331</v>
      </c>
      <c r="E44">
        <v>10.9</v>
      </c>
      <c r="F44" t="s">
        <v>298</v>
      </c>
      <c r="G44">
        <v>3.2</v>
      </c>
      <c r="H44">
        <v>1</v>
      </c>
      <c r="I44" t="s">
        <v>278</v>
      </c>
      <c r="J44" t="s">
        <v>180</v>
      </c>
      <c r="K44" t="s">
        <v>180</v>
      </c>
      <c r="L44" t="s">
        <v>180</v>
      </c>
      <c r="M44" t="s">
        <v>180</v>
      </c>
      <c r="N44" t="s">
        <v>180</v>
      </c>
      <c r="O44" t="s">
        <v>180</v>
      </c>
      <c r="P44">
        <v>0</v>
      </c>
      <c r="Q44">
        <v>0</v>
      </c>
      <c r="R44" t="s">
        <v>205</v>
      </c>
      <c r="U44" t="s">
        <v>205</v>
      </c>
    </row>
    <row r="45" spans="1:21" x14ac:dyDescent="0.35">
      <c r="A45">
        <v>2024</v>
      </c>
      <c r="B45">
        <v>53</v>
      </c>
      <c r="C45" t="s">
        <v>277</v>
      </c>
      <c r="D45">
        <v>336</v>
      </c>
      <c r="E45">
        <v>10.199999999999999</v>
      </c>
      <c r="F45" t="s">
        <v>298</v>
      </c>
      <c r="G45">
        <v>3.5</v>
      </c>
      <c r="H45">
        <v>1</v>
      </c>
      <c r="I45" t="s">
        <v>278</v>
      </c>
      <c r="J45" t="s">
        <v>180</v>
      </c>
      <c r="K45" t="s">
        <v>180</v>
      </c>
      <c r="L45" t="s">
        <v>179</v>
      </c>
      <c r="M45" t="s">
        <v>179</v>
      </c>
      <c r="N45" t="s">
        <v>180</v>
      </c>
      <c r="O45" t="s">
        <v>180</v>
      </c>
      <c r="P45">
        <v>0</v>
      </c>
      <c r="Q45">
        <v>0</v>
      </c>
      <c r="R45" t="s">
        <v>205</v>
      </c>
      <c r="U45" t="s">
        <v>301</v>
      </c>
    </row>
    <row r="46" spans="1:21" x14ac:dyDescent="0.35">
      <c r="A46">
        <v>2024</v>
      </c>
      <c r="B46">
        <v>53</v>
      </c>
      <c r="C46" t="s">
        <v>277</v>
      </c>
      <c r="D46">
        <v>328</v>
      </c>
      <c r="E46">
        <v>9.6999999999999993</v>
      </c>
      <c r="F46" t="s">
        <v>298</v>
      </c>
      <c r="G46">
        <v>3.2</v>
      </c>
      <c r="H46">
        <v>1</v>
      </c>
      <c r="I46" t="s">
        <v>278</v>
      </c>
      <c r="J46" t="s">
        <v>180</v>
      </c>
      <c r="K46" t="s">
        <v>180</v>
      </c>
      <c r="L46" t="s">
        <v>179</v>
      </c>
      <c r="M46" t="s">
        <v>180</v>
      </c>
      <c r="N46" t="s">
        <v>180</v>
      </c>
      <c r="O46" t="s">
        <v>180</v>
      </c>
      <c r="P46">
        <v>0</v>
      </c>
      <c r="Q46">
        <v>0</v>
      </c>
      <c r="R46" t="s">
        <v>205</v>
      </c>
      <c r="U46" t="s">
        <v>205</v>
      </c>
    </row>
    <row r="47" spans="1:21" x14ac:dyDescent="0.35">
      <c r="A47">
        <v>2024</v>
      </c>
      <c r="B47">
        <v>53</v>
      </c>
      <c r="C47" t="s">
        <v>277</v>
      </c>
      <c r="D47">
        <v>338</v>
      </c>
      <c r="E47">
        <v>9</v>
      </c>
      <c r="F47" t="s">
        <v>298</v>
      </c>
      <c r="G47">
        <v>2.5</v>
      </c>
      <c r="H47">
        <v>1</v>
      </c>
      <c r="I47" t="s">
        <v>275</v>
      </c>
      <c r="J47" t="s">
        <v>180</v>
      </c>
      <c r="K47" t="s">
        <v>180</v>
      </c>
      <c r="L47" t="s">
        <v>180</v>
      </c>
      <c r="M47" t="s">
        <v>180</v>
      </c>
      <c r="N47" t="s">
        <v>180</v>
      </c>
      <c r="O47" t="s">
        <v>180</v>
      </c>
      <c r="P47">
        <v>0</v>
      </c>
      <c r="Q47">
        <v>0</v>
      </c>
      <c r="R47" t="s">
        <v>205</v>
      </c>
      <c r="S47" t="s">
        <v>307</v>
      </c>
      <c r="U47" t="s">
        <v>205</v>
      </c>
    </row>
    <row r="48" spans="1:21" x14ac:dyDescent="0.35">
      <c r="A48">
        <v>2024</v>
      </c>
      <c r="B48">
        <v>53</v>
      </c>
      <c r="C48" t="s">
        <v>277</v>
      </c>
      <c r="D48">
        <v>341</v>
      </c>
      <c r="E48">
        <v>13.6</v>
      </c>
      <c r="F48" t="s">
        <v>298</v>
      </c>
      <c r="G48">
        <v>3</v>
      </c>
      <c r="H48">
        <v>1</v>
      </c>
      <c r="I48" t="s">
        <v>278</v>
      </c>
      <c r="J48" t="s">
        <v>180</v>
      </c>
      <c r="K48" t="s">
        <v>180</v>
      </c>
      <c r="L48" t="s">
        <v>179</v>
      </c>
      <c r="M48" t="s">
        <v>179</v>
      </c>
      <c r="N48" t="s">
        <v>180</v>
      </c>
      <c r="O48" t="s">
        <v>179</v>
      </c>
      <c r="P48">
        <v>0</v>
      </c>
      <c r="Q48">
        <v>0</v>
      </c>
      <c r="R48" t="s">
        <v>205</v>
      </c>
      <c r="U48" t="s">
        <v>301</v>
      </c>
    </row>
    <row r="49" spans="1:21" x14ac:dyDescent="0.35">
      <c r="A49">
        <v>2024</v>
      </c>
      <c r="B49">
        <v>39</v>
      </c>
      <c r="C49" t="s">
        <v>273</v>
      </c>
      <c r="D49">
        <v>77</v>
      </c>
      <c r="E49">
        <v>2</v>
      </c>
      <c r="F49" t="s">
        <v>289</v>
      </c>
      <c r="G49">
        <v>8.5299999999999994</v>
      </c>
      <c r="H49">
        <v>1</v>
      </c>
      <c r="I49" t="s">
        <v>269</v>
      </c>
      <c r="J49" t="s">
        <v>180</v>
      </c>
      <c r="K49" t="s">
        <v>180</v>
      </c>
      <c r="L49" t="s">
        <v>180</v>
      </c>
      <c r="M49" t="s">
        <v>180</v>
      </c>
      <c r="N49" t="s">
        <v>180</v>
      </c>
      <c r="P49">
        <v>0</v>
      </c>
      <c r="Q49">
        <v>0</v>
      </c>
      <c r="R49" t="s">
        <v>205</v>
      </c>
      <c r="U49" t="s">
        <v>205</v>
      </c>
    </row>
    <row r="50" spans="1:21" x14ac:dyDescent="0.35">
      <c r="A50">
        <v>2024</v>
      </c>
      <c r="B50">
        <v>39</v>
      </c>
      <c r="C50" t="s">
        <v>273</v>
      </c>
      <c r="D50">
        <v>81</v>
      </c>
      <c r="E50">
        <v>3.72</v>
      </c>
      <c r="F50" t="s">
        <v>289</v>
      </c>
      <c r="G50">
        <v>6.57</v>
      </c>
      <c r="H50">
        <v>1</v>
      </c>
      <c r="I50" t="s">
        <v>278</v>
      </c>
      <c r="J50" t="s">
        <v>180</v>
      </c>
      <c r="K50" t="s">
        <v>180</v>
      </c>
      <c r="L50" t="s">
        <v>180</v>
      </c>
      <c r="M50" t="s">
        <v>179</v>
      </c>
      <c r="N50" t="s">
        <v>180</v>
      </c>
      <c r="P50">
        <v>0</v>
      </c>
      <c r="Q50">
        <v>0</v>
      </c>
      <c r="R50" t="s">
        <v>205</v>
      </c>
      <c r="S50" t="s">
        <v>308</v>
      </c>
      <c r="U50" t="s">
        <v>301</v>
      </c>
    </row>
    <row r="51" spans="1:21" x14ac:dyDescent="0.35">
      <c r="A51">
        <v>2024</v>
      </c>
      <c r="B51">
        <v>39</v>
      </c>
      <c r="C51" t="s">
        <v>273</v>
      </c>
      <c r="D51">
        <v>72</v>
      </c>
      <c r="E51">
        <v>6.75</v>
      </c>
      <c r="F51" t="s">
        <v>289</v>
      </c>
      <c r="G51">
        <v>6</v>
      </c>
      <c r="H51">
        <v>1</v>
      </c>
      <c r="I51" t="s">
        <v>278</v>
      </c>
      <c r="J51" t="s">
        <v>180</v>
      </c>
      <c r="K51" t="s">
        <v>180</v>
      </c>
      <c r="L51" t="s">
        <v>180</v>
      </c>
      <c r="M51" t="s">
        <v>179</v>
      </c>
      <c r="N51" t="s">
        <v>180</v>
      </c>
      <c r="P51">
        <v>0</v>
      </c>
      <c r="Q51">
        <v>0</v>
      </c>
      <c r="R51" t="s">
        <v>205</v>
      </c>
      <c r="U51" t="s">
        <v>301</v>
      </c>
    </row>
    <row r="52" spans="1:21" x14ac:dyDescent="0.35">
      <c r="A52">
        <v>2024</v>
      </c>
      <c r="B52">
        <v>39</v>
      </c>
      <c r="C52" t="s">
        <v>273</v>
      </c>
      <c r="D52">
        <v>76</v>
      </c>
      <c r="E52">
        <v>8</v>
      </c>
      <c r="F52" t="s">
        <v>298</v>
      </c>
      <c r="G52">
        <v>4.62</v>
      </c>
      <c r="H52">
        <v>5</v>
      </c>
      <c r="I52" t="s">
        <v>278</v>
      </c>
      <c r="J52" t="s">
        <v>179</v>
      </c>
      <c r="K52" t="s">
        <v>179</v>
      </c>
      <c r="L52" t="s">
        <v>179</v>
      </c>
      <c r="M52" t="s">
        <v>179</v>
      </c>
      <c r="N52" t="s">
        <v>179</v>
      </c>
      <c r="P52">
        <v>0</v>
      </c>
      <c r="Q52">
        <v>0</v>
      </c>
      <c r="R52" t="s">
        <v>205</v>
      </c>
      <c r="S52" t="s">
        <v>309</v>
      </c>
      <c r="U52" t="s">
        <v>301</v>
      </c>
    </row>
    <row r="53" spans="1:21" x14ac:dyDescent="0.35">
      <c r="A53">
        <v>2024</v>
      </c>
      <c r="B53">
        <v>39</v>
      </c>
      <c r="C53" t="s">
        <v>273</v>
      </c>
      <c r="D53">
        <v>63</v>
      </c>
      <c r="E53">
        <v>6.3</v>
      </c>
      <c r="F53" t="s">
        <v>289</v>
      </c>
      <c r="G53">
        <v>9.68</v>
      </c>
      <c r="H53">
        <v>1</v>
      </c>
      <c r="I53" t="s">
        <v>269</v>
      </c>
      <c r="J53" t="s">
        <v>180</v>
      </c>
      <c r="K53" t="s">
        <v>180</v>
      </c>
      <c r="L53" t="s">
        <v>180</v>
      </c>
      <c r="M53" t="s">
        <v>179</v>
      </c>
      <c r="N53" t="s">
        <v>180</v>
      </c>
      <c r="P53">
        <v>0</v>
      </c>
      <c r="Q53">
        <v>0</v>
      </c>
      <c r="R53" t="s">
        <v>205</v>
      </c>
      <c r="S53" t="s">
        <v>310</v>
      </c>
      <c r="U53" t="s">
        <v>311</v>
      </c>
    </row>
    <row r="54" spans="1:21" x14ac:dyDescent="0.35">
      <c r="A54">
        <v>2024</v>
      </c>
      <c r="B54">
        <v>39</v>
      </c>
      <c r="C54" t="s">
        <v>273</v>
      </c>
      <c r="D54">
        <v>63</v>
      </c>
      <c r="E54">
        <v>6.3</v>
      </c>
      <c r="F54" t="s">
        <v>289</v>
      </c>
      <c r="G54">
        <v>4</v>
      </c>
      <c r="H54">
        <v>1</v>
      </c>
      <c r="I54" t="s">
        <v>278</v>
      </c>
      <c r="J54" t="s">
        <v>180</v>
      </c>
      <c r="K54" t="s">
        <v>180</v>
      </c>
      <c r="L54" t="s">
        <v>180</v>
      </c>
      <c r="M54" t="s">
        <v>180</v>
      </c>
      <c r="N54" t="s">
        <v>180</v>
      </c>
      <c r="P54">
        <v>0</v>
      </c>
      <c r="Q54">
        <v>0</v>
      </c>
      <c r="R54" t="s">
        <v>205</v>
      </c>
      <c r="U54" t="s">
        <v>205</v>
      </c>
    </row>
    <row r="55" spans="1:21" x14ac:dyDescent="0.35">
      <c r="A55">
        <v>2024</v>
      </c>
      <c r="B55">
        <v>39</v>
      </c>
      <c r="C55" t="s">
        <v>273</v>
      </c>
      <c r="D55">
        <v>58</v>
      </c>
      <c r="E55">
        <v>6.9</v>
      </c>
      <c r="F55" t="s">
        <v>268</v>
      </c>
      <c r="G55">
        <v>2.9</v>
      </c>
      <c r="H55">
        <v>1</v>
      </c>
      <c r="I55" t="s">
        <v>278</v>
      </c>
      <c r="J55" t="s">
        <v>180</v>
      </c>
      <c r="K55" t="s">
        <v>180</v>
      </c>
      <c r="L55" t="s">
        <v>179</v>
      </c>
      <c r="M55" t="s">
        <v>180</v>
      </c>
      <c r="N55" t="s">
        <v>180</v>
      </c>
      <c r="P55">
        <v>0</v>
      </c>
      <c r="Q55">
        <v>0</v>
      </c>
      <c r="R55" t="s">
        <v>205</v>
      </c>
      <c r="U55" t="s">
        <v>205</v>
      </c>
    </row>
    <row r="56" spans="1:21" x14ac:dyDescent="0.35">
      <c r="A56">
        <v>2024</v>
      </c>
      <c r="B56">
        <v>39</v>
      </c>
      <c r="C56" t="s">
        <v>273</v>
      </c>
      <c r="D56">
        <v>58</v>
      </c>
      <c r="E56">
        <v>8.1</v>
      </c>
      <c r="F56" t="s">
        <v>289</v>
      </c>
      <c r="G56">
        <v>4.8600000000000003</v>
      </c>
      <c r="H56">
        <v>1</v>
      </c>
      <c r="I56" t="s">
        <v>278</v>
      </c>
      <c r="J56" t="s">
        <v>180</v>
      </c>
      <c r="K56" t="s">
        <v>180</v>
      </c>
      <c r="L56" t="s">
        <v>180</v>
      </c>
      <c r="M56" t="s">
        <v>180</v>
      </c>
      <c r="N56" t="s">
        <v>180</v>
      </c>
      <c r="P56">
        <v>0</v>
      </c>
      <c r="Q56">
        <v>0</v>
      </c>
      <c r="R56" t="s">
        <v>205</v>
      </c>
      <c r="U56" t="s">
        <v>205</v>
      </c>
    </row>
    <row r="57" spans="1:21" x14ac:dyDescent="0.35">
      <c r="A57">
        <v>2024</v>
      </c>
      <c r="B57">
        <v>39</v>
      </c>
      <c r="C57" t="s">
        <v>273</v>
      </c>
      <c r="D57">
        <v>50</v>
      </c>
      <c r="E57">
        <v>11.6</v>
      </c>
      <c r="F57" t="s">
        <v>289</v>
      </c>
      <c r="G57">
        <v>6.5</v>
      </c>
      <c r="H57">
        <v>2</v>
      </c>
      <c r="I57" t="s">
        <v>278</v>
      </c>
      <c r="J57" t="s">
        <v>180</v>
      </c>
      <c r="K57" t="s">
        <v>180</v>
      </c>
      <c r="L57" t="s">
        <v>180</v>
      </c>
      <c r="M57" t="s">
        <v>179</v>
      </c>
      <c r="N57" t="s">
        <v>180</v>
      </c>
      <c r="P57">
        <v>0</v>
      </c>
      <c r="Q57">
        <v>0</v>
      </c>
      <c r="R57" t="s">
        <v>205</v>
      </c>
      <c r="S57" t="s">
        <v>312</v>
      </c>
      <c r="U57" t="s">
        <v>301</v>
      </c>
    </row>
    <row r="58" spans="1:21" x14ac:dyDescent="0.35">
      <c r="A58">
        <v>2024</v>
      </c>
      <c r="B58">
        <v>39</v>
      </c>
      <c r="C58" t="s">
        <v>273</v>
      </c>
      <c r="D58">
        <v>80</v>
      </c>
      <c r="E58">
        <v>9.5</v>
      </c>
      <c r="F58" t="s">
        <v>298</v>
      </c>
      <c r="G58">
        <v>4.5999999999999996</v>
      </c>
      <c r="H58">
        <v>5</v>
      </c>
      <c r="I58" t="s">
        <v>278</v>
      </c>
      <c r="J58" t="s">
        <v>179</v>
      </c>
      <c r="K58" t="s">
        <v>179</v>
      </c>
      <c r="L58" t="s">
        <v>179</v>
      </c>
      <c r="M58" t="s">
        <v>179</v>
      </c>
      <c r="N58" t="s">
        <v>179</v>
      </c>
      <c r="P58">
        <v>1</v>
      </c>
      <c r="Q58">
        <v>0</v>
      </c>
      <c r="R58" t="s">
        <v>205</v>
      </c>
      <c r="U58" t="s">
        <v>301</v>
      </c>
    </row>
    <row r="59" spans="1:21" x14ac:dyDescent="0.35">
      <c r="A59">
        <v>2024</v>
      </c>
      <c r="B59">
        <v>39</v>
      </c>
      <c r="C59" t="s">
        <v>273</v>
      </c>
      <c r="D59">
        <v>85</v>
      </c>
      <c r="E59">
        <v>12.5</v>
      </c>
      <c r="F59" t="s">
        <v>289</v>
      </c>
      <c r="G59">
        <v>5</v>
      </c>
      <c r="H59">
        <v>5</v>
      </c>
      <c r="I59" t="s">
        <v>278</v>
      </c>
      <c r="J59" t="s">
        <v>180</v>
      </c>
      <c r="K59" t="s">
        <v>180</v>
      </c>
      <c r="L59" t="s">
        <v>180</v>
      </c>
      <c r="M59" t="s">
        <v>180</v>
      </c>
      <c r="N59" t="s">
        <v>180</v>
      </c>
      <c r="P59">
        <v>0</v>
      </c>
      <c r="Q59">
        <v>0</v>
      </c>
      <c r="R59" t="s">
        <v>205</v>
      </c>
      <c r="U59" t="s">
        <v>205</v>
      </c>
    </row>
    <row r="60" spans="1:21" x14ac:dyDescent="0.35">
      <c r="A60">
        <v>2024</v>
      </c>
      <c r="B60">
        <v>39</v>
      </c>
      <c r="C60" t="s">
        <v>273</v>
      </c>
      <c r="D60">
        <v>75</v>
      </c>
      <c r="E60">
        <v>12.88</v>
      </c>
      <c r="F60" t="s">
        <v>298</v>
      </c>
      <c r="G60">
        <v>5.7</v>
      </c>
      <c r="H60">
        <v>5</v>
      </c>
      <c r="I60" t="s">
        <v>278</v>
      </c>
      <c r="J60" t="s">
        <v>180</v>
      </c>
      <c r="K60" t="s">
        <v>180</v>
      </c>
      <c r="L60" t="s">
        <v>179</v>
      </c>
      <c r="M60" t="s">
        <v>179</v>
      </c>
      <c r="N60" t="s">
        <v>179</v>
      </c>
      <c r="O60" t="s">
        <v>179</v>
      </c>
      <c r="P60">
        <v>0</v>
      </c>
      <c r="Q60">
        <v>0</v>
      </c>
      <c r="R60" t="s">
        <v>205</v>
      </c>
      <c r="S60" t="s">
        <v>313</v>
      </c>
      <c r="U60" t="s">
        <v>301</v>
      </c>
    </row>
    <row r="61" spans="1:21" x14ac:dyDescent="0.35">
      <c r="A61">
        <v>2024</v>
      </c>
      <c r="B61">
        <v>39</v>
      </c>
      <c r="C61" t="s">
        <v>273</v>
      </c>
      <c r="D61">
        <v>67</v>
      </c>
      <c r="E61">
        <v>14.85</v>
      </c>
      <c r="F61" t="s">
        <v>289</v>
      </c>
      <c r="G61">
        <v>4</v>
      </c>
      <c r="H61">
        <v>1</v>
      </c>
      <c r="I61" t="s">
        <v>278</v>
      </c>
      <c r="J61" t="s">
        <v>180</v>
      </c>
      <c r="K61" t="s">
        <v>180</v>
      </c>
      <c r="L61" t="s">
        <v>180</v>
      </c>
      <c r="M61" t="s">
        <v>180</v>
      </c>
      <c r="N61" t="s">
        <v>180</v>
      </c>
      <c r="P61">
        <v>0</v>
      </c>
      <c r="Q61">
        <v>0</v>
      </c>
      <c r="R61" t="s">
        <v>205</v>
      </c>
      <c r="U61" t="s">
        <v>205</v>
      </c>
    </row>
    <row r="62" spans="1:21" x14ac:dyDescent="0.35">
      <c r="A62">
        <v>2024</v>
      </c>
      <c r="B62">
        <v>39</v>
      </c>
      <c r="C62" t="s">
        <v>273</v>
      </c>
      <c r="D62">
        <v>72</v>
      </c>
      <c r="E62">
        <v>16.3</v>
      </c>
      <c r="F62" t="s">
        <v>289</v>
      </c>
      <c r="G62">
        <v>3.8</v>
      </c>
      <c r="H62">
        <v>1</v>
      </c>
      <c r="I62" t="s">
        <v>278</v>
      </c>
      <c r="J62" t="s">
        <v>180</v>
      </c>
      <c r="K62" t="s">
        <v>180</v>
      </c>
      <c r="L62" t="s">
        <v>180</v>
      </c>
      <c r="M62" t="s">
        <v>180</v>
      </c>
      <c r="N62" t="s">
        <v>180</v>
      </c>
      <c r="P62">
        <v>0</v>
      </c>
      <c r="Q62">
        <v>0</v>
      </c>
      <c r="R62" t="s">
        <v>205</v>
      </c>
      <c r="U62" t="s">
        <v>205</v>
      </c>
    </row>
    <row r="63" spans="1:21" x14ac:dyDescent="0.35">
      <c r="A63">
        <v>2024</v>
      </c>
      <c r="B63">
        <v>39</v>
      </c>
      <c r="C63" t="s">
        <v>273</v>
      </c>
      <c r="D63">
        <v>72</v>
      </c>
      <c r="E63">
        <v>17.96</v>
      </c>
      <c r="F63" t="s">
        <v>314</v>
      </c>
      <c r="G63">
        <v>4.2</v>
      </c>
      <c r="H63">
        <v>2</v>
      </c>
      <c r="I63" t="s">
        <v>278</v>
      </c>
      <c r="J63" t="s">
        <v>180</v>
      </c>
      <c r="K63" t="s">
        <v>180</v>
      </c>
      <c r="L63" t="s">
        <v>179</v>
      </c>
      <c r="M63" t="s">
        <v>180</v>
      </c>
      <c r="N63" t="s">
        <v>180</v>
      </c>
      <c r="P63">
        <v>0</v>
      </c>
      <c r="Q63">
        <v>0</v>
      </c>
      <c r="R63" t="s">
        <v>205</v>
      </c>
      <c r="S63" t="s">
        <v>315</v>
      </c>
      <c r="U63" t="s">
        <v>205</v>
      </c>
    </row>
    <row r="64" spans="1:21" x14ac:dyDescent="0.35">
      <c r="A64">
        <v>2024</v>
      </c>
      <c r="B64">
        <v>39</v>
      </c>
      <c r="C64" t="s">
        <v>273</v>
      </c>
      <c r="D64">
        <v>65</v>
      </c>
      <c r="E64">
        <v>17.399999999999999</v>
      </c>
      <c r="F64" t="s">
        <v>289</v>
      </c>
      <c r="G64">
        <v>3.5</v>
      </c>
      <c r="H64">
        <v>1</v>
      </c>
      <c r="I64" t="s">
        <v>278</v>
      </c>
      <c r="J64" t="s">
        <v>180</v>
      </c>
      <c r="K64" t="s">
        <v>180</v>
      </c>
      <c r="L64" t="s">
        <v>180</v>
      </c>
      <c r="M64" t="s">
        <v>180</v>
      </c>
      <c r="N64" t="s">
        <v>180</v>
      </c>
      <c r="P64">
        <v>0</v>
      </c>
      <c r="Q64">
        <v>0</v>
      </c>
      <c r="R64" t="s">
        <v>205</v>
      </c>
      <c r="U64" t="s">
        <v>205</v>
      </c>
    </row>
    <row r="65" spans="1:21" x14ac:dyDescent="0.35">
      <c r="A65">
        <v>2024</v>
      </c>
      <c r="B65">
        <v>39</v>
      </c>
      <c r="C65" t="s">
        <v>273</v>
      </c>
      <c r="D65">
        <v>65</v>
      </c>
      <c r="E65">
        <v>16.739999999999998</v>
      </c>
      <c r="F65" t="s">
        <v>289</v>
      </c>
      <c r="G65">
        <v>4</v>
      </c>
      <c r="H65">
        <v>1</v>
      </c>
      <c r="I65" t="s">
        <v>278</v>
      </c>
      <c r="J65" t="s">
        <v>180</v>
      </c>
      <c r="K65" t="s">
        <v>180</v>
      </c>
      <c r="L65" t="s">
        <v>179</v>
      </c>
      <c r="M65" t="s">
        <v>179</v>
      </c>
      <c r="N65" t="s">
        <v>180</v>
      </c>
      <c r="P65">
        <v>0</v>
      </c>
      <c r="Q65">
        <v>0</v>
      </c>
      <c r="R65" t="s">
        <v>205</v>
      </c>
      <c r="U65" t="s">
        <v>301</v>
      </c>
    </row>
    <row r="66" spans="1:21" x14ac:dyDescent="0.35">
      <c r="A66">
        <v>2024</v>
      </c>
      <c r="B66">
        <v>39</v>
      </c>
      <c r="C66" t="s">
        <v>273</v>
      </c>
      <c r="D66">
        <v>65</v>
      </c>
      <c r="E66">
        <v>17.36</v>
      </c>
      <c r="F66" t="s">
        <v>289</v>
      </c>
      <c r="G66">
        <v>3.6</v>
      </c>
      <c r="H66">
        <v>1</v>
      </c>
      <c r="I66" t="s">
        <v>278</v>
      </c>
      <c r="J66" t="s">
        <v>180</v>
      </c>
      <c r="K66" t="s">
        <v>180</v>
      </c>
      <c r="L66" t="s">
        <v>180</v>
      </c>
      <c r="M66" t="s">
        <v>180</v>
      </c>
      <c r="N66" t="s">
        <v>180</v>
      </c>
      <c r="P66">
        <v>0</v>
      </c>
      <c r="Q66">
        <v>0</v>
      </c>
      <c r="R66" t="s">
        <v>205</v>
      </c>
      <c r="U66" t="s">
        <v>205</v>
      </c>
    </row>
    <row r="67" spans="1:21" x14ac:dyDescent="0.35">
      <c r="A67">
        <v>2024</v>
      </c>
      <c r="B67">
        <v>39</v>
      </c>
      <c r="C67" t="s">
        <v>273</v>
      </c>
      <c r="D67">
        <v>55</v>
      </c>
      <c r="E67">
        <v>13.7</v>
      </c>
      <c r="F67" t="s">
        <v>289</v>
      </c>
      <c r="G67">
        <v>5.8</v>
      </c>
      <c r="H67">
        <v>2</v>
      </c>
      <c r="I67" t="s">
        <v>269</v>
      </c>
      <c r="J67" t="s">
        <v>180</v>
      </c>
      <c r="K67" t="s">
        <v>180</v>
      </c>
      <c r="L67" t="s">
        <v>179</v>
      </c>
      <c r="M67" t="s">
        <v>179</v>
      </c>
      <c r="N67" t="s">
        <v>179</v>
      </c>
      <c r="P67">
        <v>0</v>
      </c>
      <c r="Q67">
        <v>0</v>
      </c>
      <c r="R67" t="s">
        <v>205</v>
      </c>
      <c r="S67" t="s">
        <v>316</v>
      </c>
      <c r="U67" t="s">
        <v>301</v>
      </c>
    </row>
    <row r="68" spans="1:21" x14ac:dyDescent="0.35">
      <c r="A68">
        <v>2024</v>
      </c>
      <c r="B68">
        <v>39</v>
      </c>
      <c r="C68" t="s">
        <v>273</v>
      </c>
      <c r="D68">
        <v>55</v>
      </c>
      <c r="E68">
        <v>14.7</v>
      </c>
      <c r="F68" t="s">
        <v>289</v>
      </c>
      <c r="G68">
        <v>3.76</v>
      </c>
      <c r="H68">
        <v>1</v>
      </c>
      <c r="I68" t="s">
        <v>278</v>
      </c>
      <c r="J68" t="s">
        <v>180</v>
      </c>
      <c r="K68" t="s">
        <v>180</v>
      </c>
      <c r="L68" t="s">
        <v>180</v>
      </c>
      <c r="M68" t="s">
        <v>180</v>
      </c>
      <c r="N68" t="s">
        <v>180</v>
      </c>
      <c r="P68">
        <v>0</v>
      </c>
      <c r="Q68">
        <v>0</v>
      </c>
      <c r="R68" t="s">
        <v>205</v>
      </c>
      <c r="U68" t="s">
        <v>205</v>
      </c>
    </row>
    <row r="69" spans="1:21" x14ac:dyDescent="0.35">
      <c r="A69">
        <v>2024</v>
      </c>
      <c r="B69">
        <v>39</v>
      </c>
      <c r="C69" t="s">
        <v>273</v>
      </c>
      <c r="D69">
        <v>52</v>
      </c>
      <c r="E69">
        <v>14</v>
      </c>
      <c r="F69" t="s">
        <v>299</v>
      </c>
      <c r="G69">
        <v>3.4</v>
      </c>
      <c r="H69">
        <v>2</v>
      </c>
      <c r="I69" t="s">
        <v>278</v>
      </c>
      <c r="J69" t="s">
        <v>180</v>
      </c>
      <c r="K69" t="s">
        <v>180</v>
      </c>
      <c r="L69" t="s">
        <v>179</v>
      </c>
      <c r="M69" t="s">
        <v>180</v>
      </c>
      <c r="N69" t="s">
        <v>179</v>
      </c>
      <c r="P69">
        <v>0</v>
      </c>
      <c r="Q69">
        <v>0</v>
      </c>
      <c r="R69" t="s">
        <v>205</v>
      </c>
      <c r="U69" t="s">
        <v>205</v>
      </c>
    </row>
    <row r="70" spans="1:21" x14ac:dyDescent="0.35">
      <c r="A70">
        <v>2024</v>
      </c>
      <c r="B70">
        <v>39</v>
      </c>
      <c r="C70" t="s">
        <v>273</v>
      </c>
      <c r="D70">
        <v>50</v>
      </c>
      <c r="E70">
        <v>14.5</v>
      </c>
      <c r="F70" t="s">
        <v>289</v>
      </c>
      <c r="G70">
        <v>5</v>
      </c>
      <c r="H70">
        <v>1</v>
      </c>
      <c r="I70" t="s">
        <v>278</v>
      </c>
      <c r="J70" t="s">
        <v>180</v>
      </c>
      <c r="K70" t="s">
        <v>180</v>
      </c>
      <c r="L70" t="s">
        <v>180</v>
      </c>
      <c r="M70" t="s">
        <v>180</v>
      </c>
      <c r="N70" t="s">
        <v>180</v>
      </c>
      <c r="P70">
        <v>0</v>
      </c>
      <c r="Q70">
        <v>0</v>
      </c>
      <c r="R70" t="s">
        <v>205</v>
      </c>
      <c r="U70" t="s">
        <v>205</v>
      </c>
    </row>
    <row r="71" spans="1:21" x14ac:dyDescent="0.35">
      <c r="A71">
        <v>2024</v>
      </c>
      <c r="B71">
        <v>39</v>
      </c>
      <c r="C71" t="s">
        <v>273</v>
      </c>
      <c r="D71">
        <v>55</v>
      </c>
      <c r="E71">
        <v>14.3</v>
      </c>
      <c r="F71" t="s">
        <v>289</v>
      </c>
      <c r="G71">
        <v>2.9</v>
      </c>
      <c r="H71">
        <v>1</v>
      </c>
      <c r="I71" t="s">
        <v>278</v>
      </c>
      <c r="J71" t="s">
        <v>180</v>
      </c>
      <c r="K71" t="s">
        <v>180</v>
      </c>
      <c r="L71" t="s">
        <v>180</v>
      </c>
      <c r="M71" t="s">
        <v>180</v>
      </c>
      <c r="N71" t="s">
        <v>180</v>
      </c>
      <c r="P71">
        <v>0</v>
      </c>
      <c r="Q71">
        <v>0</v>
      </c>
      <c r="R71" t="s">
        <v>205</v>
      </c>
      <c r="U71" t="s">
        <v>205</v>
      </c>
    </row>
    <row r="72" spans="1:21" x14ac:dyDescent="0.35">
      <c r="A72">
        <v>2024</v>
      </c>
      <c r="B72">
        <v>51</v>
      </c>
      <c r="C72" t="s">
        <v>296</v>
      </c>
      <c r="D72" t="s">
        <v>205</v>
      </c>
      <c r="E72" t="s">
        <v>205</v>
      </c>
      <c r="F72" t="s">
        <v>205</v>
      </c>
      <c r="G72" t="s">
        <v>205</v>
      </c>
      <c r="H72" t="s">
        <v>205</v>
      </c>
      <c r="I72" t="s">
        <v>205</v>
      </c>
      <c r="J72" t="s">
        <v>205</v>
      </c>
      <c r="K72" t="s">
        <v>205</v>
      </c>
      <c r="L72" t="s">
        <v>205</v>
      </c>
      <c r="M72" t="s">
        <v>205</v>
      </c>
      <c r="N72" t="s">
        <v>205</v>
      </c>
      <c r="O72" t="s">
        <v>205</v>
      </c>
      <c r="P72" t="s">
        <v>205</v>
      </c>
      <c r="Q72" t="s">
        <v>205</v>
      </c>
      <c r="R72" t="s">
        <v>205</v>
      </c>
      <c r="T72" t="s">
        <v>205</v>
      </c>
      <c r="U72" t="s">
        <v>205</v>
      </c>
    </row>
    <row r="73" spans="1:21" x14ac:dyDescent="0.35">
      <c r="A73">
        <v>2024</v>
      </c>
      <c r="B73">
        <v>52</v>
      </c>
      <c r="C73" t="s">
        <v>277</v>
      </c>
      <c r="D73">
        <v>283</v>
      </c>
      <c r="E73">
        <v>9.5500000000000007</v>
      </c>
      <c r="F73" t="s">
        <v>289</v>
      </c>
      <c r="G73">
        <v>1.7</v>
      </c>
      <c r="H73">
        <v>1</v>
      </c>
      <c r="I73" t="s">
        <v>275</v>
      </c>
      <c r="J73" t="s">
        <v>180</v>
      </c>
      <c r="K73" t="s">
        <v>180</v>
      </c>
      <c r="L73" t="s">
        <v>179</v>
      </c>
      <c r="M73" t="s">
        <v>180</v>
      </c>
      <c r="N73" t="s">
        <v>180</v>
      </c>
      <c r="P73">
        <v>0</v>
      </c>
      <c r="Q73">
        <v>0</v>
      </c>
      <c r="R73" t="s">
        <v>317</v>
      </c>
      <c r="U73" t="s">
        <v>205</v>
      </c>
    </row>
    <row r="74" spans="1:21" x14ac:dyDescent="0.35">
      <c r="A74">
        <v>2024</v>
      </c>
      <c r="B74">
        <v>54</v>
      </c>
      <c r="C74" t="s">
        <v>296</v>
      </c>
      <c r="D74" t="s">
        <v>205</v>
      </c>
      <c r="E74" t="s">
        <v>205</v>
      </c>
      <c r="F74" t="s">
        <v>205</v>
      </c>
      <c r="G74" t="s">
        <v>205</v>
      </c>
      <c r="H74" t="s">
        <v>205</v>
      </c>
      <c r="I74" t="s">
        <v>205</v>
      </c>
      <c r="J74" t="s">
        <v>205</v>
      </c>
      <c r="K74" t="s">
        <v>205</v>
      </c>
      <c r="L74" t="s">
        <v>205</v>
      </c>
      <c r="M74" t="s">
        <v>205</v>
      </c>
      <c r="N74" t="s">
        <v>205</v>
      </c>
      <c r="O74" t="s">
        <v>205</v>
      </c>
      <c r="P74" t="s">
        <v>205</v>
      </c>
      <c r="Q74" t="s">
        <v>205</v>
      </c>
      <c r="R74" t="s">
        <v>205</v>
      </c>
      <c r="U74" t="s">
        <v>205</v>
      </c>
    </row>
    <row r="75" spans="1:21" x14ac:dyDescent="0.35">
      <c r="A75">
        <v>2024</v>
      </c>
      <c r="B75">
        <v>54</v>
      </c>
      <c r="C75" t="s">
        <v>273</v>
      </c>
      <c r="F75" t="s">
        <v>318</v>
      </c>
      <c r="R75" t="s">
        <v>319</v>
      </c>
      <c r="U75" t="s">
        <v>205</v>
      </c>
    </row>
    <row r="76" spans="1:21" s="12" customFormat="1" x14ac:dyDescent="0.35">
      <c r="A76">
        <v>2024</v>
      </c>
      <c r="B76" s="12">
        <v>39</v>
      </c>
      <c r="C76" s="12" t="s">
        <v>273</v>
      </c>
      <c r="D76" s="12">
        <v>76</v>
      </c>
      <c r="E76" s="12">
        <v>1</v>
      </c>
      <c r="F76" s="12" t="s">
        <v>289</v>
      </c>
      <c r="G76" s="12">
        <v>6.2</v>
      </c>
      <c r="H76" s="12">
        <v>1</v>
      </c>
      <c r="I76" s="12" t="s">
        <v>278</v>
      </c>
      <c r="J76" s="12" t="s">
        <v>180</v>
      </c>
      <c r="K76" s="12" t="s">
        <v>180</v>
      </c>
      <c r="L76" s="12" t="s">
        <v>180</v>
      </c>
      <c r="M76" s="12" t="s">
        <v>180</v>
      </c>
      <c r="N76" s="12" t="s">
        <v>179</v>
      </c>
      <c r="P76" s="12">
        <v>0</v>
      </c>
      <c r="Q76" s="12">
        <v>0</v>
      </c>
      <c r="U76" t="s">
        <v>205</v>
      </c>
    </row>
    <row r="77" spans="1:21" x14ac:dyDescent="0.35">
      <c r="A77">
        <v>2024</v>
      </c>
      <c r="B77">
        <v>39</v>
      </c>
      <c r="C77" t="s">
        <v>273</v>
      </c>
      <c r="D77">
        <v>8</v>
      </c>
      <c r="E77">
        <v>1.59</v>
      </c>
      <c r="F77" t="s">
        <v>289</v>
      </c>
      <c r="G77">
        <v>8</v>
      </c>
      <c r="H77">
        <v>5</v>
      </c>
      <c r="I77" t="s">
        <v>278</v>
      </c>
      <c r="J77" t="s">
        <v>180</v>
      </c>
      <c r="K77" t="s">
        <v>179</v>
      </c>
      <c r="L77" t="s">
        <v>180</v>
      </c>
      <c r="M77" t="s">
        <v>179</v>
      </c>
      <c r="N77" t="s">
        <v>179</v>
      </c>
      <c r="P77">
        <v>0</v>
      </c>
      <c r="Q77">
        <v>1</v>
      </c>
      <c r="S77" t="s">
        <v>320</v>
      </c>
      <c r="U77" t="s">
        <v>311</v>
      </c>
    </row>
    <row r="78" spans="1:21" x14ac:dyDescent="0.35">
      <c r="A78">
        <v>2024</v>
      </c>
      <c r="B78">
        <v>39</v>
      </c>
      <c r="C78" t="s">
        <v>273</v>
      </c>
      <c r="D78">
        <v>25</v>
      </c>
      <c r="E78">
        <v>5.22</v>
      </c>
      <c r="F78" t="s">
        <v>289</v>
      </c>
      <c r="G78">
        <v>3</v>
      </c>
      <c r="H78">
        <v>1</v>
      </c>
      <c r="I78" t="s">
        <v>278</v>
      </c>
      <c r="J78" t="s">
        <v>180</v>
      </c>
      <c r="K78" t="s">
        <v>180</v>
      </c>
      <c r="L78" t="s">
        <v>180</v>
      </c>
      <c r="M78" t="s">
        <v>180</v>
      </c>
      <c r="N78" t="s">
        <v>180</v>
      </c>
      <c r="P78">
        <v>0</v>
      </c>
      <c r="Q78">
        <v>0</v>
      </c>
      <c r="S78" t="s">
        <v>321</v>
      </c>
      <c r="U78" t="s">
        <v>205</v>
      </c>
    </row>
    <row r="79" spans="1:21" x14ac:dyDescent="0.35">
      <c r="A79">
        <v>2024</v>
      </c>
      <c r="B79">
        <v>39</v>
      </c>
      <c r="C79" t="s">
        <v>273</v>
      </c>
      <c r="D79">
        <v>25</v>
      </c>
      <c r="E79">
        <v>5.22</v>
      </c>
      <c r="F79" t="s">
        <v>289</v>
      </c>
      <c r="G79">
        <v>8.8000000000000007</v>
      </c>
      <c r="H79">
        <v>5</v>
      </c>
      <c r="I79" t="s">
        <v>269</v>
      </c>
      <c r="J79" t="s">
        <v>179</v>
      </c>
      <c r="K79" t="s">
        <v>179</v>
      </c>
      <c r="L79" t="s">
        <v>179</v>
      </c>
      <c r="M79" t="s">
        <v>179</v>
      </c>
      <c r="N79" t="s">
        <v>179</v>
      </c>
      <c r="P79">
        <v>1</v>
      </c>
      <c r="Q79">
        <v>4</v>
      </c>
      <c r="S79" t="s">
        <v>322</v>
      </c>
      <c r="U79" t="s">
        <v>301</v>
      </c>
    </row>
    <row r="80" spans="1:21" x14ac:dyDescent="0.35">
      <c r="A80">
        <v>2024</v>
      </c>
      <c r="B80">
        <v>39</v>
      </c>
      <c r="C80" t="s">
        <v>273</v>
      </c>
      <c r="D80">
        <v>29</v>
      </c>
      <c r="E80">
        <v>11.3</v>
      </c>
      <c r="F80" t="s">
        <v>289</v>
      </c>
      <c r="G80">
        <v>5.0999999999999996</v>
      </c>
      <c r="H80">
        <v>1</v>
      </c>
      <c r="J80" t="s">
        <v>180</v>
      </c>
      <c r="K80" t="s">
        <v>180</v>
      </c>
      <c r="L80" t="s">
        <v>180</v>
      </c>
      <c r="M80" t="s">
        <v>180</v>
      </c>
      <c r="N80" t="s">
        <v>180</v>
      </c>
      <c r="P80">
        <v>0</v>
      </c>
      <c r="Q80">
        <v>0</v>
      </c>
      <c r="R80" t="s">
        <v>323</v>
      </c>
      <c r="U80" t="s">
        <v>205</v>
      </c>
    </row>
    <row r="81" spans="1:21" x14ac:dyDescent="0.35">
      <c r="A81">
        <v>2024</v>
      </c>
      <c r="B81">
        <v>39</v>
      </c>
      <c r="C81" t="s">
        <v>292</v>
      </c>
      <c r="D81">
        <v>135</v>
      </c>
      <c r="E81">
        <v>7.07</v>
      </c>
      <c r="F81" t="s">
        <v>289</v>
      </c>
      <c r="G81">
        <v>8</v>
      </c>
      <c r="H81">
        <v>1</v>
      </c>
      <c r="I81" t="s">
        <v>269</v>
      </c>
      <c r="J81" t="s">
        <v>180</v>
      </c>
      <c r="K81" t="s">
        <v>180</v>
      </c>
      <c r="L81" t="s">
        <v>180</v>
      </c>
      <c r="M81" t="s">
        <v>180</v>
      </c>
      <c r="N81" t="s">
        <v>180</v>
      </c>
      <c r="P81">
        <v>0</v>
      </c>
      <c r="Q81">
        <v>0</v>
      </c>
      <c r="U81" t="s">
        <v>205</v>
      </c>
    </row>
    <row r="82" spans="1:21" x14ac:dyDescent="0.35">
      <c r="A82">
        <v>2024</v>
      </c>
      <c r="B82">
        <v>39</v>
      </c>
      <c r="C82" t="s">
        <v>267</v>
      </c>
      <c r="D82">
        <v>187</v>
      </c>
      <c r="E82">
        <v>6.91</v>
      </c>
      <c r="F82" t="s">
        <v>289</v>
      </c>
      <c r="G82">
        <v>2.5</v>
      </c>
      <c r="H82">
        <v>1</v>
      </c>
      <c r="I82" t="s">
        <v>278</v>
      </c>
      <c r="J82" t="s">
        <v>180</v>
      </c>
      <c r="K82" t="s">
        <v>180</v>
      </c>
      <c r="L82" t="s">
        <v>180</v>
      </c>
      <c r="M82" t="s">
        <v>180</v>
      </c>
      <c r="N82" t="s">
        <v>180</v>
      </c>
      <c r="P82">
        <v>0</v>
      </c>
      <c r="Q82">
        <v>0</v>
      </c>
      <c r="U82" t="s">
        <v>205</v>
      </c>
    </row>
    <row r="83" spans="1:21" x14ac:dyDescent="0.35">
      <c r="A83">
        <v>2024</v>
      </c>
      <c r="B83">
        <v>39</v>
      </c>
      <c r="C83" t="s">
        <v>267</v>
      </c>
      <c r="D83">
        <v>208</v>
      </c>
      <c r="E83">
        <v>6.4</v>
      </c>
      <c r="F83" t="s">
        <v>289</v>
      </c>
      <c r="G83">
        <v>3.5</v>
      </c>
      <c r="H83">
        <v>1</v>
      </c>
      <c r="I83" t="s">
        <v>275</v>
      </c>
      <c r="J83" t="s">
        <v>180</v>
      </c>
      <c r="K83" t="s">
        <v>180</v>
      </c>
      <c r="L83" t="s">
        <v>180</v>
      </c>
      <c r="M83" t="s">
        <v>179</v>
      </c>
      <c r="N83" t="s">
        <v>179</v>
      </c>
      <c r="P83">
        <v>0</v>
      </c>
      <c r="Q83">
        <v>0</v>
      </c>
      <c r="S83" t="s">
        <v>324</v>
      </c>
      <c r="U83" t="s">
        <v>325</v>
      </c>
    </row>
    <row r="84" spans="1:21" ht="14.5" customHeight="1" x14ac:dyDescent="0.35">
      <c r="A84">
        <v>2024</v>
      </c>
      <c r="B84">
        <v>39</v>
      </c>
      <c r="C84" t="s">
        <v>267</v>
      </c>
      <c r="D84">
        <v>238</v>
      </c>
      <c r="E84">
        <v>5.09</v>
      </c>
      <c r="F84" t="s">
        <v>289</v>
      </c>
      <c r="G84">
        <v>7.9</v>
      </c>
      <c r="H84">
        <v>5</v>
      </c>
      <c r="I84" t="s">
        <v>278</v>
      </c>
      <c r="J84" t="s">
        <v>180</v>
      </c>
      <c r="K84" t="s">
        <v>179</v>
      </c>
      <c r="L84" t="s">
        <v>179</v>
      </c>
      <c r="M84" t="s">
        <v>179</v>
      </c>
      <c r="O84" t="s">
        <v>179</v>
      </c>
      <c r="P84">
        <v>0</v>
      </c>
      <c r="Q84">
        <v>3</v>
      </c>
      <c r="R84" t="s">
        <v>326</v>
      </c>
      <c r="S84" t="s">
        <v>327</v>
      </c>
      <c r="U84" t="s">
        <v>301</v>
      </c>
    </row>
    <row r="85" spans="1:21" x14ac:dyDescent="0.35">
      <c r="A85">
        <v>2024</v>
      </c>
      <c r="B85">
        <v>39</v>
      </c>
      <c r="C85" t="s">
        <v>267</v>
      </c>
      <c r="D85">
        <v>260</v>
      </c>
      <c r="E85">
        <v>4.05</v>
      </c>
      <c r="F85" t="s">
        <v>289</v>
      </c>
      <c r="G85">
        <v>4.2</v>
      </c>
      <c r="H85">
        <v>1</v>
      </c>
      <c r="I85" t="s">
        <v>278</v>
      </c>
      <c r="J85" t="s">
        <v>180</v>
      </c>
      <c r="K85" t="s">
        <v>180</v>
      </c>
      <c r="L85" t="s">
        <v>180</v>
      </c>
      <c r="M85" t="s">
        <v>179</v>
      </c>
      <c r="N85" t="s">
        <v>180</v>
      </c>
      <c r="P85">
        <v>0</v>
      </c>
      <c r="Q85">
        <v>0</v>
      </c>
      <c r="U85" t="s">
        <v>301</v>
      </c>
    </row>
    <row r="86" spans="1:21" x14ac:dyDescent="0.35">
      <c r="A86">
        <v>2024</v>
      </c>
      <c r="B86">
        <v>39</v>
      </c>
      <c r="C86" t="s">
        <v>267</v>
      </c>
      <c r="D86">
        <v>260</v>
      </c>
      <c r="E86">
        <v>6.17</v>
      </c>
      <c r="F86" t="s">
        <v>289</v>
      </c>
      <c r="G86">
        <v>5.4</v>
      </c>
      <c r="H86">
        <v>2</v>
      </c>
      <c r="I86" t="s">
        <v>269</v>
      </c>
      <c r="J86" t="s">
        <v>180</v>
      </c>
      <c r="K86" t="s">
        <v>180</v>
      </c>
      <c r="L86" t="s">
        <v>179</v>
      </c>
      <c r="M86" t="s">
        <v>179</v>
      </c>
      <c r="N86" t="s">
        <v>180</v>
      </c>
      <c r="P86">
        <v>0</v>
      </c>
      <c r="Q86">
        <v>0</v>
      </c>
      <c r="S86" t="s">
        <v>328</v>
      </c>
      <c r="U86" t="s">
        <v>301</v>
      </c>
    </row>
    <row r="87" spans="1:21" x14ac:dyDescent="0.35">
      <c r="A87">
        <v>2024</v>
      </c>
      <c r="B87">
        <v>39</v>
      </c>
      <c r="C87" t="s">
        <v>277</v>
      </c>
      <c r="D87">
        <v>313</v>
      </c>
      <c r="E87">
        <v>4.67</v>
      </c>
      <c r="F87" t="s">
        <v>289</v>
      </c>
      <c r="G87">
        <v>4.7</v>
      </c>
      <c r="H87">
        <v>2</v>
      </c>
      <c r="I87" t="s">
        <v>278</v>
      </c>
      <c r="J87" t="s">
        <v>180</v>
      </c>
      <c r="K87" t="s">
        <v>180</v>
      </c>
      <c r="L87" t="s">
        <v>180</v>
      </c>
      <c r="M87" t="s">
        <v>179</v>
      </c>
      <c r="N87" t="s">
        <v>180</v>
      </c>
      <c r="P87">
        <v>0</v>
      </c>
      <c r="Q87">
        <v>0</v>
      </c>
      <c r="S87" t="s">
        <v>328</v>
      </c>
      <c r="U87" t="s">
        <v>301</v>
      </c>
    </row>
    <row r="88" spans="1:21" x14ac:dyDescent="0.35">
      <c r="A88">
        <v>2024</v>
      </c>
      <c r="B88">
        <v>39</v>
      </c>
      <c r="C88" t="s">
        <v>277</v>
      </c>
      <c r="D88">
        <v>329</v>
      </c>
      <c r="E88">
        <v>3.54</v>
      </c>
      <c r="F88" t="s">
        <v>289</v>
      </c>
      <c r="G88">
        <v>5.5</v>
      </c>
      <c r="H88">
        <v>2</v>
      </c>
      <c r="I88" t="s">
        <v>278</v>
      </c>
      <c r="J88" t="s">
        <v>180</v>
      </c>
      <c r="K88" t="s">
        <v>180</v>
      </c>
      <c r="L88" t="s">
        <v>180</v>
      </c>
      <c r="M88" t="s">
        <v>179</v>
      </c>
      <c r="N88" t="s">
        <v>180</v>
      </c>
      <c r="P88">
        <v>0</v>
      </c>
      <c r="Q88">
        <v>0</v>
      </c>
      <c r="U88" t="s">
        <v>301</v>
      </c>
    </row>
    <row r="89" spans="1:21" x14ac:dyDescent="0.35">
      <c r="A89">
        <v>2024</v>
      </c>
      <c r="B89">
        <v>39</v>
      </c>
      <c r="C89" t="s">
        <v>277</v>
      </c>
      <c r="D89">
        <v>336</v>
      </c>
      <c r="E89">
        <v>7.42</v>
      </c>
      <c r="F89" t="s">
        <v>289</v>
      </c>
      <c r="G89">
        <v>4.5</v>
      </c>
      <c r="H89">
        <v>1</v>
      </c>
      <c r="I89" t="s">
        <v>275</v>
      </c>
      <c r="J89" t="s">
        <v>180</v>
      </c>
      <c r="K89" t="s">
        <v>180</v>
      </c>
      <c r="L89" t="s">
        <v>180</v>
      </c>
      <c r="M89" t="s">
        <v>179</v>
      </c>
      <c r="N89" t="s">
        <v>180</v>
      </c>
      <c r="P89">
        <v>0</v>
      </c>
      <c r="Q89">
        <v>0</v>
      </c>
      <c r="S89" t="s">
        <v>329</v>
      </c>
      <c r="U89" t="s">
        <v>301</v>
      </c>
    </row>
    <row r="90" spans="1:21" x14ac:dyDescent="0.35">
      <c r="A90">
        <v>2024</v>
      </c>
      <c r="B90">
        <v>39</v>
      </c>
      <c r="C90" t="s">
        <v>277</v>
      </c>
      <c r="D90">
        <v>333</v>
      </c>
      <c r="E90">
        <v>5.87</v>
      </c>
      <c r="F90" t="s">
        <v>289</v>
      </c>
      <c r="G90">
        <v>4.5</v>
      </c>
      <c r="H90">
        <v>5</v>
      </c>
      <c r="I90" t="s">
        <v>278</v>
      </c>
      <c r="J90" t="s">
        <v>180</v>
      </c>
      <c r="K90" t="s">
        <v>180</v>
      </c>
      <c r="L90" t="s">
        <v>179</v>
      </c>
      <c r="M90" t="s">
        <v>179</v>
      </c>
      <c r="N90" t="s">
        <v>180</v>
      </c>
      <c r="P90">
        <v>0</v>
      </c>
      <c r="Q90">
        <v>0</v>
      </c>
      <c r="U90" t="s">
        <v>301</v>
      </c>
    </row>
    <row r="91" spans="1:21" x14ac:dyDescent="0.35">
      <c r="A91">
        <v>2024</v>
      </c>
      <c r="B91">
        <v>39</v>
      </c>
      <c r="C91" t="s">
        <v>277</v>
      </c>
      <c r="D91">
        <v>353</v>
      </c>
      <c r="E91">
        <v>6.47</v>
      </c>
      <c r="F91" t="s">
        <v>289</v>
      </c>
      <c r="G91">
        <v>4.9000000000000004</v>
      </c>
      <c r="H91">
        <v>3</v>
      </c>
      <c r="I91" t="s">
        <v>278</v>
      </c>
      <c r="J91" t="s">
        <v>179</v>
      </c>
      <c r="K91" t="s">
        <v>180</v>
      </c>
      <c r="L91" t="s">
        <v>179</v>
      </c>
      <c r="M91" t="s">
        <v>179</v>
      </c>
      <c r="N91" t="s">
        <v>179</v>
      </c>
      <c r="P91">
        <v>0</v>
      </c>
      <c r="Q91">
        <v>0</v>
      </c>
      <c r="S91" t="s">
        <v>328</v>
      </c>
      <c r="U91" t="s">
        <v>301</v>
      </c>
    </row>
    <row r="92" spans="1:21" x14ac:dyDescent="0.35">
      <c r="A92">
        <v>2024</v>
      </c>
      <c r="B92">
        <v>39</v>
      </c>
      <c r="C92" t="s">
        <v>277</v>
      </c>
      <c r="D92">
        <v>296</v>
      </c>
      <c r="E92">
        <v>14</v>
      </c>
      <c r="F92" t="s">
        <v>289</v>
      </c>
      <c r="G92">
        <v>11.5</v>
      </c>
      <c r="H92">
        <v>1</v>
      </c>
      <c r="I92" t="s">
        <v>269</v>
      </c>
      <c r="J92" t="s">
        <v>180</v>
      </c>
      <c r="K92" t="s">
        <v>180</v>
      </c>
      <c r="L92" t="s">
        <v>180</v>
      </c>
      <c r="M92" t="s">
        <v>180</v>
      </c>
      <c r="N92" t="s">
        <v>179</v>
      </c>
      <c r="P92">
        <v>0</v>
      </c>
      <c r="Q92">
        <v>0</v>
      </c>
      <c r="S92" t="s">
        <v>330</v>
      </c>
      <c r="U92" t="s">
        <v>205</v>
      </c>
    </row>
    <row r="93" spans="1:21" s="11" customFormat="1" x14ac:dyDescent="0.35">
      <c r="A93">
        <v>2024</v>
      </c>
      <c r="B93" s="11">
        <v>38</v>
      </c>
      <c r="C93" s="11" t="s">
        <v>273</v>
      </c>
      <c r="D93" s="11">
        <v>10</v>
      </c>
      <c r="E93" s="11">
        <v>1.1499999999999999</v>
      </c>
      <c r="F93" s="11" t="s">
        <v>276</v>
      </c>
      <c r="G93" s="11">
        <v>4.5999999999999996</v>
      </c>
      <c r="H93" s="11">
        <v>1</v>
      </c>
      <c r="I93" s="11" t="s">
        <v>278</v>
      </c>
      <c r="J93" s="11" t="s">
        <v>180</v>
      </c>
      <c r="K93" s="11" t="s">
        <v>180</v>
      </c>
      <c r="L93" s="11" t="s">
        <v>179</v>
      </c>
      <c r="M93" s="11" t="s">
        <v>179</v>
      </c>
      <c r="N93" s="11" t="s">
        <v>180</v>
      </c>
      <c r="P93" s="11">
        <v>0</v>
      </c>
      <c r="Q93" s="11">
        <v>0</v>
      </c>
      <c r="U93" t="s">
        <v>301</v>
      </c>
    </row>
    <row r="94" spans="1:21" x14ac:dyDescent="0.35">
      <c r="A94">
        <v>2024</v>
      </c>
      <c r="B94">
        <v>38</v>
      </c>
      <c r="C94" t="s">
        <v>277</v>
      </c>
      <c r="D94">
        <v>358</v>
      </c>
      <c r="E94">
        <v>2.38</v>
      </c>
      <c r="F94" t="s">
        <v>331</v>
      </c>
      <c r="G94">
        <v>3.1</v>
      </c>
      <c r="H94">
        <v>2</v>
      </c>
      <c r="I94" t="s">
        <v>278</v>
      </c>
      <c r="J94" t="s">
        <v>180</v>
      </c>
      <c r="K94" t="s">
        <v>180</v>
      </c>
      <c r="L94" t="s">
        <v>179</v>
      </c>
      <c r="M94" t="s">
        <v>180</v>
      </c>
      <c r="N94" t="s">
        <v>180</v>
      </c>
      <c r="P94">
        <v>0</v>
      </c>
      <c r="Q94">
        <v>0</v>
      </c>
      <c r="U94" t="s">
        <v>205</v>
      </c>
    </row>
    <row r="95" spans="1:21" x14ac:dyDescent="0.35">
      <c r="A95">
        <v>2024</v>
      </c>
      <c r="B95">
        <v>38</v>
      </c>
      <c r="C95" t="s">
        <v>273</v>
      </c>
      <c r="D95">
        <v>4</v>
      </c>
      <c r="E95">
        <v>7.82</v>
      </c>
      <c r="F95" t="s">
        <v>289</v>
      </c>
      <c r="G95">
        <v>3.4</v>
      </c>
      <c r="H95">
        <v>1</v>
      </c>
      <c r="I95" t="s">
        <v>278</v>
      </c>
      <c r="J95" t="s">
        <v>180</v>
      </c>
      <c r="K95" t="s">
        <v>180</v>
      </c>
      <c r="L95" t="s">
        <v>180</v>
      </c>
      <c r="M95" t="s">
        <v>179</v>
      </c>
      <c r="N95" t="s">
        <v>180</v>
      </c>
      <c r="P95">
        <v>0</v>
      </c>
      <c r="Q95">
        <v>0</v>
      </c>
      <c r="U95" t="s">
        <v>301</v>
      </c>
    </row>
    <row r="96" spans="1:21" x14ac:dyDescent="0.35">
      <c r="A96">
        <v>2024</v>
      </c>
      <c r="B96">
        <v>38</v>
      </c>
      <c r="C96" t="s">
        <v>273</v>
      </c>
      <c r="D96">
        <v>35</v>
      </c>
      <c r="E96">
        <v>7.89</v>
      </c>
      <c r="F96" t="s">
        <v>289</v>
      </c>
      <c r="G96">
        <v>5</v>
      </c>
      <c r="H96">
        <v>5</v>
      </c>
      <c r="I96" t="s">
        <v>278</v>
      </c>
      <c r="J96" t="s">
        <v>180</v>
      </c>
      <c r="K96" t="s">
        <v>179</v>
      </c>
      <c r="L96" t="s">
        <v>179</v>
      </c>
      <c r="M96" t="s">
        <v>179</v>
      </c>
      <c r="N96" t="s">
        <v>180</v>
      </c>
      <c r="P96">
        <v>0</v>
      </c>
      <c r="Q96">
        <v>2</v>
      </c>
      <c r="U96" t="s">
        <v>301</v>
      </c>
    </row>
    <row r="97" spans="1:21" x14ac:dyDescent="0.35">
      <c r="A97">
        <v>2024</v>
      </c>
      <c r="B97">
        <v>38</v>
      </c>
      <c r="C97" t="s">
        <v>273</v>
      </c>
      <c r="D97">
        <v>84</v>
      </c>
      <c r="E97">
        <v>7.47</v>
      </c>
      <c r="F97" t="s">
        <v>289</v>
      </c>
      <c r="G97">
        <v>5.9</v>
      </c>
      <c r="H97">
        <v>5</v>
      </c>
      <c r="I97" t="s">
        <v>278</v>
      </c>
      <c r="J97" t="s">
        <v>180</v>
      </c>
      <c r="K97" t="s">
        <v>180</v>
      </c>
      <c r="L97" t="s">
        <v>179</v>
      </c>
      <c r="M97" t="s">
        <v>179</v>
      </c>
      <c r="N97" t="s">
        <v>179</v>
      </c>
      <c r="O97" t="s">
        <v>179</v>
      </c>
      <c r="P97">
        <v>0</v>
      </c>
      <c r="Q97">
        <v>0</v>
      </c>
      <c r="S97" t="s">
        <v>332</v>
      </c>
      <c r="U97" t="s">
        <v>325</v>
      </c>
    </row>
    <row r="98" spans="1:21" x14ac:dyDescent="0.35">
      <c r="A98">
        <v>2024</v>
      </c>
      <c r="B98">
        <v>38</v>
      </c>
      <c r="C98" t="s">
        <v>292</v>
      </c>
      <c r="D98">
        <v>111</v>
      </c>
      <c r="E98">
        <v>5.76</v>
      </c>
      <c r="F98" t="s">
        <v>289</v>
      </c>
      <c r="G98">
        <v>3.6</v>
      </c>
      <c r="H98">
        <v>5</v>
      </c>
      <c r="I98" t="s">
        <v>278</v>
      </c>
      <c r="J98" t="s">
        <v>180</v>
      </c>
      <c r="K98" t="s">
        <v>180</v>
      </c>
      <c r="L98" t="s">
        <v>179</v>
      </c>
      <c r="M98" t="s">
        <v>179</v>
      </c>
      <c r="N98" t="s">
        <v>180</v>
      </c>
      <c r="P98">
        <v>0</v>
      </c>
      <c r="Q98">
        <v>0</v>
      </c>
      <c r="U98" t="s">
        <v>301</v>
      </c>
    </row>
    <row r="99" spans="1:21" x14ac:dyDescent="0.35">
      <c r="A99">
        <v>2024</v>
      </c>
      <c r="B99">
        <v>38</v>
      </c>
      <c r="C99" t="s">
        <v>292</v>
      </c>
      <c r="D99">
        <v>111</v>
      </c>
      <c r="E99">
        <v>5.76</v>
      </c>
      <c r="F99" t="s">
        <v>289</v>
      </c>
      <c r="G99">
        <v>3.6</v>
      </c>
      <c r="H99">
        <v>5</v>
      </c>
      <c r="I99" t="s">
        <v>278</v>
      </c>
      <c r="J99" t="s">
        <v>179</v>
      </c>
      <c r="K99" t="s">
        <v>179</v>
      </c>
      <c r="L99" t="s">
        <v>179</v>
      </c>
      <c r="M99" t="s">
        <v>180</v>
      </c>
      <c r="N99" t="s">
        <v>179</v>
      </c>
      <c r="P99">
        <v>0</v>
      </c>
      <c r="Q99">
        <v>1</v>
      </c>
      <c r="U99" t="s">
        <v>205</v>
      </c>
    </row>
    <row r="100" spans="1:21" x14ac:dyDescent="0.35">
      <c r="A100">
        <v>2024</v>
      </c>
      <c r="B100">
        <v>38</v>
      </c>
      <c r="C100" t="s">
        <v>292</v>
      </c>
      <c r="D100">
        <v>135</v>
      </c>
      <c r="E100">
        <v>5.92</v>
      </c>
      <c r="F100" t="s">
        <v>289</v>
      </c>
      <c r="G100">
        <v>4.4000000000000004</v>
      </c>
      <c r="H100">
        <v>1</v>
      </c>
      <c r="I100" t="s">
        <v>278</v>
      </c>
      <c r="J100" t="s">
        <v>180</v>
      </c>
      <c r="K100" t="s">
        <v>180</v>
      </c>
      <c r="L100" t="s">
        <v>180</v>
      </c>
      <c r="M100" t="s">
        <v>180</v>
      </c>
      <c r="N100" t="s">
        <v>180</v>
      </c>
      <c r="P100">
        <v>0</v>
      </c>
      <c r="Q100">
        <v>0</v>
      </c>
      <c r="U100" t="s">
        <v>205</v>
      </c>
    </row>
    <row r="101" spans="1:21" x14ac:dyDescent="0.35">
      <c r="A101">
        <v>2024</v>
      </c>
      <c r="B101">
        <v>38</v>
      </c>
      <c r="C101" t="s">
        <v>292</v>
      </c>
      <c r="D101">
        <v>148</v>
      </c>
      <c r="E101">
        <v>4.93</v>
      </c>
      <c r="F101" t="s">
        <v>289</v>
      </c>
      <c r="G101">
        <v>4.4000000000000004</v>
      </c>
      <c r="H101">
        <v>1</v>
      </c>
      <c r="I101" t="s">
        <v>278</v>
      </c>
      <c r="J101" t="s">
        <v>180</v>
      </c>
      <c r="K101" t="s">
        <v>180</v>
      </c>
      <c r="L101" t="s">
        <v>179</v>
      </c>
      <c r="M101" t="s">
        <v>179</v>
      </c>
      <c r="N101" t="s">
        <v>180</v>
      </c>
      <c r="P101">
        <v>0</v>
      </c>
      <c r="Q101">
        <v>0</v>
      </c>
      <c r="U101" t="s">
        <v>301</v>
      </c>
    </row>
    <row r="102" spans="1:21" x14ac:dyDescent="0.35">
      <c r="A102">
        <v>2024</v>
      </c>
      <c r="B102">
        <v>38</v>
      </c>
      <c r="C102" t="s">
        <v>292</v>
      </c>
      <c r="D102">
        <v>146</v>
      </c>
      <c r="E102">
        <v>7.52</v>
      </c>
      <c r="F102" t="s">
        <v>289</v>
      </c>
      <c r="G102">
        <v>4</v>
      </c>
      <c r="H102">
        <v>1</v>
      </c>
      <c r="I102" t="s">
        <v>278</v>
      </c>
      <c r="J102" t="s">
        <v>180</v>
      </c>
      <c r="K102" t="s">
        <v>180</v>
      </c>
      <c r="L102" t="s">
        <v>180</v>
      </c>
      <c r="M102" t="s">
        <v>179</v>
      </c>
      <c r="N102" t="s">
        <v>180</v>
      </c>
      <c r="P102">
        <v>0</v>
      </c>
      <c r="Q102">
        <v>0</v>
      </c>
      <c r="U102" t="s">
        <v>301</v>
      </c>
    </row>
    <row r="103" spans="1:21" x14ac:dyDescent="0.35">
      <c r="A103">
        <v>2024</v>
      </c>
      <c r="B103">
        <v>38</v>
      </c>
      <c r="C103" t="s">
        <v>292</v>
      </c>
      <c r="D103">
        <v>172</v>
      </c>
      <c r="E103">
        <v>3.36</v>
      </c>
      <c r="F103" t="s">
        <v>289</v>
      </c>
      <c r="G103">
        <v>4.5999999999999996</v>
      </c>
      <c r="H103">
        <v>1</v>
      </c>
      <c r="I103" t="s">
        <v>278</v>
      </c>
      <c r="J103" t="s">
        <v>180</v>
      </c>
      <c r="K103" t="s">
        <v>180</v>
      </c>
      <c r="L103" t="s">
        <v>180</v>
      </c>
      <c r="M103" t="s">
        <v>180</v>
      </c>
      <c r="N103" t="s">
        <v>180</v>
      </c>
      <c r="P103">
        <v>0</v>
      </c>
      <c r="Q103">
        <v>0</v>
      </c>
      <c r="U103" t="s">
        <v>205</v>
      </c>
    </row>
    <row r="104" spans="1:21" x14ac:dyDescent="0.35">
      <c r="A104">
        <v>2024</v>
      </c>
      <c r="B104">
        <v>38</v>
      </c>
      <c r="C104" t="s">
        <v>267</v>
      </c>
      <c r="E104" t="s">
        <v>333</v>
      </c>
      <c r="F104" t="s">
        <v>289</v>
      </c>
      <c r="G104">
        <v>4.4000000000000004</v>
      </c>
      <c r="H104">
        <v>1</v>
      </c>
      <c r="I104" t="s">
        <v>278</v>
      </c>
      <c r="J104" t="s">
        <v>180</v>
      </c>
      <c r="K104" t="s">
        <v>180</v>
      </c>
      <c r="L104" t="s">
        <v>180</v>
      </c>
      <c r="M104" t="s">
        <v>180</v>
      </c>
      <c r="N104" t="s">
        <v>180</v>
      </c>
      <c r="U104" t="s">
        <v>205</v>
      </c>
    </row>
    <row r="105" spans="1:21" x14ac:dyDescent="0.35">
      <c r="A105">
        <v>2024</v>
      </c>
      <c r="B105">
        <v>38</v>
      </c>
      <c r="C105" t="s">
        <v>267</v>
      </c>
      <c r="E105" t="s">
        <v>333</v>
      </c>
      <c r="F105" t="s">
        <v>289</v>
      </c>
      <c r="G105">
        <v>6.9</v>
      </c>
      <c r="H105">
        <v>1</v>
      </c>
      <c r="I105" t="s">
        <v>278</v>
      </c>
      <c r="J105" t="s">
        <v>180</v>
      </c>
      <c r="K105" t="s">
        <v>180</v>
      </c>
      <c r="L105" t="s">
        <v>180</v>
      </c>
      <c r="M105" t="s">
        <v>180</v>
      </c>
      <c r="N105" t="s">
        <v>180</v>
      </c>
      <c r="U105" t="s">
        <v>205</v>
      </c>
    </row>
    <row r="106" spans="1:21" x14ac:dyDescent="0.35">
      <c r="A106">
        <v>2024</v>
      </c>
      <c r="B106">
        <v>38</v>
      </c>
      <c r="C106" t="s">
        <v>267</v>
      </c>
      <c r="E106" t="s">
        <v>333</v>
      </c>
      <c r="F106" t="s">
        <v>289</v>
      </c>
      <c r="G106">
        <v>4</v>
      </c>
      <c r="H106">
        <v>1</v>
      </c>
      <c r="I106" t="s">
        <v>278</v>
      </c>
      <c r="J106" t="s">
        <v>180</v>
      </c>
      <c r="K106" t="s">
        <v>180</v>
      </c>
      <c r="L106" t="s">
        <v>180</v>
      </c>
      <c r="M106" t="s">
        <v>180</v>
      </c>
      <c r="N106" t="s">
        <v>180</v>
      </c>
      <c r="U106" t="s">
        <v>205</v>
      </c>
    </row>
    <row r="107" spans="1:21" x14ac:dyDescent="0.35">
      <c r="A107">
        <v>2024</v>
      </c>
      <c r="B107">
        <v>38</v>
      </c>
      <c r="C107" t="s">
        <v>267</v>
      </c>
      <c r="E107" t="s">
        <v>333</v>
      </c>
      <c r="F107" t="s">
        <v>289</v>
      </c>
      <c r="G107">
        <v>4.8</v>
      </c>
      <c r="H107">
        <v>1</v>
      </c>
      <c r="I107" t="s">
        <v>278</v>
      </c>
      <c r="J107" t="s">
        <v>180</v>
      </c>
      <c r="K107" t="s">
        <v>180</v>
      </c>
      <c r="L107" t="s">
        <v>180</v>
      </c>
      <c r="M107" t="s">
        <v>180</v>
      </c>
      <c r="N107" t="s">
        <v>180</v>
      </c>
      <c r="U107" t="s">
        <v>205</v>
      </c>
    </row>
    <row r="108" spans="1:21" x14ac:dyDescent="0.35">
      <c r="A108">
        <v>2024</v>
      </c>
      <c r="B108">
        <v>38</v>
      </c>
      <c r="C108" t="s">
        <v>267</v>
      </c>
      <c r="E108" t="s">
        <v>333</v>
      </c>
      <c r="F108" t="s">
        <v>289</v>
      </c>
      <c r="G108">
        <v>2.7</v>
      </c>
      <c r="H108">
        <v>1</v>
      </c>
      <c r="I108" t="s">
        <v>278</v>
      </c>
      <c r="J108" t="s">
        <v>180</v>
      </c>
      <c r="K108" t="s">
        <v>180</v>
      </c>
      <c r="L108" t="s">
        <v>180</v>
      </c>
      <c r="M108" t="s">
        <v>180</v>
      </c>
      <c r="N108" t="s">
        <v>180</v>
      </c>
      <c r="U108" t="s">
        <v>205</v>
      </c>
    </row>
    <row r="109" spans="1:21" x14ac:dyDescent="0.35">
      <c r="A109">
        <v>2024</v>
      </c>
      <c r="B109">
        <v>38</v>
      </c>
      <c r="C109" t="s">
        <v>267</v>
      </c>
      <c r="E109" t="s">
        <v>333</v>
      </c>
      <c r="F109" t="s">
        <v>268</v>
      </c>
      <c r="G109">
        <v>10.3</v>
      </c>
      <c r="H109">
        <v>1</v>
      </c>
      <c r="I109" t="s">
        <v>269</v>
      </c>
      <c r="J109" t="s">
        <v>180</v>
      </c>
      <c r="K109" t="s">
        <v>180</v>
      </c>
      <c r="L109" t="s">
        <v>179</v>
      </c>
      <c r="M109" t="s">
        <v>180</v>
      </c>
      <c r="N109" t="s">
        <v>180</v>
      </c>
      <c r="U109" t="s">
        <v>205</v>
      </c>
    </row>
    <row r="110" spans="1:21" x14ac:dyDescent="0.35">
      <c r="A110">
        <v>2024</v>
      </c>
      <c r="B110">
        <v>38</v>
      </c>
      <c r="C110" t="s">
        <v>267</v>
      </c>
      <c r="E110" t="s">
        <v>333</v>
      </c>
      <c r="F110" t="s">
        <v>289</v>
      </c>
      <c r="G110">
        <v>4.9000000000000004</v>
      </c>
      <c r="H110">
        <v>1</v>
      </c>
      <c r="I110" t="s">
        <v>278</v>
      </c>
      <c r="J110" t="s">
        <v>180</v>
      </c>
      <c r="K110" t="s">
        <v>180</v>
      </c>
      <c r="L110" t="s">
        <v>180</v>
      </c>
      <c r="M110" t="s">
        <v>180</v>
      </c>
      <c r="N110" t="s">
        <v>180</v>
      </c>
      <c r="U110" t="s">
        <v>205</v>
      </c>
    </row>
    <row r="111" spans="1:21" x14ac:dyDescent="0.35">
      <c r="A111">
        <v>2024</v>
      </c>
      <c r="B111">
        <v>38</v>
      </c>
      <c r="C111" t="s">
        <v>267</v>
      </c>
      <c r="E111" t="s">
        <v>333</v>
      </c>
      <c r="F111" t="s">
        <v>289</v>
      </c>
      <c r="G111">
        <v>3.6</v>
      </c>
      <c r="H111">
        <v>1</v>
      </c>
      <c r="I111" t="s">
        <v>278</v>
      </c>
      <c r="J111" t="s">
        <v>180</v>
      </c>
      <c r="K111" t="s">
        <v>180</v>
      </c>
      <c r="L111" t="s">
        <v>180</v>
      </c>
      <c r="M111" t="s">
        <v>180</v>
      </c>
      <c r="N111" t="s">
        <v>180</v>
      </c>
      <c r="U111" t="s">
        <v>205</v>
      </c>
    </row>
    <row r="112" spans="1:21" x14ac:dyDescent="0.35">
      <c r="A112">
        <v>2024</v>
      </c>
      <c r="B112">
        <v>38</v>
      </c>
      <c r="C112" t="s">
        <v>267</v>
      </c>
      <c r="E112" t="s">
        <v>333</v>
      </c>
      <c r="F112" t="s">
        <v>289</v>
      </c>
      <c r="G112">
        <v>5.5</v>
      </c>
      <c r="H112">
        <v>1</v>
      </c>
      <c r="I112" t="s">
        <v>278</v>
      </c>
      <c r="J112" t="s">
        <v>180</v>
      </c>
      <c r="K112" t="s">
        <v>180</v>
      </c>
      <c r="L112" t="s">
        <v>179</v>
      </c>
      <c r="M112" t="s">
        <v>180</v>
      </c>
      <c r="N112" t="s">
        <v>180</v>
      </c>
      <c r="U112" t="s">
        <v>205</v>
      </c>
    </row>
    <row r="113" spans="1:21" x14ac:dyDescent="0.35">
      <c r="A113">
        <v>2024</v>
      </c>
      <c r="B113">
        <v>38</v>
      </c>
      <c r="C113" t="s">
        <v>267</v>
      </c>
      <c r="E113" t="s">
        <v>333</v>
      </c>
      <c r="F113" t="s">
        <v>289</v>
      </c>
      <c r="G113">
        <v>5.5</v>
      </c>
      <c r="H113">
        <v>2</v>
      </c>
      <c r="I113" t="s">
        <v>278</v>
      </c>
      <c r="J113" t="s">
        <v>180</v>
      </c>
      <c r="K113" t="s">
        <v>180</v>
      </c>
      <c r="L113" t="s">
        <v>179</v>
      </c>
      <c r="M113" t="s">
        <v>179</v>
      </c>
      <c r="N113" t="s">
        <v>180</v>
      </c>
      <c r="U113" t="s">
        <v>301</v>
      </c>
    </row>
    <row r="114" spans="1:21" s="11" customFormat="1" x14ac:dyDescent="0.35">
      <c r="A114">
        <v>2024</v>
      </c>
      <c r="B114" s="11">
        <v>38</v>
      </c>
      <c r="C114" s="11" t="s">
        <v>267</v>
      </c>
      <c r="E114" s="11" t="s">
        <v>333</v>
      </c>
      <c r="F114" s="11" t="s">
        <v>289</v>
      </c>
      <c r="G114" s="11">
        <v>7.8</v>
      </c>
      <c r="H114" s="11">
        <v>1</v>
      </c>
      <c r="I114" s="11" t="s">
        <v>278</v>
      </c>
      <c r="J114" s="11" t="s">
        <v>180</v>
      </c>
      <c r="K114" s="11" t="s">
        <v>180</v>
      </c>
      <c r="L114" s="11" t="s">
        <v>179</v>
      </c>
      <c r="M114" s="11" t="s">
        <v>180</v>
      </c>
      <c r="N114" s="11" t="s">
        <v>180</v>
      </c>
      <c r="S114" s="11" t="s">
        <v>307</v>
      </c>
      <c r="U114" s="11" t="s">
        <v>205</v>
      </c>
    </row>
    <row r="115" spans="1:21" x14ac:dyDescent="0.35">
      <c r="A115">
        <v>2024</v>
      </c>
      <c r="B115">
        <v>38</v>
      </c>
      <c r="C115" t="s">
        <v>267</v>
      </c>
      <c r="E115" t="s">
        <v>333</v>
      </c>
      <c r="F115" t="s">
        <v>289</v>
      </c>
      <c r="G115">
        <v>3.2</v>
      </c>
      <c r="H115">
        <v>1</v>
      </c>
      <c r="I115" t="s">
        <v>278</v>
      </c>
      <c r="J115" t="s">
        <v>180</v>
      </c>
      <c r="K115" t="s">
        <v>180</v>
      </c>
      <c r="L115" t="s">
        <v>179</v>
      </c>
      <c r="M115" t="s">
        <v>179</v>
      </c>
      <c r="N115" t="s">
        <v>180</v>
      </c>
      <c r="U115" t="s">
        <v>301</v>
      </c>
    </row>
    <row r="116" spans="1:21" x14ac:dyDescent="0.35">
      <c r="A116">
        <v>2024</v>
      </c>
      <c r="B116">
        <v>38</v>
      </c>
      <c r="C116" t="s">
        <v>267</v>
      </c>
      <c r="E116" t="s">
        <v>333</v>
      </c>
      <c r="F116" t="s">
        <v>289</v>
      </c>
      <c r="G116">
        <v>2.6</v>
      </c>
      <c r="H116">
        <v>1</v>
      </c>
      <c r="I116" t="s">
        <v>278</v>
      </c>
      <c r="J116" t="s">
        <v>180</v>
      </c>
      <c r="K116" t="s">
        <v>180</v>
      </c>
      <c r="L116" t="s">
        <v>180</v>
      </c>
      <c r="M116" t="s">
        <v>180</v>
      </c>
      <c r="N116" t="s">
        <v>180</v>
      </c>
      <c r="U116" t="s">
        <v>205</v>
      </c>
    </row>
    <row r="117" spans="1:21" x14ac:dyDescent="0.35">
      <c r="A117">
        <v>2024</v>
      </c>
      <c r="B117">
        <v>38</v>
      </c>
      <c r="C117" t="s">
        <v>267</v>
      </c>
      <c r="E117" t="s">
        <v>333</v>
      </c>
      <c r="F117" t="s">
        <v>289</v>
      </c>
      <c r="G117">
        <v>5</v>
      </c>
      <c r="H117">
        <v>1</v>
      </c>
      <c r="I117" t="s">
        <v>278</v>
      </c>
      <c r="J117" t="s">
        <v>180</v>
      </c>
      <c r="K117" t="s">
        <v>180</v>
      </c>
      <c r="L117" t="s">
        <v>179</v>
      </c>
      <c r="M117" t="s">
        <v>179</v>
      </c>
      <c r="N117" t="s">
        <v>180</v>
      </c>
      <c r="U117" t="s">
        <v>301</v>
      </c>
    </row>
    <row r="118" spans="1:21" x14ac:dyDescent="0.35">
      <c r="A118">
        <v>2024</v>
      </c>
      <c r="B118">
        <v>38</v>
      </c>
      <c r="C118" t="s">
        <v>277</v>
      </c>
      <c r="E118" t="s">
        <v>333</v>
      </c>
      <c r="F118" t="s">
        <v>289</v>
      </c>
      <c r="G118">
        <v>6.3</v>
      </c>
      <c r="H118">
        <v>5</v>
      </c>
      <c r="I118" t="s">
        <v>278</v>
      </c>
      <c r="J118" t="s">
        <v>180</v>
      </c>
      <c r="K118" t="s">
        <v>179</v>
      </c>
      <c r="L118" t="s">
        <v>179</v>
      </c>
      <c r="M118" t="s">
        <v>179</v>
      </c>
      <c r="N118" t="s">
        <v>179</v>
      </c>
      <c r="U118" t="s">
        <v>301</v>
      </c>
    </row>
    <row r="119" spans="1:21" x14ac:dyDescent="0.35">
      <c r="A119">
        <v>2024</v>
      </c>
      <c r="B119">
        <v>38</v>
      </c>
      <c r="C119" t="s">
        <v>277</v>
      </c>
      <c r="E119" t="s">
        <v>333</v>
      </c>
      <c r="F119" t="s">
        <v>268</v>
      </c>
      <c r="G119">
        <v>5</v>
      </c>
      <c r="H119">
        <v>1</v>
      </c>
      <c r="I119" t="s">
        <v>278</v>
      </c>
      <c r="J119" t="s">
        <v>180</v>
      </c>
      <c r="K119" t="s">
        <v>180</v>
      </c>
      <c r="L119" t="s">
        <v>179</v>
      </c>
      <c r="M119" t="s">
        <v>180</v>
      </c>
      <c r="N119" t="s">
        <v>180</v>
      </c>
      <c r="U119" t="s">
        <v>205</v>
      </c>
    </row>
    <row r="120" spans="1:21" x14ac:dyDescent="0.35">
      <c r="A120">
        <v>2024</v>
      </c>
      <c r="B120">
        <v>38</v>
      </c>
      <c r="C120" t="s">
        <v>277</v>
      </c>
      <c r="E120" t="s">
        <v>333</v>
      </c>
      <c r="F120" t="s">
        <v>289</v>
      </c>
      <c r="G120">
        <v>6.4</v>
      </c>
      <c r="H120">
        <v>2</v>
      </c>
      <c r="I120" t="s">
        <v>278</v>
      </c>
      <c r="J120" t="s">
        <v>180</v>
      </c>
      <c r="K120" t="s">
        <v>180</v>
      </c>
      <c r="L120" t="s">
        <v>180</v>
      </c>
      <c r="M120" t="s">
        <v>179</v>
      </c>
      <c r="N120" t="s">
        <v>180</v>
      </c>
      <c r="U120" t="s">
        <v>301</v>
      </c>
    </row>
    <row r="121" spans="1:21" x14ac:dyDescent="0.35">
      <c r="A121">
        <v>2024</v>
      </c>
      <c r="B121">
        <v>38</v>
      </c>
      <c r="C121" t="s">
        <v>277</v>
      </c>
      <c r="E121" t="s">
        <v>333</v>
      </c>
      <c r="F121" t="s">
        <v>289</v>
      </c>
      <c r="G121">
        <v>6.3</v>
      </c>
      <c r="I121" t="s">
        <v>278</v>
      </c>
      <c r="J121" t="s">
        <v>180</v>
      </c>
      <c r="K121" t="s">
        <v>180</v>
      </c>
      <c r="L121" t="s">
        <v>180</v>
      </c>
      <c r="M121" t="s">
        <v>179</v>
      </c>
      <c r="S121" t="s">
        <v>334</v>
      </c>
      <c r="U121" t="s">
        <v>301</v>
      </c>
    </row>
    <row r="122" spans="1:21" s="11" customFormat="1" x14ac:dyDescent="0.35">
      <c r="A122">
        <v>2024</v>
      </c>
      <c r="B122">
        <v>37</v>
      </c>
      <c r="C122" s="11" t="s">
        <v>273</v>
      </c>
      <c r="E122" s="11" t="s">
        <v>333</v>
      </c>
      <c r="F122" s="11" t="s">
        <v>289</v>
      </c>
      <c r="G122" s="11">
        <v>5.0999999999999996</v>
      </c>
      <c r="H122" s="11">
        <v>1</v>
      </c>
      <c r="I122" s="11" t="s">
        <v>278</v>
      </c>
      <c r="J122" s="11" t="s">
        <v>180</v>
      </c>
      <c r="K122" s="11" t="s">
        <v>180</v>
      </c>
      <c r="L122" s="11" t="s">
        <v>180</v>
      </c>
      <c r="M122" s="11" t="s">
        <v>180</v>
      </c>
      <c r="N122" s="11" t="s">
        <v>180</v>
      </c>
      <c r="U122" s="11" t="s">
        <v>205</v>
      </c>
    </row>
    <row r="123" spans="1:21" x14ac:dyDescent="0.35">
      <c r="A123">
        <v>2024</v>
      </c>
      <c r="B123">
        <v>37</v>
      </c>
      <c r="C123" t="s">
        <v>277</v>
      </c>
      <c r="E123" t="s">
        <v>333</v>
      </c>
      <c r="F123" t="s">
        <v>298</v>
      </c>
      <c r="G123">
        <v>2.9</v>
      </c>
      <c r="H123">
        <v>5</v>
      </c>
      <c r="I123" t="s">
        <v>275</v>
      </c>
      <c r="J123" t="s">
        <v>180</v>
      </c>
      <c r="K123" t="s">
        <v>179</v>
      </c>
      <c r="L123" t="s">
        <v>179</v>
      </c>
      <c r="M123" t="s">
        <v>180</v>
      </c>
      <c r="N123" t="s">
        <v>180</v>
      </c>
      <c r="U123" t="s">
        <v>205</v>
      </c>
    </row>
    <row r="124" spans="1:21" x14ac:dyDescent="0.35">
      <c r="A124">
        <v>2024</v>
      </c>
      <c r="B124">
        <v>37</v>
      </c>
      <c r="C124" t="s">
        <v>273</v>
      </c>
      <c r="E124" t="s">
        <v>333</v>
      </c>
      <c r="F124" t="s">
        <v>289</v>
      </c>
      <c r="G124">
        <v>4.5</v>
      </c>
      <c r="H124">
        <v>1</v>
      </c>
      <c r="I124" t="s">
        <v>278</v>
      </c>
      <c r="J124" t="s">
        <v>180</v>
      </c>
      <c r="K124" t="s">
        <v>180</v>
      </c>
      <c r="L124" t="s">
        <v>180</v>
      </c>
      <c r="M124" t="s">
        <v>179</v>
      </c>
      <c r="N124" t="s">
        <v>180</v>
      </c>
      <c r="U124" t="s">
        <v>301</v>
      </c>
    </row>
    <row r="125" spans="1:21" x14ac:dyDescent="0.35">
      <c r="A125">
        <v>2024</v>
      </c>
      <c r="B125">
        <v>37</v>
      </c>
      <c r="C125" t="s">
        <v>273</v>
      </c>
      <c r="E125" t="s">
        <v>333</v>
      </c>
      <c r="F125" t="s">
        <v>289</v>
      </c>
      <c r="G125">
        <v>5.3</v>
      </c>
      <c r="H125">
        <v>1</v>
      </c>
      <c r="I125" t="s">
        <v>278</v>
      </c>
      <c r="J125" t="s">
        <v>180</v>
      </c>
      <c r="K125" t="s">
        <v>180</v>
      </c>
      <c r="L125" t="s">
        <v>180</v>
      </c>
      <c r="M125" t="s">
        <v>180</v>
      </c>
      <c r="N125" t="s">
        <v>180</v>
      </c>
      <c r="U125" t="s">
        <v>205</v>
      </c>
    </row>
    <row r="126" spans="1:21" x14ac:dyDescent="0.35">
      <c r="A126">
        <v>2024</v>
      </c>
      <c r="B126">
        <v>37</v>
      </c>
      <c r="C126" t="s">
        <v>292</v>
      </c>
      <c r="E126" t="s">
        <v>333</v>
      </c>
      <c r="F126" t="s">
        <v>289</v>
      </c>
      <c r="G126">
        <v>6.6</v>
      </c>
      <c r="H126">
        <v>1</v>
      </c>
      <c r="I126" t="s">
        <v>278</v>
      </c>
      <c r="J126" t="s">
        <v>180</v>
      </c>
      <c r="K126" t="s">
        <v>180</v>
      </c>
      <c r="L126" t="s">
        <v>179</v>
      </c>
      <c r="M126" t="s">
        <v>179</v>
      </c>
      <c r="N126" t="s">
        <v>180</v>
      </c>
      <c r="U126" t="s">
        <v>301</v>
      </c>
    </row>
    <row r="127" spans="1:21" x14ac:dyDescent="0.35">
      <c r="A127">
        <v>2024</v>
      </c>
      <c r="B127">
        <v>37</v>
      </c>
      <c r="C127" t="s">
        <v>292</v>
      </c>
      <c r="E127" t="s">
        <v>333</v>
      </c>
      <c r="F127" t="s">
        <v>289</v>
      </c>
      <c r="G127">
        <v>5.0999999999999996</v>
      </c>
      <c r="H127">
        <v>5</v>
      </c>
      <c r="I127" t="s">
        <v>278</v>
      </c>
      <c r="J127" t="s">
        <v>180</v>
      </c>
      <c r="K127" t="s">
        <v>180</v>
      </c>
      <c r="L127" t="s">
        <v>179</v>
      </c>
      <c r="M127" t="s">
        <v>179</v>
      </c>
      <c r="N127" t="s">
        <v>179</v>
      </c>
      <c r="U127" t="s">
        <v>301</v>
      </c>
    </row>
    <row r="128" spans="1:21" x14ac:dyDescent="0.35">
      <c r="A128">
        <v>2024</v>
      </c>
      <c r="B128">
        <v>37</v>
      </c>
      <c r="C128" t="s">
        <v>292</v>
      </c>
      <c r="E128" t="s">
        <v>333</v>
      </c>
      <c r="F128" t="s">
        <v>289</v>
      </c>
      <c r="G128">
        <v>8.6</v>
      </c>
      <c r="H128">
        <v>3</v>
      </c>
      <c r="I128" t="s">
        <v>269</v>
      </c>
      <c r="J128" t="s">
        <v>180</v>
      </c>
      <c r="K128" t="s">
        <v>179</v>
      </c>
      <c r="L128" t="s">
        <v>180</v>
      </c>
      <c r="M128" t="s">
        <v>179</v>
      </c>
      <c r="N128" t="s">
        <v>180</v>
      </c>
      <c r="S128" t="s">
        <v>328</v>
      </c>
      <c r="U128" t="s">
        <v>301</v>
      </c>
    </row>
    <row r="129" spans="1:21" x14ac:dyDescent="0.35">
      <c r="A129">
        <v>2024</v>
      </c>
      <c r="B129">
        <v>37</v>
      </c>
      <c r="C129" t="s">
        <v>292</v>
      </c>
      <c r="E129" t="s">
        <v>333</v>
      </c>
      <c r="F129" t="s">
        <v>289</v>
      </c>
      <c r="G129">
        <v>8.5</v>
      </c>
      <c r="H129">
        <v>4</v>
      </c>
      <c r="I129" t="s">
        <v>269</v>
      </c>
      <c r="J129" t="s">
        <v>180</v>
      </c>
      <c r="K129" t="s">
        <v>179</v>
      </c>
      <c r="L129" t="s">
        <v>179</v>
      </c>
      <c r="M129" t="s">
        <v>179</v>
      </c>
      <c r="N129" t="s">
        <v>180</v>
      </c>
      <c r="U129" t="s">
        <v>301</v>
      </c>
    </row>
    <row r="130" spans="1:21" x14ac:dyDescent="0.35">
      <c r="A130">
        <v>2024</v>
      </c>
      <c r="B130">
        <v>37</v>
      </c>
      <c r="C130" t="s">
        <v>292</v>
      </c>
      <c r="E130" t="s">
        <v>333</v>
      </c>
      <c r="F130" t="s">
        <v>289</v>
      </c>
      <c r="G130">
        <v>3.1</v>
      </c>
      <c r="H130">
        <v>1</v>
      </c>
      <c r="I130" t="s">
        <v>278</v>
      </c>
      <c r="J130" t="s">
        <v>180</v>
      </c>
      <c r="K130" t="s">
        <v>180</v>
      </c>
      <c r="L130" t="s">
        <v>179</v>
      </c>
      <c r="M130" t="s">
        <v>180</v>
      </c>
      <c r="N130" t="s">
        <v>180</v>
      </c>
      <c r="U130" t="s">
        <v>205</v>
      </c>
    </row>
    <row r="131" spans="1:21" x14ac:dyDescent="0.35">
      <c r="A131">
        <v>2024</v>
      </c>
      <c r="B131">
        <v>37</v>
      </c>
      <c r="C131" t="s">
        <v>292</v>
      </c>
      <c r="E131" t="s">
        <v>333</v>
      </c>
      <c r="F131" t="s">
        <v>289</v>
      </c>
      <c r="G131">
        <v>5</v>
      </c>
      <c r="H131">
        <v>5</v>
      </c>
      <c r="I131" t="s">
        <v>278</v>
      </c>
      <c r="J131" t="s">
        <v>180</v>
      </c>
      <c r="K131" t="s">
        <v>180</v>
      </c>
      <c r="L131" t="s">
        <v>179</v>
      </c>
      <c r="M131" t="s">
        <v>179</v>
      </c>
      <c r="N131" t="s">
        <v>180</v>
      </c>
      <c r="U131" t="s">
        <v>301</v>
      </c>
    </row>
    <row r="132" spans="1:21" x14ac:dyDescent="0.35">
      <c r="A132">
        <v>2024</v>
      </c>
      <c r="B132">
        <v>37</v>
      </c>
      <c r="C132" t="s">
        <v>292</v>
      </c>
      <c r="E132" t="s">
        <v>333</v>
      </c>
      <c r="F132" t="s">
        <v>289</v>
      </c>
      <c r="G132">
        <v>7</v>
      </c>
      <c r="H132">
        <v>5</v>
      </c>
      <c r="I132" t="s">
        <v>278</v>
      </c>
      <c r="J132" t="s">
        <v>179</v>
      </c>
      <c r="K132" t="s">
        <v>179</v>
      </c>
      <c r="L132" t="s">
        <v>180</v>
      </c>
      <c r="M132" t="s">
        <v>179</v>
      </c>
      <c r="N132" t="s">
        <v>180</v>
      </c>
      <c r="U132" t="s">
        <v>301</v>
      </c>
    </row>
    <row r="133" spans="1:21" x14ac:dyDescent="0.35">
      <c r="A133">
        <v>2024</v>
      </c>
      <c r="B133">
        <v>37</v>
      </c>
      <c r="C133" t="s">
        <v>292</v>
      </c>
      <c r="E133" t="s">
        <v>333</v>
      </c>
      <c r="F133" t="s">
        <v>289</v>
      </c>
      <c r="G133">
        <v>5.8</v>
      </c>
      <c r="H133">
        <v>3</v>
      </c>
      <c r="I133" t="s">
        <v>278</v>
      </c>
      <c r="J133" t="s">
        <v>180</v>
      </c>
      <c r="K133" t="s">
        <v>179</v>
      </c>
      <c r="L133" t="s">
        <v>179</v>
      </c>
      <c r="M133" t="s">
        <v>179</v>
      </c>
      <c r="N133" t="s">
        <v>180</v>
      </c>
      <c r="U133" t="s">
        <v>301</v>
      </c>
    </row>
    <row r="134" spans="1:21" x14ac:dyDescent="0.35">
      <c r="A134">
        <v>2024</v>
      </c>
      <c r="B134">
        <v>37</v>
      </c>
      <c r="C134" t="s">
        <v>292</v>
      </c>
      <c r="E134" t="s">
        <v>333</v>
      </c>
      <c r="F134" t="s">
        <v>289</v>
      </c>
      <c r="G134">
        <v>5.9</v>
      </c>
      <c r="H134">
        <v>3</v>
      </c>
      <c r="I134" t="s">
        <v>278</v>
      </c>
      <c r="J134" t="s">
        <v>180</v>
      </c>
      <c r="K134" t="s">
        <v>180</v>
      </c>
      <c r="L134" t="s">
        <v>179</v>
      </c>
      <c r="M134" t="s">
        <v>179</v>
      </c>
      <c r="N134" t="s">
        <v>180</v>
      </c>
      <c r="U134" t="s">
        <v>301</v>
      </c>
    </row>
    <row r="135" spans="1:21" x14ac:dyDescent="0.35">
      <c r="A135">
        <v>2024</v>
      </c>
      <c r="B135">
        <v>37</v>
      </c>
      <c r="C135" t="s">
        <v>292</v>
      </c>
      <c r="E135" t="s">
        <v>333</v>
      </c>
      <c r="F135" t="s">
        <v>289</v>
      </c>
      <c r="G135">
        <v>5.4</v>
      </c>
      <c r="H135">
        <v>5</v>
      </c>
      <c r="I135" t="s">
        <v>278</v>
      </c>
      <c r="J135" t="s">
        <v>180</v>
      </c>
      <c r="K135" t="s">
        <v>179</v>
      </c>
      <c r="L135" t="s">
        <v>180</v>
      </c>
      <c r="M135" t="s">
        <v>179</v>
      </c>
      <c r="N135" t="s">
        <v>179</v>
      </c>
      <c r="U135" t="s">
        <v>301</v>
      </c>
    </row>
    <row r="136" spans="1:21" x14ac:dyDescent="0.35">
      <c r="A136">
        <v>2024</v>
      </c>
      <c r="B136">
        <v>37</v>
      </c>
      <c r="C136" t="s">
        <v>292</v>
      </c>
      <c r="E136" t="s">
        <v>333</v>
      </c>
      <c r="F136" t="s">
        <v>289</v>
      </c>
      <c r="G136">
        <v>2.9</v>
      </c>
      <c r="H136">
        <v>2</v>
      </c>
      <c r="I136" t="s">
        <v>278</v>
      </c>
      <c r="J136" t="s">
        <v>180</v>
      </c>
      <c r="K136" t="s">
        <v>180</v>
      </c>
      <c r="L136" t="s">
        <v>179</v>
      </c>
      <c r="M136" t="s">
        <v>179</v>
      </c>
      <c r="N136" t="s">
        <v>179</v>
      </c>
      <c r="U136" t="s">
        <v>301</v>
      </c>
    </row>
    <row r="137" spans="1:21" x14ac:dyDescent="0.35">
      <c r="A137">
        <v>2024</v>
      </c>
      <c r="B137">
        <v>37</v>
      </c>
      <c r="C137" t="s">
        <v>292</v>
      </c>
      <c r="E137" t="s">
        <v>333</v>
      </c>
      <c r="F137" t="s">
        <v>289</v>
      </c>
      <c r="G137">
        <v>5.8</v>
      </c>
      <c r="H137">
        <v>5</v>
      </c>
      <c r="I137" t="s">
        <v>275</v>
      </c>
      <c r="J137" t="s">
        <v>180</v>
      </c>
      <c r="K137" t="s">
        <v>180</v>
      </c>
      <c r="L137" t="s">
        <v>179</v>
      </c>
      <c r="M137" t="s">
        <v>179</v>
      </c>
      <c r="N137" t="s">
        <v>179</v>
      </c>
      <c r="U137" t="s">
        <v>301</v>
      </c>
    </row>
    <row r="138" spans="1:21" x14ac:dyDescent="0.35">
      <c r="A138">
        <v>2024</v>
      </c>
      <c r="B138">
        <v>37</v>
      </c>
      <c r="C138" t="s">
        <v>292</v>
      </c>
      <c r="E138" t="s">
        <v>333</v>
      </c>
      <c r="F138" t="s">
        <v>289</v>
      </c>
      <c r="G138">
        <v>3.9</v>
      </c>
      <c r="H138">
        <v>5</v>
      </c>
      <c r="I138" t="s">
        <v>278</v>
      </c>
      <c r="J138" t="s">
        <v>180</v>
      </c>
      <c r="K138" t="s">
        <v>180</v>
      </c>
      <c r="L138" t="s">
        <v>179</v>
      </c>
      <c r="M138" t="s">
        <v>179</v>
      </c>
      <c r="N138" t="s">
        <v>180</v>
      </c>
      <c r="U138" t="s">
        <v>301</v>
      </c>
    </row>
    <row r="139" spans="1:21" x14ac:dyDescent="0.35">
      <c r="A139">
        <v>2024</v>
      </c>
      <c r="B139">
        <v>37</v>
      </c>
      <c r="C139" t="s">
        <v>292</v>
      </c>
      <c r="E139" t="s">
        <v>333</v>
      </c>
      <c r="F139" t="s">
        <v>289</v>
      </c>
      <c r="G139">
        <v>8.6999999999999993</v>
      </c>
      <c r="H139">
        <v>3</v>
      </c>
      <c r="I139" t="s">
        <v>269</v>
      </c>
      <c r="J139" t="s">
        <v>180</v>
      </c>
      <c r="K139" t="s">
        <v>180</v>
      </c>
      <c r="L139" t="s">
        <v>180</v>
      </c>
      <c r="M139" t="s">
        <v>179</v>
      </c>
      <c r="N139" t="s">
        <v>180</v>
      </c>
      <c r="S139" t="s">
        <v>328</v>
      </c>
      <c r="U139" t="s">
        <v>301</v>
      </c>
    </row>
    <row r="140" spans="1:21" x14ac:dyDescent="0.35">
      <c r="A140">
        <v>2024</v>
      </c>
      <c r="B140">
        <v>37</v>
      </c>
      <c r="C140" t="s">
        <v>292</v>
      </c>
      <c r="E140" t="s">
        <v>333</v>
      </c>
      <c r="F140" t="s">
        <v>289</v>
      </c>
      <c r="G140">
        <v>5.3</v>
      </c>
      <c r="H140">
        <v>1</v>
      </c>
      <c r="I140" t="s">
        <v>278</v>
      </c>
      <c r="J140" t="s">
        <v>180</v>
      </c>
      <c r="K140" t="s">
        <v>180</v>
      </c>
      <c r="L140" t="s">
        <v>180</v>
      </c>
      <c r="M140" t="s">
        <v>180</v>
      </c>
      <c r="N140" t="s">
        <v>180</v>
      </c>
      <c r="U140" t="s">
        <v>205</v>
      </c>
    </row>
    <row r="141" spans="1:21" x14ac:dyDescent="0.35">
      <c r="A141">
        <v>2024</v>
      </c>
      <c r="B141">
        <v>37</v>
      </c>
      <c r="C141" t="s">
        <v>292</v>
      </c>
      <c r="E141" t="s">
        <v>333</v>
      </c>
      <c r="F141" t="s">
        <v>289</v>
      </c>
      <c r="G141">
        <v>4.0999999999999996</v>
      </c>
      <c r="H141">
        <v>1</v>
      </c>
      <c r="I141" t="s">
        <v>278</v>
      </c>
      <c r="J141" t="s">
        <v>180</v>
      </c>
      <c r="K141" t="s">
        <v>180</v>
      </c>
      <c r="L141" t="s">
        <v>180</v>
      </c>
      <c r="M141" t="s">
        <v>180</v>
      </c>
      <c r="N141" t="s">
        <v>180</v>
      </c>
      <c r="U141" t="s">
        <v>205</v>
      </c>
    </row>
    <row r="142" spans="1:21" x14ac:dyDescent="0.35">
      <c r="A142">
        <v>2024</v>
      </c>
      <c r="B142">
        <v>37</v>
      </c>
      <c r="C142" t="s">
        <v>292</v>
      </c>
      <c r="E142" t="s">
        <v>333</v>
      </c>
      <c r="F142" t="s">
        <v>289</v>
      </c>
      <c r="G142">
        <v>8.5</v>
      </c>
      <c r="H142">
        <v>3</v>
      </c>
      <c r="I142" t="s">
        <v>278</v>
      </c>
      <c r="J142" t="s">
        <v>180</v>
      </c>
      <c r="K142" t="s">
        <v>179</v>
      </c>
      <c r="L142" t="s">
        <v>179</v>
      </c>
      <c r="M142" t="s">
        <v>179</v>
      </c>
      <c r="N142" t="s">
        <v>180</v>
      </c>
      <c r="U142" t="s">
        <v>301</v>
      </c>
    </row>
    <row r="143" spans="1:21" x14ac:dyDescent="0.35">
      <c r="A143">
        <v>2024</v>
      </c>
      <c r="B143">
        <v>37</v>
      </c>
      <c r="C143" t="s">
        <v>292</v>
      </c>
      <c r="E143" t="s">
        <v>333</v>
      </c>
      <c r="F143" t="s">
        <v>289</v>
      </c>
      <c r="G143">
        <v>6.2</v>
      </c>
      <c r="H143">
        <v>1</v>
      </c>
      <c r="I143" t="s">
        <v>278</v>
      </c>
      <c r="J143" t="s">
        <v>180</v>
      </c>
      <c r="K143" t="s">
        <v>180</v>
      </c>
      <c r="L143" t="s">
        <v>180</v>
      </c>
      <c r="M143" t="s">
        <v>180</v>
      </c>
      <c r="N143" t="s">
        <v>180</v>
      </c>
      <c r="U143" t="s">
        <v>205</v>
      </c>
    </row>
    <row r="144" spans="1:21" x14ac:dyDescent="0.35">
      <c r="A144">
        <v>2024</v>
      </c>
      <c r="B144">
        <v>37</v>
      </c>
      <c r="C144" t="s">
        <v>277</v>
      </c>
      <c r="E144" t="s">
        <v>333</v>
      </c>
      <c r="F144" t="s">
        <v>289</v>
      </c>
      <c r="G144">
        <v>6.6</v>
      </c>
      <c r="H144">
        <v>5</v>
      </c>
      <c r="I144" t="s">
        <v>278</v>
      </c>
      <c r="J144" t="s">
        <v>180</v>
      </c>
      <c r="K144" t="s">
        <v>179</v>
      </c>
      <c r="L144" t="s">
        <v>179</v>
      </c>
      <c r="M144" t="s">
        <v>179</v>
      </c>
      <c r="N144" t="s">
        <v>179</v>
      </c>
      <c r="U144" t="s">
        <v>301</v>
      </c>
    </row>
    <row r="145" spans="1:21" s="11" customFormat="1" x14ac:dyDescent="0.35">
      <c r="A145">
        <v>2024</v>
      </c>
      <c r="B145" s="11">
        <v>37</v>
      </c>
      <c r="C145" s="11" t="s">
        <v>277</v>
      </c>
      <c r="E145" s="11" t="s">
        <v>333</v>
      </c>
      <c r="F145" s="11" t="s">
        <v>289</v>
      </c>
      <c r="G145" s="11">
        <v>6</v>
      </c>
      <c r="H145" s="11">
        <v>5</v>
      </c>
      <c r="I145" s="11" t="s">
        <v>278</v>
      </c>
      <c r="J145" s="11" t="s">
        <v>180</v>
      </c>
      <c r="K145" s="11" t="s">
        <v>179</v>
      </c>
      <c r="L145" s="11" t="s">
        <v>179</v>
      </c>
      <c r="M145" s="11" t="s">
        <v>179</v>
      </c>
      <c r="N145" s="11" t="s">
        <v>180</v>
      </c>
      <c r="U145" t="s">
        <v>301</v>
      </c>
    </row>
    <row r="146" spans="1:21" x14ac:dyDescent="0.35">
      <c r="A146">
        <v>2024</v>
      </c>
      <c r="B146">
        <v>37</v>
      </c>
      <c r="C146" t="s">
        <v>277</v>
      </c>
      <c r="E146" t="s">
        <v>333</v>
      </c>
      <c r="F146" t="s">
        <v>289</v>
      </c>
      <c r="G146">
        <v>9.5</v>
      </c>
      <c r="H146">
        <v>1</v>
      </c>
      <c r="I146" t="s">
        <v>278</v>
      </c>
      <c r="J146" t="s">
        <v>180</v>
      </c>
      <c r="K146" t="s">
        <v>180</v>
      </c>
      <c r="L146" t="s">
        <v>180</v>
      </c>
      <c r="M146" t="s">
        <v>180</v>
      </c>
      <c r="N146" t="s">
        <v>179</v>
      </c>
      <c r="U146" t="s">
        <v>205</v>
      </c>
    </row>
    <row r="147" spans="1:21" x14ac:dyDescent="0.35">
      <c r="A147">
        <v>2024</v>
      </c>
      <c r="B147">
        <v>37</v>
      </c>
      <c r="C147" t="s">
        <v>277</v>
      </c>
      <c r="E147" t="s">
        <v>333</v>
      </c>
      <c r="F147" t="s">
        <v>289</v>
      </c>
      <c r="G147">
        <v>6.5</v>
      </c>
      <c r="H147">
        <v>2</v>
      </c>
      <c r="I147" t="s">
        <v>278</v>
      </c>
      <c r="J147" t="s">
        <v>180</v>
      </c>
      <c r="K147" t="s">
        <v>180</v>
      </c>
      <c r="L147" t="s">
        <v>179</v>
      </c>
      <c r="M147" t="s">
        <v>179</v>
      </c>
      <c r="N147" t="s">
        <v>180</v>
      </c>
      <c r="U147" t="s">
        <v>301</v>
      </c>
    </row>
    <row r="148" spans="1:21" x14ac:dyDescent="0.35">
      <c r="A148">
        <v>2024</v>
      </c>
      <c r="B148">
        <v>37</v>
      </c>
      <c r="C148" t="s">
        <v>277</v>
      </c>
      <c r="E148" t="s">
        <v>333</v>
      </c>
      <c r="F148" t="s">
        <v>289</v>
      </c>
      <c r="G148">
        <v>6.1</v>
      </c>
      <c r="H148">
        <v>1</v>
      </c>
      <c r="I148" t="s">
        <v>278</v>
      </c>
      <c r="J148" t="s">
        <v>180</v>
      </c>
      <c r="K148" t="s">
        <v>180</v>
      </c>
      <c r="L148" t="s">
        <v>180</v>
      </c>
      <c r="M148" t="s">
        <v>180</v>
      </c>
      <c r="N148" t="s">
        <v>180</v>
      </c>
      <c r="U148" t="s">
        <v>205</v>
      </c>
    </row>
    <row r="149" spans="1:21" x14ac:dyDescent="0.35">
      <c r="A149">
        <v>2024</v>
      </c>
      <c r="B149">
        <v>37</v>
      </c>
      <c r="C149" t="s">
        <v>277</v>
      </c>
      <c r="E149" t="s">
        <v>333</v>
      </c>
      <c r="F149" t="s">
        <v>289</v>
      </c>
      <c r="G149">
        <v>5</v>
      </c>
      <c r="H149">
        <v>5</v>
      </c>
      <c r="I149" t="s">
        <v>278</v>
      </c>
      <c r="J149" t="s">
        <v>180</v>
      </c>
      <c r="K149" t="s">
        <v>179</v>
      </c>
      <c r="L149" t="s">
        <v>179</v>
      </c>
      <c r="M149" t="s">
        <v>179</v>
      </c>
      <c r="N149" t="s">
        <v>179</v>
      </c>
      <c r="U149" t="s">
        <v>301</v>
      </c>
    </row>
    <row r="150" spans="1:21" x14ac:dyDescent="0.35">
      <c r="A150">
        <v>2024</v>
      </c>
      <c r="B150">
        <v>37</v>
      </c>
      <c r="C150" t="s">
        <v>277</v>
      </c>
      <c r="E150" t="s">
        <v>333</v>
      </c>
      <c r="F150" t="s">
        <v>289</v>
      </c>
      <c r="G150">
        <v>6.2</v>
      </c>
      <c r="H150">
        <v>1</v>
      </c>
      <c r="I150" t="s">
        <v>278</v>
      </c>
      <c r="J150" t="s">
        <v>180</v>
      </c>
      <c r="K150" t="s">
        <v>180</v>
      </c>
      <c r="L150" t="s">
        <v>179</v>
      </c>
      <c r="M150" t="s">
        <v>179</v>
      </c>
      <c r="N150" t="s">
        <v>180</v>
      </c>
      <c r="U150" t="s">
        <v>301</v>
      </c>
    </row>
    <row r="151" spans="1:21" x14ac:dyDescent="0.35">
      <c r="A151">
        <v>2024</v>
      </c>
      <c r="B151">
        <v>37</v>
      </c>
      <c r="C151" t="s">
        <v>277</v>
      </c>
      <c r="E151" t="s">
        <v>333</v>
      </c>
      <c r="F151" t="s">
        <v>289</v>
      </c>
      <c r="G151">
        <v>6</v>
      </c>
      <c r="H151">
        <v>1</v>
      </c>
      <c r="I151" t="s">
        <v>278</v>
      </c>
      <c r="J151" t="s">
        <v>180</v>
      </c>
      <c r="K151" t="s">
        <v>180</v>
      </c>
      <c r="L151" t="s">
        <v>180</v>
      </c>
      <c r="M151" t="s">
        <v>180</v>
      </c>
      <c r="N151" t="s">
        <v>180</v>
      </c>
      <c r="U151" t="s">
        <v>205</v>
      </c>
    </row>
    <row r="152" spans="1:21" x14ac:dyDescent="0.35">
      <c r="A152">
        <v>2024</v>
      </c>
      <c r="B152">
        <v>37</v>
      </c>
      <c r="C152" t="s">
        <v>277</v>
      </c>
      <c r="E152" t="s">
        <v>333</v>
      </c>
      <c r="F152" t="s">
        <v>289</v>
      </c>
      <c r="G152">
        <v>4.5999999999999996</v>
      </c>
      <c r="H152">
        <v>1</v>
      </c>
      <c r="I152" t="s">
        <v>278</v>
      </c>
      <c r="J152" t="s">
        <v>180</v>
      </c>
      <c r="K152" t="s">
        <v>180</v>
      </c>
      <c r="L152" t="s">
        <v>179</v>
      </c>
      <c r="M152" t="s">
        <v>179</v>
      </c>
      <c r="N152" t="s">
        <v>180</v>
      </c>
      <c r="U152" t="s">
        <v>301</v>
      </c>
    </row>
    <row r="153" spans="1:21" x14ac:dyDescent="0.35">
      <c r="A153">
        <v>2024</v>
      </c>
      <c r="B153">
        <v>37</v>
      </c>
      <c r="C153" t="s">
        <v>267</v>
      </c>
      <c r="D153">
        <v>220</v>
      </c>
      <c r="E153">
        <v>14.3</v>
      </c>
      <c r="F153" t="s">
        <v>268</v>
      </c>
      <c r="G153">
        <v>11.4</v>
      </c>
      <c r="H153">
        <v>1</v>
      </c>
      <c r="I153" t="s">
        <v>269</v>
      </c>
      <c r="J153" t="s">
        <v>180</v>
      </c>
      <c r="K153" t="s">
        <v>180</v>
      </c>
      <c r="L153" t="s">
        <v>180</v>
      </c>
      <c r="M153" t="s">
        <v>180</v>
      </c>
      <c r="N153" t="s">
        <v>180</v>
      </c>
      <c r="U153" t="s">
        <v>205</v>
      </c>
    </row>
    <row r="154" spans="1:21" s="11" customFormat="1" x14ac:dyDescent="0.35">
      <c r="A154">
        <v>2024</v>
      </c>
      <c r="B154" s="11">
        <v>25</v>
      </c>
      <c r="C154" s="11" t="s">
        <v>273</v>
      </c>
      <c r="E154" t="s">
        <v>333</v>
      </c>
      <c r="F154" s="11" t="s">
        <v>298</v>
      </c>
      <c r="G154" s="11">
        <v>4.8</v>
      </c>
      <c r="H154" s="11">
        <v>5</v>
      </c>
      <c r="I154" s="11" t="s">
        <v>275</v>
      </c>
      <c r="J154" s="11" t="s">
        <v>180</v>
      </c>
      <c r="K154" s="11" t="s">
        <v>179</v>
      </c>
      <c r="L154" s="11" t="s">
        <v>179</v>
      </c>
      <c r="M154" s="11" t="s">
        <v>179</v>
      </c>
      <c r="N154" s="11" t="s">
        <v>180</v>
      </c>
      <c r="U154" t="s">
        <v>301</v>
      </c>
    </row>
    <row r="155" spans="1:21" x14ac:dyDescent="0.35">
      <c r="A155">
        <v>2024</v>
      </c>
      <c r="B155">
        <v>25</v>
      </c>
      <c r="C155" t="s">
        <v>292</v>
      </c>
      <c r="E155" t="s">
        <v>333</v>
      </c>
      <c r="F155" t="s">
        <v>289</v>
      </c>
      <c r="G155">
        <v>3.4</v>
      </c>
      <c r="H155">
        <v>3</v>
      </c>
      <c r="I155" t="s">
        <v>275</v>
      </c>
      <c r="J155" t="s">
        <v>180</v>
      </c>
      <c r="K155" t="s">
        <v>180</v>
      </c>
      <c r="L155" t="s">
        <v>179</v>
      </c>
      <c r="M155" t="s">
        <v>179</v>
      </c>
      <c r="N155" t="s">
        <v>179</v>
      </c>
      <c r="U155" t="s">
        <v>301</v>
      </c>
    </row>
    <row r="156" spans="1:21" x14ac:dyDescent="0.35">
      <c r="A156">
        <v>2024</v>
      </c>
      <c r="B156">
        <v>25</v>
      </c>
      <c r="C156" t="s">
        <v>292</v>
      </c>
      <c r="E156" t="s">
        <v>333</v>
      </c>
      <c r="F156" t="s">
        <v>289</v>
      </c>
      <c r="G156">
        <v>2.7</v>
      </c>
      <c r="H156">
        <v>5</v>
      </c>
      <c r="I156" t="s">
        <v>275</v>
      </c>
      <c r="J156" t="s">
        <v>180</v>
      </c>
      <c r="K156" t="s">
        <v>179</v>
      </c>
      <c r="L156" t="s">
        <v>179</v>
      </c>
      <c r="M156" t="s">
        <v>179</v>
      </c>
      <c r="N156" t="s">
        <v>179</v>
      </c>
      <c r="U156" t="s">
        <v>301</v>
      </c>
    </row>
    <row r="157" spans="1:21" x14ac:dyDescent="0.35">
      <c r="A157">
        <v>2024</v>
      </c>
      <c r="B157">
        <v>25</v>
      </c>
      <c r="C157" t="s">
        <v>267</v>
      </c>
      <c r="E157" t="s">
        <v>333</v>
      </c>
      <c r="F157" t="s">
        <v>268</v>
      </c>
      <c r="G157">
        <v>3.1</v>
      </c>
      <c r="H157">
        <v>1</v>
      </c>
      <c r="I157" t="s">
        <v>278</v>
      </c>
      <c r="J157" t="s">
        <v>180</v>
      </c>
      <c r="K157" t="s">
        <v>180</v>
      </c>
      <c r="L157" t="s">
        <v>179</v>
      </c>
      <c r="M157" t="s">
        <v>180</v>
      </c>
      <c r="N157" t="s">
        <v>180</v>
      </c>
      <c r="U157" t="s">
        <v>205</v>
      </c>
    </row>
    <row r="158" spans="1:21" x14ac:dyDescent="0.35">
      <c r="A158">
        <v>2024</v>
      </c>
      <c r="B158">
        <v>25</v>
      </c>
      <c r="C158" t="s">
        <v>267</v>
      </c>
      <c r="E158" t="s">
        <v>333</v>
      </c>
      <c r="F158" t="s">
        <v>289</v>
      </c>
      <c r="G158">
        <v>3</v>
      </c>
      <c r="H158">
        <v>5</v>
      </c>
      <c r="I158" t="s">
        <v>278</v>
      </c>
      <c r="J158" t="s">
        <v>180</v>
      </c>
      <c r="K158" t="s">
        <v>180</v>
      </c>
      <c r="L158" t="s">
        <v>179</v>
      </c>
      <c r="M158" t="s">
        <v>179</v>
      </c>
      <c r="N158" t="s">
        <v>179</v>
      </c>
      <c r="U158" t="s">
        <v>301</v>
      </c>
    </row>
    <row r="159" spans="1:21" x14ac:dyDescent="0.35">
      <c r="A159">
        <v>2024</v>
      </c>
      <c r="B159">
        <v>25</v>
      </c>
      <c r="C159" t="s">
        <v>277</v>
      </c>
      <c r="E159" t="s">
        <v>333</v>
      </c>
      <c r="F159" t="s">
        <v>289</v>
      </c>
      <c r="G159">
        <v>2.6</v>
      </c>
      <c r="H159">
        <v>2</v>
      </c>
      <c r="I159" t="s">
        <v>278</v>
      </c>
      <c r="J159" t="s">
        <v>180</v>
      </c>
      <c r="K159" t="s">
        <v>180</v>
      </c>
      <c r="L159" t="s">
        <v>180</v>
      </c>
      <c r="M159" t="s">
        <v>179</v>
      </c>
      <c r="N159" t="s">
        <v>180</v>
      </c>
      <c r="U159" t="s">
        <v>301</v>
      </c>
    </row>
    <row r="160" spans="1:21" x14ac:dyDescent="0.35">
      <c r="A160">
        <v>2024</v>
      </c>
      <c r="B160">
        <v>25</v>
      </c>
      <c r="C160" t="s">
        <v>277</v>
      </c>
      <c r="E160" t="s">
        <v>333</v>
      </c>
      <c r="F160" t="s">
        <v>298</v>
      </c>
      <c r="G160">
        <v>5.7</v>
      </c>
      <c r="H160">
        <v>5</v>
      </c>
      <c r="I160" t="s">
        <v>278</v>
      </c>
      <c r="J160" t="s">
        <v>180</v>
      </c>
      <c r="K160" t="s">
        <v>179</v>
      </c>
      <c r="L160" t="s">
        <v>179</v>
      </c>
      <c r="M160" t="s">
        <v>179</v>
      </c>
      <c r="N160" t="s">
        <v>180</v>
      </c>
      <c r="U160" t="s">
        <v>301</v>
      </c>
    </row>
    <row r="161" spans="1:21" x14ac:dyDescent="0.35">
      <c r="A161">
        <v>2024</v>
      </c>
      <c r="B161">
        <v>25</v>
      </c>
      <c r="C161" t="s">
        <v>277</v>
      </c>
      <c r="E161" t="s">
        <v>333</v>
      </c>
      <c r="F161" t="s">
        <v>289</v>
      </c>
      <c r="G161">
        <v>2.7</v>
      </c>
      <c r="H161">
        <v>2</v>
      </c>
      <c r="I161" t="s">
        <v>275</v>
      </c>
      <c r="J161" t="s">
        <v>180</v>
      </c>
      <c r="K161" t="s">
        <v>180</v>
      </c>
      <c r="L161" t="s">
        <v>179</v>
      </c>
      <c r="M161" t="s">
        <v>179</v>
      </c>
      <c r="N161" t="s">
        <v>180</v>
      </c>
      <c r="U161" t="s">
        <v>301</v>
      </c>
    </row>
    <row r="162" spans="1:21" x14ac:dyDescent="0.35">
      <c r="A162">
        <v>2024</v>
      </c>
      <c r="B162">
        <v>25</v>
      </c>
      <c r="C162" t="s">
        <v>273</v>
      </c>
      <c r="E162">
        <v>17.8</v>
      </c>
      <c r="F162" t="s">
        <v>299</v>
      </c>
      <c r="G162">
        <v>2.9</v>
      </c>
      <c r="H162">
        <v>1</v>
      </c>
      <c r="I162" t="s">
        <v>278</v>
      </c>
      <c r="J162" t="s">
        <v>180</v>
      </c>
      <c r="K162" t="s">
        <v>180</v>
      </c>
      <c r="L162" t="s">
        <v>179</v>
      </c>
      <c r="M162" t="s">
        <v>179</v>
      </c>
      <c r="N162" t="s">
        <v>180</v>
      </c>
      <c r="S162" t="s">
        <v>335</v>
      </c>
      <c r="U162" t="s">
        <v>301</v>
      </c>
    </row>
    <row r="163" spans="1:21" x14ac:dyDescent="0.35">
      <c r="A163">
        <v>2024</v>
      </c>
      <c r="B163">
        <v>57</v>
      </c>
      <c r="C163" t="s">
        <v>296</v>
      </c>
      <c r="D163" t="s">
        <v>205</v>
      </c>
      <c r="E163" t="s">
        <v>205</v>
      </c>
      <c r="F163" t="s">
        <v>205</v>
      </c>
      <c r="G163" t="s">
        <v>205</v>
      </c>
      <c r="H163" t="s">
        <v>205</v>
      </c>
      <c r="I163" t="s">
        <v>205</v>
      </c>
      <c r="J163" t="s">
        <v>205</v>
      </c>
      <c r="K163" t="s">
        <v>205</v>
      </c>
      <c r="L163" t="s">
        <v>205</v>
      </c>
      <c r="M163" t="s">
        <v>205</v>
      </c>
      <c r="N163" t="s">
        <v>205</v>
      </c>
      <c r="O163" t="s">
        <v>205</v>
      </c>
      <c r="P163" t="s">
        <v>205</v>
      </c>
      <c r="Q163" t="s">
        <v>205</v>
      </c>
      <c r="R163" t="s">
        <v>205</v>
      </c>
      <c r="S163" t="s">
        <v>205</v>
      </c>
      <c r="T163" t="s">
        <v>205</v>
      </c>
      <c r="U163" t="s">
        <v>205</v>
      </c>
    </row>
    <row r="164" spans="1:21" s="11" customFormat="1" x14ac:dyDescent="0.35">
      <c r="A164">
        <v>2024</v>
      </c>
      <c r="B164" s="11">
        <v>26</v>
      </c>
      <c r="C164" s="11" t="s">
        <v>296</v>
      </c>
      <c r="D164" s="11" t="s">
        <v>205</v>
      </c>
      <c r="E164" s="11" t="s">
        <v>205</v>
      </c>
      <c r="F164" s="11" t="s">
        <v>205</v>
      </c>
      <c r="G164" s="11" t="s">
        <v>205</v>
      </c>
      <c r="H164" s="11" t="s">
        <v>205</v>
      </c>
      <c r="I164" s="11" t="s">
        <v>205</v>
      </c>
      <c r="J164" s="11" t="s">
        <v>205</v>
      </c>
      <c r="K164" s="11" t="s">
        <v>205</v>
      </c>
      <c r="L164" s="11" t="s">
        <v>205</v>
      </c>
      <c r="M164" s="11" t="s">
        <v>205</v>
      </c>
      <c r="N164" s="11" t="s">
        <v>205</v>
      </c>
      <c r="O164" s="11" t="s">
        <v>205</v>
      </c>
      <c r="P164" s="11" t="s">
        <v>205</v>
      </c>
      <c r="Q164" s="11" t="s">
        <v>205</v>
      </c>
      <c r="R164" s="11" t="s">
        <v>205</v>
      </c>
      <c r="S164" s="11" t="s">
        <v>205</v>
      </c>
      <c r="T164" s="11" t="s">
        <v>205</v>
      </c>
      <c r="U164" s="11" t="s">
        <v>205</v>
      </c>
    </row>
    <row r="165" spans="1:21" x14ac:dyDescent="0.35">
      <c r="A165">
        <v>2024</v>
      </c>
      <c r="B165">
        <v>27</v>
      </c>
      <c r="C165" t="s">
        <v>296</v>
      </c>
      <c r="D165" t="s">
        <v>205</v>
      </c>
      <c r="E165" t="s">
        <v>205</v>
      </c>
      <c r="F165" t="s">
        <v>205</v>
      </c>
      <c r="G165" t="s">
        <v>205</v>
      </c>
      <c r="H165" t="s">
        <v>205</v>
      </c>
      <c r="I165" t="s">
        <v>205</v>
      </c>
      <c r="J165" t="s">
        <v>205</v>
      </c>
      <c r="K165" t="s">
        <v>205</v>
      </c>
      <c r="L165" t="s">
        <v>205</v>
      </c>
      <c r="M165" t="s">
        <v>205</v>
      </c>
      <c r="N165" t="s">
        <v>205</v>
      </c>
      <c r="O165" t="s">
        <v>205</v>
      </c>
      <c r="P165" t="s">
        <v>205</v>
      </c>
      <c r="Q165" t="s">
        <v>205</v>
      </c>
      <c r="R165" t="s">
        <v>205</v>
      </c>
      <c r="S165" t="s">
        <v>205</v>
      </c>
      <c r="T165" t="s">
        <v>205</v>
      </c>
      <c r="U165" t="s">
        <v>205</v>
      </c>
    </row>
    <row r="166" spans="1:21" x14ac:dyDescent="0.35">
      <c r="A166">
        <v>2024</v>
      </c>
      <c r="B166">
        <v>33</v>
      </c>
      <c r="C166" t="s">
        <v>277</v>
      </c>
      <c r="E166" t="s">
        <v>333</v>
      </c>
      <c r="F166" t="s">
        <v>268</v>
      </c>
      <c r="G166">
        <v>3.2</v>
      </c>
      <c r="H166">
        <v>1</v>
      </c>
      <c r="I166" t="s">
        <v>275</v>
      </c>
      <c r="J166" t="s">
        <v>180</v>
      </c>
      <c r="K166" t="s">
        <v>180</v>
      </c>
      <c r="L166" t="s">
        <v>180</v>
      </c>
      <c r="M166" t="s">
        <v>180</v>
      </c>
      <c r="N166" t="s">
        <v>180</v>
      </c>
      <c r="U166" t="s">
        <v>205</v>
      </c>
    </row>
    <row r="167" spans="1:21" x14ac:dyDescent="0.35">
      <c r="A167">
        <v>2024</v>
      </c>
      <c r="B167">
        <v>33</v>
      </c>
      <c r="C167" t="s">
        <v>277</v>
      </c>
      <c r="E167" t="s">
        <v>333</v>
      </c>
      <c r="F167" t="s">
        <v>268</v>
      </c>
      <c r="G167">
        <v>2.6</v>
      </c>
      <c r="H167">
        <v>1</v>
      </c>
      <c r="I167" t="s">
        <v>275</v>
      </c>
      <c r="J167" t="s">
        <v>180</v>
      </c>
      <c r="K167" t="s">
        <v>180</v>
      </c>
      <c r="L167" t="s">
        <v>180</v>
      </c>
      <c r="M167" t="s">
        <v>180</v>
      </c>
      <c r="N167" t="s">
        <v>180</v>
      </c>
      <c r="U167" t="s">
        <v>205</v>
      </c>
    </row>
    <row r="168" spans="1:21" x14ac:dyDescent="0.35">
      <c r="A168">
        <v>2024</v>
      </c>
      <c r="B168">
        <v>33</v>
      </c>
      <c r="C168" t="s">
        <v>267</v>
      </c>
      <c r="E168" t="s">
        <v>333</v>
      </c>
      <c r="F168" t="s">
        <v>289</v>
      </c>
      <c r="G168">
        <v>3.1</v>
      </c>
      <c r="H168">
        <v>5</v>
      </c>
      <c r="I168" t="s">
        <v>275</v>
      </c>
      <c r="J168" t="s">
        <v>180</v>
      </c>
      <c r="K168" t="s">
        <v>179</v>
      </c>
      <c r="L168" t="s">
        <v>179</v>
      </c>
      <c r="M168" t="s">
        <v>179</v>
      </c>
      <c r="N168" t="s">
        <v>180</v>
      </c>
      <c r="U168" t="s">
        <v>301</v>
      </c>
    </row>
    <row r="169" spans="1:21" x14ac:dyDescent="0.35">
      <c r="A169">
        <v>2024</v>
      </c>
      <c r="B169">
        <v>33</v>
      </c>
      <c r="C169" t="s">
        <v>267</v>
      </c>
      <c r="E169" t="s">
        <v>333</v>
      </c>
      <c r="F169" t="s">
        <v>268</v>
      </c>
      <c r="G169">
        <v>3.3</v>
      </c>
      <c r="H169">
        <v>1</v>
      </c>
      <c r="I169" t="s">
        <v>275</v>
      </c>
      <c r="J169" t="s">
        <v>180</v>
      </c>
      <c r="K169" t="s">
        <v>180</v>
      </c>
      <c r="L169" t="s">
        <v>179</v>
      </c>
      <c r="M169" t="s">
        <v>180</v>
      </c>
      <c r="N169" t="s">
        <v>180</v>
      </c>
      <c r="U169" t="s">
        <v>205</v>
      </c>
    </row>
    <row r="170" spans="1:21" x14ac:dyDescent="0.35">
      <c r="A170">
        <v>2024</v>
      </c>
      <c r="B170">
        <v>31</v>
      </c>
      <c r="C170" t="s">
        <v>296</v>
      </c>
      <c r="D170" t="s">
        <v>205</v>
      </c>
      <c r="E170" t="s">
        <v>205</v>
      </c>
      <c r="F170" t="s">
        <v>205</v>
      </c>
      <c r="G170" t="s">
        <v>205</v>
      </c>
      <c r="H170" t="s">
        <v>205</v>
      </c>
      <c r="I170" t="s">
        <v>205</v>
      </c>
      <c r="J170" t="s">
        <v>205</v>
      </c>
      <c r="K170" t="s">
        <v>205</v>
      </c>
      <c r="L170" t="s">
        <v>205</v>
      </c>
      <c r="M170" t="s">
        <v>205</v>
      </c>
      <c r="N170" t="s">
        <v>205</v>
      </c>
      <c r="O170" t="s">
        <v>205</v>
      </c>
      <c r="P170" t="s">
        <v>205</v>
      </c>
      <c r="Q170" t="s">
        <v>205</v>
      </c>
      <c r="R170" t="s">
        <v>205</v>
      </c>
      <c r="S170" t="s">
        <v>205</v>
      </c>
      <c r="T170" t="s">
        <v>205</v>
      </c>
      <c r="U170" t="s">
        <v>205</v>
      </c>
    </row>
    <row r="171" spans="1:21" x14ac:dyDescent="0.35">
      <c r="A171">
        <v>2024</v>
      </c>
      <c r="B171">
        <v>32</v>
      </c>
      <c r="C171" t="s">
        <v>296</v>
      </c>
      <c r="D171" t="s">
        <v>205</v>
      </c>
      <c r="E171" t="s">
        <v>205</v>
      </c>
      <c r="F171" t="s">
        <v>205</v>
      </c>
      <c r="G171" t="s">
        <v>205</v>
      </c>
      <c r="H171" t="s">
        <v>205</v>
      </c>
      <c r="I171" t="s">
        <v>205</v>
      </c>
      <c r="J171" t="s">
        <v>205</v>
      </c>
      <c r="K171" t="s">
        <v>205</v>
      </c>
      <c r="L171" t="s">
        <v>205</v>
      </c>
      <c r="M171" t="s">
        <v>205</v>
      </c>
      <c r="N171" t="s">
        <v>205</v>
      </c>
      <c r="O171" t="s">
        <v>205</v>
      </c>
      <c r="P171" t="s">
        <v>205</v>
      </c>
      <c r="Q171" t="s">
        <v>205</v>
      </c>
      <c r="R171" t="s">
        <v>205</v>
      </c>
      <c r="S171" t="s">
        <v>205</v>
      </c>
      <c r="T171" t="s">
        <v>205</v>
      </c>
      <c r="U171" t="s">
        <v>205</v>
      </c>
    </row>
    <row r="172" spans="1:21" x14ac:dyDescent="0.35">
      <c r="A172">
        <v>2024</v>
      </c>
      <c r="B172">
        <v>36</v>
      </c>
      <c r="C172" t="s">
        <v>296</v>
      </c>
      <c r="D172" t="s">
        <v>205</v>
      </c>
      <c r="E172" t="s">
        <v>205</v>
      </c>
      <c r="F172" t="s">
        <v>205</v>
      </c>
      <c r="G172" t="s">
        <v>205</v>
      </c>
      <c r="H172" t="s">
        <v>205</v>
      </c>
      <c r="I172" t="s">
        <v>205</v>
      </c>
      <c r="J172" t="s">
        <v>205</v>
      </c>
      <c r="K172" t="s">
        <v>205</v>
      </c>
      <c r="L172" t="s">
        <v>205</v>
      </c>
      <c r="M172" t="s">
        <v>205</v>
      </c>
      <c r="N172" t="s">
        <v>205</v>
      </c>
      <c r="O172" t="s">
        <v>205</v>
      </c>
      <c r="P172" t="s">
        <v>205</v>
      </c>
      <c r="Q172" t="s">
        <v>205</v>
      </c>
      <c r="R172" t="s">
        <v>205</v>
      </c>
      <c r="S172" t="s">
        <v>205</v>
      </c>
      <c r="T172" t="s">
        <v>205</v>
      </c>
      <c r="U172" t="s">
        <v>205</v>
      </c>
    </row>
    <row r="173" spans="1:21" x14ac:dyDescent="0.35">
      <c r="A173">
        <v>2024</v>
      </c>
      <c r="B173">
        <v>35</v>
      </c>
      <c r="C173" t="s">
        <v>296</v>
      </c>
      <c r="D173" t="s">
        <v>205</v>
      </c>
      <c r="E173" t="s">
        <v>205</v>
      </c>
      <c r="F173" t="s">
        <v>205</v>
      </c>
      <c r="G173" t="s">
        <v>205</v>
      </c>
      <c r="H173" t="s">
        <v>205</v>
      </c>
      <c r="I173" t="s">
        <v>205</v>
      </c>
      <c r="J173" t="s">
        <v>205</v>
      </c>
      <c r="K173" t="s">
        <v>205</v>
      </c>
      <c r="L173" t="s">
        <v>205</v>
      </c>
      <c r="M173" t="s">
        <v>205</v>
      </c>
      <c r="N173" t="s">
        <v>205</v>
      </c>
      <c r="O173" t="s">
        <v>205</v>
      </c>
      <c r="P173" t="s">
        <v>205</v>
      </c>
      <c r="Q173" t="s">
        <v>205</v>
      </c>
      <c r="R173" t="s">
        <v>205</v>
      </c>
      <c r="S173" t="s">
        <v>205</v>
      </c>
      <c r="T173" t="s">
        <v>205</v>
      </c>
      <c r="U173" t="s">
        <v>205</v>
      </c>
    </row>
    <row r="174" spans="1:21" x14ac:dyDescent="0.35">
      <c r="A174">
        <v>2024</v>
      </c>
      <c r="B174">
        <v>34</v>
      </c>
      <c r="C174" t="s">
        <v>296</v>
      </c>
      <c r="D174" t="s">
        <v>205</v>
      </c>
      <c r="E174" t="s">
        <v>205</v>
      </c>
      <c r="F174" t="s">
        <v>205</v>
      </c>
      <c r="G174" t="s">
        <v>205</v>
      </c>
      <c r="H174" t="s">
        <v>205</v>
      </c>
      <c r="I174" t="s">
        <v>205</v>
      </c>
      <c r="J174" t="s">
        <v>205</v>
      </c>
      <c r="K174" t="s">
        <v>205</v>
      </c>
      <c r="L174" t="s">
        <v>205</v>
      </c>
      <c r="M174" t="s">
        <v>205</v>
      </c>
      <c r="N174" t="s">
        <v>205</v>
      </c>
      <c r="O174" t="s">
        <v>205</v>
      </c>
      <c r="P174" t="s">
        <v>205</v>
      </c>
      <c r="Q174" t="s">
        <v>205</v>
      </c>
      <c r="R174" t="s">
        <v>205</v>
      </c>
      <c r="S174" t="s">
        <v>205</v>
      </c>
      <c r="T174" t="s">
        <v>205</v>
      </c>
      <c r="U174" t="s">
        <v>205</v>
      </c>
    </row>
    <row r="175" spans="1:21" x14ac:dyDescent="0.35">
      <c r="A175">
        <v>2024</v>
      </c>
      <c r="B175">
        <v>63</v>
      </c>
      <c r="C175" t="s">
        <v>273</v>
      </c>
      <c r="E175" t="s">
        <v>333</v>
      </c>
      <c r="F175" t="s">
        <v>299</v>
      </c>
      <c r="G175">
        <v>4.5999999999999996</v>
      </c>
      <c r="H175">
        <v>1</v>
      </c>
      <c r="I175" t="s">
        <v>278</v>
      </c>
      <c r="J175" t="s">
        <v>180</v>
      </c>
      <c r="K175" t="s">
        <v>180</v>
      </c>
      <c r="L175" t="s">
        <v>180</v>
      </c>
      <c r="M175" t="s">
        <v>180</v>
      </c>
      <c r="N175" t="s">
        <v>180</v>
      </c>
      <c r="R175" t="s">
        <v>336</v>
      </c>
      <c r="U175" t="s">
        <v>205</v>
      </c>
    </row>
    <row r="176" spans="1:21" x14ac:dyDescent="0.35">
      <c r="A176">
        <v>2024</v>
      </c>
      <c r="B176">
        <v>63</v>
      </c>
      <c r="C176" t="s">
        <v>273</v>
      </c>
      <c r="E176" t="s">
        <v>333</v>
      </c>
      <c r="F176" t="s">
        <v>268</v>
      </c>
      <c r="G176">
        <v>4</v>
      </c>
      <c r="H176">
        <v>1</v>
      </c>
      <c r="I176" t="s">
        <v>278</v>
      </c>
      <c r="J176" t="s">
        <v>180</v>
      </c>
      <c r="K176" t="s">
        <v>180</v>
      </c>
      <c r="L176" t="s">
        <v>180</v>
      </c>
      <c r="M176" t="s">
        <v>180</v>
      </c>
      <c r="N176" t="s">
        <v>180</v>
      </c>
      <c r="U176" t="s">
        <v>205</v>
      </c>
    </row>
    <row r="177" spans="1:21" x14ac:dyDescent="0.35">
      <c r="A177">
        <v>2024</v>
      </c>
      <c r="B177">
        <v>63</v>
      </c>
      <c r="C177" t="s">
        <v>273</v>
      </c>
      <c r="E177" t="s">
        <v>333</v>
      </c>
      <c r="F177" t="s">
        <v>268</v>
      </c>
      <c r="G177">
        <v>6</v>
      </c>
      <c r="H177">
        <v>1</v>
      </c>
      <c r="I177" t="s">
        <v>278</v>
      </c>
      <c r="J177" t="s">
        <v>180</v>
      </c>
      <c r="K177" t="s">
        <v>180</v>
      </c>
      <c r="L177" t="s">
        <v>180</v>
      </c>
      <c r="M177" t="s">
        <v>180</v>
      </c>
      <c r="N177" t="s">
        <v>180</v>
      </c>
      <c r="U177" t="s">
        <v>205</v>
      </c>
    </row>
    <row r="178" spans="1:21" x14ac:dyDescent="0.35">
      <c r="A178">
        <v>2024</v>
      </c>
      <c r="B178">
        <v>63</v>
      </c>
      <c r="C178" t="s">
        <v>273</v>
      </c>
      <c r="E178" t="s">
        <v>333</v>
      </c>
      <c r="F178" t="s">
        <v>268</v>
      </c>
      <c r="G178">
        <v>3.5</v>
      </c>
      <c r="H178">
        <v>1</v>
      </c>
      <c r="I178" t="s">
        <v>278</v>
      </c>
      <c r="J178" t="s">
        <v>180</v>
      </c>
      <c r="K178" t="s">
        <v>180</v>
      </c>
      <c r="L178" t="s">
        <v>180</v>
      </c>
      <c r="M178" t="s">
        <v>180</v>
      </c>
      <c r="N178" t="s">
        <v>180</v>
      </c>
      <c r="U178" t="s">
        <v>205</v>
      </c>
    </row>
    <row r="179" spans="1:21" x14ac:dyDescent="0.35">
      <c r="A179">
        <v>2024</v>
      </c>
      <c r="B179">
        <v>63</v>
      </c>
      <c r="C179" t="s">
        <v>273</v>
      </c>
      <c r="E179" t="s">
        <v>333</v>
      </c>
      <c r="F179" t="s">
        <v>268</v>
      </c>
      <c r="G179">
        <v>2.7</v>
      </c>
      <c r="H179">
        <v>1</v>
      </c>
      <c r="I179" t="s">
        <v>278</v>
      </c>
      <c r="J179" t="s">
        <v>180</v>
      </c>
      <c r="K179" t="s">
        <v>180</v>
      </c>
      <c r="L179" t="s">
        <v>180</v>
      </c>
      <c r="M179" t="s">
        <v>180</v>
      </c>
      <c r="N179" t="s">
        <v>180</v>
      </c>
      <c r="U179" t="s">
        <v>205</v>
      </c>
    </row>
    <row r="180" spans="1:21" x14ac:dyDescent="0.35">
      <c r="A180">
        <v>2024</v>
      </c>
      <c r="B180">
        <v>63</v>
      </c>
      <c r="C180" t="s">
        <v>273</v>
      </c>
      <c r="E180" t="s">
        <v>333</v>
      </c>
      <c r="F180" t="s">
        <v>268</v>
      </c>
      <c r="G180">
        <v>3</v>
      </c>
      <c r="H180">
        <v>1</v>
      </c>
      <c r="I180" t="s">
        <v>275</v>
      </c>
      <c r="J180" t="s">
        <v>180</v>
      </c>
      <c r="K180" t="s">
        <v>180</v>
      </c>
      <c r="L180" t="s">
        <v>180</v>
      </c>
      <c r="M180" t="s">
        <v>180</v>
      </c>
      <c r="N180" t="s">
        <v>180</v>
      </c>
      <c r="U180" t="s">
        <v>205</v>
      </c>
    </row>
    <row r="181" spans="1:21" x14ac:dyDescent="0.35">
      <c r="A181">
        <v>2024</v>
      </c>
      <c r="B181">
        <v>63</v>
      </c>
      <c r="C181" t="s">
        <v>277</v>
      </c>
      <c r="E181" t="s">
        <v>333</v>
      </c>
      <c r="F181" t="s">
        <v>298</v>
      </c>
      <c r="G181">
        <v>3.8</v>
      </c>
      <c r="H181">
        <v>2</v>
      </c>
      <c r="I181" t="s">
        <v>275</v>
      </c>
      <c r="J181" t="s">
        <v>180</v>
      </c>
      <c r="K181" t="s">
        <v>180</v>
      </c>
      <c r="L181" t="s">
        <v>179</v>
      </c>
      <c r="M181" t="s">
        <v>180</v>
      </c>
      <c r="N181" t="s">
        <v>180</v>
      </c>
      <c r="S181" t="s">
        <v>329</v>
      </c>
      <c r="U181" t="s">
        <v>205</v>
      </c>
    </row>
    <row r="182" spans="1:21" x14ac:dyDescent="0.35">
      <c r="A182">
        <v>2024</v>
      </c>
      <c r="B182">
        <v>63</v>
      </c>
      <c r="C182" t="s">
        <v>277</v>
      </c>
      <c r="E182" t="s">
        <v>333</v>
      </c>
      <c r="F182" t="s">
        <v>268</v>
      </c>
      <c r="G182">
        <v>4.2</v>
      </c>
      <c r="H182">
        <v>1</v>
      </c>
      <c r="I182" t="s">
        <v>278</v>
      </c>
      <c r="J182" t="s">
        <v>180</v>
      </c>
      <c r="K182" t="s">
        <v>180</v>
      </c>
      <c r="L182" t="s">
        <v>179</v>
      </c>
      <c r="M182" t="s">
        <v>180</v>
      </c>
      <c r="N182" t="s">
        <v>180</v>
      </c>
      <c r="U182" t="s">
        <v>205</v>
      </c>
    </row>
    <row r="183" spans="1:21" x14ac:dyDescent="0.35">
      <c r="A183">
        <v>2024</v>
      </c>
      <c r="B183">
        <v>63</v>
      </c>
      <c r="C183" t="s">
        <v>277</v>
      </c>
      <c r="E183" t="s">
        <v>333</v>
      </c>
      <c r="F183" t="s">
        <v>268</v>
      </c>
      <c r="G183">
        <v>2.5</v>
      </c>
      <c r="H183">
        <v>1</v>
      </c>
      <c r="I183" t="s">
        <v>275</v>
      </c>
      <c r="J183" t="s">
        <v>180</v>
      </c>
      <c r="K183" t="s">
        <v>180</v>
      </c>
      <c r="L183" t="s">
        <v>179</v>
      </c>
      <c r="M183" t="s">
        <v>180</v>
      </c>
      <c r="N183" t="s">
        <v>180</v>
      </c>
      <c r="U183" t="s">
        <v>205</v>
      </c>
    </row>
    <row r="184" spans="1:21" x14ac:dyDescent="0.35">
      <c r="A184">
        <v>2024</v>
      </c>
      <c r="B184">
        <v>63</v>
      </c>
      <c r="C184" t="s">
        <v>277</v>
      </c>
      <c r="E184" t="s">
        <v>333</v>
      </c>
      <c r="F184" t="s">
        <v>268</v>
      </c>
      <c r="G184">
        <v>4.8</v>
      </c>
      <c r="H184">
        <v>1</v>
      </c>
      <c r="I184" t="s">
        <v>278</v>
      </c>
      <c r="J184" t="s">
        <v>180</v>
      </c>
      <c r="K184" t="s">
        <v>180</v>
      </c>
      <c r="L184" t="s">
        <v>179</v>
      </c>
      <c r="M184" t="s">
        <v>180</v>
      </c>
      <c r="N184" t="s">
        <v>180</v>
      </c>
      <c r="R184" t="s">
        <v>337</v>
      </c>
      <c r="U184" t="s">
        <v>205</v>
      </c>
    </row>
    <row r="185" spans="1:21" x14ac:dyDescent="0.35">
      <c r="A185">
        <v>2024</v>
      </c>
      <c r="B185">
        <v>63</v>
      </c>
      <c r="C185" t="s">
        <v>273</v>
      </c>
      <c r="E185" t="s">
        <v>333</v>
      </c>
      <c r="F185" t="s">
        <v>268</v>
      </c>
      <c r="G185">
        <v>6.2</v>
      </c>
      <c r="H185">
        <v>1</v>
      </c>
      <c r="I185" t="s">
        <v>278</v>
      </c>
      <c r="J185" t="s">
        <v>180</v>
      </c>
      <c r="K185" t="s">
        <v>180</v>
      </c>
      <c r="L185" t="s">
        <v>179</v>
      </c>
      <c r="M185" t="s">
        <v>180</v>
      </c>
      <c r="N185" t="s">
        <v>180</v>
      </c>
      <c r="O185" t="s">
        <v>179</v>
      </c>
      <c r="U185" t="s">
        <v>205</v>
      </c>
    </row>
    <row r="186" spans="1:21" x14ac:dyDescent="0.35">
      <c r="A186">
        <v>2024</v>
      </c>
      <c r="B186">
        <v>63</v>
      </c>
      <c r="C186" t="s">
        <v>277</v>
      </c>
      <c r="E186" t="s">
        <v>333</v>
      </c>
      <c r="F186" t="s">
        <v>268</v>
      </c>
      <c r="G186">
        <v>2.6</v>
      </c>
      <c r="H186">
        <v>2</v>
      </c>
      <c r="I186" t="s">
        <v>278</v>
      </c>
      <c r="J186" t="s">
        <v>180</v>
      </c>
      <c r="K186" t="s">
        <v>180</v>
      </c>
      <c r="L186" t="s">
        <v>180</v>
      </c>
      <c r="M186" t="s">
        <v>180</v>
      </c>
      <c r="N186" t="s">
        <v>180</v>
      </c>
      <c r="U186" t="s">
        <v>205</v>
      </c>
    </row>
    <row r="187" spans="1:21" x14ac:dyDescent="0.35">
      <c r="A187">
        <v>2024</v>
      </c>
      <c r="B187">
        <v>63</v>
      </c>
      <c r="C187" t="s">
        <v>277</v>
      </c>
      <c r="E187" t="s">
        <v>333</v>
      </c>
      <c r="F187" t="s">
        <v>268</v>
      </c>
      <c r="G187">
        <v>3</v>
      </c>
      <c r="H187">
        <v>2</v>
      </c>
      <c r="I187" t="s">
        <v>278</v>
      </c>
      <c r="J187" t="s">
        <v>180</v>
      </c>
      <c r="K187" t="s">
        <v>180</v>
      </c>
      <c r="L187" t="s">
        <v>179</v>
      </c>
      <c r="M187" t="s">
        <v>180</v>
      </c>
      <c r="N187" t="s">
        <v>180</v>
      </c>
      <c r="U187" t="s">
        <v>205</v>
      </c>
    </row>
    <row r="188" spans="1:21" s="11" customFormat="1" x14ac:dyDescent="0.35">
      <c r="A188">
        <v>2024</v>
      </c>
      <c r="B188" s="11">
        <v>63</v>
      </c>
      <c r="C188" s="11" t="s">
        <v>277</v>
      </c>
      <c r="E188" s="11" t="s">
        <v>333</v>
      </c>
      <c r="F188" s="11" t="s">
        <v>268</v>
      </c>
      <c r="G188" s="11">
        <v>5.8</v>
      </c>
      <c r="H188" s="11">
        <v>1</v>
      </c>
      <c r="I188" s="11" t="s">
        <v>269</v>
      </c>
      <c r="J188" s="11" t="s">
        <v>180</v>
      </c>
      <c r="K188" s="11" t="s">
        <v>180</v>
      </c>
      <c r="L188" s="11" t="s">
        <v>179</v>
      </c>
      <c r="M188" s="11" t="s">
        <v>180</v>
      </c>
      <c r="N188" s="11" t="s">
        <v>180</v>
      </c>
      <c r="U188" t="s">
        <v>205</v>
      </c>
    </row>
    <row r="189" spans="1:21" x14ac:dyDescent="0.35">
      <c r="A189">
        <v>2024</v>
      </c>
      <c r="B189">
        <v>63</v>
      </c>
      <c r="C189" t="s">
        <v>277</v>
      </c>
      <c r="E189" t="s">
        <v>333</v>
      </c>
      <c r="F189" t="s">
        <v>268</v>
      </c>
      <c r="G189">
        <v>4.4000000000000004</v>
      </c>
      <c r="H189">
        <v>1</v>
      </c>
      <c r="I189" t="s">
        <v>269</v>
      </c>
      <c r="J189" t="s">
        <v>180</v>
      </c>
      <c r="K189" t="s">
        <v>180</v>
      </c>
      <c r="L189" t="s">
        <v>179</v>
      </c>
      <c r="M189" t="s">
        <v>180</v>
      </c>
      <c r="N189" t="s">
        <v>180</v>
      </c>
      <c r="U189" t="s">
        <v>205</v>
      </c>
    </row>
    <row r="190" spans="1:21" x14ac:dyDescent="0.35">
      <c r="A190">
        <v>2024</v>
      </c>
      <c r="B190">
        <v>63</v>
      </c>
      <c r="C190" t="s">
        <v>277</v>
      </c>
      <c r="E190" t="s">
        <v>333</v>
      </c>
      <c r="F190" t="s">
        <v>268</v>
      </c>
      <c r="G190">
        <v>4.0999999999999996</v>
      </c>
      <c r="H190">
        <v>4</v>
      </c>
      <c r="I190" t="s">
        <v>278</v>
      </c>
      <c r="J190" t="s">
        <v>180</v>
      </c>
      <c r="K190" t="s">
        <v>180</v>
      </c>
      <c r="L190" t="s">
        <v>179</v>
      </c>
      <c r="M190" t="s">
        <v>180</v>
      </c>
      <c r="N190" t="s">
        <v>180</v>
      </c>
      <c r="U190" t="s">
        <v>205</v>
      </c>
    </row>
    <row r="191" spans="1:21" x14ac:dyDescent="0.35">
      <c r="A191">
        <v>2024</v>
      </c>
      <c r="B191">
        <v>63</v>
      </c>
      <c r="C191" t="s">
        <v>277</v>
      </c>
      <c r="E191" t="s">
        <v>333</v>
      </c>
      <c r="F191" t="s">
        <v>276</v>
      </c>
      <c r="G191">
        <v>6.5</v>
      </c>
      <c r="H191">
        <v>2</v>
      </c>
      <c r="I191" t="s">
        <v>278</v>
      </c>
      <c r="J191" t="s">
        <v>180</v>
      </c>
      <c r="K191" t="s">
        <v>180</v>
      </c>
      <c r="L191" t="s">
        <v>179</v>
      </c>
      <c r="M191" t="s">
        <v>180</v>
      </c>
      <c r="N191" t="s">
        <v>180</v>
      </c>
      <c r="U191" t="s">
        <v>205</v>
      </c>
    </row>
    <row r="192" spans="1:21" x14ac:dyDescent="0.35">
      <c r="A192">
        <v>2024</v>
      </c>
      <c r="B192">
        <v>63</v>
      </c>
      <c r="C192" t="s">
        <v>277</v>
      </c>
      <c r="E192" t="s">
        <v>333</v>
      </c>
      <c r="F192" t="s">
        <v>276</v>
      </c>
      <c r="G192">
        <v>2.6</v>
      </c>
      <c r="H192">
        <v>1</v>
      </c>
      <c r="I192" t="s">
        <v>278</v>
      </c>
      <c r="J192" t="s">
        <v>180</v>
      </c>
      <c r="K192" t="s">
        <v>180</v>
      </c>
      <c r="L192" t="s">
        <v>179</v>
      </c>
      <c r="M192" t="s">
        <v>180</v>
      </c>
      <c r="N192" t="s">
        <v>180</v>
      </c>
      <c r="U192" t="s">
        <v>205</v>
      </c>
    </row>
    <row r="193" spans="1:21" x14ac:dyDescent="0.35">
      <c r="A193">
        <v>2024</v>
      </c>
      <c r="B193">
        <v>63</v>
      </c>
      <c r="C193" t="s">
        <v>277</v>
      </c>
      <c r="E193" t="s">
        <v>333</v>
      </c>
      <c r="F193" t="s">
        <v>276</v>
      </c>
      <c r="G193">
        <v>7.4</v>
      </c>
      <c r="H193">
        <v>5</v>
      </c>
      <c r="I193" t="s">
        <v>278</v>
      </c>
      <c r="J193" t="s">
        <v>180</v>
      </c>
      <c r="K193" t="s">
        <v>179</v>
      </c>
      <c r="L193" t="s">
        <v>179</v>
      </c>
      <c r="M193" t="s">
        <v>179</v>
      </c>
      <c r="N193" t="s">
        <v>179</v>
      </c>
      <c r="U193" t="s">
        <v>301</v>
      </c>
    </row>
    <row r="194" spans="1:21" x14ac:dyDescent="0.35">
      <c r="A194">
        <v>2024</v>
      </c>
      <c r="B194">
        <v>63</v>
      </c>
      <c r="C194" t="s">
        <v>277</v>
      </c>
      <c r="E194" t="s">
        <v>333</v>
      </c>
      <c r="F194" t="s">
        <v>276</v>
      </c>
      <c r="G194">
        <v>8.5</v>
      </c>
      <c r="H194">
        <v>2</v>
      </c>
      <c r="I194" t="s">
        <v>269</v>
      </c>
      <c r="J194" t="s">
        <v>180</v>
      </c>
      <c r="K194" t="s">
        <v>180</v>
      </c>
      <c r="L194" t="s">
        <v>179</v>
      </c>
      <c r="M194" t="s">
        <v>180</v>
      </c>
      <c r="N194" t="s">
        <v>180</v>
      </c>
      <c r="S194" t="s">
        <v>328</v>
      </c>
      <c r="U194" t="s">
        <v>205</v>
      </c>
    </row>
    <row r="195" spans="1:21" x14ac:dyDescent="0.35">
      <c r="A195">
        <v>2024</v>
      </c>
      <c r="B195">
        <v>63</v>
      </c>
      <c r="C195" t="s">
        <v>277</v>
      </c>
      <c r="E195" t="s">
        <v>333</v>
      </c>
      <c r="F195" t="s">
        <v>276</v>
      </c>
      <c r="G195">
        <v>3</v>
      </c>
      <c r="H195">
        <v>1</v>
      </c>
      <c r="I195" t="s">
        <v>275</v>
      </c>
      <c r="J195" t="s">
        <v>180</v>
      </c>
      <c r="K195" t="s">
        <v>180</v>
      </c>
      <c r="L195" t="s">
        <v>179</v>
      </c>
      <c r="M195" t="s">
        <v>180</v>
      </c>
      <c r="N195" t="s">
        <v>179</v>
      </c>
      <c r="U195" t="s">
        <v>205</v>
      </c>
    </row>
    <row r="196" spans="1:21" x14ac:dyDescent="0.35">
      <c r="A196">
        <v>2024</v>
      </c>
      <c r="B196">
        <v>63</v>
      </c>
      <c r="C196" t="s">
        <v>273</v>
      </c>
      <c r="E196" t="s">
        <v>333</v>
      </c>
      <c r="F196" t="s">
        <v>299</v>
      </c>
      <c r="G196">
        <v>2.8</v>
      </c>
      <c r="H196">
        <v>1</v>
      </c>
      <c r="I196" t="s">
        <v>275</v>
      </c>
      <c r="J196" t="s">
        <v>180</v>
      </c>
      <c r="K196" t="s">
        <v>180</v>
      </c>
      <c r="L196" t="s">
        <v>180</v>
      </c>
      <c r="M196" t="s">
        <v>180</v>
      </c>
      <c r="N196" t="s">
        <v>180</v>
      </c>
      <c r="U196" t="s">
        <v>205</v>
      </c>
    </row>
    <row r="197" spans="1:21" x14ac:dyDescent="0.35">
      <c r="A197">
        <v>2024</v>
      </c>
      <c r="B197">
        <v>63</v>
      </c>
      <c r="C197" t="s">
        <v>273</v>
      </c>
      <c r="E197" t="s">
        <v>333</v>
      </c>
      <c r="F197" t="s">
        <v>299</v>
      </c>
      <c r="G197">
        <v>4</v>
      </c>
      <c r="H197">
        <v>1</v>
      </c>
      <c r="I197" t="s">
        <v>278</v>
      </c>
      <c r="J197" t="s">
        <v>179</v>
      </c>
      <c r="K197" t="s">
        <v>180</v>
      </c>
      <c r="L197" t="s">
        <v>179</v>
      </c>
      <c r="M197" t="s">
        <v>180</v>
      </c>
      <c r="N197" t="s">
        <v>180</v>
      </c>
      <c r="U197" t="s">
        <v>205</v>
      </c>
    </row>
    <row r="198" spans="1:21" x14ac:dyDescent="0.35">
      <c r="A198">
        <v>2024</v>
      </c>
      <c r="B198">
        <v>63</v>
      </c>
      <c r="C198" t="s">
        <v>277</v>
      </c>
      <c r="E198" t="s">
        <v>333</v>
      </c>
      <c r="F198" t="s">
        <v>268</v>
      </c>
      <c r="G198">
        <v>2.9</v>
      </c>
      <c r="H198">
        <v>1</v>
      </c>
      <c r="I198" t="s">
        <v>278</v>
      </c>
      <c r="J198" t="s">
        <v>180</v>
      </c>
      <c r="K198" t="s">
        <v>180</v>
      </c>
      <c r="L198" t="s">
        <v>180</v>
      </c>
      <c r="M198" t="s">
        <v>180</v>
      </c>
      <c r="N198" t="s">
        <v>180</v>
      </c>
      <c r="U198" t="s">
        <v>205</v>
      </c>
    </row>
    <row r="199" spans="1:21" x14ac:dyDescent="0.35">
      <c r="A199">
        <v>2024</v>
      </c>
      <c r="B199">
        <v>63</v>
      </c>
      <c r="C199" t="s">
        <v>277</v>
      </c>
      <c r="E199" t="s">
        <v>333</v>
      </c>
      <c r="F199" t="s">
        <v>276</v>
      </c>
      <c r="G199">
        <v>3.5</v>
      </c>
      <c r="H199">
        <v>3</v>
      </c>
      <c r="I199" t="s">
        <v>275</v>
      </c>
      <c r="J199" t="s">
        <v>180</v>
      </c>
      <c r="K199" t="s">
        <v>180</v>
      </c>
      <c r="L199" t="s">
        <v>179</v>
      </c>
      <c r="M199" t="s">
        <v>180</v>
      </c>
      <c r="N199" t="s">
        <v>179</v>
      </c>
      <c r="R199" t="s">
        <v>338</v>
      </c>
      <c r="U199" t="s">
        <v>205</v>
      </c>
    </row>
    <row r="200" spans="1:21" x14ac:dyDescent="0.35">
      <c r="A200">
        <v>2024</v>
      </c>
      <c r="B200">
        <v>63</v>
      </c>
      <c r="C200" t="s">
        <v>277</v>
      </c>
      <c r="E200" t="s">
        <v>333</v>
      </c>
      <c r="F200" t="s">
        <v>299</v>
      </c>
      <c r="G200">
        <v>8.5</v>
      </c>
      <c r="H200">
        <v>4</v>
      </c>
      <c r="I200" t="s">
        <v>269</v>
      </c>
      <c r="J200" t="s">
        <v>180</v>
      </c>
      <c r="K200" t="s">
        <v>180</v>
      </c>
      <c r="L200" t="s">
        <v>179</v>
      </c>
      <c r="M200" t="s">
        <v>179</v>
      </c>
      <c r="N200" t="s">
        <v>179</v>
      </c>
      <c r="U200" t="s">
        <v>301</v>
      </c>
    </row>
    <row r="201" spans="1:21" x14ac:dyDescent="0.35">
      <c r="A201">
        <v>2024</v>
      </c>
      <c r="B201">
        <v>63</v>
      </c>
      <c r="C201" t="s">
        <v>277</v>
      </c>
      <c r="E201" t="s">
        <v>333</v>
      </c>
      <c r="F201" t="s">
        <v>299</v>
      </c>
      <c r="G201">
        <v>7.2</v>
      </c>
      <c r="H201">
        <v>2</v>
      </c>
      <c r="I201" t="s">
        <v>278</v>
      </c>
      <c r="J201" t="s">
        <v>180</v>
      </c>
      <c r="K201" t="s">
        <v>180</v>
      </c>
      <c r="L201" t="s">
        <v>179</v>
      </c>
      <c r="M201" t="s">
        <v>180</v>
      </c>
      <c r="N201" t="s">
        <v>180</v>
      </c>
      <c r="U201" t="s">
        <v>205</v>
      </c>
    </row>
    <row r="202" spans="1:21" x14ac:dyDescent="0.35">
      <c r="A202">
        <v>2024</v>
      </c>
      <c r="B202">
        <v>63</v>
      </c>
      <c r="C202" t="s">
        <v>277</v>
      </c>
      <c r="E202" t="s">
        <v>333</v>
      </c>
      <c r="F202" t="s">
        <v>299</v>
      </c>
      <c r="G202">
        <v>7.4</v>
      </c>
      <c r="H202">
        <v>1</v>
      </c>
      <c r="I202" t="s">
        <v>269</v>
      </c>
      <c r="J202" t="s">
        <v>180</v>
      </c>
      <c r="K202" t="s">
        <v>180</v>
      </c>
      <c r="L202" t="s">
        <v>179</v>
      </c>
      <c r="M202" t="s">
        <v>180</v>
      </c>
      <c r="N202" t="s">
        <v>180</v>
      </c>
      <c r="U202" t="s">
        <v>205</v>
      </c>
    </row>
    <row r="203" spans="1:21" x14ac:dyDescent="0.35">
      <c r="A203">
        <v>2024</v>
      </c>
      <c r="B203">
        <v>63</v>
      </c>
      <c r="C203" t="s">
        <v>277</v>
      </c>
      <c r="E203" t="s">
        <v>333</v>
      </c>
      <c r="F203" t="s">
        <v>299</v>
      </c>
      <c r="G203">
        <v>8.3000000000000007</v>
      </c>
      <c r="H203">
        <v>5</v>
      </c>
      <c r="I203" t="s">
        <v>269</v>
      </c>
      <c r="J203" t="s">
        <v>180</v>
      </c>
      <c r="K203" t="s">
        <v>180</v>
      </c>
      <c r="L203" t="s">
        <v>179</v>
      </c>
      <c r="M203" t="s">
        <v>179</v>
      </c>
      <c r="N203" t="s">
        <v>180</v>
      </c>
      <c r="U203" t="s">
        <v>301</v>
      </c>
    </row>
    <row r="204" spans="1:21" x14ac:dyDescent="0.35">
      <c r="A204">
        <v>2024</v>
      </c>
      <c r="B204">
        <v>63</v>
      </c>
      <c r="C204" t="s">
        <v>277</v>
      </c>
      <c r="E204" t="s">
        <v>333</v>
      </c>
      <c r="F204" t="s">
        <v>299</v>
      </c>
      <c r="G204">
        <v>4.5</v>
      </c>
      <c r="H204">
        <v>1</v>
      </c>
      <c r="I204" t="s">
        <v>278</v>
      </c>
      <c r="J204" t="s">
        <v>180</v>
      </c>
      <c r="K204" t="s">
        <v>180</v>
      </c>
      <c r="L204" t="s">
        <v>179</v>
      </c>
      <c r="M204" t="s">
        <v>180</v>
      </c>
      <c r="N204" t="s">
        <v>180</v>
      </c>
      <c r="U204" t="s">
        <v>205</v>
      </c>
    </row>
    <row r="205" spans="1:21" x14ac:dyDescent="0.35">
      <c r="A205">
        <v>2024</v>
      </c>
      <c r="B205">
        <v>63</v>
      </c>
      <c r="C205" t="s">
        <v>277</v>
      </c>
      <c r="E205" t="s">
        <v>333</v>
      </c>
      <c r="F205" t="s">
        <v>299</v>
      </c>
      <c r="G205">
        <v>5.2</v>
      </c>
      <c r="H205">
        <v>1</v>
      </c>
      <c r="I205" t="s">
        <v>278</v>
      </c>
      <c r="J205" t="s">
        <v>180</v>
      </c>
      <c r="K205" t="s">
        <v>180</v>
      </c>
      <c r="L205" t="s">
        <v>180</v>
      </c>
      <c r="M205" t="s">
        <v>180</v>
      </c>
      <c r="N205" t="s">
        <v>180</v>
      </c>
      <c r="U205" t="s">
        <v>205</v>
      </c>
    </row>
    <row r="206" spans="1:21" x14ac:dyDescent="0.35">
      <c r="A206">
        <v>2024</v>
      </c>
      <c r="B206">
        <v>63</v>
      </c>
      <c r="C206" t="s">
        <v>277</v>
      </c>
      <c r="E206" t="s">
        <v>333</v>
      </c>
      <c r="F206" t="s">
        <v>299</v>
      </c>
      <c r="G206">
        <v>5.2</v>
      </c>
      <c r="H206">
        <v>1</v>
      </c>
      <c r="I206" t="s">
        <v>278</v>
      </c>
      <c r="J206" t="s">
        <v>180</v>
      </c>
      <c r="K206" t="s">
        <v>180</v>
      </c>
      <c r="L206" t="s">
        <v>179</v>
      </c>
      <c r="M206" t="s">
        <v>180</v>
      </c>
      <c r="N206" t="s">
        <v>180</v>
      </c>
      <c r="U206" t="s">
        <v>205</v>
      </c>
    </row>
    <row r="207" spans="1:21" x14ac:dyDescent="0.35">
      <c r="A207">
        <v>2024</v>
      </c>
      <c r="B207">
        <v>63</v>
      </c>
      <c r="C207" t="s">
        <v>277</v>
      </c>
      <c r="E207" t="s">
        <v>333</v>
      </c>
      <c r="F207" t="s">
        <v>299</v>
      </c>
      <c r="G207">
        <v>2.9</v>
      </c>
      <c r="H207">
        <v>1</v>
      </c>
      <c r="I207" t="s">
        <v>275</v>
      </c>
      <c r="J207" t="s">
        <v>180</v>
      </c>
      <c r="K207" t="s">
        <v>180</v>
      </c>
      <c r="L207" t="s">
        <v>180</v>
      </c>
      <c r="M207" t="s">
        <v>180</v>
      </c>
      <c r="N207" t="s">
        <v>180</v>
      </c>
      <c r="U207" t="s">
        <v>205</v>
      </c>
    </row>
    <row r="208" spans="1:21" x14ac:dyDescent="0.35">
      <c r="A208">
        <v>2024</v>
      </c>
      <c r="B208">
        <v>63</v>
      </c>
      <c r="C208" t="s">
        <v>277</v>
      </c>
      <c r="E208" t="s">
        <v>333</v>
      </c>
      <c r="F208" t="s">
        <v>299</v>
      </c>
      <c r="G208">
        <v>7.9</v>
      </c>
      <c r="H208">
        <v>4</v>
      </c>
      <c r="I208" t="s">
        <v>278</v>
      </c>
      <c r="J208" t="s">
        <v>180</v>
      </c>
      <c r="K208" t="s">
        <v>179</v>
      </c>
      <c r="L208" t="s">
        <v>179</v>
      </c>
      <c r="M208" t="s">
        <v>179</v>
      </c>
      <c r="N208" t="s">
        <v>179</v>
      </c>
      <c r="U208" t="s">
        <v>301</v>
      </c>
    </row>
    <row r="209" spans="1:21" x14ac:dyDescent="0.35">
      <c r="A209">
        <v>2024</v>
      </c>
      <c r="B209">
        <v>63</v>
      </c>
      <c r="C209" t="s">
        <v>277</v>
      </c>
      <c r="E209" t="s">
        <v>333</v>
      </c>
      <c r="F209" t="s">
        <v>299</v>
      </c>
      <c r="G209">
        <v>6.4</v>
      </c>
      <c r="H209">
        <v>1</v>
      </c>
      <c r="I209" t="s">
        <v>278</v>
      </c>
      <c r="J209" t="s">
        <v>180</v>
      </c>
      <c r="K209" t="s">
        <v>180</v>
      </c>
      <c r="L209" t="s">
        <v>179</v>
      </c>
      <c r="M209" t="s">
        <v>180</v>
      </c>
      <c r="N209" t="s">
        <v>180</v>
      </c>
      <c r="U209" t="s">
        <v>205</v>
      </c>
    </row>
    <row r="210" spans="1:21" x14ac:dyDescent="0.35">
      <c r="A210">
        <v>2024</v>
      </c>
      <c r="B210">
        <v>63</v>
      </c>
      <c r="C210" t="s">
        <v>277</v>
      </c>
      <c r="E210" t="s">
        <v>333</v>
      </c>
      <c r="F210" t="s">
        <v>299</v>
      </c>
      <c r="G210">
        <v>4.9000000000000004</v>
      </c>
      <c r="H210">
        <v>1</v>
      </c>
      <c r="I210" t="s">
        <v>278</v>
      </c>
      <c r="J210" t="s">
        <v>180</v>
      </c>
      <c r="K210" t="s">
        <v>180</v>
      </c>
      <c r="L210" t="s">
        <v>179</v>
      </c>
      <c r="M210" t="s">
        <v>180</v>
      </c>
      <c r="N210" t="s">
        <v>180</v>
      </c>
      <c r="O210" t="s">
        <v>179</v>
      </c>
      <c r="U210" t="s">
        <v>205</v>
      </c>
    </row>
    <row r="211" spans="1:21" x14ac:dyDescent="0.35">
      <c r="A211">
        <v>2024</v>
      </c>
      <c r="B211">
        <v>63</v>
      </c>
      <c r="C211" t="s">
        <v>277</v>
      </c>
      <c r="E211" t="s">
        <v>333</v>
      </c>
      <c r="F211" t="s">
        <v>299</v>
      </c>
      <c r="G211">
        <v>5.2</v>
      </c>
      <c r="H211">
        <v>1</v>
      </c>
      <c r="I211" t="s">
        <v>278</v>
      </c>
      <c r="J211" t="s">
        <v>180</v>
      </c>
      <c r="K211" t="s">
        <v>180</v>
      </c>
      <c r="L211" t="s">
        <v>180</v>
      </c>
      <c r="M211" t="s">
        <v>180</v>
      </c>
      <c r="N211" t="s">
        <v>180</v>
      </c>
      <c r="U211" t="s">
        <v>205</v>
      </c>
    </row>
    <row r="212" spans="1:21" s="11" customFormat="1" x14ac:dyDescent="0.35">
      <c r="A212">
        <v>2024</v>
      </c>
      <c r="B212" s="11">
        <v>63</v>
      </c>
      <c r="C212" s="11" t="s">
        <v>267</v>
      </c>
      <c r="E212" s="11" t="s">
        <v>333</v>
      </c>
      <c r="F212" s="11" t="s">
        <v>299</v>
      </c>
      <c r="G212" s="11">
        <v>4.9000000000000004</v>
      </c>
      <c r="H212" s="11">
        <v>2</v>
      </c>
      <c r="I212" s="11" t="s">
        <v>269</v>
      </c>
      <c r="J212" s="11" t="s">
        <v>180</v>
      </c>
      <c r="K212" s="11" t="s">
        <v>180</v>
      </c>
      <c r="L212" s="11" t="s">
        <v>179</v>
      </c>
      <c r="M212" s="11" t="s">
        <v>180</v>
      </c>
      <c r="N212" s="11" t="s">
        <v>180</v>
      </c>
      <c r="U212" t="s">
        <v>205</v>
      </c>
    </row>
    <row r="213" spans="1:21" x14ac:dyDescent="0.35">
      <c r="A213">
        <v>2024</v>
      </c>
      <c r="B213">
        <v>63</v>
      </c>
      <c r="C213" t="s">
        <v>267</v>
      </c>
      <c r="E213" t="s">
        <v>333</v>
      </c>
      <c r="F213" t="s">
        <v>299</v>
      </c>
      <c r="G213">
        <v>5.5</v>
      </c>
      <c r="H213">
        <v>1</v>
      </c>
      <c r="I213" t="s">
        <v>269</v>
      </c>
      <c r="J213" t="s">
        <v>180</v>
      </c>
      <c r="K213" t="s">
        <v>180</v>
      </c>
      <c r="L213" t="s">
        <v>180</v>
      </c>
      <c r="M213" t="s">
        <v>180</v>
      </c>
      <c r="N213" t="s">
        <v>180</v>
      </c>
      <c r="U213" t="s">
        <v>205</v>
      </c>
    </row>
    <row r="214" spans="1:21" x14ac:dyDescent="0.35">
      <c r="A214">
        <v>2024</v>
      </c>
      <c r="B214">
        <v>63</v>
      </c>
      <c r="C214" t="s">
        <v>267</v>
      </c>
      <c r="E214" t="s">
        <v>333</v>
      </c>
      <c r="F214" t="s">
        <v>299</v>
      </c>
      <c r="G214">
        <v>4.3</v>
      </c>
      <c r="H214">
        <v>1</v>
      </c>
      <c r="I214" t="s">
        <v>278</v>
      </c>
      <c r="J214" t="s">
        <v>180</v>
      </c>
      <c r="K214" t="s">
        <v>180</v>
      </c>
      <c r="L214" t="s">
        <v>179</v>
      </c>
      <c r="M214" t="s">
        <v>180</v>
      </c>
      <c r="N214" t="s">
        <v>180</v>
      </c>
      <c r="O214" t="s">
        <v>179</v>
      </c>
      <c r="U214" t="s">
        <v>205</v>
      </c>
    </row>
    <row r="215" spans="1:21" x14ac:dyDescent="0.35">
      <c r="A215">
        <v>2024</v>
      </c>
      <c r="B215">
        <v>63</v>
      </c>
      <c r="C215" t="s">
        <v>267</v>
      </c>
      <c r="E215" t="s">
        <v>333</v>
      </c>
      <c r="F215" t="s">
        <v>299</v>
      </c>
      <c r="G215">
        <v>2.9</v>
      </c>
      <c r="H215">
        <v>1</v>
      </c>
      <c r="I215" t="s">
        <v>278</v>
      </c>
      <c r="J215" t="s">
        <v>180</v>
      </c>
      <c r="K215" t="s">
        <v>180</v>
      </c>
      <c r="L215" t="s">
        <v>180</v>
      </c>
      <c r="M215" t="s">
        <v>180</v>
      </c>
      <c r="N215" t="s">
        <v>180</v>
      </c>
      <c r="U215" t="s">
        <v>205</v>
      </c>
    </row>
    <row r="216" spans="1:21" x14ac:dyDescent="0.35">
      <c r="A216">
        <v>2024</v>
      </c>
      <c r="B216">
        <v>63</v>
      </c>
      <c r="C216" t="s">
        <v>267</v>
      </c>
      <c r="E216" t="s">
        <v>333</v>
      </c>
      <c r="F216" t="s">
        <v>299</v>
      </c>
      <c r="G216">
        <v>4.5999999999999996</v>
      </c>
      <c r="H216">
        <v>1</v>
      </c>
      <c r="I216" t="s">
        <v>278</v>
      </c>
      <c r="J216" t="s">
        <v>180</v>
      </c>
      <c r="K216" t="s">
        <v>180</v>
      </c>
      <c r="L216" t="s">
        <v>180</v>
      </c>
      <c r="M216" t="s">
        <v>180</v>
      </c>
      <c r="N216" t="s">
        <v>180</v>
      </c>
      <c r="U216" t="s">
        <v>205</v>
      </c>
    </row>
    <row r="217" spans="1:21" x14ac:dyDescent="0.35">
      <c r="A217">
        <v>2024</v>
      </c>
      <c r="B217">
        <v>63</v>
      </c>
      <c r="C217" t="s">
        <v>267</v>
      </c>
      <c r="E217" t="s">
        <v>333</v>
      </c>
      <c r="F217" t="s">
        <v>299</v>
      </c>
      <c r="G217">
        <v>5.0999999999999996</v>
      </c>
      <c r="H217">
        <v>1</v>
      </c>
      <c r="I217" t="s">
        <v>278</v>
      </c>
      <c r="J217" t="s">
        <v>180</v>
      </c>
      <c r="K217" t="s">
        <v>180</v>
      </c>
      <c r="L217" t="s">
        <v>180</v>
      </c>
      <c r="M217" t="s">
        <v>180</v>
      </c>
      <c r="N217" t="s">
        <v>180</v>
      </c>
      <c r="U217" t="s">
        <v>205</v>
      </c>
    </row>
    <row r="218" spans="1:21" x14ac:dyDescent="0.35">
      <c r="A218">
        <v>2024</v>
      </c>
      <c r="B218">
        <v>63</v>
      </c>
      <c r="C218" t="s">
        <v>267</v>
      </c>
      <c r="E218" t="s">
        <v>333</v>
      </c>
      <c r="F218" t="s">
        <v>299</v>
      </c>
      <c r="G218">
        <v>4.3</v>
      </c>
      <c r="H218">
        <v>1</v>
      </c>
      <c r="I218" t="s">
        <v>278</v>
      </c>
      <c r="J218" t="s">
        <v>180</v>
      </c>
      <c r="K218" t="s">
        <v>180</v>
      </c>
      <c r="L218" t="s">
        <v>179</v>
      </c>
      <c r="M218" t="s">
        <v>180</v>
      </c>
      <c r="N218" t="s">
        <v>180</v>
      </c>
      <c r="U218" t="s">
        <v>205</v>
      </c>
    </row>
    <row r="219" spans="1:21" x14ac:dyDescent="0.35">
      <c r="A219">
        <v>2024</v>
      </c>
      <c r="B219">
        <v>63</v>
      </c>
      <c r="C219" t="s">
        <v>292</v>
      </c>
      <c r="E219" t="s">
        <v>333</v>
      </c>
      <c r="F219" t="s">
        <v>299</v>
      </c>
      <c r="G219">
        <v>2.9</v>
      </c>
      <c r="H219">
        <v>1</v>
      </c>
      <c r="I219" t="s">
        <v>275</v>
      </c>
      <c r="J219" t="s">
        <v>180</v>
      </c>
      <c r="K219" t="s">
        <v>180</v>
      </c>
      <c r="L219" t="s">
        <v>180</v>
      </c>
      <c r="M219" t="s">
        <v>180</v>
      </c>
      <c r="N219" t="s">
        <v>180</v>
      </c>
      <c r="U219" t="s">
        <v>205</v>
      </c>
    </row>
    <row r="220" spans="1:21" x14ac:dyDescent="0.35">
      <c r="A220">
        <v>2024</v>
      </c>
      <c r="B220">
        <v>63</v>
      </c>
      <c r="C220" t="s">
        <v>292</v>
      </c>
      <c r="E220" t="s">
        <v>333</v>
      </c>
      <c r="F220" t="s">
        <v>299</v>
      </c>
      <c r="G220">
        <v>2.9</v>
      </c>
      <c r="H220">
        <v>1</v>
      </c>
      <c r="I220" t="s">
        <v>278</v>
      </c>
      <c r="J220" t="s">
        <v>180</v>
      </c>
      <c r="K220" t="s">
        <v>180</v>
      </c>
      <c r="L220" t="s">
        <v>180</v>
      </c>
      <c r="M220" t="s">
        <v>180</v>
      </c>
      <c r="N220" t="s">
        <v>180</v>
      </c>
      <c r="U220" t="s">
        <v>205</v>
      </c>
    </row>
    <row r="221" spans="1:21" x14ac:dyDescent="0.35">
      <c r="A221">
        <v>2024</v>
      </c>
      <c r="B221">
        <v>63</v>
      </c>
      <c r="C221" t="s">
        <v>292</v>
      </c>
      <c r="E221" t="s">
        <v>333</v>
      </c>
      <c r="F221" t="s">
        <v>299</v>
      </c>
      <c r="G221">
        <v>4.3</v>
      </c>
      <c r="H221">
        <v>1</v>
      </c>
      <c r="I221" t="s">
        <v>275</v>
      </c>
      <c r="J221" t="s">
        <v>180</v>
      </c>
      <c r="K221" t="s">
        <v>180</v>
      </c>
      <c r="L221" t="s">
        <v>179</v>
      </c>
      <c r="M221" t="s">
        <v>180</v>
      </c>
      <c r="N221" t="s">
        <v>180</v>
      </c>
      <c r="O221" t="s">
        <v>179</v>
      </c>
      <c r="U221" t="s">
        <v>205</v>
      </c>
    </row>
    <row r="222" spans="1:21" x14ac:dyDescent="0.35">
      <c r="A222">
        <v>2024</v>
      </c>
      <c r="B222">
        <v>63</v>
      </c>
      <c r="C222" t="s">
        <v>292</v>
      </c>
      <c r="E222" t="s">
        <v>333</v>
      </c>
      <c r="F222" t="s">
        <v>299</v>
      </c>
      <c r="G222">
        <v>6.4</v>
      </c>
      <c r="H222">
        <v>1</v>
      </c>
      <c r="I222" t="s">
        <v>278</v>
      </c>
      <c r="J222" t="s">
        <v>180</v>
      </c>
      <c r="K222" t="s">
        <v>180</v>
      </c>
      <c r="L222" t="s">
        <v>179</v>
      </c>
      <c r="M222" t="s">
        <v>180</v>
      </c>
      <c r="N222" t="s">
        <v>179</v>
      </c>
      <c r="U222" t="s">
        <v>205</v>
      </c>
    </row>
    <row r="223" spans="1:21" x14ac:dyDescent="0.35">
      <c r="A223">
        <v>2024</v>
      </c>
      <c r="B223">
        <v>63</v>
      </c>
      <c r="C223" t="s">
        <v>292</v>
      </c>
      <c r="E223" t="s">
        <v>333</v>
      </c>
      <c r="F223" t="s">
        <v>299</v>
      </c>
      <c r="G223">
        <v>4.2</v>
      </c>
      <c r="H223">
        <v>1</v>
      </c>
      <c r="I223" t="s">
        <v>278</v>
      </c>
      <c r="J223" t="s">
        <v>180</v>
      </c>
      <c r="K223" t="s">
        <v>180</v>
      </c>
      <c r="L223" t="s">
        <v>179</v>
      </c>
      <c r="M223" t="s">
        <v>180</v>
      </c>
      <c r="N223" t="s">
        <v>179</v>
      </c>
      <c r="U223" t="s">
        <v>205</v>
      </c>
    </row>
    <row r="224" spans="1:21" x14ac:dyDescent="0.35">
      <c r="A224">
        <v>2024</v>
      </c>
      <c r="B224">
        <v>63</v>
      </c>
      <c r="C224" t="s">
        <v>292</v>
      </c>
      <c r="E224" t="s">
        <v>333</v>
      </c>
      <c r="F224" t="s">
        <v>299</v>
      </c>
      <c r="G224">
        <v>3.6</v>
      </c>
      <c r="H224">
        <v>1</v>
      </c>
      <c r="I224" t="s">
        <v>278</v>
      </c>
      <c r="J224" t="s">
        <v>180</v>
      </c>
      <c r="K224" t="s">
        <v>180</v>
      </c>
      <c r="L224" t="s">
        <v>179</v>
      </c>
      <c r="M224" t="s">
        <v>180</v>
      </c>
      <c r="N224" t="s">
        <v>180</v>
      </c>
      <c r="U224" t="s">
        <v>205</v>
      </c>
    </row>
    <row r="225" spans="1:21" x14ac:dyDescent="0.35">
      <c r="A225">
        <v>2024</v>
      </c>
      <c r="B225">
        <v>63</v>
      </c>
      <c r="C225" t="s">
        <v>292</v>
      </c>
      <c r="E225" t="s">
        <v>333</v>
      </c>
      <c r="F225" t="s">
        <v>299</v>
      </c>
      <c r="G225">
        <v>8.5</v>
      </c>
      <c r="H225">
        <v>5</v>
      </c>
      <c r="I225" t="s">
        <v>278</v>
      </c>
      <c r="J225" t="s">
        <v>180</v>
      </c>
      <c r="K225" t="s">
        <v>179</v>
      </c>
      <c r="L225" t="s">
        <v>179</v>
      </c>
      <c r="M225" t="s">
        <v>179</v>
      </c>
      <c r="N225" t="s">
        <v>179</v>
      </c>
      <c r="S225" t="s">
        <v>339</v>
      </c>
      <c r="U225" t="s">
        <v>311</v>
      </c>
    </row>
    <row r="226" spans="1:21" x14ac:dyDescent="0.35">
      <c r="A226">
        <v>2024</v>
      </c>
      <c r="B226">
        <v>63</v>
      </c>
      <c r="C226" t="s">
        <v>292</v>
      </c>
      <c r="E226" t="s">
        <v>333</v>
      </c>
      <c r="F226" t="s">
        <v>299</v>
      </c>
      <c r="G226">
        <v>3.3</v>
      </c>
      <c r="H226">
        <v>1</v>
      </c>
      <c r="I226" t="s">
        <v>278</v>
      </c>
      <c r="J226" t="s">
        <v>180</v>
      </c>
      <c r="K226" t="s">
        <v>180</v>
      </c>
      <c r="L226" t="s">
        <v>180</v>
      </c>
      <c r="M226" t="s">
        <v>180</v>
      </c>
      <c r="N226" t="s">
        <v>180</v>
      </c>
      <c r="U226" t="s">
        <v>205</v>
      </c>
    </row>
    <row r="227" spans="1:21" x14ac:dyDescent="0.35">
      <c r="A227">
        <v>2024</v>
      </c>
      <c r="B227">
        <v>63</v>
      </c>
      <c r="C227" t="s">
        <v>273</v>
      </c>
      <c r="E227" t="s">
        <v>333</v>
      </c>
      <c r="F227" t="s">
        <v>299</v>
      </c>
      <c r="G227">
        <v>4</v>
      </c>
      <c r="H227">
        <v>1</v>
      </c>
      <c r="I227" t="s">
        <v>278</v>
      </c>
      <c r="J227" t="s">
        <v>180</v>
      </c>
      <c r="K227" t="s">
        <v>180</v>
      </c>
      <c r="L227" t="s">
        <v>180</v>
      </c>
      <c r="M227" t="s">
        <v>180</v>
      </c>
      <c r="N227" t="s">
        <v>180</v>
      </c>
      <c r="U227" t="s">
        <v>205</v>
      </c>
    </row>
    <row r="228" spans="1:21" x14ac:dyDescent="0.35">
      <c r="A228">
        <v>2024</v>
      </c>
      <c r="B228">
        <v>63</v>
      </c>
      <c r="C228" t="s">
        <v>292</v>
      </c>
      <c r="E228" t="s">
        <v>333</v>
      </c>
      <c r="F228" t="s">
        <v>299</v>
      </c>
      <c r="G228">
        <v>3</v>
      </c>
      <c r="H228">
        <v>2</v>
      </c>
      <c r="I228" t="s">
        <v>278</v>
      </c>
      <c r="J228" t="s">
        <v>180</v>
      </c>
      <c r="K228" t="s">
        <v>180</v>
      </c>
      <c r="L228" t="s">
        <v>179</v>
      </c>
      <c r="M228" t="s">
        <v>179</v>
      </c>
      <c r="N228" t="s">
        <v>180</v>
      </c>
      <c r="O228" t="s">
        <v>179</v>
      </c>
      <c r="R228" t="s">
        <v>340</v>
      </c>
      <c r="U228" t="s">
        <v>301</v>
      </c>
    </row>
    <row r="229" spans="1:21" x14ac:dyDescent="0.35">
      <c r="A229">
        <v>2024</v>
      </c>
      <c r="B229">
        <v>63</v>
      </c>
      <c r="C229" t="s">
        <v>292</v>
      </c>
      <c r="E229" t="s">
        <v>333</v>
      </c>
      <c r="F229" t="s">
        <v>299</v>
      </c>
      <c r="G229">
        <v>4</v>
      </c>
      <c r="H229">
        <v>1</v>
      </c>
      <c r="I229" t="s">
        <v>278</v>
      </c>
      <c r="J229" t="s">
        <v>180</v>
      </c>
      <c r="K229" t="s">
        <v>180</v>
      </c>
      <c r="L229" t="s">
        <v>179</v>
      </c>
      <c r="M229" t="s">
        <v>180</v>
      </c>
      <c r="N229" t="s">
        <v>180</v>
      </c>
      <c r="O229" t="s">
        <v>179</v>
      </c>
      <c r="U229" t="s">
        <v>205</v>
      </c>
    </row>
    <row r="230" spans="1:21" x14ac:dyDescent="0.35">
      <c r="A230">
        <v>2024</v>
      </c>
      <c r="B230">
        <v>63</v>
      </c>
      <c r="C230" t="s">
        <v>292</v>
      </c>
      <c r="E230" t="s">
        <v>333</v>
      </c>
      <c r="F230" t="s">
        <v>299</v>
      </c>
      <c r="G230">
        <v>3.9</v>
      </c>
      <c r="H230">
        <v>1</v>
      </c>
      <c r="I230" t="s">
        <v>278</v>
      </c>
      <c r="J230" t="s">
        <v>180</v>
      </c>
      <c r="K230" t="s">
        <v>180</v>
      </c>
      <c r="L230" t="s">
        <v>179</v>
      </c>
      <c r="M230" t="s">
        <v>180</v>
      </c>
      <c r="N230" t="s">
        <v>180</v>
      </c>
      <c r="U230" t="s">
        <v>205</v>
      </c>
    </row>
    <row r="231" spans="1:21" x14ac:dyDescent="0.35">
      <c r="A231">
        <v>2024</v>
      </c>
      <c r="B231">
        <v>63</v>
      </c>
      <c r="C231" t="s">
        <v>292</v>
      </c>
      <c r="E231" t="s">
        <v>333</v>
      </c>
      <c r="F231" t="s">
        <v>299</v>
      </c>
      <c r="G231">
        <v>2.8</v>
      </c>
      <c r="H231">
        <v>1</v>
      </c>
      <c r="I231" t="s">
        <v>278</v>
      </c>
      <c r="J231" t="s">
        <v>180</v>
      </c>
      <c r="K231" t="s">
        <v>180</v>
      </c>
      <c r="L231" t="s">
        <v>179</v>
      </c>
      <c r="M231" t="s">
        <v>180</v>
      </c>
      <c r="N231" t="s">
        <v>180</v>
      </c>
      <c r="U231" t="s">
        <v>205</v>
      </c>
    </row>
    <row r="232" spans="1:21" x14ac:dyDescent="0.35">
      <c r="A232">
        <v>2024</v>
      </c>
      <c r="B232">
        <v>63</v>
      </c>
      <c r="C232" t="s">
        <v>292</v>
      </c>
      <c r="E232" t="s">
        <v>333</v>
      </c>
      <c r="F232" t="s">
        <v>299</v>
      </c>
      <c r="G232">
        <v>2.7</v>
      </c>
      <c r="H232">
        <v>1</v>
      </c>
      <c r="I232" t="s">
        <v>278</v>
      </c>
      <c r="J232" t="s">
        <v>180</v>
      </c>
      <c r="K232" t="s">
        <v>180</v>
      </c>
      <c r="L232" t="s">
        <v>180</v>
      </c>
      <c r="M232" t="s">
        <v>180</v>
      </c>
      <c r="N232" t="s">
        <v>180</v>
      </c>
      <c r="U232" t="s">
        <v>205</v>
      </c>
    </row>
    <row r="233" spans="1:21" x14ac:dyDescent="0.35">
      <c r="A233">
        <v>2024</v>
      </c>
      <c r="B233">
        <v>63</v>
      </c>
      <c r="C233" t="s">
        <v>292</v>
      </c>
      <c r="E233" t="s">
        <v>333</v>
      </c>
      <c r="F233" t="s">
        <v>299</v>
      </c>
      <c r="G233">
        <v>4.0999999999999996</v>
      </c>
      <c r="H233">
        <v>1</v>
      </c>
      <c r="I233" t="s">
        <v>278</v>
      </c>
      <c r="J233" t="s">
        <v>180</v>
      </c>
      <c r="K233" t="s">
        <v>180</v>
      </c>
      <c r="L233" t="s">
        <v>179</v>
      </c>
      <c r="M233" t="s">
        <v>180</v>
      </c>
      <c r="N233" t="s">
        <v>180</v>
      </c>
      <c r="O233" t="s">
        <v>179</v>
      </c>
      <c r="U233" t="s">
        <v>205</v>
      </c>
    </row>
    <row r="234" spans="1:21" x14ac:dyDescent="0.35">
      <c r="A234">
        <v>2024</v>
      </c>
      <c r="B234">
        <v>63</v>
      </c>
      <c r="C234" t="s">
        <v>292</v>
      </c>
      <c r="E234" t="s">
        <v>333</v>
      </c>
      <c r="F234" t="s">
        <v>299</v>
      </c>
      <c r="G234">
        <v>2.5</v>
      </c>
      <c r="H234">
        <v>1</v>
      </c>
      <c r="I234" t="s">
        <v>275</v>
      </c>
      <c r="J234" t="s">
        <v>180</v>
      </c>
      <c r="K234" t="s">
        <v>180</v>
      </c>
      <c r="L234" t="s">
        <v>180</v>
      </c>
      <c r="M234" t="s">
        <v>180</v>
      </c>
      <c r="N234" t="s">
        <v>180</v>
      </c>
      <c r="U234" t="s">
        <v>205</v>
      </c>
    </row>
    <row r="235" spans="1:21" x14ac:dyDescent="0.35">
      <c r="A235">
        <v>2024</v>
      </c>
      <c r="B235">
        <v>63</v>
      </c>
      <c r="C235" t="s">
        <v>292</v>
      </c>
      <c r="E235" t="s">
        <v>333</v>
      </c>
      <c r="F235" t="s">
        <v>299</v>
      </c>
      <c r="G235">
        <v>6.8</v>
      </c>
      <c r="H235">
        <v>1</v>
      </c>
      <c r="I235" t="s">
        <v>278</v>
      </c>
      <c r="J235" t="s">
        <v>180</v>
      </c>
      <c r="K235" t="s">
        <v>180</v>
      </c>
      <c r="L235" t="s">
        <v>179</v>
      </c>
      <c r="M235" t="s">
        <v>180</v>
      </c>
      <c r="N235" t="s">
        <v>180</v>
      </c>
      <c r="U235" t="s">
        <v>205</v>
      </c>
    </row>
    <row r="236" spans="1:21" x14ac:dyDescent="0.35">
      <c r="A236">
        <v>2024</v>
      </c>
      <c r="B236">
        <v>63</v>
      </c>
      <c r="C236" t="s">
        <v>292</v>
      </c>
      <c r="E236" t="s">
        <v>333</v>
      </c>
      <c r="F236" t="s">
        <v>299</v>
      </c>
      <c r="G236">
        <v>7.1</v>
      </c>
      <c r="H236">
        <v>2</v>
      </c>
      <c r="I236" t="s">
        <v>278</v>
      </c>
      <c r="J236" t="s">
        <v>180</v>
      </c>
      <c r="K236" t="s">
        <v>180</v>
      </c>
      <c r="L236" t="s">
        <v>180</v>
      </c>
      <c r="M236" t="s">
        <v>180</v>
      </c>
      <c r="N236" t="s">
        <v>180</v>
      </c>
      <c r="U236" t="s">
        <v>205</v>
      </c>
    </row>
    <row r="237" spans="1:21" x14ac:dyDescent="0.35">
      <c r="A237">
        <v>2024</v>
      </c>
      <c r="B237">
        <v>63</v>
      </c>
      <c r="C237" t="s">
        <v>277</v>
      </c>
      <c r="E237" t="s">
        <v>333</v>
      </c>
      <c r="F237" t="s">
        <v>289</v>
      </c>
      <c r="G237">
        <v>9.5</v>
      </c>
      <c r="H237">
        <v>5</v>
      </c>
      <c r="I237" t="s">
        <v>278</v>
      </c>
      <c r="J237" t="s">
        <v>180</v>
      </c>
      <c r="K237" t="s">
        <v>179</v>
      </c>
      <c r="L237" t="s">
        <v>179</v>
      </c>
      <c r="M237" t="s">
        <v>179</v>
      </c>
      <c r="N237" t="s">
        <v>180</v>
      </c>
      <c r="O237" t="s">
        <v>179</v>
      </c>
      <c r="R237" t="s">
        <v>341</v>
      </c>
      <c r="U237" t="s">
        <v>301</v>
      </c>
    </row>
    <row r="238" spans="1:21" x14ac:dyDescent="0.35">
      <c r="A238">
        <v>2024</v>
      </c>
      <c r="B238">
        <v>56</v>
      </c>
      <c r="C238" t="s">
        <v>277</v>
      </c>
      <c r="E238" t="s">
        <v>297</v>
      </c>
      <c r="F238" t="s">
        <v>289</v>
      </c>
      <c r="G238">
        <v>9.4</v>
      </c>
      <c r="H238">
        <v>1</v>
      </c>
      <c r="I238" t="s">
        <v>278</v>
      </c>
      <c r="J238" t="s">
        <v>180</v>
      </c>
      <c r="K238" t="s">
        <v>180</v>
      </c>
      <c r="L238" t="s">
        <v>180</v>
      </c>
      <c r="M238" t="s">
        <v>180</v>
      </c>
      <c r="N238" t="s">
        <v>180</v>
      </c>
      <c r="P238">
        <v>0</v>
      </c>
      <c r="Q238">
        <v>0</v>
      </c>
      <c r="U238" t="s">
        <v>205</v>
      </c>
    </row>
    <row r="239" spans="1:21" s="10" customFormat="1" x14ac:dyDescent="0.35">
      <c r="A239">
        <v>2024</v>
      </c>
      <c r="B239" s="10">
        <v>86</v>
      </c>
      <c r="C239" s="10" t="s">
        <v>296</v>
      </c>
      <c r="D239" s="10" t="s">
        <v>205</v>
      </c>
      <c r="E239" s="10" t="s">
        <v>205</v>
      </c>
      <c r="F239" s="10" t="s">
        <v>205</v>
      </c>
      <c r="G239" s="10" t="s">
        <v>205</v>
      </c>
      <c r="H239" s="10" t="s">
        <v>205</v>
      </c>
      <c r="I239" s="10" t="s">
        <v>205</v>
      </c>
      <c r="J239" s="10" t="s">
        <v>205</v>
      </c>
      <c r="K239" s="10" t="s">
        <v>205</v>
      </c>
      <c r="L239" s="10" t="s">
        <v>205</v>
      </c>
      <c r="M239" s="10" t="s">
        <v>205</v>
      </c>
      <c r="N239" s="10" t="s">
        <v>205</v>
      </c>
      <c r="O239" s="10" t="s">
        <v>205</v>
      </c>
      <c r="P239" s="10" t="s">
        <v>205</v>
      </c>
      <c r="Q239" s="10" t="s">
        <v>205</v>
      </c>
      <c r="R239" s="10" t="s">
        <v>205</v>
      </c>
      <c r="S239" s="10" t="s">
        <v>205</v>
      </c>
      <c r="T239" s="10" t="s">
        <v>205</v>
      </c>
      <c r="U239" t="s">
        <v>205</v>
      </c>
    </row>
    <row r="240" spans="1:21" x14ac:dyDescent="0.35">
      <c r="A240">
        <v>2024</v>
      </c>
      <c r="B240">
        <v>78</v>
      </c>
      <c r="C240" t="s">
        <v>273</v>
      </c>
      <c r="E240" t="s">
        <v>333</v>
      </c>
      <c r="F240" t="s">
        <v>299</v>
      </c>
      <c r="G240">
        <v>2.7</v>
      </c>
      <c r="H240">
        <v>1</v>
      </c>
      <c r="I240" t="s">
        <v>278</v>
      </c>
      <c r="J240" t="s">
        <v>180</v>
      </c>
      <c r="K240" t="s">
        <v>180</v>
      </c>
      <c r="L240" t="s">
        <v>179</v>
      </c>
      <c r="M240" t="s">
        <v>180</v>
      </c>
      <c r="N240" t="s">
        <v>180</v>
      </c>
      <c r="O240" t="s">
        <v>180</v>
      </c>
      <c r="U240" t="s">
        <v>205</v>
      </c>
    </row>
    <row r="241" spans="1:21" x14ac:dyDescent="0.35">
      <c r="A241">
        <v>2024</v>
      </c>
      <c r="B241">
        <v>78</v>
      </c>
      <c r="C241" t="s">
        <v>273</v>
      </c>
      <c r="E241" t="s">
        <v>333</v>
      </c>
      <c r="F241" t="s">
        <v>289</v>
      </c>
      <c r="G241">
        <v>4.8</v>
      </c>
      <c r="H241">
        <v>1</v>
      </c>
      <c r="I241" t="s">
        <v>278</v>
      </c>
      <c r="J241" t="s">
        <v>180</v>
      </c>
      <c r="K241" t="s">
        <v>180</v>
      </c>
      <c r="L241" t="s">
        <v>179</v>
      </c>
      <c r="M241" t="s">
        <v>180</v>
      </c>
      <c r="N241" t="s">
        <v>180</v>
      </c>
      <c r="O241" t="s">
        <v>180</v>
      </c>
      <c r="U241" t="s">
        <v>205</v>
      </c>
    </row>
    <row r="242" spans="1:21" x14ac:dyDescent="0.35">
      <c r="A242">
        <v>2024</v>
      </c>
      <c r="B242">
        <v>78</v>
      </c>
      <c r="C242" t="s">
        <v>273</v>
      </c>
      <c r="E242" t="s">
        <v>333</v>
      </c>
      <c r="F242" t="s">
        <v>299</v>
      </c>
      <c r="G242">
        <v>3.1</v>
      </c>
      <c r="H242">
        <v>1</v>
      </c>
      <c r="I242" t="s">
        <v>278</v>
      </c>
      <c r="J242" t="s">
        <v>180</v>
      </c>
      <c r="K242" t="s">
        <v>180</v>
      </c>
      <c r="L242" t="s">
        <v>179</v>
      </c>
      <c r="M242" t="s">
        <v>180</v>
      </c>
      <c r="N242" t="s">
        <v>180</v>
      </c>
      <c r="O242" t="s">
        <v>180</v>
      </c>
      <c r="U242" t="s">
        <v>205</v>
      </c>
    </row>
    <row r="243" spans="1:21" x14ac:dyDescent="0.35">
      <c r="A243">
        <v>2024</v>
      </c>
      <c r="B243">
        <v>78</v>
      </c>
      <c r="C243" t="s">
        <v>273</v>
      </c>
      <c r="E243">
        <v>8.32</v>
      </c>
      <c r="F243" t="s">
        <v>268</v>
      </c>
      <c r="G243">
        <v>4.5999999999999996</v>
      </c>
      <c r="H243">
        <v>1</v>
      </c>
      <c r="I243" t="s">
        <v>278</v>
      </c>
      <c r="J243" t="s">
        <v>180</v>
      </c>
      <c r="K243" t="s">
        <v>180</v>
      </c>
      <c r="L243" t="s">
        <v>180</v>
      </c>
      <c r="M243" t="s">
        <v>180</v>
      </c>
      <c r="N243" t="s">
        <v>180</v>
      </c>
      <c r="O243" t="s">
        <v>180</v>
      </c>
      <c r="R243" t="s">
        <v>342</v>
      </c>
      <c r="U243" t="s">
        <v>205</v>
      </c>
    </row>
    <row r="244" spans="1:21" x14ac:dyDescent="0.35">
      <c r="A244">
        <v>2024</v>
      </c>
      <c r="B244">
        <v>78</v>
      </c>
      <c r="C244" t="s">
        <v>273</v>
      </c>
      <c r="E244" t="s">
        <v>333</v>
      </c>
      <c r="F244" t="s">
        <v>299</v>
      </c>
      <c r="G244">
        <v>2.5</v>
      </c>
      <c r="H244">
        <v>1</v>
      </c>
      <c r="I244" t="s">
        <v>278</v>
      </c>
      <c r="J244" t="s">
        <v>180</v>
      </c>
      <c r="K244" t="s">
        <v>180</v>
      </c>
      <c r="L244" t="s">
        <v>179</v>
      </c>
      <c r="M244" t="s">
        <v>180</v>
      </c>
      <c r="N244" t="s">
        <v>180</v>
      </c>
      <c r="O244" t="s">
        <v>180</v>
      </c>
      <c r="U244" t="s">
        <v>205</v>
      </c>
    </row>
    <row r="245" spans="1:21" x14ac:dyDescent="0.35">
      <c r="A245">
        <v>2024</v>
      </c>
      <c r="B245">
        <v>78</v>
      </c>
      <c r="C245" t="s">
        <v>292</v>
      </c>
      <c r="E245" t="s">
        <v>333</v>
      </c>
      <c r="F245" t="s">
        <v>299</v>
      </c>
      <c r="G245">
        <v>3</v>
      </c>
      <c r="H245">
        <v>1</v>
      </c>
      <c r="I245" t="s">
        <v>278</v>
      </c>
      <c r="J245" t="s">
        <v>180</v>
      </c>
      <c r="K245" t="s">
        <v>180</v>
      </c>
      <c r="L245" t="s">
        <v>180</v>
      </c>
      <c r="M245" t="s">
        <v>180</v>
      </c>
      <c r="N245" t="s">
        <v>180</v>
      </c>
      <c r="O245" t="s">
        <v>180</v>
      </c>
      <c r="U245" t="s">
        <v>205</v>
      </c>
    </row>
    <row r="246" spans="1:21" x14ac:dyDescent="0.35">
      <c r="A246">
        <v>2024</v>
      </c>
      <c r="B246">
        <v>78</v>
      </c>
      <c r="C246" t="s">
        <v>292</v>
      </c>
      <c r="E246" t="s">
        <v>333</v>
      </c>
      <c r="F246" t="s">
        <v>299</v>
      </c>
      <c r="G246">
        <v>2.4</v>
      </c>
      <c r="H246">
        <v>1</v>
      </c>
      <c r="I246" t="s">
        <v>278</v>
      </c>
      <c r="J246" t="s">
        <v>180</v>
      </c>
      <c r="K246" t="s">
        <v>180</v>
      </c>
      <c r="L246" t="s">
        <v>180</v>
      </c>
      <c r="M246" t="s">
        <v>180</v>
      </c>
      <c r="N246" t="s">
        <v>180</v>
      </c>
      <c r="O246" t="s">
        <v>180</v>
      </c>
      <c r="R246" t="s">
        <v>343</v>
      </c>
      <c r="U246" t="s">
        <v>205</v>
      </c>
    </row>
    <row r="247" spans="1:21" x14ac:dyDescent="0.35">
      <c r="A247">
        <v>2024</v>
      </c>
      <c r="B247">
        <v>78</v>
      </c>
      <c r="C247" t="s">
        <v>292</v>
      </c>
      <c r="E247" t="s">
        <v>333</v>
      </c>
      <c r="F247" t="s">
        <v>299</v>
      </c>
      <c r="G247">
        <v>2.8</v>
      </c>
      <c r="H247">
        <v>1</v>
      </c>
      <c r="I247" t="s">
        <v>278</v>
      </c>
      <c r="J247" t="s">
        <v>180</v>
      </c>
      <c r="K247" t="s">
        <v>180</v>
      </c>
      <c r="L247" t="s">
        <v>179</v>
      </c>
      <c r="M247" t="s">
        <v>179</v>
      </c>
      <c r="N247" t="s">
        <v>180</v>
      </c>
      <c r="O247" t="s">
        <v>179</v>
      </c>
      <c r="U247" t="s">
        <v>301</v>
      </c>
    </row>
    <row r="248" spans="1:21" x14ac:dyDescent="0.35">
      <c r="A248">
        <v>2024</v>
      </c>
      <c r="B248">
        <v>78</v>
      </c>
      <c r="C248" t="s">
        <v>292</v>
      </c>
      <c r="E248" t="s">
        <v>333</v>
      </c>
      <c r="F248" t="s">
        <v>344</v>
      </c>
      <c r="G248">
        <v>2.9</v>
      </c>
      <c r="H248">
        <v>1</v>
      </c>
      <c r="I248" t="s">
        <v>278</v>
      </c>
      <c r="J248" t="s">
        <v>180</v>
      </c>
      <c r="K248" t="s">
        <v>180</v>
      </c>
      <c r="L248" t="s">
        <v>180</v>
      </c>
      <c r="M248" t="s">
        <v>180</v>
      </c>
      <c r="N248" t="s">
        <v>180</v>
      </c>
      <c r="O248" t="s">
        <v>180</v>
      </c>
      <c r="U248" t="s">
        <v>205</v>
      </c>
    </row>
    <row r="249" spans="1:21" x14ac:dyDescent="0.35">
      <c r="A249">
        <v>2024</v>
      </c>
      <c r="B249">
        <v>78</v>
      </c>
      <c r="C249" t="s">
        <v>292</v>
      </c>
      <c r="E249" t="s">
        <v>333</v>
      </c>
      <c r="F249" t="s">
        <v>299</v>
      </c>
      <c r="G249">
        <v>3.8</v>
      </c>
      <c r="H249">
        <v>1</v>
      </c>
      <c r="I249" t="s">
        <v>278</v>
      </c>
      <c r="J249" t="s">
        <v>180</v>
      </c>
      <c r="K249" t="s">
        <v>180</v>
      </c>
      <c r="L249" t="s">
        <v>179</v>
      </c>
      <c r="M249" t="s">
        <v>180</v>
      </c>
      <c r="N249" t="s">
        <v>180</v>
      </c>
      <c r="O249" t="s">
        <v>180</v>
      </c>
      <c r="U249" t="s">
        <v>205</v>
      </c>
    </row>
    <row r="250" spans="1:21" x14ac:dyDescent="0.35">
      <c r="A250">
        <v>2024</v>
      </c>
      <c r="B250">
        <v>78</v>
      </c>
      <c r="C250" t="s">
        <v>292</v>
      </c>
      <c r="E250" t="s">
        <v>333</v>
      </c>
      <c r="F250" t="s">
        <v>299</v>
      </c>
      <c r="G250">
        <v>2.7</v>
      </c>
      <c r="H250">
        <v>1</v>
      </c>
      <c r="I250" t="s">
        <v>278</v>
      </c>
      <c r="J250" t="s">
        <v>180</v>
      </c>
      <c r="K250" t="s">
        <v>180</v>
      </c>
      <c r="L250" t="s">
        <v>180</v>
      </c>
      <c r="M250" t="s">
        <v>180</v>
      </c>
      <c r="N250" t="s">
        <v>180</v>
      </c>
      <c r="O250" t="s">
        <v>180</v>
      </c>
      <c r="U250" t="s">
        <v>205</v>
      </c>
    </row>
    <row r="251" spans="1:21" x14ac:dyDescent="0.35">
      <c r="A251">
        <v>2024</v>
      </c>
      <c r="B251">
        <v>78</v>
      </c>
      <c r="C251" t="s">
        <v>292</v>
      </c>
      <c r="E251" t="s">
        <v>333</v>
      </c>
      <c r="F251" t="s">
        <v>299</v>
      </c>
      <c r="G251">
        <v>3.6</v>
      </c>
      <c r="H251">
        <v>1</v>
      </c>
      <c r="I251" t="s">
        <v>278</v>
      </c>
      <c r="J251" t="s">
        <v>180</v>
      </c>
      <c r="K251" t="s">
        <v>180</v>
      </c>
      <c r="L251" t="s">
        <v>180</v>
      </c>
      <c r="M251" t="s">
        <v>180</v>
      </c>
      <c r="N251" t="s">
        <v>180</v>
      </c>
      <c r="O251" t="s">
        <v>180</v>
      </c>
      <c r="R251" t="s">
        <v>345</v>
      </c>
      <c r="U251" t="s">
        <v>205</v>
      </c>
    </row>
    <row r="252" spans="1:21" x14ac:dyDescent="0.35">
      <c r="A252">
        <v>2024</v>
      </c>
      <c r="B252">
        <v>78</v>
      </c>
      <c r="C252" t="s">
        <v>292</v>
      </c>
      <c r="E252" t="s">
        <v>333</v>
      </c>
      <c r="F252" t="s">
        <v>299</v>
      </c>
      <c r="G252">
        <v>2.9</v>
      </c>
      <c r="H252">
        <v>1</v>
      </c>
      <c r="I252" t="s">
        <v>278</v>
      </c>
      <c r="J252" t="s">
        <v>180</v>
      </c>
      <c r="K252" t="s">
        <v>180</v>
      </c>
      <c r="L252" t="s">
        <v>179</v>
      </c>
      <c r="M252" t="s">
        <v>180</v>
      </c>
      <c r="N252" t="s">
        <v>180</v>
      </c>
      <c r="O252" t="s">
        <v>180</v>
      </c>
      <c r="U252" t="s">
        <v>205</v>
      </c>
    </row>
    <row r="253" spans="1:21" x14ac:dyDescent="0.35">
      <c r="A253">
        <v>2024</v>
      </c>
      <c r="B253">
        <v>78</v>
      </c>
      <c r="C253" t="s">
        <v>292</v>
      </c>
      <c r="E253" t="s">
        <v>333</v>
      </c>
      <c r="F253" t="s">
        <v>299</v>
      </c>
      <c r="G253">
        <v>3.3</v>
      </c>
      <c r="H253">
        <v>1</v>
      </c>
      <c r="I253" t="s">
        <v>278</v>
      </c>
      <c r="J253" t="s">
        <v>180</v>
      </c>
      <c r="K253" t="s">
        <v>180</v>
      </c>
      <c r="L253" t="s">
        <v>180</v>
      </c>
      <c r="M253" t="s">
        <v>180</v>
      </c>
      <c r="N253" t="s">
        <v>180</v>
      </c>
      <c r="O253" t="s">
        <v>180</v>
      </c>
      <c r="U253" t="s">
        <v>205</v>
      </c>
    </row>
    <row r="254" spans="1:21" x14ac:dyDescent="0.35">
      <c r="A254">
        <v>2024</v>
      </c>
      <c r="B254">
        <v>78</v>
      </c>
      <c r="C254" t="s">
        <v>292</v>
      </c>
      <c r="E254">
        <v>8.64</v>
      </c>
      <c r="F254" t="s">
        <v>299</v>
      </c>
      <c r="G254">
        <v>4.3</v>
      </c>
      <c r="H254">
        <v>1</v>
      </c>
      <c r="I254" t="s">
        <v>278</v>
      </c>
      <c r="J254" t="s">
        <v>180</v>
      </c>
      <c r="K254" t="s">
        <v>180</v>
      </c>
      <c r="L254" t="s">
        <v>180</v>
      </c>
      <c r="M254" t="s">
        <v>180</v>
      </c>
      <c r="N254" t="s">
        <v>180</v>
      </c>
      <c r="O254" t="s">
        <v>180</v>
      </c>
      <c r="R254" t="s">
        <v>346</v>
      </c>
      <c r="U254" t="s">
        <v>205</v>
      </c>
    </row>
    <row r="255" spans="1:21" x14ac:dyDescent="0.35">
      <c r="A255">
        <v>2024</v>
      </c>
      <c r="B255">
        <v>76</v>
      </c>
      <c r="C255" t="s">
        <v>267</v>
      </c>
      <c r="E255">
        <v>12.26</v>
      </c>
      <c r="F255" t="s">
        <v>299</v>
      </c>
      <c r="G255">
        <v>2.8</v>
      </c>
      <c r="H255">
        <v>1</v>
      </c>
      <c r="I255" t="s">
        <v>278</v>
      </c>
      <c r="J255" t="s">
        <v>180</v>
      </c>
      <c r="K255" t="s">
        <v>180</v>
      </c>
      <c r="L255" t="s">
        <v>180</v>
      </c>
      <c r="M255" t="s">
        <v>180</v>
      </c>
      <c r="N255" t="s">
        <v>180</v>
      </c>
      <c r="O255" t="s">
        <v>180</v>
      </c>
      <c r="U255" t="s">
        <v>205</v>
      </c>
    </row>
    <row r="256" spans="1:21" x14ac:dyDescent="0.35">
      <c r="A256">
        <v>2024</v>
      </c>
      <c r="B256">
        <v>76</v>
      </c>
      <c r="C256" t="s">
        <v>267</v>
      </c>
      <c r="E256" t="s">
        <v>333</v>
      </c>
      <c r="F256" t="s">
        <v>299</v>
      </c>
      <c r="G256">
        <v>2.9</v>
      </c>
      <c r="H256">
        <v>1</v>
      </c>
      <c r="I256" t="s">
        <v>275</v>
      </c>
      <c r="J256" t="s">
        <v>180</v>
      </c>
      <c r="K256" t="s">
        <v>180</v>
      </c>
      <c r="L256" t="s">
        <v>180</v>
      </c>
      <c r="M256" t="s">
        <v>180</v>
      </c>
      <c r="N256" t="s">
        <v>180</v>
      </c>
      <c r="O256" t="s">
        <v>180</v>
      </c>
      <c r="U256" t="s">
        <v>205</v>
      </c>
    </row>
    <row r="257" spans="1:21" x14ac:dyDescent="0.35">
      <c r="A257">
        <v>2024</v>
      </c>
      <c r="B257">
        <v>73</v>
      </c>
      <c r="C257" t="s">
        <v>296</v>
      </c>
      <c r="D257" t="s">
        <v>205</v>
      </c>
      <c r="E257" t="s">
        <v>205</v>
      </c>
      <c r="F257" t="s">
        <v>205</v>
      </c>
      <c r="G257" t="s">
        <v>205</v>
      </c>
      <c r="H257" t="s">
        <v>205</v>
      </c>
      <c r="I257" t="s">
        <v>205</v>
      </c>
      <c r="J257" t="s">
        <v>205</v>
      </c>
      <c r="K257" t="s">
        <v>205</v>
      </c>
      <c r="L257" t="s">
        <v>205</v>
      </c>
      <c r="M257" t="s">
        <v>205</v>
      </c>
      <c r="N257" t="s">
        <v>205</v>
      </c>
      <c r="O257" t="s">
        <v>205</v>
      </c>
      <c r="P257" t="s">
        <v>205</v>
      </c>
      <c r="Q257" t="s">
        <v>205</v>
      </c>
      <c r="R257" t="s">
        <v>205</v>
      </c>
      <c r="S257" t="s">
        <v>205</v>
      </c>
      <c r="T257" t="s">
        <v>205</v>
      </c>
      <c r="U257" t="s">
        <v>205</v>
      </c>
    </row>
    <row r="258" spans="1:21" x14ac:dyDescent="0.35">
      <c r="A258">
        <v>2024</v>
      </c>
      <c r="B258">
        <v>74</v>
      </c>
      <c r="C258" t="s">
        <v>296</v>
      </c>
      <c r="D258" t="s">
        <v>205</v>
      </c>
      <c r="E258" t="s">
        <v>205</v>
      </c>
      <c r="F258" t="s">
        <v>205</v>
      </c>
      <c r="G258" t="s">
        <v>205</v>
      </c>
      <c r="H258" t="s">
        <v>205</v>
      </c>
      <c r="I258" t="s">
        <v>205</v>
      </c>
      <c r="J258" t="s">
        <v>205</v>
      </c>
      <c r="K258" t="s">
        <v>205</v>
      </c>
      <c r="L258" t="s">
        <v>205</v>
      </c>
      <c r="M258" t="s">
        <v>205</v>
      </c>
      <c r="N258" t="s">
        <v>205</v>
      </c>
      <c r="O258" t="s">
        <v>205</v>
      </c>
      <c r="P258" t="s">
        <v>205</v>
      </c>
      <c r="Q258" t="s">
        <v>205</v>
      </c>
      <c r="R258" t="s">
        <v>205</v>
      </c>
      <c r="S258" t="s">
        <v>205</v>
      </c>
      <c r="T258" t="s">
        <v>205</v>
      </c>
      <c r="U258" t="s">
        <v>205</v>
      </c>
    </row>
    <row r="259" spans="1:21" x14ac:dyDescent="0.35">
      <c r="A259">
        <v>2024</v>
      </c>
      <c r="B259" t="s">
        <v>347</v>
      </c>
      <c r="E259">
        <v>8.07</v>
      </c>
      <c r="F259" t="s">
        <v>268</v>
      </c>
      <c r="G259">
        <v>2.7</v>
      </c>
      <c r="H259">
        <v>1</v>
      </c>
      <c r="I259" t="s">
        <v>275</v>
      </c>
      <c r="J259" t="s">
        <v>180</v>
      </c>
      <c r="K259" t="s">
        <v>180</v>
      </c>
      <c r="L259" t="s">
        <v>179</v>
      </c>
      <c r="M259" t="s">
        <v>180</v>
      </c>
      <c r="N259" t="s">
        <v>180</v>
      </c>
      <c r="O259" t="s">
        <v>180</v>
      </c>
      <c r="R259" t="s">
        <v>348</v>
      </c>
      <c r="U259" t="s">
        <v>205</v>
      </c>
    </row>
    <row r="260" spans="1:21" x14ac:dyDescent="0.35">
      <c r="A260">
        <v>2024</v>
      </c>
      <c r="B260" t="s">
        <v>347</v>
      </c>
      <c r="E260" t="s">
        <v>333</v>
      </c>
      <c r="F260" t="s">
        <v>298</v>
      </c>
      <c r="G260">
        <v>13.7</v>
      </c>
      <c r="H260">
        <v>5</v>
      </c>
      <c r="I260" t="s">
        <v>278</v>
      </c>
      <c r="J260" t="s">
        <v>179</v>
      </c>
      <c r="K260" t="s">
        <v>179</v>
      </c>
      <c r="L260" t="s">
        <v>179</v>
      </c>
      <c r="M260" t="s">
        <v>180</v>
      </c>
      <c r="N260" t="s">
        <v>179</v>
      </c>
      <c r="O260" t="s">
        <v>179</v>
      </c>
      <c r="S260" t="s">
        <v>349</v>
      </c>
      <c r="U260" t="s">
        <v>205</v>
      </c>
    </row>
    <row r="261" spans="1:21" x14ac:dyDescent="0.35">
      <c r="A261">
        <v>2024</v>
      </c>
      <c r="B261" t="s">
        <v>347</v>
      </c>
      <c r="E261">
        <v>22.8</v>
      </c>
      <c r="F261" t="s">
        <v>268</v>
      </c>
      <c r="G261">
        <v>15.6</v>
      </c>
      <c r="H261">
        <v>5</v>
      </c>
      <c r="I261" t="s">
        <v>269</v>
      </c>
      <c r="J261" t="s">
        <v>180</v>
      </c>
      <c r="K261" t="s">
        <v>179</v>
      </c>
      <c r="L261" t="s">
        <v>179</v>
      </c>
      <c r="M261" t="s">
        <v>180</v>
      </c>
      <c r="N261" t="s">
        <v>179</v>
      </c>
      <c r="O261" t="s">
        <v>179</v>
      </c>
      <c r="U261" t="s">
        <v>205</v>
      </c>
    </row>
    <row r="262" spans="1:21" x14ac:dyDescent="0.35">
      <c r="A262">
        <v>2024</v>
      </c>
      <c r="B262" t="s">
        <v>347</v>
      </c>
      <c r="E262">
        <v>26.64</v>
      </c>
      <c r="F262" t="s">
        <v>268</v>
      </c>
      <c r="G262">
        <v>16.899999999999999</v>
      </c>
      <c r="H262">
        <v>3</v>
      </c>
      <c r="I262" t="s">
        <v>269</v>
      </c>
      <c r="J262" t="s">
        <v>180</v>
      </c>
      <c r="K262" t="s">
        <v>180</v>
      </c>
      <c r="L262" t="s">
        <v>180</v>
      </c>
      <c r="M262" t="s">
        <v>179</v>
      </c>
      <c r="N262" t="s">
        <v>179</v>
      </c>
      <c r="O262" t="s">
        <v>180</v>
      </c>
      <c r="U262" t="s">
        <v>301</v>
      </c>
    </row>
    <row r="263" spans="1:21" x14ac:dyDescent="0.35">
      <c r="A263">
        <v>2024</v>
      </c>
      <c r="B263" t="s">
        <v>350</v>
      </c>
      <c r="C263" t="s">
        <v>296</v>
      </c>
      <c r="D263" t="s">
        <v>205</v>
      </c>
      <c r="E263" t="s">
        <v>205</v>
      </c>
      <c r="F263" t="s">
        <v>205</v>
      </c>
      <c r="G263" t="s">
        <v>205</v>
      </c>
      <c r="H263" t="s">
        <v>205</v>
      </c>
      <c r="I263" t="s">
        <v>205</v>
      </c>
      <c r="J263" t="s">
        <v>205</v>
      </c>
      <c r="K263" t="s">
        <v>205</v>
      </c>
      <c r="L263" t="s">
        <v>205</v>
      </c>
      <c r="M263" t="s">
        <v>205</v>
      </c>
      <c r="N263" t="s">
        <v>205</v>
      </c>
      <c r="O263" t="s">
        <v>205</v>
      </c>
      <c r="P263" t="s">
        <v>205</v>
      </c>
      <c r="Q263" t="s">
        <v>205</v>
      </c>
      <c r="R263" t="s">
        <v>205</v>
      </c>
      <c r="S263" t="s">
        <v>205</v>
      </c>
      <c r="T263" t="s">
        <v>205</v>
      </c>
      <c r="U263" t="s">
        <v>205</v>
      </c>
    </row>
    <row r="264" spans="1:21" x14ac:dyDescent="0.35">
      <c r="A264">
        <v>2024</v>
      </c>
      <c r="B264">
        <v>77</v>
      </c>
      <c r="C264" t="s">
        <v>296</v>
      </c>
      <c r="D264" t="s">
        <v>205</v>
      </c>
      <c r="E264" t="s">
        <v>205</v>
      </c>
      <c r="F264" t="s">
        <v>205</v>
      </c>
      <c r="G264" t="s">
        <v>205</v>
      </c>
      <c r="H264" t="s">
        <v>205</v>
      </c>
      <c r="I264" t="s">
        <v>205</v>
      </c>
      <c r="J264" t="s">
        <v>205</v>
      </c>
      <c r="K264" t="s">
        <v>205</v>
      </c>
      <c r="L264" t="s">
        <v>205</v>
      </c>
      <c r="M264" t="s">
        <v>205</v>
      </c>
      <c r="N264" t="s">
        <v>205</v>
      </c>
      <c r="O264" t="s">
        <v>205</v>
      </c>
      <c r="P264" t="s">
        <v>205</v>
      </c>
      <c r="Q264" t="s">
        <v>205</v>
      </c>
      <c r="R264" t="s">
        <v>205</v>
      </c>
      <c r="S264" t="s">
        <v>205</v>
      </c>
      <c r="T264" t="s">
        <v>205</v>
      </c>
      <c r="U264" t="s">
        <v>205</v>
      </c>
    </row>
    <row r="265" spans="1:21" x14ac:dyDescent="0.35">
      <c r="A265">
        <v>2024</v>
      </c>
      <c r="B265">
        <v>109</v>
      </c>
      <c r="C265" t="s">
        <v>273</v>
      </c>
      <c r="E265">
        <v>17.12</v>
      </c>
      <c r="F265" t="s">
        <v>289</v>
      </c>
      <c r="G265">
        <v>4.4000000000000004</v>
      </c>
      <c r="H265">
        <v>1</v>
      </c>
      <c r="I265" t="s">
        <v>275</v>
      </c>
      <c r="J265" t="s">
        <v>180</v>
      </c>
      <c r="K265" t="s">
        <v>180</v>
      </c>
      <c r="L265" t="s">
        <v>179</v>
      </c>
      <c r="M265" t="s">
        <v>180</v>
      </c>
      <c r="N265" t="s">
        <v>180</v>
      </c>
      <c r="O265" t="s">
        <v>180</v>
      </c>
      <c r="U265" t="s">
        <v>205</v>
      </c>
    </row>
    <row r="266" spans="1:21" x14ac:dyDescent="0.35">
      <c r="A266">
        <v>2024</v>
      </c>
      <c r="B266">
        <v>109</v>
      </c>
      <c r="C266" t="s">
        <v>292</v>
      </c>
      <c r="E266">
        <v>27.77</v>
      </c>
      <c r="F266" t="s">
        <v>268</v>
      </c>
      <c r="G266">
        <v>9.6</v>
      </c>
      <c r="H266">
        <v>1</v>
      </c>
      <c r="I266" t="s">
        <v>278</v>
      </c>
      <c r="J266" t="s">
        <v>180</v>
      </c>
      <c r="K266" t="s">
        <v>180</v>
      </c>
      <c r="L266" t="s">
        <v>179</v>
      </c>
      <c r="M266" t="s">
        <v>180</v>
      </c>
      <c r="N266" t="s">
        <v>180</v>
      </c>
      <c r="O266" t="s">
        <v>179</v>
      </c>
      <c r="U266" t="s">
        <v>205</v>
      </c>
    </row>
    <row r="267" spans="1:21" x14ac:dyDescent="0.35">
      <c r="A267">
        <v>2024</v>
      </c>
      <c r="B267">
        <v>100</v>
      </c>
      <c r="C267" t="s">
        <v>296</v>
      </c>
      <c r="D267" t="s">
        <v>205</v>
      </c>
      <c r="E267" t="s">
        <v>205</v>
      </c>
      <c r="F267" t="s">
        <v>205</v>
      </c>
      <c r="G267" t="s">
        <v>205</v>
      </c>
      <c r="H267" t="s">
        <v>205</v>
      </c>
      <c r="I267" t="s">
        <v>205</v>
      </c>
      <c r="J267" t="s">
        <v>205</v>
      </c>
      <c r="K267" t="s">
        <v>205</v>
      </c>
      <c r="L267" t="s">
        <v>205</v>
      </c>
      <c r="M267" t="s">
        <v>205</v>
      </c>
      <c r="N267" t="s">
        <v>205</v>
      </c>
      <c r="O267" t="s">
        <v>205</v>
      </c>
      <c r="P267" t="s">
        <v>205</v>
      </c>
      <c r="Q267" t="s">
        <v>205</v>
      </c>
      <c r="R267" t="s">
        <v>205</v>
      </c>
      <c r="S267" t="s">
        <v>205</v>
      </c>
      <c r="T267" t="s">
        <v>205</v>
      </c>
      <c r="U267" t="s">
        <v>205</v>
      </c>
    </row>
    <row r="268" spans="1:21" x14ac:dyDescent="0.35">
      <c r="A268">
        <v>2024</v>
      </c>
      <c r="B268">
        <v>112</v>
      </c>
      <c r="C268" t="s">
        <v>267</v>
      </c>
      <c r="E268" t="s">
        <v>333</v>
      </c>
      <c r="F268" t="s">
        <v>268</v>
      </c>
      <c r="G268">
        <v>2.7</v>
      </c>
      <c r="H268">
        <v>1</v>
      </c>
      <c r="I268" t="s">
        <v>275</v>
      </c>
      <c r="J268" t="s">
        <v>180</v>
      </c>
      <c r="K268" t="s">
        <v>180</v>
      </c>
      <c r="L268" t="s">
        <v>179</v>
      </c>
      <c r="M268" t="s">
        <v>180</v>
      </c>
      <c r="N268" t="s">
        <v>180</v>
      </c>
      <c r="O268" t="s">
        <v>180</v>
      </c>
      <c r="U268" t="s">
        <v>205</v>
      </c>
    </row>
    <row r="269" spans="1:21" x14ac:dyDescent="0.35">
      <c r="A269">
        <v>2024</v>
      </c>
      <c r="B269">
        <v>113</v>
      </c>
      <c r="C269" t="s">
        <v>292</v>
      </c>
      <c r="E269" t="s">
        <v>333</v>
      </c>
      <c r="F269" t="s">
        <v>268</v>
      </c>
      <c r="G269">
        <v>2.8</v>
      </c>
      <c r="H269">
        <v>1</v>
      </c>
      <c r="I269" t="s">
        <v>275</v>
      </c>
      <c r="J269" t="s">
        <v>180</v>
      </c>
      <c r="K269" t="s">
        <v>180</v>
      </c>
      <c r="L269" t="s">
        <v>179</v>
      </c>
      <c r="M269" t="s">
        <v>180</v>
      </c>
      <c r="N269" t="s">
        <v>180</v>
      </c>
      <c r="O269" t="s">
        <v>180</v>
      </c>
      <c r="U269" t="s">
        <v>205</v>
      </c>
    </row>
    <row r="270" spans="1:21" x14ac:dyDescent="0.35">
      <c r="A270">
        <v>2024</v>
      </c>
      <c r="B270">
        <v>113</v>
      </c>
      <c r="C270" t="s">
        <v>277</v>
      </c>
      <c r="E270" t="s">
        <v>333</v>
      </c>
      <c r="F270" t="s">
        <v>268</v>
      </c>
      <c r="G270">
        <v>2.5</v>
      </c>
      <c r="H270">
        <v>1</v>
      </c>
      <c r="I270" t="s">
        <v>275</v>
      </c>
      <c r="J270" t="s">
        <v>180</v>
      </c>
      <c r="K270" t="s">
        <v>180</v>
      </c>
      <c r="L270" t="s">
        <v>179</v>
      </c>
      <c r="M270" t="s">
        <v>180</v>
      </c>
      <c r="N270" t="s">
        <v>180</v>
      </c>
      <c r="O270" t="s">
        <v>180</v>
      </c>
      <c r="U270" t="s">
        <v>205</v>
      </c>
    </row>
    <row r="271" spans="1:21" x14ac:dyDescent="0.35">
      <c r="A271">
        <v>2024</v>
      </c>
      <c r="B271">
        <v>113</v>
      </c>
      <c r="C271" t="s">
        <v>277</v>
      </c>
      <c r="E271" t="s">
        <v>333</v>
      </c>
      <c r="F271" t="s">
        <v>268</v>
      </c>
      <c r="G271">
        <v>3</v>
      </c>
      <c r="H271">
        <v>1</v>
      </c>
      <c r="I271" t="s">
        <v>275</v>
      </c>
      <c r="J271" t="s">
        <v>180</v>
      </c>
      <c r="K271" t="s">
        <v>180</v>
      </c>
      <c r="L271" t="s">
        <v>180</v>
      </c>
      <c r="M271" t="s">
        <v>180</v>
      </c>
      <c r="N271" t="s">
        <v>180</v>
      </c>
      <c r="O271" t="s">
        <v>180</v>
      </c>
      <c r="S271" t="s">
        <v>351</v>
      </c>
      <c r="U271" t="s">
        <v>205</v>
      </c>
    </row>
    <row r="272" spans="1:21" x14ac:dyDescent="0.35">
      <c r="A272">
        <v>2024</v>
      </c>
      <c r="B272">
        <v>114</v>
      </c>
      <c r="C272" t="s">
        <v>273</v>
      </c>
      <c r="E272" t="s">
        <v>333</v>
      </c>
      <c r="F272" t="s">
        <v>268</v>
      </c>
      <c r="G272">
        <v>2.5</v>
      </c>
      <c r="H272">
        <v>1</v>
      </c>
      <c r="I272" t="s">
        <v>275</v>
      </c>
      <c r="J272" t="s">
        <v>180</v>
      </c>
      <c r="K272" t="s">
        <v>180</v>
      </c>
      <c r="L272" t="s">
        <v>180</v>
      </c>
      <c r="M272" t="s">
        <v>180</v>
      </c>
      <c r="N272" t="s">
        <v>180</v>
      </c>
      <c r="O272" t="s">
        <v>180</v>
      </c>
      <c r="U272" t="s">
        <v>205</v>
      </c>
    </row>
    <row r="273" spans="1:21" x14ac:dyDescent="0.35">
      <c r="A273">
        <v>2024</v>
      </c>
      <c r="B273">
        <v>114</v>
      </c>
      <c r="C273" t="s">
        <v>292</v>
      </c>
      <c r="E273" t="s">
        <v>333</v>
      </c>
      <c r="F273" t="s">
        <v>268</v>
      </c>
      <c r="G273">
        <v>2.6</v>
      </c>
      <c r="H273">
        <v>1</v>
      </c>
      <c r="I273" t="s">
        <v>275</v>
      </c>
      <c r="J273" t="s">
        <v>180</v>
      </c>
      <c r="K273" t="s">
        <v>180</v>
      </c>
      <c r="L273" t="s">
        <v>180</v>
      </c>
      <c r="M273" t="s">
        <v>180</v>
      </c>
      <c r="N273" t="s">
        <v>180</v>
      </c>
      <c r="O273" t="s">
        <v>180</v>
      </c>
      <c r="U273" t="s">
        <v>205</v>
      </c>
    </row>
    <row r="274" spans="1:21" x14ac:dyDescent="0.35">
      <c r="A274">
        <v>2024</v>
      </c>
      <c r="B274">
        <v>114</v>
      </c>
      <c r="C274" t="s">
        <v>277</v>
      </c>
      <c r="E274" t="s">
        <v>333</v>
      </c>
      <c r="F274" t="s">
        <v>268</v>
      </c>
      <c r="G274">
        <v>3</v>
      </c>
      <c r="H274">
        <v>1</v>
      </c>
      <c r="I274" t="s">
        <v>275</v>
      </c>
      <c r="J274" t="s">
        <v>180</v>
      </c>
      <c r="K274" t="s">
        <v>180</v>
      </c>
      <c r="L274" t="s">
        <v>179</v>
      </c>
      <c r="M274" t="s">
        <v>180</v>
      </c>
      <c r="N274" t="s">
        <v>180</v>
      </c>
      <c r="O274" t="s">
        <v>180</v>
      </c>
      <c r="U274" t="s">
        <v>205</v>
      </c>
    </row>
    <row r="275" spans="1:21" x14ac:dyDescent="0.35">
      <c r="A275">
        <v>2024</v>
      </c>
      <c r="B275">
        <v>110</v>
      </c>
      <c r="C275" t="s">
        <v>296</v>
      </c>
      <c r="D275" t="s">
        <v>205</v>
      </c>
      <c r="E275" t="s">
        <v>205</v>
      </c>
      <c r="F275" t="s">
        <v>205</v>
      </c>
      <c r="G275" t="s">
        <v>205</v>
      </c>
      <c r="H275" t="s">
        <v>205</v>
      </c>
      <c r="I275" t="s">
        <v>205</v>
      </c>
      <c r="J275" t="s">
        <v>205</v>
      </c>
      <c r="K275" t="s">
        <v>205</v>
      </c>
      <c r="L275" t="s">
        <v>205</v>
      </c>
      <c r="M275" t="s">
        <v>205</v>
      </c>
      <c r="N275" t="s">
        <v>205</v>
      </c>
      <c r="O275" t="s">
        <v>205</v>
      </c>
      <c r="P275" t="s">
        <v>205</v>
      </c>
      <c r="Q275" t="s">
        <v>205</v>
      </c>
      <c r="R275" t="s">
        <v>205</v>
      </c>
      <c r="S275" t="s">
        <v>205</v>
      </c>
      <c r="T275" t="s">
        <v>205</v>
      </c>
      <c r="U275" t="s">
        <v>205</v>
      </c>
    </row>
    <row r="276" spans="1:21" x14ac:dyDescent="0.35">
      <c r="A276">
        <v>2024</v>
      </c>
      <c r="B276">
        <v>111</v>
      </c>
      <c r="C276" t="s">
        <v>273</v>
      </c>
      <c r="E276">
        <v>8.3800000000000008</v>
      </c>
      <c r="F276" t="s">
        <v>268</v>
      </c>
      <c r="G276">
        <v>5.8</v>
      </c>
      <c r="H276">
        <v>1</v>
      </c>
      <c r="I276" t="s">
        <v>278</v>
      </c>
      <c r="J276" t="s">
        <v>180</v>
      </c>
      <c r="K276" t="s">
        <v>180</v>
      </c>
      <c r="L276" t="s">
        <v>179</v>
      </c>
      <c r="M276" t="s">
        <v>180</v>
      </c>
      <c r="N276" t="s">
        <v>180</v>
      </c>
      <c r="O276" t="s">
        <v>180</v>
      </c>
      <c r="U276" t="s">
        <v>205</v>
      </c>
    </row>
    <row r="277" spans="1:21" x14ac:dyDescent="0.35">
      <c r="A277">
        <v>2024</v>
      </c>
      <c r="B277">
        <v>69</v>
      </c>
      <c r="C277" t="s">
        <v>296</v>
      </c>
      <c r="D277" t="s">
        <v>205</v>
      </c>
      <c r="E277" t="s">
        <v>205</v>
      </c>
      <c r="F277" t="s">
        <v>205</v>
      </c>
      <c r="G277" t="s">
        <v>205</v>
      </c>
      <c r="H277" t="s">
        <v>205</v>
      </c>
      <c r="I277" t="s">
        <v>205</v>
      </c>
      <c r="J277" t="s">
        <v>205</v>
      </c>
      <c r="K277" t="s">
        <v>205</v>
      </c>
      <c r="L277" t="s">
        <v>205</v>
      </c>
      <c r="M277" t="s">
        <v>205</v>
      </c>
      <c r="N277" t="s">
        <v>205</v>
      </c>
      <c r="O277" t="s">
        <v>205</v>
      </c>
      <c r="P277" t="s">
        <v>205</v>
      </c>
      <c r="Q277" t="s">
        <v>205</v>
      </c>
      <c r="R277" t="s">
        <v>205</v>
      </c>
      <c r="S277" t="s">
        <v>205</v>
      </c>
      <c r="T277" t="s">
        <v>205</v>
      </c>
      <c r="U277" t="s">
        <v>205</v>
      </c>
    </row>
    <row r="278" spans="1:21" x14ac:dyDescent="0.35">
      <c r="A278">
        <v>2024</v>
      </c>
      <c r="B278">
        <v>68</v>
      </c>
      <c r="C278" t="s">
        <v>296</v>
      </c>
      <c r="D278" t="s">
        <v>205</v>
      </c>
      <c r="E278" t="s">
        <v>205</v>
      </c>
      <c r="F278" t="s">
        <v>205</v>
      </c>
      <c r="G278" t="s">
        <v>205</v>
      </c>
      <c r="H278" t="s">
        <v>205</v>
      </c>
      <c r="I278" t="s">
        <v>205</v>
      </c>
      <c r="J278" t="s">
        <v>205</v>
      </c>
      <c r="K278" t="s">
        <v>205</v>
      </c>
      <c r="L278" t="s">
        <v>205</v>
      </c>
      <c r="M278" t="s">
        <v>205</v>
      </c>
      <c r="N278" t="s">
        <v>205</v>
      </c>
      <c r="O278" t="s">
        <v>205</v>
      </c>
      <c r="P278" t="s">
        <v>205</v>
      </c>
      <c r="Q278" t="s">
        <v>205</v>
      </c>
      <c r="R278" t="s">
        <v>205</v>
      </c>
      <c r="S278" t="s">
        <v>205</v>
      </c>
      <c r="T278" t="s">
        <v>205</v>
      </c>
      <c r="U278" t="s">
        <v>205</v>
      </c>
    </row>
    <row r="279" spans="1:21" x14ac:dyDescent="0.35">
      <c r="A279">
        <v>2024</v>
      </c>
      <c r="B279">
        <v>70</v>
      </c>
      <c r="C279" t="s">
        <v>267</v>
      </c>
      <c r="D279">
        <v>222</v>
      </c>
      <c r="E279">
        <v>7</v>
      </c>
      <c r="F279" t="s">
        <v>289</v>
      </c>
      <c r="H279">
        <v>5</v>
      </c>
      <c r="I279" t="s">
        <v>275</v>
      </c>
      <c r="J279" t="s">
        <v>180</v>
      </c>
      <c r="K279" t="s">
        <v>180</v>
      </c>
      <c r="L279" t="s">
        <v>179</v>
      </c>
      <c r="M279" t="s">
        <v>180</v>
      </c>
      <c r="N279" t="s">
        <v>179</v>
      </c>
      <c r="O279" t="s">
        <v>180</v>
      </c>
      <c r="R279" t="s">
        <v>352</v>
      </c>
      <c r="S279" t="s">
        <v>353</v>
      </c>
      <c r="U279" t="s">
        <v>205</v>
      </c>
    </row>
    <row r="280" spans="1:21" x14ac:dyDescent="0.35">
      <c r="A280">
        <v>2024</v>
      </c>
      <c r="B280">
        <v>70</v>
      </c>
      <c r="C280" t="s">
        <v>277</v>
      </c>
      <c r="D280">
        <v>294</v>
      </c>
      <c r="E280">
        <v>12.5</v>
      </c>
      <c r="F280" t="s">
        <v>289</v>
      </c>
      <c r="G280">
        <v>4.4000000000000004</v>
      </c>
      <c r="H280">
        <v>1</v>
      </c>
      <c r="I280" t="s">
        <v>278</v>
      </c>
      <c r="J280" t="s">
        <v>180</v>
      </c>
      <c r="K280" t="s">
        <v>180</v>
      </c>
      <c r="L280" t="s">
        <v>179</v>
      </c>
      <c r="M280" t="s">
        <v>180</v>
      </c>
      <c r="N280" t="s">
        <v>180</v>
      </c>
      <c r="O280" t="s">
        <v>180</v>
      </c>
      <c r="R280" t="s">
        <v>354</v>
      </c>
      <c r="U280" t="s">
        <v>205</v>
      </c>
    </row>
    <row r="281" spans="1:21" x14ac:dyDescent="0.35">
      <c r="A281">
        <v>2024</v>
      </c>
      <c r="B281">
        <v>70</v>
      </c>
      <c r="C281" t="s">
        <v>277</v>
      </c>
      <c r="D281">
        <v>330</v>
      </c>
      <c r="E281">
        <v>11.8</v>
      </c>
      <c r="F281" t="s">
        <v>289</v>
      </c>
      <c r="G281">
        <v>3.8</v>
      </c>
      <c r="H281">
        <v>1</v>
      </c>
      <c r="I281" t="s">
        <v>275</v>
      </c>
      <c r="J281" t="s">
        <v>180</v>
      </c>
      <c r="K281" t="s">
        <v>180</v>
      </c>
      <c r="L281" t="s">
        <v>179</v>
      </c>
      <c r="M281" t="s">
        <v>180</v>
      </c>
      <c r="N281" t="s">
        <v>180</v>
      </c>
      <c r="O281" t="s">
        <v>180</v>
      </c>
      <c r="R281" t="s">
        <v>355</v>
      </c>
      <c r="U281" t="s">
        <v>205</v>
      </c>
    </row>
    <row r="282" spans="1:21" x14ac:dyDescent="0.35">
      <c r="A282">
        <v>2024</v>
      </c>
      <c r="B282">
        <v>71</v>
      </c>
      <c r="C282" t="s">
        <v>273</v>
      </c>
      <c r="E282" t="s">
        <v>333</v>
      </c>
      <c r="F282" t="s">
        <v>298</v>
      </c>
      <c r="G282">
        <v>44.5</v>
      </c>
      <c r="H282">
        <v>5</v>
      </c>
      <c r="I282" t="s">
        <v>269</v>
      </c>
      <c r="J282" t="s">
        <v>179</v>
      </c>
      <c r="K282" t="s">
        <v>180</v>
      </c>
      <c r="L282" t="s">
        <v>179</v>
      </c>
      <c r="M282" t="s">
        <v>180</v>
      </c>
      <c r="N282" t="s">
        <v>180</v>
      </c>
      <c r="O282" t="s">
        <v>179</v>
      </c>
      <c r="U282" t="s">
        <v>205</v>
      </c>
    </row>
    <row r="283" spans="1:21" x14ac:dyDescent="0.35">
      <c r="A283">
        <v>2024</v>
      </c>
      <c r="B283">
        <v>71</v>
      </c>
      <c r="C283" t="s">
        <v>267</v>
      </c>
      <c r="E283" t="s">
        <v>333</v>
      </c>
      <c r="F283" t="s">
        <v>289</v>
      </c>
      <c r="G283">
        <v>4</v>
      </c>
      <c r="H283">
        <v>1</v>
      </c>
      <c r="I283" t="s">
        <v>275</v>
      </c>
      <c r="J283" t="s">
        <v>180</v>
      </c>
      <c r="K283" t="s">
        <v>180</v>
      </c>
      <c r="L283" t="s">
        <v>180</v>
      </c>
      <c r="M283" t="s">
        <v>180</v>
      </c>
      <c r="N283" t="s">
        <v>180</v>
      </c>
      <c r="O283" t="s">
        <v>180</v>
      </c>
      <c r="U283" t="s">
        <v>205</v>
      </c>
    </row>
    <row r="284" spans="1:21" x14ac:dyDescent="0.35">
      <c r="A284">
        <v>2024</v>
      </c>
      <c r="B284">
        <v>71</v>
      </c>
      <c r="C284" t="s">
        <v>277</v>
      </c>
      <c r="E284" t="s">
        <v>333</v>
      </c>
      <c r="F284" t="s">
        <v>314</v>
      </c>
      <c r="G284">
        <v>3.7</v>
      </c>
      <c r="H284">
        <v>1</v>
      </c>
      <c r="I284" t="s">
        <v>275</v>
      </c>
      <c r="J284" t="s">
        <v>180</v>
      </c>
      <c r="K284" t="s">
        <v>180</v>
      </c>
      <c r="L284" t="s">
        <v>179</v>
      </c>
      <c r="M284" t="s">
        <v>180</v>
      </c>
      <c r="N284" t="s">
        <v>180</v>
      </c>
      <c r="O284" t="s">
        <v>180</v>
      </c>
      <c r="U284" t="s">
        <v>205</v>
      </c>
    </row>
    <row r="285" spans="1:21" x14ac:dyDescent="0.35">
      <c r="A285">
        <v>2024</v>
      </c>
      <c r="B285">
        <v>71</v>
      </c>
      <c r="C285" t="s">
        <v>292</v>
      </c>
      <c r="D285">
        <v>155</v>
      </c>
      <c r="E285">
        <v>24.95</v>
      </c>
      <c r="F285" t="s">
        <v>276</v>
      </c>
      <c r="G285">
        <v>10.5</v>
      </c>
      <c r="H285">
        <v>1</v>
      </c>
      <c r="I285" t="s">
        <v>278</v>
      </c>
      <c r="J285" t="s">
        <v>180</v>
      </c>
      <c r="K285" t="s">
        <v>180</v>
      </c>
      <c r="L285" t="s">
        <v>179</v>
      </c>
      <c r="M285" t="s">
        <v>180</v>
      </c>
      <c r="N285" t="s">
        <v>180</v>
      </c>
      <c r="O285" t="s">
        <v>180</v>
      </c>
      <c r="U285" t="s">
        <v>205</v>
      </c>
    </row>
    <row r="286" spans="1:21" x14ac:dyDescent="0.35">
      <c r="A286">
        <v>2024</v>
      </c>
      <c r="B286">
        <v>71</v>
      </c>
      <c r="C286" t="s">
        <v>292</v>
      </c>
      <c r="E286">
        <v>17.399999999999999</v>
      </c>
      <c r="F286" t="s">
        <v>276</v>
      </c>
      <c r="G286">
        <v>9.9</v>
      </c>
      <c r="H286">
        <v>1</v>
      </c>
      <c r="I286" t="s">
        <v>278</v>
      </c>
      <c r="J286" t="s">
        <v>180</v>
      </c>
      <c r="K286" t="s">
        <v>180</v>
      </c>
      <c r="L286" t="s">
        <v>179</v>
      </c>
      <c r="M286" t="s">
        <v>179</v>
      </c>
      <c r="N286" t="s">
        <v>180</v>
      </c>
      <c r="O286" t="s">
        <v>180</v>
      </c>
      <c r="U286" t="s">
        <v>301</v>
      </c>
    </row>
    <row r="287" spans="1:21" x14ac:dyDescent="0.35">
      <c r="A287">
        <v>2024</v>
      </c>
      <c r="B287">
        <v>71</v>
      </c>
      <c r="C287" t="s">
        <v>292</v>
      </c>
      <c r="E287">
        <v>17.71</v>
      </c>
      <c r="F287" t="s">
        <v>356</v>
      </c>
      <c r="G287">
        <v>12.2</v>
      </c>
      <c r="H287">
        <v>5</v>
      </c>
      <c r="I287" t="s">
        <v>278</v>
      </c>
      <c r="J287" t="s">
        <v>180</v>
      </c>
      <c r="K287" t="s">
        <v>179</v>
      </c>
      <c r="L287" t="s">
        <v>179</v>
      </c>
      <c r="M287" t="s">
        <v>179</v>
      </c>
      <c r="N287" t="s">
        <v>180</v>
      </c>
      <c r="O287" t="s">
        <v>179</v>
      </c>
      <c r="U287" t="s">
        <v>301</v>
      </c>
    </row>
    <row r="288" spans="1:21" x14ac:dyDescent="0.35">
      <c r="A288">
        <v>2024</v>
      </c>
      <c r="B288">
        <v>71</v>
      </c>
      <c r="C288" t="s">
        <v>267</v>
      </c>
      <c r="D288">
        <v>220</v>
      </c>
      <c r="E288">
        <v>22.08</v>
      </c>
      <c r="F288" t="s">
        <v>276</v>
      </c>
      <c r="G288">
        <v>12.7</v>
      </c>
      <c r="J288" t="s">
        <v>180</v>
      </c>
      <c r="K288" t="s">
        <v>180</v>
      </c>
      <c r="L288" t="s">
        <v>179</v>
      </c>
      <c r="M288" t="s">
        <v>180</v>
      </c>
      <c r="N288" t="s">
        <v>180</v>
      </c>
      <c r="O288" t="s">
        <v>180</v>
      </c>
      <c r="S288" t="s">
        <v>357</v>
      </c>
      <c r="U288" t="s">
        <v>205</v>
      </c>
    </row>
    <row r="289" spans="1:21" x14ac:dyDescent="0.35">
      <c r="A289">
        <v>2024</v>
      </c>
      <c r="B289">
        <v>71</v>
      </c>
      <c r="C289" t="s">
        <v>277</v>
      </c>
      <c r="D289">
        <v>290</v>
      </c>
      <c r="E289">
        <v>18.690000000000001</v>
      </c>
      <c r="F289" t="s">
        <v>298</v>
      </c>
      <c r="G289">
        <v>10.5</v>
      </c>
      <c r="H289">
        <v>3</v>
      </c>
      <c r="I289" t="s">
        <v>278</v>
      </c>
      <c r="J289" t="s">
        <v>179</v>
      </c>
      <c r="K289" t="s">
        <v>179</v>
      </c>
      <c r="L289" t="s">
        <v>179</v>
      </c>
      <c r="M289" t="s">
        <v>179</v>
      </c>
      <c r="N289" t="s">
        <v>179</v>
      </c>
      <c r="O289" t="s">
        <v>179</v>
      </c>
      <c r="S289" t="s">
        <v>357</v>
      </c>
      <c r="U289" t="s">
        <v>301</v>
      </c>
    </row>
    <row r="290" spans="1:21" x14ac:dyDescent="0.35">
      <c r="A290">
        <v>2024</v>
      </c>
      <c r="B290">
        <v>71</v>
      </c>
      <c r="C290" t="s">
        <v>277</v>
      </c>
      <c r="D290">
        <v>314</v>
      </c>
      <c r="E290">
        <v>15.28</v>
      </c>
      <c r="F290" t="s">
        <v>298</v>
      </c>
      <c r="G290">
        <v>12.4</v>
      </c>
      <c r="H290">
        <v>1</v>
      </c>
      <c r="I290" t="s">
        <v>275</v>
      </c>
      <c r="J290" t="s">
        <v>180</v>
      </c>
      <c r="K290" t="s">
        <v>180</v>
      </c>
      <c r="L290" t="s">
        <v>180</v>
      </c>
      <c r="M290" t="s">
        <v>180</v>
      </c>
      <c r="N290" t="s">
        <v>180</v>
      </c>
      <c r="O290" t="s">
        <v>180</v>
      </c>
      <c r="S290" t="s">
        <v>358</v>
      </c>
      <c r="U290" t="s">
        <v>205</v>
      </c>
    </row>
    <row r="291" spans="1:21" x14ac:dyDescent="0.35">
      <c r="A291">
        <v>2024</v>
      </c>
      <c r="B291">
        <v>67</v>
      </c>
      <c r="C291" t="s">
        <v>296</v>
      </c>
      <c r="D291" t="s">
        <v>205</v>
      </c>
      <c r="E291" t="s">
        <v>205</v>
      </c>
      <c r="F291" t="s">
        <v>205</v>
      </c>
      <c r="G291" t="s">
        <v>205</v>
      </c>
      <c r="H291" t="s">
        <v>205</v>
      </c>
      <c r="I291" t="s">
        <v>205</v>
      </c>
      <c r="J291" t="s">
        <v>205</v>
      </c>
      <c r="K291" t="s">
        <v>205</v>
      </c>
      <c r="L291" t="s">
        <v>205</v>
      </c>
      <c r="M291" t="s">
        <v>205</v>
      </c>
      <c r="N291" t="s">
        <v>205</v>
      </c>
      <c r="O291" t="s">
        <v>205</v>
      </c>
      <c r="P291" t="s">
        <v>205</v>
      </c>
      <c r="Q291" t="s">
        <v>205</v>
      </c>
      <c r="R291" t="s">
        <v>205</v>
      </c>
      <c r="S291" t="s">
        <v>205</v>
      </c>
      <c r="T291" t="s">
        <v>205</v>
      </c>
      <c r="U291" t="s">
        <v>205</v>
      </c>
    </row>
    <row r="292" spans="1:21" x14ac:dyDescent="0.35">
      <c r="A292">
        <v>2024</v>
      </c>
      <c r="B292">
        <v>55</v>
      </c>
      <c r="C292" t="s">
        <v>296</v>
      </c>
      <c r="D292" t="s">
        <v>205</v>
      </c>
      <c r="E292" t="s">
        <v>205</v>
      </c>
      <c r="F292" t="s">
        <v>205</v>
      </c>
      <c r="G292" t="s">
        <v>205</v>
      </c>
      <c r="H292" t="s">
        <v>205</v>
      </c>
      <c r="I292" t="s">
        <v>205</v>
      </c>
      <c r="J292" t="s">
        <v>205</v>
      </c>
      <c r="K292" t="s">
        <v>205</v>
      </c>
      <c r="L292" t="s">
        <v>205</v>
      </c>
      <c r="M292" t="s">
        <v>205</v>
      </c>
      <c r="N292" t="s">
        <v>205</v>
      </c>
      <c r="O292" t="s">
        <v>205</v>
      </c>
      <c r="P292" t="s">
        <v>205</v>
      </c>
      <c r="Q292" t="s">
        <v>205</v>
      </c>
      <c r="R292" t="s">
        <v>205</v>
      </c>
      <c r="S292" t="s">
        <v>205</v>
      </c>
      <c r="T292" t="s">
        <v>205</v>
      </c>
      <c r="U292" t="s">
        <v>205</v>
      </c>
    </row>
    <row r="293" spans="1:21" s="11" customFormat="1" x14ac:dyDescent="0.35">
      <c r="A293">
        <v>2024</v>
      </c>
      <c r="B293" s="11">
        <v>40</v>
      </c>
      <c r="C293" s="11" t="s">
        <v>296</v>
      </c>
      <c r="D293" s="11" t="s">
        <v>205</v>
      </c>
      <c r="E293" s="11" t="s">
        <v>205</v>
      </c>
      <c r="F293" s="11" t="s">
        <v>205</v>
      </c>
      <c r="G293" s="11" t="s">
        <v>205</v>
      </c>
      <c r="H293" s="11" t="s">
        <v>205</v>
      </c>
      <c r="I293" s="11" t="s">
        <v>205</v>
      </c>
      <c r="J293" s="11" t="s">
        <v>205</v>
      </c>
      <c r="K293" s="11" t="s">
        <v>205</v>
      </c>
      <c r="L293" s="11" t="s">
        <v>205</v>
      </c>
      <c r="M293" s="11" t="s">
        <v>205</v>
      </c>
      <c r="N293" s="11" t="s">
        <v>205</v>
      </c>
      <c r="O293" s="11" t="s">
        <v>205</v>
      </c>
      <c r="P293" s="11" t="s">
        <v>205</v>
      </c>
      <c r="Q293" s="11" t="s">
        <v>205</v>
      </c>
      <c r="R293" s="11" t="s">
        <v>205</v>
      </c>
      <c r="S293" s="11" t="s">
        <v>205</v>
      </c>
      <c r="T293" s="11" t="s">
        <v>205</v>
      </c>
      <c r="U293" t="s">
        <v>205</v>
      </c>
    </row>
    <row r="294" spans="1:21" x14ac:dyDescent="0.35">
      <c r="A294">
        <v>2024</v>
      </c>
      <c r="B294">
        <v>44</v>
      </c>
      <c r="C294" t="s">
        <v>267</v>
      </c>
      <c r="E294">
        <v>20.68</v>
      </c>
      <c r="F294" t="s">
        <v>268</v>
      </c>
      <c r="G294">
        <v>16</v>
      </c>
      <c r="H294">
        <v>4</v>
      </c>
      <c r="I294" t="s">
        <v>278</v>
      </c>
      <c r="J294" t="s">
        <v>180</v>
      </c>
      <c r="K294" t="s">
        <v>179</v>
      </c>
      <c r="L294" t="s">
        <v>179</v>
      </c>
      <c r="M294" t="s">
        <v>179</v>
      </c>
      <c r="N294" t="s">
        <v>180</v>
      </c>
      <c r="O294" t="s">
        <v>179</v>
      </c>
      <c r="U294" t="s">
        <v>301</v>
      </c>
    </row>
    <row r="295" spans="1:21" x14ac:dyDescent="0.35">
      <c r="A295">
        <v>2024</v>
      </c>
      <c r="B295">
        <v>43</v>
      </c>
      <c r="C295" t="s">
        <v>296</v>
      </c>
      <c r="D295" t="s">
        <v>205</v>
      </c>
      <c r="E295" t="s">
        <v>205</v>
      </c>
      <c r="F295" t="s">
        <v>205</v>
      </c>
      <c r="G295" t="s">
        <v>205</v>
      </c>
      <c r="H295" t="s">
        <v>205</v>
      </c>
      <c r="I295" t="s">
        <v>205</v>
      </c>
      <c r="J295" t="s">
        <v>205</v>
      </c>
      <c r="K295" t="s">
        <v>205</v>
      </c>
      <c r="L295" t="s">
        <v>205</v>
      </c>
      <c r="M295" t="s">
        <v>205</v>
      </c>
      <c r="N295" t="s">
        <v>205</v>
      </c>
      <c r="O295" t="s">
        <v>205</v>
      </c>
      <c r="P295" t="s">
        <v>205</v>
      </c>
      <c r="Q295" t="s">
        <v>205</v>
      </c>
      <c r="R295" t="s">
        <v>205</v>
      </c>
      <c r="S295" t="s">
        <v>205</v>
      </c>
      <c r="T295" t="s">
        <v>205</v>
      </c>
      <c r="U295" t="s">
        <v>205</v>
      </c>
    </row>
    <row r="296" spans="1:21" x14ac:dyDescent="0.35">
      <c r="A296">
        <v>2024</v>
      </c>
      <c r="B296">
        <v>45</v>
      </c>
      <c r="C296" t="s">
        <v>296</v>
      </c>
      <c r="D296" t="s">
        <v>205</v>
      </c>
      <c r="E296" t="s">
        <v>205</v>
      </c>
      <c r="F296" t="s">
        <v>205</v>
      </c>
      <c r="G296" t="s">
        <v>205</v>
      </c>
      <c r="H296" t="s">
        <v>205</v>
      </c>
      <c r="I296" t="s">
        <v>205</v>
      </c>
      <c r="J296" t="s">
        <v>205</v>
      </c>
      <c r="K296" t="s">
        <v>205</v>
      </c>
      <c r="L296" t="s">
        <v>205</v>
      </c>
      <c r="M296" t="s">
        <v>205</v>
      </c>
      <c r="N296" t="s">
        <v>205</v>
      </c>
      <c r="O296" t="s">
        <v>205</v>
      </c>
      <c r="P296" t="s">
        <v>205</v>
      </c>
      <c r="Q296" t="s">
        <v>205</v>
      </c>
      <c r="R296" t="s">
        <v>205</v>
      </c>
      <c r="S296" t="s">
        <v>205</v>
      </c>
      <c r="T296" t="s">
        <v>205</v>
      </c>
      <c r="U296" t="s">
        <v>205</v>
      </c>
    </row>
    <row r="297" spans="1:21" x14ac:dyDescent="0.35">
      <c r="A297">
        <v>2024</v>
      </c>
      <c r="B297">
        <v>41</v>
      </c>
      <c r="C297" t="s">
        <v>296</v>
      </c>
      <c r="D297" t="s">
        <v>205</v>
      </c>
      <c r="E297" t="s">
        <v>205</v>
      </c>
      <c r="F297" t="s">
        <v>205</v>
      </c>
      <c r="G297" t="s">
        <v>205</v>
      </c>
      <c r="H297" t="s">
        <v>205</v>
      </c>
      <c r="I297" t="s">
        <v>205</v>
      </c>
      <c r="J297" t="s">
        <v>205</v>
      </c>
      <c r="K297" t="s">
        <v>205</v>
      </c>
      <c r="L297" t="s">
        <v>205</v>
      </c>
      <c r="M297" t="s">
        <v>205</v>
      </c>
      <c r="N297" t="s">
        <v>205</v>
      </c>
      <c r="O297" t="s">
        <v>205</v>
      </c>
      <c r="P297" t="s">
        <v>205</v>
      </c>
      <c r="Q297" t="s">
        <v>205</v>
      </c>
      <c r="R297" t="s">
        <v>205</v>
      </c>
      <c r="S297" t="s">
        <v>205</v>
      </c>
      <c r="T297" t="s">
        <v>205</v>
      </c>
      <c r="U297" t="s">
        <v>205</v>
      </c>
    </row>
    <row r="298" spans="1:21" x14ac:dyDescent="0.35">
      <c r="A298">
        <v>2024</v>
      </c>
      <c r="B298">
        <v>42</v>
      </c>
      <c r="C298" t="s">
        <v>292</v>
      </c>
      <c r="D298">
        <v>140</v>
      </c>
      <c r="E298">
        <v>18.43</v>
      </c>
      <c r="F298" t="s">
        <v>299</v>
      </c>
      <c r="G298">
        <v>12.3</v>
      </c>
      <c r="H298">
        <v>3</v>
      </c>
      <c r="I298" t="s">
        <v>278</v>
      </c>
      <c r="J298" t="s">
        <v>180</v>
      </c>
      <c r="K298" t="s">
        <v>179</v>
      </c>
      <c r="L298" t="s">
        <v>179</v>
      </c>
      <c r="M298" t="s">
        <v>179</v>
      </c>
      <c r="N298" t="s">
        <v>180</v>
      </c>
      <c r="O298" t="s">
        <v>180</v>
      </c>
      <c r="S298" t="s">
        <v>359</v>
      </c>
      <c r="U298" t="s">
        <v>325</v>
      </c>
    </row>
    <row r="299" spans="1:21" s="13" customFormat="1" x14ac:dyDescent="0.35">
      <c r="A299">
        <v>2024</v>
      </c>
      <c r="B299" s="13">
        <v>85</v>
      </c>
      <c r="C299" s="13" t="s">
        <v>273</v>
      </c>
      <c r="E299" s="13">
        <v>11.08</v>
      </c>
      <c r="F299" s="13" t="s">
        <v>291</v>
      </c>
      <c r="R299" s="13" t="s">
        <v>360</v>
      </c>
      <c r="U299" s="13" t="s">
        <v>205</v>
      </c>
    </row>
    <row r="300" spans="1:21" x14ac:dyDescent="0.35">
      <c r="A300">
        <v>2024</v>
      </c>
      <c r="B300">
        <v>85</v>
      </c>
      <c r="C300" t="s">
        <v>292</v>
      </c>
      <c r="E300">
        <v>31</v>
      </c>
      <c r="F300" t="s">
        <v>268</v>
      </c>
      <c r="G300">
        <v>2.9</v>
      </c>
      <c r="H300">
        <v>3</v>
      </c>
      <c r="I300" t="s">
        <v>275</v>
      </c>
      <c r="J300" t="s">
        <v>180</v>
      </c>
      <c r="K300" t="s">
        <v>180</v>
      </c>
      <c r="L300" t="s">
        <v>179</v>
      </c>
      <c r="M300" t="s">
        <v>180</v>
      </c>
      <c r="N300" t="s">
        <v>179</v>
      </c>
      <c r="O300" t="s">
        <v>180</v>
      </c>
      <c r="U300" t="s">
        <v>205</v>
      </c>
    </row>
    <row r="301" spans="1:21" x14ac:dyDescent="0.35">
      <c r="A301">
        <v>2024</v>
      </c>
      <c r="B301">
        <v>87</v>
      </c>
      <c r="C301" t="s">
        <v>273</v>
      </c>
      <c r="E301" t="s">
        <v>333</v>
      </c>
      <c r="F301" t="s">
        <v>298</v>
      </c>
      <c r="G301">
        <v>3.5</v>
      </c>
      <c r="H301">
        <v>5</v>
      </c>
      <c r="I301" t="s">
        <v>275</v>
      </c>
      <c r="J301" t="s">
        <v>179</v>
      </c>
      <c r="K301" t="s">
        <v>180</v>
      </c>
      <c r="L301" t="s">
        <v>179</v>
      </c>
      <c r="M301" t="s">
        <v>179</v>
      </c>
      <c r="N301" t="s">
        <v>179</v>
      </c>
      <c r="O301" t="s">
        <v>180</v>
      </c>
      <c r="R301" t="s">
        <v>361</v>
      </c>
      <c r="U301" t="s">
        <v>301</v>
      </c>
    </row>
    <row r="302" spans="1:21" x14ac:dyDescent="0.35">
      <c r="A302">
        <v>2024</v>
      </c>
      <c r="B302">
        <v>87</v>
      </c>
      <c r="C302" t="s">
        <v>277</v>
      </c>
      <c r="D302">
        <v>286</v>
      </c>
      <c r="E302">
        <v>13.11</v>
      </c>
      <c r="F302" t="s">
        <v>268</v>
      </c>
      <c r="G302">
        <v>5.2</v>
      </c>
      <c r="H302">
        <v>1</v>
      </c>
      <c r="I302" t="s">
        <v>278</v>
      </c>
      <c r="J302" t="s">
        <v>180</v>
      </c>
      <c r="K302" t="s">
        <v>180</v>
      </c>
      <c r="L302" t="s">
        <v>179</v>
      </c>
      <c r="M302" t="s">
        <v>180</v>
      </c>
      <c r="N302" t="s">
        <v>180</v>
      </c>
      <c r="O302" t="s">
        <v>180</v>
      </c>
      <c r="U302" t="s">
        <v>205</v>
      </c>
    </row>
    <row r="303" spans="1:21" x14ac:dyDescent="0.35">
      <c r="A303">
        <v>2024</v>
      </c>
      <c r="B303">
        <v>87</v>
      </c>
      <c r="C303" t="s">
        <v>277</v>
      </c>
      <c r="E303">
        <v>20.65</v>
      </c>
      <c r="F303" t="s">
        <v>289</v>
      </c>
      <c r="G303">
        <v>4</v>
      </c>
      <c r="H303">
        <v>1</v>
      </c>
      <c r="I303" t="s">
        <v>275</v>
      </c>
      <c r="J303" t="s">
        <v>180</v>
      </c>
      <c r="K303" t="s">
        <v>180</v>
      </c>
      <c r="L303" t="s">
        <v>180</v>
      </c>
      <c r="M303" t="s">
        <v>180</v>
      </c>
      <c r="N303" t="s">
        <v>180</v>
      </c>
      <c r="O303" t="s">
        <v>180</v>
      </c>
      <c r="R303" t="s">
        <v>362</v>
      </c>
      <c r="U303" t="s">
        <v>205</v>
      </c>
    </row>
    <row r="304" spans="1:21" x14ac:dyDescent="0.35">
      <c r="A304">
        <v>2024</v>
      </c>
      <c r="B304">
        <v>88</v>
      </c>
      <c r="C304" t="s">
        <v>296</v>
      </c>
      <c r="D304" t="s">
        <v>205</v>
      </c>
      <c r="E304" t="s">
        <v>205</v>
      </c>
      <c r="F304" t="s">
        <v>205</v>
      </c>
      <c r="G304" t="s">
        <v>205</v>
      </c>
      <c r="H304" t="s">
        <v>205</v>
      </c>
      <c r="I304" t="s">
        <v>205</v>
      </c>
      <c r="J304" t="s">
        <v>205</v>
      </c>
      <c r="K304" t="s">
        <v>205</v>
      </c>
      <c r="L304" t="s">
        <v>205</v>
      </c>
      <c r="M304" t="s">
        <v>205</v>
      </c>
      <c r="N304" t="s">
        <v>205</v>
      </c>
      <c r="O304" t="s">
        <v>205</v>
      </c>
      <c r="P304" t="s">
        <v>205</v>
      </c>
      <c r="Q304" t="s">
        <v>205</v>
      </c>
      <c r="R304" t="s">
        <v>205</v>
      </c>
      <c r="S304" t="s">
        <v>205</v>
      </c>
      <c r="T304" t="s">
        <v>205</v>
      </c>
      <c r="U304" t="s">
        <v>205</v>
      </c>
    </row>
    <row r="305" spans="1:21" x14ac:dyDescent="0.35">
      <c r="A305">
        <v>2024</v>
      </c>
      <c r="B305">
        <v>89</v>
      </c>
      <c r="C305" t="s">
        <v>296</v>
      </c>
      <c r="D305" t="s">
        <v>205</v>
      </c>
      <c r="E305" t="s">
        <v>205</v>
      </c>
      <c r="F305" t="s">
        <v>205</v>
      </c>
      <c r="G305" t="s">
        <v>205</v>
      </c>
      <c r="H305" t="s">
        <v>205</v>
      </c>
      <c r="I305" t="s">
        <v>205</v>
      </c>
      <c r="J305" t="s">
        <v>205</v>
      </c>
      <c r="K305" t="s">
        <v>205</v>
      </c>
      <c r="L305" t="s">
        <v>205</v>
      </c>
      <c r="M305" t="s">
        <v>205</v>
      </c>
      <c r="N305" t="s">
        <v>205</v>
      </c>
      <c r="O305" t="s">
        <v>205</v>
      </c>
      <c r="P305" t="s">
        <v>205</v>
      </c>
      <c r="Q305" t="s">
        <v>205</v>
      </c>
      <c r="R305" t="s">
        <v>205</v>
      </c>
      <c r="S305" t="s">
        <v>205</v>
      </c>
      <c r="T305" t="s">
        <v>205</v>
      </c>
      <c r="U305" t="s">
        <v>205</v>
      </c>
    </row>
    <row r="306" spans="1:21" x14ac:dyDescent="0.35">
      <c r="A306">
        <v>2024</v>
      </c>
      <c r="B306">
        <v>90</v>
      </c>
      <c r="C306" t="s">
        <v>296</v>
      </c>
      <c r="D306" t="s">
        <v>205</v>
      </c>
      <c r="E306" t="s">
        <v>205</v>
      </c>
      <c r="F306" t="s">
        <v>205</v>
      </c>
      <c r="G306" t="s">
        <v>205</v>
      </c>
      <c r="H306" t="s">
        <v>205</v>
      </c>
      <c r="I306" t="s">
        <v>205</v>
      </c>
      <c r="J306" t="s">
        <v>205</v>
      </c>
      <c r="K306" t="s">
        <v>205</v>
      </c>
      <c r="L306" t="s">
        <v>205</v>
      </c>
      <c r="M306" t="s">
        <v>205</v>
      </c>
      <c r="N306" t="s">
        <v>205</v>
      </c>
      <c r="O306" t="s">
        <v>205</v>
      </c>
      <c r="P306" t="s">
        <v>205</v>
      </c>
      <c r="Q306" t="s">
        <v>205</v>
      </c>
      <c r="R306" t="s">
        <v>205</v>
      </c>
      <c r="S306" t="s">
        <v>205</v>
      </c>
      <c r="T306" t="s">
        <v>205</v>
      </c>
      <c r="U306" t="s">
        <v>205</v>
      </c>
    </row>
    <row r="307" spans="1:21" ht="14" customHeight="1" x14ac:dyDescent="0.35">
      <c r="A307">
        <v>2024</v>
      </c>
      <c r="B307">
        <v>82</v>
      </c>
      <c r="C307" t="s">
        <v>273</v>
      </c>
      <c r="E307">
        <v>15.65</v>
      </c>
      <c r="F307" t="s">
        <v>268</v>
      </c>
      <c r="G307">
        <v>2.6</v>
      </c>
      <c r="H307">
        <v>1</v>
      </c>
      <c r="I307" t="s">
        <v>275</v>
      </c>
      <c r="J307" t="s">
        <v>180</v>
      </c>
      <c r="K307" t="s">
        <v>180</v>
      </c>
      <c r="L307" t="s">
        <v>179</v>
      </c>
      <c r="M307" t="s">
        <v>180</v>
      </c>
      <c r="N307" t="s">
        <v>180</v>
      </c>
      <c r="O307" t="s">
        <v>180</v>
      </c>
      <c r="S307" t="s">
        <v>363</v>
      </c>
      <c r="U307" t="s">
        <v>205</v>
      </c>
    </row>
    <row r="308" spans="1:21" ht="15" customHeight="1" x14ac:dyDescent="0.35">
      <c r="A308">
        <v>2024</v>
      </c>
      <c r="B308">
        <v>83</v>
      </c>
      <c r="C308" t="s">
        <v>296</v>
      </c>
      <c r="D308" t="s">
        <v>205</v>
      </c>
      <c r="E308" t="s">
        <v>205</v>
      </c>
      <c r="F308" t="s">
        <v>205</v>
      </c>
      <c r="G308" t="s">
        <v>205</v>
      </c>
      <c r="H308" t="s">
        <v>205</v>
      </c>
      <c r="I308" t="s">
        <v>205</v>
      </c>
      <c r="J308" t="s">
        <v>205</v>
      </c>
      <c r="K308" t="s">
        <v>205</v>
      </c>
      <c r="L308" t="s">
        <v>205</v>
      </c>
      <c r="M308" t="s">
        <v>205</v>
      </c>
      <c r="N308" t="s">
        <v>205</v>
      </c>
      <c r="O308" t="s">
        <v>205</v>
      </c>
      <c r="P308" t="s">
        <v>205</v>
      </c>
      <c r="Q308" t="s">
        <v>205</v>
      </c>
      <c r="R308" t="s">
        <v>205</v>
      </c>
      <c r="S308" t="s">
        <v>205</v>
      </c>
      <c r="T308" t="s">
        <v>205</v>
      </c>
      <c r="U308" t="s">
        <v>205</v>
      </c>
    </row>
    <row r="309" spans="1:21" ht="15" customHeight="1" x14ac:dyDescent="0.35">
      <c r="A309">
        <v>2024</v>
      </c>
      <c r="B309">
        <v>84</v>
      </c>
      <c r="C309" t="s">
        <v>267</v>
      </c>
      <c r="E309" t="s">
        <v>364</v>
      </c>
      <c r="F309" t="s">
        <v>289</v>
      </c>
      <c r="G309">
        <v>2.2000000000000002</v>
      </c>
      <c r="H309">
        <v>2</v>
      </c>
      <c r="I309" t="s">
        <v>278</v>
      </c>
      <c r="J309" t="s">
        <v>180</v>
      </c>
      <c r="K309" t="s">
        <v>180</v>
      </c>
      <c r="L309" t="s">
        <v>180</v>
      </c>
      <c r="M309" t="s">
        <v>179</v>
      </c>
      <c r="N309" t="s">
        <v>180</v>
      </c>
      <c r="O309" t="s">
        <v>180</v>
      </c>
      <c r="U309" t="s">
        <v>301</v>
      </c>
    </row>
    <row r="310" spans="1:21" ht="13" customHeight="1" x14ac:dyDescent="0.35">
      <c r="A310">
        <v>2024</v>
      </c>
      <c r="B310">
        <v>58</v>
      </c>
      <c r="C310" t="s">
        <v>277</v>
      </c>
      <c r="E310">
        <v>17.760000000000002</v>
      </c>
      <c r="F310" t="s">
        <v>268</v>
      </c>
      <c r="G310">
        <v>2.6</v>
      </c>
      <c r="H310">
        <v>2</v>
      </c>
      <c r="I310" t="s">
        <v>275</v>
      </c>
      <c r="J310" t="s">
        <v>180</v>
      </c>
      <c r="K310" t="s">
        <v>180</v>
      </c>
      <c r="L310" t="s">
        <v>180</v>
      </c>
      <c r="M310" t="s">
        <v>180</v>
      </c>
      <c r="N310" t="s">
        <v>180</v>
      </c>
      <c r="O310" t="s">
        <v>180</v>
      </c>
      <c r="S310" t="s">
        <v>365</v>
      </c>
      <c r="U310" t="s">
        <v>205</v>
      </c>
    </row>
    <row r="311" spans="1:21" s="11" customFormat="1" ht="13" customHeight="1" x14ac:dyDescent="0.35">
      <c r="A311">
        <v>2024</v>
      </c>
      <c r="B311" s="11">
        <v>16</v>
      </c>
      <c r="C311" s="11" t="s">
        <v>292</v>
      </c>
      <c r="D311" s="11">
        <v>275</v>
      </c>
      <c r="E311" s="11">
        <v>15.22</v>
      </c>
      <c r="F311" s="11" t="s">
        <v>299</v>
      </c>
      <c r="G311" s="11">
        <v>2.6</v>
      </c>
      <c r="H311" s="11">
        <v>2</v>
      </c>
      <c r="I311" s="11" t="s">
        <v>275</v>
      </c>
      <c r="J311" s="11" t="s">
        <v>180</v>
      </c>
      <c r="K311" s="11" t="s">
        <v>180</v>
      </c>
      <c r="L311" s="11" t="s">
        <v>180</v>
      </c>
      <c r="M311" s="11" t="s">
        <v>180</v>
      </c>
      <c r="N311" s="11" t="s">
        <v>180</v>
      </c>
      <c r="O311" s="11" t="s">
        <v>180</v>
      </c>
      <c r="R311" s="11" t="s">
        <v>366</v>
      </c>
      <c r="U311" t="s">
        <v>205</v>
      </c>
    </row>
    <row r="312" spans="1:21" x14ac:dyDescent="0.35">
      <c r="A312">
        <v>2024</v>
      </c>
      <c r="B312">
        <v>16</v>
      </c>
      <c r="C312" t="s">
        <v>292</v>
      </c>
      <c r="D312">
        <v>275</v>
      </c>
      <c r="E312">
        <v>15.22</v>
      </c>
      <c r="F312" t="s">
        <v>299</v>
      </c>
      <c r="G312">
        <v>4.3</v>
      </c>
      <c r="H312">
        <v>1</v>
      </c>
      <c r="I312" t="s">
        <v>275</v>
      </c>
      <c r="J312" t="s">
        <v>180</v>
      </c>
      <c r="K312" t="s">
        <v>180</v>
      </c>
      <c r="L312" t="s">
        <v>180</v>
      </c>
      <c r="M312" t="s">
        <v>180</v>
      </c>
      <c r="N312" t="s">
        <v>180</v>
      </c>
      <c r="O312" t="s">
        <v>180</v>
      </c>
      <c r="R312" t="s">
        <v>367</v>
      </c>
      <c r="U312" t="s">
        <v>205</v>
      </c>
    </row>
    <row r="313" spans="1:21" x14ac:dyDescent="0.35">
      <c r="A313">
        <v>2024</v>
      </c>
      <c r="B313">
        <v>18</v>
      </c>
      <c r="C313" t="s">
        <v>273</v>
      </c>
      <c r="E313" t="s">
        <v>333</v>
      </c>
      <c r="F313" t="s">
        <v>289</v>
      </c>
      <c r="G313">
        <v>2.8</v>
      </c>
      <c r="H313">
        <v>1</v>
      </c>
      <c r="I313" t="s">
        <v>275</v>
      </c>
      <c r="J313" t="s">
        <v>180</v>
      </c>
      <c r="K313" t="s">
        <v>180</v>
      </c>
      <c r="L313" t="s">
        <v>180</v>
      </c>
      <c r="M313" t="s">
        <v>180</v>
      </c>
      <c r="N313" t="s">
        <v>180</v>
      </c>
      <c r="O313" t="s">
        <v>180</v>
      </c>
      <c r="U313" t="s">
        <v>205</v>
      </c>
    </row>
    <row r="314" spans="1:21" x14ac:dyDescent="0.35">
      <c r="A314">
        <v>2024</v>
      </c>
      <c r="B314">
        <v>18</v>
      </c>
      <c r="C314" t="s">
        <v>273</v>
      </c>
      <c r="E314" t="s">
        <v>333</v>
      </c>
      <c r="F314" t="s">
        <v>289</v>
      </c>
      <c r="G314">
        <v>3.2</v>
      </c>
      <c r="H314">
        <v>1</v>
      </c>
      <c r="I314" t="s">
        <v>275</v>
      </c>
      <c r="J314" t="s">
        <v>180</v>
      </c>
      <c r="K314" t="s">
        <v>180</v>
      </c>
      <c r="L314" t="s">
        <v>179</v>
      </c>
      <c r="M314" t="s">
        <v>179</v>
      </c>
      <c r="N314" t="s">
        <v>180</v>
      </c>
      <c r="O314" t="s">
        <v>180</v>
      </c>
      <c r="U314" t="s">
        <v>301</v>
      </c>
    </row>
    <row r="315" spans="1:21" x14ac:dyDescent="0.35">
      <c r="A315">
        <v>2024</v>
      </c>
      <c r="B315">
        <v>18</v>
      </c>
      <c r="C315" t="s">
        <v>273</v>
      </c>
      <c r="E315" t="s">
        <v>333</v>
      </c>
      <c r="F315" t="s">
        <v>289</v>
      </c>
      <c r="G315">
        <v>3.4</v>
      </c>
      <c r="H315">
        <v>1</v>
      </c>
      <c r="I315" t="s">
        <v>275</v>
      </c>
      <c r="J315" t="s">
        <v>180</v>
      </c>
      <c r="K315" t="s">
        <v>180</v>
      </c>
      <c r="L315" t="s">
        <v>180</v>
      </c>
      <c r="M315" t="s">
        <v>180</v>
      </c>
      <c r="N315" t="s">
        <v>180</v>
      </c>
      <c r="O315" t="s">
        <v>180</v>
      </c>
      <c r="U315" t="s">
        <v>205</v>
      </c>
    </row>
    <row r="316" spans="1:21" x14ac:dyDescent="0.35">
      <c r="A316">
        <v>2024</v>
      </c>
      <c r="B316">
        <v>18</v>
      </c>
      <c r="C316" t="s">
        <v>273</v>
      </c>
      <c r="E316" t="s">
        <v>333</v>
      </c>
      <c r="F316" t="s">
        <v>289</v>
      </c>
      <c r="G316">
        <v>3.6</v>
      </c>
      <c r="H316">
        <v>1</v>
      </c>
      <c r="I316" t="s">
        <v>275</v>
      </c>
      <c r="J316" t="s">
        <v>180</v>
      </c>
      <c r="K316" t="s">
        <v>180</v>
      </c>
      <c r="L316" t="s">
        <v>180</v>
      </c>
      <c r="M316" t="s">
        <v>180</v>
      </c>
      <c r="N316" t="s">
        <v>180</v>
      </c>
      <c r="O316" t="s">
        <v>180</v>
      </c>
      <c r="U316" t="s">
        <v>205</v>
      </c>
    </row>
    <row r="317" spans="1:21" x14ac:dyDescent="0.35">
      <c r="A317">
        <v>2024</v>
      </c>
      <c r="B317">
        <v>18</v>
      </c>
      <c r="C317" t="s">
        <v>273</v>
      </c>
      <c r="E317" t="s">
        <v>333</v>
      </c>
      <c r="F317" t="s">
        <v>289</v>
      </c>
      <c r="G317">
        <v>3.7</v>
      </c>
      <c r="H317">
        <v>1</v>
      </c>
      <c r="I317" t="s">
        <v>278</v>
      </c>
      <c r="J317" t="s">
        <v>180</v>
      </c>
      <c r="K317" t="s">
        <v>180</v>
      </c>
      <c r="L317" t="s">
        <v>180</v>
      </c>
      <c r="M317" t="s">
        <v>180</v>
      </c>
      <c r="N317" t="s">
        <v>180</v>
      </c>
      <c r="O317" t="s">
        <v>180</v>
      </c>
      <c r="U317" t="s">
        <v>205</v>
      </c>
    </row>
    <row r="318" spans="1:21" x14ac:dyDescent="0.35">
      <c r="A318">
        <v>2024</v>
      </c>
      <c r="B318">
        <v>18</v>
      </c>
      <c r="C318" t="s">
        <v>267</v>
      </c>
      <c r="E318" t="s">
        <v>333</v>
      </c>
      <c r="F318" t="s">
        <v>289</v>
      </c>
      <c r="G318">
        <v>2.5</v>
      </c>
      <c r="H318">
        <v>1</v>
      </c>
      <c r="I318" t="s">
        <v>275</v>
      </c>
      <c r="J318" t="s">
        <v>180</v>
      </c>
      <c r="K318" t="s">
        <v>180</v>
      </c>
      <c r="L318" t="s">
        <v>180</v>
      </c>
      <c r="M318" t="s">
        <v>180</v>
      </c>
      <c r="N318" t="s">
        <v>180</v>
      </c>
      <c r="O318" t="s">
        <v>180</v>
      </c>
      <c r="U318" t="s">
        <v>205</v>
      </c>
    </row>
    <row r="319" spans="1:21" x14ac:dyDescent="0.35">
      <c r="A319">
        <v>2024</v>
      </c>
      <c r="B319">
        <v>18</v>
      </c>
      <c r="C319" t="s">
        <v>267</v>
      </c>
      <c r="E319" t="s">
        <v>333</v>
      </c>
      <c r="F319" t="s">
        <v>289</v>
      </c>
      <c r="G319">
        <v>4.8</v>
      </c>
      <c r="H319">
        <v>1</v>
      </c>
      <c r="I319" t="s">
        <v>278</v>
      </c>
      <c r="J319" t="s">
        <v>180</v>
      </c>
      <c r="K319" t="s">
        <v>180</v>
      </c>
      <c r="L319" t="s">
        <v>180</v>
      </c>
      <c r="M319" t="s">
        <v>180</v>
      </c>
      <c r="N319" t="s">
        <v>180</v>
      </c>
      <c r="O319" t="s">
        <v>180</v>
      </c>
      <c r="U319" t="s">
        <v>205</v>
      </c>
    </row>
    <row r="320" spans="1:21" x14ac:dyDescent="0.35">
      <c r="A320">
        <v>2024</v>
      </c>
      <c r="B320">
        <v>18</v>
      </c>
      <c r="C320" t="s">
        <v>267</v>
      </c>
      <c r="E320" t="s">
        <v>333</v>
      </c>
      <c r="F320" t="s">
        <v>289</v>
      </c>
      <c r="G320">
        <v>2.7</v>
      </c>
      <c r="H320">
        <v>1</v>
      </c>
      <c r="I320" t="s">
        <v>275</v>
      </c>
      <c r="J320" t="s">
        <v>180</v>
      </c>
      <c r="K320" t="s">
        <v>180</v>
      </c>
      <c r="L320" t="s">
        <v>180</v>
      </c>
      <c r="M320" t="s">
        <v>180</v>
      </c>
      <c r="N320" t="s">
        <v>180</v>
      </c>
      <c r="O320" t="s">
        <v>180</v>
      </c>
      <c r="U320" t="s">
        <v>205</v>
      </c>
    </row>
    <row r="321" spans="1:21" x14ac:dyDescent="0.35">
      <c r="A321">
        <v>2024</v>
      </c>
      <c r="B321">
        <v>18</v>
      </c>
      <c r="C321" t="s">
        <v>277</v>
      </c>
      <c r="E321" t="s">
        <v>333</v>
      </c>
      <c r="F321" t="s">
        <v>289</v>
      </c>
      <c r="G321">
        <v>4.5</v>
      </c>
      <c r="H321">
        <v>1</v>
      </c>
      <c r="I321" t="s">
        <v>275</v>
      </c>
      <c r="J321" t="s">
        <v>180</v>
      </c>
      <c r="K321" t="s">
        <v>180</v>
      </c>
      <c r="L321" t="s">
        <v>180</v>
      </c>
      <c r="M321" t="s">
        <v>180</v>
      </c>
      <c r="N321" t="s">
        <v>180</v>
      </c>
      <c r="O321" t="s">
        <v>180</v>
      </c>
      <c r="U321" t="s">
        <v>205</v>
      </c>
    </row>
    <row r="322" spans="1:21" x14ac:dyDescent="0.35">
      <c r="A322">
        <v>2024</v>
      </c>
      <c r="B322">
        <v>18</v>
      </c>
      <c r="C322" t="s">
        <v>277</v>
      </c>
      <c r="D322">
        <v>305</v>
      </c>
      <c r="E322">
        <v>7.62</v>
      </c>
      <c r="F322" t="s">
        <v>289</v>
      </c>
      <c r="G322">
        <v>4.5</v>
      </c>
      <c r="H322">
        <v>5</v>
      </c>
      <c r="I322" t="s">
        <v>275</v>
      </c>
      <c r="J322" t="s">
        <v>180</v>
      </c>
      <c r="K322" t="s">
        <v>179</v>
      </c>
      <c r="L322" t="s">
        <v>179</v>
      </c>
      <c r="M322" t="s">
        <v>180</v>
      </c>
      <c r="N322" t="s">
        <v>180</v>
      </c>
      <c r="O322" t="s">
        <v>180</v>
      </c>
      <c r="R322" t="s">
        <v>366</v>
      </c>
      <c r="S322" t="s">
        <v>368</v>
      </c>
      <c r="U322" t="s">
        <v>205</v>
      </c>
    </row>
    <row r="323" spans="1:21" x14ac:dyDescent="0.35">
      <c r="A323">
        <v>2024</v>
      </c>
      <c r="B323">
        <v>18</v>
      </c>
      <c r="C323" t="s">
        <v>277</v>
      </c>
      <c r="E323" t="s">
        <v>333</v>
      </c>
      <c r="F323" t="s">
        <v>289</v>
      </c>
      <c r="G323">
        <v>5.7</v>
      </c>
      <c r="H323">
        <v>4</v>
      </c>
      <c r="I323" t="s">
        <v>275</v>
      </c>
      <c r="J323" t="s">
        <v>180</v>
      </c>
      <c r="K323" t="s">
        <v>179</v>
      </c>
      <c r="L323" t="s">
        <v>180</v>
      </c>
      <c r="M323" t="s">
        <v>179</v>
      </c>
      <c r="N323" t="s">
        <v>180</v>
      </c>
      <c r="O323" t="s">
        <v>180</v>
      </c>
      <c r="S323" t="s">
        <v>369</v>
      </c>
      <c r="U323" t="s">
        <v>311</v>
      </c>
    </row>
    <row r="324" spans="1:21" x14ac:dyDescent="0.35">
      <c r="A324">
        <v>2024</v>
      </c>
      <c r="B324">
        <v>18</v>
      </c>
      <c r="C324" t="s">
        <v>277</v>
      </c>
      <c r="E324" t="s">
        <v>333</v>
      </c>
      <c r="F324" t="s">
        <v>289</v>
      </c>
      <c r="G324">
        <v>5.0999999999999996</v>
      </c>
      <c r="H324">
        <v>1</v>
      </c>
      <c r="I324" t="s">
        <v>275</v>
      </c>
      <c r="J324" t="s">
        <v>180</v>
      </c>
      <c r="K324" t="s">
        <v>180</v>
      </c>
      <c r="L324" t="s">
        <v>180</v>
      </c>
      <c r="M324" t="s">
        <v>180</v>
      </c>
      <c r="N324" t="s">
        <v>180</v>
      </c>
      <c r="O324" t="s">
        <v>180</v>
      </c>
      <c r="U324" t="s">
        <v>205</v>
      </c>
    </row>
    <row r="325" spans="1:21" x14ac:dyDescent="0.35">
      <c r="A325">
        <v>2024</v>
      </c>
      <c r="B325">
        <v>18</v>
      </c>
      <c r="C325" t="s">
        <v>277</v>
      </c>
      <c r="E325" t="s">
        <v>333</v>
      </c>
      <c r="F325" t="s">
        <v>289</v>
      </c>
      <c r="G325">
        <v>4.2</v>
      </c>
      <c r="H325">
        <v>1</v>
      </c>
      <c r="I325" t="s">
        <v>275</v>
      </c>
      <c r="J325" t="s">
        <v>180</v>
      </c>
      <c r="K325" t="s">
        <v>180</v>
      </c>
      <c r="L325" t="s">
        <v>180</v>
      </c>
      <c r="M325" t="s">
        <v>180</v>
      </c>
      <c r="N325" t="s">
        <v>180</v>
      </c>
      <c r="O325" t="s">
        <v>180</v>
      </c>
      <c r="U325" t="s">
        <v>205</v>
      </c>
    </row>
    <row r="326" spans="1:21" x14ac:dyDescent="0.35">
      <c r="A326">
        <v>2024</v>
      </c>
      <c r="B326">
        <v>18</v>
      </c>
      <c r="C326" t="s">
        <v>277</v>
      </c>
      <c r="E326" t="s">
        <v>333</v>
      </c>
      <c r="F326" t="s">
        <v>289</v>
      </c>
      <c r="G326">
        <v>3.7</v>
      </c>
      <c r="H326">
        <v>1</v>
      </c>
      <c r="I326" t="s">
        <v>275</v>
      </c>
      <c r="J326" t="s">
        <v>180</v>
      </c>
      <c r="K326" t="s">
        <v>180</v>
      </c>
      <c r="L326" t="s">
        <v>180</v>
      </c>
      <c r="M326" t="s">
        <v>180</v>
      </c>
      <c r="N326" t="s">
        <v>180</v>
      </c>
      <c r="O326" t="s">
        <v>180</v>
      </c>
      <c r="U326" t="s">
        <v>205</v>
      </c>
    </row>
    <row r="327" spans="1:21" x14ac:dyDescent="0.35">
      <c r="A327">
        <v>2024</v>
      </c>
      <c r="B327">
        <v>18</v>
      </c>
      <c r="C327" t="s">
        <v>277</v>
      </c>
      <c r="E327" t="s">
        <v>333</v>
      </c>
      <c r="F327" t="s">
        <v>289</v>
      </c>
      <c r="G327">
        <v>3.4</v>
      </c>
      <c r="H327">
        <v>1</v>
      </c>
      <c r="I327" t="s">
        <v>275</v>
      </c>
      <c r="J327" t="s">
        <v>180</v>
      </c>
      <c r="K327" t="s">
        <v>180</v>
      </c>
      <c r="L327" t="s">
        <v>180</v>
      </c>
      <c r="M327" t="s">
        <v>180</v>
      </c>
      <c r="N327" t="s">
        <v>180</v>
      </c>
      <c r="O327" t="s">
        <v>180</v>
      </c>
      <c r="S327" t="s">
        <v>370</v>
      </c>
      <c r="U327" t="s">
        <v>205</v>
      </c>
    </row>
    <row r="328" spans="1:21" x14ac:dyDescent="0.35">
      <c r="A328">
        <v>2024</v>
      </c>
      <c r="B328">
        <v>18</v>
      </c>
      <c r="C328" t="s">
        <v>277</v>
      </c>
      <c r="E328" t="s">
        <v>333</v>
      </c>
      <c r="F328" t="s">
        <v>289</v>
      </c>
      <c r="G328">
        <v>4.0999999999999996</v>
      </c>
      <c r="H328">
        <v>1</v>
      </c>
      <c r="I328" t="s">
        <v>275</v>
      </c>
      <c r="J328" t="s">
        <v>180</v>
      </c>
      <c r="K328" t="s">
        <v>180</v>
      </c>
      <c r="L328" t="s">
        <v>180</v>
      </c>
      <c r="M328" t="s">
        <v>180</v>
      </c>
      <c r="N328" t="s">
        <v>180</v>
      </c>
      <c r="O328" t="s">
        <v>180</v>
      </c>
      <c r="U328" t="s">
        <v>205</v>
      </c>
    </row>
    <row r="329" spans="1:21" x14ac:dyDescent="0.35">
      <c r="A329">
        <v>2024</v>
      </c>
      <c r="B329">
        <v>18</v>
      </c>
      <c r="C329" t="s">
        <v>277</v>
      </c>
      <c r="D329">
        <v>355</v>
      </c>
      <c r="E329">
        <v>8.11</v>
      </c>
      <c r="F329" t="s">
        <v>289</v>
      </c>
      <c r="G329">
        <v>3.8</v>
      </c>
      <c r="H329">
        <v>2</v>
      </c>
      <c r="I329" t="s">
        <v>275</v>
      </c>
      <c r="J329" t="s">
        <v>180</v>
      </c>
      <c r="K329" t="s">
        <v>180</v>
      </c>
      <c r="L329" t="s">
        <v>179</v>
      </c>
      <c r="M329" t="s">
        <v>179</v>
      </c>
      <c r="N329" t="s">
        <v>180</v>
      </c>
      <c r="O329" t="s">
        <v>180</v>
      </c>
      <c r="R329" t="s">
        <v>371</v>
      </c>
      <c r="S329" t="s">
        <v>369</v>
      </c>
      <c r="U329" t="s">
        <v>311</v>
      </c>
    </row>
    <row r="330" spans="1:21" x14ac:dyDescent="0.35">
      <c r="A330">
        <v>2024</v>
      </c>
      <c r="B330">
        <v>30</v>
      </c>
      <c r="C330" t="s">
        <v>296</v>
      </c>
      <c r="D330" t="s">
        <v>205</v>
      </c>
      <c r="E330" t="s">
        <v>205</v>
      </c>
      <c r="F330" t="s">
        <v>205</v>
      </c>
      <c r="G330" t="s">
        <v>205</v>
      </c>
      <c r="H330" t="s">
        <v>205</v>
      </c>
      <c r="I330" t="s">
        <v>205</v>
      </c>
      <c r="J330" t="s">
        <v>205</v>
      </c>
      <c r="K330" t="s">
        <v>205</v>
      </c>
      <c r="L330" t="s">
        <v>205</v>
      </c>
      <c r="M330" t="s">
        <v>205</v>
      </c>
      <c r="N330" t="s">
        <v>205</v>
      </c>
      <c r="O330" t="s">
        <v>205</v>
      </c>
      <c r="P330" t="s">
        <v>205</v>
      </c>
      <c r="Q330" t="s">
        <v>205</v>
      </c>
      <c r="R330" t="s">
        <v>205</v>
      </c>
      <c r="S330" t="s">
        <v>205</v>
      </c>
      <c r="T330" t="s">
        <v>205</v>
      </c>
      <c r="U330" t="s">
        <v>205</v>
      </c>
    </row>
    <row r="331" spans="1:21" x14ac:dyDescent="0.35">
      <c r="A331">
        <v>2024</v>
      </c>
      <c r="B331">
        <v>29</v>
      </c>
      <c r="C331" t="s">
        <v>296</v>
      </c>
      <c r="D331" t="s">
        <v>205</v>
      </c>
      <c r="E331" t="s">
        <v>205</v>
      </c>
      <c r="F331" t="s">
        <v>205</v>
      </c>
      <c r="G331" t="s">
        <v>205</v>
      </c>
      <c r="H331" t="s">
        <v>205</v>
      </c>
      <c r="I331" t="s">
        <v>205</v>
      </c>
      <c r="J331" t="s">
        <v>205</v>
      </c>
      <c r="K331" t="s">
        <v>205</v>
      </c>
      <c r="L331" t="s">
        <v>205</v>
      </c>
      <c r="M331" t="s">
        <v>205</v>
      </c>
      <c r="N331" t="s">
        <v>205</v>
      </c>
      <c r="O331" t="s">
        <v>205</v>
      </c>
      <c r="P331" t="s">
        <v>205</v>
      </c>
      <c r="Q331" t="s">
        <v>205</v>
      </c>
      <c r="R331" t="s">
        <v>205</v>
      </c>
      <c r="S331" t="s">
        <v>205</v>
      </c>
      <c r="T331" t="s">
        <v>205</v>
      </c>
      <c r="U331" t="s">
        <v>205</v>
      </c>
    </row>
    <row r="332" spans="1:21" x14ac:dyDescent="0.35">
      <c r="A332">
        <v>2024</v>
      </c>
      <c r="B332">
        <v>28</v>
      </c>
      <c r="C332" t="s">
        <v>296</v>
      </c>
      <c r="D332" t="s">
        <v>205</v>
      </c>
      <c r="E332" t="s">
        <v>205</v>
      </c>
      <c r="F332" t="s">
        <v>205</v>
      </c>
      <c r="G332" t="s">
        <v>205</v>
      </c>
      <c r="H332" t="s">
        <v>205</v>
      </c>
      <c r="I332" t="s">
        <v>205</v>
      </c>
      <c r="J332" t="s">
        <v>205</v>
      </c>
      <c r="K332" t="s">
        <v>205</v>
      </c>
      <c r="L332" t="s">
        <v>205</v>
      </c>
      <c r="M332" t="s">
        <v>205</v>
      </c>
      <c r="N332" t="s">
        <v>205</v>
      </c>
      <c r="O332" t="s">
        <v>205</v>
      </c>
      <c r="P332" t="s">
        <v>205</v>
      </c>
      <c r="Q332" t="s">
        <v>205</v>
      </c>
      <c r="R332" t="s">
        <v>205</v>
      </c>
      <c r="S332" t="s">
        <v>205</v>
      </c>
      <c r="T332" t="s">
        <v>205</v>
      </c>
      <c r="U332" t="s">
        <v>205</v>
      </c>
    </row>
    <row r="333" spans="1:21" s="11" customFormat="1" x14ac:dyDescent="0.35">
      <c r="A333">
        <v>2024</v>
      </c>
      <c r="B333" s="11">
        <v>72</v>
      </c>
      <c r="C333" s="11" t="s">
        <v>273</v>
      </c>
      <c r="E333" s="11" t="s">
        <v>333</v>
      </c>
      <c r="F333" s="11" t="s">
        <v>289</v>
      </c>
      <c r="G333" s="11">
        <v>4.5999999999999996</v>
      </c>
      <c r="H333" s="11">
        <v>5</v>
      </c>
      <c r="I333" s="11" t="s">
        <v>278</v>
      </c>
      <c r="J333" s="11" t="s">
        <v>179</v>
      </c>
      <c r="K333" s="11" t="s">
        <v>179</v>
      </c>
      <c r="L333" s="11" t="s">
        <v>179</v>
      </c>
      <c r="M333" s="11" t="s">
        <v>179</v>
      </c>
      <c r="N333" s="11" t="s">
        <v>180</v>
      </c>
      <c r="O333" s="11" t="s">
        <v>179</v>
      </c>
      <c r="U333" s="11" t="s">
        <v>301</v>
      </c>
    </row>
    <row r="334" spans="1:21" x14ac:dyDescent="0.35">
      <c r="A334">
        <v>2024</v>
      </c>
      <c r="B334">
        <v>72</v>
      </c>
      <c r="C334" t="s">
        <v>273</v>
      </c>
      <c r="E334" t="s">
        <v>333</v>
      </c>
      <c r="F334" t="s">
        <v>289</v>
      </c>
      <c r="G334">
        <v>5</v>
      </c>
      <c r="H334">
        <v>1</v>
      </c>
      <c r="I334" t="s">
        <v>278</v>
      </c>
      <c r="J334" t="s">
        <v>180</v>
      </c>
      <c r="K334" t="s">
        <v>180</v>
      </c>
      <c r="L334" t="s">
        <v>179</v>
      </c>
      <c r="M334" t="s">
        <v>180</v>
      </c>
      <c r="N334" t="s">
        <v>180</v>
      </c>
      <c r="O334" t="s">
        <v>180</v>
      </c>
      <c r="S334" t="s">
        <v>307</v>
      </c>
      <c r="U334" t="s">
        <v>205</v>
      </c>
    </row>
    <row r="335" spans="1:21" x14ac:dyDescent="0.35">
      <c r="A335">
        <v>2024</v>
      </c>
      <c r="B335">
        <v>72</v>
      </c>
      <c r="C335" t="s">
        <v>273</v>
      </c>
      <c r="E335" t="s">
        <v>333</v>
      </c>
      <c r="F335" t="s">
        <v>289</v>
      </c>
      <c r="G335">
        <v>3.5</v>
      </c>
      <c r="H335">
        <v>5</v>
      </c>
      <c r="I335" t="s">
        <v>278</v>
      </c>
      <c r="J335" t="s">
        <v>180</v>
      </c>
      <c r="K335" t="s">
        <v>179</v>
      </c>
      <c r="L335" t="s">
        <v>179</v>
      </c>
      <c r="M335" t="s">
        <v>179</v>
      </c>
      <c r="N335" t="s">
        <v>179</v>
      </c>
      <c r="O335" t="s">
        <v>179</v>
      </c>
      <c r="U335" t="s">
        <v>301</v>
      </c>
    </row>
    <row r="336" spans="1:21" x14ac:dyDescent="0.35">
      <c r="A336">
        <v>2024</v>
      </c>
      <c r="B336">
        <v>72</v>
      </c>
      <c r="C336" t="s">
        <v>273</v>
      </c>
      <c r="E336" t="s">
        <v>333</v>
      </c>
      <c r="F336" t="s">
        <v>289</v>
      </c>
      <c r="G336">
        <v>5.5</v>
      </c>
      <c r="H336">
        <v>1</v>
      </c>
      <c r="I336" t="s">
        <v>278</v>
      </c>
      <c r="J336" t="s">
        <v>180</v>
      </c>
      <c r="K336" t="s">
        <v>179</v>
      </c>
      <c r="L336" t="s">
        <v>179</v>
      </c>
      <c r="M336" t="s">
        <v>179</v>
      </c>
      <c r="N336" t="s">
        <v>180</v>
      </c>
      <c r="O336" t="s">
        <v>180</v>
      </c>
      <c r="U336" t="s">
        <v>301</v>
      </c>
    </row>
    <row r="337" spans="1:21" x14ac:dyDescent="0.35">
      <c r="A337">
        <v>2024</v>
      </c>
      <c r="B337">
        <v>72</v>
      </c>
      <c r="C337" t="s">
        <v>273</v>
      </c>
      <c r="E337" t="s">
        <v>333</v>
      </c>
      <c r="F337" t="s">
        <v>289</v>
      </c>
      <c r="G337">
        <v>5</v>
      </c>
      <c r="H337">
        <v>1</v>
      </c>
      <c r="I337" t="s">
        <v>278</v>
      </c>
      <c r="J337" t="s">
        <v>180</v>
      </c>
      <c r="K337" t="s">
        <v>180</v>
      </c>
      <c r="L337" t="s">
        <v>179</v>
      </c>
      <c r="M337" t="s">
        <v>179</v>
      </c>
      <c r="N337" t="s">
        <v>180</v>
      </c>
      <c r="O337" t="s">
        <v>180</v>
      </c>
      <c r="U337" t="s">
        <v>301</v>
      </c>
    </row>
    <row r="338" spans="1:21" x14ac:dyDescent="0.35">
      <c r="A338">
        <v>2024</v>
      </c>
      <c r="B338">
        <v>72</v>
      </c>
      <c r="C338" t="s">
        <v>273</v>
      </c>
      <c r="E338" t="s">
        <v>333</v>
      </c>
      <c r="F338" t="s">
        <v>289</v>
      </c>
      <c r="G338">
        <v>8</v>
      </c>
      <c r="H338">
        <v>1</v>
      </c>
      <c r="I338" t="s">
        <v>278</v>
      </c>
      <c r="J338" t="s">
        <v>180</v>
      </c>
      <c r="K338" t="s">
        <v>180</v>
      </c>
      <c r="L338" t="s">
        <v>179</v>
      </c>
      <c r="M338" t="s">
        <v>179</v>
      </c>
      <c r="N338" t="s">
        <v>180</v>
      </c>
      <c r="O338" t="s">
        <v>180</v>
      </c>
      <c r="U338" t="s">
        <v>301</v>
      </c>
    </row>
    <row r="339" spans="1:21" x14ac:dyDescent="0.35">
      <c r="A339">
        <v>2024</v>
      </c>
      <c r="B339">
        <v>72</v>
      </c>
      <c r="C339" t="s">
        <v>273</v>
      </c>
      <c r="E339" t="s">
        <v>333</v>
      </c>
      <c r="F339" t="s">
        <v>289</v>
      </c>
      <c r="G339">
        <v>7.7</v>
      </c>
      <c r="H339">
        <v>1</v>
      </c>
      <c r="I339" t="s">
        <v>269</v>
      </c>
      <c r="J339" t="s">
        <v>180</v>
      </c>
      <c r="K339" t="s">
        <v>180</v>
      </c>
      <c r="L339" t="s">
        <v>179</v>
      </c>
      <c r="M339" t="s">
        <v>180</v>
      </c>
      <c r="N339" t="s">
        <v>180</v>
      </c>
      <c r="O339" t="s">
        <v>180</v>
      </c>
      <c r="S339" t="s">
        <v>372</v>
      </c>
      <c r="U339" t="s">
        <v>205</v>
      </c>
    </row>
    <row r="340" spans="1:21" x14ac:dyDescent="0.35">
      <c r="A340">
        <v>2024</v>
      </c>
      <c r="B340">
        <v>72</v>
      </c>
      <c r="C340" t="s">
        <v>273</v>
      </c>
      <c r="E340" t="s">
        <v>333</v>
      </c>
      <c r="F340" t="s">
        <v>289</v>
      </c>
      <c r="G340">
        <v>3.7</v>
      </c>
      <c r="H340">
        <v>5</v>
      </c>
      <c r="I340" t="s">
        <v>278</v>
      </c>
      <c r="J340" t="s">
        <v>180</v>
      </c>
      <c r="K340" t="s">
        <v>179</v>
      </c>
      <c r="L340" t="s">
        <v>179</v>
      </c>
      <c r="M340" t="s">
        <v>179</v>
      </c>
      <c r="N340" t="s">
        <v>179</v>
      </c>
      <c r="O340" t="s">
        <v>180</v>
      </c>
      <c r="U340" t="s">
        <v>301</v>
      </c>
    </row>
    <row r="341" spans="1:21" x14ac:dyDescent="0.35">
      <c r="A341">
        <v>2024</v>
      </c>
      <c r="B341">
        <v>72</v>
      </c>
      <c r="C341" t="s">
        <v>273</v>
      </c>
      <c r="E341" t="s">
        <v>333</v>
      </c>
      <c r="F341" t="s">
        <v>289</v>
      </c>
      <c r="G341">
        <v>3.4</v>
      </c>
      <c r="H341">
        <v>1</v>
      </c>
      <c r="I341" t="s">
        <v>278</v>
      </c>
      <c r="J341" t="s">
        <v>180</v>
      </c>
      <c r="K341" t="s">
        <v>180</v>
      </c>
      <c r="L341" t="s">
        <v>180</v>
      </c>
      <c r="M341" t="s">
        <v>179</v>
      </c>
      <c r="N341" t="s">
        <v>179</v>
      </c>
      <c r="O341" t="s">
        <v>180</v>
      </c>
      <c r="U341" t="s">
        <v>301</v>
      </c>
    </row>
    <row r="342" spans="1:21" x14ac:dyDescent="0.35">
      <c r="A342">
        <v>2024</v>
      </c>
      <c r="B342">
        <v>72</v>
      </c>
      <c r="C342" t="s">
        <v>273</v>
      </c>
      <c r="E342" t="s">
        <v>333</v>
      </c>
      <c r="F342" t="s">
        <v>289</v>
      </c>
      <c r="G342">
        <v>3.8</v>
      </c>
      <c r="H342">
        <v>1</v>
      </c>
      <c r="I342" t="s">
        <v>278</v>
      </c>
      <c r="J342" t="s">
        <v>180</v>
      </c>
      <c r="K342" t="s">
        <v>180</v>
      </c>
      <c r="L342" t="s">
        <v>180</v>
      </c>
      <c r="M342" t="s">
        <v>180</v>
      </c>
      <c r="N342" t="s">
        <v>180</v>
      </c>
      <c r="O342" t="s">
        <v>180</v>
      </c>
    </row>
    <row r="343" spans="1:21" x14ac:dyDescent="0.35">
      <c r="A343">
        <v>2024</v>
      </c>
      <c r="B343">
        <v>72</v>
      </c>
      <c r="C343" t="s">
        <v>273</v>
      </c>
      <c r="E343" t="s">
        <v>333</v>
      </c>
      <c r="F343" t="s">
        <v>289</v>
      </c>
      <c r="G343">
        <v>5.0999999999999996</v>
      </c>
      <c r="H343">
        <v>1</v>
      </c>
      <c r="I343" t="s">
        <v>269</v>
      </c>
      <c r="J343" t="s">
        <v>180</v>
      </c>
      <c r="K343" t="s">
        <v>180</v>
      </c>
      <c r="L343" t="s">
        <v>179</v>
      </c>
      <c r="M343" t="s">
        <v>179</v>
      </c>
      <c r="N343" t="s">
        <v>180</v>
      </c>
      <c r="O343" t="s">
        <v>180</v>
      </c>
      <c r="U343" t="s">
        <v>301</v>
      </c>
    </row>
    <row r="344" spans="1:21" x14ac:dyDescent="0.35">
      <c r="A344">
        <v>2024</v>
      </c>
      <c r="B344">
        <v>72</v>
      </c>
      <c r="C344" t="s">
        <v>292</v>
      </c>
      <c r="E344" t="s">
        <v>333</v>
      </c>
      <c r="F344" t="s">
        <v>289</v>
      </c>
      <c r="G344">
        <v>8.6</v>
      </c>
      <c r="H344">
        <v>2</v>
      </c>
      <c r="I344" t="s">
        <v>269</v>
      </c>
      <c r="J344" t="s">
        <v>180</v>
      </c>
      <c r="K344" t="s">
        <v>180</v>
      </c>
      <c r="L344" t="s">
        <v>179</v>
      </c>
      <c r="M344" t="s">
        <v>179</v>
      </c>
      <c r="N344" t="s">
        <v>179</v>
      </c>
      <c r="O344" t="s">
        <v>180</v>
      </c>
      <c r="S344" t="s">
        <v>373</v>
      </c>
      <c r="U344" t="s">
        <v>311</v>
      </c>
    </row>
    <row r="345" spans="1:21" x14ac:dyDescent="0.35">
      <c r="A345">
        <v>2024</v>
      </c>
      <c r="B345">
        <v>72</v>
      </c>
      <c r="C345" t="s">
        <v>292</v>
      </c>
      <c r="E345" t="s">
        <v>333</v>
      </c>
      <c r="F345" t="s">
        <v>289</v>
      </c>
      <c r="G345">
        <v>5</v>
      </c>
      <c r="H345">
        <v>2</v>
      </c>
      <c r="I345" t="s">
        <v>278</v>
      </c>
      <c r="J345" t="s">
        <v>180</v>
      </c>
      <c r="K345" t="s">
        <v>180</v>
      </c>
      <c r="L345" t="s">
        <v>179</v>
      </c>
      <c r="M345" t="s">
        <v>179</v>
      </c>
      <c r="N345" t="s">
        <v>180</v>
      </c>
      <c r="O345" t="s">
        <v>180</v>
      </c>
      <c r="U345" t="s">
        <v>301</v>
      </c>
    </row>
    <row r="346" spans="1:21" x14ac:dyDescent="0.35">
      <c r="A346">
        <v>2024</v>
      </c>
      <c r="B346">
        <v>72</v>
      </c>
      <c r="C346" t="s">
        <v>292</v>
      </c>
      <c r="E346" t="s">
        <v>333</v>
      </c>
      <c r="F346" t="s">
        <v>289</v>
      </c>
      <c r="G346">
        <v>9.9</v>
      </c>
      <c r="H346">
        <v>1</v>
      </c>
      <c r="I346" t="s">
        <v>269</v>
      </c>
      <c r="J346" t="s">
        <v>180</v>
      </c>
      <c r="K346" t="s">
        <v>180</v>
      </c>
      <c r="L346" t="s">
        <v>179</v>
      </c>
      <c r="M346" t="s">
        <v>179</v>
      </c>
      <c r="N346" t="s">
        <v>180</v>
      </c>
      <c r="O346" t="s">
        <v>180</v>
      </c>
      <c r="S346" t="s">
        <v>307</v>
      </c>
      <c r="U346" t="s">
        <v>301</v>
      </c>
    </row>
    <row r="347" spans="1:21" x14ac:dyDescent="0.35">
      <c r="A347">
        <v>2024</v>
      </c>
      <c r="B347">
        <v>72</v>
      </c>
      <c r="C347" t="s">
        <v>292</v>
      </c>
      <c r="E347" t="s">
        <v>333</v>
      </c>
      <c r="F347" t="s">
        <v>289</v>
      </c>
      <c r="G347">
        <v>4.4000000000000004</v>
      </c>
      <c r="H347">
        <v>2</v>
      </c>
      <c r="I347" t="s">
        <v>275</v>
      </c>
      <c r="J347" t="s">
        <v>180</v>
      </c>
      <c r="K347" t="s">
        <v>180</v>
      </c>
      <c r="L347" t="s">
        <v>179</v>
      </c>
      <c r="M347" t="s">
        <v>179</v>
      </c>
      <c r="N347" t="s">
        <v>179</v>
      </c>
      <c r="O347" t="s">
        <v>180</v>
      </c>
      <c r="U347" t="s">
        <v>301</v>
      </c>
    </row>
    <row r="348" spans="1:21" x14ac:dyDescent="0.35">
      <c r="A348">
        <v>2024</v>
      </c>
      <c r="B348">
        <v>72</v>
      </c>
      <c r="C348" t="s">
        <v>292</v>
      </c>
      <c r="E348" t="s">
        <v>333</v>
      </c>
      <c r="F348" t="s">
        <v>289</v>
      </c>
      <c r="G348">
        <v>4.8</v>
      </c>
      <c r="H348">
        <v>1</v>
      </c>
      <c r="I348" t="s">
        <v>278</v>
      </c>
      <c r="J348" t="s">
        <v>180</v>
      </c>
      <c r="K348" t="s">
        <v>180</v>
      </c>
      <c r="L348" t="s">
        <v>179</v>
      </c>
      <c r="M348" t="s">
        <v>179</v>
      </c>
      <c r="N348" t="s">
        <v>180</v>
      </c>
      <c r="O348" t="s">
        <v>180</v>
      </c>
      <c r="U348" t="s">
        <v>301</v>
      </c>
    </row>
    <row r="349" spans="1:21" x14ac:dyDescent="0.35">
      <c r="A349">
        <v>2024</v>
      </c>
      <c r="B349">
        <v>72</v>
      </c>
      <c r="C349" t="s">
        <v>292</v>
      </c>
      <c r="E349" t="s">
        <v>333</v>
      </c>
      <c r="F349" t="s">
        <v>289</v>
      </c>
      <c r="G349">
        <v>9.5</v>
      </c>
      <c r="H349">
        <v>2</v>
      </c>
      <c r="I349" t="s">
        <v>278</v>
      </c>
      <c r="J349" t="s">
        <v>180</v>
      </c>
      <c r="K349" t="s">
        <v>180</v>
      </c>
      <c r="L349" t="s">
        <v>179</v>
      </c>
      <c r="M349" t="s">
        <v>179</v>
      </c>
      <c r="N349" t="s">
        <v>180</v>
      </c>
      <c r="O349" t="s">
        <v>180</v>
      </c>
      <c r="U349" t="s">
        <v>301</v>
      </c>
    </row>
    <row r="350" spans="1:21" x14ac:dyDescent="0.35">
      <c r="A350">
        <v>2024</v>
      </c>
      <c r="B350">
        <v>72</v>
      </c>
      <c r="C350" t="s">
        <v>292</v>
      </c>
      <c r="E350" t="s">
        <v>333</v>
      </c>
      <c r="F350" t="s">
        <v>289</v>
      </c>
      <c r="G350">
        <v>9.6999999999999993</v>
      </c>
      <c r="H350">
        <v>2</v>
      </c>
      <c r="I350" t="s">
        <v>278</v>
      </c>
      <c r="J350" t="s">
        <v>180</v>
      </c>
      <c r="K350" t="s">
        <v>180</v>
      </c>
      <c r="L350" t="s">
        <v>180</v>
      </c>
      <c r="M350" t="s">
        <v>179</v>
      </c>
      <c r="N350" t="s">
        <v>180</v>
      </c>
      <c r="O350" t="s">
        <v>180</v>
      </c>
      <c r="U350" t="s">
        <v>301</v>
      </c>
    </row>
    <row r="351" spans="1:21" x14ac:dyDescent="0.35">
      <c r="A351">
        <v>2024</v>
      </c>
      <c r="B351">
        <v>72</v>
      </c>
      <c r="C351" t="s">
        <v>292</v>
      </c>
      <c r="E351" t="s">
        <v>333</v>
      </c>
      <c r="F351" t="s">
        <v>289</v>
      </c>
      <c r="G351">
        <v>9.3000000000000007</v>
      </c>
      <c r="H351">
        <v>1</v>
      </c>
      <c r="I351" t="s">
        <v>278</v>
      </c>
      <c r="J351" t="s">
        <v>180</v>
      </c>
      <c r="K351" t="s">
        <v>180</v>
      </c>
      <c r="L351" t="s">
        <v>179</v>
      </c>
      <c r="M351" t="s">
        <v>179</v>
      </c>
      <c r="N351" t="s">
        <v>180</v>
      </c>
      <c r="O351" t="s">
        <v>180</v>
      </c>
      <c r="U351" t="s">
        <v>301</v>
      </c>
    </row>
    <row r="352" spans="1:21" x14ac:dyDescent="0.35">
      <c r="A352">
        <v>2024</v>
      </c>
      <c r="B352">
        <v>72</v>
      </c>
      <c r="C352" t="s">
        <v>292</v>
      </c>
      <c r="E352" t="s">
        <v>333</v>
      </c>
      <c r="F352" t="s">
        <v>289</v>
      </c>
      <c r="G352">
        <v>3.5</v>
      </c>
      <c r="H352">
        <v>1</v>
      </c>
      <c r="I352" t="s">
        <v>275</v>
      </c>
      <c r="J352" t="s">
        <v>180</v>
      </c>
      <c r="K352" t="s">
        <v>180</v>
      </c>
      <c r="L352" t="s">
        <v>180</v>
      </c>
      <c r="M352" t="s">
        <v>180</v>
      </c>
      <c r="N352" t="s">
        <v>180</v>
      </c>
      <c r="O352" t="s">
        <v>180</v>
      </c>
      <c r="U352" t="s">
        <v>205</v>
      </c>
    </row>
    <row r="353" spans="1:21" x14ac:dyDescent="0.35">
      <c r="A353">
        <v>2024</v>
      </c>
      <c r="B353">
        <v>72</v>
      </c>
      <c r="C353" t="s">
        <v>267</v>
      </c>
      <c r="E353" t="s">
        <v>333</v>
      </c>
      <c r="F353" t="s">
        <v>289</v>
      </c>
      <c r="G353">
        <v>6.1</v>
      </c>
      <c r="H353">
        <v>5</v>
      </c>
      <c r="I353" t="s">
        <v>275</v>
      </c>
      <c r="J353" t="s">
        <v>180</v>
      </c>
      <c r="K353" t="s">
        <v>179</v>
      </c>
      <c r="L353" t="s">
        <v>179</v>
      </c>
      <c r="M353" t="s">
        <v>180</v>
      </c>
      <c r="N353" t="s">
        <v>180</v>
      </c>
      <c r="O353" t="s">
        <v>179</v>
      </c>
      <c r="U353" t="s">
        <v>205</v>
      </c>
    </row>
    <row r="354" spans="1:21" x14ac:dyDescent="0.35">
      <c r="A354">
        <v>2024</v>
      </c>
      <c r="B354">
        <v>72</v>
      </c>
      <c r="C354" t="s">
        <v>267</v>
      </c>
      <c r="E354" t="s">
        <v>333</v>
      </c>
      <c r="F354" t="s">
        <v>289</v>
      </c>
      <c r="G354">
        <v>6.8</v>
      </c>
      <c r="H354">
        <v>1</v>
      </c>
      <c r="I354" t="s">
        <v>278</v>
      </c>
      <c r="J354" t="s">
        <v>180</v>
      </c>
      <c r="K354" t="s">
        <v>180</v>
      </c>
      <c r="L354" t="s">
        <v>179</v>
      </c>
      <c r="M354" t="s">
        <v>179</v>
      </c>
      <c r="N354" t="s">
        <v>180</v>
      </c>
      <c r="O354" t="s">
        <v>180</v>
      </c>
      <c r="U354" t="s">
        <v>301</v>
      </c>
    </row>
    <row r="355" spans="1:21" x14ac:dyDescent="0.35">
      <c r="A355">
        <v>2024</v>
      </c>
      <c r="B355">
        <v>72</v>
      </c>
      <c r="C355" t="s">
        <v>292</v>
      </c>
      <c r="E355" t="s">
        <v>333</v>
      </c>
      <c r="F355" t="s">
        <v>289</v>
      </c>
      <c r="G355">
        <v>5.2</v>
      </c>
      <c r="H355">
        <v>1</v>
      </c>
      <c r="I355" t="s">
        <v>278</v>
      </c>
      <c r="J355" t="s">
        <v>180</v>
      </c>
      <c r="K355" t="s">
        <v>180</v>
      </c>
      <c r="L355" t="s">
        <v>179</v>
      </c>
      <c r="M355" t="s">
        <v>179</v>
      </c>
      <c r="N355" t="s">
        <v>180</v>
      </c>
      <c r="O355" t="s">
        <v>180</v>
      </c>
      <c r="S355" t="s">
        <v>374</v>
      </c>
      <c r="U355" t="s">
        <v>301</v>
      </c>
    </row>
    <row r="356" spans="1:21" x14ac:dyDescent="0.35">
      <c r="A356">
        <v>2024</v>
      </c>
      <c r="B356">
        <v>72</v>
      </c>
      <c r="C356" t="s">
        <v>292</v>
      </c>
      <c r="E356" t="s">
        <v>333</v>
      </c>
      <c r="F356" t="s">
        <v>289</v>
      </c>
      <c r="G356">
        <v>9.5</v>
      </c>
      <c r="H356">
        <v>1</v>
      </c>
      <c r="I356" t="s">
        <v>278</v>
      </c>
      <c r="J356" t="s">
        <v>180</v>
      </c>
      <c r="K356" t="s">
        <v>180</v>
      </c>
      <c r="L356" t="s">
        <v>179</v>
      </c>
      <c r="M356" t="s">
        <v>179</v>
      </c>
      <c r="N356" t="s">
        <v>180</v>
      </c>
      <c r="O356" t="s">
        <v>180</v>
      </c>
      <c r="U356" t="s">
        <v>301</v>
      </c>
    </row>
    <row r="357" spans="1:21" x14ac:dyDescent="0.35">
      <c r="A357">
        <v>2024</v>
      </c>
      <c r="B357">
        <v>72</v>
      </c>
      <c r="C357" t="s">
        <v>292</v>
      </c>
      <c r="E357" t="s">
        <v>333</v>
      </c>
      <c r="F357" t="s">
        <v>289</v>
      </c>
      <c r="G357">
        <v>7.9</v>
      </c>
      <c r="H357">
        <v>1</v>
      </c>
      <c r="I357" t="s">
        <v>278</v>
      </c>
      <c r="J357" t="s">
        <v>180</v>
      </c>
      <c r="K357" t="s">
        <v>180</v>
      </c>
      <c r="L357" t="s">
        <v>180</v>
      </c>
      <c r="M357" t="s">
        <v>180</v>
      </c>
      <c r="N357" t="s">
        <v>180</v>
      </c>
      <c r="O357" t="s">
        <v>180</v>
      </c>
      <c r="U357" t="s">
        <v>205</v>
      </c>
    </row>
    <row r="358" spans="1:21" s="11" customFormat="1" x14ac:dyDescent="0.35">
      <c r="A358">
        <v>2024</v>
      </c>
      <c r="B358" s="11">
        <v>72</v>
      </c>
      <c r="C358" s="11" t="s">
        <v>292</v>
      </c>
      <c r="E358" s="11" t="s">
        <v>333</v>
      </c>
      <c r="F358" s="11" t="s">
        <v>289</v>
      </c>
      <c r="G358" s="11">
        <v>6.8</v>
      </c>
      <c r="H358" s="11">
        <v>1</v>
      </c>
      <c r="I358" s="11" t="s">
        <v>278</v>
      </c>
      <c r="J358" s="11" t="s">
        <v>180</v>
      </c>
      <c r="K358" s="11" t="s">
        <v>180</v>
      </c>
      <c r="L358" s="11" t="s">
        <v>179</v>
      </c>
      <c r="M358" s="11" t="s">
        <v>179</v>
      </c>
      <c r="N358" s="11" t="s">
        <v>180</v>
      </c>
      <c r="O358" s="11" t="s">
        <v>180</v>
      </c>
      <c r="S358" s="11" t="s">
        <v>369</v>
      </c>
      <c r="U358" s="11" t="s">
        <v>311</v>
      </c>
    </row>
    <row r="359" spans="1:21" x14ac:dyDescent="0.35">
      <c r="A359">
        <v>2024</v>
      </c>
      <c r="B359">
        <v>72</v>
      </c>
      <c r="C359" t="s">
        <v>292</v>
      </c>
      <c r="E359" t="s">
        <v>333</v>
      </c>
      <c r="F359" t="s">
        <v>299</v>
      </c>
      <c r="G359">
        <v>6.5</v>
      </c>
      <c r="H359">
        <v>1</v>
      </c>
      <c r="I359" t="s">
        <v>275</v>
      </c>
      <c r="J359" t="s">
        <v>180</v>
      </c>
      <c r="K359" t="s">
        <v>180</v>
      </c>
      <c r="L359" t="s">
        <v>179</v>
      </c>
      <c r="M359" t="s">
        <v>180</v>
      </c>
      <c r="N359" t="s">
        <v>180</v>
      </c>
      <c r="O359" t="s">
        <v>180</v>
      </c>
      <c r="U359" t="s">
        <v>205</v>
      </c>
    </row>
    <row r="360" spans="1:21" x14ac:dyDescent="0.35">
      <c r="A360">
        <v>2024</v>
      </c>
      <c r="B360">
        <v>72</v>
      </c>
      <c r="C360" t="s">
        <v>292</v>
      </c>
      <c r="E360" t="s">
        <v>333</v>
      </c>
      <c r="F360" t="s">
        <v>299</v>
      </c>
      <c r="G360">
        <v>4</v>
      </c>
      <c r="H360">
        <v>1</v>
      </c>
      <c r="I360" t="s">
        <v>278</v>
      </c>
      <c r="J360" t="s">
        <v>180</v>
      </c>
      <c r="K360" t="s">
        <v>180</v>
      </c>
      <c r="L360" t="s">
        <v>179</v>
      </c>
      <c r="M360" t="s">
        <v>180</v>
      </c>
      <c r="N360" t="s">
        <v>180</v>
      </c>
      <c r="O360" t="s">
        <v>180</v>
      </c>
      <c r="U360" t="s">
        <v>205</v>
      </c>
    </row>
    <row r="361" spans="1:21" x14ac:dyDescent="0.35">
      <c r="A361">
        <v>2024</v>
      </c>
      <c r="B361">
        <v>72</v>
      </c>
      <c r="C361" t="s">
        <v>267</v>
      </c>
      <c r="E361" t="s">
        <v>333</v>
      </c>
      <c r="F361" t="s">
        <v>289</v>
      </c>
      <c r="G361">
        <v>4.5999999999999996</v>
      </c>
      <c r="H361">
        <v>5</v>
      </c>
      <c r="I361" t="s">
        <v>278</v>
      </c>
      <c r="J361" t="s">
        <v>180</v>
      </c>
      <c r="K361" t="s">
        <v>180</v>
      </c>
      <c r="L361" t="s">
        <v>179</v>
      </c>
      <c r="M361" t="s">
        <v>179</v>
      </c>
      <c r="N361" t="s">
        <v>179</v>
      </c>
      <c r="O361" t="s">
        <v>180</v>
      </c>
      <c r="U361" t="s">
        <v>301</v>
      </c>
    </row>
    <row r="362" spans="1:21" x14ac:dyDescent="0.35">
      <c r="A362">
        <v>2024</v>
      </c>
      <c r="B362">
        <v>72</v>
      </c>
      <c r="C362" t="s">
        <v>267</v>
      </c>
      <c r="E362" t="s">
        <v>333</v>
      </c>
      <c r="F362" t="s">
        <v>289</v>
      </c>
      <c r="G362">
        <v>2.8</v>
      </c>
      <c r="H362">
        <v>1</v>
      </c>
      <c r="I362" t="s">
        <v>278</v>
      </c>
      <c r="J362" t="s">
        <v>180</v>
      </c>
      <c r="K362" t="s">
        <v>180</v>
      </c>
      <c r="L362" t="s">
        <v>180</v>
      </c>
      <c r="M362" t="s">
        <v>180</v>
      </c>
      <c r="N362" t="s">
        <v>180</v>
      </c>
      <c r="O362" t="s">
        <v>180</v>
      </c>
      <c r="S362" t="s">
        <v>307</v>
      </c>
      <c r="U362" t="s">
        <v>205</v>
      </c>
    </row>
    <row r="363" spans="1:21" x14ac:dyDescent="0.35">
      <c r="A363">
        <v>2024</v>
      </c>
      <c r="B363">
        <v>72</v>
      </c>
      <c r="C363" t="s">
        <v>267</v>
      </c>
      <c r="E363" t="s">
        <v>333</v>
      </c>
      <c r="F363" t="s">
        <v>289</v>
      </c>
      <c r="G363">
        <v>5.6</v>
      </c>
      <c r="H363">
        <v>1</v>
      </c>
      <c r="I363" t="s">
        <v>278</v>
      </c>
      <c r="J363" t="s">
        <v>180</v>
      </c>
      <c r="K363" t="s">
        <v>180</v>
      </c>
      <c r="L363" t="s">
        <v>179</v>
      </c>
      <c r="M363" t="s">
        <v>180</v>
      </c>
      <c r="N363" t="s">
        <v>180</v>
      </c>
      <c r="O363" t="s">
        <v>180</v>
      </c>
      <c r="U363" t="s">
        <v>205</v>
      </c>
    </row>
    <row r="364" spans="1:21" x14ac:dyDescent="0.35">
      <c r="A364">
        <v>2024</v>
      </c>
      <c r="B364">
        <v>72</v>
      </c>
      <c r="C364" t="s">
        <v>267</v>
      </c>
      <c r="E364" t="s">
        <v>333</v>
      </c>
      <c r="F364" t="s">
        <v>289</v>
      </c>
      <c r="G364">
        <v>3.8</v>
      </c>
      <c r="H364">
        <v>1</v>
      </c>
      <c r="I364" t="s">
        <v>278</v>
      </c>
      <c r="J364" t="s">
        <v>180</v>
      </c>
      <c r="K364" t="s">
        <v>180</v>
      </c>
      <c r="L364" t="s">
        <v>180</v>
      </c>
      <c r="M364" t="s">
        <v>180</v>
      </c>
      <c r="N364" t="s">
        <v>180</v>
      </c>
      <c r="O364" t="s">
        <v>180</v>
      </c>
      <c r="U364" t="s">
        <v>205</v>
      </c>
    </row>
    <row r="365" spans="1:21" x14ac:dyDescent="0.35">
      <c r="A365">
        <v>2024</v>
      </c>
      <c r="B365">
        <v>72</v>
      </c>
      <c r="C365" t="s">
        <v>267</v>
      </c>
      <c r="E365" t="s">
        <v>333</v>
      </c>
      <c r="F365" t="s">
        <v>289</v>
      </c>
      <c r="G365">
        <v>8.6</v>
      </c>
      <c r="H365">
        <v>5</v>
      </c>
      <c r="I365" t="s">
        <v>278</v>
      </c>
      <c r="J365" t="s">
        <v>180</v>
      </c>
      <c r="K365" t="s">
        <v>179</v>
      </c>
      <c r="L365" t="s">
        <v>179</v>
      </c>
      <c r="M365" t="s">
        <v>179</v>
      </c>
      <c r="N365" t="s">
        <v>179</v>
      </c>
      <c r="O365" t="s">
        <v>180</v>
      </c>
      <c r="U365" t="s">
        <v>301</v>
      </c>
    </row>
    <row r="366" spans="1:21" x14ac:dyDescent="0.35">
      <c r="A366">
        <v>2024</v>
      </c>
      <c r="B366">
        <v>72</v>
      </c>
      <c r="C366" t="s">
        <v>267</v>
      </c>
      <c r="E366" t="s">
        <v>333</v>
      </c>
      <c r="F366" t="s">
        <v>289</v>
      </c>
      <c r="G366">
        <v>3.1</v>
      </c>
      <c r="H366">
        <v>1</v>
      </c>
      <c r="I366" t="s">
        <v>278</v>
      </c>
      <c r="J366" t="s">
        <v>180</v>
      </c>
      <c r="K366" t="s">
        <v>180</v>
      </c>
      <c r="L366" t="s">
        <v>180</v>
      </c>
      <c r="M366" t="s">
        <v>180</v>
      </c>
      <c r="N366" t="s">
        <v>180</v>
      </c>
      <c r="O366" t="s">
        <v>180</v>
      </c>
      <c r="U366" t="s">
        <v>205</v>
      </c>
    </row>
    <row r="367" spans="1:21" x14ac:dyDescent="0.35">
      <c r="A367">
        <v>2024</v>
      </c>
      <c r="B367">
        <v>72</v>
      </c>
      <c r="C367" t="s">
        <v>267</v>
      </c>
      <c r="E367" t="s">
        <v>333</v>
      </c>
      <c r="F367" t="s">
        <v>289</v>
      </c>
      <c r="G367">
        <v>6.3</v>
      </c>
      <c r="H367">
        <v>1</v>
      </c>
      <c r="I367" t="s">
        <v>278</v>
      </c>
      <c r="J367" t="s">
        <v>180</v>
      </c>
      <c r="K367" t="s">
        <v>180</v>
      </c>
      <c r="L367" t="s">
        <v>179</v>
      </c>
      <c r="M367" t="s">
        <v>180</v>
      </c>
      <c r="N367" t="s">
        <v>180</v>
      </c>
      <c r="O367" t="s">
        <v>180</v>
      </c>
      <c r="U367" t="s">
        <v>205</v>
      </c>
    </row>
    <row r="368" spans="1:21" x14ac:dyDescent="0.35">
      <c r="A368">
        <v>2024</v>
      </c>
      <c r="B368">
        <v>72</v>
      </c>
      <c r="C368" t="s">
        <v>267</v>
      </c>
      <c r="E368" t="s">
        <v>333</v>
      </c>
      <c r="F368" t="s">
        <v>299</v>
      </c>
      <c r="G368">
        <v>5.6</v>
      </c>
      <c r="H368">
        <v>1</v>
      </c>
      <c r="I368" t="s">
        <v>278</v>
      </c>
      <c r="J368" t="s">
        <v>180</v>
      </c>
      <c r="K368" t="s">
        <v>180</v>
      </c>
      <c r="L368" t="s">
        <v>180</v>
      </c>
      <c r="M368" t="s">
        <v>180</v>
      </c>
      <c r="N368" t="s">
        <v>180</v>
      </c>
      <c r="O368" t="s">
        <v>180</v>
      </c>
      <c r="U368" t="s">
        <v>205</v>
      </c>
    </row>
    <row r="369" spans="1:21" x14ac:dyDescent="0.35">
      <c r="A369">
        <v>2024</v>
      </c>
      <c r="B369">
        <v>72</v>
      </c>
      <c r="C369" t="s">
        <v>267</v>
      </c>
      <c r="E369" t="s">
        <v>333</v>
      </c>
      <c r="F369" t="s">
        <v>289</v>
      </c>
      <c r="G369">
        <v>3.4</v>
      </c>
      <c r="H369">
        <v>1</v>
      </c>
      <c r="I369" t="s">
        <v>278</v>
      </c>
      <c r="J369" t="s">
        <v>180</v>
      </c>
      <c r="K369" t="s">
        <v>180</v>
      </c>
      <c r="L369" t="s">
        <v>180</v>
      </c>
      <c r="M369" t="s">
        <v>180</v>
      </c>
      <c r="N369" t="s">
        <v>180</v>
      </c>
      <c r="O369" t="s">
        <v>180</v>
      </c>
      <c r="U369" t="s">
        <v>205</v>
      </c>
    </row>
    <row r="370" spans="1:21" x14ac:dyDescent="0.35">
      <c r="A370">
        <v>2024</v>
      </c>
      <c r="B370">
        <v>72</v>
      </c>
      <c r="C370" t="s">
        <v>267</v>
      </c>
      <c r="E370" t="s">
        <v>333</v>
      </c>
      <c r="F370" t="s">
        <v>289</v>
      </c>
      <c r="G370">
        <v>2.8</v>
      </c>
      <c r="H370">
        <v>1</v>
      </c>
      <c r="I370" t="s">
        <v>275</v>
      </c>
      <c r="J370" t="s">
        <v>180</v>
      </c>
      <c r="K370" t="s">
        <v>180</v>
      </c>
      <c r="L370" t="s">
        <v>180</v>
      </c>
      <c r="M370" t="s">
        <v>180</v>
      </c>
      <c r="N370" t="s">
        <v>180</v>
      </c>
      <c r="O370" t="s">
        <v>180</v>
      </c>
      <c r="U370" t="s">
        <v>205</v>
      </c>
    </row>
    <row r="371" spans="1:21" x14ac:dyDescent="0.35">
      <c r="A371">
        <v>2024</v>
      </c>
      <c r="B371">
        <v>72</v>
      </c>
      <c r="C371" t="s">
        <v>267</v>
      </c>
      <c r="E371" t="s">
        <v>333</v>
      </c>
      <c r="F371" t="s">
        <v>289</v>
      </c>
      <c r="G371">
        <v>5.5</v>
      </c>
      <c r="H371">
        <v>1</v>
      </c>
      <c r="I371" t="s">
        <v>278</v>
      </c>
      <c r="J371" t="s">
        <v>180</v>
      </c>
      <c r="K371" t="s">
        <v>180</v>
      </c>
      <c r="L371" t="s">
        <v>179</v>
      </c>
      <c r="M371" t="s">
        <v>179</v>
      </c>
      <c r="N371" t="s">
        <v>180</v>
      </c>
      <c r="O371" t="s">
        <v>180</v>
      </c>
      <c r="U371" t="s">
        <v>301</v>
      </c>
    </row>
    <row r="372" spans="1:21" x14ac:dyDescent="0.35">
      <c r="A372">
        <v>2024</v>
      </c>
      <c r="B372">
        <v>72</v>
      </c>
      <c r="C372" t="s">
        <v>267</v>
      </c>
      <c r="E372" t="s">
        <v>333</v>
      </c>
      <c r="F372" t="s">
        <v>289</v>
      </c>
      <c r="G372">
        <v>3.6</v>
      </c>
      <c r="H372">
        <v>5</v>
      </c>
      <c r="I372" t="s">
        <v>275</v>
      </c>
      <c r="J372" t="s">
        <v>180</v>
      </c>
      <c r="K372" t="s">
        <v>180</v>
      </c>
      <c r="L372" t="s">
        <v>179</v>
      </c>
      <c r="M372" t="s">
        <v>180</v>
      </c>
      <c r="N372" t="s">
        <v>180</v>
      </c>
      <c r="O372" t="s">
        <v>180</v>
      </c>
      <c r="U372" t="s">
        <v>205</v>
      </c>
    </row>
    <row r="373" spans="1:21" x14ac:dyDescent="0.35">
      <c r="A373">
        <v>2024</v>
      </c>
      <c r="B373">
        <v>72</v>
      </c>
      <c r="C373" t="s">
        <v>267</v>
      </c>
      <c r="E373" t="s">
        <v>333</v>
      </c>
      <c r="F373" t="s">
        <v>289</v>
      </c>
      <c r="G373">
        <v>4.4000000000000004</v>
      </c>
      <c r="H373">
        <v>5</v>
      </c>
      <c r="I373" t="s">
        <v>275</v>
      </c>
      <c r="J373" t="s">
        <v>180</v>
      </c>
      <c r="K373" t="s">
        <v>180</v>
      </c>
      <c r="L373" t="s">
        <v>179</v>
      </c>
      <c r="M373" t="s">
        <v>179</v>
      </c>
      <c r="N373" t="s">
        <v>180</v>
      </c>
      <c r="O373" t="s">
        <v>180</v>
      </c>
      <c r="U373" t="s">
        <v>301</v>
      </c>
    </row>
    <row r="374" spans="1:21" x14ac:dyDescent="0.35">
      <c r="A374">
        <v>2024</v>
      </c>
      <c r="B374">
        <v>72</v>
      </c>
      <c r="C374" t="s">
        <v>267</v>
      </c>
      <c r="E374" t="s">
        <v>333</v>
      </c>
      <c r="F374" t="s">
        <v>289</v>
      </c>
      <c r="G374">
        <v>8.4</v>
      </c>
      <c r="H374">
        <v>1</v>
      </c>
      <c r="I374" t="s">
        <v>278</v>
      </c>
      <c r="J374" t="s">
        <v>180</v>
      </c>
      <c r="K374" t="s">
        <v>180</v>
      </c>
      <c r="L374" t="s">
        <v>180</v>
      </c>
      <c r="M374" t="s">
        <v>180</v>
      </c>
      <c r="N374" t="s">
        <v>180</v>
      </c>
      <c r="O374" t="s">
        <v>180</v>
      </c>
      <c r="U374" t="s">
        <v>205</v>
      </c>
    </row>
    <row r="375" spans="1:21" x14ac:dyDescent="0.35">
      <c r="A375">
        <v>2024</v>
      </c>
      <c r="B375">
        <v>72</v>
      </c>
      <c r="C375" t="s">
        <v>267</v>
      </c>
      <c r="E375" t="s">
        <v>333</v>
      </c>
      <c r="F375" t="s">
        <v>289</v>
      </c>
      <c r="G375">
        <v>5.5</v>
      </c>
      <c r="H375">
        <v>2</v>
      </c>
      <c r="I375" t="s">
        <v>278</v>
      </c>
      <c r="J375" t="s">
        <v>180</v>
      </c>
      <c r="K375" t="s">
        <v>180</v>
      </c>
      <c r="L375" t="s">
        <v>180</v>
      </c>
      <c r="M375" t="s">
        <v>179</v>
      </c>
      <c r="N375" t="s">
        <v>180</v>
      </c>
      <c r="O375" t="s">
        <v>180</v>
      </c>
      <c r="U375" t="s">
        <v>301</v>
      </c>
    </row>
    <row r="376" spans="1:21" x14ac:dyDescent="0.35">
      <c r="A376">
        <v>2024</v>
      </c>
      <c r="B376">
        <v>72</v>
      </c>
      <c r="C376" t="s">
        <v>267</v>
      </c>
      <c r="E376" t="s">
        <v>333</v>
      </c>
      <c r="F376" t="s">
        <v>298</v>
      </c>
      <c r="G376">
        <v>2.8</v>
      </c>
      <c r="H376">
        <v>5</v>
      </c>
      <c r="I376" t="s">
        <v>275</v>
      </c>
      <c r="J376" t="s">
        <v>180</v>
      </c>
      <c r="K376" t="s">
        <v>180</v>
      </c>
      <c r="L376" t="s">
        <v>179</v>
      </c>
      <c r="M376" t="s">
        <v>179</v>
      </c>
      <c r="N376" t="s">
        <v>180</v>
      </c>
      <c r="O376" t="s">
        <v>180</v>
      </c>
      <c r="U376" t="s">
        <v>301</v>
      </c>
    </row>
    <row r="377" spans="1:21" x14ac:dyDescent="0.35">
      <c r="A377">
        <v>2024</v>
      </c>
      <c r="B377">
        <v>72</v>
      </c>
      <c r="C377" t="s">
        <v>267</v>
      </c>
      <c r="E377" t="s">
        <v>333</v>
      </c>
      <c r="F377" t="s">
        <v>289</v>
      </c>
      <c r="G377">
        <v>7.2</v>
      </c>
      <c r="H377">
        <v>2</v>
      </c>
      <c r="I377" t="s">
        <v>278</v>
      </c>
      <c r="J377" t="s">
        <v>180</v>
      </c>
      <c r="K377" t="s">
        <v>180</v>
      </c>
      <c r="L377" t="s">
        <v>179</v>
      </c>
      <c r="M377" t="s">
        <v>179</v>
      </c>
      <c r="N377" t="s">
        <v>180</v>
      </c>
      <c r="O377" t="s">
        <v>180</v>
      </c>
      <c r="U377" t="s">
        <v>301</v>
      </c>
    </row>
    <row r="378" spans="1:21" x14ac:dyDescent="0.35">
      <c r="A378">
        <v>2024</v>
      </c>
      <c r="B378">
        <v>72</v>
      </c>
      <c r="C378" t="s">
        <v>267</v>
      </c>
      <c r="E378" t="s">
        <v>333</v>
      </c>
      <c r="F378" t="s">
        <v>289</v>
      </c>
      <c r="G378">
        <v>6.6</v>
      </c>
      <c r="H378">
        <v>4</v>
      </c>
      <c r="I378" t="s">
        <v>275</v>
      </c>
      <c r="J378" t="s">
        <v>180</v>
      </c>
      <c r="K378" t="s">
        <v>179</v>
      </c>
      <c r="L378" t="s">
        <v>179</v>
      </c>
      <c r="M378" t="s">
        <v>179</v>
      </c>
      <c r="N378" t="s">
        <v>180</v>
      </c>
      <c r="O378" t="s">
        <v>179</v>
      </c>
      <c r="U378" t="s">
        <v>301</v>
      </c>
    </row>
    <row r="379" spans="1:21" x14ac:dyDescent="0.35">
      <c r="A379">
        <v>2024</v>
      </c>
      <c r="B379">
        <v>72</v>
      </c>
      <c r="C379" t="s">
        <v>277</v>
      </c>
      <c r="E379" t="s">
        <v>333</v>
      </c>
      <c r="F379" t="s">
        <v>289</v>
      </c>
      <c r="G379">
        <v>5.5</v>
      </c>
      <c r="H379">
        <v>5</v>
      </c>
      <c r="I379" t="s">
        <v>278</v>
      </c>
      <c r="J379" t="s">
        <v>180</v>
      </c>
      <c r="K379" t="s">
        <v>179</v>
      </c>
      <c r="L379" t="s">
        <v>180</v>
      </c>
      <c r="M379" t="s">
        <v>179</v>
      </c>
      <c r="N379" t="s">
        <v>179</v>
      </c>
      <c r="O379" t="s">
        <v>180</v>
      </c>
      <c r="S379" t="s">
        <v>375</v>
      </c>
      <c r="U379" t="s">
        <v>325</v>
      </c>
    </row>
    <row r="380" spans="1:21" x14ac:dyDescent="0.35">
      <c r="A380">
        <v>2024</v>
      </c>
      <c r="B380">
        <v>72</v>
      </c>
      <c r="C380" t="s">
        <v>273</v>
      </c>
      <c r="E380" t="s">
        <v>333</v>
      </c>
      <c r="F380" t="s">
        <v>289</v>
      </c>
      <c r="G380">
        <v>2.7</v>
      </c>
      <c r="H380">
        <v>1</v>
      </c>
      <c r="I380" t="s">
        <v>278</v>
      </c>
      <c r="J380" t="s">
        <v>180</v>
      </c>
      <c r="K380" t="s">
        <v>180</v>
      </c>
      <c r="L380" t="s">
        <v>179</v>
      </c>
      <c r="M380" t="s">
        <v>180</v>
      </c>
      <c r="N380" t="s">
        <v>180</v>
      </c>
      <c r="O380" t="s">
        <v>180</v>
      </c>
      <c r="U380" t="s">
        <v>205</v>
      </c>
    </row>
    <row r="381" spans="1:21" x14ac:dyDescent="0.35">
      <c r="A381">
        <v>2024</v>
      </c>
      <c r="B381">
        <v>72</v>
      </c>
      <c r="C381" t="s">
        <v>273</v>
      </c>
      <c r="E381" t="s">
        <v>333</v>
      </c>
      <c r="F381" t="s">
        <v>289</v>
      </c>
      <c r="G381">
        <v>5.2</v>
      </c>
      <c r="H381">
        <v>1</v>
      </c>
      <c r="I381" t="s">
        <v>278</v>
      </c>
      <c r="J381" t="s">
        <v>180</v>
      </c>
      <c r="K381" t="s">
        <v>180</v>
      </c>
      <c r="L381" t="s">
        <v>179</v>
      </c>
      <c r="M381" t="s">
        <v>180</v>
      </c>
      <c r="N381" t="s">
        <v>180</v>
      </c>
      <c r="O381" t="s">
        <v>180</v>
      </c>
      <c r="U381" t="s">
        <v>205</v>
      </c>
    </row>
    <row r="382" spans="1:21" s="11" customFormat="1" x14ac:dyDescent="0.35">
      <c r="A382">
        <v>2024</v>
      </c>
      <c r="B382" s="11">
        <v>60</v>
      </c>
      <c r="C382" s="11" t="s">
        <v>273</v>
      </c>
      <c r="E382" s="11" t="s">
        <v>333</v>
      </c>
      <c r="F382" s="11" t="s">
        <v>268</v>
      </c>
      <c r="G382" s="11">
        <v>2.5</v>
      </c>
      <c r="H382" s="11">
        <v>1</v>
      </c>
      <c r="I382" s="11" t="s">
        <v>275</v>
      </c>
      <c r="J382" s="11" t="s">
        <v>180</v>
      </c>
      <c r="K382" s="11" t="s">
        <v>180</v>
      </c>
      <c r="L382" s="11" t="s">
        <v>179</v>
      </c>
      <c r="M382" s="11" t="s">
        <v>180</v>
      </c>
      <c r="N382" s="11" t="s">
        <v>180</v>
      </c>
      <c r="O382" s="11" t="s">
        <v>180</v>
      </c>
      <c r="U382" s="11" t="s">
        <v>205</v>
      </c>
    </row>
    <row r="383" spans="1:21" x14ac:dyDescent="0.35">
      <c r="A383">
        <v>2024</v>
      </c>
      <c r="B383">
        <v>60</v>
      </c>
      <c r="C383" t="s">
        <v>267</v>
      </c>
      <c r="E383" t="s">
        <v>333</v>
      </c>
      <c r="F383" t="s">
        <v>298</v>
      </c>
      <c r="G383">
        <v>2.7</v>
      </c>
      <c r="H383">
        <v>5</v>
      </c>
      <c r="I383" t="s">
        <v>275</v>
      </c>
      <c r="J383" t="s">
        <v>180</v>
      </c>
      <c r="K383" t="s">
        <v>180</v>
      </c>
      <c r="L383" t="s">
        <v>179</v>
      </c>
      <c r="M383" t="s">
        <v>180</v>
      </c>
      <c r="N383" t="s">
        <v>180</v>
      </c>
      <c r="O383" t="s">
        <v>180</v>
      </c>
      <c r="U383" t="s">
        <v>205</v>
      </c>
    </row>
    <row r="384" spans="1:21" x14ac:dyDescent="0.35">
      <c r="A384">
        <v>2024</v>
      </c>
      <c r="B384">
        <v>60</v>
      </c>
      <c r="C384" t="s">
        <v>267</v>
      </c>
      <c r="E384" t="s">
        <v>333</v>
      </c>
      <c r="F384" t="s">
        <v>268</v>
      </c>
      <c r="G384">
        <v>2.7</v>
      </c>
      <c r="H384">
        <v>1</v>
      </c>
      <c r="I384" t="s">
        <v>275</v>
      </c>
      <c r="J384" t="s">
        <v>180</v>
      </c>
      <c r="K384" t="s">
        <v>180</v>
      </c>
      <c r="L384" t="s">
        <v>180</v>
      </c>
      <c r="M384" t="s">
        <v>180</v>
      </c>
      <c r="N384" t="s">
        <v>180</v>
      </c>
      <c r="O384" t="s">
        <v>180</v>
      </c>
      <c r="U384" t="s">
        <v>205</v>
      </c>
    </row>
    <row r="385" spans="1:21" x14ac:dyDescent="0.35">
      <c r="A385">
        <v>2024</v>
      </c>
      <c r="B385">
        <v>60</v>
      </c>
      <c r="C385" t="s">
        <v>273</v>
      </c>
      <c r="D385">
        <v>5</v>
      </c>
      <c r="E385" t="s">
        <v>297</v>
      </c>
      <c r="F385" t="s">
        <v>268</v>
      </c>
      <c r="G385">
        <v>2.6</v>
      </c>
      <c r="H385">
        <v>1</v>
      </c>
      <c r="I385" t="s">
        <v>275</v>
      </c>
      <c r="J385" t="s">
        <v>180</v>
      </c>
      <c r="K385" t="s">
        <v>180</v>
      </c>
      <c r="L385" t="s">
        <v>180</v>
      </c>
      <c r="M385" t="s">
        <v>180</v>
      </c>
      <c r="N385" t="s">
        <v>180</v>
      </c>
      <c r="O385" t="s">
        <v>180</v>
      </c>
      <c r="R385" t="s">
        <v>376</v>
      </c>
      <c r="U385" t="s">
        <v>205</v>
      </c>
    </row>
    <row r="386" spans="1:21" s="11" customFormat="1" x14ac:dyDescent="0.35">
      <c r="A386">
        <v>2024</v>
      </c>
      <c r="B386" s="11">
        <v>72</v>
      </c>
      <c r="C386" s="11" t="s">
        <v>273</v>
      </c>
      <c r="D386" s="11">
        <v>62</v>
      </c>
      <c r="E386" s="11">
        <v>11.78</v>
      </c>
      <c r="F386" s="11" t="s">
        <v>289</v>
      </c>
      <c r="G386" s="11">
        <v>11.4</v>
      </c>
      <c r="H386" s="11">
        <v>2</v>
      </c>
      <c r="I386" s="11" t="s">
        <v>278</v>
      </c>
      <c r="J386" s="11" t="s">
        <v>180</v>
      </c>
      <c r="K386" s="11" t="s">
        <v>180</v>
      </c>
      <c r="L386" s="11" t="s">
        <v>180</v>
      </c>
      <c r="M386" s="11" t="s">
        <v>179</v>
      </c>
      <c r="N386" s="11" t="s">
        <v>180</v>
      </c>
      <c r="O386" s="11" t="s">
        <v>180</v>
      </c>
      <c r="S386" s="11" t="s">
        <v>377</v>
      </c>
      <c r="U386" s="11" t="s">
        <v>301</v>
      </c>
    </row>
    <row r="387" spans="1:21" x14ac:dyDescent="0.35">
      <c r="A387">
        <v>2024</v>
      </c>
      <c r="B387">
        <v>72</v>
      </c>
      <c r="C387" t="s">
        <v>273</v>
      </c>
      <c r="D387">
        <v>78</v>
      </c>
      <c r="E387">
        <v>18.54</v>
      </c>
      <c r="F387" t="s">
        <v>289</v>
      </c>
      <c r="G387">
        <v>10.3</v>
      </c>
      <c r="H387">
        <v>1</v>
      </c>
      <c r="I387" t="s">
        <v>275</v>
      </c>
      <c r="J387" t="s">
        <v>180</v>
      </c>
      <c r="K387" t="s">
        <v>180</v>
      </c>
      <c r="L387" t="s">
        <v>180</v>
      </c>
      <c r="M387" t="s">
        <v>179</v>
      </c>
      <c r="N387" t="s">
        <v>180</v>
      </c>
      <c r="O387" t="s">
        <v>180</v>
      </c>
      <c r="S387" t="s">
        <v>378</v>
      </c>
      <c r="U387" t="s">
        <v>325</v>
      </c>
    </row>
    <row r="388" spans="1:21" x14ac:dyDescent="0.35">
      <c r="A388">
        <v>2024</v>
      </c>
      <c r="B388">
        <v>72</v>
      </c>
      <c r="C388" t="s">
        <v>292</v>
      </c>
      <c r="D388">
        <v>118</v>
      </c>
      <c r="E388">
        <v>11.54</v>
      </c>
      <c r="F388" t="s">
        <v>289</v>
      </c>
      <c r="G388">
        <v>11.1</v>
      </c>
      <c r="H388">
        <v>1</v>
      </c>
      <c r="I388" t="s">
        <v>278</v>
      </c>
      <c r="J388" t="s">
        <v>180</v>
      </c>
      <c r="K388" t="s">
        <v>180</v>
      </c>
      <c r="L388" t="s">
        <v>180</v>
      </c>
      <c r="M388" t="s">
        <v>180</v>
      </c>
      <c r="N388" t="s">
        <v>180</v>
      </c>
      <c r="O388" t="s">
        <v>180</v>
      </c>
      <c r="U388" t="s">
        <v>205</v>
      </c>
    </row>
    <row r="389" spans="1:21" x14ac:dyDescent="0.35">
      <c r="A389">
        <v>2024</v>
      </c>
      <c r="B389">
        <v>72</v>
      </c>
      <c r="C389" t="s">
        <v>292</v>
      </c>
      <c r="D389">
        <v>122</v>
      </c>
      <c r="E389">
        <v>17.38</v>
      </c>
      <c r="F389" t="s">
        <v>299</v>
      </c>
      <c r="G389">
        <v>10.6</v>
      </c>
      <c r="H389">
        <v>1</v>
      </c>
      <c r="I389" t="s">
        <v>278</v>
      </c>
      <c r="J389" t="s">
        <v>180</v>
      </c>
      <c r="K389" t="s">
        <v>180</v>
      </c>
      <c r="L389" t="s">
        <v>179</v>
      </c>
      <c r="M389" t="s">
        <v>180</v>
      </c>
      <c r="N389" t="s">
        <v>180</v>
      </c>
      <c r="O389" t="s">
        <v>180</v>
      </c>
      <c r="S389" t="s">
        <v>379</v>
      </c>
      <c r="U389" t="s">
        <v>205</v>
      </c>
    </row>
    <row r="390" spans="1:21" x14ac:dyDescent="0.35">
      <c r="A390">
        <v>2024</v>
      </c>
      <c r="B390">
        <v>72</v>
      </c>
      <c r="C390" t="s">
        <v>292</v>
      </c>
      <c r="D390">
        <v>120</v>
      </c>
      <c r="E390">
        <v>20.74</v>
      </c>
      <c r="F390" t="s">
        <v>299</v>
      </c>
      <c r="G390">
        <v>14.2</v>
      </c>
      <c r="H390">
        <v>1</v>
      </c>
      <c r="I390" t="s">
        <v>275</v>
      </c>
      <c r="J390" t="s">
        <v>180</v>
      </c>
      <c r="K390" t="s">
        <v>180</v>
      </c>
      <c r="L390" t="s">
        <v>180</v>
      </c>
      <c r="M390" t="s">
        <v>180</v>
      </c>
      <c r="N390" t="s">
        <v>180</v>
      </c>
      <c r="O390" t="s">
        <v>180</v>
      </c>
      <c r="U390" t="s">
        <v>205</v>
      </c>
    </row>
    <row r="391" spans="1:21" x14ac:dyDescent="0.35">
      <c r="A391">
        <v>2024</v>
      </c>
      <c r="B391">
        <v>80</v>
      </c>
      <c r="C391" t="s">
        <v>292</v>
      </c>
      <c r="D391">
        <v>165</v>
      </c>
      <c r="E391">
        <v>16.190000000000001</v>
      </c>
      <c r="F391" t="s">
        <v>268</v>
      </c>
      <c r="G391">
        <v>3.8</v>
      </c>
      <c r="H391">
        <v>1</v>
      </c>
      <c r="I391" t="s">
        <v>275</v>
      </c>
      <c r="J391" t="s">
        <v>180</v>
      </c>
      <c r="K391" t="s">
        <v>180</v>
      </c>
      <c r="L391" t="s">
        <v>180</v>
      </c>
      <c r="M391" t="s">
        <v>180</v>
      </c>
      <c r="N391" t="s">
        <v>180</v>
      </c>
      <c r="O391" t="s">
        <v>180</v>
      </c>
      <c r="R391" t="s">
        <v>380</v>
      </c>
      <c r="U391" t="s">
        <v>205</v>
      </c>
    </row>
    <row r="392" spans="1:21" x14ac:dyDescent="0.35">
      <c r="A392">
        <v>2024</v>
      </c>
      <c r="B392">
        <v>79</v>
      </c>
      <c r="C392" t="s">
        <v>296</v>
      </c>
      <c r="D392" t="s">
        <v>205</v>
      </c>
      <c r="E392" t="s">
        <v>205</v>
      </c>
      <c r="F392" t="s">
        <v>205</v>
      </c>
      <c r="G392" t="s">
        <v>205</v>
      </c>
      <c r="H392" t="s">
        <v>205</v>
      </c>
      <c r="I392" t="s">
        <v>205</v>
      </c>
      <c r="J392" t="s">
        <v>205</v>
      </c>
      <c r="K392" t="s">
        <v>205</v>
      </c>
      <c r="L392" t="s">
        <v>205</v>
      </c>
      <c r="M392" t="s">
        <v>205</v>
      </c>
      <c r="N392" t="s">
        <v>205</v>
      </c>
      <c r="O392" t="s">
        <v>205</v>
      </c>
      <c r="P392" t="s">
        <v>205</v>
      </c>
      <c r="Q392" t="s">
        <v>205</v>
      </c>
      <c r="R392" t="s">
        <v>205</v>
      </c>
      <c r="S392" t="s">
        <v>205</v>
      </c>
      <c r="T392" t="s">
        <v>205</v>
      </c>
      <c r="U392" t="s">
        <v>205</v>
      </c>
    </row>
    <row r="393" spans="1:21" x14ac:dyDescent="0.35">
      <c r="A393">
        <v>2024</v>
      </c>
      <c r="B393">
        <v>81</v>
      </c>
      <c r="C393" t="s">
        <v>296</v>
      </c>
      <c r="D393" t="s">
        <v>205</v>
      </c>
      <c r="E393" t="s">
        <v>205</v>
      </c>
      <c r="F393" t="s">
        <v>205</v>
      </c>
      <c r="G393" t="s">
        <v>205</v>
      </c>
      <c r="H393" t="s">
        <v>205</v>
      </c>
      <c r="I393" t="s">
        <v>205</v>
      </c>
      <c r="J393" t="s">
        <v>205</v>
      </c>
      <c r="K393" t="s">
        <v>205</v>
      </c>
      <c r="L393" t="s">
        <v>205</v>
      </c>
      <c r="M393" t="s">
        <v>205</v>
      </c>
      <c r="N393" t="s">
        <v>205</v>
      </c>
      <c r="O393" t="s">
        <v>205</v>
      </c>
      <c r="P393" t="s">
        <v>205</v>
      </c>
      <c r="Q393" t="s">
        <v>205</v>
      </c>
      <c r="R393" t="s">
        <v>205</v>
      </c>
      <c r="S393" t="s">
        <v>205</v>
      </c>
      <c r="T393" t="s">
        <v>205</v>
      </c>
      <c r="U393" t="s">
        <v>205</v>
      </c>
    </row>
    <row r="394" spans="1:21" x14ac:dyDescent="0.35">
      <c r="A394">
        <v>2024</v>
      </c>
      <c r="B394">
        <v>10</v>
      </c>
      <c r="C394" t="s">
        <v>296</v>
      </c>
      <c r="D394" t="s">
        <v>205</v>
      </c>
      <c r="E394" t="s">
        <v>205</v>
      </c>
      <c r="F394" t="s">
        <v>205</v>
      </c>
      <c r="G394" t="s">
        <v>205</v>
      </c>
      <c r="H394" t="s">
        <v>205</v>
      </c>
      <c r="I394" t="s">
        <v>205</v>
      </c>
      <c r="J394" t="s">
        <v>205</v>
      </c>
      <c r="K394" t="s">
        <v>205</v>
      </c>
      <c r="L394" t="s">
        <v>205</v>
      </c>
      <c r="M394" t="s">
        <v>205</v>
      </c>
      <c r="N394" t="s">
        <v>205</v>
      </c>
      <c r="O394" t="s">
        <v>205</v>
      </c>
      <c r="P394" t="s">
        <v>205</v>
      </c>
      <c r="Q394" t="s">
        <v>205</v>
      </c>
      <c r="R394" t="s">
        <v>205</v>
      </c>
      <c r="S394" t="s">
        <v>205</v>
      </c>
      <c r="T394" t="s">
        <v>205</v>
      </c>
      <c r="U394" t="s">
        <v>205</v>
      </c>
    </row>
    <row r="395" spans="1:21" x14ac:dyDescent="0.35">
      <c r="A395">
        <v>2024</v>
      </c>
      <c r="B395">
        <v>11</v>
      </c>
      <c r="C395" t="s">
        <v>296</v>
      </c>
      <c r="D395" t="s">
        <v>205</v>
      </c>
      <c r="E395" t="s">
        <v>205</v>
      </c>
      <c r="F395" t="s">
        <v>205</v>
      </c>
      <c r="G395" t="s">
        <v>205</v>
      </c>
      <c r="H395" t="s">
        <v>205</v>
      </c>
      <c r="I395" t="s">
        <v>205</v>
      </c>
      <c r="J395" t="s">
        <v>205</v>
      </c>
      <c r="K395" t="s">
        <v>205</v>
      </c>
      <c r="L395" t="s">
        <v>205</v>
      </c>
      <c r="M395" t="s">
        <v>205</v>
      </c>
      <c r="N395" t="s">
        <v>205</v>
      </c>
      <c r="O395" t="s">
        <v>205</v>
      </c>
      <c r="P395" t="s">
        <v>205</v>
      </c>
      <c r="Q395" t="s">
        <v>205</v>
      </c>
      <c r="R395" t="s">
        <v>205</v>
      </c>
      <c r="S395" t="s">
        <v>205</v>
      </c>
      <c r="T395" t="s">
        <v>205</v>
      </c>
      <c r="U395" t="s">
        <v>205</v>
      </c>
    </row>
    <row r="396" spans="1:21" x14ac:dyDescent="0.35">
      <c r="A396">
        <v>2024</v>
      </c>
      <c r="B396">
        <v>12</v>
      </c>
      <c r="C396" t="s">
        <v>296</v>
      </c>
      <c r="D396" t="s">
        <v>205</v>
      </c>
      <c r="E396" t="s">
        <v>205</v>
      </c>
      <c r="F396" t="s">
        <v>205</v>
      </c>
      <c r="G396" t="s">
        <v>205</v>
      </c>
      <c r="H396" t="s">
        <v>205</v>
      </c>
      <c r="I396" t="s">
        <v>205</v>
      </c>
      <c r="J396" t="s">
        <v>205</v>
      </c>
      <c r="K396" t="s">
        <v>205</v>
      </c>
      <c r="L396" t="s">
        <v>205</v>
      </c>
      <c r="M396" t="s">
        <v>205</v>
      </c>
      <c r="N396" t="s">
        <v>205</v>
      </c>
      <c r="O396" t="s">
        <v>205</v>
      </c>
      <c r="P396" t="s">
        <v>205</v>
      </c>
      <c r="Q396" t="s">
        <v>205</v>
      </c>
      <c r="R396" t="s">
        <v>205</v>
      </c>
      <c r="S396" t="s">
        <v>205</v>
      </c>
      <c r="T396" t="s">
        <v>205</v>
      </c>
      <c r="U396" t="s">
        <v>205</v>
      </c>
    </row>
    <row r="397" spans="1:21" x14ac:dyDescent="0.35">
      <c r="A397">
        <v>2024</v>
      </c>
      <c r="B397">
        <v>5</v>
      </c>
      <c r="C397" t="s">
        <v>298</v>
      </c>
      <c r="D397" t="s">
        <v>381</v>
      </c>
      <c r="E397" t="s">
        <v>382</v>
      </c>
      <c r="F397" t="s">
        <v>314</v>
      </c>
      <c r="G397">
        <v>2.9</v>
      </c>
      <c r="H397">
        <v>1</v>
      </c>
      <c r="I397" t="s">
        <v>275</v>
      </c>
      <c r="J397" t="s">
        <v>180</v>
      </c>
      <c r="K397" t="s">
        <v>180</v>
      </c>
      <c r="L397" t="s">
        <v>179</v>
      </c>
      <c r="M397" t="s">
        <v>180</v>
      </c>
      <c r="N397" t="s">
        <v>180</v>
      </c>
      <c r="O397" t="s">
        <v>180</v>
      </c>
      <c r="S397" t="s">
        <v>383</v>
      </c>
      <c r="U397" t="s">
        <v>205</v>
      </c>
    </row>
    <row r="398" spans="1:21" x14ac:dyDescent="0.35">
      <c r="A398">
        <v>2024</v>
      </c>
      <c r="B398">
        <v>5</v>
      </c>
      <c r="C398" t="s">
        <v>298</v>
      </c>
      <c r="D398" t="s">
        <v>381</v>
      </c>
      <c r="E398" t="s">
        <v>382</v>
      </c>
      <c r="F398" t="s">
        <v>314</v>
      </c>
      <c r="G398">
        <v>8.6999999999999993</v>
      </c>
      <c r="H398">
        <v>3</v>
      </c>
      <c r="I398" t="s">
        <v>278</v>
      </c>
      <c r="J398" t="s">
        <v>180</v>
      </c>
      <c r="K398" t="s">
        <v>180</v>
      </c>
      <c r="L398" t="s">
        <v>179</v>
      </c>
      <c r="M398" t="s">
        <v>180</v>
      </c>
      <c r="N398" t="s">
        <v>180</v>
      </c>
      <c r="O398" t="s">
        <v>180</v>
      </c>
      <c r="S398" t="s">
        <v>384</v>
      </c>
      <c r="U398" t="s">
        <v>205</v>
      </c>
    </row>
    <row r="399" spans="1:21" x14ac:dyDescent="0.35">
      <c r="A399">
        <v>2024</v>
      </c>
      <c r="B399">
        <v>15</v>
      </c>
      <c r="C399" t="s">
        <v>296</v>
      </c>
      <c r="D399" t="s">
        <v>205</v>
      </c>
      <c r="E399" t="s">
        <v>205</v>
      </c>
      <c r="F399" t="s">
        <v>205</v>
      </c>
      <c r="G399" t="s">
        <v>205</v>
      </c>
      <c r="H399" t="s">
        <v>205</v>
      </c>
      <c r="I399" t="s">
        <v>205</v>
      </c>
      <c r="J399" t="s">
        <v>205</v>
      </c>
      <c r="K399" t="s">
        <v>205</v>
      </c>
      <c r="L399" t="s">
        <v>205</v>
      </c>
      <c r="M399" t="s">
        <v>205</v>
      </c>
      <c r="N399" t="s">
        <v>205</v>
      </c>
      <c r="O399" t="s">
        <v>205</v>
      </c>
      <c r="P399" t="s">
        <v>205</v>
      </c>
      <c r="Q399" t="s">
        <v>205</v>
      </c>
      <c r="R399" t="s">
        <v>205</v>
      </c>
      <c r="S399" t="s">
        <v>205</v>
      </c>
      <c r="T399" t="s">
        <v>205</v>
      </c>
      <c r="U399" t="s">
        <v>205</v>
      </c>
    </row>
    <row r="400" spans="1:21" x14ac:dyDescent="0.35">
      <c r="A400">
        <v>2024</v>
      </c>
      <c r="B400">
        <v>13</v>
      </c>
      <c r="C400" t="s">
        <v>296</v>
      </c>
      <c r="D400" t="s">
        <v>205</v>
      </c>
      <c r="E400" t="s">
        <v>205</v>
      </c>
      <c r="F400" t="s">
        <v>205</v>
      </c>
      <c r="G400" t="s">
        <v>205</v>
      </c>
      <c r="H400" t="s">
        <v>205</v>
      </c>
      <c r="I400" t="s">
        <v>205</v>
      </c>
      <c r="J400" t="s">
        <v>205</v>
      </c>
      <c r="K400" t="s">
        <v>205</v>
      </c>
      <c r="L400" t="s">
        <v>205</v>
      </c>
      <c r="M400" t="s">
        <v>205</v>
      </c>
      <c r="N400" t="s">
        <v>205</v>
      </c>
      <c r="O400" t="s">
        <v>205</v>
      </c>
      <c r="P400" t="s">
        <v>205</v>
      </c>
      <c r="Q400" t="s">
        <v>205</v>
      </c>
      <c r="R400" t="s">
        <v>205</v>
      </c>
      <c r="S400" t="s">
        <v>205</v>
      </c>
      <c r="T400" t="s">
        <v>205</v>
      </c>
      <c r="U400" t="s">
        <v>205</v>
      </c>
    </row>
    <row r="401" spans="1:21" x14ac:dyDescent="0.35">
      <c r="A401">
        <v>2024</v>
      </c>
      <c r="B401">
        <v>14</v>
      </c>
      <c r="C401" t="s">
        <v>296</v>
      </c>
      <c r="D401" t="s">
        <v>205</v>
      </c>
      <c r="E401" t="s">
        <v>205</v>
      </c>
      <c r="F401" t="s">
        <v>205</v>
      </c>
      <c r="G401" t="s">
        <v>205</v>
      </c>
      <c r="H401" t="s">
        <v>205</v>
      </c>
      <c r="I401" t="s">
        <v>205</v>
      </c>
      <c r="J401" t="s">
        <v>205</v>
      </c>
      <c r="K401" t="s">
        <v>205</v>
      </c>
      <c r="L401" t="s">
        <v>205</v>
      </c>
      <c r="M401" t="s">
        <v>205</v>
      </c>
      <c r="N401" t="s">
        <v>205</v>
      </c>
      <c r="O401" t="s">
        <v>205</v>
      </c>
      <c r="P401" t="s">
        <v>205</v>
      </c>
      <c r="Q401" t="s">
        <v>205</v>
      </c>
      <c r="R401" t="s">
        <v>205</v>
      </c>
      <c r="S401" t="s">
        <v>205</v>
      </c>
      <c r="T401" t="s">
        <v>205</v>
      </c>
      <c r="U401" t="s">
        <v>205</v>
      </c>
    </row>
    <row r="402" spans="1:21" x14ac:dyDescent="0.35">
      <c r="A402">
        <v>2024</v>
      </c>
      <c r="B402">
        <v>7</v>
      </c>
      <c r="C402" t="s">
        <v>296</v>
      </c>
      <c r="D402" t="s">
        <v>205</v>
      </c>
      <c r="E402" t="s">
        <v>205</v>
      </c>
      <c r="F402" t="s">
        <v>205</v>
      </c>
      <c r="G402" t="s">
        <v>205</v>
      </c>
      <c r="H402" t="s">
        <v>205</v>
      </c>
      <c r="I402" t="s">
        <v>205</v>
      </c>
      <c r="J402" t="s">
        <v>205</v>
      </c>
      <c r="K402" t="s">
        <v>205</v>
      </c>
      <c r="L402" t="s">
        <v>205</v>
      </c>
      <c r="M402" t="s">
        <v>205</v>
      </c>
      <c r="N402" t="s">
        <v>205</v>
      </c>
      <c r="O402" t="s">
        <v>205</v>
      </c>
      <c r="P402" t="s">
        <v>205</v>
      </c>
      <c r="Q402" t="s">
        <v>205</v>
      </c>
      <c r="R402" t="s">
        <v>205</v>
      </c>
      <c r="S402" t="s">
        <v>205</v>
      </c>
      <c r="T402" t="s">
        <v>205</v>
      </c>
      <c r="U402" t="s">
        <v>205</v>
      </c>
    </row>
    <row r="403" spans="1:21" x14ac:dyDescent="0.35">
      <c r="A403">
        <v>2024</v>
      </c>
      <c r="B403">
        <v>9</v>
      </c>
      <c r="C403" t="s">
        <v>296</v>
      </c>
      <c r="D403" t="s">
        <v>205</v>
      </c>
      <c r="E403" t="s">
        <v>205</v>
      </c>
      <c r="F403" t="s">
        <v>205</v>
      </c>
      <c r="G403" t="s">
        <v>205</v>
      </c>
      <c r="H403" t="s">
        <v>205</v>
      </c>
      <c r="I403" t="s">
        <v>205</v>
      </c>
      <c r="J403" t="s">
        <v>205</v>
      </c>
      <c r="K403" t="s">
        <v>205</v>
      </c>
      <c r="L403" t="s">
        <v>205</v>
      </c>
      <c r="M403" t="s">
        <v>205</v>
      </c>
      <c r="N403" t="s">
        <v>205</v>
      </c>
      <c r="O403" t="s">
        <v>205</v>
      </c>
      <c r="P403" t="s">
        <v>205</v>
      </c>
      <c r="Q403" t="s">
        <v>205</v>
      </c>
      <c r="R403" t="s">
        <v>205</v>
      </c>
      <c r="S403" t="s">
        <v>205</v>
      </c>
      <c r="T403" t="s">
        <v>205</v>
      </c>
      <c r="U403" t="s">
        <v>205</v>
      </c>
    </row>
    <row r="404" spans="1:21" x14ac:dyDescent="0.35">
      <c r="A404">
        <v>2024</v>
      </c>
      <c r="B404">
        <v>8</v>
      </c>
      <c r="C404" t="s">
        <v>296</v>
      </c>
      <c r="D404" t="s">
        <v>205</v>
      </c>
      <c r="E404" t="s">
        <v>205</v>
      </c>
      <c r="F404" t="s">
        <v>205</v>
      </c>
      <c r="G404" t="s">
        <v>205</v>
      </c>
      <c r="H404" t="s">
        <v>205</v>
      </c>
      <c r="I404" t="s">
        <v>205</v>
      </c>
      <c r="J404" t="s">
        <v>205</v>
      </c>
      <c r="K404" t="s">
        <v>205</v>
      </c>
      <c r="L404" t="s">
        <v>205</v>
      </c>
      <c r="M404" t="s">
        <v>205</v>
      </c>
      <c r="N404" t="s">
        <v>205</v>
      </c>
      <c r="O404" t="s">
        <v>205</v>
      </c>
      <c r="P404" t="s">
        <v>205</v>
      </c>
      <c r="Q404" t="s">
        <v>205</v>
      </c>
      <c r="R404" t="s">
        <v>205</v>
      </c>
      <c r="S404" t="s">
        <v>205</v>
      </c>
      <c r="T404" t="s">
        <v>205</v>
      </c>
      <c r="U404" t="s">
        <v>205</v>
      </c>
    </row>
    <row r="405" spans="1:21" x14ac:dyDescent="0.35">
      <c r="A405">
        <v>2024</v>
      </c>
      <c r="B405">
        <v>21</v>
      </c>
      <c r="C405" t="s">
        <v>296</v>
      </c>
      <c r="D405" t="s">
        <v>205</v>
      </c>
      <c r="E405" t="s">
        <v>205</v>
      </c>
      <c r="F405" t="s">
        <v>205</v>
      </c>
      <c r="G405" t="s">
        <v>205</v>
      </c>
      <c r="H405" t="s">
        <v>205</v>
      </c>
      <c r="I405" t="s">
        <v>205</v>
      </c>
      <c r="J405" t="s">
        <v>205</v>
      </c>
      <c r="K405" t="s">
        <v>205</v>
      </c>
      <c r="L405" t="s">
        <v>205</v>
      </c>
      <c r="M405" t="s">
        <v>205</v>
      </c>
      <c r="N405" t="s">
        <v>205</v>
      </c>
      <c r="O405" t="s">
        <v>205</v>
      </c>
      <c r="P405" t="s">
        <v>205</v>
      </c>
      <c r="Q405" t="s">
        <v>205</v>
      </c>
      <c r="R405" t="s">
        <v>205</v>
      </c>
      <c r="S405" t="s">
        <v>205</v>
      </c>
      <c r="T405" t="s">
        <v>205</v>
      </c>
      <c r="U405" t="s">
        <v>205</v>
      </c>
    </row>
    <row r="406" spans="1:21" x14ac:dyDescent="0.35">
      <c r="A406">
        <v>2024</v>
      </c>
      <c r="B406">
        <v>19</v>
      </c>
      <c r="C406" t="s">
        <v>296</v>
      </c>
      <c r="D406" t="s">
        <v>205</v>
      </c>
      <c r="E406" t="s">
        <v>205</v>
      </c>
      <c r="F406" t="s">
        <v>205</v>
      </c>
      <c r="G406" t="s">
        <v>205</v>
      </c>
      <c r="H406" t="s">
        <v>205</v>
      </c>
      <c r="I406" t="s">
        <v>205</v>
      </c>
      <c r="J406" t="s">
        <v>205</v>
      </c>
      <c r="K406" t="s">
        <v>205</v>
      </c>
      <c r="L406" t="s">
        <v>205</v>
      </c>
      <c r="M406" t="s">
        <v>205</v>
      </c>
      <c r="N406" t="s">
        <v>205</v>
      </c>
      <c r="O406" t="s">
        <v>205</v>
      </c>
      <c r="P406" t="s">
        <v>205</v>
      </c>
      <c r="Q406" t="s">
        <v>205</v>
      </c>
      <c r="R406" t="s">
        <v>205</v>
      </c>
      <c r="S406" t="s">
        <v>205</v>
      </c>
      <c r="T406" t="s">
        <v>205</v>
      </c>
      <c r="U406" t="s">
        <v>205</v>
      </c>
    </row>
    <row r="407" spans="1:21" x14ac:dyDescent="0.35">
      <c r="A407">
        <v>2024</v>
      </c>
      <c r="B407">
        <v>20</v>
      </c>
      <c r="C407" t="s">
        <v>296</v>
      </c>
      <c r="D407" t="s">
        <v>205</v>
      </c>
      <c r="E407" t="s">
        <v>205</v>
      </c>
      <c r="F407" t="s">
        <v>205</v>
      </c>
      <c r="G407" t="s">
        <v>205</v>
      </c>
      <c r="H407" t="s">
        <v>205</v>
      </c>
      <c r="I407" t="s">
        <v>205</v>
      </c>
      <c r="J407" t="s">
        <v>205</v>
      </c>
      <c r="K407" t="s">
        <v>205</v>
      </c>
      <c r="L407" t="s">
        <v>205</v>
      </c>
      <c r="M407" t="s">
        <v>205</v>
      </c>
      <c r="N407" t="s">
        <v>205</v>
      </c>
      <c r="O407" t="s">
        <v>205</v>
      </c>
      <c r="P407" t="s">
        <v>205</v>
      </c>
      <c r="Q407" t="s">
        <v>205</v>
      </c>
      <c r="R407" t="s">
        <v>205</v>
      </c>
      <c r="S407" t="s">
        <v>205</v>
      </c>
      <c r="T407" t="s">
        <v>205</v>
      </c>
      <c r="U407" t="s">
        <v>205</v>
      </c>
    </row>
    <row r="408" spans="1:21" x14ac:dyDescent="0.35">
      <c r="A408">
        <v>2024</v>
      </c>
      <c r="B408">
        <v>62</v>
      </c>
      <c r="C408" t="s">
        <v>273</v>
      </c>
      <c r="E408" t="s">
        <v>333</v>
      </c>
      <c r="F408" t="s">
        <v>299</v>
      </c>
      <c r="G408">
        <v>5.0999999999999996</v>
      </c>
      <c r="H408">
        <v>1</v>
      </c>
      <c r="I408" t="s">
        <v>278</v>
      </c>
      <c r="J408" t="s">
        <v>180</v>
      </c>
      <c r="K408" t="s">
        <v>180</v>
      </c>
      <c r="L408" t="s">
        <v>179</v>
      </c>
      <c r="M408" t="s">
        <v>180</v>
      </c>
      <c r="N408" t="s">
        <v>179</v>
      </c>
      <c r="O408" t="s">
        <v>180</v>
      </c>
      <c r="U408" t="s">
        <v>205</v>
      </c>
    </row>
    <row r="409" spans="1:21" x14ac:dyDescent="0.35">
      <c r="A409">
        <v>2024</v>
      </c>
      <c r="B409">
        <v>62</v>
      </c>
      <c r="C409" t="s">
        <v>273</v>
      </c>
      <c r="E409" t="s">
        <v>333</v>
      </c>
      <c r="F409" t="s">
        <v>299</v>
      </c>
      <c r="G409">
        <v>4.5999999999999996</v>
      </c>
      <c r="H409">
        <v>2</v>
      </c>
      <c r="I409" t="s">
        <v>275</v>
      </c>
      <c r="J409" t="s">
        <v>180</v>
      </c>
      <c r="K409" t="s">
        <v>180</v>
      </c>
      <c r="L409" t="s">
        <v>179</v>
      </c>
      <c r="M409" t="s">
        <v>179</v>
      </c>
      <c r="N409" t="s">
        <v>179</v>
      </c>
      <c r="O409" t="s">
        <v>179</v>
      </c>
      <c r="U409" t="s">
        <v>301</v>
      </c>
    </row>
    <row r="410" spans="1:21" x14ac:dyDescent="0.35">
      <c r="A410">
        <v>2024</v>
      </c>
      <c r="B410">
        <v>62</v>
      </c>
      <c r="C410" t="s">
        <v>273</v>
      </c>
      <c r="E410" t="s">
        <v>333</v>
      </c>
      <c r="F410" t="s">
        <v>299</v>
      </c>
      <c r="G410">
        <v>2.9</v>
      </c>
      <c r="H410">
        <v>1</v>
      </c>
      <c r="I410" t="s">
        <v>275</v>
      </c>
      <c r="J410" t="s">
        <v>180</v>
      </c>
      <c r="K410" t="s">
        <v>180</v>
      </c>
      <c r="L410" t="s">
        <v>179</v>
      </c>
      <c r="M410" t="s">
        <v>179</v>
      </c>
      <c r="N410" t="s">
        <v>180</v>
      </c>
      <c r="O410" t="s">
        <v>180</v>
      </c>
      <c r="S410" t="s">
        <v>385</v>
      </c>
      <c r="U410" t="s">
        <v>301</v>
      </c>
    </row>
    <row r="411" spans="1:21" x14ac:dyDescent="0.35">
      <c r="A411">
        <v>2024</v>
      </c>
      <c r="B411">
        <v>62</v>
      </c>
      <c r="C411" t="s">
        <v>273</v>
      </c>
      <c r="E411" t="s">
        <v>333</v>
      </c>
      <c r="F411" t="s">
        <v>299</v>
      </c>
      <c r="G411">
        <v>4.2</v>
      </c>
      <c r="H411">
        <v>1</v>
      </c>
      <c r="I411" t="s">
        <v>275</v>
      </c>
      <c r="J411" t="s">
        <v>180</v>
      </c>
      <c r="K411" t="s">
        <v>180</v>
      </c>
      <c r="L411" t="s">
        <v>179</v>
      </c>
      <c r="M411" t="s">
        <v>180</v>
      </c>
      <c r="N411" t="s">
        <v>180</v>
      </c>
      <c r="O411" t="s">
        <v>180</v>
      </c>
      <c r="U411" t="s">
        <v>205</v>
      </c>
    </row>
    <row r="412" spans="1:21" x14ac:dyDescent="0.35">
      <c r="A412">
        <v>2024</v>
      </c>
      <c r="B412">
        <v>62</v>
      </c>
      <c r="C412" t="s">
        <v>273</v>
      </c>
      <c r="E412" t="s">
        <v>333</v>
      </c>
      <c r="F412" t="s">
        <v>299</v>
      </c>
      <c r="G412">
        <v>3.7</v>
      </c>
      <c r="H412">
        <v>1</v>
      </c>
      <c r="I412" t="s">
        <v>275</v>
      </c>
      <c r="J412" t="s">
        <v>180</v>
      </c>
      <c r="K412" t="s">
        <v>180</v>
      </c>
      <c r="L412" t="s">
        <v>179</v>
      </c>
      <c r="M412" t="s">
        <v>179</v>
      </c>
      <c r="N412" t="s">
        <v>179</v>
      </c>
      <c r="O412" t="s">
        <v>180</v>
      </c>
      <c r="U412" t="s">
        <v>301</v>
      </c>
    </row>
    <row r="413" spans="1:21" x14ac:dyDescent="0.35">
      <c r="A413">
        <v>2024</v>
      </c>
      <c r="B413">
        <v>62</v>
      </c>
      <c r="C413" t="s">
        <v>292</v>
      </c>
      <c r="E413" t="s">
        <v>333</v>
      </c>
      <c r="F413" t="s">
        <v>299</v>
      </c>
      <c r="G413">
        <v>3.1</v>
      </c>
      <c r="H413">
        <v>1</v>
      </c>
      <c r="I413" t="s">
        <v>275</v>
      </c>
      <c r="J413" t="s">
        <v>180</v>
      </c>
      <c r="K413" t="s">
        <v>180</v>
      </c>
      <c r="L413" t="s">
        <v>179</v>
      </c>
      <c r="M413" t="s">
        <v>180</v>
      </c>
      <c r="N413" t="s">
        <v>180</v>
      </c>
      <c r="O413" t="s">
        <v>180</v>
      </c>
      <c r="U413" t="s">
        <v>205</v>
      </c>
    </row>
    <row r="414" spans="1:21" x14ac:dyDescent="0.35">
      <c r="A414">
        <v>2024</v>
      </c>
      <c r="B414">
        <v>62</v>
      </c>
      <c r="C414" t="s">
        <v>267</v>
      </c>
      <c r="E414" t="s">
        <v>333</v>
      </c>
      <c r="F414" t="s">
        <v>298</v>
      </c>
      <c r="G414">
        <v>3.4</v>
      </c>
      <c r="H414">
        <v>5</v>
      </c>
      <c r="I414" t="s">
        <v>278</v>
      </c>
      <c r="J414" t="s">
        <v>180</v>
      </c>
      <c r="K414" t="s">
        <v>179</v>
      </c>
      <c r="L414" t="s">
        <v>179</v>
      </c>
      <c r="M414" t="s">
        <v>180</v>
      </c>
      <c r="N414" t="s">
        <v>179</v>
      </c>
      <c r="O414" t="s">
        <v>179</v>
      </c>
      <c r="U414" t="s">
        <v>205</v>
      </c>
    </row>
    <row r="415" spans="1:21" x14ac:dyDescent="0.35">
      <c r="A415">
        <v>2024</v>
      </c>
      <c r="B415">
        <v>62</v>
      </c>
      <c r="C415" t="s">
        <v>267</v>
      </c>
      <c r="E415" t="s">
        <v>333</v>
      </c>
      <c r="F415" t="s">
        <v>299</v>
      </c>
      <c r="G415">
        <v>3.5</v>
      </c>
      <c r="H415">
        <v>1</v>
      </c>
      <c r="I415" t="s">
        <v>275</v>
      </c>
      <c r="J415" t="s">
        <v>180</v>
      </c>
      <c r="K415" t="s">
        <v>180</v>
      </c>
      <c r="L415" t="s">
        <v>179</v>
      </c>
      <c r="M415" t="s">
        <v>180</v>
      </c>
      <c r="N415" t="s">
        <v>180</v>
      </c>
      <c r="O415" t="s">
        <v>180</v>
      </c>
      <c r="U415" t="s">
        <v>205</v>
      </c>
    </row>
    <row r="416" spans="1:21" x14ac:dyDescent="0.35">
      <c r="A416">
        <v>2024</v>
      </c>
      <c r="B416">
        <v>59</v>
      </c>
      <c r="C416" t="s">
        <v>267</v>
      </c>
      <c r="D416">
        <v>226</v>
      </c>
      <c r="E416">
        <v>9.5</v>
      </c>
      <c r="F416" t="s">
        <v>268</v>
      </c>
      <c r="G416">
        <v>1.4</v>
      </c>
      <c r="H416">
        <v>2</v>
      </c>
      <c r="I416" t="s">
        <v>275</v>
      </c>
      <c r="J416" t="s">
        <v>180</v>
      </c>
      <c r="K416" t="s">
        <v>180</v>
      </c>
      <c r="L416" t="s">
        <v>180</v>
      </c>
      <c r="M416" t="s">
        <v>180</v>
      </c>
      <c r="N416" t="s">
        <v>180</v>
      </c>
      <c r="O416" t="s">
        <v>180</v>
      </c>
      <c r="R416" t="s">
        <v>386</v>
      </c>
      <c r="S416" t="s">
        <v>387</v>
      </c>
      <c r="U416" t="s">
        <v>205</v>
      </c>
    </row>
    <row r="417" spans="1:21" x14ac:dyDescent="0.35">
      <c r="A417">
        <v>2024</v>
      </c>
      <c r="B417">
        <v>101</v>
      </c>
      <c r="C417" t="s">
        <v>296</v>
      </c>
      <c r="D417" t="s">
        <v>205</v>
      </c>
      <c r="E417" t="s">
        <v>205</v>
      </c>
      <c r="F417" t="s">
        <v>205</v>
      </c>
      <c r="G417" t="s">
        <v>205</v>
      </c>
      <c r="H417" t="s">
        <v>205</v>
      </c>
      <c r="I417" t="s">
        <v>205</v>
      </c>
      <c r="J417" t="s">
        <v>205</v>
      </c>
      <c r="K417" t="s">
        <v>205</v>
      </c>
      <c r="L417" t="s">
        <v>205</v>
      </c>
      <c r="M417" t="s">
        <v>205</v>
      </c>
      <c r="N417" t="s">
        <v>205</v>
      </c>
      <c r="O417" t="s">
        <v>205</v>
      </c>
      <c r="P417" t="s">
        <v>205</v>
      </c>
      <c r="Q417" t="s">
        <v>205</v>
      </c>
      <c r="R417" t="s">
        <v>205</v>
      </c>
      <c r="S417" t="s">
        <v>205</v>
      </c>
      <c r="T417" t="s">
        <v>205</v>
      </c>
      <c r="U417" t="s">
        <v>205</v>
      </c>
    </row>
    <row r="418" spans="1:21" s="11" customFormat="1" x14ac:dyDescent="0.35">
      <c r="A418">
        <v>2024</v>
      </c>
      <c r="B418" s="11">
        <v>22</v>
      </c>
      <c r="C418" s="11" t="s">
        <v>273</v>
      </c>
      <c r="D418" s="11">
        <v>0</v>
      </c>
      <c r="E418" s="11">
        <v>0.92</v>
      </c>
      <c r="F418" s="11" t="s">
        <v>289</v>
      </c>
      <c r="G418" s="11">
        <v>4</v>
      </c>
      <c r="H418" s="11">
        <v>3</v>
      </c>
      <c r="I418" s="11" t="s">
        <v>275</v>
      </c>
      <c r="J418" s="11" t="s">
        <v>180</v>
      </c>
      <c r="K418" s="11" t="s">
        <v>180</v>
      </c>
      <c r="L418" s="11" t="s">
        <v>179</v>
      </c>
      <c r="M418" s="11" t="s">
        <v>179</v>
      </c>
      <c r="N418" s="11" t="s">
        <v>179</v>
      </c>
      <c r="O418" s="11" t="s">
        <v>180</v>
      </c>
      <c r="R418" s="11" t="s">
        <v>388</v>
      </c>
      <c r="S418" s="11" t="s">
        <v>389</v>
      </c>
      <c r="U418" s="11" t="s">
        <v>301</v>
      </c>
    </row>
    <row r="419" spans="1:21" x14ac:dyDescent="0.35">
      <c r="A419">
        <v>2024</v>
      </c>
      <c r="B419">
        <v>22</v>
      </c>
      <c r="C419" t="s">
        <v>273</v>
      </c>
      <c r="E419" t="s">
        <v>333</v>
      </c>
      <c r="F419" t="s">
        <v>289</v>
      </c>
      <c r="G419">
        <v>4.9000000000000004</v>
      </c>
      <c r="H419">
        <v>1</v>
      </c>
      <c r="I419" t="s">
        <v>275</v>
      </c>
      <c r="J419" t="s">
        <v>180</v>
      </c>
      <c r="K419" t="s">
        <v>180</v>
      </c>
      <c r="L419" t="s">
        <v>180</v>
      </c>
      <c r="M419" t="s">
        <v>180</v>
      </c>
      <c r="N419" t="s">
        <v>180</v>
      </c>
      <c r="O419" t="s">
        <v>180</v>
      </c>
      <c r="S419" t="s">
        <v>307</v>
      </c>
      <c r="U419" t="s">
        <v>205</v>
      </c>
    </row>
    <row r="420" spans="1:21" x14ac:dyDescent="0.35">
      <c r="A420">
        <v>2024</v>
      </c>
      <c r="B420">
        <v>22</v>
      </c>
      <c r="C420" t="s">
        <v>273</v>
      </c>
      <c r="E420" t="s">
        <v>333</v>
      </c>
      <c r="F420" t="s">
        <v>276</v>
      </c>
      <c r="G420">
        <v>5</v>
      </c>
      <c r="H420">
        <v>1</v>
      </c>
      <c r="I420" t="s">
        <v>278</v>
      </c>
      <c r="J420" t="s">
        <v>180</v>
      </c>
      <c r="K420" t="s">
        <v>180</v>
      </c>
      <c r="L420" t="s">
        <v>179</v>
      </c>
      <c r="M420" t="s">
        <v>180</v>
      </c>
      <c r="N420" t="s">
        <v>180</v>
      </c>
      <c r="O420" t="s">
        <v>180</v>
      </c>
      <c r="U420" t="s">
        <v>205</v>
      </c>
    </row>
    <row r="421" spans="1:21" x14ac:dyDescent="0.35">
      <c r="A421">
        <v>2024</v>
      </c>
      <c r="B421">
        <v>22</v>
      </c>
      <c r="C421" t="s">
        <v>273</v>
      </c>
      <c r="E421" t="s">
        <v>333</v>
      </c>
      <c r="F421" t="s">
        <v>314</v>
      </c>
      <c r="G421">
        <v>4.8</v>
      </c>
      <c r="H421">
        <v>3</v>
      </c>
      <c r="I421" t="s">
        <v>278</v>
      </c>
      <c r="J421" t="s">
        <v>180</v>
      </c>
      <c r="K421" t="s">
        <v>180</v>
      </c>
      <c r="L421" t="s">
        <v>179</v>
      </c>
      <c r="M421" t="s">
        <v>180</v>
      </c>
      <c r="N421" t="s">
        <v>179</v>
      </c>
      <c r="O421" t="s">
        <v>180</v>
      </c>
      <c r="S421" t="s">
        <v>390</v>
      </c>
      <c r="U421" t="s">
        <v>205</v>
      </c>
    </row>
    <row r="422" spans="1:21" x14ac:dyDescent="0.35">
      <c r="A422">
        <v>2024</v>
      </c>
      <c r="B422">
        <v>22</v>
      </c>
      <c r="C422" t="s">
        <v>292</v>
      </c>
      <c r="E422" t="s">
        <v>333</v>
      </c>
      <c r="F422" t="s">
        <v>289</v>
      </c>
      <c r="G422">
        <v>3.7</v>
      </c>
      <c r="H422">
        <v>1</v>
      </c>
      <c r="I422" t="s">
        <v>275</v>
      </c>
      <c r="J422" t="s">
        <v>180</v>
      </c>
      <c r="K422" t="s">
        <v>180</v>
      </c>
      <c r="L422" t="s">
        <v>180</v>
      </c>
      <c r="M422" t="s">
        <v>180</v>
      </c>
      <c r="N422" t="s">
        <v>180</v>
      </c>
      <c r="O422" t="s">
        <v>180</v>
      </c>
      <c r="U422" t="s">
        <v>205</v>
      </c>
    </row>
    <row r="423" spans="1:21" x14ac:dyDescent="0.35">
      <c r="A423">
        <v>2024</v>
      </c>
      <c r="B423">
        <v>22</v>
      </c>
      <c r="C423" t="s">
        <v>292</v>
      </c>
      <c r="E423" t="s">
        <v>333</v>
      </c>
      <c r="F423" t="s">
        <v>314</v>
      </c>
      <c r="G423">
        <v>2.5</v>
      </c>
      <c r="H423">
        <v>5</v>
      </c>
      <c r="I423" t="s">
        <v>278</v>
      </c>
      <c r="J423" t="s">
        <v>180</v>
      </c>
      <c r="K423" t="s">
        <v>180</v>
      </c>
      <c r="L423" t="s">
        <v>179</v>
      </c>
      <c r="M423" t="s">
        <v>179</v>
      </c>
      <c r="N423" t="s">
        <v>179</v>
      </c>
      <c r="O423" t="s">
        <v>180</v>
      </c>
      <c r="S423" t="s">
        <v>391</v>
      </c>
      <c r="U423" t="s">
        <v>311</v>
      </c>
    </row>
    <row r="424" spans="1:21" x14ac:dyDescent="0.35">
      <c r="A424">
        <v>2024</v>
      </c>
      <c r="B424">
        <v>22</v>
      </c>
      <c r="C424" t="s">
        <v>292</v>
      </c>
      <c r="E424" t="s">
        <v>333</v>
      </c>
      <c r="F424" t="s">
        <v>289</v>
      </c>
      <c r="G424">
        <v>5.0999999999999996</v>
      </c>
      <c r="H424">
        <v>3</v>
      </c>
      <c r="I424" t="s">
        <v>275</v>
      </c>
      <c r="J424" t="s">
        <v>180</v>
      </c>
      <c r="K424" t="s">
        <v>180</v>
      </c>
      <c r="L424" t="s">
        <v>180</v>
      </c>
      <c r="M424" t="s">
        <v>179</v>
      </c>
      <c r="N424" t="s">
        <v>180</v>
      </c>
      <c r="O424" t="s">
        <v>180</v>
      </c>
      <c r="R424" t="s">
        <v>392</v>
      </c>
      <c r="S424" t="s">
        <v>389</v>
      </c>
      <c r="U424" t="s">
        <v>301</v>
      </c>
    </row>
    <row r="425" spans="1:21" x14ac:dyDescent="0.35">
      <c r="A425">
        <v>2024</v>
      </c>
      <c r="B425">
        <v>22</v>
      </c>
      <c r="C425" t="s">
        <v>292</v>
      </c>
      <c r="E425" t="s">
        <v>333</v>
      </c>
      <c r="F425" t="s">
        <v>314</v>
      </c>
      <c r="G425">
        <v>3.76</v>
      </c>
      <c r="H425">
        <v>1</v>
      </c>
      <c r="I425" t="s">
        <v>275</v>
      </c>
      <c r="J425" t="s">
        <v>180</v>
      </c>
      <c r="K425" t="s">
        <v>180</v>
      </c>
      <c r="L425" t="s">
        <v>179</v>
      </c>
      <c r="M425" t="s">
        <v>180</v>
      </c>
      <c r="N425" t="s">
        <v>180</v>
      </c>
      <c r="O425" t="s">
        <v>180</v>
      </c>
      <c r="U425" t="s">
        <v>205</v>
      </c>
    </row>
    <row r="426" spans="1:21" x14ac:dyDescent="0.35">
      <c r="A426">
        <v>2024</v>
      </c>
      <c r="B426">
        <v>22</v>
      </c>
      <c r="C426" t="s">
        <v>267</v>
      </c>
      <c r="E426" t="s">
        <v>333</v>
      </c>
      <c r="F426" t="s">
        <v>289</v>
      </c>
      <c r="G426">
        <v>2.8</v>
      </c>
      <c r="H426">
        <v>1</v>
      </c>
      <c r="I426" t="s">
        <v>275</v>
      </c>
      <c r="J426" t="s">
        <v>180</v>
      </c>
      <c r="K426" t="s">
        <v>180</v>
      </c>
      <c r="L426" t="s">
        <v>180</v>
      </c>
      <c r="M426" t="s">
        <v>180</v>
      </c>
      <c r="N426" t="s">
        <v>180</v>
      </c>
      <c r="O426" t="s">
        <v>180</v>
      </c>
      <c r="U426" t="s">
        <v>205</v>
      </c>
    </row>
    <row r="427" spans="1:21" x14ac:dyDescent="0.35">
      <c r="A427">
        <v>2024</v>
      </c>
      <c r="B427">
        <v>22</v>
      </c>
      <c r="C427" t="s">
        <v>267</v>
      </c>
      <c r="D427">
        <v>336</v>
      </c>
      <c r="E427">
        <v>7.08</v>
      </c>
      <c r="F427" t="s">
        <v>289</v>
      </c>
      <c r="G427">
        <v>6.4</v>
      </c>
      <c r="H427">
        <v>5</v>
      </c>
      <c r="I427" t="s">
        <v>275</v>
      </c>
      <c r="J427" t="s">
        <v>180</v>
      </c>
      <c r="K427" t="s">
        <v>180</v>
      </c>
      <c r="L427" t="s">
        <v>179</v>
      </c>
      <c r="M427" t="s">
        <v>179</v>
      </c>
      <c r="N427" t="s">
        <v>179</v>
      </c>
      <c r="O427" t="s">
        <v>180</v>
      </c>
      <c r="R427" t="s">
        <v>393</v>
      </c>
      <c r="S427" t="s">
        <v>391</v>
      </c>
      <c r="U427" t="s">
        <v>311</v>
      </c>
    </row>
    <row r="428" spans="1:21" x14ac:dyDescent="0.35">
      <c r="A428">
        <v>2024</v>
      </c>
      <c r="B428">
        <v>22</v>
      </c>
      <c r="C428" t="s">
        <v>267</v>
      </c>
      <c r="E428" t="s">
        <v>333</v>
      </c>
      <c r="F428" t="s">
        <v>289</v>
      </c>
      <c r="G428">
        <v>5.5</v>
      </c>
      <c r="H428">
        <v>1</v>
      </c>
      <c r="I428" t="s">
        <v>275</v>
      </c>
      <c r="J428" t="s">
        <v>180</v>
      </c>
      <c r="K428" t="s">
        <v>180</v>
      </c>
      <c r="L428" t="s">
        <v>180</v>
      </c>
      <c r="M428" t="s">
        <v>180</v>
      </c>
      <c r="N428" t="s">
        <v>180</v>
      </c>
      <c r="O428" t="s">
        <v>180</v>
      </c>
      <c r="U428" t="s">
        <v>205</v>
      </c>
    </row>
    <row r="429" spans="1:21" x14ac:dyDescent="0.35">
      <c r="A429">
        <v>2024</v>
      </c>
      <c r="B429">
        <v>22</v>
      </c>
      <c r="C429" t="s">
        <v>277</v>
      </c>
      <c r="E429" t="s">
        <v>333</v>
      </c>
      <c r="F429" t="s">
        <v>289</v>
      </c>
      <c r="G429">
        <v>5.6</v>
      </c>
      <c r="H429">
        <v>1</v>
      </c>
      <c r="I429" t="s">
        <v>275</v>
      </c>
      <c r="J429" t="s">
        <v>180</v>
      </c>
      <c r="K429" t="s">
        <v>180</v>
      </c>
      <c r="L429" t="s">
        <v>180</v>
      </c>
      <c r="M429" t="s">
        <v>180</v>
      </c>
      <c r="N429" t="s">
        <v>180</v>
      </c>
      <c r="O429" t="s">
        <v>180</v>
      </c>
      <c r="U429" t="s">
        <v>205</v>
      </c>
    </row>
    <row r="430" spans="1:21" x14ac:dyDescent="0.35">
      <c r="A430">
        <v>2024</v>
      </c>
      <c r="B430">
        <v>22</v>
      </c>
      <c r="C430" t="s">
        <v>273</v>
      </c>
      <c r="E430">
        <v>17.5</v>
      </c>
      <c r="F430" t="s">
        <v>299</v>
      </c>
      <c r="G430">
        <v>4.5999999999999996</v>
      </c>
      <c r="H430">
        <v>1</v>
      </c>
      <c r="I430" t="s">
        <v>278</v>
      </c>
      <c r="J430" t="s">
        <v>180</v>
      </c>
      <c r="K430" t="s">
        <v>180</v>
      </c>
      <c r="L430" t="s">
        <v>180</v>
      </c>
      <c r="M430" t="s">
        <v>180</v>
      </c>
      <c r="N430" t="s">
        <v>180</v>
      </c>
      <c r="O430" t="s">
        <v>180</v>
      </c>
      <c r="R430" t="s">
        <v>394</v>
      </c>
      <c r="S430" t="s">
        <v>395</v>
      </c>
      <c r="U430" t="s">
        <v>205</v>
      </c>
    </row>
    <row r="431" spans="1:21" x14ac:dyDescent="0.35">
      <c r="A431">
        <v>2024</v>
      </c>
      <c r="B431">
        <v>17</v>
      </c>
      <c r="C431" t="s">
        <v>296</v>
      </c>
      <c r="D431" t="s">
        <v>205</v>
      </c>
      <c r="E431" t="s">
        <v>205</v>
      </c>
      <c r="F431" t="s">
        <v>205</v>
      </c>
      <c r="G431" t="s">
        <v>205</v>
      </c>
      <c r="H431" t="s">
        <v>205</v>
      </c>
      <c r="I431" t="s">
        <v>205</v>
      </c>
      <c r="J431" t="s">
        <v>205</v>
      </c>
      <c r="K431" t="s">
        <v>205</v>
      </c>
      <c r="L431" t="s">
        <v>205</v>
      </c>
      <c r="M431" t="s">
        <v>205</v>
      </c>
      <c r="N431" t="s">
        <v>205</v>
      </c>
      <c r="O431" t="s">
        <v>205</v>
      </c>
      <c r="P431" t="s">
        <v>205</v>
      </c>
      <c r="Q431" t="s">
        <v>205</v>
      </c>
      <c r="R431" t="s">
        <v>205</v>
      </c>
      <c r="S431" t="s">
        <v>205</v>
      </c>
      <c r="T431" t="s">
        <v>205</v>
      </c>
      <c r="U431" t="s">
        <v>205</v>
      </c>
    </row>
    <row r="432" spans="1:21" x14ac:dyDescent="0.35">
      <c r="A432">
        <v>2024</v>
      </c>
      <c r="B432">
        <v>64</v>
      </c>
      <c r="C432" t="s">
        <v>267</v>
      </c>
      <c r="E432" t="s">
        <v>333</v>
      </c>
      <c r="F432" t="s">
        <v>289</v>
      </c>
      <c r="G432">
        <v>3.8</v>
      </c>
      <c r="H432">
        <v>1</v>
      </c>
      <c r="I432" t="s">
        <v>275</v>
      </c>
      <c r="J432" t="s">
        <v>180</v>
      </c>
      <c r="K432" t="s">
        <v>180</v>
      </c>
      <c r="L432" t="s">
        <v>179</v>
      </c>
      <c r="M432" t="s">
        <v>180</v>
      </c>
      <c r="N432" t="s">
        <v>180</v>
      </c>
      <c r="O432" t="s">
        <v>180</v>
      </c>
      <c r="S432" t="s">
        <v>396</v>
      </c>
      <c r="U432" t="s">
        <v>205</v>
      </c>
    </row>
    <row r="433" spans="1:21" x14ac:dyDescent="0.35">
      <c r="A433">
        <v>2024</v>
      </c>
      <c r="B433">
        <v>64</v>
      </c>
      <c r="C433" t="s">
        <v>277</v>
      </c>
      <c r="E433" t="s">
        <v>333</v>
      </c>
      <c r="F433" t="s">
        <v>289</v>
      </c>
      <c r="G433">
        <v>4.9000000000000004</v>
      </c>
      <c r="H433">
        <v>5</v>
      </c>
      <c r="I433" t="s">
        <v>275</v>
      </c>
      <c r="J433" t="s">
        <v>180</v>
      </c>
      <c r="K433" t="s">
        <v>180</v>
      </c>
      <c r="L433" t="s">
        <v>179</v>
      </c>
      <c r="M433" t="s">
        <v>179</v>
      </c>
      <c r="N433" t="s">
        <v>180</v>
      </c>
      <c r="O433" t="s">
        <v>180</v>
      </c>
      <c r="S433" t="s">
        <v>391</v>
      </c>
      <c r="U433" t="s">
        <v>311</v>
      </c>
    </row>
    <row r="434" spans="1:21" x14ac:dyDescent="0.35">
      <c r="A434">
        <v>2024</v>
      </c>
      <c r="B434">
        <v>65</v>
      </c>
      <c r="C434" t="s">
        <v>277</v>
      </c>
      <c r="D434">
        <v>0</v>
      </c>
      <c r="E434">
        <v>4.8099999999999996</v>
      </c>
      <c r="F434" t="s">
        <v>289</v>
      </c>
      <c r="G434">
        <v>2.2000000000000002</v>
      </c>
      <c r="H434">
        <v>2</v>
      </c>
      <c r="I434" t="s">
        <v>275</v>
      </c>
      <c r="J434" t="s">
        <v>180</v>
      </c>
      <c r="K434" t="s">
        <v>180</v>
      </c>
      <c r="L434" t="s">
        <v>180</v>
      </c>
      <c r="M434" t="s">
        <v>180</v>
      </c>
      <c r="N434" t="s">
        <v>180</v>
      </c>
      <c r="O434" t="s">
        <v>180</v>
      </c>
      <c r="R434" t="s">
        <v>397</v>
      </c>
      <c r="U434" t="s">
        <v>205</v>
      </c>
    </row>
    <row r="435" spans="1:21" x14ac:dyDescent="0.35">
      <c r="A435">
        <v>2024</v>
      </c>
      <c r="B435">
        <v>65</v>
      </c>
      <c r="C435" t="s">
        <v>273</v>
      </c>
      <c r="E435">
        <v>6.93</v>
      </c>
      <c r="F435" t="s">
        <v>289</v>
      </c>
      <c r="G435">
        <v>1</v>
      </c>
      <c r="H435">
        <v>1</v>
      </c>
      <c r="I435" t="s">
        <v>275</v>
      </c>
      <c r="J435" t="s">
        <v>180</v>
      </c>
      <c r="K435" t="s">
        <v>180</v>
      </c>
      <c r="L435" t="s">
        <v>180</v>
      </c>
      <c r="M435" t="s">
        <v>180</v>
      </c>
      <c r="N435" t="s">
        <v>180</v>
      </c>
      <c r="O435" t="s">
        <v>180</v>
      </c>
      <c r="R435" t="s">
        <v>398</v>
      </c>
      <c r="U435" t="s">
        <v>205</v>
      </c>
    </row>
    <row r="436" spans="1:21" x14ac:dyDescent="0.35">
      <c r="A436">
        <v>2024</v>
      </c>
      <c r="B436">
        <v>65</v>
      </c>
      <c r="C436" t="s">
        <v>292</v>
      </c>
      <c r="E436" t="s">
        <v>333</v>
      </c>
      <c r="F436" t="s">
        <v>299</v>
      </c>
      <c r="G436">
        <v>3.7</v>
      </c>
      <c r="H436">
        <v>1</v>
      </c>
      <c r="I436" t="s">
        <v>275</v>
      </c>
      <c r="J436" t="s">
        <v>180</v>
      </c>
      <c r="K436" t="s">
        <v>180</v>
      </c>
      <c r="L436" t="s">
        <v>179</v>
      </c>
      <c r="M436" t="s">
        <v>180</v>
      </c>
      <c r="N436" t="s">
        <v>180</v>
      </c>
      <c r="O436" t="s">
        <v>179</v>
      </c>
      <c r="U436" t="s">
        <v>205</v>
      </c>
    </row>
    <row r="437" spans="1:21" x14ac:dyDescent="0.35">
      <c r="A437">
        <v>2024</v>
      </c>
      <c r="B437">
        <v>65</v>
      </c>
      <c r="C437" t="s">
        <v>292</v>
      </c>
      <c r="E437" t="s">
        <v>333</v>
      </c>
      <c r="F437" t="s">
        <v>268</v>
      </c>
      <c r="G437">
        <v>5.5</v>
      </c>
      <c r="H437">
        <v>1</v>
      </c>
      <c r="I437" t="s">
        <v>275</v>
      </c>
      <c r="J437" t="s">
        <v>180</v>
      </c>
      <c r="K437" t="s">
        <v>180</v>
      </c>
      <c r="L437" t="s">
        <v>179</v>
      </c>
      <c r="M437" t="s">
        <v>179</v>
      </c>
      <c r="N437" t="s">
        <v>179</v>
      </c>
      <c r="O437" t="s">
        <v>180</v>
      </c>
      <c r="S437" t="s">
        <v>399</v>
      </c>
      <c r="U437" t="s">
        <v>325</v>
      </c>
    </row>
    <row r="438" spans="1:21" x14ac:dyDescent="0.35">
      <c r="A438">
        <v>2024</v>
      </c>
      <c r="B438">
        <v>65</v>
      </c>
      <c r="C438" t="s">
        <v>292</v>
      </c>
      <c r="E438" t="s">
        <v>333</v>
      </c>
      <c r="F438" t="s">
        <v>289</v>
      </c>
      <c r="G438">
        <v>2.7</v>
      </c>
      <c r="H438">
        <v>1</v>
      </c>
      <c r="I438" t="s">
        <v>275</v>
      </c>
      <c r="J438" t="s">
        <v>180</v>
      </c>
      <c r="K438" t="s">
        <v>180</v>
      </c>
      <c r="L438" t="s">
        <v>179</v>
      </c>
      <c r="M438" t="s">
        <v>180</v>
      </c>
      <c r="N438" t="s">
        <v>180</v>
      </c>
      <c r="O438" t="s">
        <v>180</v>
      </c>
      <c r="U438" t="s">
        <v>205</v>
      </c>
    </row>
    <row r="439" spans="1:21" x14ac:dyDescent="0.35">
      <c r="A439">
        <v>2024</v>
      </c>
      <c r="B439">
        <v>65</v>
      </c>
      <c r="C439" t="s">
        <v>267</v>
      </c>
      <c r="E439" t="s">
        <v>333</v>
      </c>
      <c r="F439" t="s">
        <v>289</v>
      </c>
      <c r="G439">
        <v>2.8</v>
      </c>
      <c r="H439">
        <v>1</v>
      </c>
      <c r="I439" t="s">
        <v>275</v>
      </c>
      <c r="J439" t="s">
        <v>180</v>
      </c>
      <c r="K439" t="s">
        <v>180</v>
      </c>
      <c r="L439" t="s">
        <v>179</v>
      </c>
      <c r="M439" t="s">
        <v>180</v>
      </c>
      <c r="N439" t="s">
        <v>180</v>
      </c>
      <c r="O439" t="s">
        <v>180</v>
      </c>
      <c r="U439" t="s">
        <v>205</v>
      </c>
    </row>
    <row r="440" spans="1:21" x14ac:dyDescent="0.35">
      <c r="A440">
        <v>2024</v>
      </c>
      <c r="B440">
        <v>65</v>
      </c>
      <c r="C440" t="s">
        <v>277</v>
      </c>
      <c r="E440" t="s">
        <v>333</v>
      </c>
      <c r="F440" t="s">
        <v>289</v>
      </c>
      <c r="G440">
        <v>2.8</v>
      </c>
      <c r="H440">
        <v>1</v>
      </c>
      <c r="I440" t="s">
        <v>275</v>
      </c>
      <c r="J440" t="s">
        <v>180</v>
      </c>
      <c r="K440" t="s">
        <v>180</v>
      </c>
      <c r="L440" t="s">
        <v>180</v>
      </c>
      <c r="M440" t="s">
        <v>180</v>
      </c>
      <c r="N440" t="s">
        <v>180</v>
      </c>
      <c r="O440" t="s">
        <v>180</v>
      </c>
      <c r="S440" t="s">
        <v>307</v>
      </c>
      <c r="U440" t="s">
        <v>205</v>
      </c>
    </row>
    <row r="441" spans="1:21" x14ac:dyDescent="0.35">
      <c r="A441">
        <v>2024</v>
      </c>
      <c r="B441">
        <v>65</v>
      </c>
      <c r="C441" t="s">
        <v>277</v>
      </c>
      <c r="E441" t="s">
        <v>333</v>
      </c>
      <c r="F441" t="s">
        <v>289</v>
      </c>
      <c r="G441">
        <v>3.1</v>
      </c>
      <c r="H441">
        <v>5</v>
      </c>
      <c r="I441" t="s">
        <v>275</v>
      </c>
      <c r="J441" t="s">
        <v>180</v>
      </c>
      <c r="K441" t="s">
        <v>179</v>
      </c>
      <c r="L441" t="s">
        <v>179</v>
      </c>
      <c r="M441" t="s">
        <v>179</v>
      </c>
      <c r="N441" t="s">
        <v>180</v>
      </c>
      <c r="O441" t="s">
        <v>180</v>
      </c>
      <c r="U441" t="s">
        <v>301</v>
      </c>
    </row>
    <row r="442" spans="1:21" x14ac:dyDescent="0.35">
      <c r="A442">
        <v>2024</v>
      </c>
      <c r="B442">
        <v>24</v>
      </c>
      <c r="C442" t="s">
        <v>273</v>
      </c>
      <c r="E442" t="s">
        <v>333</v>
      </c>
      <c r="F442" t="s">
        <v>314</v>
      </c>
      <c r="G442">
        <v>5.3</v>
      </c>
      <c r="H442">
        <v>4</v>
      </c>
      <c r="I442" t="s">
        <v>275</v>
      </c>
      <c r="J442" t="s">
        <v>180</v>
      </c>
      <c r="K442" t="s">
        <v>180</v>
      </c>
      <c r="L442" t="s">
        <v>179</v>
      </c>
      <c r="M442" t="s">
        <v>179</v>
      </c>
      <c r="N442" t="s">
        <v>180</v>
      </c>
      <c r="O442" t="s">
        <v>180</v>
      </c>
      <c r="U442" t="s">
        <v>301</v>
      </c>
    </row>
    <row r="443" spans="1:21" s="11" customFormat="1" x14ac:dyDescent="0.35">
      <c r="A443">
        <v>2024</v>
      </c>
      <c r="B443" s="11">
        <v>24</v>
      </c>
      <c r="C443" s="11" t="s">
        <v>273</v>
      </c>
      <c r="E443" s="11" t="s">
        <v>333</v>
      </c>
      <c r="F443" s="11" t="s">
        <v>314</v>
      </c>
      <c r="G443" s="11">
        <v>2.6</v>
      </c>
      <c r="H443" s="11">
        <v>1</v>
      </c>
      <c r="I443" s="11" t="s">
        <v>275</v>
      </c>
      <c r="J443" s="11" t="s">
        <v>180</v>
      </c>
      <c r="K443" s="11" t="s">
        <v>180</v>
      </c>
      <c r="L443" s="11" t="s">
        <v>180</v>
      </c>
      <c r="M443" s="11" t="s">
        <v>180</v>
      </c>
      <c r="N443" s="11" t="s">
        <v>180</v>
      </c>
      <c r="O443" s="11" t="s">
        <v>180</v>
      </c>
      <c r="U443" s="11" t="s">
        <v>205</v>
      </c>
    </row>
    <row r="444" spans="1:21" x14ac:dyDescent="0.35">
      <c r="A444">
        <v>2024</v>
      </c>
      <c r="B444">
        <v>24</v>
      </c>
      <c r="C444" t="s">
        <v>273</v>
      </c>
      <c r="E444" t="s">
        <v>333</v>
      </c>
      <c r="F444" t="s">
        <v>289</v>
      </c>
      <c r="G444">
        <v>4.9000000000000004</v>
      </c>
      <c r="H444">
        <v>1</v>
      </c>
      <c r="I444" t="s">
        <v>275</v>
      </c>
      <c r="J444" t="s">
        <v>180</v>
      </c>
      <c r="K444" t="s">
        <v>180</v>
      </c>
      <c r="L444" t="s">
        <v>180</v>
      </c>
      <c r="M444" t="s">
        <v>180</v>
      </c>
      <c r="N444" t="s">
        <v>180</v>
      </c>
      <c r="O444" t="s">
        <v>180</v>
      </c>
      <c r="U444" t="s">
        <v>205</v>
      </c>
    </row>
    <row r="445" spans="1:21" x14ac:dyDescent="0.35">
      <c r="A445">
        <v>2024</v>
      </c>
      <c r="B445">
        <v>24</v>
      </c>
      <c r="C445" t="s">
        <v>273</v>
      </c>
      <c r="E445" t="s">
        <v>333</v>
      </c>
      <c r="F445" t="s">
        <v>314</v>
      </c>
      <c r="G445">
        <v>5.7</v>
      </c>
      <c r="H445">
        <v>1</v>
      </c>
      <c r="I445" t="s">
        <v>275</v>
      </c>
      <c r="J445" t="s">
        <v>180</v>
      </c>
      <c r="K445" t="s">
        <v>180</v>
      </c>
      <c r="L445" t="s">
        <v>179</v>
      </c>
      <c r="M445" t="s">
        <v>180</v>
      </c>
      <c r="N445" t="s">
        <v>180</v>
      </c>
      <c r="O445" t="s">
        <v>180</v>
      </c>
      <c r="U445" t="s">
        <v>205</v>
      </c>
    </row>
    <row r="446" spans="1:21" x14ac:dyDescent="0.35">
      <c r="A446">
        <v>2024</v>
      </c>
      <c r="B446">
        <v>24</v>
      </c>
      <c r="C446" t="s">
        <v>273</v>
      </c>
      <c r="E446" t="s">
        <v>333</v>
      </c>
      <c r="F446" t="s">
        <v>314</v>
      </c>
      <c r="G446">
        <v>3.5</v>
      </c>
      <c r="H446">
        <v>2</v>
      </c>
      <c r="I446" t="s">
        <v>275</v>
      </c>
      <c r="J446" t="s">
        <v>180</v>
      </c>
      <c r="K446" t="s">
        <v>180</v>
      </c>
      <c r="L446" t="s">
        <v>179</v>
      </c>
      <c r="M446" t="s">
        <v>180</v>
      </c>
      <c r="N446" t="s">
        <v>180</v>
      </c>
      <c r="O446" t="s">
        <v>180</v>
      </c>
      <c r="U446" t="s">
        <v>205</v>
      </c>
    </row>
    <row r="447" spans="1:21" x14ac:dyDescent="0.35">
      <c r="A447">
        <v>2024</v>
      </c>
      <c r="B447">
        <v>24</v>
      </c>
      <c r="C447" t="s">
        <v>273</v>
      </c>
      <c r="E447" t="s">
        <v>333</v>
      </c>
      <c r="F447" t="s">
        <v>289</v>
      </c>
      <c r="G447">
        <v>4</v>
      </c>
      <c r="H447">
        <v>1</v>
      </c>
      <c r="I447" t="s">
        <v>275</v>
      </c>
      <c r="J447" t="s">
        <v>180</v>
      </c>
      <c r="K447" t="s">
        <v>180</v>
      </c>
      <c r="L447" t="s">
        <v>180</v>
      </c>
      <c r="M447" t="s">
        <v>180</v>
      </c>
      <c r="N447" t="s">
        <v>180</v>
      </c>
      <c r="O447" t="s">
        <v>180</v>
      </c>
      <c r="S447" t="s">
        <v>307</v>
      </c>
      <c r="U447" t="s">
        <v>205</v>
      </c>
    </row>
    <row r="448" spans="1:21" x14ac:dyDescent="0.35">
      <c r="A448">
        <v>2024</v>
      </c>
      <c r="B448">
        <v>24</v>
      </c>
      <c r="C448" t="s">
        <v>273</v>
      </c>
      <c r="E448" t="s">
        <v>333</v>
      </c>
      <c r="F448" t="s">
        <v>299</v>
      </c>
      <c r="G448">
        <v>2.8</v>
      </c>
      <c r="H448">
        <v>1</v>
      </c>
      <c r="I448" t="s">
        <v>275</v>
      </c>
      <c r="J448" t="s">
        <v>180</v>
      </c>
      <c r="K448" t="s">
        <v>180</v>
      </c>
      <c r="L448" t="s">
        <v>180</v>
      </c>
      <c r="M448" t="s">
        <v>180</v>
      </c>
      <c r="N448" t="s">
        <v>180</v>
      </c>
      <c r="O448" t="s">
        <v>180</v>
      </c>
      <c r="U448" t="s">
        <v>205</v>
      </c>
    </row>
    <row r="449" spans="1:21" x14ac:dyDescent="0.35">
      <c r="A449">
        <v>2024</v>
      </c>
      <c r="B449">
        <v>24</v>
      </c>
      <c r="C449" t="s">
        <v>273</v>
      </c>
      <c r="E449" t="s">
        <v>333</v>
      </c>
      <c r="F449" t="s">
        <v>314</v>
      </c>
      <c r="G449">
        <v>2.5</v>
      </c>
      <c r="H449">
        <v>1</v>
      </c>
      <c r="I449" t="s">
        <v>275</v>
      </c>
      <c r="J449" t="s">
        <v>180</v>
      </c>
      <c r="K449" t="s">
        <v>180</v>
      </c>
      <c r="L449" t="s">
        <v>180</v>
      </c>
      <c r="M449" t="s">
        <v>180</v>
      </c>
      <c r="N449" t="s">
        <v>180</v>
      </c>
      <c r="O449" t="s">
        <v>180</v>
      </c>
      <c r="U449" t="s">
        <v>205</v>
      </c>
    </row>
    <row r="450" spans="1:21" x14ac:dyDescent="0.35">
      <c r="A450">
        <v>2024</v>
      </c>
      <c r="B450">
        <v>24</v>
      </c>
      <c r="C450" t="s">
        <v>273</v>
      </c>
      <c r="E450" t="s">
        <v>333</v>
      </c>
      <c r="F450" t="s">
        <v>289</v>
      </c>
      <c r="G450">
        <v>2.8</v>
      </c>
      <c r="H450">
        <v>1</v>
      </c>
      <c r="I450" t="s">
        <v>275</v>
      </c>
      <c r="J450" t="s">
        <v>180</v>
      </c>
      <c r="K450" t="s">
        <v>180</v>
      </c>
      <c r="L450" t="s">
        <v>180</v>
      </c>
      <c r="M450" t="s">
        <v>180</v>
      </c>
      <c r="N450" t="s">
        <v>180</v>
      </c>
      <c r="O450" t="s">
        <v>180</v>
      </c>
      <c r="S450" t="s">
        <v>307</v>
      </c>
      <c r="U450" t="s">
        <v>205</v>
      </c>
    </row>
    <row r="451" spans="1:21" x14ac:dyDescent="0.35">
      <c r="A451">
        <v>2024</v>
      </c>
      <c r="B451">
        <v>24</v>
      </c>
      <c r="C451" t="s">
        <v>273</v>
      </c>
      <c r="E451" t="s">
        <v>333</v>
      </c>
      <c r="F451" t="s">
        <v>314</v>
      </c>
      <c r="G451">
        <v>3.3</v>
      </c>
      <c r="H451">
        <v>1</v>
      </c>
      <c r="I451" t="s">
        <v>275</v>
      </c>
      <c r="J451" t="s">
        <v>180</v>
      </c>
      <c r="K451" t="s">
        <v>180</v>
      </c>
      <c r="L451" t="s">
        <v>179</v>
      </c>
      <c r="M451" t="s">
        <v>180</v>
      </c>
      <c r="N451" t="s">
        <v>180</v>
      </c>
      <c r="O451" t="s">
        <v>180</v>
      </c>
      <c r="U451" t="s">
        <v>205</v>
      </c>
    </row>
    <row r="452" spans="1:21" x14ac:dyDescent="0.35">
      <c r="A452">
        <v>2024</v>
      </c>
      <c r="B452">
        <v>24</v>
      </c>
      <c r="C452" t="s">
        <v>273</v>
      </c>
      <c r="E452" t="s">
        <v>333</v>
      </c>
      <c r="F452" t="s">
        <v>289</v>
      </c>
      <c r="G452">
        <v>5.5</v>
      </c>
      <c r="H452">
        <v>1</v>
      </c>
      <c r="I452" t="s">
        <v>278</v>
      </c>
      <c r="J452" t="s">
        <v>180</v>
      </c>
      <c r="K452" t="s">
        <v>180</v>
      </c>
      <c r="L452" t="s">
        <v>180</v>
      </c>
      <c r="M452" t="s">
        <v>180</v>
      </c>
      <c r="N452" t="s">
        <v>180</v>
      </c>
      <c r="O452" t="s">
        <v>180</v>
      </c>
      <c r="U452" t="s">
        <v>205</v>
      </c>
    </row>
    <row r="453" spans="1:21" x14ac:dyDescent="0.35">
      <c r="A453">
        <v>2024</v>
      </c>
      <c r="B453">
        <v>24</v>
      </c>
      <c r="C453" t="s">
        <v>273</v>
      </c>
      <c r="E453" t="s">
        <v>333</v>
      </c>
      <c r="F453" t="s">
        <v>289</v>
      </c>
      <c r="G453">
        <v>4.8</v>
      </c>
      <c r="H453">
        <v>5</v>
      </c>
      <c r="I453" t="s">
        <v>275</v>
      </c>
      <c r="J453" t="s">
        <v>180</v>
      </c>
      <c r="K453" t="s">
        <v>179</v>
      </c>
      <c r="L453" t="s">
        <v>179</v>
      </c>
      <c r="M453" t="s">
        <v>179</v>
      </c>
      <c r="N453" t="s">
        <v>180</v>
      </c>
      <c r="O453" t="s">
        <v>179</v>
      </c>
      <c r="U453" t="s">
        <v>301</v>
      </c>
    </row>
    <row r="454" spans="1:21" x14ac:dyDescent="0.35">
      <c r="A454">
        <v>2024</v>
      </c>
      <c r="B454">
        <v>24</v>
      </c>
      <c r="C454" t="s">
        <v>292</v>
      </c>
      <c r="E454" t="s">
        <v>333</v>
      </c>
      <c r="F454" t="s">
        <v>289</v>
      </c>
      <c r="G454">
        <v>2.6</v>
      </c>
      <c r="H454">
        <v>1</v>
      </c>
      <c r="I454" t="s">
        <v>275</v>
      </c>
      <c r="J454" t="s">
        <v>180</v>
      </c>
      <c r="K454" t="s">
        <v>180</v>
      </c>
      <c r="L454" t="s">
        <v>180</v>
      </c>
      <c r="M454" t="s">
        <v>180</v>
      </c>
      <c r="N454" t="s">
        <v>180</v>
      </c>
      <c r="O454" t="s">
        <v>180</v>
      </c>
      <c r="S454" t="s">
        <v>307</v>
      </c>
      <c r="U454" t="s">
        <v>205</v>
      </c>
    </row>
    <row r="455" spans="1:21" x14ac:dyDescent="0.35">
      <c r="A455">
        <v>2024</v>
      </c>
      <c r="B455">
        <v>24</v>
      </c>
      <c r="C455" t="s">
        <v>292</v>
      </c>
      <c r="E455" t="s">
        <v>333</v>
      </c>
      <c r="F455" t="s">
        <v>289</v>
      </c>
      <c r="G455">
        <v>3.1</v>
      </c>
      <c r="H455">
        <v>1</v>
      </c>
      <c r="I455" t="s">
        <v>275</v>
      </c>
      <c r="J455" t="s">
        <v>180</v>
      </c>
      <c r="K455" t="s">
        <v>180</v>
      </c>
      <c r="L455" t="s">
        <v>180</v>
      </c>
      <c r="M455" t="s">
        <v>180</v>
      </c>
      <c r="N455" t="s">
        <v>180</v>
      </c>
      <c r="O455" t="s">
        <v>180</v>
      </c>
      <c r="S455" t="s">
        <v>307</v>
      </c>
      <c r="U455" t="s">
        <v>205</v>
      </c>
    </row>
    <row r="456" spans="1:21" x14ac:dyDescent="0.35">
      <c r="A456">
        <v>2024</v>
      </c>
      <c r="B456">
        <v>24</v>
      </c>
      <c r="C456" t="s">
        <v>292</v>
      </c>
      <c r="E456" t="s">
        <v>333</v>
      </c>
      <c r="F456" t="s">
        <v>289</v>
      </c>
      <c r="G456">
        <v>2.8</v>
      </c>
      <c r="H456">
        <v>1</v>
      </c>
      <c r="I456" t="s">
        <v>275</v>
      </c>
      <c r="J456" t="s">
        <v>180</v>
      </c>
      <c r="K456" t="s">
        <v>180</v>
      </c>
      <c r="L456" t="s">
        <v>180</v>
      </c>
      <c r="M456" t="s">
        <v>180</v>
      </c>
      <c r="N456" t="s">
        <v>180</v>
      </c>
      <c r="O456" t="s">
        <v>180</v>
      </c>
      <c r="U456" t="s">
        <v>205</v>
      </c>
    </row>
    <row r="457" spans="1:21" x14ac:dyDescent="0.35">
      <c r="A457">
        <v>2024</v>
      </c>
      <c r="B457">
        <v>24</v>
      </c>
      <c r="C457" t="s">
        <v>267</v>
      </c>
      <c r="E457" t="s">
        <v>333</v>
      </c>
      <c r="F457" t="s">
        <v>289</v>
      </c>
      <c r="G457">
        <v>5.6</v>
      </c>
      <c r="H457">
        <v>1</v>
      </c>
      <c r="I457" t="s">
        <v>278</v>
      </c>
      <c r="J457" t="s">
        <v>180</v>
      </c>
      <c r="K457" t="s">
        <v>180</v>
      </c>
      <c r="L457" t="s">
        <v>180</v>
      </c>
      <c r="M457" t="s">
        <v>180</v>
      </c>
      <c r="N457" t="s">
        <v>180</v>
      </c>
      <c r="O457" t="s">
        <v>180</v>
      </c>
      <c r="U457" t="s">
        <v>205</v>
      </c>
    </row>
    <row r="458" spans="1:21" x14ac:dyDescent="0.35">
      <c r="A458">
        <v>2024</v>
      </c>
      <c r="B458">
        <v>24</v>
      </c>
      <c r="C458" t="s">
        <v>267</v>
      </c>
      <c r="E458" t="s">
        <v>333</v>
      </c>
      <c r="F458" t="s">
        <v>289</v>
      </c>
      <c r="G458">
        <v>2.5</v>
      </c>
      <c r="H458">
        <v>1</v>
      </c>
      <c r="I458" t="s">
        <v>275</v>
      </c>
      <c r="J458" t="s">
        <v>180</v>
      </c>
      <c r="K458" t="s">
        <v>180</v>
      </c>
      <c r="L458" t="s">
        <v>180</v>
      </c>
      <c r="M458" t="s">
        <v>180</v>
      </c>
      <c r="N458" t="s">
        <v>180</v>
      </c>
      <c r="O458" t="s">
        <v>180</v>
      </c>
      <c r="U458" t="s">
        <v>205</v>
      </c>
    </row>
    <row r="459" spans="1:21" x14ac:dyDescent="0.35">
      <c r="A459">
        <v>2024</v>
      </c>
      <c r="B459">
        <v>24</v>
      </c>
      <c r="C459" t="s">
        <v>267</v>
      </c>
      <c r="E459" t="s">
        <v>333</v>
      </c>
      <c r="F459" t="s">
        <v>314</v>
      </c>
      <c r="G459">
        <v>2.8</v>
      </c>
      <c r="H459">
        <v>1</v>
      </c>
      <c r="I459" t="s">
        <v>275</v>
      </c>
      <c r="J459" t="s">
        <v>180</v>
      </c>
      <c r="K459" t="s">
        <v>180</v>
      </c>
      <c r="L459" t="s">
        <v>180</v>
      </c>
      <c r="M459" t="s">
        <v>180</v>
      </c>
      <c r="N459" t="s">
        <v>180</v>
      </c>
      <c r="O459" t="s">
        <v>180</v>
      </c>
      <c r="U459" t="s">
        <v>205</v>
      </c>
    </row>
    <row r="460" spans="1:21" x14ac:dyDescent="0.35">
      <c r="A460">
        <v>2024</v>
      </c>
      <c r="B460">
        <v>24</v>
      </c>
      <c r="C460" t="s">
        <v>267</v>
      </c>
      <c r="E460" t="s">
        <v>333</v>
      </c>
      <c r="F460" t="s">
        <v>314</v>
      </c>
      <c r="G460">
        <v>6.6</v>
      </c>
      <c r="H460">
        <v>1</v>
      </c>
      <c r="I460" t="s">
        <v>278</v>
      </c>
      <c r="J460" t="s">
        <v>180</v>
      </c>
      <c r="K460" t="s">
        <v>180</v>
      </c>
      <c r="L460" t="s">
        <v>180</v>
      </c>
      <c r="M460" t="s">
        <v>180</v>
      </c>
      <c r="N460" t="s">
        <v>180</v>
      </c>
      <c r="O460" t="s">
        <v>180</v>
      </c>
      <c r="U460" t="s">
        <v>205</v>
      </c>
    </row>
    <row r="461" spans="1:21" x14ac:dyDescent="0.35">
      <c r="A461">
        <v>2024</v>
      </c>
      <c r="B461">
        <v>24</v>
      </c>
      <c r="C461" t="s">
        <v>267</v>
      </c>
      <c r="E461" t="s">
        <v>333</v>
      </c>
      <c r="F461" t="s">
        <v>289</v>
      </c>
      <c r="G461">
        <v>6.3</v>
      </c>
      <c r="H461">
        <v>1</v>
      </c>
      <c r="I461" t="s">
        <v>278</v>
      </c>
      <c r="J461" t="s">
        <v>180</v>
      </c>
      <c r="K461" t="s">
        <v>180</v>
      </c>
      <c r="L461" t="s">
        <v>180</v>
      </c>
      <c r="M461" t="s">
        <v>180</v>
      </c>
      <c r="N461" t="s">
        <v>180</v>
      </c>
      <c r="O461" t="s">
        <v>180</v>
      </c>
      <c r="U461" t="s">
        <v>205</v>
      </c>
    </row>
    <row r="462" spans="1:21" x14ac:dyDescent="0.35">
      <c r="A462">
        <v>2024</v>
      </c>
      <c r="B462">
        <v>24</v>
      </c>
      <c r="C462" t="s">
        <v>267</v>
      </c>
      <c r="E462" t="s">
        <v>333</v>
      </c>
      <c r="F462" t="s">
        <v>314</v>
      </c>
      <c r="G462">
        <v>2.7</v>
      </c>
      <c r="H462">
        <v>1</v>
      </c>
      <c r="I462" t="s">
        <v>275</v>
      </c>
      <c r="J462" t="s">
        <v>180</v>
      </c>
      <c r="K462" t="s">
        <v>180</v>
      </c>
      <c r="L462" t="s">
        <v>180</v>
      </c>
      <c r="M462" t="s">
        <v>180</v>
      </c>
      <c r="N462" t="s">
        <v>180</v>
      </c>
      <c r="O462" t="s">
        <v>180</v>
      </c>
      <c r="U462" t="s">
        <v>205</v>
      </c>
    </row>
    <row r="463" spans="1:21" x14ac:dyDescent="0.35">
      <c r="A463">
        <v>2024</v>
      </c>
      <c r="B463">
        <v>24</v>
      </c>
      <c r="C463" t="s">
        <v>267</v>
      </c>
      <c r="E463" t="s">
        <v>333</v>
      </c>
      <c r="F463" t="s">
        <v>289</v>
      </c>
      <c r="G463">
        <v>3</v>
      </c>
      <c r="H463">
        <v>1</v>
      </c>
      <c r="I463" t="s">
        <v>275</v>
      </c>
      <c r="J463" t="s">
        <v>180</v>
      </c>
      <c r="K463" t="s">
        <v>180</v>
      </c>
      <c r="L463" t="s">
        <v>180</v>
      </c>
      <c r="M463" t="s">
        <v>180</v>
      </c>
      <c r="N463" t="s">
        <v>180</v>
      </c>
      <c r="O463" t="s">
        <v>180</v>
      </c>
      <c r="U463" t="s">
        <v>205</v>
      </c>
    </row>
    <row r="464" spans="1:21" x14ac:dyDescent="0.35">
      <c r="A464">
        <v>2024</v>
      </c>
      <c r="B464">
        <v>24</v>
      </c>
      <c r="C464" t="s">
        <v>267</v>
      </c>
      <c r="E464" t="s">
        <v>333</v>
      </c>
      <c r="F464" t="s">
        <v>314</v>
      </c>
      <c r="G464">
        <v>3.7</v>
      </c>
      <c r="H464">
        <v>1</v>
      </c>
      <c r="I464" t="s">
        <v>275</v>
      </c>
      <c r="J464" t="s">
        <v>180</v>
      </c>
      <c r="K464" t="s">
        <v>180</v>
      </c>
      <c r="L464" t="s">
        <v>179</v>
      </c>
      <c r="M464" t="s">
        <v>180</v>
      </c>
      <c r="N464" t="s">
        <v>180</v>
      </c>
      <c r="O464" t="s">
        <v>179</v>
      </c>
      <c r="U464" t="s">
        <v>205</v>
      </c>
    </row>
    <row r="465" spans="1:21" x14ac:dyDescent="0.35">
      <c r="A465">
        <v>2024</v>
      </c>
      <c r="B465">
        <v>24</v>
      </c>
      <c r="C465" t="s">
        <v>267</v>
      </c>
      <c r="E465" t="s">
        <v>333</v>
      </c>
      <c r="F465" t="s">
        <v>314</v>
      </c>
      <c r="G465">
        <v>2.6</v>
      </c>
      <c r="H465">
        <v>1</v>
      </c>
      <c r="I465" t="s">
        <v>275</v>
      </c>
      <c r="J465" t="s">
        <v>180</v>
      </c>
      <c r="K465" t="s">
        <v>180</v>
      </c>
      <c r="L465" t="s">
        <v>180</v>
      </c>
      <c r="M465" t="s">
        <v>180</v>
      </c>
      <c r="N465" t="s">
        <v>180</v>
      </c>
      <c r="O465" t="s">
        <v>180</v>
      </c>
      <c r="U465" t="s">
        <v>205</v>
      </c>
    </row>
    <row r="466" spans="1:21" x14ac:dyDescent="0.35">
      <c r="A466">
        <v>2024</v>
      </c>
      <c r="B466">
        <v>24</v>
      </c>
      <c r="C466" t="s">
        <v>267</v>
      </c>
      <c r="E466" t="s">
        <v>333</v>
      </c>
      <c r="F466" t="s">
        <v>314</v>
      </c>
      <c r="G466">
        <v>3</v>
      </c>
      <c r="H466">
        <v>1</v>
      </c>
      <c r="I466" t="s">
        <v>275</v>
      </c>
      <c r="J466" t="s">
        <v>180</v>
      </c>
      <c r="K466" t="s">
        <v>180</v>
      </c>
      <c r="L466" t="s">
        <v>180</v>
      </c>
      <c r="M466" t="s">
        <v>180</v>
      </c>
      <c r="N466" t="s">
        <v>180</v>
      </c>
      <c r="O466" t="s">
        <v>180</v>
      </c>
      <c r="U466" t="s">
        <v>205</v>
      </c>
    </row>
    <row r="467" spans="1:21" x14ac:dyDescent="0.35">
      <c r="A467">
        <v>2024</v>
      </c>
      <c r="B467">
        <v>24</v>
      </c>
      <c r="C467" t="s">
        <v>277</v>
      </c>
      <c r="E467" t="s">
        <v>333</v>
      </c>
      <c r="F467" t="s">
        <v>289</v>
      </c>
      <c r="G467">
        <v>3.4</v>
      </c>
      <c r="H467">
        <v>2</v>
      </c>
      <c r="I467" t="s">
        <v>275</v>
      </c>
      <c r="J467" t="s">
        <v>180</v>
      </c>
      <c r="K467" t="s">
        <v>180</v>
      </c>
      <c r="L467" t="s">
        <v>179</v>
      </c>
      <c r="M467" t="s">
        <v>180</v>
      </c>
      <c r="N467" t="s">
        <v>180</v>
      </c>
      <c r="O467" t="s">
        <v>180</v>
      </c>
      <c r="S467" t="s">
        <v>400</v>
      </c>
      <c r="U467" t="s">
        <v>205</v>
      </c>
    </row>
    <row r="468" spans="1:21" s="11" customFormat="1" x14ac:dyDescent="0.35">
      <c r="A468">
        <v>2024</v>
      </c>
      <c r="B468" s="11">
        <v>24</v>
      </c>
      <c r="C468" s="11" t="s">
        <v>277</v>
      </c>
      <c r="E468" s="11" t="s">
        <v>333</v>
      </c>
      <c r="F468" s="11" t="s">
        <v>289</v>
      </c>
      <c r="G468" s="11">
        <v>6.3</v>
      </c>
      <c r="H468" s="11">
        <v>2</v>
      </c>
      <c r="I468" s="11" t="s">
        <v>275</v>
      </c>
      <c r="J468" s="11" t="s">
        <v>180</v>
      </c>
      <c r="K468" s="11" t="s">
        <v>180</v>
      </c>
      <c r="L468" s="11" t="s">
        <v>179</v>
      </c>
      <c r="M468" s="11" t="s">
        <v>179</v>
      </c>
      <c r="N468" s="11" t="s">
        <v>180</v>
      </c>
      <c r="O468" s="11" t="s">
        <v>180</v>
      </c>
      <c r="U468" s="11" t="s">
        <v>301</v>
      </c>
    </row>
    <row r="469" spans="1:21" x14ac:dyDescent="0.35">
      <c r="A469">
        <v>2024</v>
      </c>
      <c r="B469">
        <v>24</v>
      </c>
      <c r="C469" t="s">
        <v>277</v>
      </c>
      <c r="E469" t="s">
        <v>333</v>
      </c>
      <c r="F469" t="s">
        <v>289</v>
      </c>
      <c r="G469">
        <v>3.6</v>
      </c>
      <c r="H469">
        <v>1</v>
      </c>
      <c r="I469" t="s">
        <v>278</v>
      </c>
      <c r="J469" t="s">
        <v>180</v>
      </c>
      <c r="K469" t="s">
        <v>180</v>
      </c>
      <c r="L469" t="s">
        <v>180</v>
      </c>
      <c r="M469" t="s">
        <v>180</v>
      </c>
      <c r="N469" t="s">
        <v>180</v>
      </c>
      <c r="O469" t="s">
        <v>180</v>
      </c>
      <c r="S469" t="s">
        <v>401</v>
      </c>
      <c r="U469" t="s">
        <v>205</v>
      </c>
    </row>
    <row r="470" spans="1:21" x14ac:dyDescent="0.35">
      <c r="A470">
        <v>2024</v>
      </c>
      <c r="B470">
        <v>24</v>
      </c>
      <c r="C470" t="s">
        <v>277</v>
      </c>
      <c r="E470" t="s">
        <v>333</v>
      </c>
      <c r="F470" t="s">
        <v>314</v>
      </c>
      <c r="G470">
        <v>4.9000000000000004</v>
      </c>
      <c r="H470">
        <v>1</v>
      </c>
      <c r="I470" t="s">
        <v>275</v>
      </c>
      <c r="J470" t="s">
        <v>180</v>
      </c>
      <c r="K470" t="s">
        <v>180</v>
      </c>
      <c r="L470" t="s">
        <v>179</v>
      </c>
      <c r="M470" t="s">
        <v>180</v>
      </c>
      <c r="N470" t="s">
        <v>180</v>
      </c>
      <c r="O470" t="s">
        <v>179</v>
      </c>
      <c r="U470" t="s">
        <v>205</v>
      </c>
    </row>
    <row r="471" spans="1:21" x14ac:dyDescent="0.35">
      <c r="A471">
        <v>2024</v>
      </c>
      <c r="B471">
        <v>24</v>
      </c>
      <c r="C471" t="s">
        <v>277</v>
      </c>
      <c r="E471" t="s">
        <v>333</v>
      </c>
      <c r="F471" t="s">
        <v>289</v>
      </c>
      <c r="G471">
        <v>3.2</v>
      </c>
      <c r="H471">
        <v>5</v>
      </c>
      <c r="I471" t="s">
        <v>275</v>
      </c>
      <c r="J471" t="s">
        <v>180</v>
      </c>
      <c r="K471" t="s">
        <v>179</v>
      </c>
      <c r="L471" t="s">
        <v>179</v>
      </c>
      <c r="M471" t="s">
        <v>179</v>
      </c>
      <c r="N471" t="s">
        <v>180</v>
      </c>
      <c r="O471" t="s">
        <v>180</v>
      </c>
      <c r="U471" t="s">
        <v>301</v>
      </c>
    </row>
    <row r="472" spans="1:21" x14ac:dyDescent="0.35">
      <c r="A472">
        <v>2024</v>
      </c>
      <c r="B472">
        <v>24</v>
      </c>
      <c r="C472" t="s">
        <v>277</v>
      </c>
      <c r="E472" t="s">
        <v>333</v>
      </c>
      <c r="F472" t="s">
        <v>289</v>
      </c>
      <c r="G472">
        <v>4</v>
      </c>
      <c r="H472">
        <v>3</v>
      </c>
      <c r="I472" t="s">
        <v>275</v>
      </c>
      <c r="J472" t="s">
        <v>180</v>
      </c>
      <c r="K472" t="s">
        <v>180</v>
      </c>
      <c r="L472" t="s">
        <v>179</v>
      </c>
      <c r="M472" t="s">
        <v>179</v>
      </c>
      <c r="N472" t="s">
        <v>180</v>
      </c>
      <c r="O472" t="s">
        <v>180</v>
      </c>
      <c r="U472" t="s">
        <v>301</v>
      </c>
    </row>
    <row r="473" spans="1:21" x14ac:dyDescent="0.35">
      <c r="A473">
        <v>2024</v>
      </c>
      <c r="B473">
        <v>24</v>
      </c>
      <c r="C473" t="s">
        <v>277</v>
      </c>
      <c r="E473" t="s">
        <v>333</v>
      </c>
      <c r="F473" t="s">
        <v>314</v>
      </c>
      <c r="G473">
        <v>4.8</v>
      </c>
      <c r="H473">
        <v>1</v>
      </c>
      <c r="I473" t="s">
        <v>275</v>
      </c>
      <c r="J473" t="s">
        <v>180</v>
      </c>
      <c r="K473" t="s">
        <v>180</v>
      </c>
      <c r="L473" t="s">
        <v>180</v>
      </c>
      <c r="M473" t="s">
        <v>180</v>
      </c>
      <c r="N473" t="s">
        <v>180</v>
      </c>
      <c r="O473" t="s">
        <v>180</v>
      </c>
      <c r="U473" t="s">
        <v>205</v>
      </c>
    </row>
    <row r="474" spans="1:21" x14ac:dyDescent="0.35">
      <c r="A474">
        <v>2024</v>
      </c>
      <c r="B474">
        <v>24</v>
      </c>
      <c r="C474" t="s">
        <v>277</v>
      </c>
      <c r="E474" t="s">
        <v>333</v>
      </c>
      <c r="F474" t="s">
        <v>289</v>
      </c>
      <c r="G474">
        <v>4.8</v>
      </c>
      <c r="H474">
        <v>1</v>
      </c>
      <c r="I474" t="s">
        <v>275</v>
      </c>
      <c r="J474" t="s">
        <v>180</v>
      </c>
      <c r="K474" t="s">
        <v>180</v>
      </c>
      <c r="L474" t="s">
        <v>180</v>
      </c>
      <c r="M474" t="s">
        <v>179</v>
      </c>
      <c r="N474" t="s">
        <v>180</v>
      </c>
      <c r="O474" t="s">
        <v>180</v>
      </c>
      <c r="U474" t="s">
        <v>301</v>
      </c>
    </row>
    <row r="475" spans="1:21" x14ac:dyDescent="0.35">
      <c r="A475">
        <v>2024</v>
      </c>
      <c r="B475">
        <v>24</v>
      </c>
      <c r="C475" t="s">
        <v>277</v>
      </c>
      <c r="E475" t="s">
        <v>333</v>
      </c>
      <c r="F475" t="s">
        <v>314</v>
      </c>
      <c r="G475">
        <v>4.5</v>
      </c>
      <c r="H475">
        <v>1</v>
      </c>
      <c r="I475" t="s">
        <v>275</v>
      </c>
      <c r="J475" t="s">
        <v>180</v>
      </c>
      <c r="K475" t="s">
        <v>180</v>
      </c>
      <c r="L475" t="s">
        <v>179</v>
      </c>
      <c r="M475" t="s">
        <v>179</v>
      </c>
      <c r="N475" t="s">
        <v>180</v>
      </c>
      <c r="O475" t="s">
        <v>180</v>
      </c>
      <c r="U475" t="s">
        <v>301</v>
      </c>
    </row>
    <row r="476" spans="1:21" x14ac:dyDescent="0.35">
      <c r="A476">
        <v>2024</v>
      </c>
      <c r="B476">
        <v>24</v>
      </c>
      <c r="C476" t="s">
        <v>277</v>
      </c>
      <c r="E476" t="s">
        <v>333</v>
      </c>
      <c r="F476" t="s">
        <v>314</v>
      </c>
      <c r="G476">
        <v>3</v>
      </c>
      <c r="H476">
        <v>1</v>
      </c>
      <c r="I476" t="s">
        <v>275</v>
      </c>
      <c r="J476" t="s">
        <v>180</v>
      </c>
      <c r="K476" t="s">
        <v>180</v>
      </c>
      <c r="L476" t="s">
        <v>180</v>
      </c>
      <c r="M476" t="s">
        <v>180</v>
      </c>
      <c r="N476" t="s">
        <v>180</v>
      </c>
      <c r="O476" t="s">
        <v>180</v>
      </c>
      <c r="U476" t="s">
        <v>205</v>
      </c>
    </row>
    <row r="477" spans="1:21" x14ac:dyDescent="0.35">
      <c r="A477">
        <v>2024</v>
      </c>
      <c r="B477">
        <v>102</v>
      </c>
      <c r="C477" t="s">
        <v>296</v>
      </c>
      <c r="D477" t="s">
        <v>205</v>
      </c>
      <c r="E477" t="s">
        <v>205</v>
      </c>
      <c r="F477" t="s">
        <v>205</v>
      </c>
      <c r="G477" t="s">
        <v>205</v>
      </c>
      <c r="H477" t="s">
        <v>205</v>
      </c>
      <c r="I477" t="s">
        <v>205</v>
      </c>
      <c r="J477" t="s">
        <v>205</v>
      </c>
      <c r="K477" t="s">
        <v>205</v>
      </c>
      <c r="L477" t="s">
        <v>205</v>
      </c>
      <c r="M477" t="s">
        <v>205</v>
      </c>
      <c r="N477" t="s">
        <v>205</v>
      </c>
      <c r="O477" t="s">
        <v>205</v>
      </c>
      <c r="P477" t="s">
        <v>205</v>
      </c>
      <c r="Q477" t="s">
        <v>205</v>
      </c>
      <c r="R477" t="s">
        <v>205</v>
      </c>
      <c r="S477" t="s">
        <v>205</v>
      </c>
      <c r="T477" t="s">
        <v>205</v>
      </c>
      <c r="U477" t="s">
        <v>205</v>
      </c>
    </row>
    <row r="478" spans="1:21" x14ac:dyDescent="0.35">
      <c r="A478">
        <v>2025</v>
      </c>
      <c r="B478">
        <v>91</v>
      </c>
      <c r="C478" t="s">
        <v>296</v>
      </c>
      <c r="D478" t="s">
        <v>205</v>
      </c>
      <c r="E478" t="s">
        <v>205</v>
      </c>
      <c r="F478" t="s">
        <v>205</v>
      </c>
      <c r="G478" t="s">
        <v>205</v>
      </c>
      <c r="H478" t="s">
        <v>205</v>
      </c>
      <c r="I478" t="s">
        <v>205</v>
      </c>
      <c r="J478" t="s">
        <v>205</v>
      </c>
      <c r="K478" t="s">
        <v>205</v>
      </c>
      <c r="L478" t="s">
        <v>205</v>
      </c>
      <c r="M478" t="s">
        <v>205</v>
      </c>
      <c r="N478" t="s">
        <v>205</v>
      </c>
      <c r="O478" t="s">
        <v>205</v>
      </c>
      <c r="P478" t="s">
        <v>205</v>
      </c>
      <c r="Q478" t="s">
        <v>205</v>
      </c>
      <c r="R478" t="s">
        <v>205</v>
      </c>
      <c r="S478" t="s">
        <v>205</v>
      </c>
      <c r="T478" t="s">
        <v>205</v>
      </c>
      <c r="U478" t="s">
        <v>205</v>
      </c>
    </row>
    <row r="479" spans="1:21" x14ac:dyDescent="0.35">
      <c r="A479">
        <v>2025</v>
      </c>
      <c r="B479">
        <v>92</v>
      </c>
      <c r="C479" t="s">
        <v>296</v>
      </c>
      <c r="D479" t="s">
        <v>205</v>
      </c>
      <c r="E479" t="s">
        <v>205</v>
      </c>
      <c r="F479" t="s">
        <v>205</v>
      </c>
      <c r="G479" t="s">
        <v>205</v>
      </c>
      <c r="H479" t="s">
        <v>205</v>
      </c>
      <c r="I479" t="s">
        <v>205</v>
      </c>
      <c r="J479" t="s">
        <v>205</v>
      </c>
      <c r="K479" t="s">
        <v>205</v>
      </c>
      <c r="L479" t="s">
        <v>205</v>
      </c>
      <c r="M479" t="s">
        <v>205</v>
      </c>
      <c r="N479" t="s">
        <v>205</v>
      </c>
      <c r="O479" t="s">
        <v>205</v>
      </c>
      <c r="P479" t="s">
        <v>205</v>
      </c>
      <c r="Q479" t="s">
        <v>205</v>
      </c>
      <c r="R479" t="s">
        <v>205</v>
      </c>
      <c r="S479" t="s">
        <v>205</v>
      </c>
      <c r="T479" t="s">
        <v>205</v>
      </c>
      <c r="U479" t="s">
        <v>205</v>
      </c>
    </row>
    <row r="480" spans="1:21" x14ac:dyDescent="0.35">
      <c r="A480">
        <v>2025</v>
      </c>
      <c r="B480">
        <v>93</v>
      </c>
      <c r="C480" t="s">
        <v>296</v>
      </c>
      <c r="D480" t="s">
        <v>205</v>
      </c>
      <c r="E480" t="s">
        <v>205</v>
      </c>
      <c r="F480" t="s">
        <v>205</v>
      </c>
      <c r="G480" t="s">
        <v>205</v>
      </c>
      <c r="H480" t="s">
        <v>205</v>
      </c>
      <c r="I480" t="s">
        <v>205</v>
      </c>
      <c r="J480" t="s">
        <v>205</v>
      </c>
      <c r="K480" t="s">
        <v>205</v>
      </c>
      <c r="L480" t="s">
        <v>205</v>
      </c>
      <c r="M480" t="s">
        <v>205</v>
      </c>
      <c r="N480" t="s">
        <v>205</v>
      </c>
      <c r="O480" t="s">
        <v>205</v>
      </c>
      <c r="P480" t="s">
        <v>205</v>
      </c>
      <c r="Q480" t="s">
        <v>205</v>
      </c>
      <c r="R480" t="s">
        <v>205</v>
      </c>
      <c r="S480" t="s">
        <v>205</v>
      </c>
      <c r="T480" t="s">
        <v>205</v>
      </c>
      <c r="U480" t="s">
        <v>205</v>
      </c>
    </row>
    <row r="481" spans="1:21" x14ac:dyDescent="0.35">
      <c r="A481">
        <v>2025</v>
      </c>
      <c r="B481">
        <v>4</v>
      </c>
      <c r="C481" t="s">
        <v>296</v>
      </c>
      <c r="D481" t="s">
        <v>205</v>
      </c>
      <c r="E481" t="s">
        <v>205</v>
      </c>
      <c r="F481" t="s">
        <v>205</v>
      </c>
      <c r="G481" t="s">
        <v>205</v>
      </c>
      <c r="H481" t="s">
        <v>205</v>
      </c>
      <c r="I481" t="s">
        <v>205</v>
      </c>
      <c r="J481" t="s">
        <v>205</v>
      </c>
      <c r="K481" t="s">
        <v>205</v>
      </c>
      <c r="L481" t="s">
        <v>205</v>
      </c>
      <c r="M481" t="s">
        <v>205</v>
      </c>
      <c r="N481" t="s">
        <v>205</v>
      </c>
      <c r="O481" t="s">
        <v>205</v>
      </c>
      <c r="P481" t="s">
        <v>205</v>
      </c>
      <c r="Q481" t="s">
        <v>205</v>
      </c>
      <c r="R481" t="s">
        <v>205</v>
      </c>
      <c r="S481" t="s">
        <v>205</v>
      </c>
      <c r="T481" t="s">
        <v>205</v>
      </c>
      <c r="U481" t="s">
        <v>205</v>
      </c>
    </row>
    <row r="482" spans="1:21" x14ac:dyDescent="0.35">
      <c r="A482">
        <v>2025</v>
      </c>
      <c r="B482">
        <v>6</v>
      </c>
      <c r="C482" t="s">
        <v>296</v>
      </c>
      <c r="D482" t="s">
        <v>205</v>
      </c>
      <c r="E482" t="s">
        <v>205</v>
      </c>
      <c r="F482" t="s">
        <v>205</v>
      </c>
      <c r="G482" t="s">
        <v>205</v>
      </c>
      <c r="H482" t="s">
        <v>205</v>
      </c>
      <c r="I482" t="s">
        <v>205</v>
      </c>
      <c r="J482" t="s">
        <v>205</v>
      </c>
      <c r="K482" t="s">
        <v>205</v>
      </c>
      <c r="L482" t="s">
        <v>205</v>
      </c>
      <c r="M482" t="s">
        <v>205</v>
      </c>
      <c r="N482" t="s">
        <v>205</v>
      </c>
      <c r="O482" t="s">
        <v>205</v>
      </c>
      <c r="P482" t="s">
        <v>205</v>
      </c>
      <c r="Q482" t="s">
        <v>205</v>
      </c>
      <c r="R482" t="s">
        <v>205</v>
      </c>
      <c r="S482" t="s">
        <v>205</v>
      </c>
      <c r="T482" t="s">
        <v>205</v>
      </c>
      <c r="U482" t="s">
        <v>205</v>
      </c>
    </row>
    <row r="483" spans="1:21" x14ac:dyDescent="0.35">
      <c r="A483">
        <v>2025</v>
      </c>
      <c r="B483">
        <v>106</v>
      </c>
      <c r="C483" t="s">
        <v>296</v>
      </c>
      <c r="D483" t="s">
        <v>205</v>
      </c>
      <c r="E483" t="s">
        <v>205</v>
      </c>
      <c r="F483" t="s">
        <v>205</v>
      </c>
      <c r="G483" t="s">
        <v>205</v>
      </c>
      <c r="H483" t="s">
        <v>205</v>
      </c>
      <c r="I483" t="s">
        <v>205</v>
      </c>
      <c r="J483" t="s">
        <v>205</v>
      </c>
      <c r="K483" t="s">
        <v>205</v>
      </c>
      <c r="L483" t="s">
        <v>205</v>
      </c>
      <c r="M483" t="s">
        <v>205</v>
      </c>
      <c r="N483" t="s">
        <v>205</v>
      </c>
      <c r="O483" t="s">
        <v>205</v>
      </c>
      <c r="P483" t="s">
        <v>205</v>
      </c>
      <c r="Q483" t="s">
        <v>205</v>
      </c>
      <c r="R483" t="s">
        <v>205</v>
      </c>
      <c r="S483" t="s">
        <v>205</v>
      </c>
      <c r="T483" t="s">
        <v>205</v>
      </c>
      <c r="U483" t="s">
        <v>205</v>
      </c>
    </row>
    <row r="484" spans="1:21" x14ac:dyDescent="0.35">
      <c r="A484">
        <v>2025</v>
      </c>
      <c r="B484">
        <v>107</v>
      </c>
      <c r="C484" t="s">
        <v>296</v>
      </c>
      <c r="D484" t="s">
        <v>205</v>
      </c>
      <c r="E484" t="s">
        <v>205</v>
      </c>
      <c r="F484" t="s">
        <v>205</v>
      </c>
      <c r="G484" t="s">
        <v>205</v>
      </c>
      <c r="H484" t="s">
        <v>205</v>
      </c>
      <c r="I484" t="s">
        <v>205</v>
      </c>
      <c r="J484" t="s">
        <v>205</v>
      </c>
      <c r="K484" t="s">
        <v>205</v>
      </c>
      <c r="L484" t="s">
        <v>205</v>
      </c>
      <c r="M484" t="s">
        <v>205</v>
      </c>
      <c r="N484" t="s">
        <v>205</v>
      </c>
      <c r="O484" t="s">
        <v>205</v>
      </c>
      <c r="P484" t="s">
        <v>205</v>
      </c>
      <c r="Q484" t="s">
        <v>205</v>
      </c>
      <c r="R484" t="s">
        <v>205</v>
      </c>
      <c r="S484" t="s">
        <v>205</v>
      </c>
      <c r="T484" t="s">
        <v>205</v>
      </c>
      <c r="U484" t="s">
        <v>205</v>
      </c>
    </row>
    <row r="485" spans="1:21" x14ac:dyDescent="0.35">
      <c r="A485">
        <v>2025</v>
      </c>
      <c r="B485">
        <v>108</v>
      </c>
      <c r="C485" t="s">
        <v>296</v>
      </c>
      <c r="D485" t="s">
        <v>205</v>
      </c>
      <c r="E485" t="s">
        <v>205</v>
      </c>
      <c r="F485" t="s">
        <v>205</v>
      </c>
      <c r="G485" t="s">
        <v>205</v>
      </c>
      <c r="H485" t="s">
        <v>205</v>
      </c>
      <c r="I485" t="s">
        <v>205</v>
      </c>
      <c r="J485" t="s">
        <v>205</v>
      </c>
      <c r="K485" t="s">
        <v>205</v>
      </c>
      <c r="L485" t="s">
        <v>205</v>
      </c>
      <c r="M485" t="s">
        <v>205</v>
      </c>
      <c r="N485" t="s">
        <v>205</v>
      </c>
      <c r="O485" t="s">
        <v>205</v>
      </c>
      <c r="P485" t="s">
        <v>205</v>
      </c>
      <c r="Q485" t="s">
        <v>205</v>
      </c>
      <c r="R485" t="s">
        <v>205</v>
      </c>
      <c r="S485" t="s">
        <v>205</v>
      </c>
      <c r="T485" t="s">
        <v>205</v>
      </c>
      <c r="U485" t="s">
        <v>205</v>
      </c>
    </row>
    <row r="486" spans="1:21" x14ac:dyDescent="0.35">
      <c r="A486">
        <v>2025</v>
      </c>
      <c r="B486">
        <v>104</v>
      </c>
      <c r="C486" t="s">
        <v>296</v>
      </c>
      <c r="D486" t="s">
        <v>205</v>
      </c>
      <c r="E486" t="s">
        <v>205</v>
      </c>
      <c r="F486" t="s">
        <v>205</v>
      </c>
      <c r="G486" t="s">
        <v>205</v>
      </c>
      <c r="H486" t="s">
        <v>205</v>
      </c>
      <c r="I486" t="s">
        <v>205</v>
      </c>
      <c r="J486" t="s">
        <v>205</v>
      </c>
      <c r="K486" t="s">
        <v>205</v>
      </c>
      <c r="L486" t="s">
        <v>205</v>
      </c>
      <c r="M486" t="s">
        <v>205</v>
      </c>
      <c r="N486" t="s">
        <v>205</v>
      </c>
      <c r="O486" t="s">
        <v>205</v>
      </c>
      <c r="P486" t="s">
        <v>205</v>
      </c>
      <c r="Q486" t="s">
        <v>205</v>
      </c>
      <c r="R486" t="s">
        <v>205</v>
      </c>
      <c r="S486" t="s">
        <v>205</v>
      </c>
      <c r="T486" t="s">
        <v>205</v>
      </c>
      <c r="U486" t="s">
        <v>205</v>
      </c>
    </row>
    <row r="487" spans="1:21" x14ac:dyDescent="0.35">
      <c r="A487">
        <v>2025</v>
      </c>
      <c r="B487">
        <v>103</v>
      </c>
      <c r="C487" t="s">
        <v>296</v>
      </c>
      <c r="D487" t="s">
        <v>205</v>
      </c>
      <c r="E487" t="s">
        <v>205</v>
      </c>
      <c r="F487" t="s">
        <v>205</v>
      </c>
      <c r="G487" t="s">
        <v>205</v>
      </c>
      <c r="H487" t="s">
        <v>205</v>
      </c>
      <c r="I487" t="s">
        <v>205</v>
      </c>
      <c r="J487" t="s">
        <v>205</v>
      </c>
      <c r="K487" t="s">
        <v>205</v>
      </c>
      <c r="L487" t="s">
        <v>205</v>
      </c>
      <c r="M487" t="s">
        <v>205</v>
      </c>
      <c r="N487" t="s">
        <v>205</v>
      </c>
      <c r="O487" t="s">
        <v>205</v>
      </c>
      <c r="P487" t="s">
        <v>205</v>
      </c>
      <c r="Q487" t="s">
        <v>205</v>
      </c>
      <c r="R487" t="s">
        <v>205</v>
      </c>
      <c r="S487" t="s">
        <v>205</v>
      </c>
      <c r="T487" t="s">
        <v>205</v>
      </c>
      <c r="U487" t="s">
        <v>205</v>
      </c>
    </row>
    <row r="488" spans="1:21" x14ac:dyDescent="0.35">
      <c r="A488">
        <v>2025</v>
      </c>
      <c r="B488">
        <v>105</v>
      </c>
      <c r="C488" t="s">
        <v>267</v>
      </c>
      <c r="E488" t="s">
        <v>333</v>
      </c>
      <c r="F488" t="s">
        <v>299</v>
      </c>
      <c r="G488">
        <v>3.9</v>
      </c>
      <c r="H488">
        <v>2</v>
      </c>
      <c r="I488" t="s">
        <v>278</v>
      </c>
      <c r="J488" t="s">
        <v>180</v>
      </c>
      <c r="K488" t="s">
        <v>180</v>
      </c>
      <c r="L488" t="s">
        <v>179</v>
      </c>
      <c r="M488" t="s">
        <v>179</v>
      </c>
      <c r="N488" t="s">
        <v>180</v>
      </c>
      <c r="O488" t="s">
        <v>179</v>
      </c>
    </row>
    <row r="489" spans="1:21" x14ac:dyDescent="0.35">
      <c r="A489">
        <v>2025</v>
      </c>
      <c r="B489">
        <v>105</v>
      </c>
      <c r="C489" t="s">
        <v>277</v>
      </c>
      <c r="E489" t="s">
        <v>333</v>
      </c>
      <c r="F489" t="s">
        <v>299</v>
      </c>
      <c r="G489">
        <v>2.5</v>
      </c>
      <c r="H489">
        <v>1</v>
      </c>
      <c r="I489" t="s">
        <v>275</v>
      </c>
      <c r="J489" t="s">
        <v>180</v>
      </c>
      <c r="K489" t="s">
        <v>180</v>
      </c>
      <c r="L489" t="s">
        <v>180</v>
      </c>
      <c r="M489" t="s">
        <v>180</v>
      </c>
      <c r="N489" t="s">
        <v>180</v>
      </c>
      <c r="O489" t="s">
        <v>180</v>
      </c>
    </row>
    <row r="490" spans="1:21" x14ac:dyDescent="0.35">
      <c r="A490">
        <v>2025</v>
      </c>
      <c r="B490">
        <v>105</v>
      </c>
      <c r="C490" t="s">
        <v>277</v>
      </c>
      <c r="E490" t="s">
        <v>333</v>
      </c>
      <c r="F490" t="s">
        <v>299</v>
      </c>
      <c r="G490">
        <v>3.3</v>
      </c>
      <c r="H490">
        <v>1</v>
      </c>
      <c r="I490" t="s">
        <v>275</v>
      </c>
      <c r="J490" t="s">
        <v>180</v>
      </c>
      <c r="K490" t="s">
        <v>180</v>
      </c>
      <c r="L490" t="s">
        <v>179</v>
      </c>
      <c r="M490" t="s">
        <v>180</v>
      </c>
      <c r="N490" t="s">
        <v>180</v>
      </c>
      <c r="O490" t="s">
        <v>179</v>
      </c>
    </row>
    <row r="491" spans="1:21" x14ac:dyDescent="0.35">
      <c r="A491">
        <v>2025</v>
      </c>
      <c r="B491">
        <v>61</v>
      </c>
      <c r="C491" t="s">
        <v>273</v>
      </c>
      <c r="E491" t="s">
        <v>333</v>
      </c>
      <c r="F491" t="s">
        <v>289</v>
      </c>
      <c r="G491">
        <v>6.9</v>
      </c>
      <c r="H491">
        <v>5</v>
      </c>
      <c r="I491" t="s">
        <v>278</v>
      </c>
      <c r="J491" t="s">
        <v>180</v>
      </c>
      <c r="K491" t="s">
        <v>179</v>
      </c>
      <c r="L491" t="s">
        <v>179</v>
      </c>
      <c r="M491" t="s">
        <v>179</v>
      </c>
      <c r="N491" t="s">
        <v>180</v>
      </c>
      <c r="O491" t="s">
        <v>180</v>
      </c>
    </row>
    <row r="492" spans="1:21" x14ac:dyDescent="0.35">
      <c r="A492">
        <v>2025</v>
      </c>
      <c r="B492">
        <v>61</v>
      </c>
      <c r="C492" t="s">
        <v>292</v>
      </c>
      <c r="E492" t="s">
        <v>333</v>
      </c>
      <c r="F492" t="s">
        <v>299</v>
      </c>
      <c r="G492">
        <v>3.8</v>
      </c>
      <c r="H492">
        <v>2</v>
      </c>
      <c r="I492" t="s">
        <v>275</v>
      </c>
      <c r="J492" t="s">
        <v>180</v>
      </c>
      <c r="K492" t="s">
        <v>180</v>
      </c>
      <c r="L492" t="s">
        <v>179</v>
      </c>
      <c r="M492" t="s">
        <v>180</v>
      </c>
      <c r="N492" t="s">
        <v>180</v>
      </c>
      <c r="O492" t="s">
        <v>179</v>
      </c>
    </row>
    <row r="493" spans="1:21" x14ac:dyDescent="0.35">
      <c r="A493">
        <v>2025</v>
      </c>
      <c r="B493">
        <v>61</v>
      </c>
      <c r="C493" t="s">
        <v>292</v>
      </c>
      <c r="E493" t="s">
        <v>333</v>
      </c>
      <c r="F493" t="s">
        <v>299</v>
      </c>
      <c r="G493">
        <v>5.2</v>
      </c>
      <c r="H493">
        <v>1</v>
      </c>
      <c r="I493" t="s">
        <v>275</v>
      </c>
      <c r="J493" t="s">
        <v>180</v>
      </c>
      <c r="K493" t="s">
        <v>180</v>
      </c>
      <c r="L493" t="s">
        <v>179</v>
      </c>
      <c r="M493" t="s">
        <v>180</v>
      </c>
      <c r="N493" t="s">
        <v>180</v>
      </c>
      <c r="O493" t="s">
        <v>180</v>
      </c>
    </row>
    <row r="494" spans="1:21" x14ac:dyDescent="0.35">
      <c r="A494">
        <v>2025</v>
      </c>
      <c r="B494">
        <v>61</v>
      </c>
      <c r="C494" t="s">
        <v>292</v>
      </c>
      <c r="E494" t="s">
        <v>333</v>
      </c>
      <c r="F494" t="s">
        <v>299</v>
      </c>
      <c r="G494">
        <v>3.3</v>
      </c>
      <c r="H494">
        <v>1</v>
      </c>
      <c r="I494" t="s">
        <v>275</v>
      </c>
      <c r="J494" t="s">
        <v>180</v>
      </c>
      <c r="K494" t="s">
        <v>180</v>
      </c>
      <c r="L494" t="s">
        <v>179</v>
      </c>
      <c r="M494" t="s">
        <v>180</v>
      </c>
      <c r="N494" t="s">
        <v>179</v>
      </c>
      <c r="O494" t="s">
        <v>180</v>
      </c>
    </row>
    <row r="495" spans="1:21" x14ac:dyDescent="0.35">
      <c r="A495">
        <v>2025</v>
      </c>
      <c r="B495">
        <v>61</v>
      </c>
      <c r="C495" t="s">
        <v>267</v>
      </c>
      <c r="E495" t="s">
        <v>333</v>
      </c>
      <c r="F495" t="s">
        <v>299</v>
      </c>
      <c r="G495">
        <v>3.2</v>
      </c>
      <c r="H495">
        <v>5</v>
      </c>
      <c r="I495" t="s">
        <v>275</v>
      </c>
      <c r="J495" t="s">
        <v>180</v>
      </c>
      <c r="K495" t="s">
        <v>179</v>
      </c>
      <c r="L495" t="s">
        <v>179</v>
      </c>
      <c r="M495" t="s">
        <v>180</v>
      </c>
      <c r="N495" t="s">
        <v>179</v>
      </c>
      <c r="O495" t="s">
        <v>179</v>
      </c>
    </row>
    <row r="496" spans="1:21" x14ac:dyDescent="0.35">
      <c r="A496">
        <v>2025</v>
      </c>
      <c r="B496">
        <v>61</v>
      </c>
      <c r="C496" t="s">
        <v>267</v>
      </c>
      <c r="E496" t="s">
        <v>333</v>
      </c>
      <c r="F496" t="s">
        <v>299</v>
      </c>
      <c r="G496">
        <v>3.3</v>
      </c>
      <c r="H496">
        <v>5</v>
      </c>
      <c r="I496" t="s">
        <v>275</v>
      </c>
      <c r="J496" t="s">
        <v>180</v>
      </c>
      <c r="K496" t="s">
        <v>179</v>
      </c>
      <c r="L496" t="s">
        <v>179</v>
      </c>
      <c r="M496" t="s">
        <v>179</v>
      </c>
      <c r="N496" t="s">
        <v>179</v>
      </c>
      <c r="O496" t="s">
        <v>180</v>
      </c>
    </row>
    <row r="497" spans="1:21" x14ac:dyDescent="0.35">
      <c r="A497">
        <v>2025</v>
      </c>
      <c r="B497">
        <v>61</v>
      </c>
      <c r="C497" t="s">
        <v>277</v>
      </c>
      <c r="E497" t="s">
        <v>333</v>
      </c>
      <c r="F497" t="s">
        <v>299</v>
      </c>
      <c r="G497">
        <v>7.5</v>
      </c>
      <c r="H497">
        <v>3</v>
      </c>
      <c r="I497" t="s">
        <v>275</v>
      </c>
      <c r="J497" t="s">
        <v>180</v>
      </c>
      <c r="K497" t="s">
        <v>179</v>
      </c>
      <c r="L497" t="s">
        <v>179</v>
      </c>
      <c r="M497" t="s">
        <v>179</v>
      </c>
      <c r="N497" t="s">
        <v>179</v>
      </c>
      <c r="O497" t="s">
        <v>180</v>
      </c>
      <c r="S497" t="s">
        <v>1233</v>
      </c>
      <c r="U497" t="s">
        <v>311</v>
      </c>
    </row>
    <row r="498" spans="1:21" x14ac:dyDescent="0.35">
      <c r="A498">
        <v>2025</v>
      </c>
      <c r="B498">
        <v>61</v>
      </c>
      <c r="C498" t="s">
        <v>273</v>
      </c>
      <c r="E498" t="s">
        <v>333</v>
      </c>
      <c r="F498" t="s">
        <v>299</v>
      </c>
      <c r="G498">
        <v>4</v>
      </c>
      <c r="H498">
        <v>5</v>
      </c>
      <c r="I498" t="s">
        <v>275</v>
      </c>
      <c r="J498" t="s">
        <v>180</v>
      </c>
      <c r="K498" t="s">
        <v>179</v>
      </c>
      <c r="L498" t="s">
        <v>179</v>
      </c>
      <c r="M498" t="s">
        <v>179</v>
      </c>
      <c r="N498" t="s">
        <v>179</v>
      </c>
      <c r="O498" t="s">
        <v>179</v>
      </c>
    </row>
    <row r="499" spans="1:21" x14ac:dyDescent="0.35">
      <c r="A499">
        <v>2025</v>
      </c>
      <c r="B499">
        <v>61</v>
      </c>
      <c r="C499" t="s">
        <v>273</v>
      </c>
      <c r="E499" t="s">
        <v>333</v>
      </c>
      <c r="F499" t="s">
        <v>299</v>
      </c>
      <c r="G499">
        <v>5.7</v>
      </c>
      <c r="H499">
        <v>1</v>
      </c>
      <c r="I499" t="s">
        <v>269</v>
      </c>
      <c r="J499" t="s">
        <v>180</v>
      </c>
      <c r="K499" t="s">
        <v>180</v>
      </c>
      <c r="L499" t="s">
        <v>179</v>
      </c>
      <c r="M499" t="s">
        <v>180</v>
      </c>
      <c r="N499" t="s">
        <v>180</v>
      </c>
      <c r="O499" t="s">
        <v>180</v>
      </c>
    </row>
    <row r="500" spans="1:21" x14ac:dyDescent="0.35">
      <c r="A500">
        <v>2025</v>
      </c>
      <c r="B500">
        <v>61</v>
      </c>
      <c r="C500" t="s">
        <v>273</v>
      </c>
      <c r="E500" t="s">
        <v>333</v>
      </c>
      <c r="F500" t="s">
        <v>299</v>
      </c>
      <c r="G500">
        <v>5.2</v>
      </c>
      <c r="H500">
        <v>1</v>
      </c>
      <c r="I500" t="s">
        <v>278</v>
      </c>
      <c r="J500" t="s">
        <v>180</v>
      </c>
      <c r="K500" t="s">
        <v>180</v>
      </c>
      <c r="L500" t="s">
        <v>179</v>
      </c>
      <c r="M500" t="s">
        <v>180</v>
      </c>
      <c r="N500" t="s">
        <v>179</v>
      </c>
      <c r="O500" t="s">
        <v>179</v>
      </c>
    </row>
    <row r="501" spans="1:21" x14ac:dyDescent="0.35">
      <c r="A501">
        <v>2025</v>
      </c>
      <c r="B501">
        <v>61</v>
      </c>
      <c r="C501" t="s">
        <v>273</v>
      </c>
      <c r="E501" t="s">
        <v>333</v>
      </c>
      <c r="F501" t="s">
        <v>299</v>
      </c>
      <c r="G501">
        <v>2.5</v>
      </c>
      <c r="H501">
        <v>5</v>
      </c>
      <c r="I501" t="s">
        <v>278</v>
      </c>
      <c r="J501" t="s">
        <v>180</v>
      </c>
      <c r="K501" t="s">
        <v>179</v>
      </c>
      <c r="L501" t="s">
        <v>179</v>
      </c>
      <c r="M501" t="s">
        <v>180</v>
      </c>
      <c r="N501" t="s">
        <v>179</v>
      </c>
      <c r="O501" t="s">
        <v>179</v>
      </c>
    </row>
    <row r="502" spans="1:21" x14ac:dyDescent="0.35">
      <c r="A502">
        <v>2025</v>
      </c>
      <c r="B502">
        <v>23</v>
      </c>
      <c r="C502" t="s">
        <v>296</v>
      </c>
      <c r="E502" t="s">
        <v>205</v>
      </c>
      <c r="F502" t="s">
        <v>205</v>
      </c>
      <c r="G502" t="s">
        <v>205</v>
      </c>
      <c r="H502" t="s">
        <v>205</v>
      </c>
      <c r="I502" t="s">
        <v>205</v>
      </c>
      <c r="J502" t="s">
        <v>205</v>
      </c>
      <c r="K502" t="s">
        <v>205</v>
      </c>
      <c r="L502" t="s">
        <v>205</v>
      </c>
      <c r="M502" t="s">
        <v>205</v>
      </c>
      <c r="N502" t="s">
        <v>205</v>
      </c>
      <c r="O502" t="s">
        <v>205</v>
      </c>
      <c r="P502" t="s">
        <v>205</v>
      </c>
      <c r="Q502" t="s">
        <v>205</v>
      </c>
      <c r="R502" t="s">
        <v>205</v>
      </c>
      <c r="S502" t="s">
        <v>1234</v>
      </c>
      <c r="T502" t="s">
        <v>205</v>
      </c>
      <c r="U502" t="s">
        <v>205</v>
      </c>
    </row>
    <row r="503" spans="1:21" x14ac:dyDescent="0.35">
      <c r="A503">
        <v>2025</v>
      </c>
      <c r="B503">
        <v>66</v>
      </c>
      <c r="C503" t="s">
        <v>273</v>
      </c>
      <c r="E503" t="s">
        <v>297</v>
      </c>
      <c r="F503" t="s">
        <v>299</v>
      </c>
      <c r="G503">
        <v>4.4000000000000004</v>
      </c>
      <c r="H503">
        <v>1</v>
      </c>
      <c r="I503" t="s">
        <v>275</v>
      </c>
      <c r="J503" t="s">
        <v>180</v>
      </c>
      <c r="K503" t="s">
        <v>180</v>
      </c>
      <c r="L503" t="s">
        <v>179</v>
      </c>
      <c r="M503" t="s">
        <v>180</v>
      </c>
      <c r="N503" t="s">
        <v>180</v>
      </c>
      <c r="O503" t="s">
        <v>180</v>
      </c>
      <c r="R503" t="s">
        <v>1235</v>
      </c>
    </row>
    <row r="504" spans="1:21" x14ac:dyDescent="0.35">
      <c r="A504">
        <v>2025</v>
      </c>
      <c r="B504">
        <v>66</v>
      </c>
      <c r="C504" t="s">
        <v>292</v>
      </c>
      <c r="E504" t="s">
        <v>333</v>
      </c>
      <c r="F504" t="s">
        <v>299</v>
      </c>
      <c r="G504">
        <v>4.3</v>
      </c>
      <c r="H504">
        <v>1</v>
      </c>
      <c r="I504" t="s">
        <v>271</v>
      </c>
      <c r="J504" t="s">
        <v>180</v>
      </c>
      <c r="K504" t="s">
        <v>180</v>
      </c>
      <c r="L504" t="s">
        <v>180</v>
      </c>
      <c r="M504" t="s">
        <v>180</v>
      </c>
      <c r="N504" t="s">
        <v>180</v>
      </c>
      <c r="O504" t="s">
        <v>180</v>
      </c>
    </row>
    <row r="505" spans="1:21" x14ac:dyDescent="0.35">
      <c r="A505">
        <v>2025</v>
      </c>
      <c r="B505">
        <v>66</v>
      </c>
      <c r="C505" t="s">
        <v>292</v>
      </c>
      <c r="E505" t="s">
        <v>333</v>
      </c>
      <c r="F505" t="s">
        <v>299</v>
      </c>
      <c r="G505">
        <f>1.4+1.1</f>
        <v>2.5</v>
      </c>
      <c r="H505">
        <v>1</v>
      </c>
      <c r="I505" t="s">
        <v>278</v>
      </c>
      <c r="J505" t="s">
        <v>180</v>
      </c>
      <c r="K505" t="s">
        <v>180</v>
      </c>
      <c r="L505" t="s">
        <v>180</v>
      </c>
      <c r="M505" t="s">
        <v>180</v>
      </c>
      <c r="N505" t="s">
        <v>180</v>
      </c>
      <c r="O505" t="s">
        <v>180</v>
      </c>
      <c r="S505" t="s">
        <v>1236</v>
      </c>
    </row>
    <row r="506" spans="1:21" x14ac:dyDescent="0.35">
      <c r="A506">
        <v>2025</v>
      </c>
      <c r="B506">
        <v>66</v>
      </c>
      <c r="C506" t="s">
        <v>277</v>
      </c>
      <c r="E506" t="s">
        <v>333</v>
      </c>
      <c r="F506" t="s">
        <v>299</v>
      </c>
      <c r="G506">
        <v>3.3</v>
      </c>
      <c r="H506">
        <v>1</v>
      </c>
      <c r="I506" t="s">
        <v>275</v>
      </c>
      <c r="J506" t="s">
        <v>180</v>
      </c>
      <c r="K506" t="s">
        <v>180</v>
      </c>
      <c r="L506" t="s">
        <v>179</v>
      </c>
      <c r="M506" t="s">
        <v>179</v>
      </c>
      <c r="N506" t="s">
        <v>179</v>
      </c>
      <c r="O506" t="s">
        <v>179</v>
      </c>
    </row>
  </sheetData>
  <conditionalFormatting sqref="M1:M501 M507:M1048576">
    <cfRule type="cellIs" dxfId="1" priority="2" operator="equal">
      <formula>"y"</formula>
    </cfRule>
  </conditionalFormatting>
  <conditionalFormatting sqref="N488:O501 R503 M503:O506">
    <cfRule type="cellIs" dxfId="0" priority="1" operator="equal">
      <formul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3B2C-48B0-44A5-87D1-5C8627B3DA1A}">
  <dimension ref="A1:AB31"/>
  <sheetViews>
    <sheetView workbookViewId="0">
      <selection activeCell="K26" sqref="K26"/>
    </sheetView>
  </sheetViews>
  <sheetFormatPr defaultRowHeight="14.5" x14ac:dyDescent="0.35"/>
  <cols>
    <col min="2" max="2" width="9.453125" customWidth="1"/>
    <col min="3" max="3" width="6.26953125" customWidth="1"/>
    <col min="4" max="4" width="11.453125" customWidth="1"/>
    <col min="5" max="5" width="11.90625" bestFit="1" customWidth="1"/>
    <col min="6" max="6" width="9" customWidth="1"/>
    <col min="9" max="9" width="10.7265625" customWidth="1"/>
  </cols>
  <sheetData>
    <row r="1" spans="1:28" s="2" customFormat="1" ht="87" x14ac:dyDescent="0.35">
      <c r="A1" s="2" t="s">
        <v>92</v>
      </c>
      <c r="B1" s="2" t="s">
        <v>2</v>
      </c>
      <c r="C1" s="2" t="s">
        <v>93</v>
      </c>
      <c r="D1" s="2" t="s">
        <v>95</v>
      </c>
      <c r="E1" s="2" t="s">
        <v>97</v>
      </c>
      <c r="F1" s="2" t="s">
        <v>49</v>
      </c>
      <c r="G1" s="2" t="s">
        <v>98</v>
      </c>
      <c r="H1" s="2" t="s">
        <v>99</v>
      </c>
      <c r="I1" s="2" t="s">
        <v>100</v>
      </c>
      <c r="J1" s="2" t="s">
        <v>102</v>
      </c>
      <c r="K1" s="2" t="s">
        <v>103</v>
      </c>
      <c r="L1" s="2" t="s">
        <v>104</v>
      </c>
      <c r="M1" s="2" t="s">
        <v>105</v>
      </c>
      <c r="N1" s="2" t="s">
        <v>107</v>
      </c>
      <c r="O1" s="2" t="s">
        <v>109</v>
      </c>
      <c r="P1" s="2" t="s">
        <v>110</v>
      </c>
      <c r="Q1" s="2" t="s">
        <v>81</v>
      </c>
      <c r="R1" s="2" t="s">
        <v>112</v>
      </c>
      <c r="S1" s="2" t="s">
        <v>114</v>
      </c>
      <c r="T1" s="2" t="s">
        <v>115</v>
      </c>
      <c r="U1" s="2" t="s">
        <v>57</v>
      </c>
      <c r="V1" s="2" t="s">
        <v>58</v>
      </c>
      <c r="W1" s="2" t="s">
        <v>83</v>
      </c>
      <c r="X1" s="2" t="s">
        <v>62</v>
      </c>
      <c r="Y1" s="2" t="s">
        <v>63</v>
      </c>
      <c r="Z1" s="2" t="s">
        <v>85</v>
      </c>
      <c r="AA1" s="2" t="s">
        <v>87</v>
      </c>
      <c r="AB1" s="2" t="s">
        <v>116</v>
      </c>
    </row>
    <row r="2" spans="1:28" x14ac:dyDescent="0.35">
      <c r="A2" t="s">
        <v>237</v>
      </c>
      <c r="B2">
        <v>3</v>
      </c>
      <c r="C2" t="s">
        <v>238</v>
      </c>
      <c r="D2" t="s">
        <v>239</v>
      </c>
      <c r="E2">
        <v>1</v>
      </c>
      <c r="F2" t="s">
        <v>267</v>
      </c>
      <c r="G2">
        <v>23.29</v>
      </c>
      <c r="H2">
        <v>180</v>
      </c>
      <c r="I2">
        <v>42</v>
      </c>
      <c r="J2">
        <v>31.992999999999999</v>
      </c>
      <c r="K2">
        <v>-83</v>
      </c>
      <c r="L2">
        <v>-40.237000000000002</v>
      </c>
      <c r="M2">
        <v>25</v>
      </c>
      <c r="N2" t="s">
        <v>268</v>
      </c>
      <c r="O2">
        <v>11</v>
      </c>
      <c r="P2">
        <v>3</v>
      </c>
      <c r="Q2" t="s">
        <v>269</v>
      </c>
      <c r="R2" t="s">
        <v>205</v>
      </c>
      <c r="U2" t="s">
        <v>179</v>
      </c>
      <c r="V2" t="s">
        <v>179</v>
      </c>
      <c r="W2" t="s">
        <v>179</v>
      </c>
      <c r="X2" t="s">
        <v>179</v>
      </c>
      <c r="Y2" t="s">
        <v>179</v>
      </c>
    </row>
    <row r="3" spans="1:28" x14ac:dyDescent="0.35">
      <c r="A3" t="s">
        <v>237</v>
      </c>
      <c r="B3">
        <v>45</v>
      </c>
      <c r="C3" t="s">
        <v>238</v>
      </c>
      <c r="D3" t="s">
        <v>239</v>
      </c>
      <c r="E3">
        <v>2</v>
      </c>
      <c r="F3" t="s">
        <v>267</v>
      </c>
      <c r="G3">
        <v>25</v>
      </c>
      <c r="H3">
        <v>227</v>
      </c>
      <c r="I3">
        <v>42</v>
      </c>
      <c r="J3">
        <v>31.879000000000001</v>
      </c>
      <c r="K3">
        <v>-83</v>
      </c>
      <c r="L3">
        <v>-40.119999999999997</v>
      </c>
      <c r="M3">
        <v>7</v>
      </c>
      <c r="N3" t="s">
        <v>270</v>
      </c>
      <c r="O3">
        <v>9.9</v>
      </c>
      <c r="P3">
        <v>1</v>
      </c>
      <c r="Q3" t="s">
        <v>271</v>
      </c>
      <c r="R3" t="s">
        <v>205</v>
      </c>
      <c r="U3" t="s">
        <v>180</v>
      </c>
      <c r="V3" t="s">
        <v>180</v>
      </c>
      <c r="W3" t="s">
        <v>180</v>
      </c>
      <c r="X3" t="s">
        <v>179</v>
      </c>
      <c r="Y3" t="s">
        <v>180</v>
      </c>
      <c r="Z3">
        <v>0</v>
      </c>
      <c r="AA3">
        <v>0</v>
      </c>
      <c r="AB3" t="s">
        <v>272</v>
      </c>
    </row>
    <row r="4" spans="1:28" x14ac:dyDescent="0.35">
      <c r="A4" t="s">
        <v>248</v>
      </c>
      <c r="B4">
        <v>63</v>
      </c>
      <c r="C4" t="s">
        <v>238</v>
      </c>
      <c r="D4" t="s">
        <v>239</v>
      </c>
      <c r="E4">
        <v>3</v>
      </c>
      <c r="F4" t="s">
        <v>273</v>
      </c>
      <c r="G4">
        <v>14.2</v>
      </c>
      <c r="H4">
        <v>0</v>
      </c>
      <c r="I4">
        <v>42</v>
      </c>
      <c r="J4">
        <v>30.306000000000001</v>
      </c>
      <c r="K4">
        <v>-83</v>
      </c>
      <c r="L4">
        <v>-42.665999999999997</v>
      </c>
      <c r="M4">
        <v>16</v>
      </c>
      <c r="N4" t="s">
        <v>274</v>
      </c>
      <c r="O4">
        <v>3.72</v>
      </c>
      <c r="P4">
        <v>1</v>
      </c>
      <c r="Q4" t="s">
        <v>275</v>
      </c>
      <c r="R4" t="s">
        <v>276</v>
      </c>
      <c r="U4" t="s">
        <v>180</v>
      </c>
      <c r="V4" t="s">
        <v>180</v>
      </c>
      <c r="W4" t="s">
        <v>180</v>
      </c>
      <c r="X4" t="s">
        <v>180</v>
      </c>
      <c r="Y4" t="s">
        <v>180</v>
      </c>
      <c r="Z4">
        <v>0</v>
      </c>
      <c r="AA4">
        <v>0</v>
      </c>
    </row>
    <row r="5" spans="1:28" x14ac:dyDescent="0.35">
      <c r="A5" t="s">
        <v>248</v>
      </c>
      <c r="B5">
        <v>63</v>
      </c>
      <c r="C5" t="s">
        <v>238</v>
      </c>
      <c r="D5" t="s">
        <v>239</v>
      </c>
      <c r="E5">
        <v>4</v>
      </c>
      <c r="F5" t="s">
        <v>277</v>
      </c>
      <c r="G5">
        <v>5.97</v>
      </c>
      <c r="H5">
        <v>299</v>
      </c>
      <c r="I5">
        <v>42</v>
      </c>
      <c r="J5">
        <v>30.303000000000001</v>
      </c>
      <c r="K5">
        <v>-83</v>
      </c>
      <c r="L5">
        <v>-42.667999999999999</v>
      </c>
      <c r="M5">
        <v>12</v>
      </c>
      <c r="N5" t="s">
        <v>274</v>
      </c>
      <c r="O5">
        <v>8.1999999999999993</v>
      </c>
      <c r="P5">
        <v>1</v>
      </c>
      <c r="Q5" t="s">
        <v>278</v>
      </c>
      <c r="R5" t="s">
        <v>276</v>
      </c>
      <c r="U5" t="s">
        <v>180</v>
      </c>
      <c r="V5" t="s">
        <v>180</v>
      </c>
      <c r="W5" t="s">
        <v>180</v>
      </c>
      <c r="X5" t="s">
        <v>180</v>
      </c>
      <c r="Y5" t="s">
        <v>180</v>
      </c>
      <c r="Z5">
        <v>0</v>
      </c>
      <c r="AA5">
        <v>0</v>
      </c>
      <c r="AB5" t="s">
        <v>279</v>
      </c>
    </row>
    <row r="6" spans="1:28" x14ac:dyDescent="0.35">
      <c r="A6" t="s">
        <v>250</v>
      </c>
      <c r="B6">
        <v>39</v>
      </c>
      <c r="C6" t="s">
        <v>238</v>
      </c>
      <c r="D6" t="s">
        <v>251</v>
      </c>
      <c r="E6">
        <v>5</v>
      </c>
      <c r="F6" t="s">
        <v>273</v>
      </c>
      <c r="G6">
        <v>20</v>
      </c>
      <c r="H6">
        <v>46</v>
      </c>
      <c r="I6">
        <v>42</v>
      </c>
      <c r="J6">
        <v>34.466999999999999</v>
      </c>
      <c r="K6">
        <v>-83</v>
      </c>
      <c r="L6">
        <v>-32.816000000000003</v>
      </c>
      <c r="M6">
        <v>8</v>
      </c>
      <c r="N6" t="s">
        <v>280</v>
      </c>
      <c r="O6">
        <v>4.4800000000000004</v>
      </c>
      <c r="P6">
        <v>1</v>
      </c>
      <c r="Q6" t="s">
        <v>278</v>
      </c>
      <c r="R6" t="s">
        <v>270</v>
      </c>
      <c r="U6" t="s">
        <v>180</v>
      </c>
      <c r="V6" t="s">
        <v>180</v>
      </c>
      <c r="W6" t="s">
        <v>180</v>
      </c>
      <c r="X6" t="s">
        <v>180</v>
      </c>
      <c r="Y6" t="s">
        <v>180</v>
      </c>
      <c r="Z6">
        <v>0</v>
      </c>
      <c r="AA6">
        <v>0</v>
      </c>
    </row>
    <row r="7" spans="1:28" x14ac:dyDescent="0.35">
      <c r="A7" t="s">
        <v>250</v>
      </c>
      <c r="B7">
        <v>39</v>
      </c>
      <c r="C7" t="s">
        <v>238</v>
      </c>
      <c r="D7" t="s">
        <v>251</v>
      </c>
      <c r="E7">
        <v>6</v>
      </c>
      <c r="F7" t="s">
        <v>277</v>
      </c>
      <c r="G7">
        <v>16</v>
      </c>
      <c r="H7">
        <v>300</v>
      </c>
      <c r="I7">
        <v>42</v>
      </c>
      <c r="J7">
        <v>34.459000000000003</v>
      </c>
      <c r="K7">
        <v>-83</v>
      </c>
      <c r="L7">
        <v>-32.835000000000001</v>
      </c>
      <c r="M7">
        <v>9</v>
      </c>
      <c r="N7" t="s">
        <v>270</v>
      </c>
      <c r="O7">
        <v>11.5</v>
      </c>
      <c r="P7">
        <v>1</v>
      </c>
      <c r="Q7" t="s">
        <v>269</v>
      </c>
      <c r="U7" t="s">
        <v>180</v>
      </c>
      <c r="V7" t="s">
        <v>180</v>
      </c>
      <c r="W7" t="s">
        <v>180</v>
      </c>
      <c r="X7" t="s">
        <v>180</v>
      </c>
      <c r="Y7" t="s">
        <v>179</v>
      </c>
      <c r="Z7">
        <v>0</v>
      </c>
      <c r="AA7">
        <v>0</v>
      </c>
      <c r="AB7" t="s">
        <v>281</v>
      </c>
    </row>
    <row r="8" spans="1:28" x14ac:dyDescent="0.35">
      <c r="A8" t="s">
        <v>253</v>
      </c>
      <c r="B8">
        <v>86</v>
      </c>
      <c r="C8" t="s">
        <v>238</v>
      </c>
      <c r="D8" t="s">
        <v>254</v>
      </c>
      <c r="E8">
        <v>7</v>
      </c>
      <c r="F8" t="s">
        <v>277</v>
      </c>
      <c r="G8">
        <v>10</v>
      </c>
      <c r="H8">
        <v>345</v>
      </c>
      <c r="I8">
        <v>42</v>
      </c>
      <c r="J8">
        <v>38.715000000000003</v>
      </c>
      <c r="K8">
        <v>-83</v>
      </c>
      <c r="L8">
        <v>-33.054000000000002</v>
      </c>
      <c r="M8">
        <v>5</v>
      </c>
      <c r="N8" t="s">
        <v>282</v>
      </c>
      <c r="O8" t="s">
        <v>205</v>
      </c>
      <c r="P8" t="s">
        <v>205</v>
      </c>
      <c r="Q8" t="s">
        <v>275</v>
      </c>
      <c r="R8" t="s">
        <v>276</v>
      </c>
      <c r="U8" t="s">
        <v>205</v>
      </c>
      <c r="V8" t="s">
        <v>205</v>
      </c>
      <c r="W8" t="s">
        <v>205</v>
      </c>
      <c r="X8" t="s">
        <v>205</v>
      </c>
      <c r="Y8" t="s">
        <v>205</v>
      </c>
      <c r="Z8" t="s">
        <v>205</v>
      </c>
      <c r="AA8" t="s">
        <v>205</v>
      </c>
      <c r="AB8" t="s">
        <v>283</v>
      </c>
    </row>
    <row r="9" spans="1:28" x14ac:dyDescent="0.35">
      <c r="A9" t="s">
        <v>253</v>
      </c>
      <c r="B9">
        <v>86</v>
      </c>
      <c r="C9" t="s">
        <v>238</v>
      </c>
      <c r="D9" t="s">
        <v>254</v>
      </c>
      <c r="E9">
        <v>8</v>
      </c>
      <c r="F9" t="s">
        <v>273</v>
      </c>
      <c r="G9">
        <v>18</v>
      </c>
      <c r="H9">
        <v>13</v>
      </c>
      <c r="I9">
        <v>42</v>
      </c>
      <c r="J9">
        <v>38.723999999999997</v>
      </c>
      <c r="K9">
        <v>-83</v>
      </c>
      <c r="L9">
        <v>-33.055999999999997</v>
      </c>
      <c r="M9">
        <v>5</v>
      </c>
      <c r="N9" t="s">
        <v>282</v>
      </c>
      <c r="O9" t="s">
        <v>205</v>
      </c>
      <c r="P9" t="s">
        <v>205</v>
      </c>
      <c r="Q9" t="s">
        <v>275</v>
      </c>
      <c r="R9" t="s">
        <v>276</v>
      </c>
      <c r="U9" t="s">
        <v>205</v>
      </c>
      <c r="V9" t="s">
        <v>205</v>
      </c>
      <c r="W9" t="s">
        <v>205</v>
      </c>
      <c r="X9" t="s">
        <v>205</v>
      </c>
      <c r="Y9" t="s">
        <v>205</v>
      </c>
      <c r="Z9" t="s">
        <v>205</v>
      </c>
      <c r="AA9" t="s">
        <v>205</v>
      </c>
      <c r="AB9" t="s">
        <v>283</v>
      </c>
    </row>
    <row r="10" spans="1:28" x14ac:dyDescent="0.35">
      <c r="A10" t="s">
        <v>175</v>
      </c>
      <c r="B10">
        <v>53</v>
      </c>
      <c r="C10" t="s">
        <v>238</v>
      </c>
      <c r="D10" t="s">
        <v>257</v>
      </c>
      <c r="E10">
        <v>9</v>
      </c>
      <c r="F10" t="s">
        <v>277</v>
      </c>
      <c r="G10">
        <v>19.55</v>
      </c>
      <c r="H10">
        <v>295</v>
      </c>
      <c r="I10">
        <v>42</v>
      </c>
      <c r="J10">
        <v>40.661999999999999</v>
      </c>
      <c r="K10">
        <v>-83</v>
      </c>
      <c r="L10">
        <v>-29.109000000000002</v>
      </c>
      <c r="M10">
        <v>10</v>
      </c>
      <c r="N10" t="s">
        <v>284</v>
      </c>
      <c r="O10">
        <v>7.2</v>
      </c>
      <c r="P10">
        <v>1</v>
      </c>
      <c r="Q10" t="s">
        <v>269</v>
      </c>
      <c r="R10" t="s">
        <v>285</v>
      </c>
      <c r="U10" t="s">
        <v>180</v>
      </c>
      <c r="V10" t="s">
        <v>180</v>
      </c>
      <c r="W10" t="s">
        <v>179</v>
      </c>
      <c r="X10" t="s">
        <v>179</v>
      </c>
      <c r="Y10" t="s">
        <v>179</v>
      </c>
      <c r="Z10">
        <v>0</v>
      </c>
      <c r="AA10">
        <v>0</v>
      </c>
    </row>
    <row r="11" spans="1:28" x14ac:dyDescent="0.35">
      <c r="A11" t="s">
        <v>175</v>
      </c>
      <c r="B11">
        <v>53</v>
      </c>
      <c r="C11" t="s">
        <v>238</v>
      </c>
      <c r="D11" t="s">
        <v>257</v>
      </c>
      <c r="E11">
        <v>10</v>
      </c>
      <c r="F11" t="s">
        <v>267</v>
      </c>
      <c r="G11">
        <v>25</v>
      </c>
      <c r="H11">
        <v>265</v>
      </c>
      <c r="I11">
        <v>42</v>
      </c>
      <c r="J11">
        <v>40.646000000000001</v>
      </c>
      <c r="K11">
        <v>-83</v>
      </c>
      <c r="L11">
        <v>-29.102</v>
      </c>
      <c r="M11">
        <v>20</v>
      </c>
      <c r="N11" t="s">
        <v>286</v>
      </c>
      <c r="O11">
        <v>2.1</v>
      </c>
      <c r="P11">
        <v>1</v>
      </c>
      <c r="Q11" t="s">
        <v>275</v>
      </c>
      <c r="R11" t="s">
        <v>285</v>
      </c>
      <c r="U11" t="s">
        <v>180</v>
      </c>
      <c r="V11" t="s">
        <v>180</v>
      </c>
      <c r="W11" t="s">
        <v>180</v>
      </c>
      <c r="X11" t="s">
        <v>180</v>
      </c>
      <c r="Y11" t="s">
        <v>180</v>
      </c>
      <c r="Z11">
        <v>0</v>
      </c>
      <c r="AA11">
        <v>0</v>
      </c>
    </row>
    <row r="12" spans="1:28" x14ac:dyDescent="0.35">
      <c r="A12" t="s">
        <v>260</v>
      </c>
      <c r="B12">
        <v>78</v>
      </c>
      <c r="C12" t="s">
        <v>238</v>
      </c>
      <c r="D12" t="s">
        <v>254</v>
      </c>
      <c r="E12">
        <v>11</v>
      </c>
      <c r="F12" t="s">
        <v>273</v>
      </c>
      <c r="G12">
        <v>18</v>
      </c>
      <c r="H12">
        <v>62</v>
      </c>
      <c r="I12">
        <v>42</v>
      </c>
      <c r="J12">
        <v>42.295000000000002</v>
      </c>
      <c r="K12">
        <v>-83</v>
      </c>
      <c r="L12">
        <v>-29.637</v>
      </c>
      <c r="M12">
        <v>30</v>
      </c>
      <c r="N12" t="s">
        <v>287</v>
      </c>
      <c r="O12">
        <v>2.78</v>
      </c>
      <c r="P12">
        <v>1</v>
      </c>
      <c r="Q12" t="s">
        <v>278</v>
      </c>
      <c r="R12" t="s">
        <v>276</v>
      </c>
      <c r="U12" t="s">
        <v>180</v>
      </c>
      <c r="V12" t="s">
        <v>180</v>
      </c>
      <c r="W12" t="s">
        <v>179</v>
      </c>
      <c r="X12" t="s">
        <v>180</v>
      </c>
      <c r="Y12" t="s">
        <v>180</v>
      </c>
      <c r="Z12">
        <v>0</v>
      </c>
      <c r="AA12">
        <v>0</v>
      </c>
    </row>
    <row r="13" spans="1:28" x14ac:dyDescent="0.35">
      <c r="A13" t="s">
        <v>260</v>
      </c>
      <c r="B13">
        <v>78</v>
      </c>
      <c r="C13" t="s">
        <v>238</v>
      </c>
      <c r="D13" t="s">
        <v>254</v>
      </c>
      <c r="E13">
        <v>12</v>
      </c>
      <c r="F13" t="s">
        <v>267</v>
      </c>
      <c r="G13">
        <v>40</v>
      </c>
      <c r="H13">
        <v>210</v>
      </c>
      <c r="I13">
        <v>42</v>
      </c>
      <c r="J13">
        <v>42.276000000000003</v>
      </c>
      <c r="K13">
        <v>-83</v>
      </c>
      <c r="L13">
        <v>-29.648</v>
      </c>
      <c r="M13">
        <v>9</v>
      </c>
      <c r="N13" t="s">
        <v>288</v>
      </c>
      <c r="O13">
        <v>9.31</v>
      </c>
      <c r="P13">
        <v>1</v>
      </c>
      <c r="Q13" t="s">
        <v>269</v>
      </c>
      <c r="R13" t="s">
        <v>289</v>
      </c>
      <c r="U13" t="s">
        <v>180</v>
      </c>
      <c r="V13" t="s">
        <v>180</v>
      </c>
      <c r="W13" t="s">
        <v>180</v>
      </c>
      <c r="X13" t="s">
        <v>179</v>
      </c>
      <c r="Y13" t="s">
        <v>179</v>
      </c>
      <c r="Z13">
        <v>0</v>
      </c>
      <c r="AA13">
        <v>0</v>
      </c>
      <c r="AB13" t="s">
        <v>290</v>
      </c>
    </row>
    <row r="14" spans="1:28" x14ac:dyDescent="0.35">
      <c r="A14" t="s">
        <v>175</v>
      </c>
      <c r="B14">
        <v>53</v>
      </c>
      <c r="C14" t="s">
        <v>264</v>
      </c>
      <c r="D14" t="s">
        <v>257</v>
      </c>
      <c r="E14">
        <v>13</v>
      </c>
      <c r="F14" t="s">
        <v>267</v>
      </c>
      <c r="G14">
        <v>17.72</v>
      </c>
      <c r="H14">
        <v>245</v>
      </c>
      <c r="I14">
        <v>42</v>
      </c>
      <c r="J14">
        <v>40.655000000000001</v>
      </c>
      <c r="K14">
        <v>-83</v>
      </c>
      <c r="L14">
        <v>-29.103999999999999</v>
      </c>
      <c r="M14">
        <v>20</v>
      </c>
      <c r="N14" t="s">
        <v>291</v>
      </c>
      <c r="O14">
        <v>6.95</v>
      </c>
      <c r="P14">
        <v>1</v>
      </c>
      <c r="Q14" t="s">
        <v>275</v>
      </c>
      <c r="R14" t="s">
        <v>285</v>
      </c>
      <c r="U14" t="s">
        <v>180</v>
      </c>
      <c r="V14" t="s">
        <v>180</v>
      </c>
      <c r="W14" t="s">
        <v>180</v>
      </c>
      <c r="X14" t="s">
        <v>179</v>
      </c>
      <c r="Y14" t="s">
        <v>180</v>
      </c>
      <c r="Z14">
        <v>0</v>
      </c>
      <c r="AA14">
        <v>0</v>
      </c>
    </row>
    <row r="15" spans="1:28" x14ac:dyDescent="0.35">
      <c r="A15" t="s">
        <v>175</v>
      </c>
      <c r="B15">
        <v>53</v>
      </c>
      <c r="C15" t="s">
        <v>264</v>
      </c>
      <c r="D15" t="s">
        <v>257</v>
      </c>
      <c r="E15">
        <v>14</v>
      </c>
      <c r="F15" t="s">
        <v>277</v>
      </c>
      <c r="G15">
        <v>30</v>
      </c>
      <c r="H15">
        <v>307</v>
      </c>
      <c r="I15">
        <v>42</v>
      </c>
      <c r="J15">
        <v>40.665999999999997</v>
      </c>
      <c r="K15">
        <v>-83</v>
      </c>
      <c r="L15">
        <v>-29.119</v>
      </c>
      <c r="M15">
        <v>12</v>
      </c>
      <c r="N15" t="s">
        <v>285</v>
      </c>
      <c r="O15">
        <v>4.4000000000000004</v>
      </c>
      <c r="P15">
        <v>1</v>
      </c>
      <c r="Q15" t="s">
        <v>278</v>
      </c>
      <c r="R15" t="s">
        <v>205</v>
      </c>
      <c r="U15" t="s">
        <v>180</v>
      </c>
      <c r="V15" t="s">
        <v>180</v>
      </c>
      <c r="W15" t="s">
        <v>179</v>
      </c>
      <c r="X15" t="s">
        <v>180</v>
      </c>
      <c r="Y15" t="s">
        <v>180</v>
      </c>
      <c r="Z15">
        <v>0</v>
      </c>
      <c r="AA15">
        <v>0</v>
      </c>
    </row>
    <row r="16" spans="1:28" x14ac:dyDescent="0.35">
      <c r="A16" t="s">
        <v>175</v>
      </c>
      <c r="B16">
        <v>53</v>
      </c>
      <c r="C16" t="s">
        <v>264</v>
      </c>
      <c r="D16" t="s">
        <v>257</v>
      </c>
      <c r="E16">
        <v>15</v>
      </c>
      <c r="F16" t="s">
        <v>277</v>
      </c>
      <c r="G16">
        <v>30</v>
      </c>
      <c r="H16">
        <v>302</v>
      </c>
      <c r="I16">
        <v>42</v>
      </c>
      <c r="J16">
        <v>40.665999999999997</v>
      </c>
      <c r="K16">
        <v>-83</v>
      </c>
      <c r="L16">
        <v>-29.114999999999998</v>
      </c>
      <c r="M16">
        <v>20</v>
      </c>
      <c r="N16" t="s">
        <v>285</v>
      </c>
      <c r="O16">
        <v>10</v>
      </c>
      <c r="P16">
        <v>2</v>
      </c>
      <c r="Q16" t="s">
        <v>269</v>
      </c>
      <c r="R16" t="s">
        <v>205</v>
      </c>
      <c r="U16" t="s">
        <v>180</v>
      </c>
      <c r="V16" t="s">
        <v>179</v>
      </c>
      <c r="W16" t="s">
        <v>179</v>
      </c>
      <c r="X16" t="s">
        <v>180</v>
      </c>
      <c r="Y16" t="s">
        <v>179</v>
      </c>
      <c r="Z16">
        <v>0</v>
      </c>
      <c r="AA16">
        <v>0</v>
      </c>
    </row>
    <row r="17" spans="1:28" s="11" customFormat="1" x14ac:dyDescent="0.35">
      <c r="A17" s="11" t="s">
        <v>175</v>
      </c>
      <c r="B17" s="11">
        <v>53</v>
      </c>
      <c r="C17" s="11" t="s">
        <v>176</v>
      </c>
      <c r="D17" s="11" t="s">
        <v>177</v>
      </c>
      <c r="E17" s="11">
        <v>101</v>
      </c>
      <c r="F17" s="11" t="s">
        <v>292</v>
      </c>
      <c r="H17" s="11">
        <v>162</v>
      </c>
      <c r="I17" s="11">
        <v>42</v>
      </c>
      <c r="J17" s="11">
        <v>40.656999999999996</v>
      </c>
      <c r="K17" s="11">
        <v>-83</v>
      </c>
      <c r="L17" s="11">
        <v>-29.094000000000001</v>
      </c>
      <c r="M17" s="11">
        <v>5</v>
      </c>
      <c r="N17" s="11" t="s">
        <v>293</v>
      </c>
      <c r="O17" s="11">
        <v>3.2</v>
      </c>
      <c r="P17" s="11">
        <v>3</v>
      </c>
      <c r="Q17" s="11" t="s">
        <v>275</v>
      </c>
      <c r="R17" s="11" t="s">
        <v>205</v>
      </c>
      <c r="U17" s="11" t="s">
        <v>180</v>
      </c>
      <c r="V17" s="11" t="s">
        <v>180</v>
      </c>
      <c r="W17" s="11" t="s">
        <v>179</v>
      </c>
      <c r="X17" s="11" t="s">
        <v>179</v>
      </c>
      <c r="Y17" s="11" t="s">
        <v>179</v>
      </c>
      <c r="Z17" s="11">
        <v>0</v>
      </c>
      <c r="AA17" s="11">
        <v>0</v>
      </c>
      <c r="AB17" s="11" t="s">
        <v>294</v>
      </c>
    </row>
    <row r="18" spans="1:28" x14ac:dyDescent="0.35">
      <c r="A18" t="s">
        <v>175</v>
      </c>
      <c r="B18">
        <v>53</v>
      </c>
      <c r="C18" t="s">
        <v>176</v>
      </c>
      <c r="D18" t="s">
        <v>177</v>
      </c>
      <c r="E18">
        <v>102</v>
      </c>
      <c r="F18" t="s">
        <v>267</v>
      </c>
      <c r="I18">
        <v>42</v>
      </c>
      <c r="J18">
        <v>40.646999999999998</v>
      </c>
      <c r="K18">
        <v>-83</v>
      </c>
      <c r="L18">
        <v>-29.113</v>
      </c>
      <c r="M18">
        <v>5</v>
      </c>
      <c r="N18" t="s">
        <v>293</v>
      </c>
      <c r="O18">
        <v>5.2</v>
      </c>
      <c r="P18">
        <v>1</v>
      </c>
      <c r="Q18" t="s">
        <v>278</v>
      </c>
      <c r="R18" t="s">
        <v>205</v>
      </c>
      <c r="U18" t="s">
        <v>180</v>
      </c>
      <c r="V18" t="s">
        <v>180</v>
      </c>
      <c r="W18" t="s">
        <v>179</v>
      </c>
      <c r="X18" t="s">
        <v>180</v>
      </c>
      <c r="Y18" t="s">
        <v>180</v>
      </c>
      <c r="Z18">
        <v>0</v>
      </c>
      <c r="AA18">
        <v>0</v>
      </c>
    </row>
    <row r="19" spans="1:28" x14ac:dyDescent="0.35">
      <c r="A19" t="s">
        <v>175</v>
      </c>
      <c r="B19">
        <v>53</v>
      </c>
      <c r="C19" t="s">
        <v>176</v>
      </c>
      <c r="D19" t="s">
        <v>177</v>
      </c>
      <c r="E19">
        <v>103</v>
      </c>
      <c r="F19" t="s">
        <v>267</v>
      </c>
      <c r="I19">
        <v>42</v>
      </c>
      <c r="J19">
        <v>40.646999999999998</v>
      </c>
      <c r="K19">
        <v>-83</v>
      </c>
      <c r="L19">
        <v>-29.109000000000002</v>
      </c>
      <c r="M19">
        <v>4.5999999999999996</v>
      </c>
      <c r="N19" t="s">
        <v>293</v>
      </c>
      <c r="O19">
        <v>6.6</v>
      </c>
      <c r="P19">
        <v>1</v>
      </c>
      <c r="Q19" t="s">
        <v>275</v>
      </c>
      <c r="R19" t="s">
        <v>205</v>
      </c>
      <c r="U19" t="s">
        <v>180</v>
      </c>
      <c r="V19" t="s">
        <v>180</v>
      </c>
      <c r="W19" t="s">
        <v>179</v>
      </c>
      <c r="X19" t="s">
        <v>179</v>
      </c>
      <c r="Y19" t="s">
        <v>180</v>
      </c>
      <c r="Z19">
        <v>0</v>
      </c>
      <c r="AA19">
        <v>0</v>
      </c>
    </row>
    <row r="20" spans="1:28" x14ac:dyDescent="0.35">
      <c r="A20" t="s">
        <v>175</v>
      </c>
      <c r="B20">
        <v>53</v>
      </c>
      <c r="C20" t="s">
        <v>176</v>
      </c>
      <c r="D20" t="s">
        <v>177</v>
      </c>
      <c r="E20">
        <v>104</v>
      </c>
      <c r="F20" t="s">
        <v>267</v>
      </c>
      <c r="I20">
        <v>42</v>
      </c>
      <c r="J20">
        <v>40.65</v>
      </c>
      <c r="K20">
        <v>-83</v>
      </c>
      <c r="L20">
        <v>-29.106000000000002</v>
      </c>
      <c r="M20">
        <v>4.5999999999999996</v>
      </c>
      <c r="N20" t="s">
        <v>293</v>
      </c>
      <c r="O20">
        <v>7.2</v>
      </c>
      <c r="P20">
        <v>1</v>
      </c>
      <c r="Q20" t="s">
        <v>275</v>
      </c>
      <c r="R20" t="s">
        <v>205</v>
      </c>
      <c r="U20" t="s">
        <v>180</v>
      </c>
      <c r="V20" t="s">
        <v>180</v>
      </c>
      <c r="W20" t="s">
        <v>179</v>
      </c>
      <c r="X20" t="s">
        <v>179</v>
      </c>
      <c r="Y20" t="s">
        <v>180</v>
      </c>
      <c r="Z20">
        <v>0</v>
      </c>
      <c r="AA20">
        <v>0</v>
      </c>
    </row>
    <row r="21" spans="1:28" s="11" customFormat="1" x14ac:dyDescent="0.35">
      <c r="A21" s="11" t="s">
        <v>175</v>
      </c>
      <c r="B21" s="11">
        <v>53</v>
      </c>
      <c r="C21" s="11" t="s">
        <v>176</v>
      </c>
      <c r="D21" s="11" t="s">
        <v>177</v>
      </c>
      <c r="E21" s="11">
        <v>105</v>
      </c>
      <c r="F21" s="11" t="s">
        <v>267</v>
      </c>
      <c r="I21" s="11">
        <v>42</v>
      </c>
      <c r="J21" s="11">
        <v>40.655000000000001</v>
      </c>
      <c r="K21" s="11">
        <v>-83</v>
      </c>
      <c r="L21" s="11">
        <v>-29.113</v>
      </c>
      <c r="M21" s="11">
        <v>5</v>
      </c>
      <c r="N21" s="11" t="s">
        <v>293</v>
      </c>
      <c r="O21" s="11">
        <v>3.1</v>
      </c>
      <c r="P21" s="11">
        <v>3</v>
      </c>
      <c r="Q21" s="11" t="s">
        <v>278</v>
      </c>
      <c r="R21" s="11" t="s">
        <v>205</v>
      </c>
      <c r="U21" s="11" t="s">
        <v>179</v>
      </c>
      <c r="V21" s="11" t="s">
        <v>180</v>
      </c>
      <c r="W21" s="11" t="s">
        <v>179</v>
      </c>
      <c r="X21" s="11" t="s">
        <v>179</v>
      </c>
      <c r="Y21" s="11" t="s">
        <v>179</v>
      </c>
      <c r="Z21" s="11">
        <v>1</v>
      </c>
      <c r="AA21" s="11">
        <v>0</v>
      </c>
    </row>
    <row r="22" spans="1:28" x14ac:dyDescent="0.35">
      <c r="A22" t="s">
        <v>175</v>
      </c>
      <c r="B22">
        <v>53</v>
      </c>
      <c r="C22" t="s">
        <v>176</v>
      </c>
      <c r="D22" t="s">
        <v>177</v>
      </c>
      <c r="E22">
        <v>106</v>
      </c>
      <c r="F22" t="s">
        <v>277</v>
      </c>
      <c r="I22">
        <v>42</v>
      </c>
      <c r="J22">
        <v>40.659999999999997</v>
      </c>
      <c r="K22">
        <v>-83</v>
      </c>
      <c r="L22">
        <v>-29.111000000000001</v>
      </c>
      <c r="M22">
        <v>5</v>
      </c>
      <c r="N22" t="s">
        <v>293</v>
      </c>
      <c r="O22">
        <v>5.9</v>
      </c>
      <c r="P22">
        <v>1</v>
      </c>
      <c r="Q22" t="s">
        <v>278</v>
      </c>
      <c r="R22" t="s">
        <v>205</v>
      </c>
      <c r="U22" t="s">
        <v>180</v>
      </c>
      <c r="V22" t="s">
        <v>180</v>
      </c>
      <c r="W22" t="s">
        <v>179</v>
      </c>
      <c r="X22" t="s">
        <v>180</v>
      </c>
      <c r="Y22" t="s">
        <v>180</v>
      </c>
      <c r="Z22">
        <v>0</v>
      </c>
      <c r="AA22">
        <v>0</v>
      </c>
    </row>
    <row r="23" spans="1:28" x14ac:dyDescent="0.35">
      <c r="A23" t="s">
        <v>175</v>
      </c>
      <c r="B23">
        <v>53</v>
      </c>
      <c r="C23" t="s">
        <v>176</v>
      </c>
      <c r="D23" t="s">
        <v>177</v>
      </c>
      <c r="E23">
        <v>107</v>
      </c>
      <c r="F23" t="s">
        <v>277</v>
      </c>
      <c r="I23">
        <v>42</v>
      </c>
      <c r="J23">
        <v>40.661999999999999</v>
      </c>
      <c r="K23">
        <v>-83</v>
      </c>
      <c r="L23">
        <v>-29.106999999999999</v>
      </c>
      <c r="M23">
        <v>5</v>
      </c>
      <c r="N23" t="s">
        <v>293</v>
      </c>
      <c r="O23">
        <v>3.6</v>
      </c>
      <c r="P23">
        <v>1</v>
      </c>
      <c r="Q23" t="s">
        <v>278</v>
      </c>
      <c r="R23" t="s">
        <v>205</v>
      </c>
      <c r="U23" t="s">
        <v>180</v>
      </c>
      <c r="V23" t="s">
        <v>180</v>
      </c>
      <c r="W23" t="s">
        <v>180</v>
      </c>
      <c r="X23" t="s">
        <v>179</v>
      </c>
      <c r="Y23" t="s">
        <v>180</v>
      </c>
      <c r="Z23">
        <v>0</v>
      </c>
      <c r="AA23">
        <v>0</v>
      </c>
    </row>
    <row r="24" spans="1:28" x14ac:dyDescent="0.35">
      <c r="A24" t="s">
        <v>175</v>
      </c>
      <c r="B24">
        <v>53</v>
      </c>
      <c r="C24" t="s">
        <v>176</v>
      </c>
      <c r="D24" t="s">
        <v>177</v>
      </c>
      <c r="E24">
        <v>108</v>
      </c>
      <c r="F24" t="s">
        <v>277</v>
      </c>
      <c r="I24">
        <v>42</v>
      </c>
      <c r="J24">
        <v>40.662999999999997</v>
      </c>
      <c r="K24">
        <v>-83</v>
      </c>
      <c r="L24">
        <v>-29.106999999999999</v>
      </c>
      <c r="M24">
        <v>5</v>
      </c>
      <c r="N24" t="s">
        <v>293</v>
      </c>
      <c r="O24">
        <v>4.45</v>
      </c>
      <c r="P24">
        <v>1</v>
      </c>
      <c r="Q24" t="s">
        <v>278</v>
      </c>
      <c r="R24" t="s">
        <v>205</v>
      </c>
      <c r="U24" t="s">
        <v>180</v>
      </c>
      <c r="V24" t="s">
        <v>180</v>
      </c>
      <c r="W24" t="s">
        <v>179</v>
      </c>
      <c r="X24" t="s">
        <v>180</v>
      </c>
      <c r="Y24" t="s">
        <v>180</v>
      </c>
      <c r="Z24">
        <v>0</v>
      </c>
      <c r="AA24">
        <v>0</v>
      </c>
    </row>
    <row r="25" spans="1:28" x14ac:dyDescent="0.35">
      <c r="A25" t="s">
        <v>175</v>
      </c>
      <c r="B25">
        <v>53</v>
      </c>
      <c r="C25" t="s">
        <v>176</v>
      </c>
      <c r="D25" t="s">
        <v>177</v>
      </c>
      <c r="E25">
        <v>109</v>
      </c>
      <c r="F25" t="s">
        <v>277</v>
      </c>
      <c r="I25">
        <v>42</v>
      </c>
      <c r="J25">
        <v>40.662999999999997</v>
      </c>
      <c r="K25">
        <v>-83</v>
      </c>
      <c r="L25">
        <v>-29.111999999999998</v>
      </c>
      <c r="M25">
        <v>4.5999999999999996</v>
      </c>
      <c r="N25" t="s">
        <v>293</v>
      </c>
      <c r="O25">
        <v>7.2</v>
      </c>
      <c r="P25">
        <v>1</v>
      </c>
      <c r="Q25" t="s">
        <v>269</v>
      </c>
      <c r="R25" t="s">
        <v>205</v>
      </c>
      <c r="U25" t="s">
        <v>180</v>
      </c>
      <c r="V25" t="s">
        <v>180</v>
      </c>
      <c r="W25" t="s">
        <v>179</v>
      </c>
      <c r="X25" t="s">
        <v>179</v>
      </c>
      <c r="Y25" t="s">
        <v>180</v>
      </c>
      <c r="Z25">
        <v>0</v>
      </c>
      <c r="AA25">
        <v>0</v>
      </c>
    </row>
    <row r="26" spans="1:28" x14ac:dyDescent="0.35">
      <c r="A26" t="s">
        <v>175</v>
      </c>
      <c r="B26">
        <v>53</v>
      </c>
      <c r="C26" t="s">
        <v>176</v>
      </c>
      <c r="D26" t="s">
        <v>177</v>
      </c>
      <c r="E26">
        <v>110</v>
      </c>
      <c r="F26" t="s">
        <v>277</v>
      </c>
      <c r="I26">
        <v>42</v>
      </c>
      <c r="J26">
        <v>40.664000000000001</v>
      </c>
      <c r="K26">
        <v>-83</v>
      </c>
      <c r="L26">
        <v>-29.103000000000002</v>
      </c>
      <c r="M26">
        <v>5</v>
      </c>
      <c r="N26" t="s">
        <v>293</v>
      </c>
      <c r="O26">
        <v>8.9</v>
      </c>
      <c r="P26">
        <v>1</v>
      </c>
      <c r="Q26" t="s">
        <v>278</v>
      </c>
      <c r="R26" t="s">
        <v>205</v>
      </c>
      <c r="U26" t="s">
        <v>180</v>
      </c>
      <c r="V26" t="s">
        <v>180</v>
      </c>
      <c r="W26" t="s">
        <v>180</v>
      </c>
      <c r="X26" t="s">
        <v>180</v>
      </c>
      <c r="Y26" t="s">
        <v>180</v>
      </c>
      <c r="Z26">
        <v>0</v>
      </c>
      <c r="AA26">
        <v>0</v>
      </c>
    </row>
    <row r="27" spans="1:28" s="11" customFormat="1" x14ac:dyDescent="0.35">
      <c r="A27" s="11" t="s">
        <v>175</v>
      </c>
      <c r="B27" s="11">
        <v>53</v>
      </c>
      <c r="C27" s="11" t="s">
        <v>176</v>
      </c>
      <c r="D27" s="11" t="s">
        <v>177</v>
      </c>
      <c r="E27" s="11">
        <v>111</v>
      </c>
      <c r="F27" s="11" t="s">
        <v>277</v>
      </c>
      <c r="I27" s="11">
        <v>42</v>
      </c>
      <c r="J27" s="11">
        <v>40.665999999999997</v>
      </c>
      <c r="K27" s="11">
        <v>-83</v>
      </c>
      <c r="L27" s="11">
        <v>-29.111999999999998</v>
      </c>
      <c r="M27" s="11">
        <v>4.5999999999999996</v>
      </c>
      <c r="N27" s="11" t="s">
        <v>293</v>
      </c>
      <c r="O27" s="11">
        <v>4.5999999999999996</v>
      </c>
      <c r="P27" s="11">
        <v>4</v>
      </c>
      <c r="Q27" s="11" t="s">
        <v>278</v>
      </c>
      <c r="R27" s="11" t="s">
        <v>205</v>
      </c>
      <c r="U27" s="11" t="s">
        <v>180</v>
      </c>
      <c r="V27" s="11" t="s">
        <v>180</v>
      </c>
      <c r="W27" s="11" t="s">
        <v>179</v>
      </c>
      <c r="X27" s="11" t="s">
        <v>179</v>
      </c>
      <c r="Y27" s="11" t="s">
        <v>179</v>
      </c>
      <c r="Z27" s="11">
        <v>0</v>
      </c>
      <c r="AA27" s="11">
        <v>0</v>
      </c>
    </row>
    <row r="28" spans="1:28" s="11" customFormat="1" x14ac:dyDescent="0.35">
      <c r="A28" s="11" t="s">
        <v>175</v>
      </c>
      <c r="B28" s="11">
        <v>53</v>
      </c>
      <c r="C28" s="11" t="s">
        <v>176</v>
      </c>
      <c r="D28" s="11" t="s">
        <v>177</v>
      </c>
      <c r="E28" s="11">
        <v>112</v>
      </c>
      <c r="F28" s="11" t="s">
        <v>277</v>
      </c>
      <c r="I28" s="11">
        <v>42</v>
      </c>
      <c r="J28" s="11">
        <v>40.667999999999999</v>
      </c>
      <c r="K28" s="11">
        <v>-83</v>
      </c>
      <c r="L28" s="11">
        <v>-29.114999999999998</v>
      </c>
      <c r="M28" s="11">
        <v>5</v>
      </c>
      <c r="N28" s="11" t="s">
        <v>293</v>
      </c>
      <c r="O28" s="11">
        <v>6.7</v>
      </c>
      <c r="P28" s="11">
        <v>3</v>
      </c>
      <c r="Q28" s="11" t="s">
        <v>278</v>
      </c>
      <c r="R28" s="11" t="s">
        <v>205</v>
      </c>
      <c r="U28" s="11" t="s">
        <v>180</v>
      </c>
      <c r="V28" s="11" t="s">
        <v>180</v>
      </c>
      <c r="W28" s="11" t="s">
        <v>179</v>
      </c>
      <c r="X28" s="11" t="s">
        <v>179</v>
      </c>
      <c r="Y28" s="11" t="s">
        <v>180</v>
      </c>
      <c r="Z28" s="11">
        <v>0</v>
      </c>
      <c r="AA28" s="11">
        <v>0</v>
      </c>
    </row>
    <row r="29" spans="1:28" s="11" customFormat="1" x14ac:dyDescent="0.35">
      <c r="A29" s="11" t="s">
        <v>175</v>
      </c>
      <c r="B29" s="11">
        <v>53</v>
      </c>
      <c r="C29" s="11" t="s">
        <v>176</v>
      </c>
      <c r="D29" s="11" t="s">
        <v>177</v>
      </c>
      <c r="E29" s="11">
        <v>113</v>
      </c>
      <c r="F29" s="11" t="s">
        <v>295</v>
      </c>
      <c r="I29" s="11">
        <v>42</v>
      </c>
      <c r="J29" s="11">
        <v>40.659999999999997</v>
      </c>
      <c r="K29" s="11">
        <v>-83</v>
      </c>
      <c r="L29" s="11">
        <v>-29.120999999999999</v>
      </c>
      <c r="M29" s="11">
        <v>5</v>
      </c>
      <c r="N29" s="11" t="s">
        <v>293</v>
      </c>
      <c r="O29" s="11">
        <v>9.6</v>
      </c>
      <c r="P29" s="11">
        <v>2</v>
      </c>
      <c r="Q29" s="11" t="s">
        <v>275</v>
      </c>
      <c r="R29" s="11" t="s">
        <v>205</v>
      </c>
      <c r="U29" s="11" t="s">
        <v>180</v>
      </c>
      <c r="V29" s="11" t="s">
        <v>180</v>
      </c>
      <c r="W29" s="11" t="s">
        <v>180</v>
      </c>
      <c r="X29" s="11" t="s">
        <v>180</v>
      </c>
      <c r="Y29" s="11" t="s">
        <v>180</v>
      </c>
      <c r="Z29" s="11">
        <v>0</v>
      </c>
      <c r="AA29" s="11">
        <v>0</v>
      </c>
    </row>
    <row r="30" spans="1:28" x14ac:dyDescent="0.35">
      <c r="A30" t="s">
        <v>175</v>
      </c>
      <c r="B30">
        <v>53</v>
      </c>
      <c r="C30" t="s">
        <v>176</v>
      </c>
      <c r="D30" t="s">
        <v>177</v>
      </c>
      <c r="E30">
        <v>114</v>
      </c>
      <c r="F30" t="s">
        <v>277</v>
      </c>
      <c r="I30">
        <v>42</v>
      </c>
      <c r="J30">
        <v>40.659999999999997</v>
      </c>
      <c r="K30">
        <v>-83</v>
      </c>
      <c r="L30">
        <v>-29.105</v>
      </c>
      <c r="M30">
        <v>5</v>
      </c>
      <c r="N30" t="s">
        <v>293</v>
      </c>
      <c r="O30">
        <v>4.2</v>
      </c>
      <c r="P30">
        <v>1</v>
      </c>
      <c r="Q30" t="s">
        <v>278</v>
      </c>
      <c r="R30" t="s">
        <v>205</v>
      </c>
      <c r="U30" t="s">
        <v>180</v>
      </c>
      <c r="V30" t="s">
        <v>180</v>
      </c>
      <c r="W30" t="s">
        <v>179</v>
      </c>
      <c r="X30" t="s">
        <v>179</v>
      </c>
      <c r="Y30" t="s">
        <v>180</v>
      </c>
      <c r="Z30">
        <v>0</v>
      </c>
      <c r="AA30">
        <v>0</v>
      </c>
    </row>
    <row r="31" spans="1:28" s="11" customFormat="1" x14ac:dyDescent="0.35">
      <c r="A31" s="11" t="s">
        <v>175</v>
      </c>
      <c r="B31" s="11">
        <v>53</v>
      </c>
      <c r="C31" s="11" t="s">
        <v>176</v>
      </c>
      <c r="D31" s="11" t="s">
        <v>177</v>
      </c>
      <c r="E31" s="11">
        <v>115</v>
      </c>
      <c r="F31" s="11" t="s">
        <v>277</v>
      </c>
      <c r="I31" s="11">
        <v>42</v>
      </c>
      <c r="J31" s="11">
        <v>40.661000000000001</v>
      </c>
      <c r="K31" s="11">
        <v>-83</v>
      </c>
      <c r="L31" s="11">
        <v>-29.111999999999998</v>
      </c>
      <c r="M31" s="11">
        <v>5</v>
      </c>
      <c r="N31" s="11" t="s">
        <v>293</v>
      </c>
      <c r="O31" s="11">
        <v>9.1</v>
      </c>
      <c r="P31" s="11">
        <v>4</v>
      </c>
      <c r="Q31" s="11" t="s">
        <v>278</v>
      </c>
      <c r="R31" s="11" t="s">
        <v>205</v>
      </c>
      <c r="U31" s="11" t="s">
        <v>180</v>
      </c>
      <c r="V31" s="11" t="s">
        <v>179</v>
      </c>
      <c r="W31" s="11" t="s">
        <v>179</v>
      </c>
      <c r="X31" s="11" t="s">
        <v>179</v>
      </c>
      <c r="Y31" s="11" t="s">
        <v>179</v>
      </c>
      <c r="Z31" s="11">
        <v>0</v>
      </c>
      <c r="AA31" s="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C16F-D4B0-4B1B-9118-1D36C8ED450D}">
  <dimension ref="A1:J63"/>
  <sheetViews>
    <sheetView workbookViewId="0">
      <selection activeCell="E19" sqref="E19"/>
    </sheetView>
  </sheetViews>
  <sheetFormatPr defaultRowHeight="14.5" x14ac:dyDescent="0.35"/>
  <cols>
    <col min="1" max="1" width="14.36328125" customWidth="1"/>
    <col min="2" max="3" width="10.26953125" customWidth="1"/>
    <col min="4" max="4" width="10.26953125" style="2" customWidth="1"/>
    <col min="5" max="5" width="11" customWidth="1"/>
    <col min="6" max="6" width="11.54296875" customWidth="1"/>
    <col min="7" max="7" width="15.90625" customWidth="1"/>
    <col min="8" max="8" width="12.08984375" customWidth="1"/>
    <col min="9" max="9" width="11.6328125" customWidth="1"/>
    <col min="10" max="10" width="87.36328125" customWidth="1"/>
  </cols>
  <sheetData>
    <row r="1" spans="1:10" s="2" customFormat="1" ht="43.5" x14ac:dyDescent="0.35">
      <c r="A1" s="2" t="s">
        <v>92</v>
      </c>
      <c r="B1" s="2" t="s">
        <v>2</v>
      </c>
      <c r="C1" s="2" t="s">
        <v>93</v>
      </c>
      <c r="D1" s="2" t="s">
        <v>97</v>
      </c>
      <c r="E1" s="2" t="s">
        <v>118</v>
      </c>
      <c r="F1" s="2" t="s">
        <v>119</v>
      </c>
      <c r="G1" s="2" t="s">
        <v>120</v>
      </c>
      <c r="H1" s="2" t="s">
        <v>122</v>
      </c>
      <c r="I1" s="2" t="s">
        <v>123</v>
      </c>
      <c r="J1" s="2" t="s">
        <v>124</v>
      </c>
    </row>
    <row r="2" spans="1:10" s="5" customFormat="1" x14ac:dyDescent="0.35">
      <c r="A2" s="5" t="s">
        <v>237</v>
      </c>
      <c r="B2" s="5">
        <v>3</v>
      </c>
      <c r="C2" s="5" t="s">
        <v>238</v>
      </c>
      <c r="D2" s="5">
        <v>1</v>
      </c>
      <c r="E2" s="5" t="s">
        <v>239</v>
      </c>
      <c r="F2" s="5" t="s">
        <v>240</v>
      </c>
      <c r="G2" s="5" t="s">
        <v>241</v>
      </c>
      <c r="H2" s="5">
        <v>9</v>
      </c>
      <c r="I2" s="5">
        <v>3</v>
      </c>
      <c r="J2" s="5" t="s">
        <v>242</v>
      </c>
    </row>
    <row r="3" spans="1:10" s="2" customFormat="1" x14ac:dyDescent="0.35">
      <c r="A3" s="2" t="s">
        <v>237</v>
      </c>
      <c r="B3" s="2">
        <v>3</v>
      </c>
      <c r="C3" s="2" t="s">
        <v>238</v>
      </c>
      <c r="D3" s="2">
        <v>1</v>
      </c>
      <c r="E3" s="2" t="s">
        <v>240</v>
      </c>
      <c r="F3" s="2" t="s">
        <v>243</v>
      </c>
      <c r="G3" s="2" t="s">
        <v>244</v>
      </c>
      <c r="H3" s="2">
        <v>2</v>
      </c>
      <c r="I3" s="2">
        <v>0</v>
      </c>
      <c r="J3" s="2" t="s">
        <v>245</v>
      </c>
    </row>
    <row r="4" spans="1:10" s="2" customFormat="1" x14ac:dyDescent="0.35"/>
    <row r="5" spans="1:10" s="5" customFormat="1" x14ac:dyDescent="0.35">
      <c r="A5" s="5" t="s">
        <v>237</v>
      </c>
      <c r="B5" s="5">
        <v>45</v>
      </c>
      <c r="C5" s="5" t="s">
        <v>238</v>
      </c>
      <c r="D5" s="5">
        <v>2</v>
      </c>
      <c r="E5" s="5" t="s">
        <v>239</v>
      </c>
      <c r="F5" s="5" t="s">
        <v>240</v>
      </c>
      <c r="G5" s="5" t="s">
        <v>241</v>
      </c>
      <c r="H5" s="5">
        <v>2</v>
      </c>
      <c r="I5" s="5">
        <v>3</v>
      </c>
      <c r="J5" s="5" t="s">
        <v>246</v>
      </c>
    </row>
    <row r="6" spans="1:10" s="2" customFormat="1" x14ac:dyDescent="0.35">
      <c r="A6" s="2" t="s">
        <v>237</v>
      </c>
      <c r="B6" s="2">
        <v>45</v>
      </c>
      <c r="C6" s="2" t="s">
        <v>238</v>
      </c>
      <c r="D6" s="2">
        <v>2</v>
      </c>
      <c r="E6" s="2" t="s">
        <v>240</v>
      </c>
      <c r="F6" s="2" t="s">
        <v>243</v>
      </c>
      <c r="G6" s="2" t="s">
        <v>244</v>
      </c>
      <c r="H6" s="2">
        <v>0</v>
      </c>
      <c r="I6" s="2">
        <v>0</v>
      </c>
      <c r="J6" s="2" t="s">
        <v>247</v>
      </c>
    </row>
    <row r="7" spans="1:10" s="2" customFormat="1" x14ac:dyDescent="0.35"/>
    <row r="8" spans="1:10" s="5" customFormat="1" ht="29" x14ac:dyDescent="0.35">
      <c r="A8" s="5" t="s">
        <v>248</v>
      </c>
      <c r="B8" s="5">
        <v>63</v>
      </c>
      <c r="C8" s="5" t="s">
        <v>238</v>
      </c>
      <c r="D8" s="5">
        <v>3</v>
      </c>
      <c r="E8" s="5" t="s">
        <v>239</v>
      </c>
      <c r="F8" s="5" t="s">
        <v>240</v>
      </c>
      <c r="G8" s="5" t="s">
        <v>249</v>
      </c>
      <c r="H8" s="5">
        <v>0</v>
      </c>
      <c r="I8" s="5">
        <v>0</v>
      </c>
    </row>
    <row r="9" spans="1:10" s="2" customFormat="1" x14ac:dyDescent="0.35">
      <c r="A9" s="2" t="s">
        <v>248</v>
      </c>
      <c r="B9" s="2">
        <v>63</v>
      </c>
      <c r="C9" s="2" t="s">
        <v>238</v>
      </c>
      <c r="D9" s="2">
        <v>3</v>
      </c>
      <c r="E9" s="2" t="s">
        <v>240</v>
      </c>
      <c r="F9" s="2" t="s">
        <v>243</v>
      </c>
      <c r="G9" s="2" t="s">
        <v>244</v>
      </c>
      <c r="H9" s="2">
        <v>0</v>
      </c>
      <c r="I9" s="2">
        <v>0</v>
      </c>
    </row>
    <row r="10" spans="1:10" s="2" customFormat="1" x14ac:dyDescent="0.35"/>
    <row r="11" spans="1:10" s="5" customFormat="1" ht="29" x14ac:dyDescent="0.35">
      <c r="A11" s="5" t="s">
        <v>248</v>
      </c>
      <c r="B11" s="5">
        <v>63</v>
      </c>
      <c r="C11" s="5" t="s">
        <v>238</v>
      </c>
      <c r="D11" s="5">
        <v>4</v>
      </c>
      <c r="E11" s="5" t="s">
        <v>239</v>
      </c>
      <c r="F11" s="5" t="s">
        <v>240</v>
      </c>
      <c r="G11" s="5" t="s">
        <v>249</v>
      </c>
      <c r="H11" s="5">
        <v>1</v>
      </c>
      <c r="I11" s="5">
        <v>0</v>
      </c>
    </row>
    <row r="12" spans="1:10" s="2" customFormat="1" x14ac:dyDescent="0.35">
      <c r="A12" s="2" t="s">
        <v>248</v>
      </c>
      <c r="B12" s="2">
        <v>63</v>
      </c>
      <c r="C12" s="2" t="s">
        <v>238</v>
      </c>
      <c r="D12" s="2">
        <v>4</v>
      </c>
      <c r="E12" s="2" t="s">
        <v>240</v>
      </c>
      <c r="F12" s="2" t="s">
        <v>243</v>
      </c>
      <c r="G12" s="2" t="s">
        <v>244</v>
      </c>
      <c r="H12" s="2">
        <v>0</v>
      </c>
      <c r="I12" s="2">
        <v>0</v>
      </c>
    </row>
    <row r="13" spans="1:10" s="2" customFormat="1" x14ac:dyDescent="0.35"/>
    <row r="14" spans="1:10" s="5" customFormat="1" x14ac:dyDescent="0.35">
      <c r="A14" s="5" t="s">
        <v>250</v>
      </c>
      <c r="B14" s="5">
        <v>39</v>
      </c>
      <c r="C14" s="5" t="s">
        <v>238</v>
      </c>
      <c r="D14" s="5">
        <v>5</v>
      </c>
      <c r="E14" s="5" t="s">
        <v>251</v>
      </c>
      <c r="F14" s="5" t="s">
        <v>240</v>
      </c>
      <c r="G14" s="5" t="s">
        <v>241</v>
      </c>
      <c r="H14" s="5">
        <v>0</v>
      </c>
      <c r="I14" s="5">
        <v>0</v>
      </c>
    </row>
    <row r="15" spans="1:10" s="2" customFormat="1" x14ac:dyDescent="0.35">
      <c r="A15" s="2" t="s">
        <v>250</v>
      </c>
      <c r="B15" s="2">
        <v>39</v>
      </c>
      <c r="C15" s="2" t="s">
        <v>238</v>
      </c>
      <c r="D15" s="2">
        <v>5</v>
      </c>
      <c r="E15" s="2" t="s">
        <v>240</v>
      </c>
      <c r="F15" s="2" t="s">
        <v>243</v>
      </c>
      <c r="G15" s="2" t="s">
        <v>244</v>
      </c>
      <c r="H15" s="2">
        <v>0</v>
      </c>
      <c r="I15" s="2">
        <v>0</v>
      </c>
    </row>
    <row r="16" spans="1:10" s="2" customFormat="1" x14ac:dyDescent="0.35"/>
    <row r="17" spans="1:10" s="5" customFormat="1" x14ac:dyDescent="0.35">
      <c r="A17" s="5" t="s">
        <v>250</v>
      </c>
      <c r="B17" s="5">
        <v>39</v>
      </c>
      <c r="C17" s="5" t="s">
        <v>238</v>
      </c>
      <c r="D17" s="5">
        <v>6</v>
      </c>
      <c r="E17" s="5" t="s">
        <v>251</v>
      </c>
      <c r="F17" s="5" t="s">
        <v>240</v>
      </c>
      <c r="G17" s="5" t="s">
        <v>241</v>
      </c>
      <c r="H17" s="5">
        <v>0</v>
      </c>
      <c r="I17" s="5">
        <v>0</v>
      </c>
    </row>
    <row r="18" spans="1:10" s="2" customFormat="1" x14ac:dyDescent="0.35">
      <c r="A18" s="2" t="s">
        <v>250</v>
      </c>
      <c r="B18" s="2">
        <v>39</v>
      </c>
      <c r="C18" s="2" t="s">
        <v>238</v>
      </c>
      <c r="D18" s="2">
        <v>6</v>
      </c>
      <c r="E18" s="2" t="s">
        <v>240</v>
      </c>
      <c r="F18" s="2" t="s">
        <v>243</v>
      </c>
      <c r="G18" s="2" t="s">
        <v>244</v>
      </c>
      <c r="H18" s="2">
        <v>0</v>
      </c>
      <c r="I18" s="2">
        <v>0</v>
      </c>
      <c r="J18" s="2" t="s">
        <v>252</v>
      </c>
    </row>
    <row r="19" spans="1:10" s="2" customFormat="1" x14ac:dyDescent="0.35"/>
    <row r="20" spans="1:10" s="5" customFormat="1" x14ac:dyDescent="0.35">
      <c r="A20" s="5" t="s">
        <v>253</v>
      </c>
      <c r="B20" s="5">
        <v>86</v>
      </c>
      <c r="C20" s="5" t="s">
        <v>238</v>
      </c>
      <c r="D20" s="5">
        <v>7</v>
      </c>
      <c r="E20" s="5" t="s">
        <v>254</v>
      </c>
      <c r="F20" s="5" t="s">
        <v>240</v>
      </c>
      <c r="G20" s="5" t="s">
        <v>241</v>
      </c>
      <c r="H20" s="5">
        <v>0</v>
      </c>
      <c r="I20" s="5">
        <v>0</v>
      </c>
    </row>
    <row r="21" spans="1:10" s="2" customFormat="1" x14ac:dyDescent="0.35">
      <c r="A21" s="2" t="s">
        <v>253</v>
      </c>
      <c r="B21" s="2">
        <v>86</v>
      </c>
      <c r="C21" s="2" t="s">
        <v>238</v>
      </c>
      <c r="D21" s="2">
        <v>7</v>
      </c>
      <c r="E21" s="2" t="s">
        <v>240</v>
      </c>
      <c r="F21" s="2" t="s">
        <v>243</v>
      </c>
      <c r="G21" s="2" t="s">
        <v>244</v>
      </c>
      <c r="H21" s="2">
        <v>0</v>
      </c>
      <c r="I21" s="2">
        <v>0</v>
      </c>
      <c r="J21" s="2" t="s">
        <v>255</v>
      </c>
    </row>
    <row r="22" spans="1:10" s="2" customFormat="1" x14ac:dyDescent="0.35"/>
    <row r="23" spans="1:10" s="5" customFormat="1" x14ac:dyDescent="0.35">
      <c r="A23" s="5" t="s">
        <v>253</v>
      </c>
      <c r="B23" s="5">
        <v>86</v>
      </c>
      <c r="C23" s="5" t="s">
        <v>238</v>
      </c>
      <c r="D23" s="5">
        <v>8</v>
      </c>
      <c r="E23" s="5" t="s">
        <v>254</v>
      </c>
      <c r="F23" s="5" t="s">
        <v>240</v>
      </c>
      <c r="G23" s="5" t="s">
        <v>241</v>
      </c>
      <c r="H23" s="5">
        <v>0</v>
      </c>
      <c r="I23" s="5">
        <v>0</v>
      </c>
      <c r="J23" s="5" t="s">
        <v>256</v>
      </c>
    </row>
    <row r="24" spans="1:10" s="2" customFormat="1" x14ac:dyDescent="0.35">
      <c r="A24" s="2" t="s">
        <v>253</v>
      </c>
      <c r="B24" s="2">
        <v>86</v>
      </c>
      <c r="C24" s="2" t="s">
        <v>238</v>
      </c>
      <c r="D24" s="2">
        <v>8</v>
      </c>
      <c r="E24" s="2" t="s">
        <v>240</v>
      </c>
      <c r="F24" s="2" t="s">
        <v>243</v>
      </c>
      <c r="G24" s="2" t="s">
        <v>244</v>
      </c>
      <c r="H24" s="2">
        <v>1</v>
      </c>
      <c r="I24" s="2">
        <v>0</v>
      </c>
    </row>
    <row r="25" spans="1:10" s="2" customFormat="1" x14ac:dyDescent="0.35"/>
    <row r="26" spans="1:10" s="5" customFormat="1" ht="29" x14ac:dyDescent="0.35">
      <c r="A26" s="5" t="s">
        <v>175</v>
      </c>
      <c r="B26" s="5">
        <v>53</v>
      </c>
      <c r="C26" s="5" t="s">
        <v>238</v>
      </c>
      <c r="D26" s="5">
        <v>9</v>
      </c>
      <c r="E26" s="5" t="s">
        <v>257</v>
      </c>
      <c r="F26" s="5" t="s">
        <v>182</v>
      </c>
      <c r="G26" s="5" t="s">
        <v>249</v>
      </c>
      <c r="H26" s="5">
        <v>0</v>
      </c>
      <c r="I26" s="5">
        <v>0</v>
      </c>
      <c r="J26" s="5" t="s">
        <v>258</v>
      </c>
    </row>
    <row r="27" spans="1:10" s="2" customFormat="1" x14ac:dyDescent="0.35">
      <c r="A27" s="2" t="s">
        <v>175</v>
      </c>
      <c r="B27" s="2">
        <v>53</v>
      </c>
      <c r="C27" s="2" t="s">
        <v>238</v>
      </c>
      <c r="D27" s="2">
        <v>9</v>
      </c>
      <c r="E27" s="2" t="s">
        <v>182</v>
      </c>
      <c r="F27" s="2" t="s">
        <v>186</v>
      </c>
      <c r="G27" s="2" t="s">
        <v>244</v>
      </c>
      <c r="H27" s="2">
        <v>0</v>
      </c>
      <c r="I27" s="2">
        <v>0</v>
      </c>
    </row>
    <row r="28" spans="1:10" s="2" customFormat="1" x14ac:dyDescent="0.35"/>
    <row r="29" spans="1:10" s="5" customFormat="1" ht="29" x14ac:dyDescent="0.35">
      <c r="A29" s="5" t="s">
        <v>175</v>
      </c>
      <c r="B29" s="5">
        <v>53</v>
      </c>
      <c r="C29" s="5" t="s">
        <v>238</v>
      </c>
      <c r="D29" s="5">
        <v>10</v>
      </c>
      <c r="E29" s="5" t="s">
        <v>257</v>
      </c>
      <c r="F29" s="5" t="s">
        <v>182</v>
      </c>
      <c r="G29" s="5" t="s">
        <v>249</v>
      </c>
      <c r="H29" s="5">
        <v>1</v>
      </c>
      <c r="I29" s="5">
        <v>0</v>
      </c>
      <c r="J29" s="5" t="s">
        <v>259</v>
      </c>
    </row>
    <row r="30" spans="1:10" s="2" customFormat="1" x14ac:dyDescent="0.35">
      <c r="A30" s="2" t="s">
        <v>175</v>
      </c>
      <c r="B30" s="2">
        <v>53</v>
      </c>
      <c r="C30" s="2" t="s">
        <v>238</v>
      </c>
      <c r="D30" s="2">
        <v>10</v>
      </c>
      <c r="E30" s="2" t="s">
        <v>182</v>
      </c>
      <c r="F30" s="2" t="s">
        <v>186</v>
      </c>
      <c r="G30" s="2" t="s">
        <v>244</v>
      </c>
      <c r="H30" s="2">
        <v>0</v>
      </c>
      <c r="I30" s="2">
        <v>0</v>
      </c>
    </row>
    <row r="31" spans="1:10" s="2" customFormat="1" x14ac:dyDescent="0.35"/>
    <row r="32" spans="1:10" s="5" customFormat="1" ht="29" x14ac:dyDescent="0.35">
      <c r="A32" s="5" t="s">
        <v>260</v>
      </c>
      <c r="B32" s="5">
        <v>78</v>
      </c>
      <c r="C32" s="5" t="s">
        <v>238</v>
      </c>
      <c r="D32" s="5">
        <v>11</v>
      </c>
      <c r="E32" s="5" t="s">
        <v>254</v>
      </c>
      <c r="F32" s="5" t="s">
        <v>261</v>
      </c>
      <c r="G32" s="5" t="s">
        <v>249</v>
      </c>
      <c r="H32" s="5">
        <v>0</v>
      </c>
      <c r="I32" s="5">
        <v>0</v>
      </c>
      <c r="J32" s="5" t="s">
        <v>262</v>
      </c>
    </row>
    <row r="33" spans="1:9" s="2" customFormat="1" x14ac:dyDescent="0.35">
      <c r="A33" s="2" t="s">
        <v>260</v>
      </c>
      <c r="B33" s="2">
        <v>78</v>
      </c>
      <c r="C33" s="2" t="s">
        <v>238</v>
      </c>
      <c r="D33" s="2">
        <v>11</v>
      </c>
      <c r="E33" s="2" t="s">
        <v>261</v>
      </c>
      <c r="F33" s="2" t="s">
        <v>263</v>
      </c>
      <c r="G33" s="2" t="s">
        <v>244</v>
      </c>
      <c r="H33" s="2">
        <v>0</v>
      </c>
      <c r="I33" s="2">
        <v>0</v>
      </c>
    </row>
    <row r="34" spans="1:9" s="2" customFormat="1" x14ac:dyDescent="0.35"/>
    <row r="35" spans="1:9" s="5" customFormat="1" ht="29" x14ac:dyDescent="0.35">
      <c r="A35" s="5" t="s">
        <v>260</v>
      </c>
      <c r="B35" s="5">
        <v>78</v>
      </c>
      <c r="C35" s="5" t="s">
        <v>238</v>
      </c>
      <c r="D35" s="5">
        <v>12</v>
      </c>
      <c r="E35" s="5" t="s">
        <v>254</v>
      </c>
      <c r="F35" s="5" t="s">
        <v>261</v>
      </c>
      <c r="G35" s="5" t="s">
        <v>249</v>
      </c>
      <c r="H35" s="5">
        <v>0</v>
      </c>
      <c r="I35" s="5">
        <v>1</v>
      </c>
    </row>
    <row r="36" spans="1:9" s="2" customFormat="1" x14ac:dyDescent="0.35">
      <c r="A36" s="2" t="s">
        <v>260</v>
      </c>
      <c r="B36" s="2">
        <v>78</v>
      </c>
      <c r="C36" s="2" t="s">
        <v>238</v>
      </c>
      <c r="D36" s="2">
        <v>12</v>
      </c>
      <c r="E36" s="2" t="s">
        <v>261</v>
      </c>
      <c r="F36" s="2" t="s">
        <v>263</v>
      </c>
      <c r="G36" s="2" t="s">
        <v>244</v>
      </c>
      <c r="H36" s="2">
        <v>0</v>
      </c>
      <c r="I36" s="2">
        <v>0</v>
      </c>
    </row>
    <row r="37" spans="1:9" s="2" customFormat="1" x14ac:dyDescent="0.35"/>
    <row r="38" spans="1:9" s="8" customFormat="1" x14ac:dyDescent="0.35">
      <c r="A38" s="8" t="s">
        <v>175</v>
      </c>
      <c r="B38" s="8">
        <v>53</v>
      </c>
      <c r="C38" s="8" t="s">
        <v>264</v>
      </c>
      <c r="D38" s="5">
        <v>13</v>
      </c>
      <c r="E38" s="8" t="s">
        <v>257</v>
      </c>
      <c r="F38" s="8" t="s">
        <v>177</v>
      </c>
      <c r="H38" s="8">
        <v>0</v>
      </c>
      <c r="I38" s="8">
        <v>0</v>
      </c>
    </row>
    <row r="39" spans="1:9" x14ac:dyDescent="0.35">
      <c r="A39" t="s">
        <v>175</v>
      </c>
      <c r="B39">
        <v>53</v>
      </c>
      <c r="C39" t="s">
        <v>264</v>
      </c>
      <c r="D39" s="2">
        <v>13</v>
      </c>
      <c r="E39" t="s">
        <v>177</v>
      </c>
      <c r="F39" t="s">
        <v>178</v>
      </c>
      <c r="H39" s="2">
        <v>1</v>
      </c>
      <c r="I39" s="2">
        <v>0</v>
      </c>
    </row>
    <row r="40" spans="1:9" x14ac:dyDescent="0.35">
      <c r="A40" t="s">
        <v>175</v>
      </c>
      <c r="B40">
        <v>53</v>
      </c>
      <c r="C40" t="s">
        <v>264</v>
      </c>
      <c r="D40" s="2">
        <v>13</v>
      </c>
      <c r="E40" t="s">
        <v>178</v>
      </c>
      <c r="F40" t="s">
        <v>181</v>
      </c>
      <c r="H40" s="2">
        <v>2</v>
      </c>
      <c r="I40" s="2">
        <v>0</v>
      </c>
    </row>
    <row r="41" spans="1:9" x14ac:dyDescent="0.35">
      <c r="A41" t="s">
        <v>175</v>
      </c>
      <c r="B41">
        <v>53</v>
      </c>
      <c r="C41" t="s">
        <v>264</v>
      </c>
      <c r="D41" s="2">
        <v>13</v>
      </c>
      <c r="E41" t="s">
        <v>181</v>
      </c>
      <c r="F41" t="s">
        <v>182</v>
      </c>
      <c r="H41" s="2">
        <v>0</v>
      </c>
      <c r="I41" s="2">
        <v>0</v>
      </c>
    </row>
    <row r="42" spans="1:9" x14ac:dyDescent="0.35">
      <c r="A42" t="s">
        <v>175</v>
      </c>
      <c r="B42">
        <v>53</v>
      </c>
      <c r="C42" t="s">
        <v>264</v>
      </c>
      <c r="D42" s="2">
        <v>13</v>
      </c>
      <c r="E42" t="s">
        <v>182</v>
      </c>
      <c r="F42" t="s">
        <v>183</v>
      </c>
      <c r="G42" t="s">
        <v>265</v>
      </c>
      <c r="H42" s="2">
        <v>0</v>
      </c>
      <c r="I42" s="2">
        <v>0</v>
      </c>
    </row>
    <row r="43" spans="1:9" x14ac:dyDescent="0.35">
      <c r="A43" t="s">
        <v>175</v>
      </c>
      <c r="B43">
        <v>53</v>
      </c>
      <c r="C43" t="s">
        <v>264</v>
      </c>
      <c r="D43" s="2">
        <v>13</v>
      </c>
      <c r="E43" t="s">
        <v>183</v>
      </c>
      <c r="F43" t="s">
        <v>184</v>
      </c>
      <c r="H43" s="2">
        <v>0</v>
      </c>
      <c r="I43" s="2">
        <v>0</v>
      </c>
    </row>
    <row r="44" spans="1:9" x14ac:dyDescent="0.35">
      <c r="A44" t="s">
        <v>175</v>
      </c>
      <c r="B44">
        <v>53</v>
      </c>
      <c r="C44" t="s">
        <v>264</v>
      </c>
      <c r="D44" s="2">
        <v>13</v>
      </c>
      <c r="E44" t="s">
        <v>184</v>
      </c>
      <c r="F44" t="s">
        <v>185</v>
      </c>
      <c r="H44" s="2">
        <v>0</v>
      </c>
      <c r="I44" s="2">
        <v>0</v>
      </c>
    </row>
    <row r="45" spans="1:9" x14ac:dyDescent="0.35">
      <c r="A45" t="s">
        <v>175</v>
      </c>
      <c r="B45">
        <v>53</v>
      </c>
      <c r="C45" t="s">
        <v>264</v>
      </c>
      <c r="D45" s="2">
        <v>13</v>
      </c>
      <c r="E45" t="s">
        <v>185</v>
      </c>
      <c r="F45" t="s">
        <v>186</v>
      </c>
      <c r="G45" t="s">
        <v>244</v>
      </c>
      <c r="H45" s="2">
        <v>1</v>
      </c>
      <c r="I45" s="2">
        <v>0</v>
      </c>
    </row>
    <row r="47" spans="1:9" s="8" customFormat="1" x14ac:dyDescent="0.35">
      <c r="A47" s="8" t="s">
        <v>175</v>
      </c>
      <c r="B47" s="8">
        <v>53</v>
      </c>
      <c r="C47" s="8" t="s">
        <v>264</v>
      </c>
      <c r="D47" s="5">
        <v>14</v>
      </c>
      <c r="E47" s="8" t="s">
        <v>257</v>
      </c>
      <c r="F47" s="8" t="s">
        <v>177</v>
      </c>
      <c r="H47" s="8">
        <v>0</v>
      </c>
      <c r="I47" s="8">
        <v>0</v>
      </c>
    </row>
    <row r="48" spans="1:9" x14ac:dyDescent="0.35">
      <c r="A48" t="s">
        <v>175</v>
      </c>
      <c r="B48">
        <v>53</v>
      </c>
      <c r="C48" t="s">
        <v>264</v>
      </c>
      <c r="D48" s="2">
        <v>14</v>
      </c>
      <c r="E48" t="s">
        <v>177</v>
      </c>
      <c r="F48" t="s">
        <v>178</v>
      </c>
      <c r="G48" t="s">
        <v>266</v>
      </c>
      <c r="H48" s="2">
        <v>0</v>
      </c>
      <c r="I48" s="2">
        <v>0</v>
      </c>
    </row>
    <row r="49" spans="1:9" x14ac:dyDescent="0.35">
      <c r="A49" t="s">
        <v>175</v>
      </c>
      <c r="B49">
        <v>53</v>
      </c>
      <c r="C49" t="s">
        <v>264</v>
      </c>
      <c r="D49" s="2">
        <v>14</v>
      </c>
      <c r="E49" t="s">
        <v>178</v>
      </c>
      <c r="F49" t="s">
        <v>181</v>
      </c>
      <c r="H49" s="2">
        <v>0</v>
      </c>
      <c r="I49" s="2">
        <v>0</v>
      </c>
    </row>
    <row r="50" spans="1:9" x14ac:dyDescent="0.35">
      <c r="A50" t="s">
        <v>175</v>
      </c>
      <c r="B50">
        <v>53</v>
      </c>
      <c r="C50" t="s">
        <v>264</v>
      </c>
      <c r="D50" s="2">
        <v>14</v>
      </c>
      <c r="E50" t="s">
        <v>181</v>
      </c>
      <c r="F50" t="s">
        <v>182</v>
      </c>
      <c r="H50" s="2">
        <v>0</v>
      </c>
      <c r="I50" s="2">
        <v>0</v>
      </c>
    </row>
    <row r="51" spans="1:9" x14ac:dyDescent="0.35">
      <c r="A51" t="s">
        <v>175</v>
      </c>
      <c r="B51">
        <v>53</v>
      </c>
      <c r="C51" t="s">
        <v>264</v>
      </c>
      <c r="D51" s="2">
        <v>14</v>
      </c>
      <c r="E51" t="s">
        <v>182</v>
      </c>
      <c r="F51" t="s">
        <v>183</v>
      </c>
      <c r="G51" t="s">
        <v>265</v>
      </c>
      <c r="H51" s="2">
        <v>0</v>
      </c>
      <c r="I51" s="2">
        <v>0</v>
      </c>
    </row>
    <row r="52" spans="1:9" x14ac:dyDescent="0.35">
      <c r="A52" t="s">
        <v>175</v>
      </c>
      <c r="B52">
        <v>53</v>
      </c>
      <c r="C52" t="s">
        <v>264</v>
      </c>
      <c r="D52" s="2">
        <v>14</v>
      </c>
      <c r="E52" t="s">
        <v>183</v>
      </c>
      <c r="F52" t="s">
        <v>184</v>
      </c>
      <c r="H52" s="2">
        <v>0</v>
      </c>
      <c r="I52" s="2">
        <v>0</v>
      </c>
    </row>
    <row r="53" spans="1:9" x14ac:dyDescent="0.35">
      <c r="A53" t="s">
        <v>175</v>
      </c>
      <c r="B53">
        <v>53</v>
      </c>
      <c r="C53" t="s">
        <v>264</v>
      </c>
      <c r="D53" s="2">
        <v>14</v>
      </c>
      <c r="E53" t="s">
        <v>184</v>
      </c>
      <c r="F53" t="s">
        <v>185</v>
      </c>
      <c r="H53" s="2">
        <v>0</v>
      </c>
      <c r="I53" s="2">
        <v>0</v>
      </c>
    </row>
    <row r="54" spans="1:9" x14ac:dyDescent="0.35">
      <c r="A54" t="s">
        <v>175</v>
      </c>
      <c r="B54">
        <v>53</v>
      </c>
      <c r="C54" t="s">
        <v>264</v>
      </c>
      <c r="D54" s="2">
        <v>14</v>
      </c>
      <c r="E54" t="s">
        <v>185</v>
      </c>
      <c r="F54" t="s">
        <v>186</v>
      </c>
      <c r="G54" t="s">
        <v>244</v>
      </c>
      <c r="H54" s="2">
        <v>0</v>
      </c>
      <c r="I54" s="2">
        <v>0</v>
      </c>
    </row>
    <row r="56" spans="1:9" s="8" customFormat="1" x14ac:dyDescent="0.35">
      <c r="A56" s="8" t="s">
        <v>175</v>
      </c>
      <c r="B56" s="8">
        <v>53</v>
      </c>
      <c r="C56" s="8" t="s">
        <v>264</v>
      </c>
      <c r="D56" s="5">
        <v>15</v>
      </c>
      <c r="E56" s="8" t="s">
        <v>257</v>
      </c>
      <c r="F56" s="8" t="s">
        <v>177</v>
      </c>
      <c r="H56" s="8">
        <v>0</v>
      </c>
      <c r="I56" s="8">
        <v>0</v>
      </c>
    </row>
    <row r="57" spans="1:9" x14ac:dyDescent="0.35">
      <c r="A57" t="s">
        <v>175</v>
      </c>
      <c r="B57">
        <v>53</v>
      </c>
      <c r="C57" t="s">
        <v>264</v>
      </c>
      <c r="D57" s="2">
        <v>15</v>
      </c>
      <c r="E57" t="s">
        <v>177</v>
      </c>
      <c r="F57" t="s">
        <v>178</v>
      </c>
      <c r="G57" t="s">
        <v>266</v>
      </c>
      <c r="H57" s="2">
        <v>1</v>
      </c>
      <c r="I57" s="2">
        <v>0</v>
      </c>
    </row>
    <row r="58" spans="1:9" x14ac:dyDescent="0.35">
      <c r="A58" t="s">
        <v>175</v>
      </c>
      <c r="B58">
        <v>53</v>
      </c>
      <c r="C58" t="s">
        <v>264</v>
      </c>
      <c r="D58" s="2">
        <v>15</v>
      </c>
      <c r="E58" t="s">
        <v>178</v>
      </c>
      <c r="F58" t="s">
        <v>181</v>
      </c>
      <c r="H58" s="2">
        <v>1</v>
      </c>
      <c r="I58" s="2">
        <v>0</v>
      </c>
    </row>
    <row r="59" spans="1:9" x14ac:dyDescent="0.35">
      <c r="A59" t="s">
        <v>175</v>
      </c>
      <c r="B59">
        <v>53</v>
      </c>
      <c r="C59" t="s">
        <v>264</v>
      </c>
      <c r="D59" s="2">
        <v>15</v>
      </c>
      <c r="E59" t="s">
        <v>181</v>
      </c>
      <c r="F59" t="s">
        <v>182</v>
      </c>
      <c r="H59" s="2">
        <v>0</v>
      </c>
      <c r="I59" s="2">
        <v>0</v>
      </c>
    </row>
    <row r="60" spans="1:9" x14ac:dyDescent="0.35">
      <c r="A60" t="s">
        <v>175</v>
      </c>
      <c r="B60">
        <v>53</v>
      </c>
      <c r="C60" t="s">
        <v>264</v>
      </c>
      <c r="D60" s="2">
        <v>15</v>
      </c>
      <c r="E60" t="s">
        <v>182</v>
      </c>
      <c r="F60" t="s">
        <v>183</v>
      </c>
      <c r="G60" t="s">
        <v>265</v>
      </c>
      <c r="H60" s="2">
        <v>0</v>
      </c>
      <c r="I60" s="2">
        <v>0</v>
      </c>
    </row>
    <row r="61" spans="1:9" x14ac:dyDescent="0.35">
      <c r="A61" t="s">
        <v>175</v>
      </c>
      <c r="B61">
        <v>53</v>
      </c>
      <c r="C61" t="s">
        <v>264</v>
      </c>
      <c r="D61" s="2">
        <v>15</v>
      </c>
      <c r="E61" t="s">
        <v>183</v>
      </c>
      <c r="F61" t="s">
        <v>184</v>
      </c>
      <c r="H61" s="2">
        <v>0</v>
      </c>
      <c r="I61" s="2">
        <v>0</v>
      </c>
    </row>
    <row r="62" spans="1:9" x14ac:dyDescent="0.35">
      <c r="A62" t="s">
        <v>175</v>
      </c>
      <c r="B62">
        <v>53</v>
      </c>
      <c r="C62" t="s">
        <v>264</v>
      </c>
      <c r="D62" s="2">
        <v>15</v>
      </c>
      <c r="E62" t="s">
        <v>184</v>
      </c>
      <c r="F62" t="s">
        <v>185</v>
      </c>
      <c r="H62" s="2">
        <v>0</v>
      </c>
      <c r="I62" s="2">
        <v>0</v>
      </c>
    </row>
    <row r="63" spans="1:9" x14ac:dyDescent="0.35">
      <c r="A63" t="s">
        <v>175</v>
      </c>
      <c r="B63">
        <v>53</v>
      </c>
      <c r="C63" t="s">
        <v>264</v>
      </c>
      <c r="D63" s="2">
        <v>15</v>
      </c>
      <c r="E63" t="s">
        <v>185</v>
      </c>
      <c r="F63" t="s">
        <v>186</v>
      </c>
      <c r="G63" t="s">
        <v>244</v>
      </c>
      <c r="H63" s="2">
        <v>0</v>
      </c>
      <c r="I63" s="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19E5-DC26-4526-87D1-9D6460B1C0EF}">
  <dimension ref="A1:AU136"/>
  <sheetViews>
    <sheetView workbookViewId="0">
      <selection activeCell="C15" sqref="C15"/>
    </sheetView>
  </sheetViews>
  <sheetFormatPr defaultRowHeight="14.5" x14ac:dyDescent="0.35"/>
  <cols>
    <col min="1" max="1" width="12.26953125" customWidth="1"/>
    <col min="2" max="2" width="12.90625" customWidth="1"/>
    <col min="3" max="4" width="14.453125" customWidth="1"/>
    <col min="5" max="5" width="14.08984375" customWidth="1"/>
    <col min="6" max="6" width="9.90625" customWidth="1"/>
    <col min="7" max="7" width="12.6328125" customWidth="1"/>
    <col min="9" max="9" width="9.7265625" customWidth="1"/>
    <col min="12" max="12" width="13.1796875" customWidth="1"/>
    <col min="13" max="13" width="12.1796875" customWidth="1"/>
    <col min="16" max="16" width="14.81640625" customWidth="1"/>
    <col min="18" max="18" width="12.08984375" customWidth="1"/>
    <col min="21" max="21" width="7.81640625" customWidth="1"/>
    <col min="22" max="22" width="9.7265625" customWidth="1"/>
    <col min="23" max="23" width="12" customWidth="1"/>
    <col min="25" max="25" width="9.453125" customWidth="1"/>
    <col min="26" max="26" width="15.7265625" customWidth="1"/>
    <col min="28" max="28" width="9.453125" customWidth="1"/>
    <col min="29" max="30" width="11.90625" customWidth="1"/>
    <col min="31" max="31" width="10.81640625" customWidth="1"/>
    <col min="32" max="32" width="51.36328125" bestFit="1" customWidth="1"/>
  </cols>
  <sheetData>
    <row r="1" spans="1:47" ht="43.5" x14ac:dyDescent="0.35">
      <c r="A1" s="2" t="s">
        <v>97</v>
      </c>
      <c r="B1" s="2" t="s">
        <v>118</v>
      </c>
      <c r="C1" s="2" t="s">
        <v>119</v>
      </c>
      <c r="D1" s="2" t="s">
        <v>132</v>
      </c>
      <c r="E1" s="2" t="s">
        <v>134</v>
      </c>
      <c r="F1" s="2" t="s">
        <v>135</v>
      </c>
      <c r="G1" s="2" t="s">
        <v>197</v>
      </c>
      <c r="H1" s="2" t="s">
        <v>139</v>
      </c>
      <c r="I1" s="2" t="s">
        <v>141</v>
      </c>
      <c r="J1" s="2" t="s">
        <v>143</v>
      </c>
      <c r="K1" s="2" t="s">
        <v>145</v>
      </c>
      <c r="L1" s="2" t="s">
        <v>147</v>
      </c>
      <c r="M1" s="2" t="s">
        <v>148</v>
      </c>
      <c r="N1" s="2" t="s">
        <v>198</v>
      </c>
      <c r="O1" s="2" t="s">
        <v>149</v>
      </c>
      <c r="P1" s="2" t="s">
        <v>199</v>
      </c>
      <c r="Q1" s="2" t="s">
        <v>153</v>
      </c>
      <c r="R1" s="2" t="s">
        <v>155</v>
      </c>
      <c r="S1" s="2" t="s">
        <v>157</v>
      </c>
      <c r="T1" s="2" t="s">
        <v>159</v>
      </c>
      <c r="U1" s="2" t="s">
        <v>200</v>
      </c>
      <c r="V1" s="2" t="s">
        <v>160</v>
      </c>
      <c r="W1" s="2" t="s">
        <v>201</v>
      </c>
      <c r="X1" s="2" t="s">
        <v>162</v>
      </c>
      <c r="Y1" s="2" t="s">
        <v>164</v>
      </c>
      <c r="Z1" s="2" t="s">
        <v>165</v>
      </c>
      <c r="AA1" s="2" t="s">
        <v>166</v>
      </c>
      <c r="AB1" s="2" t="s">
        <v>168</v>
      </c>
      <c r="AC1" s="2" t="s">
        <v>170</v>
      </c>
      <c r="AD1" s="2" t="s">
        <v>171</v>
      </c>
      <c r="AE1" s="2" t="s">
        <v>172</v>
      </c>
      <c r="AF1" s="2" t="s">
        <v>174</v>
      </c>
      <c r="AG1" s="2"/>
      <c r="AH1" s="2"/>
      <c r="AI1" s="2"/>
      <c r="AJ1" s="2"/>
      <c r="AK1" s="2"/>
      <c r="AL1" s="2"/>
      <c r="AM1" s="2"/>
      <c r="AN1" s="2"/>
      <c r="AO1" s="2"/>
      <c r="AP1" s="2"/>
      <c r="AQ1" s="2"/>
      <c r="AR1" s="2"/>
      <c r="AS1" s="2"/>
      <c r="AT1" s="2"/>
      <c r="AU1" s="2"/>
    </row>
    <row r="2" spans="1:47" x14ac:dyDescent="0.35">
      <c r="A2" s="9">
        <v>101</v>
      </c>
      <c r="B2" s="9" t="s">
        <v>177</v>
      </c>
      <c r="C2" s="9" t="s">
        <v>178</v>
      </c>
      <c r="D2" t="s">
        <v>180</v>
      </c>
      <c r="E2">
        <v>14</v>
      </c>
      <c r="N2">
        <v>0</v>
      </c>
      <c r="U2">
        <v>0</v>
      </c>
      <c r="W2">
        <v>0</v>
      </c>
      <c r="Y2">
        <v>14</v>
      </c>
      <c r="Z2">
        <v>19</v>
      </c>
      <c r="AF2" t="s">
        <v>202</v>
      </c>
    </row>
    <row r="3" spans="1:47" x14ac:dyDescent="0.35">
      <c r="A3" s="9">
        <v>102</v>
      </c>
      <c r="B3" s="9" t="s">
        <v>177</v>
      </c>
      <c r="C3" s="9" t="s">
        <v>178</v>
      </c>
      <c r="D3" t="s">
        <v>180</v>
      </c>
      <c r="E3">
        <v>16</v>
      </c>
      <c r="N3">
        <v>0</v>
      </c>
      <c r="U3">
        <v>0</v>
      </c>
      <c r="W3">
        <v>0</v>
      </c>
      <c r="Y3">
        <v>16</v>
      </c>
      <c r="Z3">
        <v>15</v>
      </c>
      <c r="AF3" t="s">
        <v>203</v>
      </c>
    </row>
    <row r="4" spans="1:47" x14ac:dyDescent="0.35">
      <c r="A4" s="9">
        <v>103</v>
      </c>
      <c r="B4" s="9" t="s">
        <v>177</v>
      </c>
      <c r="C4" s="9" t="s">
        <v>178</v>
      </c>
      <c r="D4" t="s">
        <v>180</v>
      </c>
      <c r="E4">
        <v>12</v>
      </c>
      <c r="N4">
        <v>0</v>
      </c>
      <c r="U4">
        <v>0</v>
      </c>
      <c r="W4">
        <v>0</v>
      </c>
      <c r="Y4">
        <v>12</v>
      </c>
      <c r="Z4">
        <v>15</v>
      </c>
    </row>
    <row r="5" spans="1:47" x14ac:dyDescent="0.35">
      <c r="A5" s="9">
        <v>104</v>
      </c>
      <c r="B5" s="9" t="s">
        <v>177</v>
      </c>
      <c r="C5" s="9" t="s">
        <v>178</v>
      </c>
      <c r="D5" t="s">
        <v>180</v>
      </c>
      <c r="E5">
        <v>9</v>
      </c>
      <c r="N5">
        <v>0</v>
      </c>
      <c r="U5">
        <v>0</v>
      </c>
      <c r="W5">
        <v>0</v>
      </c>
      <c r="Y5">
        <v>9</v>
      </c>
      <c r="Z5">
        <v>20</v>
      </c>
      <c r="AF5" t="s">
        <v>204</v>
      </c>
    </row>
    <row r="6" spans="1:47" x14ac:dyDescent="0.35">
      <c r="A6" s="9">
        <v>105</v>
      </c>
      <c r="B6" s="9" t="s">
        <v>177</v>
      </c>
      <c r="C6" s="9" t="s">
        <v>178</v>
      </c>
      <c r="D6" t="s">
        <v>180</v>
      </c>
      <c r="E6">
        <v>14</v>
      </c>
      <c r="N6">
        <v>0</v>
      </c>
      <c r="U6">
        <v>0</v>
      </c>
      <c r="W6">
        <v>0</v>
      </c>
      <c r="Y6">
        <v>14</v>
      </c>
      <c r="Z6">
        <v>13</v>
      </c>
    </row>
    <row r="7" spans="1:47" x14ac:dyDescent="0.35">
      <c r="A7" s="9">
        <v>106</v>
      </c>
      <c r="B7" s="9" t="s">
        <v>177</v>
      </c>
      <c r="C7" s="9" t="s">
        <v>178</v>
      </c>
      <c r="D7" t="s">
        <v>180</v>
      </c>
      <c r="E7" t="s">
        <v>205</v>
      </c>
      <c r="N7" t="s">
        <v>205</v>
      </c>
      <c r="U7" t="s">
        <v>205</v>
      </c>
      <c r="W7" t="s">
        <v>205</v>
      </c>
      <c r="Y7" t="s">
        <v>205</v>
      </c>
      <c r="Z7" t="s">
        <v>205</v>
      </c>
      <c r="AF7" t="s">
        <v>206</v>
      </c>
    </row>
    <row r="8" spans="1:47" x14ac:dyDescent="0.35">
      <c r="A8" s="9">
        <v>107</v>
      </c>
      <c r="B8" s="9" t="s">
        <v>177</v>
      </c>
      <c r="C8" s="9" t="s">
        <v>178</v>
      </c>
      <c r="D8" t="s">
        <v>180</v>
      </c>
      <c r="E8">
        <v>6</v>
      </c>
      <c r="N8">
        <v>0</v>
      </c>
      <c r="U8">
        <v>0</v>
      </c>
      <c r="W8">
        <v>0</v>
      </c>
      <c r="Y8">
        <v>6</v>
      </c>
      <c r="Z8">
        <v>6</v>
      </c>
      <c r="AF8" t="s">
        <v>207</v>
      </c>
    </row>
    <row r="9" spans="1:47" x14ac:dyDescent="0.35">
      <c r="A9" s="9">
        <v>108</v>
      </c>
      <c r="B9" s="9" t="s">
        <v>177</v>
      </c>
      <c r="C9" s="9" t="s">
        <v>178</v>
      </c>
      <c r="D9" t="s">
        <v>180</v>
      </c>
      <c r="E9">
        <v>1</v>
      </c>
      <c r="N9">
        <v>0</v>
      </c>
      <c r="U9">
        <v>0</v>
      </c>
      <c r="W9">
        <v>0</v>
      </c>
      <c r="Y9">
        <v>1</v>
      </c>
      <c r="Z9">
        <v>1</v>
      </c>
      <c r="AF9" t="s">
        <v>207</v>
      </c>
    </row>
    <row r="10" spans="1:47" x14ac:dyDescent="0.35">
      <c r="A10" s="9">
        <v>109</v>
      </c>
      <c r="B10" s="9" t="s">
        <v>177</v>
      </c>
      <c r="C10" s="9" t="s">
        <v>178</v>
      </c>
      <c r="D10" t="s">
        <v>180</v>
      </c>
      <c r="E10" t="s">
        <v>205</v>
      </c>
      <c r="N10" t="s">
        <v>205</v>
      </c>
      <c r="U10" t="s">
        <v>205</v>
      </c>
      <c r="W10" t="s">
        <v>205</v>
      </c>
      <c r="Y10" t="s">
        <v>205</v>
      </c>
      <c r="Z10" t="s">
        <v>205</v>
      </c>
      <c r="AF10" t="s">
        <v>208</v>
      </c>
    </row>
    <row r="11" spans="1:47" x14ac:dyDescent="0.35">
      <c r="A11" s="9">
        <v>110</v>
      </c>
      <c r="B11" s="9" t="s">
        <v>177</v>
      </c>
      <c r="C11" s="9" t="s">
        <v>178</v>
      </c>
      <c r="D11" t="s">
        <v>180</v>
      </c>
      <c r="E11">
        <v>3</v>
      </c>
      <c r="N11">
        <v>0</v>
      </c>
      <c r="U11">
        <v>0</v>
      </c>
      <c r="W11">
        <v>0</v>
      </c>
      <c r="Y11">
        <v>3</v>
      </c>
      <c r="Z11">
        <v>2</v>
      </c>
      <c r="AF11" t="s">
        <v>209</v>
      </c>
    </row>
    <row r="12" spans="1:47" x14ac:dyDescent="0.35">
      <c r="A12" s="9">
        <v>111</v>
      </c>
      <c r="B12" s="9" t="s">
        <v>177</v>
      </c>
      <c r="C12" s="9" t="s">
        <v>178</v>
      </c>
      <c r="D12" t="s">
        <v>180</v>
      </c>
      <c r="E12">
        <v>23</v>
      </c>
      <c r="N12">
        <v>0</v>
      </c>
      <c r="U12">
        <v>0</v>
      </c>
      <c r="W12">
        <v>0</v>
      </c>
      <c r="Y12">
        <v>23</v>
      </c>
      <c r="Z12">
        <v>30</v>
      </c>
    </row>
    <row r="13" spans="1:47" x14ac:dyDescent="0.35">
      <c r="A13" s="9">
        <v>112</v>
      </c>
      <c r="B13" s="9" t="s">
        <v>177</v>
      </c>
      <c r="C13" s="9" t="s">
        <v>178</v>
      </c>
      <c r="D13" t="s">
        <v>180</v>
      </c>
      <c r="E13">
        <v>1</v>
      </c>
      <c r="N13">
        <v>0</v>
      </c>
      <c r="U13">
        <v>0</v>
      </c>
      <c r="W13">
        <v>0</v>
      </c>
      <c r="Y13">
        <v>1</v>
      </c>
      <c r="Z13">
        <v>2</v>
      </c>
      <c r="AF13" t="s">
        <v>210</v>
      </c>
    </row>
    <row r="14" spans="1:47" x14ac:dyDescent="0.35">
      <c r="A14" s="9">
        <v>113</v>
      </c>
      <c r="B14" s="9" t="s">
        <v>177</v>
      </c>
      <c r="C14" s="9" t="s">
        <v>178</v>
      </c>
      <c r="D14" t="s">
        <v>180</v>
      </c>
      <c r="E14">
        <v>8</v>
      </c>
      <c r="N14">
        <v>0</v>
      </c>
      <c r="U14">
        <v>0</v>
      </c>
      <c r="W14">
        <v>0</v>
      </c>
      <c r="Y14">
        <v>8</v>
      </c>
      <c r="Z14">
        <v>16</v>
      </c>
      <c r="AF14" t="s">
        <v>211</v>
      </c>
    </row>
    <row r="15" spans="1:47" x14ac:dyDescent="0.35">
      <c r="A15" s="9">
        <v>114</v>
      </c>
      <c r="B15" s="9" t="s">
        <v>177</v>
      </c>
      <c r="C15" s="9" t="s">
        <v>178</v>
      </c>
      <c r="D15" t="s">
        <v>180</v>
      </c>
      <c r="E15">
        <v>11</v>
      </c>
      <c r="N15">
        <v>0</v>
      </c>
      <c r="U15">
        <v>0</v>
      </c>
      <c r="W15">
        <v>0</v>
      </c>
      <c r="Y15">
        <v>11</v>
      </c>
      <c r="Z15">
        <v>15</v>
      </c>
      <c r="AF15" t="s">
        <v>212</v>
      </c>
    </row>
    <row r="16" spans="1:47" x14ac:dyDescent="0.35">
      <c r="A16" s="9">
        <v>115</v>
      </c>
      <c r="B16" s="9" t="s">
        <v>177</v>
      </c>
      <c r="C16" s="9" t="s">
        <v>178</v>
      </c>
      <c r="D16" t="s">
        <v>180</v>
      </c>
      <c r="E16">
        <v>11</v>
      </c>
      <c r="N16">
        <v>0</v>
      </c>
      <c r="U16">
        <v>0</v>
      </c>
      <c r="W16">
        <v>0</v>
      </c>
      <c r="Y16">
        <v>11</v>
      </c>
      <c r="Z16">
        <v>13</v>
      </c>
      <c r="AF16" t="s">
        <v>213</v>
      </c>
    </row>
    <row r="17" spans="1:32" x14ac:dyDescent="0.35">
      <c r="A17">
        <v>101</v>
      </c>
      <c r="B17" t="s">
        <v>178</v>
      </c>
      <c r="C17" t="s">
        <v>181</v>
      </c>
      <c r="D17" t="s">
        <v>180</v>
      </c>
      <c r="E17">
        <v>16</v>
      </c>
      <c r="F17">
        <v>2</v>
      </c>
      <c r="G17">
        <v>0</v>
      </c>
      <c r="H17">
        <v>0</v>
      </c>
      <c r="I17">
        <v>0</v>
      </c>
      <c r="J17" t="s">
        <v>205</v>
      </c>
      <c r="K17">
        <v>0</v>
      </c>
      <c r="L17">
        <v>3</v>
      </c>
      <c r="M17">
        <v>1</v>
      </c>
      <c r="N17">
        <v>0</v>
      </c>
      <c r="O17" t="s">
        <v>205</v>
      </c>
      <c r="P17">
        <v>3</v>
      </c>
      <c r="Q17">
        <v>1</v>
      </c>
      <c r="R17">
        <v>1</v>
      </c>
      <c r="S17" t="s">
        <v>205</v>
      </c>
      <c r="T17" t="s">
        <v>205</v>
      </c>
      <c r="U17">
        <v>0</v>
      </c>
      <c r="V17" t="s">
        <v>205</v>
      </c>
      <c r="W17">
        <v>0</v>
      </c>
      <c r="X17" t="s">
        <v>205</v>
      </c>
      <c r="Y17">
        <v>0</v>
      </c>
      <c r="Z17">
        <v>31</v>
      </c>
      <c r="AA17">
        <v>19</v>
      </c>
      <c r="AB17">
        <v>4</v>
      </c>
      <c r="AC17">
        <v>0</v>
      </c>
      <c r="AD17">
        <v>5</v>
      </c>
      <c r="AE17">
        <v>3</v>
      </c>
    </row>
    <row r="18" spans="1:32" x14ac:dyDescent="0.35">
      <c r="A18">
        <v>102</v>
      </c>
      <c r="B18" t="s">
        <v>178</v>
      </c>
      <c r="C18" t="s">
        <v>181</v>
      </c>
      <c r="D18" t="s">
        <v>180</v>
      </c>
      <c r="E18">
        <v>11</v>
      </c>
      <c r="F18">
        <v>0</v>
      </c>
      <c r="G18">
        <v>0</v>
      </c>
      <c r="H18">
        <v>1</v>
      </c>
      <c r="I18">
        <v>0</v>
      </c>
      <c r="J18" t="s">
        <v>205</v>
      </c>
      <c r="K18">
        <v>0</v>
      </c>
      <c r="L18">
        <v>4</v>
      </c>
      <c r="M18">
        <v>1</v>
      </c>
      <c r="N18">
        <v>0</v>
      </c>
      <c r="O18" t="s">
        <v>205</v>
      </c>
      <c r="P18">
        <v>2</v>
      </c>
      <c r="Q18">
        <v>0</v>
      </c>
      <c r="R18">
        <v>1</v>
      </c>
      <c r="S18" t="s">
        <v>205</v>
      </c>
      <c r="T18" t="s">
        <v>205</v>
      </c>
      <c r="U18">
        <v>0</v>
      </c>
      <c r="V18" t="s">
        <v>205</v>
      </c>
      <c r="W18">
        <v>0</v>
      </c>
      <c r="X18" t="s">
        <v>205</v>
      </c>
      <c r="Y18">
        <v>2</v>
      </c>
      <c r="Z18">
        <v>28</v>
      </c>
      <c r="AA18">
        <v>11</v>
      </c>
      <c r="AB18">
        <v>10</v>
      </c>
      <c r="AC18">
        <v>1</v>
      </c>
      <c r="AD18">
        <v>4</v>
      </c>
      <c r="AE18">
        <v>1</v>
      </c>
    </row>
    <row r="19" spans="1:32" x14ac:dyDescent="0.35">
      <c r="A19">
        <v>103</v>
      </c>
      <c r="B19" t="s">
        <v>178</v>
      </c>
      <c r="C19" t="s">
        <v>181</v>
      </c>
      <c r="D19" t="s">
        <v>180</v>
      </c>
      <c r="E19">
        <v>24</v>
      </c>
      <c r="F19">
        <v>0</v>
      </c>
      <c r="G19">
        <v>1</v>
      </c>
      <c r="H19">
        <v>1</v>
      </c>
      <c r="I19">
        <v>1</v>
      </c>
      <c r="J19" t="s">
        <v>205</v>
      </c>
      <c r="K19">
        <v>0</v>
      </c>
      <c r="L19">
        <v>3</v>
      </c>
      <c r="M19">
        <v>0</v>
      </c>
      <c r="N19">
        <v>0</v>
      </c>
      <c r="O19" t="s">
        <v>205</v>
      </c>
      <c r="P19">
        <v>6</v>
      </c>
      <c r="Q19">
        <v>0</v>
      </c>
      <c r="R19">
        <v>5</v>
      </c>
      <c r="S19" t="s">
        <v>205</v>
      </c>
      <c r="T19" t="s">
        <v>205</v>
      </c>
      <c r="U19">
        <v>0</v>
      </c>
      <c r="V19" t="s">
        <v>205</v>
      </c>
      <c r="W19">
        <v>0</v>
      </c>
      <c r="X19" t="s">
        <v>205</v>
      </c>
      <c r="Y19">
        <v>11</v>
      </c>
      <c r="Z19">
        <v>24</v>
      </c>
      <c r="AA19">
        <v>10</v>
      </c>
      <c r="AB19">
        <v>8</v>
      </c>
      <c r="AC19">
        <v>3</v>
      </c>
      <c r="AD19">
        <v>1</v>
      </c>
      <c r="AE19">
        <v>1</v>
      </c>
    </row>
    <row r="20" spans="1:32" x14ac:dyDescent="0.35">
      <c r="A20">
        <v>104</v>
      </c>
      <c r="B20" t="s">
        <v>178</v>
      </c>
      <c r="C20" t="s">
        <v>181</v>
      </c>
      <c r="D20" t="s">
        <v>180</v>
      </c>
      <c r="E20">
        <v>18</v>
      </c>
      <c r="F20">
        <v>0</v>
      </c>
      <c r="G20">
        <v>0</v>
      </c>
      <c r="H20">
        <v>0</v>
      </c>
      <c r="I20">
        <v>0</v>
      </c>
      <c r="J20" t="s">
        <v>205</v>
      </c>
      <c r="K20">
        <v>0</v>
      </c>
      <c r="L20">
        <v>0</v>
      </c>
      <c r="M20">
        <v>0</v>
      </c>
      <c r="N20">
        <v>0</v>
      </c>
      <c r="O20" t="s">
        <v>205</v>
      </c>
      <c r="P20">
        <v>0</v>
      </c>
      <c r="Q20">
        <v>0</v>
      </c>
      <c r="R20">
        <v>1</v>
      </c>
      <c r="S20" t="s">
        <v>205</v>
      </c>
      <c r="T20" t="s">
        <v>205</v>
      </c>
      <c r="U20">
        <v>0</v>
      </c>
      <c r="V20" t="s">
        <v>205</v>
      </c>
      <c r="W20">
        <v>0</v>
      </c>
      <c r="X20" t="s">
        <v>205</v>
      </c>
      <c r="Y20">
        <v>17</v>
      </c>
      <c r="Z20">
        <v>43</v>
      </c>
      <c r="AA20">
        <v>14</v>
      </c>
      <c r="AB20">
        <v>18</v>
      </c>
      <c r="AC20">
        <v>1</v>
      </c>
      <c r="AD20">
        <v>8</v>
      </c>
      <c r="AE20">
        <v>2</v>
      </c>
    </row>
    <row r="21" spans="1:32" x14ac:dyDescent="0.35">
      <c r="A21">
        <v>105</v>
      </c>
      <c r="B21" t="s">
        <v>178</v>
      </c>
      <c r="C21" t="s">
        <v>181</v>
      </c>
      <c r="D21" t="s">
        <v>180</v>
      </c>
      <c r="E21">
        <v>32</v>
      </c>
      <c r="F21">
        <v>1</v>
      </c>
      <c r="G21">
        <v>0</v>
      </c>
      <c r="H21">
        <v>5</v>
      </c>
      <c r="I21">
        <v>0</v>
      </c>
      <c r="J21" t="s">
        <v>205</v>
      </c>
      <c r="K21">
        <v>0</v>
      </c>
      <c r="L21">
        <v>1</v>
      </c>
      <c r="M21">
        <v>1</v>
      </c>
      <c r="N21">
        <v>0</v>
      </c>
      <c r="O21" t="s">
        <v>205</v>
      </c>
      <c r="P21">
        <v>2</v>
      </c>
      <c r="Q21">
        <v>1</v>
      </c>
      <c r="R21">
        <v>15</v>
      </c>
      <c r="S21" t="s">
        <v>205</v>
      </c>
      <c r="T21" t="s">
        <v>205</v>
      </c>
      <c r="U21">
        <v>0</v>
      </c>
      <c r="V21" t="s">
        <v>205</v>
      </c>
      <c r="W21">
        <v>0</v>
      </c>
      <c r="X21" t="s">
        <v>205</v>
      </c>
      <c r="Y21">
        <v>6</v>
      </c>
      <c r="Z21">
        <v>29</v>
      </c>
      <c r="AA21">
        <v>15</v>
      </c>
      <c r="AB21">
        <v>7</v>
      </c>
      <c r="AC21">
        <v>1</v>
      </c>
      <c r="AD21">
        <v>4</v>
      </c>
      <c r="AE21">
        <v>2</v>
      </c>
      <c r="AF21" t="s">
        <v>214</v>
      </c>
    </row>
    <row r="22" spans="1:32" x14ac:dyDescent="0.35">
      <c r="A22">
        <v>106</v>
      </c>
      <c r="B22" t="s">
        <v>178</v>
      </c>
      <c r="C22" t="s">
        <v>181</v>
      </c>
      <c r="D22" t="s">
        <v>180</v>
      </c>
      <c r="E22">
        <v>10</v>
      </c>
      <c r="F22">
        <v>0</v>
      </c>
      <c r="G22">
        <v>0</v>
      </c>
      <c r="H22">
        <v>0</v>
      </c>
      <c r="I22">
        <v>0</v>
      </c>
      <c r="J22" t="s">
        <v>205</v>
      </c>
      <c r="K22">
        <v>0</v>
      </c>
      <c r="L22">
        <v>1</v>
      </c>
      <c r="M22">
        <v>1</v>
      </c>
      <c r="N22">
        <v>0</v>
      </c>
      <c r="O22" t="s">
        <v>205</v>
      </c>
      <c r="P22">
        <v>2</v>
      </c>
      <c r="Q22">
        <v>0</v>
      </c>
      <c r="R22">
        <v>1</v>
      </c>
      <c r="S22" t="s">
        <v>205</v>
      </c>
      <c r="T22" t="s">
        <v>205</v>
      </c>
      <c r="U22">
        <v>0</v>
      </c>
      <c r="V22" t="s">
        <v>205</v>
      </c>
      <c r="W22">
        <v>0</v>
      </c>
      <c r="X22" t="s">
        <v>205</v>
      </c>
      <c r="Y22">
        <v>5</v>
      </c>
      <c r="Z22">
        <v>10</v>
      </c>
      <c r="AA22">
        <v>1</v>
      </c>
      <c r="AB22">
        <v>5</v>
      </c>
      <c r="AC22">
        <v>0</v>
      </c>
      <c r="AD22">
        <v>3</v>
      </c>
      <c r="AE22">
        <v>1</v>
      </c>
    </row>
    <row r="23" spans="1:32" x14ac:dyDescent="0.35">
      <c r="A23">
        <v>107</v>
      </c>
      <c r="B23" t="s">
        <v>178</v>
      </c>
      <c r="C23" t="s">
        <v>181</v>
      </c>
      <c r="D23" t="s">
        <v>180</v>
      </c>
      <c r="E23">
        <v>10</v>
      </c>
      <c r="F23">
        <v>1</v>
      </c>
      <c r="G23">
        <v>0</v>
      </c>
      <c r="H23">
        <v>2</v>
      </c>
      <c r="I23">
        <v>0</v>
      </c>
      <c r="J23" t="s">
        <v>205</v>
      </c>
      <c r="K23">
        <v>0</v>
      </c>
      <c r="L23">
        <v>1</v>
      </c>
      <c r="M23">
        <v>1</v>
      </c>
      <c r="N23">
        <v>0</v>
      </c>
      <c r="O23" t="s">
        <v>205</v>
      </c>
      <c r="P23">
        <v>1</v>
      </c>
      <c r="Q23">
        <v>0</v>
      </c>
      <c r="R23">
        <v>2</v>
      </c>
      <c r="S23" t="s">
        <v>205</v>
      </c>
      <c r="T23" t="s">
        <v>205</v>
      </c>
      <c r="U23">
        <v>0</v>
      </c>
      <c r="V23" t="s">
        <v>205</v>
      </c>
      <c r="W23">
        <v>0</v>
      </c>
      <c r="X23" t="s">
        <v>205</v>
      </c>
      <c r="Y23">
        <v>0</v>
      </c>
      <c r="Z23">
        <v>17</v>
      </c>
      <c r="AA23">
        <v>6</v>
      </c>
      <c r="AB23">
        <v>6</v>
      </c>
      <c r="AC23">
        <v>0</v>
      </c>
      <c r="AD23">
        <v>5</v>
      </c>
      <c r="AE23">
        <v>1</v>
      </c>
    </row>
    <row r="24" spans="1:32" x14ac:dyDescent="0.35">
      <c r="A24">
        <v>108</v>
      </c>
      <c r="B24" t="s">
        <v>178</v>
      </c>
      <c r="C24" t="s">
        <v>181</v>
      </c>
      <c r="D24" t="s">
        <v>180</v>
      </c>
      <c r="E24">
        <v>10</v>
      </c>
      <c r="F24">
        <v>1</v>
      </c>
      <c r="G24">
        <v>0</v>
      </c>
      <c r="H24">
        <v>1</v>
      </c>
      <c r="I24">
        <v>0</v>
      </c>
      <c r="J24" t="s">
        <v>205</v>
      </c>
      <c r="K24">
        <v>0</v>
      </c>
      <c r="L24">
        <v>1</v>
      </c>
      <c r="M24">
        <v>0</v>
      </c>
      <c r="N24">
        <v>0</v>
      </c>
      <c r="O24" t="s">
        <v>205</v>
      </c>
      <c r="P24">
        <v>1</v>
      </c>
      <c r="Q24">
        <v>0</v>
      </c>
      <c r="R24">
        <v>1</v>
      </c>
      <c r="S24" t="s">
        <v>205</v>
      </c>
      <c r="T24" t="s">
        <v>205</v>
      </c>
      <c r="U24">
        <v>0</v>
      </c>
      <c r="V24" t="s">
        <v>205</v>
      </c>
      <c r="W24">
        <v>0</v>
      </c>
      <c r="X24" t="s">
        <v>205</v>
      </c>
      <c r="Y24">
        <v>1</v>
      </c>
      <c r="Z24">
        <v>11</v>
      </c>
      <c r="AA24">
        <v>4</v>
      </c>
      <c r="AB24">
        <v>3</v>
      </c>
      <c r="AC24">
        <v>0</v>
      </c>
      <c r="AD24">
        <v>3</v>
      </c>
      <c r="AE24">
        <v>1</v>
      </c>
      <c r="AF24" t="s">
        <v>215</v>
      </c>
    </row>
    <row r="25" spans="1:32" x14ac:dyDescent="0.35">
      <c r="A25">
        <v>109</v>
      </c>
      <c r="B25" t="s">
        <v>178</v>
      </c>
      <c r="C25" t="s">
        <v>181</v>
      </c>
      <c r="D25" t="s">
        <v>180</v>
      </c>
      <c r="E25">
        <v>1</v>
      </c>
      <c r="F25">
        <v>0</v>
      </c>
      <c r="G25">
        <v>0</v>
      </c>
      <c r="H25">
        <v>0</v>
      </c>
      <c r="I25">
        <v>0</v>
      </c>
      <c r="J25" t="s">
        <v>205</v>
      </c>
      <c r="K25">
        <v>0</v>
      </c>
      <c r="L25">
        <v>0</v>
      </c>
      <c r="M25">
        <v>0</v>
      </c>
      <c r="N25">
        <v>0</v>
      </c>
      <c r="O25" t="s">
        <v>205</v>
      </c>
      <c r="P25">
        <v>0</v>
      </c>
      <c r="Q25">
        <v>0</v>
      </c>
      <c r="R25">
        <v>0</v>
      </c>
      <c r="S25" t="s">
        <v>205</v>
      </c>
      <c r="T25" t="s">
        <v>205</v>
      </c>
      <c r="U25">
        <v>0</v>
      </c>
      <c r="V25" t="s">
        <v>205</v>
      </c>
      <c r="W25">
        <v>0</v>
      </c>
      <c r="X25" t="s">
        <v>205</v>
      </c>
      <c r="Y25">
        <v>0</v>
      </c>
      <c r="Z25">
        <v>1</v>
      </c>
      <c r="AA25">
        <v>0</v>
      </c>
      <c r="AB25">
        <v>1</v>
      </c>
      <c r="AC25">
        <v>0</v>
      </c>
      <c r="AD25">
        <v>0</v>
      </c>
      <c r="AE25">
        <v>0</v>
      </c>
      <c r="AF25" t="s">
        <v>216</v>
      </c>
    </row>
    <row r="26" spans="1:32" x14ac:dyDescent="0.35">
      <c r="A26">
        <v>110</v>
      </c>
      <c r="B26" t="s">
        <v>178</v>
      </c>
      <c r="C26" t="s">
        <v>181</v>
      </c>
      <c r="D26" t="s">
        <v>180</v>
      </c>
      <c r="E26">
        <v>11</v>
      </c>
      <c r="F26">
        <v>1</v>
      </c>
      <c r="G26">
        <v>0</v>
      </c>
      <c r="H26">
        <v>0</v>
      </c>
      <c r="I26">
        <v>0</v>
      </c>
      <c r="J26" t="s">
        <v>205</v>
      </c>
      <c r="K26">
        <v>0</v>
      </c>
      <c r="L26">
        <v>0</v>
      </c>
      <c r="M26">
        <v>0</v>
      </c>
      <c r="N26">
        <v>0</v>
      </c>
      <c r="O26" t="s">
        <v>205</v>
      </c>
      <c r="P26">
        <v>4</v>
      </c>
      <c r="Q26">
        <v>1</v>
      </c>
      <c r="R26">
        <v>1</v>
      </c>
      <c r="S26" t="s">
        <v>205</v>
      </c>
      <c r="T26" t="s">
        <v>205</v>
      </c>
      <c r="U26">
        <v>0</v>
      </c>
      <c r="V26" t="s">
        <v>205</v>
      </c>
      <c r="W26">
        <v>0</v>
      </c>
      <c r="X26" t="s">
        <v>205</v>
      </c>
      <c r="Y26">
        <v>4</v>
      </c>
      <c r="Z26">
        <v>25</v>
      </c>
      <c r="AA26">
        <v>14</v>
      </c>
      <c r="AB26">
        <v>3</v>
      </c>
      <c r="AC26">
        <v>2</v>
      </c>
      <c r="AD26">
        <v>7</v>
      </c>
      <c r="AE26">
        <v>0</v>
      </c>
    </row>
    <row r="27" spans="1:32" x14ac:dyDescent="0.35">
      <c r="A27">
        <v>111</v>
      </c>
      <c r="B27" t="s">
        <v>178</v>
      </c>
      <c r="C27" t="s">
        <v>181</v>
      </c>
      <c r="D27" t="s">
        <v>180</v>
      </c>
      <c r="E27">
        <v>26</v>
      </c>
      <c r="F27">
        <v>2</v>
      </c>
      <c r="G27">
        <v>0</v>
      </c>
      <c r="H27">
        <v>3</v>
      </c>
      <c r="I27">
        <v>0</v>
      </c>
      <c r="J27" t="s">
        <v>205</v>
      </c>
      <c r="K27">
        <v>0</v>
      </c>
      <c r="L27">
        <v>2</v>
      </c>
      <c r="M27">
        <v>1</v>
      </c>
      <c r="N27">
        <v>0</v>
      </c>
      <c r="O27" t="s">
        <v>205</v>
      </c>
      <c r="P27">
        <v>4</v>
      </c>
      <c r="Q27">
        <v>0</v>
      </c>
      <c r="R27">
        <v>2</v>
      </c>
      <c r="S27" t="s">
        <v>205</v>
      </c>
      <c r="T27" t="s">
        <v>205</v>
      </c>
      <c r="U27">
        <v>0</v>
      </c>
      <c r="V27" t="s">
        <v>205</v>
      </c>
      <c r="W27">
        <v>0</v>
      </c>
      <c r="X27" t="s">
        <v>205</v>
      </c>
      <c r="Y27">
        <v>13</v>
      </c>
      <c r="Z27">
        <v>24</v>
      </c>
      <c r="AA27">
        <v>4</v>
      </c>
      <c r="AB27">
        <v>7</v>
      </c>
      <c r="AC27">
        <v>2</v>
      </c>
      <c r="AD27">
        <v>12</v>
      </c>
      <c r="AE27">
        <v>0</v>
      </c>
    </row>
    <row r="28" spans="1:32" x14ac:dyDescent="0.35">
      <c r="A28">
        <v>112</v>
      </c>
      <c r="B28" t="s">
        <v>178</v>
      </c>
      <c r="C28" t="s">
        <v>181</v>
      </c>
      <c r="D28" t="s">
        <v>180</v>
      </c>
      <c r="E28">
        <v>73</v>
      </c>
      <c r="F28">
        <v>2</v>
      </c>
      <c r="G28">
        <v>0</v>
      </c>
      <c r="H28">
        <v>2</v>
      </c>
      <c r="I28">
        <v>0</v>
      </c>
      <c r="J28" t="s">
        <v>205</v>
      </c>
      <c r="K28">
        <v>0</v>
      </c>
      <c r="L28">
        <v>4</v>
      </c>
      <c r="M28">
        <v>5</v>
      </c>
      <c r="N28">
        <v>1</v>
      </c>
      <c r="O28" t="s">
        <v>205</v>
      </c>
      <c r="P28">
        <v>2</v>
      </c>
      <c r="Q28">
        <v>0</v>
      </c>
      <c r="R28">
        <v>7</v>
      </c>
      <c r="S28" t="s">
        <v>205</v>
      </c>
      <c r="T28" t="s">
        <v>205</v>
      </c>
      <c r="U28">
        <v>1</v>
      </c>
      <c r="V28" t="s">
        <v>205</v>
      </c>
      <c r="W28">
        <v>0</v>
      </c>
      <c r="X28" t="s">
        <v>205</v>
      </c>
      <c r="Y28">
        <v>51</v>
      </c>
      <c r="Z28">
        <v>62</v>
      </c>
      <c r="AA28">
        <v>24</v>
      </c>
      <c r="AB28">
        <v>20</v>
      </c>
      <c r="AC28">
        <v>1</v>
      </c>
      <c r="AD28">
        <v>16</v>
      </c>
      <c r="AE28">
        <v>1</v>
      </c>
      <c r="AF28" t="s">
        <v>217</v>
      </c>
    </row>
    <row r="29" spans="1:32" x14ac:dyDescent="0.35">
      <c r="A29">
        <v>113</v>
      </c>
      <c r="B29" t="s">
        <v>178</v>
      </c>
      <c r="C29" t="s">
        <v>181</v>
      </c>
      <c r="D29" t="s">
        <v>180</v>
      </c>
      <c r="E29">
        <v>12</v>
      </c>
      <c r="F29">
        <v>1</v>
      </c>
      <c r="G29">
        <v>0</v>
      </c>
      <c r="H29">
        <v>0</v>
      </c>
      <c r="I29">
        <v>0</v>
      </c>
      <c r="J29" t="s">
        <v>205</v>
      </c>
      <c r="K29">
        <v>1</v>
      </c>
      <c r="L29">
        <v>1</v>
      </c>
      <c r="M29">
        <v>1</v>
      </c>
      <c r="N29">
        <v>0</v>
      </c>
      <c r="O29" t="s">
        <v>205</v>
      </c>
      <c r="P29">
        <v>0</v>
      </c>
      <c r="Q29">
        <v>0</v>
      </c>
      <c r="R29">
        <v>0</v>
      </c>
      <c r="S29" t="s">
        <v>205</v>
      </c>
      <c r="T29" t="s">
        <v>205</v>
      </c>
      <c r="U29">
        <v>0</v>
      </c>
      <c r="V29" t="s">
        <v>205</v>
      </c>
      <c r="W29">
        <v>0</v>
      </c>
      <c r="X29" t="s">
        <v>205</v>
      </c>
      <c r="Y29">
        <v>8</v>
      </c>
      <c r="Z29">
        <v>23</v>
      </c>
      <c r="AA29">
        <v>6</v>
      </c>
      <c r="AB29">
        <v>5</v>
      </c>
      <c r="AC29">
        <v>4</v>
      </c>
      <c r="AD29">
        <v>8</v>
      </c>
      <c r="AE29">
        <v>0</v>
      </c>
    </row>
    <row r="30" spans="1:32" x14ac:dyDescent="0.35">
      <c r="A30">
        <v>114</v>
      </c>
      <c r="B30" t="s">
        <v>178</v>
      </c>
      <c r="C30" t="s">
        <v>181</v>
      </c>
      <c r="D30" t="s">
        <v>180</v>
      </c>
      <c r="E30">
        <v>16</v>
      </c>
      <c r="F30">
        <v>1</v>
      </c>
      <c r="G30">
        <v>1</v>
      </c>
      <c r="H30">
        <v>0</v>
      </c>
      <c r="I30">
        <v>0</v>
      </c>
      <c r="J30" t="s">
        <v>205</v>
      </c>
      <c r="K30">
        <v>0</v>
      </c>
      <c r="L30">
        <v>0</v>
      </c>
      <c r="M30">
        <v>3</v>
      </c>
      <c r="N30">
        <v>0</v>
      </c>
      <c r="O30" t="s">
        <v>205</v>
      </c>
      <c r="P30">
        <v>2</v>
      </c>
      <c r="Q30">
        <v>0</v>
      </c>
      <c r="R30">
        <v>4</v>
      </c>
      <c r="S30" t="s">
        <v>205</v>
      </c>
      <c r="T30" t="s">
        <v>205</v>
      </c>
      <c r="U30">
        <v>0</v>
      </c>
      <c r="V30" t="s">
        <v>205</v>
      </c>
      <c r="W30">
        <v>0</v>
      </c>
      <c r="X30" t="s">
        <v>205</v>
      </c>
      <c r="Y30">
        <v>5</v>
      </c>
      <c r="Z30">
        <v>34</v>
      </c>
      <c r="AA30">
        <v>13</v>
      </c>
      <c r="AB30">
        <v>16</v>
      </c>
      <c r="AC30">
        <v>0</v>
      </c>
      <c r="AD30">
        <v>5</v>
      </c>
      <c r="AE30">
        <v>0</v>
      </c>
    </row>
    <row r="31" spans="1:32" x14ac:dyDescent="0.35">
      <c r="A31">
        <v>115</v>
      </c>
      <c r="B31" t="s">
        <v>178</v>
      </c>
      <c r="C31" t="s">
        <v>181</v>
      </c>
      <c r="D31" t="s">
        <v>180</v>
      </c>
      <c r="E31">
        <v>12</v>
      </c>
      <c r="F31">
        <v>0</v>
      </c>
      <c r="G31">
        <v>0</v>
      </c>
      <c r="H31">
        <v>2</v>
      </c>
      <c r="I31">
        <v>0</v>
      </c>
      <c r="J31" t="s">
        <v>205</v>
      </c>
      <c r="K31">
        <v>0</v>
      </c>
      <c r="L31">
        <v>0</v>
      </c>
      <c r="M31">
        <v>0</v>
      </c>
      <c r="N31">
        <v>0</v>
      </c>
      <c r="O31" t="s">
        <v>205</v>
      </c>
      <c r="P31">
        <v>0</v>
      </c>
      <c r="Q31">
        <v>0</v>
      </c>
      <c r="R31">
        <v>4</v>
      </c>
      <c r="S31" t="s">
        <v>205</v>
      </c>
      <c r="T31" t="s">
        <v>205</v>
      </c>
      <c r="U31">
        <v>0</v>
      </c>
      <c r="V31" t="s">
        <v>205</v>
      </c>
      <c r="W31">
        <v>0</v>
      </c>
      <c r="X31" t="s">
        <v>205</v>
      </c>
      <c r="Y31">
        <v>6</v>
      </c>
      <c r="Z31">
        <v>18</v>
      </c>
      <c r="AA31">
        <v>8</v>
      </c>
      <c r="AB31">
        <v>6</v>
      </c>
      <c r="AC31">
        <v>0</v>
      </c>
      <c r="AD31">
        <v>2</v>
      </c>
      <c r="AE31">
        <v>2</v>
      </c>
    </row>
    <row r="32" spans="1:32" x14ac:dyDescent="0.35">
      <c r="A32" s="9">
        <v>101</v>
      </c>
      <c r="B32" s="9" t="s">
        <v>181</v>
      </c>
      <c r="C32" s="9" t="s">
        <v>182</v>
      </c>
      <c r="D32" t="s">
        <v>180</v>
      </c>
      <c r="E32" s="8">
        <f>F32+G32+H32+I32+K32+L32+M32+P32+Q32+R32+Y32</f>
        <v>4</v>
      </c>
      <c r="F32">
        <v>1</v>
      </c>
      <c r="G32">
        <v>0</v>
      </c>
      <c r="H32">
        <v>0</v>
      </c>
      <c r="I32">
        <v>0</v>
      </c>
      <c r="J32" t="s">
        <v>205</v>
      </c>
      <c r="K32">
        <v>0</v>
      </c>
      <c r="L32">
        <v>0</v>
      </c>
      <c r="M32">
        <v>1</v>
      </c>
      <c r="N32">
        <v>0</v>
      </c>
      <c r="O32" t="s">
        <v>205</v>
      </c>
      <c r="P32">
        <v>1</v>
      </c>
      <c r="Q32">
        <v>0</v>
      </c>
      <c r="R32" s="8">
        <f>S32+T32+V32</f>
        <v>0</v>
      </c>
      <c r="S32">
        <v>0</v>
      </c>
      <c r="T32">
        <v>0</v>
      </c>
      <c r="U32">
        <v>0</v>
      </c>
      <c r="V32">
        <v>0</v>
      </c>
      <c r="W32">
        <v>0</v>
      </c>
      <c r="X32" t="s">
        <v>205</v>
      </c>
      <c r="Y32">
        <v>1</v>
      </c>
      <c r="Z32" s="8">
        <f>AA32+AB32+AC32+AD32+AE32</f>
        <v>7</v>
      </c>
      <c r="AA32">
        <v>2</v>
      </c>
      <c r="AB32">
        <v>2</v>
      </c>
      <c r="AC32">
        <v>0</v>
      </c>
      <c r="AD32">
        <v>2</v>
      </c>
      <c r="AE32">
        <v>1</v>
      </c>
    </row>
    <row r="33" spans="1:31" x14ac:dyDescent="0.35">
      <c r="A33" s="9">
        <v>102</v>
      </c>
      <c r="B33" s="9" t="s">
        <v>181</v>
      </c>
      <c r="C33" s="9" t="s">
        <v>182</v>
      </c>
      <c r="D33" t="s">
        <v>180</v>
      </c>
      <c r="E33" s="8">
        <f>F33+G33+H33+I33+K33+L33+M33+P33+Q33+R33+Y33</f>
        <v>24</v>
      </c>
      <c r="F33">
        <v>0</v>
      </c>
      <c r="G33">
        <v>4</v>
      </c>
      <c r="H33">
        <v>0</v>
      </c>
      <c r="I33">
        <v>0</v>
      </c>
      <c r="J33" t="s">
        <v>205</v>
      </c>
      <c r="K33">
        <v>0</v>
      </c>
      <c r="L33">
        <v>2</v>
      </c>
      <c r="M33">
        <v>3</v>
      </c>
      <c r="N33">
        <v>0</v>
      </c>
      <c r="O33" t="s">
        <v>205</v>
      </c>
      <c r="P33">
        <v>3</v>
      </c>
      <c r="Q33">
        <v>1</v>
      </c>
      <c r="R33" s="8">
        <f t="shared" ref="R33:R121" si="0">S33+T33+V33</f>
        <v>3</v>
      </c>
      <c r="S33">
        <v>1</v>
      </c>
      <c r="T33">
        <v>1</v>
      </c>
      <c r="U33">
        <v>0</v>
      </c>
      <c r="V33">
        <v>1</v>
      </c>
      <c r="W33">
        <v>0</v>
      </c>
      <c r="X33" t="s">
        <v>205</v>
      </c>
      <c r="Y33">
        <v>8</v>
      </c>
      <c r="Z33" s="8">
        <f>AA33+AB33+AC33+AD33+AE33</f>
        <v>27</v>
      </c>
      <c r="AA33">
        <v>8</v>
      </c>
      <c r="AB33">
        <v>11</v>
      </c>
      <c r="AC33">
        <v>0</v>
      </c>
      <c r="AD33">
        <v>6</v>
      </c>
      <c r="AE33">
        <v>2</v>
      </c>
    </row>
    <row r="34" spans="1:31" x14ac:dyDescent="0.35">
      <c r="A34" s="9">
        <v>103</v>
      </c>
      <c r="B34" s="9" t="s">
        <v>181</v>
      </c>
      <c r="C34" s="9" t="s">
        <v>182</v>
      </c>
      <c r="D34" t="s">
        <v>180</v>
      </c>
      <c r="E34" s="8">
        <f t="shared" ref="E34:E46" si="1">F34+G34+H34+I34+K34+L34+M34+P34+Q34+R34+Y34</f>
        <v>12</v>
      </c>
      <c r="F34">
        <v>1</v>
      </c>
      <c r="G34">
        <v>0</v>
      </c>
      <c r="H34">
        <v>1</v>
      </c>
      <c r="I34">
        <v>0</v>
      </c>
      <c r="J34" t="s">
        <v>205</v>
      </c>
      <c r="K34">
        <v>0</v>
      </c>
      <c r="L34">
        <v>1</v>
      </c>
      <c r="M34">
        <v>1</v>
      </c>
      <c r="N34">
        <v>0</v>
      </c>
      <c r="O34" t="s">
        <v>205</v>
      </c>
      <c r="P34">
        <v>0</v>
      </c>
      <c r="Q34">
        <v>1</v>
      </c>
      <c r="R34" s="8">
        <f t="shared" si="0"/>
        <v>0</v>
      </c>
      <c r="S34">
        <v>0</v>
      </c>
      <c r="T34">
        <v>0</v>
      </c>
      <c r="U34">
        <v>0</v>
      </c>
      <c r="V34">
        <v>0</v>
      </c>
      <c r="W34">
        <v>0</v>
      </c>
      <c r="X34" t="s">
        <v>205</v>
      </c>
      <c r="Y34">
        <v>7</v>
      </c>
      <c r="Z34" s="8">
        <f t="shared" ref="Z34:Z121" si="2">AA34+AB34+AC34+AD34+AE34</f>
        <v>30</v>
      </c>
      <c r="AA34">
        <v>14</v>
      </c>
      <c r="AB34">
        <v>9</v>
      </c>
      <c r="AC34">
        <v>0</v>
      </c>
      <c r="AD34">
        <v>7</v>
      </c>
      <c r="AE34">
        <v>0</v>
      </c>
    </row>
    <row r="35" spans="1:31" x14ac:dyDescent="0.35">
      <c r="A35" s="9">
        <v>104</v>
      </c>
      <c r="B35" s="9" t="s">
        <v>181</v>
      </c>
      <c r="C35" s="9" t="s">
        <v>182</v>
      </c>
      <c r="D35" t="s">
        <v>180</v>
      </c>
      <c r="E35" s="8">
        <f t="shared" si="1"/>
        <v>24</v>
      </c>
      <c r="F35">
        <v>0</v>
      </c>
      <c r="G35">
        <v>1</v>
      </c>
      <c r="H35">
        <v>2</v>
      </c>
      <c r="I35">
        <v>0</v>
      </c>
      <c r="J35" t="s">
        <v>205</v>
      </c>
      <c r="K35">
        <v>0</v>
      </c>
      <c r="L35">
        <v>4</v>
      </c>
      <c r="M35">
        <v>3</v>
      </c>
      <c r="N35">
        <v>0</v>
      </c>
      <c r="O35" t="s">
        <v>205</v>
      </c>
      <c r="P35">
        <v>2</v>
      </c>
      <c r="Q35">
        <v>0</v>
      </c>
      <c r="R35" s="8">
        <f t="shared" si="0"/>
        <v>4</v>
      </c>
      <c r="S35">
        <v>2</v>
      </c>
      <c r="T35">
        <v>1</v>
      </c>
      <c r="U35">
        <v>0</v>
      </c>
      <c r="V35">
        <v>1</v>
      </c>
      <c r="W35">
        <v>0</v>
      </c>
      <c r="X35" t="s">
        <v>205</v>
      </c>
      <c r="Y35">
        <v>8</v>
      </c>
      <c r="Z35" s="8">
        <f t="shared" si="2"/>
        <v>43</v>
      </c>
      <c r="AA35">
        <v>13</v>
      </c>
      <c r="AB35">
        <v>11</v>
      </c>
      <c r="AC35">
        <v>2</v>
      </c>
      <c r="AD35">
        <v>17</v>
      </c>
      <c r="AE35">
        <v>0</v>
      </c>
    </row>
    <row r="36" spans="1:31" x14ac:dyDescent="0.35">
      <c r="A36" s="9">
        <v>105</v>
      </c>
      <c r="B36" s="9" t="s">
        <v>181</v>
      </c>
      <c r="C36" s="9" t="s">
        <v>182</v>
      </c>
      <c r="D36" t="s">
        <v>180</v>
      </c>
      <c r="E36" s="8">
        <f t="shared" si="1"/>
        <v>25</v>
      </c>
      <c r="F36">
        <v>0</v>
      </c>
      <c r="G36">
        <v>2</v>
      </c>
      <c r="H36">
        <v>0</v>
      </c>
      <c r="I36">
        <v>0</v>
      </c>
      <c r="J36" t="s">
        <v>205</v>
      </c>
      <c r="K36">
        <v>0</v>
      </c>
      <c r="L36">
        <v>2</v>
      </c>
      <c r="M36">
        <v>2</v>
      </c>
      <c r="N36">
        <v>0</v>
      </c>
      <c r="O36" t="s">
        <v>205</v>
      </c>
      <c r="P36">
        <v>4</v>
      </c>
      <c r="Q36">
        <v>0</v>
      </c>
      <c r="R36" s="8">
        <f t="shared" si="0"/>
        <v>5</v>
      </c>
      <c r="S36">
        <v>1</v>
      </c>
      <c r="T36">
        <v>2</v>
      </c>
      <c r="U36">
        <v>0</v>
      </c>
      <c r="V36">
        <v>2</v>
      </c>
      <c r="W36">
        <v>0</v>
      </c>
      <c r="X36" t="s">
        <v>205</v>
      </c>
      <c r="Y36">
        <v>10</v>
      </c>
      <c r="Z36" s="8">
        <f t="shared" si="2"/>
        <v>32</v>
      </c>
      <c r="AA36">
        <v>16</v>
      </c>
      <c r="AB36">
        <v>9</v>
      </c>
      <c r="AC36">
        <v>3</v>
      </c>
      <c r="AD36">
        <v>4</v>
      </c>
      <c r="AE36">
        <v>0</v>
      </c>
    </row>
    <row r="37" spans="1:31" x14ac:dyDescent="0.35">
      <c r="A37" s="9">
        <v>106</v>
      </c>
      <c r="B37" s="9" t="s">
        <v>181</v>
      </c>
      <c r="C37" s="9" t="s">
        <v>182</v>
      </c>
      <c r="D37" t="s">
        <v>180</v>
      </c>
      <c r="E37" s="8">
        <f t="shared" si="1"/>
        <v>6</v>
      </c>
      <c r="F37">
        <v>1</v>
      </c>
      <c r="G37">
        <v>3</v>
      </c>
      <c r="H37">
        <v>1</v>
      </c>
      <c r="I37">
        <v>0</v>
      </c>
      <c r="J37" t="s">
        <v>205</v>
      </c>
      <c r="K37">
        <v>0</v>
      </c>
      <c r="L37">
        <v>0</v>
      </c>
      <c r="M37">
        <v>0</v>
      </c>
      <c r="N37">
        <v>0</v>
      </c>
      <c r="O37" t="s">
        <v>205</v>
      </c>
      <c r="P37">
        <v>0</v>
      </c>
      <c r="Q37">
        <v>0</v>
      </c>
      <c r="R37" s="8">
        <f t="shared" si="0"/>
        <v>1</v>
      </c>
      <c r="S37">
        <v>1</v>
      </c>
      <c r="T37">
        <v>0</v>
      </c>
      <c r="U37">
        <v>0</v>
      </c>
      <c r="V37">
        <v>0</v>
      </c>
      <c r="W37">
        <v>0</v>
      </c>
      <c r="X37" t="s">
        <v>205</v>
      </c>
      <c r="Y37">
        <v>0</v>
      </c>
      <c r="Z37" s="8">
        <f t="shared" si="2"/>
        <v>21</v>
      </c>
      <c r="AA37">
        <v>7</v>
      </c>
      <c r="AB37">
        <v>11</v>
      </c>
      <c r="AC37">
        <v>0</v>
      </c>
      <c r="AD37">
        <v>3</v>
      </c>
      <c r="AE37">
        <v>0</v>
      </c>
    </row>
    <row r="38" spans="1:31" x14ac:dyDescent="0.35">
      <c r="A38" s="9">
        <v>107</v>
      </c>
      <c r="B38" s="9" t="s">
        <v>181</v>
      </c>
      <c r="C38" s="9" t="s">
        <v>182</v>
      </c>
      <c r="D38" t="s">
        <v>180</v>
      </c>
      <c r="E38" s="8">
        <f t="shared" si="1"/>
        <v>7</v>
      </c>
      <c r="F38">
        <v>1</v>
      </c>
      <c r="G38">
        <v>0</v>
      </c>
      <c r="H38">
        <v>0</v>
      </c>
      <c r="I38">
        <v>0</v>
      </c>
      <c r="J38" t="s">
        <v>205</v>
      </c>
      <c r="K38">
        <v>0</v>
      </c>
      <c r="L38">
        <v>0</v>
      </c>
      <c r="M38">
        <v>0</v>
      </c>
      <c r="N38">
        <v>0</v>
      </c>
      <c r="O38" t="s">
        <v>205</v>
      </c>
      <c r="P38">
        <v>1</v>
      </c>
      <c r="Q38">
        <v>1</v>
      </c>
      <c r="R38" s="8">
        <f t="shared" si="0"/>
        <v>0</v>
      </c>
      <c r="S38">
        <v>0</v>
      </c>
      <c r="T38">
        <v>0</v>
      </c>
      <c r="U38">
        <v>0</v>
      </c>
      <c r="V38">
        <v>0</v>
      </c>
      <c r="W38">
        <v>0</v>
      </c>
      <c r="X38" t="s">
        <v>205</v>
      </c>
      <c r="Y38">
        <v>4</v>
      </c>
      <c r="Z38" s="8">
        <f t="shared" si="2"/>
        <v>9</v>
      </c>
      <c r="AA38">
        <v>4</v>
      </c>
      <c r="AB38">
        <v>3</v>
      </c>
      <c r="AC38">
        <v>0</v>
      </c>
      <c r="AD38">
        <v>2</v>
      </c>
      <c r="AE38">
        <v>0</v>
      </c>
    </row>
    <row r="39" spans="1:31" x14ac:dyDescent="0.35">
      <c r="A39" s="9">
        <v>108</v>
      </c>
      <c r="B39" s="9" t="s">
        <v>181</v>
      </c>
      <c r="C39" s="9" t="s">
        <v>182</v>
      </c>
      <c r="D39" t="s">
        <v>180</v>
      </c>
      <c r="E39" s="8">
        <f t="shared" si="1"/>
        <v>7</v>
      </c>
      <c r="F39">
        <v>0</v>
      </c>
      <c r="G39">
        <v>0</v>
      </c>
      <c r="H39">
        <v>0</v>
      </c>
      <c r="I39">
        <v>0</v>
      </c>
      <c r="J39" t="s">
        <v>205</v>
      </c>
      <c r="K39">
        <v>0</v>
      </c>
      <c r="L39">
        <v>0</v>
      </c>
      <c r="M39">
        <v>3</v>
      </c>
      <c r="N39">
        <v>0</v>
      </c>
      <c r="O39" t="s">
        <v>205</v>
      </c>
      <c r="P39">
        <v>1</v>
      </c>
      <c r="Q39">
        <v>0</v>
      </c>
      <c r="R39" s="8">
        <f t="shared" si="0"/>
        <v>0</v>
      </c>
      <c r="S39">
        <v>0</v>
      </c>
      <c r="T39">
        <v>0</v>
      </c>
      <c r="U39">
        <v>0</v>
      </c>
      <c r="V39">
        <v>0</v>
      </c>
      <c r="W39">
        <v>0</v>
      </c>
      <c r="X39" t="s">
        <v>205</v>
      </c>
      <c r="Y39">
        <v>3</v>
      </c>
      <c r="Z39" s="8">
        <f t="shared" si="2"/>
        <v>28</v>
      </c>
      <c r="AA39">
        <v>7</v>
      </c>
      <c r="AB39">
        <v>19</v>
      </c>
      <c r="AC39">
        <v>2</v>
      </c>
      <c r="AD39">
        <v>0</v>
      </c>
      <c r="AE39">
        <v>0</v>
      </c>
    </row>
    <row r="40" spans="1:31" x14ac:dyDescent="0.35">
      <c r="A40" s="9">
        <v>109</v>
      </c>
      <c r="B40" s="9" t="s">
        <v>181</v>
      </c>
      <c r="C40" s="9" t="s">
        <v>182</v>
      </c>
      <c r="D40" t="s">
        <v>180</v>
      </c>
      <c r="E40" s="8">
        <f t="shared" si="1"/>
        <v>9</v>
      </c>
      <c r="F40">
        <v>0</v>
      </c>
      <c r="G40">
        <v>0</v>
      </c>
      <c r="H40">
        <v>0</v>
      </c>
      <c r="I40">
        <v>0</v>
      </c>
      <c r="J40" t="s">
        <v>205</v>
      </c>
      <c r="K40">
        <v>0</v>
      </c>
      <c r="L40">
        <v>4</v>
      </c>
      <c r="M40">
        <v>0</v>
      </c>
      <c r="N40">
        <v>0</v>
      </c>
      <c r="O40" t="s">
        <v>205</v>
      </c>
      <c r="P40">
        <v>0</v>
      </c>
      <c r="Q40">
        <v>1</v>
      </c>
      <c r="R40" s="8">
        <f t="shared" si="0"/>
        <v>2</v>
      </c>
      <c r="S40">
        <v>2</v>
      </c>
      <c r="T40">
        <v>0</v>
      </c>
      <c r="U40">
        <v>0</v>
      </c>
      <c r="V40">
        <v>0</v>
      </c>
      <c r="W40">
        <v>0</v>
      </c>
      <c r="X40" t="s">
        <v>205</v>
      </c>
      <c r="Y40">
        <v>2</v>
      </c>
      <c r="Z40" s="8">
        <f t="shared" si="2"/>
        <v>14</v>
      </c>
      <c r="AA40">
        <v>6</v>
      </c>
      <c r="AB40">
        <v>7</v>
      </c>
      <c r="AC40">
        <v>0</v>
      </c>
      <c r="AD40">
        <v>0</v>
      </c>
      <c r="AE40">
        <v>1</v>
      </c>
    </row>
    <row r="41" spans="1:31" x14ac:dyDescent="0.35">
      <c r="A41" s="9">
        <v>110</v>
      </c>
      <c r="B41" s="9" t="s">
        <v>181</v>
      </c>
      <c r="C41" s="9" t="s">
        <v>182</v>
      </c>
      <c r="D41" t="s">
        <v>180</v>
      </c>
      <c r="E41" s="8">
        <f t="shared" si="1"/>
        <v>7</v>
      </c>
      <c r="F41">
        <v>0</v>
      </c>
      <c r="G41">
        <v>0</v>
      </c>
      <c r="H41">
        <v>0</v>
      </c>
      <c r="I41">
        <v>0</v>
      </c>
      <c r="J41" t="s">
        <v>205</v>
      </c>
      <c r="K41">
        <v>0</v>
      </c>
      <c r="L41">
        <v>0</v>
      </c>
      <c r="M41">
        <v>1</v>
      </c>
      <c r="N41">
        <v>0</v>
      </c>
      <c r="O41" t="s">
        <v>205</v>
      </c>
      <c r="P41">
        <v>0</v>
      </c>
      <c r="Q41">
        <v>0</v>
      </c>
      <c r="R41" s="8">
        <f t="shared" si="0"/>
        <v>1</v>
      </c>
      <c r="S41">
        <v>0</v>
      </c>
      <c r="T41">
        <v>0</v>
      </c>
      <c r="U41">
        <v>0</v>
      </c>
      <c r="V41">
        <v>1</v>
      </c>
      <c r="W41">
        <v>0</v>
      </c>
      <c r="X41" t="s">
        <v>205</v>
      </c>
      <c r="Y41">
        <v>5</v>
      </c>
      <c r="Z41" s="8">
        <f t="shared" si="2"/>
        <v>24</v>
      </c>
      <c r="AA41">
        <v>6</v>
      </c>
      <c r="AB41">
        <v>13</v>
      </c>
      <c r="AC41">
        <v>0</v>
      </c>
      <c r="AD41">
        <v>3</v>
      </c>
      <c r="AE41">
        <v>2</v>
      </c>
    </row>
    <row r="42" spans="1:31" x14ac:dyDescent="0.35">
      <c r="A42" s="9">
        <v>111</v>
      </c>
      <c r="B42" s="9" t="s">
        <v>181</v>
      </c>
      <c r="C42" s="9" t="s">
        <v>182</v>
      </c>
      <c r="D42" t="s">
        <v>180</v>
      </c>
      <c r="E42" s="8">
        <f t="shared" si="1"/>
        <v>19</v>
      </c>
      <c r="F42">
        <v>0</v>
      </c>
      <c r="G42">
        <v>0</v>
      </c>
      <c r="H42">
        <v>0</v>
      </c>
      <c r="I42">
        <v>0</v>
      </c>
      <c r="J42" t="s">
        <v>205</v>
      </c>
      <c r="K42">
        <v>0</v>
      </c>
      <c r="L42">
        <v>3</v>
      </c>
      <c r="M42">
        <v>3</v>
      </c>
      <c r="N42">
        <v>0</v>
      </c>
      <c r="O42" t="s">
        <v>205</v>
      </c>
      <c r="P42">
        <v>0</v>
      </c>
      <c r="Q42">
        <v>1</v>
      </c>
      <c r="R42" s="8">
        <f t="shared" si="0"/>
        <v>4</v>
      </c>
      <c r="S42">
        <v>2</v>
      </c>
      <c r="T42">
        <v>0</v>
      </c>
      <c r="U42">
        <v>0</v>
      </c>
      <c r="V42">
        <v>2</v>
      </c>
      <c r="W42">
        <v>0</v>
      </c>
      <c r="X42" t="s">
        <v>205</v>
      </c>
      <c r="Y42">
        <v>8</v>
      </c>
      <c r="Z42" s="8">
        <f t="shared" si="2"/>
        <v>47</v>
      </c>
      <c r="AA42">
        <v>20</v>
      </c>
      <c r="AB42">
        <v>20</v>
      </c>
      <c r="AC42">
        <v>1</v>
      </c>
      <c r="AD42">
        <v>4</v>
      </c>
      <c r="AE42">
        <v>2</v>
      </c>
    </row>
    <row r="43" spans="1:31" x14ac:dyDescent="0.35">
      <c r="A43" s="9">
        <v>112</v>
      </c>
      <c r="B43" s="9" t="s">
        <v>181</v>
      </c>
      <c r="C43" s="9" t="s">
        <v>182</v>
      </c>
      <c r="D43" t="s">
        <v>180</v>
      </c>
      <c r="E43" s="8">
        <f t="shared" si="1"/>
        <v>24</v>
      </c>
      <c r="F43">
        <v>0</v>
      </c>
      <c r="G43">
        <v>1</v>
      </c>
      <c r="H43">
        <v>0</v>
      </c>
      <c r="I43">
        <v>0</v>
      </c>
      <c r="J43" t="s">
        <v>205</v>
      </c>
      <c r="K43">
        <v>0</v>
      </c>
      <c r="L43">
        <v>4</v>
      </c>
      <c r="M43">
        <v>2</v>
      </c>
      <c r="N43">
        <v>0</v>
      </c>
      <c r="O43" t="s">
        <v>205</v>
      </c>
      <c r="P43">
        <v>2</v>
      </c>
      <c r="Q43">
        <v>1</v>
      </c>
      <c r="R43" s="8">
        <f t="shared" si="0"/>
        <v>1</v>
      </c>
      <c r="S43">
        <v>0</v>
      </c>
      <c r="T43">
        <v>1</v>
      </c>
      <c r="U43">
        <v>0</v>
      </c>
      <c r="V43">
        <v>0</v>
      </c>
      <c r="W43">
        <v>0</v>
      </c>
      <c r="X43" t="s">
        <v>205</v>
      </c>
      <c r="Y43">
        <v>13</v>
      </c>
      <c r="Z43" s="8">
        <f t="shared" si="2"/>
        <v>74</v>
      </c>
      <c r="AA43">
        <v>30</v>
      </c>
      <c r="AB43">
        <v>22</v>
      </c>
      <c r="AC43">
        <v>0</v>
      </c>
      <c r="AD43">
        <v>20</v>
      </c>
      <c r="AE43">
        <v>2</v>
      </c>
    </row>
    <row r="44" spans="1:31" x14ac:dyDescent="0.35">
      <c r="A44" s="9">
        <v>113</v>
      </c>
      <c r="B44" s="9" t="s">
        <v>181</v>
      </c>
      <c r="C44" s="9" t="s">
        <v>182</v>
      </c>
      <c r="D44" t="s">
        <v>180</v>
      </c>
      <c r="E44" s="8">
        <f t="shared" si="1"/>
        <v>44</v>
      </c>
      <c r="F44">
        <v>1</v>
      </c>
      <c r="G44">
        <v>2</v>
      </c>
      <c r="H44">
        <v>0</v>
      </c>
      <c r="I44">
        <v>0</v>
      </c>
      <c r="J44" t="s">
        <v>205</v>
      </c>
      <c r="K44">
        <v>0</v>
      </c>
      <c r="L44">
        <v>6</v>
      </c>
      <c r="M44">
        <v>0</v>
      </c>
      <c r="N44">
        <v>0</v>
      </c>
      <c r="O44" t="s">
        <v>205</v>
      </c>
      <c r="P44">
        <v>0</v>
      </c>
      <c r="Q44">
        <v>0</v>
      </c>
      <c r="R44" s="8">
        <f t="shared" si="0"/>
        <v>4</v>
      </c>
      <c r="S44">
        <v>3</v>
      </c>
      <c r="T44">
        <v>1</v>
      </c>
      <c r="U44">
        <v>0</v>
      </c>
      <c r="V44">
        <v>0</v>
      </c>
      <c r="W44">
        <v>0</v>
      </c>
      <c r="X44" t="s">
        <v>205</v>
      </c>
      <c r="Y44">
        <v>31</v>
      </c>
      <c r="Z44" s="8">
        <f t="shared" si="2"/>
        <v>46</v>
      </c>
      <c r="AA44">
        <v>16</v>
      </c>
      <c r="AB44">
        <v>17</v>
      </c>
      <c r="AC44">
        <v>0</v>
      </c>
      <c r="AD44">
        <v>12</v>
      </c>
      <c r="AE44">
        <v>1</v>
      </c>
    </row>
    <row r="45" spans="1:31" x14ac:dyDescent="0.35">
      <c r="A45" s="9">
        <v>114</v>
      </c>
      <c r="B45" s="9" t="s">
        <v>181</v>
      </c>
      <c r="C45" s="9" t="s">
        <v>182</v>
      </c>
      <c r="D45" t="s">
        <v>180</v>
      </c>
      <c r="E45" s="8">
        <f t="shared" si="1"/>
        <v>14</v>
      </c>
      <c r="F45">
        <v>0</v>
      </c>
      <c r="G45">
        <v>0</v>
      </c>
      <c r="H45">
        <v>0</v>
      </c>
      <c r="I45">
        <v>0</v>
      </c>
      <c r="J45" t="s">
        <v>205</v>
      </c>
      <c r="K45">
        <v>0</v>
      </c>
      <c r="L45">
        <v>1</v>
      </c>
      <c r="M45">
        <v>1</v>
      </c>
      <c r="N45">
        <v>0</v>
      </c>
      <c r="O45" t="s">
        <v>205</v>
      </c>
      <c r="P45">
        <v>2</v>
      </c>
      <c r="Q45">
        <v>0</v>
      </c>
      <c r="R45" s="8">
        <f t="shared" si="0"/>
        <v>3</v>
      </c>
      <c r="S45">
        <v>2</v>
      </c>
      <c r="T45">
        <v>0</v>
      </c>
      <c r="U45">
        <v>0</v>
      </c>
      <c r="V45">
        <v>1</v>
      </c>
      <c r="W45">
        <v>0</v>
      </c>
      <c r="X45" t="s">
        <v>205</v>
      </c>
      <c r="Y45">
        <v>7</v>
      </c>
      <c r="Z45" s="8">
        <f t="shared" si="2"/>
        <v>19</v>
      </c>
      <c r="AA45">
        <v>5</v>
      </c>
      <c r="AB45">
        <v>10</v>
      </c>
      <c r="AC45">
        <v>0</v>
      </c>
      <c r="AD45">
        <v>4</v>
      </c>
      <c r="AE45">
        <v>0</v>
      </c>
    </row>
    <row r="46" spans="1:31" x14ac:dyDescent="0.35">
      <c r="A46" s="9">
        <v>115</v>
      </c>
      <c r="B46" s="9" t="s">
        <v>181</v>
      </c>
      <c r="C46" s="9" t="s">
        <v>182</v>
      </c>
      <c r="D46" t="s">
        <v>180</v>
      </c>
      <c r="E46" s="8">
        <f t="shared" si="1"/>
        <v>9</v>
      </c>
      <c r="F46">
        <v>0</v>
      </c>
      <c r="G46">
        <v>1</v>
      </c>
      <c r="H46">
        <v>0</v>
      </c>
      <c r="I46">
        <v>0</v>
      </c>
      <c r="J46" t="s">
        <v>205</v>
      </c>
      <c r="K46">
        <v>0</v>
      </c>
      <c r="L46">
        <v>1</v>
      </c>
      <c r="M46">
        <v>1</v>
      </c>
      <c r="N46">
        <v>0</v>
      </c>
      <c r="O46" t="s">
        <v>205</v>
      </c>
      <c r="P46">
        <v>1</v>
      </c>
      <c r="Q46">
        <v>0</v>
      </c>
      <c r="R46" s="8">
        <f t="shared" si="0"/>
        <v>3</v>
      </c>
      <c r="S46">
        <v>2</v>
      </c>
      <c r="T46">
        <v>1</v>
      </c>
      <c r="U46">
        <v>0</v>
      </c>
      <c r="V46">
        <v>0</v>
      </c>
      <c r="W46">
        <v>0</v>
      </c>
      <c r="X46" t="s">
        <v>205</v>
      </c>
      <c r="Y46">
        <v>2</v>
      </c>
      <c r="Z46" s="8">
        <f t="shared" si="2"/>
        <v>21</v>
      </c>
      <c r="AA46">
        <v>10</v>
      </c>
      <c r="AB46">
        <v>8</v>
      </c>
      <c r="AC46">
        <v>0</v>
      </c>
      <c r="AD46">
        <v>0</v>
      </c>
      <c r="AE46">
        <v>3</v>
      </c>
    </row>
    <row r="47" spans="1:31" x14ac:dyDescent="0.35">
      <c r="A47">
        <v>101</v>
      </c>
      <c r="B47" t="s">
        <v>182</v>
      </c>
      <c r="C47" t="s">
        <v>183</v>
      </c>
      <c r="D47" t="s">
        <v>179</v>
      </c>
      <c r="E47" s="10">
        <f>F47+G47+H47+I47+J47+K47+L47+M47+O47+P47+Q47+R47+X47+Y47</f>
        <v>7</v>
      </c>
      <c r="F47">
        <v>0</v>
      </c>
      <c r="G47">
        <v>0</v>
      </c>
      <c r="H47">
        <v>0</v>
      </c>
      <c r="I47">
        <v>0</v>
      </c>
      <c r="J47">
        <v>1</v>
      </c>
      <c r="K47">
        <v>0</v>
      </c>
      <c r="L47">
        <v>2</v>
      </c>
      <c r="M47">
        <v>1</v>
      </c>
      <c r="N47">
        <v>0</v>
      </c>
      <c r="O47">
        <v>0</v>
      </c>
      <c r="P47">
        <v>0</v>
      </c>
      <c r="Q47">
        <v>0</v>
      </c>
      <c r="R47" s="8">
        <f t="shared" si="0"/>
        <v>1</v>
      </c>
      <c r="S47">
        <v>1</v>
      </c>
      <c r="T47">
        <v>0</v>
      </c>
      <c r="U47">
        <v>0</v>
      </c>
      <c r="V47">
        <v>0</v>
      </c>
      <c r="W47">
        <v>0</v>
      </c>
      <c r="X47">
        <v>2</v>
      </c>
      <c r="Y47">
        <v>0</v>
      </c>
      <c r="Z47" s="8">
        <f t="shared" si="2"/>
        <v>3</v>
      </c>
      <c r="AA47">
        <v>2</v>
      </c>
      <c r="AB47">
        <v>1</v>
      </c>
      <c r="AC47">
        <v>0</v>
      </c>
      <c r="AD47">
        <v>0</v>
      </c>
      <c r="AE47">
        <v>0</v>
      </c>
    </row>
    <row r="48" spans="1:31" x14ac:dyDescent="0.35">
      <c r="A48">
        <v>102</v>
      </c>
      <c r="B48" t="s">
        <v>182</v>
      </c>
      <c r="C48" t="s">
        <v>183</v>
      </c>
      <c r="D48" t="s">
        <v>179</v>
      </c>
      <c r="E48" s="10">
        <f t="shared" ref="E48:E121" si="3">F48+G48+H48+I48+J48+K48+L48+M48+O48+P48+Q48+R48+X48+Y48</f>
        <v>22</v>
      </c>
      <c r="F48">
        <v>0</v>
      </c>
      <c r="G48">
        <v>7</v>
      </c>
      <c r="H48">
        <v>1</v>
      </c>
      <c r="I48">
        <v>0</v>
      </c>
      <c r="J48">
        <v>0</v>
      </c>
      <c r="K48">
        <v>0</v>
      </c>
      <c r="L48">
        <v>2</v>
      </c>
      <c r="M48">
        <v>2</v>
      </c>
      <c r="N48">
        <v>0</v>
      </c>
      <c r="O48">
        <v>0</v>
      </c>
      <c r="P48">
        <v>1</v>
      </c>
      <c r="Q48">
        <v>1</v>
      </c>
      <c r="R48" s="8">
        <f t="shared" si="0"/>
        <v>4</v>
      </c>
      <c r="S48">
        <v>1</v>
      </c>
      <c r="T48">
        <v>1</v>
      </c>
      <c r="U48">
        <v>0</v>
      </c>
      <c r="V48">
        <v>2</v>
      </c>
      <c r="W48">
        <v>0</v>
      </c>
      <c r="X48">
        <v>4</v>
      </c>
      <c r="Y48">
        <v>0</v>
      </c>
      <c r="Z48" s="8">
        <f t="shared" si="2"/>
        <v>9</v>
      </c>
      <c r="AA48">
        <v>4</v>
      </c>
      <c r="AB48">
        <v>3</v>
      </c>
      <c r="AC48">
        <v>1</v>
      </c>
      <c r="AD48">
        <v>0</v>
      </c>
      <c r="AE48">
        <v>1</v>
      </c>
    </row>
    <row r="49" spans="1:32" x14ac:dyDescent="0.35">
      <c r="A49">
        <v>103</v>
      </c>
      <c r="B49" t="s">
        <v>182</v>
      </c>
      <c r="C49" t="s">
        <v>183</v>
      </c>
      <c r="D49" t="s">
        <v>179</v>
      </c>
      <c r="E49" s="10">
        <f t="shared" si="3"/>
        <v>31</v>
      </c>
      <c r="F49">
        <v>0</v>
      </c>
      <c r="G49">
        <v>0</v>
      </c>
      <c r="H49">
        <v>1</v>
      </c>
      <c r="I49">
        <v>0</v>
      </c>
      <c r="J49">
        <v>1</v>
      </c>
      <c r="K49">
        <v>2</v>
      </c>
      <c r="L49">
        <v>6</v>
      </c>
      <c r="M49">
        <v>0</v>
      </c>
      <c r="N49">
        <v>0</v>
      </c>
      <c r="O49">
        <v>0</v>
      </c>
      <c r="P49">
        <v>3</v>
      </c>
      <c r="Q49">
        <v>1</v>
      </c>
      <c r="R49" s="8">
        <f t="shared" si="0"/>
        <v>7</v>
      </c>
      <c r="S49">
        <v>1</v>
      </c>
      <c r="T49">
        <v>2</v>
      </c>
      <c r="U49">
        <v>0</v>
      </c>
      <c r="V49">
        <v>4</v>
      </c>
      <c r="W49">
        <v>0</v>
      </c>
      <c r="X49">
        <v>10</v>
      </c>
      <c r="Y49">
        <v>0</v>
      </c>
      <c r="Z49" s="8">
        <f t="shared" si="2"/>
        <v>26</v>
      </c>
      <c r="AA49">
        <v>19</v>
      </c>
      <c r="AB49">
        <v>6</v>
      </c>
      <c r="AC49">
        <v>1</v>
      </c>
      <c r="AD49">
        <v>0</v>
      </c>
      <c r="AE49">
        <v>0</v>
      </c>
    </row>
    <row r="50" spans="1:32" x14ac:dyDescent="0.35">
      <c r="A50">
        <v>104</v>
      </c>
      <c r="B50" t="s">
        <v>182</v>
      </c>
      <c r="C50" t="s">
        <v>183</v>
      </c>
      <c r="D50" t="s">
        <v>179</v>
      </c>
      <c r="E50" s="10">
        <f t="shared" si="3"/>
        <v>24</v>
      </c>
      <c r="F50">
        <v>0</v>
      </c>
      <c r="G50">
        <v>2</v>
      </c>
      <c r="H50">
        <v>2</v>
      </c>
      <c r="I50">
        <v>0</v>
      </c>
      <c r="J50">
        <v>0</v>
      </c>
      <c r="K50">
        <v>0</v>
      </c>
      <c r="L50">
        <v>3</v>
      </c>
      <c r="M50">
        <v>1</v>
      </c>
      <c r="N50">
        <v>0</v>
      </c>
      <c r="O50">
        <v>1</v>
      </c>
      <c r="P50">
        <v>2</v>
      </c>
      <c r="Q50">
        <v>0</v>
      </c>
      <c r="R50" s="8">
        <f t="shared" si="0"/>
        <v>9</v>
      </c>
      <c r="S50">
        <v>5</v>
      </c>
      <c r="T50">
        <v>1</v>
      </c>
      <c r="U50">
        <v>0</v>
      </c>
      <c r="V50">
        <v>3</v>
      </c>
      <c r="W50">
        <v>0</v>
      </c>
      <c r="X50">
        <v>4</v>
      </c>
      <c r="Y50">
        <v>0</v>
      </c>
      <c r="Z50" s="8">
        <f t="shared" si="2"/>
        <v>63</v>
      </c>
      <c r="AA50">
        <v>31</v>
      </c>
      <c r="AB50">
        <v>25</v>
      </c>
      <c r="AC50">
        <v>2</v>
      </c>
      <c r="AD50">
        <v>3</v>
      </c>
      <c r="AE50">
        <v>2</v>
      </c>
    </row>
    <row r="51" spans="1:32" x14ac:dyDescent="0.35">
      <c r="A51">
        <v>105</v>
      </c>
      <c r="B51" t="s">
        <v>182</v>
      </c>
      <c r="C51" t="s">
        <v>183</v>
      </c>
      <c r="D51" t="s">
        <v>179</v>
      </c>
      <c r="E51" s="10">
        <f t="shared" si="3"/>
        <v>30</v>
      </c>
      <c r="F51">
        <v>0</v>
      </c>
      <c r="G51">
        <v>3</v>
      </c>
      <c r="H51">
        <v>1</v>
      </c>
      <c r="I51">
        <v>0</v>
      </c>
      <c r="J51">
        <v>0</v>
      </c>
      <c r="K51">
        <v>0</v>
      </c>
      <c r="L51">
        <v>4</v>
      </c>
      <c r="M51">
        <v>0</v>
      </c>
      <c r="N51">
        <v>0</v>
      </c>
      <c r="O51">
        <v>0</v>
      </c>
      <c r="P51">
        <v>1</v>
      </c>
      <c r="Q51">
        <v>3</v>
      </c>
      <c r="R51" s="8">
        <f t="shared" si="0"/>
        <v>13</v>
      </c>
      <c r="S51">
        <v>7</v>
      </c>
      <c r="T51">
        <v>0</v>
      </c>
      <c r="U51">
        <v>0</v>
      </c>
      <c r="V51">
        <v>6</v>
      </c>
      <c r="W51">
        <v>0</v>
      </c>
      <c r="X51">
        <v>4</v>
      </c>
      <c r="Y51">
        <v>1</v>
      </c>
      <c r="Z51" s="8">
        <f t="shared" si="2"/>
        <v>28</v>
      </c>
      <c r="AA51">
        <v>16</v>
      </c>
      <c r="AB51">
        <v>11</v>
      </c>
      <c r="AC51">
        <v>0</v>
      </c>
      <c r="AD51">
        <v>0</v>
      </c>
      <c r="AE51">
        <v>1</v>
      </c>
    </row>
    <row r="52" spans="1:32" x14ac:dyDescent="0.35">
      <c r="A52">
        <v>106</v>
      </c>
      <c r="B52" t="s">
        <v>182</v>
      </c>
      <c r="C52" t="s">
        <v>183</v>
      </c>
      <c r="D52" t="s">
        <v>179</v>
      </c>
      <c r="E52" s="10">
        <f t="shared" si="3"/>
        <v>11</v>
      </c>
      <c r="F52">
        <v>0</v>
      </c>
      <c r="G52">
        <v>1</v>
      </c>
      <c r="H52">
        <v>0</v>
      </c>
      <c r="I52">
        <v>0</v>
      </c>
      <c r="J52">
        <v>0</v>
      </c>
      <c r="K52">
        <v>0</v>
      </c>
      <c r="L52">
        <v>2</v>
      </c>
      <c r="M52">
        <v>1</v>
      </c>
      <c r="N52">
        <v>0</v>
      </c>
      <c r="O52">
        <v>0</v>
      </c>
      <c r="P52">
        <v>1</v>
      </c>
      <c r="Q52">
        <v>0</v>
      </c>
      <c r="R52" s="8">
        <f t="shared" si="0"/>
        <v>3</v>
      </c>
      <c r="S52">
        <v>2</v>
      </c>
      <c r="T52">
        <v>0</v>
      </c>
      <c r="U52">
        <v>0</v>
      </c>
      <c r="V52">
        <v>1</v>
      </c>
      <c r="W52">
        <v>0</v>
      </c>
      <c r="X52">
        <v>3</v>
      </c>
      <c r="Y52">
        <v>0</v>
      </c>
      <c r="Z52" s="8">
        <f t="shared" si="2"/>
        <v>16</v>
      </c>
      <c r="AA52">
        <v>3</v>
      </c>
      <c r="AB52">
        <v>8</v>
      </c>
      <c r="AC52">
        <v>2</v>
      </c>
      <c r="AD52">
        <v>2</v>
      </c>
      <c r="AE52">
        <v>1</v>
      </c>
    </row>
    <row r="53" spans="1:32" x14ac:dyDescent="0.35">
      <c r="A53">
        <v>107</v>
      </c>
      <c r="B53" t="s">
        <v>182</v>
      </c>
      <c r="C53" t="s">
        <v>183</v>
      </c>
      <c r="D53" t="s">
        <v>179</v>
      </c>
      <c r="E53" s="10">
        <f t="shared" si="3"/>
        <v>16</v>
      </c>
      <c r="F53">
        <v>0</v>
      </c>
      <c r="G53">
        <v>1</v>
      </c>
      <c r="H53">
        <v>0</v>
      </c>
      <c r="I53">
        <v>0</v>
      </c>
      <c r="J53">
        <v>0</v>
      </c>
      <c r="K53">
        <v>0</v>
      </c>
      <c r="L53">
        <v>2</v>
      </c>
      <c r="M53">
        <v>0</v>
      </c>
      <c r="N53">
        <v>0</v>
      </c>
      <c r="O53">
        <v>0</v>
      </c>
      <c r="P53">
        <v>0</v>
      </c>
      <c r="Q53">
        <v>1</v>
      </c>
      <c r="R53" s="8">
        <f t="shared" si="0"/>
        <v>3</v>
      </c>
      <c r="S53">
        <v>1</v>
      </c>
      <c r="T53">
        <v>0</v>
      </c>
      <c r="U53">
        <v>0</v>
      </c>
      <c r="V53">
        <v>2</v>
      </c>
      <c r="W53">
        <v>0</v>
      </c>
      <c r="X53">
        <v>7</v>
      </c>
      <c r="Y53">
        <v>2</v>
      </c>
      <c r="Z53" s="8">
        <f t="shared" si="2"/>
        <v>44</v>
      </c>
      <c r="AA53">
        <v>16</v>
      </c>
      <c r="AB53">
        <v>25</v>
      </c>
      <c r="AC53">
        <v>0</v>
      </c>
      <c r="AD53">
        <v>2</v>
      </c>
      <c r="AE53">
        <v>1</v>
      </c>
      <c r="AF53" t="s">
        <v>218</v>
      </c>
    </row>
    <row r="54" spans="1:32" x14ac:dyDescent="0.35">
      <c r="A54">
        <v>108</v>
      </c>
      <c r="B54" t="s">
        <v>182</v>
      </c>
      <c r="C54" t="s">
        <v>183</v>
      </c>
      <c r="D54" t="s">
        <v>179</v>
      </c>
      <c r="E54" s="10">
        <f t="shared" si="3"/>
        <v>14</v>
      </c>
      <c r="F54">
        <v>0</v>
      </c>
      <c r="G54">
        <v>1</v>
      </c>
      <c r="H54">
        <v>0</v>
      </c>
      <c r="I54">
        <v>0</v>
      </c>
      <c r="J54">
        <v>0</v>
      </c>
      <c r="K54">
        <v>0</v>
      </c>
      <c r="L54">
        <v>3</v>
      </c>
      <c r="M54">
        <v>0</v>
      </c>
      <c r="N54">
        <v>0</v>
      </c>
      <c r="O54">
        <v>1</v>
      </c>
      <c r="P54">
        <v>2</v>
      </c>
      <c r="Q54">
        <v>2</v>
      </c>
      <c r="R54" s="8">
        <f t="shared" si="0"/>
        <v>1</v>
      </c>
      <c r="S54">
        <v>1</v>
      </c>
      <c r="T54">
        <v>0</v>
      </c>
      <c r="U54">
        <v>0</v>
      </c>
      <c r="V54">
        <v>0</v>
      </c>
      <c r="W54">
        <v>0</v>
      </c>
      <c r="X54">
        <v>3</v>
      </c>
      <c r="Y54">
        <v>1</v>
      </c>
      <c r="Z54" s="8">
        <f t="shared" si="2"/>
        <v>35</v>
      </c>
      <c r="AA54">
        <v>14</v>
      </c>
      <c r="AB54">
        <v>14</v>
      </c>
      <c r="AC54">
        <v>1</v>
      </c>
      <c r="AD54">
        <v>4</v>
      </c>
      <c r="AE54">
        <v>2</v>
      </c>
    </row>
    <row r="55" spans="1:32" x14ac:dyDescent="0.35">
      <c r="A55">
        <v>109</v>
      </c>
      <c r="B55" t="s">
        <v>182</v>
      </c>
      <c r="C55" t="s">
        <v>183</v>
      </c>
      <c r="D55" t="s">
        <v>179</v>
      </c>
      <c r="E55" s="10">
        <f t="shared" si="3"/>
        <v>1</v>
      </c>
      <c r="F55">
        <v>0</v>
      </c>
      <c r="G55">
        <v>0</v>
      </c>
      <c r="H55">
        <v>0</v>
      </c>
      <c r="I55">
        <v>0</v>
      </c>
      <c r="J55">
        <v>0</v>
      </c>
      <c r="K55">
        <v>0</v>
      </c>
      <c r="L55">
        <v>0</v>
      </c>
      <c r="M55">
        <v>0</v>
      </c>
      <c r="N55">
        <v>0</v>
      </c>
      <c r="O55">
        <v>0</v>
      </c>
      <c r="P55">
        <v>0</v>
      </c>
      <c r="Q55">
        <v>0</v>
      </c>
      <c r="R55" s="8">
        <f t="shared" si="0"/>
        <v>0</v>
      </c>
      <c r="S55">
        <v>0</v>
      </c>
      <c r="T55">
        <v>0</v>
      </c>
      <c r="U55">
        <v>0</v>
      </c>
      <c r="V55">
        <v>0</v>
      </c>
      <c r="W55">
        <v>0</v>
      </c>
      <c r="X55">
        <v>1</v>
      </c>
      <c r="Y55">
        <v>0</v>
      </c>
      <c r="Z55" s="8">
        <f t="shared" si="2"/>
        <v>8</v>
      </c>
      <c r="AA55">
        <v>4</v>
      </c>
      <c r="AB55">
        <v>3</v>
      </c>
      <c r="AC55">
        <v>1</v>
      </c>
      <c r="AD55">
        <v>0</v>
      </c>
      <c r="AE55">
        <v>0</v>
      </c>
    </row>
    <row r="56" spans="1:32" x14ac:dyDescent="0.35">
      <c r="A56">
        <v>110</v>
      </c>
      <c r="B56" t="s">
        <v>182</v>
      </c>
      <c r="C56" t="s">
        <v>183</v>
      </c>
      <c r="D56" t="s">
        <v>179</v>
      </c>
      <c r="E56" s="10">
        <f t="shared" si="3"/>
        <v>12</v>
      </c>
      <c r="F56">
        <v>0</v>
      </c>
      <c r="G56">
        <v>0</v>
      </c>
      <c r="H56">
        <v>0</v>
      </c>
      <c r="I56">
        <v>0</v>
      </c>
      <c r="J56">
        <v>1</v>
      </c>
      <c r="K56">
        <v>2</v>
      </c>
      <c r="L56">
        <v>0</v>
      </c>
      <c r="M56">
        <v>1</v>
      </c>
      <c r="N56">
        <v>0</v>
      </c>
      <c r="O56">
        <v>0</v>
      </c>
      <c r="P56">
        <v>0</v>
      </c>
      <c r="Q56">
        <v>2</v>
      </c>
      <c r="R56" s="8">
        <f t="shared" si="0"/>
        <v>4</v>
      </c>
      <c r="S56">
        <v>3</v>
      </c>
      <c r="T56">
        <v>1</v>
      </c>
      <c r="U56">
        <v>0</v>
      </c>
      <c r="V56">
        <v>0</v>
      </c>
      <c r="W56">
        <v>0</v>
      </c>
      <c r="X56">
        <v>1</v>
      </c>
      <c r="Y56">
        <v>1</v>
      </c>
      <c r="Z56" s="8">
        <f t="shared" si="2"/>
        <v>13</v>
      </c>
      <c r="AA56">
        <v>4</v>
      </c>
      <c r="AB56">
        <v>5</v>
      </c>
      <c r="AC56">
        <v>2</v>
      </c>
      <c r="AD56">
        <v>0</v>
      </c>
      <c r="AE56">
        <v>2</v>
      </c>
      <c r="AF56" t="s">
        <v>219</v>
      </c>
    </row>
    <row r="57" spans="1:32" x14ac:dyDescent="0.35">
      <c r="A57">
        <v>111</v>
      </c>
      <c r="B57" t="s">
        <v>182</v>
      </c>
      <c r="C57" t="s">
        <v>183</v>
      </c>
      <c r="D57" t="s">
        <v>179</v>
      </c>
      <c r="E57" s="10">
        <f t="shared" si="3"/>
        <v>13</v>
      </c>
      <c r="F57">
        <v>0</v>
      </c>
      <c r="G57">
        <v>0</v>
      </c>
      <c r="H57">
        <v>1</v>
      </c>
      <c r="I57">
        <v>0</v>
      </c>
      <c r="J57">
        <v>0</v>
      </c>
      <c r="K57">
        <v>0</v>
      </c>
      <c r="L57">
        <v>1</v>
      </c>
      <c r="M57">
        <v>0</v>
      </c>
      <c r="N57">
        <v>0</v>
      </c>
      <c r="O57">
        <v>0</v>
      </c>
      <c r="P57">
        <v>0</v>
      </c>
      <c r="Q57">
        <v>3</v>
      </c>
      <c r="R57" s="8">
        <f t="shared" si="0"/>
        <v>4</v>
      </c>
      <c r="S57">
        <v>1</v>
      </c>
      <c r="T57">
        <v>1</v>
      </c>
      <c r="U57">
        <v>0</v>
      </c>
      <c r="V57">
        <v>2</v>
      </c>
      <c r="W57">
        <v>0</v>
      </c>
      <c r="X57">
        <v>4</v>
      </c>
      <c r="Y57">
        <v>0</v>
      </c>
      <c r="Z57" s="8">
        <f t="shared" si="2"/>
        <v>12</v>
      </c>
      <c r="AA57">
        <v>7</v>
      </c>
      <c r="AB57">
        <v>3</v>
      </c>
      <c r="AC57">
        <v>1</v>
      </c>
      <c r="AD57">
        <v>1</v>
      </c>
      <c r="AE57">
        <v>0</v>
      </c>
    </row>
    <row r="58" spans="1:32" x14ac:dyDescent="0.35">
      <c r="A58">
        <v>112</v>
      </c>
      <c r="B58" t="s">
        <v>182</v>
      </c>
      <c r="C58" t="s">
        <v>183</v>
      </c>
      <c r="D58" t="s">
        <v>179</v>
      </c>
      <c r="E58" s="10">
        <f t="shared" si="3"/>
        <v>21</v>
      </c>
      <c r="F58">
        <v>0</v>
      </c>
      <c r="G58">
        <v>0</v>
      </c>
      <c r="H58">
        <v>0</v>
      </c>
      <c r="I58">
        <v>0</v>
      </c>
      <c r="J58">
        <v>0</v>
      </c>
      <c r="K58">
        <v>0</v>
      </c>
      <c r="L58">
        <v>4</v>
      </c>
      <c r="M58">
        <v>0</v>
      </c>
      <c r="N58">
        <v>0</v>
      </c>
      <c r="O58">
        <v>0</v>
      </c>
      <c r="P58">
        <v>0</v>
      </c>
      <c r="Q58">
        <v>1</v>
      </c>
      <c r="R58" s="8">
        <f t="shared" si="0"/>
        <v>5</v>
      </c>
      <c r="S58">
        <v>3</v>
      </c>
      <c r="T58">
        <v>1</v>
      </c>
      <c r="U58">
        <v>0</v>
      </c>
      <c r="V58">
        <v>1</v>
      </c>
      <c r="W58">
        <v>0</v>
      </c>
      <c r="X58">
        <v>10</v>
      </c>
      <c r="Y58">
        <v>1</v>
      </c>
      <c r="Z58" s="8">
        <f t="shared" si="2"/>
        <v>17</v>
      </c>
      <c r="AA58">
        <v>4</v>
      </c>
      <c r="AB58">
        <v>11</v>
      </c>
      <c r="AC58">
        <v>0</v>
      </c>
      <c r="AD58">
        <v>2</v>
      </c>
      <c r="AE58">
        <v>0</v>
      </c>
    </row>
    <row r="59" spans="1:32" x14ac:dyDescent="0.35">
      <c r="A59">
        <v>113</v>
      </c>
      <c r="B59" t="s">
        <v>182</v>
      </c>
      <c r="C59" t="s">
        <v>183</v>
      </c>
      <c r="D59" t="s">
        <v>179</v>
      </c>
      <c r="E59" s="10">
        <f t="shared" si="3"/>
        <v>22</v>
      </c>
      <c r="F59">
        <v>0</v>
      </c>
      <c r="G59">
        <v>1</v>
      </c>
      <c r="H59">
        <v>1</v>
      </c>
      <c r="I59">
        <v>0</v>
      </c>
      <c r="J59">
        <v>0</v>
      </c>
      <c r="K59">
        <v>0</v>
      </c>
      <c r="L59">
        <v>2</v>
      </c>
      <c r="M59">
        <v>0</v>
      </c>
      <c r="N59">
        <v>0</v>
      </c>
      <c r="O59">
        <v>0</v>
      </c>
      <c r="P59">
        <v>0</v>
      </c>
      <c r="Q59">
        <v>2</v>
      </c>
      <c r="R59" s="8">
        <f t="shared" si="0"/>
        <v>4</v>
      </c>
      <c r="S59">
        <v>3</v>
      </c>
      <c r="T59">
        <v>0</v>
      </c>
      <c r="U59">
        <v>0</v>
      </c>
      <c r="V59">
        <v>1</v>
      </c>
      <c r="W59">
        <v>0</v>
      </c>
      <c r="X59">
        <v>11</v>
      </c>
      <c r="Y59">
        <v>1</v>
      </c>
      <c r="Z59" s="8">
        <f t="shared" si="2"/>
        <v>15</v>
      </c>
      <c r="AA59">
        <v>12</v>
      </c>
      <c r="AB59">
        <v>1</v>
      </c>
      <c r="AC59">
        <v>1</v>
      </c>
      <c r="AD59">
        <v>0</v>
      </c>
      <c r="AE59">
        <v>1</v>
      </c>
    </row>
    <row r="60" spans="1:32" x14ac:dyDescent="0.35">
      <c r="A60">
        <v>114</v>
      </c>
      <c r="B60" t="s">
        <v>182</v>
      </c>
      <c r="C60" t="s">
        <v>183</v>
      </c>
      <c r="D60" t="s">
        <v>179</v>
      </c>
      <c r="E60" s="10">
        <f t="shared" si="3"/>
        <v>19</v>
      </c>
      <c r="F60">
        <v>0</v>
      </c>
      <c r="G60">
        <v>1</v>
      </c>
      <c r="H60">
        <v>0</v>
      </c>
      <c r="I60">
        <v>0</v>
      </c>
      <c r="J60">
        <v>0</v>
      </c>
      <c r="K60">
        <v>0</v>
      </c>
      <c r="L60">
        <v>0</v>
      </c>
      <c r="M60">
        <v>1</v>
      </c>
      <c r="N60">
        <v>0</v>
      </c>
      <c r="O60">
        <v>1</v>
      </c>
      <c r="P60">
        <v>3</v>
      </c>
      <c r="Q60">
        <v>2</v>
      </c>
      <c r="R60" s="8">
        <f t="shared" si="0"/>
        <v>2</v>
      </c>
      <c r="S60">
        <v>1</v>
      </c>
      <c r="T60">
        <v>0</v>
      </c>
      <c r="U60">
        <v>0</v>
      </c>
      <c r="V60">
        <v>1</v>
      </c>
      <c r="W60">
        <v>0</v>
      </c>
      <c r="X60">
        <v>9</v>
      </c>
      <c r="Y60">
        <v>0</v>
      </c>
      <c r="Z60" s="8">
        <f t="shared" si="2"/>
        <v>18</v>
      </c>
      <c r="AA60">
        <v>7</v>
      </c>
      <c r="AB60">
        <v>6</v>
      </c>
      <c r="AC60">
        <v>2</v>
      </c>
      <c r="AD60">
        <v>1</v>
      </c>
      <c r="AE60">
        <v>2</v>
      </c>
    </row>
    <row r="61" spans="1:32" x14ac:dyDescent="0.35">
      <c r="A61">
        <v>115</v>
      </c>
      <c r="B61" t="s">
        <v>182</v>
      </c>
      <c r="C61" t="s">
        <v>183</v>
      </c>
      <c r="D61" t="s">
        <v>179</v>
      </c>
      <c r="E61" s="10">
        <f t="shared" si="3"/>
        <v>18</v>
      </c>
      <c r="F61">
        <v>0</v>
      </c>
      <c r="G61">
        <v>3</v>
      </c>
      <c r="H61">
        <v>1</v>
      </c>
      <c r="I61">
        <v>0</v>
      </c>
      <c r="J61">
        <v>2</v>
      </c>
      <c r="K61">
        <v>1</v>
      </c>
      <c r="L61">
        <v>1</v>
      </c>
      <c r="M61">
        <v>2</v>
      </c>
      <c r="N61">
        <v>0</v>
      </c>
      <c r="O61">
        <v>0</v>
      </c>
      <c r="P61">
        <v>0</v>
      </c>
      <c r="Q61">
        <v>2</v>
      </c>
      <c r="R61" s="8">
        <f t="shared" si="0"/>
        <v>1</v>
      </c>
      <c r="S61">
        <v>1</v>
      </c>
      <c r="T61">
        <v>0</v>
      </c>
      <c r="U61">
        <v>0</v>
      </c>
      <c r="V61">
        <v>0</v>
      </c>
      <c r="W61">
        <v>0</v>
      </c>
      <c r="X61">
        <v>4</v>
      </c>
      <c r="Y61">
        <v>1</v>
      </c>
      <c r="Z61" s="8">
        <f t="shared" si="2"/>
        <v>26</v>
      </c>
      <c r="AA61">
        <v>8</v>
      </c>
      <c r="AB61">
        <v>18</v>
      </c>
      <c r="AC61">
        <v>0</v>
      </c>
      <c r="AD61">
        <v>0</v>
      </c>
      <c r="AE61">
        <v>0</v>
      </c>
    </row>
    <row r="62" spans="1:32" x14ac:dyDescent="0.35">
      <c r="A62" s="9">
        <v>101</v>
      </c>
      <c r="B62" s="9" t="s">
        <v>183</v>
      </c>
      <c r="C62" s="9" t="s">
        <v>184</v>
      </c>
      <c r="D62" t="s">
        <v>179</v>
      </c>
      <c r="E62" s="10">
        <f>F62+G62+H62+I62+J62+K62+L62+M62+O62+P62+Q62+R62+X62+Y62</f>
        <v>2</v>
      </c>
      <c r="F62">
        <v>0</v>
      </c>
      <c r="G62">
        <v>1</v>
      </c>
      <c r="H62">
        <v>0</v>
      </c>
      <c r="I62">
        <v>0</v>
      </c>
      <c r="J62">
        <v>0</v>
      </c>
      <c r="K62">
        <v>0</v>
      </c>
      <c r="L62">
        <v>0</v>
      </c>
      <c r="M62">
        <v>1</v>
      </c>
      <c r="N62">
        <v>0</v>
      </c>
      <c r="O62">
        <v>0</v>
      </c>
      <c r="P62">
        <v>0</v>
      </c>
      <c r="Q62">
        <v>0</v>
      </c>
      <c r="R62" s="8">
        <f t="shared" si="0"/>
        <v>0</v>
      </c>
      <c r="S62">
        <v>0</v>
      </c>
      <c r="T62">
        <v>0</v>
      </c>
      <c r="U62">
        <v>0</v>
      </c>
      <c r="V62">
        <v>0</v>
      </c>
      <c r="W62">
        <v>0</v>
      </c>
      <c r="X62">
        <v>0</v>
      </c>
      <c r="Y62">
        <v>0</v>
      </c>
      <c r="Z62" s="8">
        <f t="shared" si="2"/>
        <v>8</v>
      </c>
      <c r="AA62">
        <v>2</v>
      </c>
      <c r="AB62">
        <v>4</v>
      </c>
      <c r="AC62">
        <v>0</v>
      </c>
      <c r="AD62">
        <v>1</v>
      </c>
      <c r="AE62">
        <v>1</v>
      </c>
    </row>
    <row r="63" spans="1:32" x14ac:dyDescent="0.35">
      <c r="A63" s="9">
        <v>102</v>
      </c>
      <c r="B63" s="9" t="s">
        <v>183</v>
      </c>
      <c r="C63" s="9" t="s">
        <v>184</v>
      </c>
      <c r="D63" t="s">
        <v>179</v>
      </c>
      <c r="E63" s="10">
        <f t="shared" si="3"/>
        <v>6</v>
      </c>
      <c r="F63">
        <v>0</v>
      </c>
      <c r="G63">
        <v>0</v>
      </c>
      <c r="H63">
        <v>1</v>
      </c>
      <c r="I63">
        <v>0</v>
      </c>
      <c r="J63">
        <v>0</v>
      </c>
      <c r="K63">
        <v>0</v>
      </c>
      <c r="L63">
        <v>3</v>
      </c>
      <c r="M63">
        <v>0</v>
      </c>
      <c r="N63">
        <v>0</v>
      </c>
      <c r="O63">
        <v>0</v>
      </c>
      <c r="P63">
        <v>0</v>
      </c>
      <c r="Q63">
        <v>1</v>
      </c>
      <c r="R63" s="8">
        <f t="shared" si="0"/>
        <v>0</v>
      </c>
      <c r="S63">
        <v>0</v>
      </c>
      <c r="T63">
        <v>0</v>
      </c>
      <c r="U63">
        <v>0</v>
      </c>
      <c r="V63">
        <v>0</v>
      </c>
      <c r="W63">
        <v>0</v>
      </c>
      <c r="X63">
        <v>1</v>
      </c>
      <c r="Y63">
        <v>0</v>
      </c>
      <c r="Z63" s="8">
        <f t="shared" si="2"/>
        <v>69</v>
      </c>
      <c r="AA63">
        <v>50</v>
      </c>
      <c r="AB63">
        <v>17</v>
      </c>
      <c r="AC63">
        <v>1</v>
      </c>
      <c r="AD63">
        <v>0</v>
      </c>
      <c r="AE63">
        <v>1</v>
      </c>
      <c r="AF63" t="s">
        <v>220</v>
      </c>
    </row>
    <row r="64" spans="1:32" x14ac:dyDescent="0.35">
      <c r="A64" s="9">
        <v>103</v>
      </c>
      <c r="B64" s="9" t="s">
        <v>183</v>
      </c>
      <c r="C64" s="9" t="s">
        <v>184</v>
      </c>
      <c r="D64" t="s">
        <v>179</v>
      </c>
      <c r="E64" s="10">
        <f t="shared" si="3"/>
        <v>6</v>
      </c>
      <c r="F64">
        <v>0</v>
      </c>
      <c r="G64">
        <v>0</v>
      </c>
      <c r="H64">
        <v>0</v>
      </c>
      <c r="I64">
        <v>0</v>
      </c>
      <c r="J64">
        <v>2</v>
      </c>
      <c r="K64">
        <v>0</v>
      </c>
      <c r="L64">
        <v>1</v>
      </c>
      <c r="M64">
        <v>1</v>
      </c>
      <c r="N64">
        <v>0</v>
      </c>
      <c r="O64">
        <v>0</v>
      </c>
      <c r="P64">
        <v>2</v>
      </c>
      <c r="Q64">
        <v>0</v>
      </c>
      <c r="R64" s="8">
        <f t="shared" si="0"/>
        <v>0</v>
      </c>
      <c r="S64">
        <v>0</v>
      </c>
      <c r="T64">
        <v>0</v>
      </c>
      <c r="U64">
        <v>0</v>
      </c>
      <c r="V64">
        <v>0</v>
      </c>
      <c r="W64">
        <v>0</v>
      </c>
      <c r="X64">
        <v>0</v>
      </c>
      <c r="Y64">
        <v>0</v>
      </c>
      <c r="Z64" s="8">
        <f t="shared" si="2"/>
        <v>23</v>
      </c>
      <c r="AA64">
        <v>9</v>
      </c>
      <c r="AB64">
        <v>11</v>
      </c>
      <c r="AC64">
        <v>2</v>
      </c>
      <c r="AD64">
        <v>0</v>
      </c>
      <c r="AE64">
        <v>1</v>
      </c>
    </row>
    <row r="65" spans="1:32" x14ac:dyDescent="0.35">
      <c r="A65" s="9">
        <v>104</v>
      </c>
      <c r="B65" s="9" t="s">
        <v>183</v>
      </c>
      <c r="C65" s="9" t="s">
        <v>184</v>
      </c>
      <c r="D65" t="s">
        <v>179</v>
      </c>
      <c r="E65" s="10">
        <f t="shared" si="3"/>
        <v>25</v>
      </c>
      <c r="F65">
        <v>0</v>
      </c>
      <c r="G65">
        <v>3</v>
      </c>
      <c r="H65">
        <v>4</v>
      </c>
      <c r="I65">
        <v>0</v>
      </c>
      <c r="J65">
        <v>0</v>
      </c>
      <c r="K65">
        <v>0</v>
      </c>
      <c r="L65">
        <v>2</v>
      </c>
      <c r="M65">
        <v>1</v>
      </c>
      <c r="N65">
        <v>0</v>
      </c>
      <c r="O65">
        <v>0</v>
      </c>
      <c r="P65">
        <v>0</v>
      </c>
      <c r="Q65">
        <v>3</v>
      </c>
      <c r="R65" s="8">
        <f t="shared" si="0"/>
        <v>4</v>
      </c>
      <c r="S65">
        <v>1</v>
      </c>
      <c r="T65">
        <v>3</v>
      </c>
      <c r="U65">
        <v>0</v>
      </c>
      <c r="V65">
        <v>0</v>
      </c>
      <c r="W65">
        <v>0</v>
      </c>
      <c r="X65">
        <v>8</v>
      </c>
      <c r="Y65">
        <v>0</v>
      </c>
      <c r="Z65" s="8">
        <f t="shared" si="2"/>
        <v>21</v>
      </c>
      <c r="AA65">
        <v>4</v>
      </c>
      <c r="AB65">
        <v>11</v>
      </c>
      <c r="AC65">
        <v>2</v>
      </c>
      <c r="AD65">
        <v>2</v>
      </c>
      <c r="AE65">
        <v>2</v>
      </c>
    </row>
    <row r="66" spans="1:32" x14ac:dyDescent="0.35">
      <c r="A66" s="9">
        <v>105</v>
      </c>
      <c r="B66" s="9" t="s">
        <v>183</v>
      </c>
      <c r="C66" s="9" t="s">
        <v>184</v>
      </c>
      <c r="D66" t="s">
        <v>179</v>
      </c>
      <c r="E66" s="10">
        <f t="shared" si="3"/>
        <v>19</v>
      </c>
      <c r="F66">
        <v>0</v>
      </c>
      <c r="G66">
        <v>2</v>
      </c>
      <c r="H66">
        <v>2</v>
      </c>
      <c r="I66">
        <v>0</v>
      </c>
      <c r="J66">
        <v>1</v>
      </c>
      <c r="K66">
        <v>3</v>
      </c>
      <c r="L66">
        <v>1</v>
      </c>
      <c r="M66">
        <v>1</v>
      </c>
      <c r="N66">
        <v>0</v>
      </c>
      <c r="O66">
        <v>1</v>
      </c>
      <c r="P66">
        <v>1</v>
      </c>
      <c r="Q66">
        <v>2</v>
      </c>
      <c r="R66" s="8">
        <f t="shared" si="0"/>
        <v>2</v>
      </c>
      <c r="S66">
        <v>1</v>
      </c>
      <c r="T66">
        <v>0</v>
      </c>
      <c r="U66">
        <v>0</v>
      </c>
      <c r="V66">
        <v>1</v>
      </c>
      <c r="W66">
        <v>0</v>
      </c>
      <c r="X66">
        <v>2</v>
      </c>
      <c r="Y66">
        <v>1</v>
      </c>
      <c r="Z66" s="8">
        <f t="shared" si="2"/>
        <v>25</v>
      </c>
      <c r="AA66">
        <v>5</v>
      </c>
      <c r="AB66">
        <v>19</v>
      </c>
      <c r="AC66">
        <v>1</v>
      </c>
      <c r="AD66">
        <v>0</v>
      </c>
      <c r="AE66">
        <v>0</v>
      </c>
    </row>
    <row r="67" spans="1:32" x14ac:dyDescent="0.35">
      <c r="A67" s="9">
        <v>106</v>
      </c>
      <c r="B67" s="9" t="s">
        <v>183</v>
      </c>
      <c r="C67" s="9" t="s">
        <v>184</v>
      </c>
      <c r="D67" t="s">
        <v>179</v>
      </c>
      <c r="E67" s="10">
        <f t="shared" si="3"/>
        <v>2</v>
      </c>
      <c r="F67">
        <v>0</v>
      </c>
      <c r="G67">
        <v>0</v>
      </c>
      <c r="H67">
        <v>0</v>
      </c>
      <c r="I67">
        <v>0</v>
      </c>
      <c r="J67">
        <v>0</v>
      </c>
      <c r="K67">
        <v>0</v>
      </c>
      <c r="L67">
        <v>0</v>
      </c>
      <c r="M67">
        <v>0</v>
      </c>
      <c r="N67">
        <v>0</v>
      </c>
      <c r="O67">
        <v>0</v>
      </c>
      <c r="P67">
        <v>0</v>
      </c>
      <c r="Q67">
        <v>1</v>
      </c>
      <c r="R67" s="8">
        <f t="shared" si="0"/>
        <v>0</v>
      </c>
      <c r="S67">
        <v>0</v>
      </c>
      <c r="T67">
        <v>0</v>
      </c>
      <c r="U67">
        <v>0</v>
      </c>
      <c r="V67">
        <v>0</v>
      </c>
      <c r="W67">
        <v>0</v>
      </c>
      <c r="X67">
        <v>1</v>
      </c>
      <c r="Y67">
        <v>0</v>
      </c>
      <c r="Z67" s="8">
        <f t="shared" si="2"/>
        <v>18</v>
      </c>
      <c r="AA67">
        <v>4</v>
      </c>
      <c r="AB67">
        <v>12</v>
      </c>
      <c r="AC67">
        <v>1</v>
      </c>
      <c r="AD67">
        <v>1</v>
      </c>
      <c r="AE67">
        <v>0</v>
      </c>
    </row>
    <row r="68" spans="1:32" x14ac:dyDescent="0.35">
      <c r="A68" s="9">
        <v>107</v>
      </c>
      <c r="B68" s="9" t="s">
        <v>183</v>
      </c>
      <c r="C68" s="9" t="s">
        <v>184</v>
      </c>
      <c r="D68" t="s">
        <v>179</v>
      </c>
      <c r="E68" s="10">
        <f t="shared" si="3"/>
        <v>11</v>
      </c>
      <c r="F68">
        <v>2</v>
      </c>
      <c r="G68">
        <v>2</v>
      </c>
      <c r="H68">
        <v>0</v>
      </c>
      <c r="I68">
        <v>0</v>
      </c>
      <c r="J68">
        <v>0</v>
      </c>
      <c r="K68">
        <v>0</v>
      </c>
      <c r="L68">
        <v>1</v>
      </c>
      <c r="M68">
        <v>0</v>
      </c>
      <c r="N68">
        <v>0</v>
      </c>
      <c r="O68">
        <v>1</v>
      </c>
      <c r="P68">
        <v>1</v>
      </c>
      <c r="Q68">
        <v>1</v>
      </c>
      <c r="R68" s="8">
        <f t="shared" si="0"/>
        <v>1</v>
      </c>
      <c r="S68">
        <v>0</v>
      </c>
      <c r="T68">
        <v>0</v>
      </c>
      <c r="U68">
        <v>0</v>
      </c>
      <c r="V68">
        <v>1</v>
      </c>
      <c r="W68">
        <v>0</v>
      </c>
      <c r="X68">
        <v>2</v>
      </c>
      <c r="Y68">
        <v>0</v>
      </c>
      <c r="Z68" s="8">
        <f t="shared" si="2"/>
        <v>36</v>
      </c>
      <c r="AA68">
        <v>15</v>
      </c>
      <c r="AB68">
        <v>14</v>
      </c>
      <c r="AC68">
        <v>0</v>
      </c>
      <c r="AD68">
        <v>4</v>
      </c>
      <c r="AE68">
        <v>3</v>
      </c>
      <c r="AF68" t="s">
        <v>221</v>
      </c>
    </row>
    <row r="69" spans="1:32" x14ac:dyDescent="0.35">
      <c r="A69" s="9">
        <v>108</v>
      </c>
      <c r="B69" s="9" t="s">
        <v>183</v>
      </c>
      <c r="C69" s="9" t="s">
        <v>184</v>
      </c>
      <c r="D69" t="s">
        <v>179</v>
      </c>
      <c r="E69" s="10">
        <f t="shared" si="3"/>
        <v>9</v>
      </c>
      <c r="F69">
        <v>0</v>
      </c>
      <c r="G69">
        <v>4</v>
      </c>
      <c r="H69">
        <v>0</v>
      </c>
      <c r="I69">
        <v>0</v>
      </c>
      <c r="J69">
        <v>1</v>
      </c>
      <c r="K69">
        <v>0</v>
      </c>
      <c r="L69">
        <v>1</v>
      </c>
      <c r="M69">
        <v>0</v>
      </c>
      <c r="N69">
        <v>0</v>
      </c>
      <c r="O69">
        <v>0</v>
      </c>
      <c r="P69">
        <v>2</v>
      </c>
      <c r="Q69">
        <v>0</v>
      </c>
      <c r="R69" s="8">
        <f t="shared" si="0"/>
        <v>0</v>
      </c>
      <c r="S69">
        <v>0</v>
      </c>
      <c r="T69">
        <v>0</v>
      </c>
      <c r="U69">
        <v>0</v>
      </c>
      <c r="V69">
        <v>0</v>
      </c>
      <c r="W69">
        <v>0</v>
      </c>
      <c r="X69">
        <v>1</v>
      </c>
      <c r="Y69">
        <v>0</v>
      </c>
      <c r="Z69" s="8">
        <f t="shared" si="2"/>
        <v>30</v>
      </c>
      <c r="AA69">
        <v>14</v>
      </c>
      <c r="AB69">
        <v>14</v>
      </c>
      <c r="AC69">
        <v>0</v>
      </c>
      <c r="AD69">
        <v>2</v>
      </c>
      <c r="AE69">
        <v>0</v>
      </c>
    </row>
    <row r="70" spans="1:32" x14ac:dyDescent="0.35">
      <c r="A70" s="9">
        <v>109</v>
      </c>
      <c r="B70" s="9" t="s">
        <v>183</v>
      </c>
      <c r="C70" s="9" t="s">
        <v>184</v>
      </c>
      <c r="D70" t="s">
        <v>179</v>
      </c>
      <c r="E70" s="10">
        <f t="shared" si="3"/>
        <v>2</v>
      </c>
      <c r="F70">
        <v>0</v>
      </c>
      <c r="G70">
        <v>0</v>
      </c>
      <c r="H70">
        <v>0</v>
      </c>
      <c r="I70">
        <v>0</v>
      </c>
      <c r="J70">
        <v>0</v>
      </c>
      <c r="K70">
        <v>0</v>
      </c>
      <c r="L70">
        <v>1</v>
      </c>
      <c r="M70">
        <v>0</v>
      </c>
      <c r="N70">
        <v>0</v>
      </c>
      <c r="O70">
        <v>0</v>
      </c>
      <c r="P70">
        <v>0</v>
      </c>
      <c r="Q70">
        <v>1</v>
      </c>
      <c r="R70" s="8">
        <f t="shared" si="0"/>
        <v>0</v>
      </c>
      <c r="S70">
        <v>0</v>
      </c>
      <c r="T70">
        <v>0</v>
      </c>
      <c r="U70">
        <v>0</v>
      </c>
      <c r="V70">
        <v>0</v>
      </c>
      <c r="W70">
        <v>0</v>
      </c>
      <c r="X70">
        <v>0</v>
      </c>
      <c r="Y70">
        <v>0</v>
      </c>
      <c r="Z70" s="8">
        <f t="shared" si="2"/>
        <v>11</v>
      </c>
      <c r="AA70">
        <v>7</v>
      </c>
      <c r="AB70">
        <v>2</v>
      </c>
      <c r="AC70">
        <v>0</v>
      </c>
      <c r="AD70">
        <v>1</v>
      </c>
      <c r="AE70">
        <v>1</v>
      </c>
    </row>
    <row r="71" spans="1:32" x14ac:dyDescent="0.35">
      <c r="A71" s="9">
        <v>110</v>
      </c>
      <c r="B71" s="9" t="s">
        <v>183</v>
      </c>
      <c r="C71" s="9" t="s">
        <v>184</v>
      </c>
      <c r="D71" t="s">
        <v>179</v>
      </c>
      <c r="E71" s="10">
        <f t="shared" si="3"/>
        <v>1</v>
      </c>
      <c r="F71">
        <v>0</v>
      </c>
      <c r="G71">
        <v>0</v>
      </c>
      <c r="H71">
        <v>0</v>
      </c>
      <c r="I71">
        <v>0</v>
      </c>
      <c r="J71">
        <v>0</v>
      </c>
      <c r="K71">
        <v>0</v>
      </c>
      <c r="L71">
        <v>0</v>
      </c>
      <c r="M71">
        <v>0</v>
      </c>
      <c r="N71">
        <v>0</v>
      </c>
      <c r="O71">
        <v>0</v>
      </c>
      <c r="P71">
        <v>1</v>
      </c>
      <c r="Q71">
        <v>0</v>
      </c>
      <c r="R71" s="8">
        <f t="shared" si="0"/>
        <v>0</v>
      </c>
      <c r="S71">
        <v>0</v>
      </c>
      <c r="T71">
        <v>0</v>
      </c>
      <c r="U71">
        <v>0</v>
      </c>
      <c r="V71">
        <v>0</v>
      </c>
      <c r="W71">
        <v>0</v>
      </c>
      <c r="X71">
        <v>0</v>
      </c>
      <c r="Y71">
        <v>0</v>
      </c>
      <c r="Z71" s="8">
        <f t="shared" si="2"/>
        <v>35</v>
      </c>
      <c r="AA71">
        <v>7</v>
      </c>
      <c r="AB71">
        <v>18</v>
      </c>
      <c r="AC71">
        <v>1</v>
      </c>
      <c r="AD71">
        <v>7</v>
      </c>
      <c r="AE71">
        <v>2</v>
      </c>
    </row>
    <row r="72" spans="1:32" x14ac:dyDescent="0.35">
      <c r="A72" s="9">
        <v>111</v>
      </c>
      <c r="B72" s="9" t="s">
        <v>183</v>
      </c>
      <c r="C72" s="9" t="s">
        <v>184</v>
      </c>
      <c r="D72" t="s">
        <v>179</v>
      </c>
      <c r="E72" s="10">
        <f t="shared" si="3"/>
        <v>17</v>
      </c>
      <c r="F72">
        <v>0</v>
      </c>
      <c r="G72">
        <v>2</v>
      </c>
      <c r="H72">
        <v>1</v>
      </c>
      <c r="I72">
        <v>0</v>
      </c>
      <c r="J72">
        <v>0</v>
      </c>
      <c r="K72">
        <v>1</v>
      </c>
      <c r="L72">
        <v>5</v>
      </c>
      <c r="M72">
        <v>0</v>
      </c>
      <c r="N72">
        <v>0</v>
      </c>
      <c r="O72">
        <v>0</v>
      </c>
      <c r="P72">
        <v>1</v>
      </c>
      <c r="Q72">
        <v>0</v>
      </c>
      <c r="R72" s="8">
        <f t="shared" si="0"/>
        <v>4</v>
      </c>
      <c r="S72">
        <v>0</v>
      </c>
      <c r="T72">
        <v>1</v>
      </c>
      <c r="U72">
        <v>0</v>
      </c>
      <c r="V72">
        <v>3</v>
      </c>
      <c r="W72">
        <v>0</v>
      </c>
      <c r="X72">
        <v>3</v>
      </c>
      <c r="Y72">
        <v>0</v>
      </c>
      <c r="Z72" s="8">
        <f t="shared" si="2"/>
        <v>72</v>
      </c>
      <c r="AA72">
        <v>44</v>
      </c>
      <c r="AB72">
        <v>21</v>
      </c>
      <c r="AC72">
        <v>2</v>
      </c>
      <c r="AD72">
        <v>4</v>
      </c>
      <c r="AE72">
        <v>1</v>
      </c>
    </row>
    <row r="73" spans="1:32" x14ac:dyDescent="0.35">
      <c r="A73" s="9">
        <v>112</v>
      </c>
      <c r="B73" s="9" t="s">
        <v>183</v>
      </c>
      <c r="C73" s="9" t="s">
        <v>184</v>
      </c>
      <c r="D73" t="s">
        <v>179</v>
      </c>
      <c r="E73" s="10">
        <f t="shared" si="3"/>
        <v>15</v>
      </c>
      <c r="F73">
        <v>1</v>
      </c>
      <c r="G73">
        <v>2</v>
      </c>
      <c r="H73">
        <v>0</v>
      </c>
      <c r="I73">
        <v>0</v>
      </c>
      <c r="J73">
        <v>1</v>
      </c>
      <c r="K73">
        <v>1</v>
      </c>
      <c r="L73">
        <v>4</v>
      </c>
      <c r="M73">
        <v>1</v>
      </c>
      <c r="N73">
        <v>1</v>
      </c>
      <c r="O73">
        <v>0</v>
      </c>
      <c r="P73">
        <v>1</v>
      </c>
      <c r="Q73">
        <v>0</v>
      </c>
      <c r="R73" s="8">
        <f t="shared" si="0"/>
        <v>1</v>
      </c>
      <c r="S73">
        <v>0</v>
      </c>
      <c r="T73">
        <v>1</v>
      </c>
      <c r="U73">
        <v>0</v>
      </c>
      <c r="V73">
        <v>0</v>
      </c>
      <c r="W73">
        <v>0</v>
      </c>
      <c r="X73">
        <v>3</v>
      </c>
      <c r="Y73">
        <v>0</v>
      </c>
      <c r="Z73" s="8">
        <f t="shared" si="2"/>
        <v>38</v>
      </c>
      <c r="AA73">
        <v>24</v>
      </c>
      <c r="AB73">
        <v>8</v>
      </c>
      <c r="AC73">
        <v>0</v>
      </c>
      <c r="AD73">
        <v>2</v>
      </c>
      <c r="AE73">
        <v>4</v>
      </c>
      <c r="AF73" t="s">
        <v>222</v>
      </c>
    </row>
    <row r="74" spans="1:32" x14ac:dyDescent="0.35">
      <c r="A74" s="9">
        <v>113</v>
      </c>
      <c r="B74" s="9" t="s">
        <v>183</v>
      </c>
      <c r="C74" s="9" t="s">
        <v>184</v>
      </c>
      <c r="D74" t="s">
        <v>179</v>
      </c>
      <c r="E74" s="10">
        <f t="shared" si="3"/>
        <v>13</v>
      </c>
      <c r="F74">
        <v>0</v>
      </c>
      <c r="G74">
        <v>0</v>
      </c>
      <c r="H74">
        <v>0</v>
      </c>
      <c r="I74">
        <v>0</v>
      </c>
      <c r="J74">
        <v>1</v>
      </c>
      <c r="K74">
        <v>0</v>
      </c>
      <c r="L74">
        <v>0</v>
      </c>
      <c r="M74">
        <v>0</v>
      </c>
      <c r="N74">
        <v>0</v>
      </c>
      <c r="O74">
        <v>0</v>
      </c>
      <c r="P74">
        <v>0</v>
      </c>
      <c r="Q74">
        <v>0</v>
      </c>
      <c r="R74" s="8">
        <f t="shared" si="0"/>
        <v>2</v>
      </c>
      <c r="S74">
        <v>1</v>
      </c>
      <c r="T74">
        <v>0</v>
      </c>
      <c r="U74">
        <v>0</v>
      </c>
      <c r="V74">
        <v>1</v>
      </c>
      <c r="W74">
        <v>0</v>
      </c>
      <c r="X74">
        <v>9</v>
      </c>
      <c r="Y74">
        <v>1</v>
      </c>
      <c r="Z74" s="8">
        <f t="shared" si="2"/>
        <v>42</v>
      </c>
      <c r="AA74">
        <v>15</v>
      </c>
      <c r="AB74">
        <v>20</v>
      </c>
      <c r="AC74">
        <v>0</v>
      </c>
      <c r="AD74">
        <v>2</v>
      </c>
      <c r="AE74">
        <v>5</v>
      </c>
    </row>
    <row r="75" spans="1:32" x14ac:dyDescent="0.35">
      <c r="A75" s="9">
        <v>114</v>
      </c>
      <c r="B75" s="9" t="s">
        <v>183</v>
      </c>
      <c r="C75" s="9" t="s">
        <v>184</v>
      </c>
      <c r="D75" t="s">
        <v>179</v>
      </c>
      <c r="E75" s="10">
        <f t="shared" si="3"/>
        <v>5</v>
      </c>
      <c r="F75">
        <v>0</v>
      </c>
      <c r="G75">
        <v>0</v>
      </c>
      <c r="H75">
        <v>0</v>
      </c>
      <c r="I75">
        <v>0</v>
      </c>
      <c r="J75">
        <v>0</v>
      </c>
      <c r="K75">
        <v>0</v>
      </c>
      <c r="L75">
        <v>0</v>
      </c>
      <c r="M75">
        <v>0</v>
      </c>
      <c r="N75">
        <v>0</v>
      </c>
      <c r="O75">
        <v>0</v>
      </c>
      <c r="P75">
        <v>0</v>
      </c>
      <c r="Q75">
        <v>0</v>
      </c>
      <c r="R75" s="8">
        <f t="shared" si="0"/>
        <v>1</v>
      </c>
      <c r="S75">
        <v>0</v>
      </c>
      <c r="T75">
        <v>0</v>
      </c>
      <c r="U75">
        <v>0</v>
      </c>
      <c r="V75">
        <v>1</v>
      </c>
      <c r="W75">
        <v>0</v>
      </c>
      <c r="X75">
        <v>4</v>
      </c>
      <c r="Y75">
        <v>0</v>
      </c>
      <c r="Z75" s="8">
        <f t="shared" si="2"/>
        <v>11</v>
      </c>
      <c r="AA75">
        <v>4</v>
      </c>
      <c r="AB75">
        <v>5</v>
      </c>
      <c r="AC75">
        <v>1</v>
      </c>
      <c r="AD75">
        <v>1</v>
      </c>
      <c r="AE75">
        <v>0</v>
      </c>
    </row>
    <row r="76" spans="1:32" x14ac:dyDescent="0.35">
      <c r="A76" s="9">
        <v>115</v>
      </c>
      <c r="B76" s="9" t="s">
        <v>183</v>
      </c>
      <c r="C76" s="9" t="s">
        <v>184</v>
      </c>
      <c r="D76" t="s">
        <v>179</v>
      </c>
      <c r="E76" s="10">
        <f t="shared" si="3"/>
        <v>13</v>
      </c>
      <c r="F76">
        <v>0</v>
      </c>
      <c r="G76">
        <v>2</v>
      </c>
      <c r="H76">
        <v>1</v>
      </c>
      <c r="I76">
        <v>0</v>
      </c>
      <c r="J76">
        <v>0</v>
      </c>
      <c r="K76">
        <v>2</v>
      </c>
      <c r="L76">
        <v>1</v>
      </c>
      <c r="M76">
        <v>2</v>
      </c>
      <c r="N76">
        <v>1</v>
      </c>
      <c r="O76">
        <v>0</v>
      </c>
      <c r="P76">
        <v>0</v>
      </c>
      <c r="Q76">
        <v>0</v>
      </c>
      <c r="R76" s="8">
        <f t="shared" si="0"/>
        <v>2</v>
      </c>
      <c r="S76">
        <v>1</v>
      </c>
      <c r="T76">
        <v>1</v>
      </c>
      <c r="U76">
        <v>0</v>
      </c>
      <c r="V76">
        <v>0</v>
      </c>
      <c r="W76">
        <v>0</v>
      </c>
      <c r="X76">
        <v>3</v>
      </c>
      <c r="Y76">
        <v>0</v>
      </c>
      <c r="Z76" s="8">
        <f t="shared" si="2"/>
        <v>68</v>
      </c>
      <c r="AA76">
        <v>14</v>
      </c>
      <c r="AB76">
        <v>43</v>
      </c>
      <c r="AC76">
        <v>1</v>
      </c>
      <c r="AD76">
        <v>1</v>
      </c>
      <c r="AE76">
        <v>9</v>
      </c>
      <c r="AF76" t="s">
        <v>222</v>
      </c>
    </row>
    <row r="77" spans="1:32" x14ac:dyDescent="0.35">
      <c r="A77">
        <v>101</v>
      </c>
      <c r="B77" t="s">
        <v>184</v>
      </c>
      <c r="C77" t="s">
        <v>185</v>
      </c>
      <c r="D77" t="s">
        <v>179</v>
      </c>
      <c r="E77" s="10">
        <f t="shared" si="3"/>
        <v>17</v>
      </c>
      <c r="F77">
        <v>0</v>
      </c>
      <c r="G77">
        <v>2</v>
      </c>
      <c r="H77">
        <v>0</v>
      </c>
      <c r="I77">
        <v>0</v>
      </c>
      <c r="J77">
        <v>1</v>
      </c>
      <c r="K77">
        <v>1</v>
      </c>
      <c r="L77">
        <v>6</v>
      </c>
      <c r="M77">
        <v>0</v>
      </c>
      <c r="N77">
        <v>0</v>
      </c>
      <c r="O77">
        <v>0</v>
      </c>
      <c r="P77">
        <v>1</v>
      </c>
      <c r="Q77">
        <v>2</v>
      </c>
      <c r="R77" s="8">
        <f t="shared" si="0"/>
        <v>2</v>
      </c>
      <c r="S77">
        <v>0</v>
      </c>
      <c r="T77">
        <v>2</v>
      </c>
      <c r="U77">
        <v>0</v>
      </c>
      <c r="V77">
        <v>0</v>
      </c>
      <c r="W77">
        <v>0</v>
      </c>
      <c r="X77">
        <v>2</v>
      </c>
      <c r="Y77">
        <v>0</v>
      </c>
      <c r="Z77" s="8">
        <f t="shared" si="2"/>
        <v>36</v>
      </c>
      <c r="AA77">
        <v>9</v>
      </c>
      <c r="AB77">
        <v>20</v>
      </c>
      <c r="AC77">
        <v>1</v>
      </c>
      <c r="AD77">
        <v>6</v>
      </c>
      <c r="AE77">
        <v>0</v>
      </c>
      <c r="AF77" t="s">
        <v>223</v>
      </c>
    </row>
    <row r="78" spans="1:32" x14ac:dyDescent="0.35">
      <c r="A78">
        <v>102</v>
      </c>
      <c r="B78" t="s">
        <v>184</v>
      </c>
      <c r="C78" t="s">
        <v>185</v>
      </c>
      <c r="D78" t="s">
        <v>179</v>
      </c>
      <c r="E78" s="10">
        <f t="shared" si="3"/>
        <v>11</v>
      </c>
      <c r="F78">
        <v>1</v>
      </c>
      <c r="G78">
        <v>0</v>
      </c>
      <c r="H78">
        <v>3</v>
      </c>
      <c r="I78">
        <v>0</v>
      </c>
      <c r="J78">
        <v>0</v>
      </c>
      <c r="K78">
        <v>0</v>
      </c>
      <c r="L78">
        <v>2</v>
      </c>
      <c r="M78">
        <v>0</v>
      </c>
      <c r="N78">
        <v>0</v>
      </c>
      <c r="O78">
        <v>0</v>
      </c>
      <c r="P78">
        <v>1</v>
      </c>
      <c r="Q78">
        <v>0</v>
      </c>
      <c r="R78" s="8">
        <f t="shared" si="0"/>
        <v>2</v>
      </c>
      <c r="S78">
        <v>0</v>
      </c>
      <c r="T78">
        <v>1</v>
      </c>
      <c r="U78">
        <v>0</v>
      </c>
      <c r="V78">
        <v>1</v>
      </c>
      <c r="W78">
        <v>0</v>
      </c>
      <c r="X78">
        <v>2</v>
      </c>
      <c r="Y78">
        <v>0</v>
      </c>
      <c r="Z78" s="8">
        <f t="shared" si="2"/>
        <v>15</v>
      </c>
      <c r="AA78">
        <v>6</v>
      </c>
      <c r="AB78">
        <v>8</v>
      </c>
      <c r="AC78">
        <v>0</v>
      </c>
      <c r="AD78">
        <v>1</v>
      </c>
      <c r="AE78">
        <v>0</v>
      </c>
    </row>
    <row r="79" spans="1:32" x14ac:dyDescent="0.35">
      <c r="A79">
        <v>103</v>
      </c>
      <c r="B79" t="s">
        <v>184</v>
      </c>
      <c r="C79" t="s">
        <v>185</v>
      </c>
      <c r="D79" t="s">
        <v>179</v>
      </c>
      <c r="E79" s="10">
        <f t="shared" si="3"/>
        <v>8</v>
      </c>
      <c r="F79">
        <v>3</v>
      </c>
      <c r="G79">
        <v>1</v>
      </c>
      <c r="H79">
        <v>1</v>
      </c>
      <c r="I79">
        <v>0</v>
      </c>
      <c r="J79">
        <v>1</v>
      </c>
      <c r="K79">
        <v>1</v>
      </c>
      <c r="L79">
        <v>1</v>
      </c>
      <c r="M79">
        <v>0</v>
      </c>
      <c r="N79">
        <v>0</v>
      </c>
      <c r="O79">
        <v>0</v>
      </c>
      <c r="P79">
        <v>0</v>
      </c>
      <c r="Q79">
        <v>0</v>
      </c>
      <c r="R79" s="8">
        <f t="shared" si="0"/>
        <v>0</v>
      </c>
      <c r="S79">
        <v>0</v>
      </c>
      <c r="T79">
        <v>0</v>
      </c>
      <c r="U79">
        <v>0</v>
      </c>
      <c r="V79">
        <v>0</v>
      </c>
      <c r="W79">
        <v>0</v>
      </c>
      <c r="X79">
        <v>0</v>
      </c>
      <c r="Y79">
        <v>0</v>
      </c>
      <c r="Z79" s="8">
        <f t="shared" si="2"/>
        <v>14</v>
      </c>
      <c r="AA79">
        <v>5</v>
      </c>
      <c r="AB79">
        <v>4</v>
      </c>
      <c r="AC79">
        <v>1</v>
      </c>
      <c r="AD79">
        <v>1</v>
      </c>
      <c r="AE79">
        <v>3</v>
      </c>
    </row>
    <row r="80" spans="1:32" x14ac:dyDescent="0.35">
      <c r="A80">
        <v>104</v>
      </c>
      <c r="B80" t="s">
        <v>184</v>
      </c>
      <c r="C80" t="s">
        <v>185</v>
      </c>
      <c r="D80" t="s">
        <v>179</v>
      </c>
      <c r="E80" s="10">
        <f t="shared" si="3"/>
        <v>19</v>
      </c>
      <c r="F80">
        <v>1</v>
      </c>
      <c r="G80">
        <v>2</v>
      </c>
      <c r="H80">
        <v>0</v>
      </c>
      <c r="I80">
        <v>0</v>
      </c>
      <c r="J80">
        <v>0</v>
      </c>
      <c r="K80">
        <v>0</v>
      </c>
      <c r="L80">
        <v>5</v>
      </c>
      <c r="M80">
        <v>0</v>
      </c>
      <c r="N80">
        <v>0</v>
      </c>
      <c r="O80">
        <v>0</v>
      </c>
      <c r="P80">
        <v>0</v>
      </c>
      <c r="Q80">
        <v>2</v>
      </c>
      <c r="R80" s="8">
        <f t="shared" si="0"/>
        <v>2</v>
      </c>
      <c r="S80">
        <v>1</v>
      </c>
      <c r="T80">
        <v>1</v>
      </c>
      <c r="U80">
        <v>0</v>
      </c>
      <c r="V80">
        <v>0</v>
      </c>
      <c r="W80">
        <v>0</v>
      </c>
      <c r="X80">
        <v>7</v>
      </c>
      <c r="Y80">
        <v>0</v>
      </c>
      <c r="Z80" s="8">
        <f t="shared" si="2"/>
        <v>44</v>
      </c>
      <c r="AA80">
        <v>11</v>
      </c>
      <c r="AB80">
        <v>18</v>
      </c>
      <c r="AC80">
        <v>2</v>
      </c>
      <c r="AD80">
        <v>9</v>
      </c>
      <c r="AE80">
        <v>4</v>
      </c>
      <c r="AF80" t="s">
        <v>224</v>
      </c>
    </row>
    <row r="81" spans="1:32" x14ac:dyDescent="0.35">
      <c r="A81">
        <v>105</v>
      </c>
      <c r="B81" t="s">
        <v>184</v>
      </c>
      <c r="C81" t="s">
        <v>185</v>
      </c>
      <c r="D81" t="s">
        <v>179</v>
      </c>
      <c r="E81" s="10">
        <f t="shared" si="3"/>
        <v>6</v>
      </c>
      <c r="F81">
        <v>0</v>
      </c>
      <c r="G81">
        <v>1</v>
      </c>
      <c r="H81">
        <v>0</v>
      </c>
      <c r="I81">
        <v>0</v>
      </c>
      <c r="J81">
        <v>0</v>
      </c>
      <c r="K81">
        <v>1</v>
      </c>
      <c r="L81">
        <v>2</v>
      </c>
      <c r="M81">
        <v>0</v>
      </c>
      <c r="N81">
        <v>0</v>
      </c>
      <c r="O81">
        <v>0</v>
      </c>
      <c r="P81">
        <v>1</v>
      </c>
      <c r="Q81">
        <v>1</v>
      </c>
      <c r="R81" s="8">
        <f t="shared" si="0"/>
        <v>0</v>
      </c>
      <c r="S81">
        <v>0</v>
      </c>
      <c r="T81">
        <v>0</v>
      </c>
      <c r="U81">
        <v>0</v>
      </c>
      <c r="V81">
        <v>0</v>
      </c>
      <c r="W81">
        <v>0</v>
      </c>
      <c r="X81">
        <v>0</v>
      </c>
      <c r="Y81">
        <v>0</v>
      </c>
      <c r="Z81" s="8">
        <f t="shared" si="2"/>
        <v>10</v>
      </c>
      <c r="AA81">
        <v>4</v>
      </c>
      <c r="AB81">
        <v>4</v>
      </c>
      <c r="AC81">
        <v>0</v>
      </c>
      <c r="AD81">
        <v>0</v>
      </c>
      <c r="AE81">
        <v>2</v>
      </c>
      <c r="AF81" t="s">
        <v>225</v>
      </c>
    </row>
    <row r="82" spans="1:32" x14ac:dyDescent="0.35">
      <c r="A82">
        <v>106</v>
      </c>
      <c r="B82" t="s">
        <v>184</v>
      </c>
      <c r="C82" t="s">
        <v>185</v>
      </c>
      <c r="D82" t="s">
        <v>179</v>
      </c>
      <c r="E82" s="10">
        <f t="shared" si="3"/>
        <v>8</v>
      </c>
      <c r="F82">
        <v>0</v>
      </c>
      <c r="G82">
        <v>2</v>
      </c>
      <c r="H82">
        <v>0</v>
      </c>
      <c r="I82">
        <v>0</v>
      </c>
      <c r="J82">
        <v>1</v>
      </c>
      <c r="K82">
        <v>0</v>
      </c>
      <c r="L82">
        <v>0</v>
      </c>
      <c r="M82">
        <v>0</v>
      </c>
      <c r="N82">
        <v>0</v>
      </c>
      <c r="O82">
        <v>1</v>
      </c>
      <c r="P82">
        <v>0</v>
      </c>
      <c r="Q82">
        <v>2</v>
      </c>
      <c r="R82" s="8">
        <f t="shared" si="0"/>
        <v>0</v>
      </c>
      <c r="S82">
        <v>0</v>
      </c>
      <c r="T82">
        <v>0</v>
      </c>
      <c r="U82">
        <v>0</v>
      </c>
      <c r="V82">
        <v>0</v>
      </c>
      <c r="W82">
        <v>0</v>
      </c>
      <c r="X82">
        <v>2</v>
      </c>
      <c r="Y82">
        <v>0</v>
      </c>
      <c r="Z82" s="8">
        <f t="shared" si="2"/>
        <v>17</v>
      </c>
      <c r="AA82">
        <v>4</v>
      </c>
      <c r="AB82">
        <v>11</v>
      </c>
      <c r="AC82">
        <v>1</v>
      </c>
      <c r="AD82">
        <v>1</v>
      </c>
      <c r="AE82">
        <v>0</v>
      </c>
    </row>
    <row r="83" spans="1:32" x14ac:dyDescent="0.35">
      <c r="A83">
        <v>107</v>
      </c>
      <c r="B83" t="s">
        <v>184</v>
      </c>
      <c r="C83" t="s">
        <v>185</v>
      </c>
      <c r="D83" t="s">
        <v>179</v>
      </c>
      <c r="E83" s="10">
        <f t="shared" si="3"/>
        <v>12</v>
      </c>
      <c r="F83">
        <v>0</v>
      </c>
      <c r="G83">
        <v>1</v>
      </c>
      <c r="H83">
        <v>0</v>
      </c>
      <c r="I83">
        <v>0</v>
      </c>
      <c r="J83">
        <v>2</v>
      </c>
      <c r="K83">
        <v>1</v>
      </c>
      <c r="L83">
        <v>1</v>
      </c>
      <c r="M83">
        <v>1</v>
      </c>
      <c r="N83">
        <v>0</v>
      </c>
      <c r="O83">
        <v>0</v>
      </c>
      <c r="P83">
        <v>0</v>
      </c>
      <c r="Q83">
        <v>2</v>
      </c>
      <c r="R83" s="8">
        <f t="shared" si="0"/>
        <v>2</v>
      </c>
      <c r="S83">
        <v>2</v>
      </c>
      <c r="T83">
        <v>0</v>
      </c>
      <c r="U83">
        <v>0</v>
      </c>
      <c r="V83">
        <v>0</v>
      </c>
      <c r="W83">
        <v>0</v>
      </c>
      <c r="X83">
        <v>2</v>
      </c>
      <c r="Y83">
        <v>0</v>
      </c>
      <c r="Z83" s="8">
        <f t="shared" si="2"/>
        <v>28</v>
      </c>
      <c r="AA83">
        <v>15</v>
      </c>
      <c r="AB83">
        <v>5</v>
      </c>
      <c r="AC83">
        <v>0</v>
      </c>
      <c r="AD83">
        <v>7</v>
      </c>
      <c r="AE83">
        <v>1</v>
      </c>
    </row>
    <row r="84" spans="1:32" x14ac:dyDescent="0.35">
      <c r="A84">
        <v>108</v>
      </c>
      <c r="B84" t="s">
        <v>184</v>
      </c>
      <c r="C84" t="s">
        <v>185</v>
      </c>
      <c r="D84" t="s">
        <v>179</v>
      </c>
      <c r="E84" s="10">
        <f t="shared" si="3"/>
        <v>7</v>
      </c>
      <c r="F84">
        <v>1</v>
      </c>
      <c r="G84">
        <v>1</v>
      </c>
      <c r="H84">
        <v>0</v>
      </c>
      <c r="I84">
        <v>0</v>
      </c>
      <c r="J84">
        <v>0</v>
      </c>
      <c r="K84">
        <v>0</v>
      </c>
      <c r="L84">
        <v>1</v>
      </c>
      <c r="M84">
        <v>1</v>
      </c>
      <c r="N84">
        <v>0</v>
      </c>
      <c r="O84">
        <v>0</v>
      </c>
      <c r="P84">
        <v>0</v>
      </c>
      <c r="Q84">
        <v>0</v>
      </c>
      <c r="R84" s="8">
        <f t="shared" si="0"/>
        <v>2</v>
      </c>
      <c r="S84">
        <v>0</v>
      </c>
      <c r="T84">
        <v>0</v>
      </c>
      <c r="U84">
        <v>0</v>
      </c>
      <c r="V84">
        <v>2</v>
      </c>
      <c r="W84">
        <v>0</v>
      </c>
      <c r="X84">
        <v>1</v>
      </c>
      <c r="Y84">
        <v>0</v>
      </c>
      <c r="Z84" s="8">
        <f t="shared" si="2"/>
        <v>17</v>
      </c>
      <c r="AA84">
        <v>4</v>
      </c>
      <c r="AB84">
        <v>10</v>
      </c>
      <c r="AC84">
        <v>2</v>
      </c>
      <c r="AD84">
        <v>1</v>
      </c>
      <c r="AE84">
        <v>0</v>
      </c>
    </row>
    <row r="85" spans="1:32" x14ac:dyDescent="0.35">
      <c r="A85">
        <v>109</v>
      </c>
      <c r="B85" t="s">
        <v>184</v>
      </c>
      <c r="C85" t="s">
        <v>185</v>
      </c>
      <c r="D85" t="s">
        <v>179</v>
      </c>
      <c r="E85" s="10">
        <f t="shared" si="3"/>
        <v>4</v>
      </c>
      <c r="F85">
        <v>0</v>
      </c>
      <c r="G85">
        <v>2</v>
      </c>
      <c r="H85">
        <v>1</v>
      </c>
      <c r="I85">
        <v>0</v>
      </c>
      <c r="J85">
        <v>0</v>
      </c>
      <c r="K85">
        <v>0</v>
      </c>
      <c r="L85">
        <v>0</v>
      </c>
      <c r="M85">
        <v>0</v>
      </c>
      <c r="N85">
        <v>0</v>
      </c>
      <c r="O85">
        <v>0</v>
      </c>
      <c r="P85">
        <v>0</v>
      </c>
      <c r="Q85">
        <v>1</v>
      </c>
      <c r="R85" s="8">
        <f t="shared" si="0"/>
        <v>0</v>
      </c>
      <c r="S85">
        <v>0</v>
      </c>
      <c r="T85">
        <v>0</v>
      </c>
      <c r="U85">
        <v>0</v>
      </c>
      <c r="V85">
        <v>0</v>
      </c>
      <c r="W85">
        <v>0</v>
      </c>
      <c r="X85">
        <v>0</v>
      </c>
      <c r="Y85">
        <v>0</v>
      </c>
      <c r="Z85" s="8">
        <f t="shared" si="2"/>
        <v>1</v>
      </c>
      <c r="AA85">
        <v>1</v>
      </c>
      <c r="AB85">
        <v>0</v>
      </c>
      <c r="AC85">
        <v>0</v>
      </c>
      <c r="AD85">
        <v>0</v>
      </c>
      <c r="AE85">
        <v>0</v>
      </c>
      <c r="AF85" t="s">
        <v>226</v>
      </c>
    </row>
    <row r="86" spans="1:32" x14ac:dyDescent="0.35">
      <c r="A86">
        <v>110</v>
      </c>
      <c r="B86" t="s">
        <v>184</v>
      </c>
      <c r="C86" t="s">
        <v>185</v>
      </c>
      <c r="D86" t="s">
        <v>179</v>
      </c>
      <c r="E86" s="10">
        <f t="shared" si="3"/>
        <v>3</v>
      </c>
      <c r="F86">
        <v>0</v>
      </c>
      <c r="G86">
        <v>1</v>
      </c>
      <c r="H86">
        <v>0</v>
      </c>
      <c r="I86">
        <v>0</v>
      </c>
      <c r="J86">
        <v>0</v>
      </c>
      <c r="K86">
        <v>0</v>
      </c>
      <c r="L86">
        <v>0</v>
      </c>
      <c r="M86">
        <v>0</v>
      </c>
      <c r="N86">
        <v>0</v>
      </c>
      <c r="O86">
        <v>0</v>
      </c>
      <c r="P86">
        <v>1</v>
      </c>
      <c r="Q86">
        <v>0</v>
      </c>
      <c r="R86" s="8">
        <f t="shared" si="0"/>
        <v>1</v>
      </c>
      <c r="S86">
        <v>1</v>
      </c>
      <c r="T86">
        <v>0</v>
      </c>
      <c r="U86">
        <v>0</v>
      </c>
      <c r="V86">
        <v>0</v>
      </c>
      <c r="W86">
        <v>0</v>
      </c>
      <c r="X86">
        <v>0</v>
      </c>
      <c r="Y86">
        <v>0</v>
      </c>
      <c r="Z86" s="8">
        <f t="shared" si="2"/>
        <v>24</v>
      </c>
      <c r="AA86">
        <v>9</v>
      </c>
      <c r="AB86">
        <v>11</v>
      </c>
      <c r="AC86">
        <v>2</v>
      </c>
      <c r="AD86">
        <v>0</v>
      </c>
      <c r="AE86">
        <v>2</v>
      </c>
    </row>
    <row r="87" spans="1:32" x14ac:dyDescent="0.35">
      <c r="A87">
        <v>111</v>
      </c>
      <c r="B87" t="s">
        <v>184</v>
      </c>
      <c r="C87" t="s">
        <v>185</v>
      </c>
      <c r="D87" t="s">
        <v>179</v>
      </c>
      <c r="E87" s="10">
        <f t="shared" si="3"/>
        <v>13</v>
      </c>
      <c r="F87">
        <v>1</v>
      </c>
      <c r="G87">
        <v>5</v>
      </c>
      <c r="H87">
        <v>2</v>
      </c>
      <c r="I87">
        <v>0</v>
      </c>
      <c r="J87">
        <v>0</v>
      </c>
      <c r="K87">
        <v>0</v>
      </c>
      <c r="L87">
        <v>4</v>
      </c>
      <c r="M87">
        <v>0</v>
      </c>
      <c r="N87">
        <v>0</v>
      </c>
      <c r="O87">
        <v>0</v>
      </c>
      <c r="P87">
        <v>0</v>
      </c>
      <c r="Q87">
        <v>0</v>
      </c>
      <c r="R87" s="8">
        <f t="shared" si="0"/>
        <v>0</v>
      </c>
      <c r="S87">
        <v>0</v>
      </c>
      <c r="T87">
        <v>0</v>
      </c>
      <c r="U87">
        <v>0</v>
      </c>
      <c r="V87">
        <v>0</v>
      </c>
      <c r="W87">
        <v>0</v>
      </c>
      <c r="X87">
        <v>1</v>
      </c>
      <c r="Y87">
        <v>0</v>
      </c>
      <c r="Z87" s="8">
        <f t="shared" si="2"/>
        <v>21</v>
      </c>
      <c r="AA87">
        <v>11</v>
      </c>
      <c r="AB87">
        <v>10</v>
      </c>
      <c r="AC87">
        <v>0</v>
      </c>
      <c r="AD87">
        <v>0</v>
      </c>
      <c r="AE87">
        <v>0</v>
      </c>
    </row>
    <row r="88" spans="1:32" x14ac:dyDescent="0.35">
      <c r="A88">
        <v>112</v>
      </c>
      <c r="B88" t="s">
        <v>184</v>
      </c>
      <c r="C88" t="s">
        <v>185</v>
      </c>
      <c r="D88" t="s">
        <v>179</v>
      </c>
      <c r="E88" s="10">
        <f t="shared" si="3"/>
        <v>33</v>
      </c>
      <c r="F88">
        <v>0</v>
      </c>
      <c r="G88">
        <v>1</v>
      </c>
      <c r="H88">
        <v>6</v>
      </c>
      <c r="I88">
        <v>0</v>
      </c>
      <c r="J88">
        <v>0</v>
      </c>
      <c r="K88">
        <v>0</v>
      </c>
      <c r="L88">
        <v>7</v>
      </c>
      <c r="M88">
        <v>1</v>
      </c>
      <c r="N88">
        <v>0</v>
      </c>
      <c r="O88">
        <v>0</v>
      </c>
      <c r="P88">
        <v>1</v>
      </c>
      <c r="Q88">
        <v>1</v>
      </c>
      <c r="R88" s="8">
        <f t="shared" si="0"/>
        <v>5</v>
      </c>
      <c r="S88">
        <v>0</v>
      </c>
      <c r="T88">
        <v>1</v>
      </c>
      <c r="U88">
        <v>0</v>
      </c>
      <c r="V88">
        <v>4</v>
      </c>
      <c r="W88">
        <v>0</v>
      </c>
      <c r="X88">
        <v>10</v>
      </c>
      <c r="Y88">
        <v>1</v>
      </c>
      <c r="Z88" s="8">
        <f t="shared" si="2"/>
        <v>56</v>
      </c>
      <c r="AA88">
        <v>16</v>
      </c>
      <c r="AB88">
        <v>35</v>
      </c>
      <c r="AC88">
        <v>1</v>
      </c>
      <c r="AD88">
        <v>4</v>
      </c>
      <c r="AE88">
        <v>0</v>
      </c>
      <c r="AF88" t="s">
        <v>227</v>
      </c>
    </row>
    <row r="89" spans="1:32" x14ac:dyDescent="0.35">
      <c r="A89">
        <v>113</v>
      </c>
      <c r="B89" t="s">
        <v>184</v>
      </c>
      <c r="C89" t="s">
        <v>185</v>
      </c>
      <c r="D89" t="s">
        <v>179</v>
      </c>
      <c r="E89" s="10">
        <f t="shared" si="3"/>
        <v>20</v>
      </c>
      <c r="F89">
        <v>0</v>
      </c>
      <c r="G89">
        <v>2</v>
      </c>
      <c r="H89">
        <v>1</v>
      </c>
      <c r="I89">
        <v>0</v>
      </c>
      <c r="J89">
        <v>0</v>
      </c>
      <c r="K89">
        <v>0</v>
      </c>
      <c r="L89">
        <v>5</v>
      </c>
      <c r="M89">
        <v>0</v>
      </c>
      <c r="N89">
        <v>0</v>
      </c>
      <c r="O89">
        <v>1</v>
      </c>
      <c r="P89">
        <v>1</v>
      </c>
      <c r="Q89">
        <v>3</v>
      </c>
      <c r="R89" s="8">
        <f t="shared" si="0"/>
        <v>1</v>
      </c>
      <c r="S89">
        <v>0</v>
      </c>
      <c r="T89">
        <v>0</v>
      </c>
      <c r="U89">
        <v>0</v>
      </c>
      <c r="V89">
        <v>1</v>
      </c>
      <c r="W89">
        <v>0</v>
      </c>
      <c r="X89">
        <v>5</v>
      </c>
      <c r="Y89">
        <v>1</v>
      </c>
      <c r="Z89" s="8">
        <f t="shared" si="2"/>
        <v>17</v>
      </c>
      <c r="AA89">
        <v>6</v>
      </c>
      <c r="AB89">
        <v>9</v>
      </c>
      <c r="AC89">
        <v>0</v>
      </c>
      <c r="AD89">
        <v>1</v>
      </c>
      <c r="AE89">
        <v>1</v>
      </c>
    </row>
    <row r="90" spans="1:32" x14ac:dyDescent="0.35">
      <c r="A90">
        <v>114</v>
      </c>
      <c r="B90" t="s">
        <v>184</v>
      </c>
      <c r="C90" t="s">
        <v>185</v>
      </c>
      <c r="D90" t="s">
        <v>179</v>
      </c>
      <c r="E90" s="10">
        <f t="shared" si="3"/>
        <v>4</v>
      </c>
      <c r="F90">
        <v>0</v>
      </c>
      <c r="G90">
        <v>1</v>
      </c>
      <c r="H90">
        <v>0</v>
      </c>
      <c r="I90">
        <v>0</v>
      </c>
      <c r="J90">
        <v>0</v>
      </c>
      <c r="K90">
        <v>0</v>
      </c>
      <c r="L90">
        <v>1</v>
      </c>
      <c r="M90">
        <v>0</v>
      </c>
      <c r="N90">
        <v>0</v>
      </c>
      <c r="O90">
        <v>0</v>
      </c>
      <c r="P90">
        <v>0</v>
      </c>
      <c r="Q90">
        <v>0</v>
      </c>
      <c r="R90" s="8">
        <f t="shared" si="0"/>
        <v>1</v>
      </c>
      <c r="S90">
        <v>0</v>
      </c>
      <c r="T90">
        <v>0</v>
      </c>
      <c r="U90">
        <v>0</v>
      </c>
      <c r="V90">
        <v>1</v>
      </c>
      <c r="W90">
        <v>0</v>
      </c>
      <c r="X90">
        <v>1</v>
      </c>
      <c r="Y90">
        <v>0</v>
      </c>
      <c r="Z90" s="8">
        <f t="shared" si="2"/>
        <v>14</v>
      </c>
      <c r="AA90">
        <v>5</v>
      </c>
      <c r="AB90">
        <v>5</v>
      </c>
      <c r="AC90">
        <v>2</v>
      </c>
      <c r="AD90">
        <v>1</v>
      </c>
      <c r="AE90">
        <v>1</v>
      </c>
    </row>
    <row r="91" spans="1:32" x14ac:dyDescent="0.35">
      <c r="A91">
        <v>115</v>
      </c>
      <c r="B91" t="s">
        <v>184</v>
      </c>
      <c r="C91" t="s">
        <v>185</v>
      </c>
      <c r="D91" t="s">
        <v>179</v>
      </c>
      <c r="E91" s="10">
        <f t="shared" si="3"/>
        <v>3</v>
      </c>
      <c r="F91">
        <v>0</v>
      </c>
      <c r="G91">
        <v>0</v>
      </c>
      <c r="H91">
        <v>0</v>
      </c>
      <c r="I91">
        <v>0</v>
      </c>
      <c r="J91">
        <v>1</v>
      </c>
      <c r="K91">
        <v>0</v>
      </c>
      <c r="L91">
        <v>1</v>
      </c>
      <c r="M91">
        <v>0</v>
      </c>
      <c r="N91">
        <v>0</v>
      </c>
      <c r="O91">
        <v>0</v>
      </c>
      <c r="P91">
        <v>0</v>
      </c>
      <c r="Q91">
        <v>1</v>
      </c>
      <c r="R91" s="8">
        <f t="shared" si="0"/>
        <v>0</v>
      </c>
      <c r="S91">
        <v>0</v>
      </c>
      <c r="T91">
        <v>0</v>
      </c>
      <c r="U91">
        <v>0</v>
      </c>
      <c r="V91">
        <v>0</v>
      </c>
      <c r="W91">
        <v>0</v>
      </c>
      <c r="X91">
        <v>0</v>
      </c>
      <c r="Y91">
        <v>0</v>
      </c>
      <c r="Z91" s="8">
        <f t="shared" si="2"/>
        <v>8</v>
      </c>
      <c r="AA91">
        <v>3</v>
      </c>
      <c r="AB91">
        <v>3</v>
      </c>
      <c r="AC91">
        <v>1</v>
      </c>
      <c r="AD91">
        <v>0</v>
      </c>
      <c r="AE91">
        <v>1</v>
      </c>
    </row>
    <row r="92" spans="1:32" x14ac:dyDescent="0.35">
      <c r="A92" s="9">
        <v>101</v>
      </c>
      <c r="B92" s="9" t="s">
        <v>185</v>
      </c>
      <c r="C92" s="9" t="s">
        <v>186</v>
      </c>
      <c r="D92" t="s">
        <v>179</v>
      </c>
      <c r="E92" s="10">
        <f t="shared" si="3"/>
        <v>9</v>
      </c>
      <c r="F92">
        <v>0</v>
      </c>
      <c r="G92">
        <v>0</v>
      </c>
      <c r="H92">
        <v>0</v>
      </c>
      <c r="I92">
        <v>0</v>
      </c>
      <c r="J92">
        <v>0</v>
      </c>
      <c r="K92">
        <v>0</v>
      </c>
      <c r="L92">
        <v>4</v>
      </c>
      <c r="M92">
        <v>0</v>
      </c>
      <c r="N92">
        <v>0</v>
      </c>
      <c r="O92">
        <v>0</v>
      </c>
      <c r="P92">
        <v>0</v>
      </c>
      <c r="Q92">
        <v>2</v>
      </c>
      <c r="R92" s="8">
        <f t="shared" si="0"/>
        <v>1</v>
      </c>
      <c r="S92">
        <v>0</v>
      </c>
      <c r="T92">
        <v>1</v>
      </c>
      <c r="U92">
        <v>0</v>
      </c>
      <c r="V92">
        <v>0</v>
      </c>
      <c r="W92">
        <v>0</v>
      </c>
      <c r="X92">
        <v>2</v>
      </c>
      <c r="Y92">
        <v>0</v>
      </c>
      <c r="Z92" s="8">
        <f t="shared" si="2"/>
        <v>16</v>
      </c>
      <c r="AA92">
        <v>6</v>
      </c>
      <c r="AB92">
        <v>7</v>
      </c>
      <c r="AC92">
        <v>0</v>
      </c>
      <c r="AD92">
        <v>2</v>
      </c>
      <c r="AE92">
        <v>1</v>
      </c>
    </row>
    <row r="93" spans="1:32" x14ac:dyDescent="0.35">
      <c r="A93" s="9">
        <v>102</v>
      </c>
      <c r="B93" s="9" t="s">
        <v>185</v>
      </c>
      <c r="C93" s="9" t="s">
        <v>186</v>
      </c>
      <c r="D93" t="s">
        <v>179</v>
      </c>
      <c r="E93" s="10">
        <f t="shared" si="3"/>
        <v>14</v>
      </c>
      <c r="F93">
        <v>0</v>
      </c>
      <c r="G93">
        <v>0</v>
      </c>
      <c r="H93">
        <v>0</v>
      </c>
      <c r="I93">
        <v>0</v>
      </c>
      <c r="J93">
        <v>0</v>
      </c>
      <c r="K93">
        <v>0</v>
      </c>
      <c r="L93">
        <v>4</v>
      </c>
      <c r="M93">
        <v>0</v>
      </c>
      <c r="N93">
        <v>0</v>
      </c>
      <c r="O93">
        <v>1</v>
      </c>
      <c r="P93">
        <v>1</v>
      </c>
      <c r="Q93">
        <v>1</v>
      </c>
      <c r="R93" s="8">
        <f t="shared" si="0"/>
        <v>0</v>
      </c>
      <c r="S93">
        <v>0</v>
      </c>
      <c r="T93">
        <v>0</v>
      </c>
      <c r="U93">
        <v>0</v>
      </c>
      <c r="V93">
        <v>0</v>
      </c>
      <c r="W93">
        <v>0</v>
      </c>
      <c r="X93">
        <v>5</v>
      </c>
      <c r="Y93">
        <v>2</v>
      </c>
      <c r="Z93" s="8">
        <f t="shared" si="2"/>
        <v>42</v>
      </c>
      <c r="AA93">
        <v>5</v>
      </c>
      <c r="AB93">
        <v>34</v>
      </c>
      <c r="AC93">
        <v>0</v>
      </c>
      <c r="AD93">
        <v>0</v>
      </c>
      <c r="AE93">
        <v>3</v>
      </c>
    </row>
    <row r="94" spans="1:32" x14ac:dyDescent="0.35">
      <c r="A94" s="9">
        <v>103</v>
      </c>
      <c r="B94" s="9" t="s">
        <v>185</v>
      </c>
      <c r="C94" s="9" t="s">
        <v>186</v>
      </c>
      <c r="D94" t="s">
        <v>179</v>
      </c>
      <c r="E94" s="10">
        <f t="shared" si="3"/>
        <v>10</v>
      </c>
      <c r="F94">
        <v>0</v>
      </c>
      <c r="G94">
        <v>0</v>
      </c>
      <c r="H94">
        <v>0</v>
      </c>
      <c r="I94">
        <v>0</v>
      </c>
      <c r="J94">
        <v>1</v>
      </c>
      <c r="K94">
        <v>1</v>
      </c>
      <c r="L94">
        <v>2</v>
      </c>
      <c r="M94">
        <v>1</v>
      </c>
      <c r="N94">
        <v>0</v>
      </c>
      <c r="O94">
        <v>0</v>
      </c>
      <c r="P94">
        <v>2</v>
      </c>
      <c r="Q94">
        <v>0</v>
      </c>
      <c r="R94" s="8">
        <f t="shared" si="0"/>
        <v>1</v>
      </c>
      <c r="S94">
        <v>0</v>
      </c>
      <c r="T94">
        <v>0</v>
      </c>
      <c r="U94">
        <v>0</v>
      </c>
      <c r="V94">
        <v>1</v>
      </c>
      <c r="W94">
        <v>0</v>
      </c>
      <c r="X94">
        <v>1</v>
      </c>
      <c r="Y94">
        <v>1</v>
      </c>
      <c r="Z94" s="8">
        <f t="shared" si="2"/>
        <v>12</v>
      </c>
      <c r="AA94">
        <v>7</v>
      </c>
      <c r="AB94">
        <v>4</v>
      </c>
      <c r="AC94">
        <v>0</v>
      </c>
      <c r="AD94">
        <v>0</v>
      </c>
      <c r="AE94">
        <v>1</v>
      </c>
    </row>
    <row r="95" spans="1:32" x14ac:dyDescent="0.35">
      <c r="A95" s="9">
        <v>104</v>
      </c>
      <c r="B95" s="9" t="s">
        <v>185</v>
      </c>
      <c r="C95" s="9" t="s">
        <v>186</v>
      </c>
      <c r="D95" t="s">
        <v>179</v>
      </c>
      <c r="E95" s="10">
        <f t="shared" si="3"/>
        <v>21</v>
      </c>
      <c r="F95">
        <v>1</v>
      </c>
      <c r="G95">
        <v>0</v>
      </c>
      <c r="H95">
        <v>1</v>
      </c>
      <c r="I95">
        <v>0</v>
      </c>
      <c r="J95">
        <v>0</v>
      </c>
      <c r="K95">
        <v>0</v>
      </c>
      <c r="L95">
        <v>3</v>
      </c>
      <c r="M95">
        <v>1</v>
      </c>
      <c r="N95">
        <v>0</v>
      </c>
      <c r="O95">
        <v>0</v>
      </c>
      <c r="P95">
        <v>4</v>
      </c>
      <c r="Q95">
        <v>3</v>
      </c>
      <c r="R95" s="8">
        <f t="shared" si="0"/>
        <v>2</v>
      </c>
      <c r="S95">
        <v>1</v>
      </c>
      <c r="T95">
        <v>1</v>
      </c>
      <c r="U95">
        <v>0</v>
      </c>
      <c r="V95">
        <v>0</v>
      </c>
      <c r="W95">
        <v>0</v>
      </c>
      <c r="X95">
        <v>6</v>
      </c>
      <c r="Y95">
        <v>0</v>
      </c>
      <c r="Z95" s="8">
        <f t="shared" si="2"/>
        <v>26</v>
      </c>
      <c r="AA95">
        <v>8</v>
      </c>
      <c r="AB95">
        <v>16</v>
      </c>
      <c r="AC95">
        <v>1</v>
      </c>
      <c r="AD95">
        <v>1</v>
      </c>
      <c r="AE95">
        <v>0</v>
      </c>
    </row>
    <row r="96" spans="1:32" x14ac:dyDescent="0.35">
      <c r="A96" s="9">
        <v>105</v>
      </c>
      <c r="B96" s="9" t="s">
        <v>185</v>
      </c>
      <c r="C96" s="9" t="s">
        <v>186</v>
      </c>
      <c r="D96" t="s">
        <v>179</v>
      </c>
      <c r="E96" s="10">
        <f t="shared" si="3"/>
        <v>20</v>
      </c>
      <c r="F96">
        <v>0</v>
      </c>
      <c r="G96">
        <v>4</v>
      </c>
      <c r="H96">
        <v>0</v>
      </c>
      <c r="I96">
        <v>0</v>
      </c>
      <c r="J96">
        <v>2</v>
      </c>
      <c r="K96">
        <v>4</v>
      </c>
      <c r="L96">
        <v>2</v>
      </c>
      <c r="M96">
        <v>0</v>
      </c>
      <c r="N96">
        <v>0</v>
      </c>
      <c r="O96">
        <v>0</v>
      </c>
      <c r="P96">
        <v>2</v>
      </c>
      <c r="Q96">
        <v>0</v>
      </c>
      <c r="R96" s="8">
        <f t="shared" si="0"/>
        <v>2</v>
      </c>
      <c r="S96">
        <v>1</v>
      </c>
      <c r="T96">
        <v>1</v>
      </c>
      <c r="U96">
        <v>0</v>
      </c>
      <c r="V96">
        <v>0</v>
      </c>
      <c r="W96">
        <v>0</v>
      </c>
      <c r="X96">
        <v>3</v>
      </c>
      <c r="Y96">
        <v>1</v>
      </c>
      <c r="Z96" s="8">
        <f t="shared" si="2"/>
        <v>67</v>
      </c>
      <c r="AA96">
        <v>10</v>
      </c>
      <c r="AB96">
        <v>48</v>
      </c>
      <c r="AC96">
        <v>2</v>
      </c>
      <c r="AD96">
        <v>4</v>
      </c>
      <c r="AE96">
        <v>3</v>
      </c>
    </row>
    <row r="97" spans="1:32" x14ac:dyDescent="0.35">
      <c r="A97" s="9">
        <v>106</v>
      </c>
      <c r="B97" s="9" t="s">
        <v>185</v>
      </c>
      <c r="C97" s="9" t="s">
        <v>186</v>
      </c>
      <c r="D97" t="s">
        <v>179</v>
      </c>
      <c r="E97" s="10">
        <f t="shared" si="3"/>
        <v>10</v>
      </c>
      <c r="F97">
        <v>1</v>
      </c>
      <c r="G97">
        <v>1</v>
      </c>
      <c r="H97">
        <v>0</v>
      </c>
      <c r="I97">
        <v>0</v>
      </c>
      <c r="J97">
        <v>0</v>
      </c>
      <c r="K97">
        <v>0</v>
      </c>
      <c r="L97">
        <v>2</v>
      </c>
      <c r="M97">
        <v>0</v>
      </c>
      <c r="N97">
        <v>0</v>
      </c>
      <c r="O97">
        <v>0</v>
      </c>
      <c r="P97">
        <v>0</v>
      </c>
      <c r="Q97">
        <v>1</v>
      </c>
      <c r="R97" s="8">
        <f t="shared" si="0"/>
        <v>2</v>
      </c>
      <c r="S97">
        <v>0</v>
      </c>
      <c r="T97">
        <v>1</v>
      </c>
      <c r="U97">
        <v>0</v>
      </c>
      <c r="V97">
        <v>1</v>
      </c>
      <c r="W97">
        <v>0</v>
      </c>
      <c r="X97">
        <v>1</v>
      </c>
      <c r="Y97">
        <v>2</v>
      </c>
      <c r="Z97" s="8">
        <f t="shared" si="2"/>
        <v>46</v>
      </c>
      <c r="AA97">
        <v>17</v>
      </c>
      <c r="AB97">
        <v>22</v>
      </c>
      <c r="AC97">
        <v>2</v>
      </c>
      <c r="AD97">
        <v>4</v>
      </c>
      <c r="AE97">
        <v>1</v>
      </c>
      <c r="AF97" t="s">
        <v>228</v>
      </c>
    </row>
    <row r="98" spans="1:32" x14ac:dyDescent="0.35">
      <c r="A98" s="9">
        <v>107</v>
      </c>
      <c r="B98" s="9" t="s">
        <v>185</v>
      </c>
      <c r="C98" s="9" t="s">
        <v>186</v>
      </c>
      <c r="D98" t="s">
        <v>179</v>
      </c>
      <c r="E98" s="10">
        <f t="shared" si="3"/>
        <v>12</v>
      </c>
      <c r="F98">
        <v>1</v>
      </c>
      <c r="G98">
        <v>0</v>
      </c>
      <c r="H98">
        <v>0</v>
      </c>
      <c r="I98">
        <v>0</v>
      </c>
      <c r="J98">
        <v>0</v>
      </c>
      <c r="K98">
        <v>0</v>
      </c>
      <c r="L98">
        <v>4</v>
      </c>
      <c r="M98">
        <v>0</v>
      </c>
      <c r="N98">
        <v>0</v>
      </c>
      <c r="O98">
        <v>1</v>
      </c>
      <c r="P98">
        <v>1</v>
      </c>
      <c r="Q98">
        <v>0</v>
      </c>
      <c r="R98" s="8">
        <f t="shared" si="0"/>
        <v>2</v>
      </c>
      <c r="S98">
        <v>1</v>
      </c>
      <c r="T98">
        <v>1</v>
      </c>
      <c r="U98">
        <v>0</v>
      </c>
      <c r="V98">
        <v>0</v>
      </c>
      <c r="W98">
        <v>0</v>
      </c>
      <c r="X98">
        <v>2</v>
      </c>
      <c r="Y98">
        <v>1</v>
      </c>
      <c r="Z98" s="8">
        <f t="shared" si="2"/>
        <v>23</v>
      </c>
      <c r="AA98">
        <v>4</v>
      </c>
      <c r="AB98">
        <v>16</v>
      </c>
      <c r="AC98">
        <v>0</v>
      </c>
      <c r="AD98">
        <v>1</v>
      </c>
      <c r="AE98">
        <v>2</v>
      </c>
    </row>
    <row r="99" spans="1:32" x14ac:dyDescent="0.35">
      <c r="A99" s="9">
        <v>108</v>
      </c>
      <c r="B99" s="9" t="s">
        <v>185</v>
      </c>
      <c r="C99" s="9" t="s">
        <v>186</v>
      </c>
      <c r="D99" t="s">
        <v>179</v>
      </c>
      <c r="E99" s="10">
        <f t="shared" si="3"/>
        <v>13</v>
      </c>
      <c r="F99">
        <v>0</v>
      </c>
      <c r="G99">
        <v>1</v>
      </c>
      <c r="H99">
        <v>0</v>
      </c>
      <c r="I99">
        <v>0</v>
      </c>
      <c r="J99">
        <v>0</v>
      </c>
      <c r="K99">
        <v>0</v>
      </c>
      <c r="L99">
        <v>3</v>
      </c>
      <c r="M99">
        <v>1</v>
      </c>
      <c r="N99">
        <v>0</v>
      </c>
      <c r="O99">
        <v>0</v>
      </c>
      <c r="P99">
        <v>1</v>
      </c>
      <c r="Q99">
        <v>0</v>
      </c>
      <c r="R99" s="8">
        <f t="shared" si="0"/>
        <v>4</v>
      </c>
      <c r="S99">
        <v>1</v>
      </c>
      <c r="T99">
        <v>1</v>
      </c>
      <c r="U99">
        <v>0</v>
      </c>
      <c r="V99">
        <v>2</v>
      </c>
      <c r="W99">
        <v>0</v>
      </c>
      <c r="X99">
        <v>3</v>
      </c>
      <c r="Y99">
        <v>0</v>
      </c>
      <c r="Z99" s="8">
        <f t="shared" si="2"/>
        <v>32</v>
      </c>
      <c r="AA99">
        <v>6</v>
      </c>
      <c r="AB99">
        <v>21</v>
      </c>
      <c r="AC99">
        <v>1</v>
      </c>
      <c r="AD99">
        <v>3</v>
      </c>
      <c r="AE99">
        <v>1</v>
      </c>
      <c r="AF99" t="s">
        <v>229</v>
      </c>
    </row>
    <row r="100" spans="1:32" x14ac:dyDescent="0.35">
      <c r="A100" s="9">
        <v>109</v>
      </c>
      <c r="B100" s="9" t="s">
        <v>185</v>
      </c>
      <c r="C100" s="9" t="s">
        <v>186</v>
      </c>
      <c r="D100" t="s">
        <v>179</v>
      </c>
      <c r="E100" s="10">
        <f t="shared" si="3"/>
        <v>12</v>
      </c>
      <c r="F100">
        <v>0</v>
      </c>
      <c r="G100">
        <v>1</v>
      </c>
      <c r="H100">
        <v>2</v>
      </c>
      <c r="I100">
        <v>0</v>
      </c>
      <c r="J100">
        <v>1</v>
      </c>
      <c r="K100">
        <v>0</v>
      </c>
      <c r="L100">
        <v>2</v>
      </c>
      <c r="M100">
        <v>1</v>
      </c>
      <c r="N100">
        <v>0</v>
      </c>
      <c r="O100">
        <v>0</v>
      </c>
      <c r="P100">
        <v>2</v>
      </c>
      <c r="Q100">
        <v>0</v>
      </c>
      <c r="R100" s="8">
        <f t="shared" si="0"/>
        <v>1</v>
      </c>
      <c r="S100">
        <v>0</v>
      </c>
      <c r="T100">
        <v>0</v>
      </c>
      <c r="U100">
        <v>0</v>
      </c>
      <c r="V100">
        <v>1</v>
      </c>
      <c r="W100">
        <v>1</v>
      </c>
      <c r="X100">
        <v>2</v>
      </c>
      <c r="Y100">
        <v>0</v>
      </c>
      <c r="Z100" s="8">
        <f t="shared" si="2"/>
        <v>14</v>
      </c>
      <c r="AA100">
        <v>3</v>
      </c>
      <c r="AB100">
        <v>9</v>
      </c>
      <c r="AC100">
        <v>1</v>
      </c>
      <c r="AD100">
        <v>0</v>
      </c>
      <c r="AE100">
        <v>1</v>
      </c>
      <c r="AF100" t="s">
        <v>230</v>
      </c>
    </row>
    <row r="101" spans="1:32" x14ac:dyDescent="0.35">
      <c r="A101" s="9">
        <v>110</v>
      </c>
      <c r="B101" s="9" t="s">
        <v>185</v>
      </c>
      <c r="C101" s="9" t="s">
        <v>186</v>
      </c>
      <c r="D101" t="s">
        <v>179</v>
      </c>
      <c r="E101" s="10">
        <f t="shared" si="3"/>
        <v>4</v>
      </c>
      <c r="F101">
        <v>1</v>
      </c>
      <c r="G101">
        <v>1</v>
      </c>
      <c r="H101">
        <v>0</v>
      </c>
      <c r="I101">
        <v>0</v>
      </c>
      <c r="J101">
        <v>0</v>
      </c>
      <c r="K101">
        <v>0</v>
      </c>
      <c r="L101">
        <v>0</v>
      </c>
      <c r="M101">
        <v>1</v>
      </c>
      <c r="N101">
        <v>0</v>
      </c>
      <c r="O101">
        <v>0</v>
      </c>
      <c r="P101">
        <v>0</v>
      </c>
      <c r="Q101">
        <v>0</v>
      </c>
      <c r="R101" s="8">
        <f t="shared" si="0"/>
        <v>0</v>
      </c>
      <c r="S101">
        <v>0</v>
      </c>
      <c r="T101">
        <v>0</v>
      </c>
      <c r="U101">
        <v>0</v>
      </c>
      <c r="V101">
        <v>0</v>
      </c>
      <c r="W101">
        <v>0</v>
      </c>
      <c r="X101">
        <v>0</v>
      </c>
      <c r="Y101">
        <v>1</v>
      </c>
      <c r="Z101" s="8">
        <f t="shared" si="2"/>
        <v>37</v>
      </c>
      <c r="AA101">
        <v>22</v>
      </c>
      <c r="AB101">
        <v>10</v>
      </c>
      <c r="AC101">
        <v>0</v>
      </c>
      <c r="AD101">
        <v>0</v>
      </c>
      <c r="AE101">
        <v>5</v>
      </c>
      <c r="AF101" t="s">
        <v>231</v>
      </c>
    </row>
    <row r="102" spans="1:32" x14ac:dyDescent="0.35">
      <c r="A102" s="9">
        <v>111</v>
      </c>
      <c r="B102" s="9" t="s">
        <v>185</v>
      </c>
      <c r="C102" s="9" t="s">
        <v>186</v>
      </c>
      <c r="D102" t="s">
        <v>179</v>
      </c>
      <c r="E102" s="10">
        <f t="shared" si="3"/>
        <v>12</v>
      </c>
      <c r="F102">
        <v>0</v>
      </c>
      <c r="G102">
        <v>1</v>
      </c>
      <c r="H102">
        <v>1</v>
      </c>
      <c r="I102">
        <v>0</v>
      </c>
      <c r="J102">
        <v>0</v>
      </c>
      <c r="K102">
        <v>0</v>
      </c>
      <c r="L102">
        <v>3</v>
      </c>
      <c r="M102">
        <v>1</v>
      </c>
      <c r="N102">
        <v>0</v>
      </c>
      <c r="O102">
        <v>0</v>
      </c>
      <c r="P102">
        <v>1</v>
      </c>
      <c r="Q102">
        <v>0</v>
      </c>
      <c r="R102" s="8">
        <f t="shared" si="0"/>
        <v>1</v>
      </c>
      <c r="S102">
        <v>0</v>
      </c>
      <c r="T102">
        <v>1</v>
      </c>
      <c r="U102">
        <v>0</v>
      </c>
      <c r="V102">
        <v>0</v>
      </c>
      <c r="W102">
        <v>0</v>
      </c>
      <c r="X102">
        <v>4</v>
      </c>
      <c r="Y102">
        <v>0</v>
      </c>
      <c r="Z102" s="8">
        <f t="shared" si="2"/>
        <v>29</v>
      </c>
      <c r="AA102">
        <v>15</v>
      </c>
      <c r="AB102">
        <v>9</v>
      </c>
      <c r="AC102">
        <v>1</v>
      </c>
      <c r="AD102">
        <v>3</v>
      </c>
      <c r="AE102">
        <v>1</v>
      </c>
    </row>
    <row r="103" spans="1:32" x14ac:dyDescent="0.35">
      <c r="A103" s="9">
        <v>112</v>
      </c>
      <c r="B103" s="9" t="s">
        <v>185</v>
      </c>
      <c r="C103" s="9" t="s">
        <v>186</v>
      </c>
      <c r="D103" t="s">
        <v>179</v>
      </c>
      <c r="E103" s="10">
        <f t="shared" si="3"/>
        <v>18</v>
      </c>
      <c r="F103">
        <v>1</v>
      </c>
      <c r="G103">
        <v>1</v>
      </c>
      <c r="H103">
        <v>1</v>
      </c>
      <c r="I103">
        <v>0</v>
      </c>
      <c r="J103">
        <v>2</v>
      </c>
      <c r="K103">
        <v>0</v>
      </c>
      <c r="L103">
        <v>2</v>
      </c>
      <c r="M103">
        <v>0</v>
      </c>
      <c r="N103">
        <v>0</v>
      </c>
      <c r="O103">
        <v>1</v>
      </c>
      <c r="P103">
        <v>1</v>
      </c>
      <c r="Q103">
        <v>0</v>
      </c>
      <c r="R103" s="8">
        <f t="shared" si="0"/>
        <v>2</v>
      </c>
      <c r="S103">
        <v>1</v>
      </c>
      <c r="T103">
        <v>1</v>
      </c>
      <c r="U103">
        <v>1</v>
      </c>
      <c r="V103">
        <v>0</v>
      </c>
      <c r="W103">
        <v>0</v>
      </c>
      <c r="X103">
        <v>7</v>
      </c>
      <c r="Y103">
        <v>0</v>
      </c>
      <c r="Z103" s="8">
        <f t="shared" si="2"/>
        <v>67</v>
      </c>
      <c r="AA103">
        <v>29</v>
      </c>
      <c r="AB103">
        <v>30</v>
      </c>
      <c r="AC103">
        <v>1</v>
      </c>
      <c r="AD103">
        <v>4</v>
      </c>
      <c r="AE103">
        <v>3</v>
      </c>
      <c r="AF103" t="s">
        <v>232</v>
      </c>
    </row>
    <row r="104" spans="1:32" x14ac:dyDescent="0.35">
      <c r="A104" s="9">
        <v>113</v>
      </c>
      <c r="B104" s="9" t="s">
        <v>185</v>
      </c>
      <c r="C104" s="9" t="s">
        <v>186</v>
      </c>
      <c r="D104" t="s">
        <v>179</v>
      </c>
      <c r="E104" s="10">
        <f t="shared" si="3"/>
        <v>16</v>
      </c>
      <c r="F104">
        <v>0</v>
      </c>
      <c r="G104">
        <v>0</v>
      </c>
      <c r="H104">
        <v>1</v>
      </c>
      <c r="I104">
        <v>0</v>
      </c>
      <c r="J104">
        <v>0</v>
      </c>
      <c r="K104">
        <v>1</v>
      </c>
      <c r="L104">
        <v>0</v>
      </c>
      <c r="M104">
        <v>2</v>
      </c>
      <c r="N104">
        <v>0</v>
      </c>
      <c r="O104">
        <v>0</v>
      </c>
      <c r="P104">
        <v>1</v>
      </c>
      <c r="Q104">
        <v>1</v>
      </c>
      <c r="R104" s="8">
        <f t="shared" si="0"/>
        <v>3</v>
      </c>
      <c r="S104">
        <v>0</v>
      </c>
      <c r="T104">
        <v>0</v>
      </c>
      <c r="U104">
        <v>0</v>
      </c>
      <c r="V104">
        <v>3</v>
      </c>
      <c r="W104">
        <v>0</v>
      </c>
      <c r="X104">
        <v>7</v>
      </c>
      <c r="Y104">
        <v>0</v>
      </c>
      <c r="Z104" s="8">
        <f t="shared" si="2"/>
        <v>40</v>
      </c>
      <c r="AA104">
        <v>25</v>
      </c>
      <c r="AB104">
        <v>9</v>
      </c>
      <c r="AC104">
        <v>1</v>
      </c>
      <c r="AD104">
        <v>0</v>
      </c>
      <c r="AE104">
        <v>5</v>
      </c>
    </row>
    <row r="105" spans="1:32" x14ac:dyDescent="0.35">
      <c r="A105" s="9">
        <v>114</v>
      </c>
      <c r="B105" s="9" t="s">
        <v>185</v>
      </c>
      <c r="C105" s="9" t="s">
        <v>186</v>
      </c>
      <c r="D105" t="s">
        <v>179</v>
      </c>
      <c r="E105" s="10">
        <f t="shared" si="3"/>
        <v>7</v>
      </c>
      <c r="F105">
        <v>0</v>
      </c>
      <c r="G105">
        <v>1</v>
      </c>
      <c r="H105">
        <v>0</v>
      </c>
      <c r="I105">
        <v>0</v>
      </c>
      <c r="J105">
        <v>1</v>
      </c>
      <c r="K105">
        <v>0</v>
      </c>
      <c r="L105">
        <v>2</v>
      </c>
      <c r="M105">
        <v>0</v>
      </c>
      <c r="N105">
        <v>0</v>
      </c>
      <c r="O105">
        <v>0</v>
      </c>
      <c r="P105">
        <v>0</v>
      </c>
      <c r="Q105">
        <v>0</v>
      </c>
      <c r="R105" s="8">
        <f t="shared" si="0"/>
        <v>1</v>
      </c>
      <c r="S105">
        <v>0</v>
      </c>
      <c r="T105">
        <v>0</v>
      </c>
      <c r="U105">
        <v>0</v>
      </c>
      <c r="V105">
        <v>1</v>
      </c>
      <c r="W105">
        <v>0</v>
      </c>
      <c r="X105">
        <v>2</v>
      </c>
      <c r="Y105">
        <v>0</v>
      </c>
      <c r="Z105" s="8">
        <f t="shared" si="2"/>
        <v>26</v>
      </c>
      <c r="AA105">
        <v>10</v>
      </c>
      <c r="AB105">
        <v>16</v>
      </c>
      <c r="AC105">
        <v>0</v>
      </c>
      <c r="AD105">
        <v>0</v>
      </c>
      <c r="AE105">
        <v>0</v>
      </c>
    </row>
    <row r="106" spans="1:32" x14ac:dyDescent="0.35">
      <c r="A106" s="9">
        <v>115</v>
      </c>
      <c r="B106" s="9" t="s">
        <v>185</v>
      </c>
      <c r="C106" s="9" t="s">
        <v>186</v>
      </c>
      <c r="D106" t="s">
        <v>179</v>
      </c>
      <c r="E106" s="10">
        <f t="shared" si="3"/>
        <v>4</v>
      </c>
      <c r="F106">
        <v>0</v>
      </c>
      <c r="G106">
        <v>0</v>
      </c>
      <c r="H106">
        <v>0</v>
      </c>
      <c r="I106">
        <v>0</v>
      </c>
      <c r="J106">
        <v>0</v>
      </c>
      <c r="K106">
        <v>0</v>
      </c>
      <c r="L106">
        <v>0</v>
      </c>
      <c r="M106">
        <v>2</v>
      </c>
      <c r="N106">
        <v>0</v>
      </c>
      <c r="O106">
        <v>0</v>
      </c>
      <c r="P106">
        <v>0</v>
      </c>
      <c r="Q106">
        <v>0</v>
      </c>
      <c r="R106" s="8">
        <f t="shared" si="0"/>
        <v>1</v>
      </c>
      <c r="S106">
        <v>0</v>
      </c>
      <c r="T106">
        <v>1</v>
      </c>
      <c r="U106">
        <v>0</v>
      </c>
      <c r="V106">
        <v>0</v>
      </c>
      <c r="W106">
        <v>0</v>
      </c>
      <c r="X106">
        <v>0</v>
      </c>
      <c r="Y106">
        <v>1</v>
      </c>
      <c r="Z106" s="8">
        <f t="shared" si="2"/>
        <v>38</v>
      </c>
      <c r="AA106">
        <v>15</v>
      </c>
      <c r="AB106">
        <v>20</v>
      </c>
      <c r="AC106">
        <v>0</v>
      </c>
      <c r="AD106">
        <v>0</v>
      </c>
      <c r="AE106">
        <v>3</v>
      </c>
      <c r="AF106" t="s">
        <v>233</v>
      </c>
    </row>
    <row r="107" spans="1:32" x14ac:dyDescent="0.35">
      <c r="A107">
        <v>101</v>
      </c>
      <c r="B107" t="s">
        <v>186</v>
      </c>
      <c r="C107" t="s">
        <v>187</v>
      </c>
      <c r="D107" t="s">
        <v>179</v>
      </c>
      <c r="E107" s="10">
        <f t="shared" si="3"/>
        <v>2</v>
      </c>
      <c r="F107">
        <v>0</v>
      </c>
      <c r="G107">
        <v>0</v>
      </c>
      <c r="H107">
        <v>0</v>
      </c>
      <c r="I107">
        <v>0</v>
      </c>
      <c r="J107">
        <v>0</v>
      </c>
      <c r="K107">
        <v>0</v>
      </c>
      <c r="L107">
        <v>0</v>
      </c>
      <c r="M107">
        <v>0</v>
      </c>
      <c r="N107">
        <v>0</v>
      </c>
      <c r="O107">
        <v>0</v>
      </c>
      <c r="P107">
        <v>0</v>
      </c>
      <c r="Q107">
        <v>1</v>
      </c>
      <c r="R107" s="8">
        <f t="shared" si="0"/>
        <v>1</v>
      </c>
      <c r="S107">
        <v>0</v>
      </c>
      <c r="T107">
        <v>0</v>
      </c>
      <c r="U107">
        <v>0</v>
      </c>
      <c r="V107">
        <v>1</v>
      </c>
      <c r="W107">
        <v>0</v>
      </c>
      <c r="X107">
        <v>0</v>
      </c>
      <c r="Y107">
        <v>0</v>
      </c>
      <c r="Z107" s="8">
        <f t="shared" si="2"/>
        <v>7</v>
      </c>
      <c r="AA107">
        <v>4</v>
      </c>
      <c r="AB107">
        <v>3</v>
      </c>
      <c r="AC107">
        <v>0</v>
      </c>
      <c r="AD107">
        <v>0</v>
      </c>
      <c r="AE107">
        <v>0</v>
      </c>
    </row>
    <row r="108" spans="1:32" x14ac:dyDescent="0.35">
      <c r="A108">
        <v>102</v>
      </c>
      <c r="B108" t="s">
        <v>186</v>
      </c>
      <c r="C108" t="s">
        <v>187</v>
      </c>
      <c r="D108" t="s">
        <v>179</v>
      </c>
      <c r="E108" s="10">
        <f t="shared" si="3"/>
        <v>10</v>
      </c>
      <c r="F108">
        <v>0</v>
      </c>
      <c r="G108">
        <v>0</v>
      </c>
      <c r="H108">
        <v>1</v>
      </c>
      <c r="I108">
        <v>0</v>
      </c>
      <c r="J108">
        <v>0</v>
      </c>
      <c r="K108">
        <v>0</v>
      </c>
      <c r="L108">
        <v>2</v>
      </c>
      <c r="M108">
        <v>0</v>
      </c>
      <c r="N108">
        <v>0</v>
      </c>
      <c r="O108">
        <v>0</v>
      </c>
      <c r="P108">
        <v>1</v>
      </c>
      <c r="Q108">
        <v>2</v>
      </c>
      <c r="R108" s="8">
        <f t="shared" si="0"/>
        <v>0</v>
      </c>
      <c r="S108">
        <v>0</v>
      </c>
      <c r="T108">
        <v>0</v>
      </c>
      <c r="U108">
        <v>0</v>
      </c>
      <c r="V108">
        <v>0</v>
      </c>
      <c r="W108">
        <v>0</v>
      </c>
      <c r="X108">
        <v>4</v>
      </c>
      <c r="Y108">
        <v>0</v>
      </c>
      <c r="Z108" s="8">
        <f t="shared" si="2"/>
        <v>0</v>
      </c>
      <c r="AA108">
        <v>0</v>
      </c>
      <c r="AB108">
        <v>0</v>
      </c>
      <c r="AC108">
        <v>0</v>
      </c>
      <c r="AD108">
        <v>0</v>
      </c>
      <c r="AE108">
        <v>0</v>
      </c>
    </row>
    <row r="109" spans="1:32" x14ac:dyDescent="0.35">
      <c r="A109">
        <v>103</v>
      </c>
      <c r="B109" t="s">
        <v>186</v>
      </c>
      <c r="C109" t="s">
        <v>187</v>
      </c>
      <c r="D109" t="s">
        <v>179</v>
      </c>
      <c r="E109" s="10">
        <f t="shared" si="3"/>
        <v>1</v>
      </c>
      <c r="F109">
        <v>1</v>
      </c>
      <c r="G109">
        <v>0</v>
      </c>
      <c r="H109">
        <v>0</v>
      </c>
      <c r="I109">
        <v>0</v>
      </c>
      <c r="J109">
        <v>0</v>
      </c>
      <c r="K109">
        <v>0</v>
      </c>
      <c r="L109">
        <v>0</v>
      </c>
      <c r="M109">
        <v>0</v>
      </c>
      <c r="N109">
        <v>0</v>
      </c>
      <c r="O109">
        <v>0</v>
      </c>
      <c r="P109">
        <v>0</v>
      </c>
      <c r="Q109">
        <v>0</v>
      </c>
      <c r="R109" s="8">
        <f t="shared" si="0"/>
        <v>0</v>
      </c>
      <c r="S109">
        <v>0</v>
      </c>
      <c r="T109">
        <v>0</v>
      </c>
      <c r="U109">
        <v>0</v>
      </c>
      <c r="V109">
        <v>0</v>
      </c>
      <c r="W109">
        <v>0</v>
      </c>
      <c r="X109">
        <v>0</v>
      </c>
      <c r="Y109">
        <v>0</v>
      </c>
      <c r="Z109" s="8">
        <f t="shared" si="2"/>
        <v>10</v>
      </c>
      <c r="AA109">
        <v>4</v>
      </c>
      <c r="AB109">
        <v>4</v>
      </c>
      <c r="AC109">
        <v>0</v>
      </c>
      <c r="AD109">
        <v>1</v>
      </c>
      <c r="AE109">
        <v>1</v>
      </c>
    </row>
    <row r="110" spans="1:32" x14ac:dyDescent="0.35">
      <c r="A110">
        <v>104</v>
      </c>
      <c r="B110" t="s">
        <v>186</v>
      </c>
      <c r="C110" t="s">
        <v>187</v>
      </c>
      <c r="D110" t="s">
        <v>179</v>
      </c>
      <c r="E110" s="10">
        <f t="shared" si="3"/>
        <v>11</v>
      </c>
      <c r="F110">
        <v>1</v>
      </c>
      <c r="G110">
        <v>0</v>
      </c>
      <c r="H110">
        <v>1</v>
      </c>
      <c r="I110">
        <v>0</v>
      </c>
      <c r="J110">
        <v>1</v>
      </c>
      <c r="K110">
        <v>0</v>
      </c>
      <c r="L110">
        <v>2</v>
      </c>
      <c r="M110">
        <v>0</v>
      </c>
      <c r="N110">
        <v>0</v>
      </c>
      <c r="O110">
        <v>0</v>
      </c>
      <c r="P110">
        <v>2</v>
      </c>
      <c r="Q110">
        <v>0</v>
      </c>
      <c r="R110" s="8">
        <f t="shared" si="0"/>
        <v>1</v>
      </c>
      <c r="S110">
        <v>0</v>
      </c>
      <c r="T110">
        <v>1</v>
      </c>
      <c r="U110">
        <v>0</v>
      </c>
      <c r="V110">
        <v>0</v>
      </c>
      <c r="W110">
        <v>0</v>
      </c>
      <c r="X110">
        <v>3</v>
      </c>
      <c r="Y110">
        <v>0</v>
      </c>
      <c r="Z110" s="8">
        <f t="shared" si="2"/>
        <v>17</v>
      </c>
      <c r="AA110">
        <v>4</v>
      </c>
      <c r="AB110">
        <v>8</v>
      </c>
      <c r="AC110">
        <v>0</v>
      </c>
      <c r="AD110">
        <v>4</v>
      </c>
      <c r="AE110">
        <v>1</v>
      </c>
      <c r="AF110" t="s">
        <v>234</v>
      </c>
    </row>
    <row r="111" spans="1:32" x14ac:dyDescent="0.35">
      <c r="A111">
        <v>105</v>
      </c>
      <c r="B111" t="s">
        <v>186</v>
      </c>
      <c r="C111" t="s">
        <v>187</v>
      </c>
      <c r="D111" t="s">
        <v>179</v>
      </c>
      <c r="E111" s="10">
        <f t="shared" si="3"/>
        <v>7</v>
      </c>
      <c r="F111">
        <v>0</v>
      </c>
      <c r="G111">
        <v>0</v>
      </c>
      <c r="H111">
        <v>0</v>
      </c>
      <c r="I111">
        <v>0</v>
      </c>
      <c r="J111">
        <v>0</v>
      </c>
      <c r="K111">
        <v>1</v>
      </c>
      <c r="L111">
        <v>2</v>
      </c>
      <c r="M111">
        <v>1</v>
      </c>
      <c r="N111">
        <v>0</v>
      </c>
      <c r="O111">
        <v>0</v>
      </c>
      <c r="P111">
        <v>2</v>
      </c>
      <c r="Q111">
        <v>0</v>
      </c>
      <c r="R111" s="8">
        <f t="shared" si="0"/>
        <v>0</v>
      </c>
      <c r="S111">
        <v>0</v>
      </c>
      <c r="T111">
        <v>0</v>
      </c>
      <c r="U111">
        <v>0</v>
      </c>
      <c r="V111">
        <v>0</v>
      </c>
      <c r="W111">
        <v>0</v>
      </c>
      <c r="X111">
        <v>0</v>
      </c>
      <c r="Y111">
        <v>1</v>
      </c>
      <c r="Z111" s="8">
        <f t="shared" si="2"/>
        <v>39</v>
      </c>
      <c r="AA111">
        <v>10</v>
      </c>
      <c r="AB111">
        <v>23</v>
      </c>
      <c r="AC111">
        <v>1</v>
      </c>
      <c r="AD111">
        <v>1</v>
      </c>
      <c r="AE111">
        <v>4</v>
      </c>
    </row>
    <row r="112" spans="1:32" x14ac:dyDescent="0.35">
      <c r="A112">
        <v>106</v>
      </c>
      <c r="B112" t="s">
        <v>186</v>
      </c>
      <c r="C112" t="s">
        <v>187</v>
      </c>
      <c r="D112" t="s">
        <v>179</v>
      </c>
      <c r="E112" s="10">
        <f t="shared" si="3"/>
        <v>0</v>
      </c>
      <c r="F112">
        <v>0</v>
      </c>
      <c r="G112">
        <v>0</v>
      </c>
      <c r="H112">
        <v>0</v>
      </c>
      <c r="I112">
        <v>0</v>
      </c>
      <c r="J112">
        <v>0</v>
      </c>
      <c r="K112">
        <v>0</v>
      </c>
      <c r="L112">
        <v>0</v>
      </c>
      <c r="M112">
        <v>0</v>
      </c>
      <c r="N112">
        <v>0</v>
      </c>
      <c r="O112">
        <v>0</v>
      </c>
      <c r="P112">
        <v>0</v>
      </c>
      <c r="Q112">
        <v>0</v>
      </c>
      <c r="R112" s="8">
        <f t="shared" si="0"/>
        <v>0</v>
      </c>
      <c r="S112">
        <v>0</v>
      </c>
      <c r="T112">
        <v>0</v>
      </c>
      <c r="U112">
        <v>0</v>
      </c>
      <c r="V112">
        <v>0</v>
      </c>
      <c r="W112">
        <v>0</v>
      </c>
      <c r="X112">
        <v>0</v>
      </c>
      <c r="Y112">
        <v>0</v>
      </c>
      <c r="Z112" s="8">
        <f t="shared" si="2"/>
        <v>12</v>
      </c>
      <c r="AA112">
        <v>8</v>
      </c>
      <c r="AB112">
        <v>3</v>
      </c>
      <c r="AC112">
        <v>0</v>
      </c>
      <c r="AD112">
        <v>0</v>
      </c>
      <c r="AE112">
        <v>1</v>
      </c>
    </row>
    <row r="113" spans="1:32" x14ac:dyDescent="0.35">
      <c r="A113">
        <v>107</v>
      </c>
      <c r="B113" t="s">
        <v>186</v>
      </c>
      <c r="C113" t="s">
        <v>187</v>
      </c>
      <c r="D113" t="s">
        <v>179</v>
      </c>
      <c r="E113" s="10">
        <f t="shared" si="3"/>
        <v>4</v>
      </c>
      <c r="F113">
        <v>1</v>
      </c>
      <c r="G113">
        <v>1</v>
      </c>
      <c r="H113">
        <v>0</v>
      </c>
      <c r="I113">
        <v>0</v>
      </c>
      <c r="J113">
        <v>0</v>
      </c>
      <c r="K113">
        <v>0</v>
      </c>
      <c r="L113">
        <v>1</v>
      </c>
      <c r="M113">
        <v>0</v>
      </c>
      <c r="N113">
        <v>0</v>
      </c>
      <c r="O113">
        <v>0</v>
      </c>
      <c r="P113">
        <v>0</v>
      </c>
      <c r="Q113">
        <v>0</v>
      </c>
      <c r="R113" s="8">
        <f t="shared" si="0"/>
        <v>1</v>
      </c>
      <c r="S113">
        <v>0</v>
      </c>
      <c r="T113">
        <v>1</v>
      </c>
      <c r="U113">
        <v>0</v>
      </c>
      <c r="V113">
        <v>0</v>
      </c>
      <c r="W113">
        <v>0</v>
      </c>
      <c r="X113">
        <v>0</v>
      </c>
      <c r="Y113">
        <v>0</v>
      </c>
      <c r="Z113" s="8">
        <f t="shared" si="2"/>
        <v>17</v>
      </c>
      <c r="AA113">
        <v>7</v>
      </c>
      <c r="AB113">
        <v>5</v>
      </c>
      <c r="AC113">
        <v>1</v>
      </c>
      <c r="AD113">
        <v>2</v>
      </c>
      <c r="AE113">
        <v>2</v>
      </c>
    </row>
    <row r="114" spans="1:32" x14ac:dyDescent="0.35">
      <c r="A114">
        <v>108</v>
      </c>
      <c r="B114" t="s">
        <v>186</v>
      </c>
      <c r="C114" t="s">
        <v>187</v>
      </c>
      <c r="D114" t="s">
        <v>179</v>
      </c>
      <c r="E114" s="10">
        <f t="shared" si="3"/>
        <v>6</v>
      </c>
      <c r="F114">
        <v>0</v>
      </c>
      <c r="G114">
        <v>1</v>
      </c>
      <c r="H114">
        <v>0</v>
      </c>
      <c r="I114">
        <v>0</v>
      </c>
      <c r="J114">
        <v>0</v>
      </c>
      <c r="K114">
        <v>0</v>
      </c>
      <c r="L114">
        <v>0</v>
      </c>
      <c r="M114">
        <v>0</v>
      </c>
      <c r="N114">
        <v>0</v>
      </c>
      <c r="O114">
        <v>0</v>
      </c>
      <c r="P114">
        <v>0</v>
      </c>
      <c r="Q114">
        <v>2</v>
      </c>
      <c r="R114" s="8">
        <f t="shared" si="0"/>
        <v>0</v>
      </c>
      <c r="S114">
        <v>0</v>
      </c>
      <c r="T114">
        <v>0</v>
      </c>
      <c r="U114">
        <v>0</v>
      </c>
      <c r="V114">
        <v>0</v>
      </c>
      <c r="W114">
        <v>0</v>
      </c>
      <c r="X114">
        <v>2</v>
      </c>
      <c r="Y114">
        <v>1</v>
      </c>
      <c r="Z114" s="8">
        <f t="shared" si="2"/>
        <v>12</v>
      </c>
      <c r="AA114">
        <v>2</v>
      </c>
      <c r="AB114">
        <v>4</v>
      </c>
      <c r="AC114">
        <v>0</v>
      </c>
      <c r="AD114">
        <v>2</v>
      </c>
      <c r="AE114">
        <v>4</v>
      </c>
    </row>
    <row r="115" spans="1:32" x14ac:dyDescent="0.35">
      <c r="A115">
        <v>109</v>
      </c>
      <c r="B115" t="s">
        <v>186</v>
      </c>
      <c r="C115" t="s">
        <v>187</v>
      </c>
      <c r="D115" t="s">
        <v>179</v>
      </c>
      <c r="E115" s="10">
        <f t="shared" si="3"/>
        <v>1</v>
      </c>
      <c r="F115">
        <v>0</v>
      </c>
      <c r="G115">
        <v>0</v>
      </c>
      <c r="H115">
        <v>0</v>
      </c>
      <c r="I115">
        <v>0</v>
      </c>
      <c r="J115">
        <v>1</v>
      </c>
      <c r="K115">
        <v>0</v>
      </c>
      <c r="L115">
        <v>0</v>
      </c>
      <c r="M115">
        <v>0</v>
      </c>
      <c r="N115">
        <v>0</v>
      </c>
      <c r="O115">
        <v>0</v>
      </c>
      <c r="P115">
        <v>0</v>
      </c>
      <c r="Q115">
        <v>0</v>
      </c>
      <c r="R115" s="8">
        <f t="shared" si="0"/>
        <v>0</v>
      </c>
      <c r="S115">
        <v>0</v>
      </c>
      <c r="T115">
        <v>0</v>
      </c>
      <c r="U115">
        <v>0</v>
      </c>
      <c r="V115">
        <v>0</v>
      </c>
      <c r="W115">
        <v>0</v>
      </c>
      <c r="X115">
        <v>0</v>
      </c>
      <c r="Y115">
        <v>0</v>
      </c>
      <c r="Z115" s="8">
        <f t="shared" si="2"/>
        <v>12</v>
      </c>
      <c r="AA115">
        <v>4</v>
      </c>
      <c r="AB115">
        <v>3</v>
      </c>
      <c r="AC115">
        <v>0</v>
      </c>
      <c r="AD115">
        <v>0</v>
      </c>
      <c r="AE115">
        <v>5</v>
      </c>
    </row>
    <row r="116" spans="1:32" x14ac:dyDescent="0.35">
      <c r="A116">
        <v>110</v>
      </c>
      <c r="B116" t="s">
        <v>186</v>
      </c>
      <c r="C116" t="s">
        <v>187</v>
      </c>
      <c r="D116" t="s">
        <v>179</v>
      </c>
      <c r="E116" s="10">
        <f t="shared" si="3"/>
        <v>1</v>
      </c>
      <c r="F116">
        <v>0</v>
      </c>
      <c r="G116">
        <v>0</v>
      </c>
      <c r="H116">
        <v>0</v>
      </c>
      <c r="I116">
        <v>0</v>
      </c>
      <c r="J116">
        <v>0</v>
      </c>
      <c r="K116">
        <v>0</v>
      </c>
      <c r="L116">
        <v>1</v>
      </c>
      <c r="M116">
        <v>0</v>
      </c>
      <c r="N116">
        <v>0</v>
      </c>
      <c r="O116">
        <v>0</v>
      </c>
      <c r="P116">
        <v>0</v>
      </c>
      <c r="Q116">
        <v>0</v>
      </c>
      <c r="R116" s="8">
        <f t="shared" si="0"/>
        <v>0</v>
      </c>
      <c r="S116">
        <v>0</v>
      </c>
      <c r="T116">
        <v>0</v>
      </c>
      <c r="U116">
        <v>0</v>
      </c>
      <c r="V116">
        <v>0</v>
      </c>
      <c r="W116">
        <v>0</v>
      </c>
      <c r="X116">
        <v>0</v>
      </c>
      <c r="Y116">
        <v>0</v>
      </c>
      <c r="Z116" s="8">
        <f t="shared" si="2"/>
        <v>18</v>
      </c>
      <c r="AA116">
        <v>15</v>
      </c>
      <c r="AB116">
        <v>0</v>
      </c>
      <c r="AC116">
        <v>0</v>
      </c>
      <c r="AD116">
        <v>2</v>
      </c>
      <c r="AE116">
        <v>1</v>
      </c>
      <c r="AF116" t="s">
        <v>235</v>
      </c>
    </row>
    <row r="117" spans="1:32" x14ac:dyDescent="0.35">
      <c r="A117">
        <v>111</v>
      </c>
      <c r="B117" t="s">
        <v>186</v>
      </c>
      <c r="C117" t="s">
        <v>187</v>
      </c>
      <c r="D117" t="s">
        <v>179</v>
      </c>
      <c r="E117" s="10">
        <f t="shared" si="3"/>
        <v>17</v>
      </c>
      <c r="F117">
        <v>1</v>
      </c>
      <c r="G117">
        <v>1</v>
      </c>
      <c r="H117">
        <v>2</v>
      </c>
      <c r="I117">
        <v>0</v>
      </c>
      <c r="J117">
        <v>0</v>
      </c>
      <c r="K117">
        <v>0</v>
      </c>
      <c r="L117">
        <v>1</v>
      </c>
      <c r="M117">
        <v>0</v>
      </c>
      <c r="N117">
        <v>0</v>
      </c>
      <c r="O117">
        <v>0</v>
      </c>
      <c r="P117">
        <v>2</v>
      </c>
      <c r="Q117">
        <v>1</v>
      </c>
      <c r="R117" s="8">
        <f t="shared" si="0"/>
        <v>3</v>
      </c>
      <c r="S117">
        <v>1</v>
      </c>
      <c r="T117">
        <v>0</v>
      </c>
      <c r="U117">
        <v>0</v>
      </c>
      <c r="V117">
        <v>2</v>
      </c>
      <c r="W117">
        <v>1</v>
      </c>
      <c r="X117">
        <v>5</v>
      </c>
      <c r="Y117">
        <v>1</v>
      </c>
      <c r="Z117" s="8">
        <f t="shared" si="2"/>
        <v>43</v>
      </c>
      <c r="AA117">
        <v>19</v>
      </c>
      <c r="AB117">
        <v>21</v>
      </c>
      <c r="AC117">
        <v>2</v>
      </c>
      <c r="AD117">
        <v>0</v>
      </c>
      <c r="AE117">
        <v>1</v>
      </c>
      <c r="AF117" t="s">
        <v>236</v>
      </c>
    </row>
    <row r="118" spans="1:32" x14ac:dyDescent="0.35">
      <c r="A118">
        <v>112</v>
      </c>
      <c r="B118" t="s">
        <v>186</v>
      </c>
      <c r="C118" t="s">
        <v>187</v>
      </c>
      <c r="D118" t="s">
        <v>179</v>
      </c>
      <c r="E118" s="10">
        <f t="shared" si="3"/>
        <v>13</v>
      </c>
      <c r="F118">
        <v>0</v>
      </c>
      <c r="G118">
        <v>0</v>
      </c>
      <c r="H118">
        <v>2</v>
      </c>
      <c r="I118">
        <v>0</v>
      </c>
      <c r="J118">
        <v>1</v>
      </c>
      <c r="K118">
        <v>0</v>
      </c>
      <c r="L118">
        <v>3</v>
      </c>
      <c r="M118">
        <v>0</v>
      </c>
      <c r="N118">
        <v>0</v>
      </c>
      <c r="O118">
        <v>0</v>
      </c>
      <c r="P118">
        <v>0</v>
      </c>
      <c r="Q118">
        <v>0</v>
      </c>
      <c r="R118" s="8">
        <f t="shared" si="0"/>
        <v>2</v>
      </c>
      <c r="S118">
        <v>0</v>
      </c>
      <c r="T118">
        <v>0</v>
      </c>
      <c r="U118">
        <v>0</v>
      </c>
      <c r="V118">
        <v>2</v>
      </c>
      <c r="W118">
        <v>0</v>
      </c>
      <c r="X118">
        <v>3</v>
      </c>
      <c r="Y118">
        <v>2</v>
      </c>
      <c r="Z118" s="8">
        <f t="shared" si="2"/>
        <v>15</v>
      </c>
      <c r="AA118">
        <v>9</v>
      </c>
      <c r="AB118">
        <v>2</v>
      </c>
      <c r="AC118">
        <v>0</v>
      </c>
      <c r="AD118">
        <v>0</v>
      </c>
      <c r="AE118">
        <v>4</v>
      </c>
    </row>
    <row r="119" spans="1:32" x14ac:dyDescent="0.35">
      <c r="A119">
        <v>113</v>
      </c>
      <c r="B119" t="s">
        <v>186</v>
      </c>
      <c r="C119" t="s">
        <v>187</v>
      </c>
      <c r="D119" t="s">
        <v>179</v>
      </c>
      <c r="E119" s="10">
        <f t="shared" si="3"/>
        <v>6</v>
      </c>
      <c r="F119">
        <v>0</v>
      </c>
      <c r="G119">
        <v>1</v>
      </c>
      <c r="H119">
        <v>2</v>
      </c>
      <c r="I119">
        <v>0</v>
      </c>
      <c r="J119">
        <v>0</v>
      </c>
      <c r="K119">
        <v>0</v>
      </c>
      <c r="L119">
        <v>2</v>
      </c>
      <c r="M119">
        <v>0</v>
      </c>
      <c r="N119">
        <v>0</v>
      </c>
      <c r="O119">
        <v>0</v>
      </c>
      <c r="P119">
        <v>1</v>
      </c>
      <c r="Q119">
        <v>0</v>
      </c>
      <c r="R119" s="8">
        <f t="shared" si="0"/>
        <v>0</v>
      </c>
      <c r="S119">
        <v>0</v>
      </c>
      <c r="T119">
        <v>0</v>
      </c>
      <c r="U119">
        <v>0</v>
      </c>
      <c r="V119">
        <v>0</v>
      </c>
      <c r="W119">
        <v>0</v>
      </c>
      <c r="X119">
        <v>0</v>
      </c>
      <c r="Y119">
        <v>0</v>
      </c>
      <c r="Z119" s="8">
        <f t="shared" si="2"/>
        <v>8</v>
      </c>
      <c r="AA119">
        <v>5</v>
      </c>
      <c r="AB119">
        <v>2</v>
      </c>
      <c r="AC119">
        <v>1</v>
      </c>
      <c r="AD119">
        <v>0</v>
      </c>
      <c r="AE119">
        <v>0</v>
      </c>
    </row>
    <row r="120" spans="1:32" x14ac:dyDescent="0.35">
      <c r="A120">
        <v>114</v>
      </c>
      <c r="B120" t="s">
        <v>186</v>
      </c>
      <c r="C120" t="s">
        <v>187</v>
      </c>
      <c r="D120" t="s">
        <v>179</v>
      </c>
      <c r="E120" s="10">
        <f t="shared" si="3"/>
        <v>5</v>
      </c>
      <c r="F120">
        <v>0</v>
      </c>
      <c r="G120">
        <v>1</v>
      </c>
      <c r="H120">
        <v>0</v>
      </c>
      <c r="I120">
        <v>0</v>
      </c>
      <c r="J120">
        <v>1</v>
      </c>
      <c r="K120">
        <v>0</v>
      </c>
      <c r="L120">
        <v>0</v>
      </c>
      <c r="M120">
        <v>0</v>
      </c>
      <c r="N120">
        <v>0</v>
      </c>
      <c r="O120">
        <v>0</v>
      </c>
      <c r="P120">
        <v>0</v>
      </c>
      <c r="Q120">
        <v>0</v>
      </c>
      <c r="R120" s="8">
        <f t="shared" si="0"/>
        <v>1</v>
      </c>
      <c r="S120">
        <v>0</v>
      </c>
      <c r="T120">
        <v>0</v>
      </c>
      <c r="U120">
        <v>0</v>
      </c>
      <c r="V120">
        <v>1</v>
      </c>
      <c r="W120">
        <v>0</v>
      </c>
      <c r="X120">
        <v>2</v>
      </c>
      <c r="Y120">
        <v>0</v>
      </c>
      <c r="Z120" s="8">
        <f t="shared" si="2"/>
        <v>13</v>
      </c>
      <c r="AA120">
        <v>4</v>
      </c>
      <c r="AB120">
        <v>4</v>
      </c>
      <c r="AC120">
        <v>0</v>
      </c>
      <c r="AD120">
        <v>1</v>
      </c>
      <c r="AE120">
        <v>4</v>
      </c>
    </row>
    <row r="121" spans="1:32" x14ac:dyDescent="0.35">
      <c r="A121">
        <v>115</v>
      </c>
      <c r="B121" t="s">
        <v>186</v>
      </c>
      <c r="C121" t="s">
        <v>187</v>
      </c>
      <c r="D121" t="s">
        <v>179</v>
      </c>
      <c r="E121" s="10">
        <f t="shared" si="3"/>
        <v>8</v>
      </c>
      <c r="F121">
        <v>0</v>
      </c>
      <c r="G121">
        <v>0</v>
      </c>
      <c r="H121">
        <v>1</v>
      </c>
      <c r="I121">
        <v>0</v>
      </c>
      <c r="J121">
        <v>0</v>
      </c>
      <c r="K121">
        <v>1</v>
      </c>
      <c r="L121">
        <v>3</v>
      </c>
      <c r="M121">
        <v>0</v>
      </c>
      <c r="N121">
        <v>0</v>
      </c>
      <c r="O121">
        <v>0</v>
      </c>
      <c r="P121">
        <v>0</v>
      </c>
      <c r="Q121">
        <v>0</v>
      </c>
      <c r="R121" s="8">
        <f t="shared" si="0"/>
        <v>0</v>
      </c>
      <c r="S121">
        <v>0</v>
      </c>
      <c r="T121">
        <v>0</v>
      </c>
      <c r="U121">
        <v>0</v>
      </c>
      <c r="V121">
        <v>0</v>
      </c>
      <c r="W121">
        <v>0</v>
      </c>
      <c r="X121">
        <v>3</v>
      </c>
      <c r="Y121">
        <v>0</v>
      </c>
      <c r="Z121" s="8">
        <f t="shared" si="2"/>
        <v>20</v>
      </c>
      <c r="AA121">
        <v>6</v>
      </c>
      <c r="AB121">
        <v>7</v>
      </c>
      <c r="AC121">
        <v>0</v>
      </c>
      <c r="AD121">
        <v>0</v>
      </c>
      <c r="AE121">
        <v>7</v>
      </c>
    </row>
    <row r="122" spans="1:32" x14ac:dyDescent="0.35">
      <c r="A122" s="9">
        <v>101</v>
      </c>
      <c r="B122" s="9" t="s">
        <v>187</v>
      </c>
      <c r="C122" s="9" t="s">
        <v>188</v>
      </c>
      <c r="D122" t="s">
        <v>180</v>
      </c>
      <c r="E122">
        <v>0</v>
      </c>
      <c r="N122">
        <v>0</v>
      </c>
      <c r="U122">
        <v>0</v>
      </c>
      <c r="W122">
        <v>0</v>
      </c>
      <c r="Y122">
        <v>0</v>
      </c>
      <c r="Z122">
        <v>5</v>
      </c>
    </row>
    <row r="123" spans="1:32" x14ac:dyDescent="0.35">
      <c r="A123" s="9">
        <v>102</v>
      </c>
      <c r="B123" s="9" t="s">
        <v>187</v>
      </c>
      <c r="C123" s="9" t="s">
        <v>188</v>
      </c>
      <c r="D123" t="s">
        <v>180</v>
      </c>
      <c r="E123">
        <v>1</v>
      </c>
      <c r="N123">
        <v>0</v>
      </c>
      <c r="U123">
        <v>0</v>
      </c>
      <c r="W123">
        <v>0</v>
      </c>
      <c r="Y123">
        <v>1</v>
      </c>
      <c r="Z123">
        <v>6</v>
      </c>
    </row>
    <row r="124" spans="1:32" x14ac:dyDescent="0.35">
      <c r="A124" s="9">
        <v>103</v>
      </c>
      <c r="B124" s="9" t="s">
        <v>187</v>
      </c>
      <c r="C124" s="9" t="s">
        <v>188</v>
      </c>
      <c r="D124" t="s">
        <v>180</v>
      </c>
      <c r="E124">
        <v>5</v>
      </c>
      <c r="N124">
        <v>0</v>
      </c>
      <c r="U124">
        <v>0</v>
      </c>
      <c r="W124">
        <v>0</v>
      </c>
      <c r="Y124">
        <v>5</v>
      </c>
      <c r="Z124">
        <v>8</v>
      </c>
    </row>
    <row r="125" spans="1:32" x14ac:dyDescent="0.35">
      <c r="A125" s="9">
        <v>104</v>
      </c>
      <c r="B125" s="9" t="s">
        <v>187</v>
      </c>
      <c r="C125" s="9" t="s">
        <v>188</v>
      </c>
      <c r="D125" t="s">
        <v>180</v>
      </c>
      <c r="E125">
        <v>8</v>
      </c>
      <c r="N125">
        <v>0</v>
      </c>
      <c r="U125">
        <v>0</v>
      </c>
      <c r="W125">
        <v>0</v>
      </c>
      <c r="Y125">
        <v>8</v>
      </c>
      <c r="Z125">
        <v>11</v>
      </c>
    </row>
    <row r="126" spans="1:32" x14ac:dyDescent="0.35">
      <c r="A126" s="9">
        <v>105</v>
      </c>
      <c r="B126" s="9" t="s">
        <v>187</v>
      </c>
      <c r="C126" s="9" t="s">
        <v>188</v>
      </c>
      <c r="D126" t="s">
        <v>180</v>
      </c>
      <c r="E126">
        <v>4</v>
      </c>
      <c r="N126">
        <v>0</v>
      </c>
      <c r="U126">
        <v>0</v>
      </c>
      <c r="W126">
        <v>0</v>
      </c>
      <c r="Y126">
        <v>4</v>
      </c>
      <c r="Z126">
        <v>5</v>
      </c>
    </row>
    <row r="127" spans="1:32" x14ac:dyDescent="0.35">
      <c r="A127" s="9">
        <v>106</v>
      </c>
      <c r="B127" s="9" t="s">
        <v>187</v>
      </c>
      <c r="C127" s="9" t="s">
        <v>188</v>
      </c>
      <c r="D127" t="s">
        <v>180</v>
      </c>
      <c r="E127">
        <v>3</v>
      </c>
      <c r="N127">
        <v>0</v>
      </c>
      <c r="U127">
        <v>0</v>
      </c>
      <c r="W127">
        <v>0</v>
      </c>
      <c r="Y127">
        <v>3</v>
      </c>
      <c r="Z127">
        <v>9</v>
      </c>
    </row>
    <row r="128" spans="1:32" x14ac:dyDescent="0.35">
      <c r="A128" s="9">
        <v>107</v>
      </c>
      <c r="B128" s="9" t="s">
        <v>187</v>
      </c>
      <c r="C128" s="9" t="s">
        <v>188</v>
      </c>
      <c r="D128" t="s">
        <v>180</v>
      </c>
      <c r="E128">
        <v>3</v>
      </c>
      <c r="N128">
        <v>0</v>
      </c>
      <c r="U128">
        <v>0</v>
      </c>
      <c r="W128">
        <v>0</v>
      </c>
      <c r="Y128">
        <v>3</v>
      </c>
      <c r="Z128">
        <v>2</v>
      </c>
    </row>
    <row r="129" spans="1:26" x14ac:dyDescent="0.35">
      <c r="A129" s="9">
        <v>108</v>
      </c>
      <c r="B129" s="9" t="s">
        <v>187</v>
      </c>
      <c r="C129" s="9" t="s">
        <v>188</v>
      </c>
      <c r="D129" t="s">
        <v>180</v>
      </c>
      <c r="E129">
        <v>0</v>
      </c>
      <c r="N129">
        <v>0</v>
      </c>
      <c r="U129">
        <v>0</v>
      </c>
      <c r="W129">
        <v>0</v>
      </c>
      <c r="Y129">
        <v>0</v>
      </c>
      <c r="Z129">
        <v>5</v>
      </c>
    </row>
    <row r="130" spans="1:26" x14ac:dyDescent="0.35">
      <c r="A130" s="9">
        <v>109</v>
      </c>
      <c r="B130" s="9" t="s">
        <v>187</v>
      </c>
      <c r="C130" s="9" t="s">
        <v>188</v>
      </c>
      <c r="D130" t="s">
        <v>180</v>
      </c>
      <c r="E130">
        <v>2</v>
      </c>
      <c r="N130">
        <v>0</v>
      </c>
      <c r="U130">
        <v>0</v>
      </c>
      <c r="W130">
        <v>0</v>
      </c>
      <c r="Y130">
        <v>2</v>
      </c>
      <c r="Z130">
        <v>3</v>
      </c>
    </row>
    <row r="131" spans="1:26" x14ac:dyDescent="0.35">
      <c r="A131" s="9">
        <v>110</v>
      </c>
      <c r="B131" s="9" t="s">
        <v>187</v>
      </c>
      <c r="C131" s="9" t="s">
        <v>188</v>
      </c>
      <c r="D131" t="s">
        <v>180</v>
      </c>
      <c r="E131">
        <v>2</v>
      </c>
      <c r="N131">
        <v>0</v>
      </c>
      <c r="U131">
        <v>0</v>
      </c>
      <c r="W131">
        <v>0</v>
      </c>
      <c r="Y131">
        <v>2</v>
      </c>
      <c r="Z131">
        <v>6</v>
      </c>
    </row>
    <row r="132" spans="1:26" x14ac:dyDescent="0.35">
      <c r="A132" s="9">
        <v>111</v>
      </c>
      <c r="B132" s="9" t="s">
        <v>187</v>
      </c>
      <c r="C132" s="9" t="s">
        <v>188</v>
      </c>
      <c r="D132" t="s">
        <v>180</v>
      </c>
      <c r="E132">
        <v>7</v>
      </c>
      <c r="N132">
        <v>0</v>
      </c>
      <c r="U132">
        <v>0</v>
      </c>
      <c r="W132">
        <v>0</v>
      </c>
      <c r="Y132">
        <v>7</v>
      </c>
      <c r="Z132">
        <v>6</v>
      </c>
    </row>
    <row r="133" spans="1:26" x14ac:dyDescent="0.35">
      <c r="A133" s="9">
        <v>112</v>
      </c>
      <c r="B133" s="9" t="s">
        <v>187</v>
      </c>
      <c r="C133" s="9" t="s">
        <v>188</v>
      </c>
      <c r="D133" t="s">
        <v>180</v>
      </c>
      <c r="E133">
        <v>2</v>
      </c>
      <c r="N133">
        <v>0</v>
      </c>
      <c r="U133">
        <v>0</v>
      </c>
      <c r="W133">
        <v>0</v>
      </c>
      <c r="Y133">
        <v>2</v>
      </c>
      <c r="Z133">
        <v>2</v>
      </c>
    </row>
    <row r="134" spans="1:26" x14ac:dyDescent="0.35">
      <c r="A134" s="9">
        <v>113</v>
      </c>
      <c r="B134" s="9" t="s">
        <v>187</v>
      </c>
      <c r="C134" s="9" t="s">
        <v>188</v>
      </c>
      <c r="D134" t="s">
        <v>180</v>
      </c>
      <c r="E134">
        <v>1</v>
      </c>
      <c r="N134">
        <v>0</v>
      </c>
      <c r="U134">
        <v>0</v>
      </c>
      <c r="W134">
        <v>0</v>
      </c>
      <c r="Y134">
        <v>1</v>
      </c>
      <c r="Z134">
        <v>6</v>
      </c>
    </row>
    <row r="135" spans="1:26" x14ac:dyDescent="0.35">
      <c r="A135" s="9">
        <v>114</v>
      </c>
      <c r="B135" s="9" t="s">
        <v>187</v>
      </c>
      <c r="C135" s="9" t="s">
        <v>188</v>
      </c>
      <c r="D135" t="s">
        <v>180</v>
      </c>
      <c r="E135">
        <v>0</v>
      </c>
      <c r="N135">
        <v>0</v>
      </c>
      <c r="U135">
        <v>0</v>
      </c>
      <c r="W135">
        <v>0</v>
      </c>
      <c r="Y135">
        <v>0</v>
      </c>
      <c r="Z135">
        <v>2</v>
      </c>
    </row>
    <row r="136" spans="1:26" x14ac:dyDescent="0.35">
      <c r="A136" s="9">
        <v>115</v>
      </c>
      <c r="B136" s="9" t="s">
        <v>187</v>
      </c>
      <c r="C136" s="9" t="s">
        <v>188</v>
      </c>
      <c r="D136" t="s">
        <v>180</v>
      </c>
      <c r="E136">
        <v>4</v>
      </c>
      <c r="N136">
        <v>0</v>
      </c>
      <c r="U136">
        <v>0</v>
      </c>
      <c r="W136">
        <v>0</v>
      </c>
      <c r="Y136">
        <v>4</v>
      </c>
      <c r="Z136">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B8D5-9CA0-4FD6-AC76-F7A9742C43C9}">
  <dimension ref="A1:I150"/>
  <sheetViews>
    <sheetView workbookViewId="0">
      <selection activeCell="K152" sqref="K152"/>
    </sheetView>
  </sheetViews>
  <sheetFormatPr defaultRowHeight="14.5" x14ac:dyDescent="0.35"/>
  <cols>
    <col min="3" max="3" width="11.08984375" customWidth="1"/>
    <col min="5" max="5" width="11.81640625" customWidth="1"/>
    <col min="6" max="6" width="13.6328125" customWidth="1"/>
    <col min="7" max="7" width="10.54296875" customWidth="1"/>
    <col min="9" max="9" width="10.453125" customWidth="1"/>
  </cols>
  <sheetData>
    <row r="1" spans="1:9" ht="43.5" x14ac:dyDescent="0.35">
      <c r="A1" s="2" t="s">
        <v>92</v>
      </c>
      <c r="B1" s="2" t="s">
        <v>2</v>
      </c>
      <c r="C1" s="2" t="s">
        <v>93</v>
      </c>
      <c r="D1" s="2" t="s">
        <v>97</v>
      </c>
      <c r="E1" s="2" t="s">
        <v>118</v>
      </c>
      <c r="F1" s="2" t="s">
        <v>119</v>
      </c>
      <c r="G1" s="2" t="s">
        <v>126</v>
      </c>
      <c r="H1" s="2" t="s">
        <v>128</v>
      </c>
      <c r="I1" s="2" t="s">
        <v>130</v>
      </c>
    </row>
    <row r="2" spans="1:9" s="8" customFormat="1" x14ac:dyDescent="0.35">
      <c r="A2" s="8" t="s">
        <v>175</v>
      </c>
      <c r="B2" s="8">
        <v>53</v>
      </c>
      <c r="C2" s="8" t="s">
        <v>176</v>
      </c>
      <c r="D2" s="8">
        <v>101</v>
      </c>
      <c r="E2" s="8" t="s">
        <v>177</v>
      </c>
      <c r="F2" s="8" t="s">
        <v>178</v>
      </c>
      <c r="G2" s="8" t="s">
        <v>179</v>
      </c>
      <c r="H2" s="8" t="s">
        <v>180</v>
      </c>
    </row>
    <row r="3" spans="1:9" x14ac:dyDescent="0.35">
      <c r="A3" t="s">
        <v>175</v>
      </c>
      <c r="B3">
        <v>53</v>
      </c>
      <c r="C3" t="s">
        <v>176</v>
      </c>
      <c r="D3">
        <v>101</v>
      </c>
      <c r="E3" t="s">
        <v>178</v>
      </c>
      <c r="F3" t="s">
        <v>181</v>
      </c>
      <c r="G3" t="s">
        <v>179</v>
      </c>
      <c r="H3" t="s">
        <v>180</v>
      </c>
    </row>
    <row r="4" spans="1:9" x14ac:dyDescent="0.35">
      <c r="A4" t="s">
        <v>175</v>
      </c>
      <c r="B4">
        <v>53</v>
      </c>
      <c r="C4" t="s">
        <v>176</v>
      </c>
      <c r="D4">
        <v>101</v>
      </c>
      <c r="E4" t="s">
        <v>181</v>
      </c>
      <c r="F4" t="s">
        <v>182</v>
      </c>
      <c r="G4" t="s">
        <v>179</v>
      </c>
      <c r="H4" t="s">
        <v>180</v>
      </c>
    </row>
    <row r="5" spans="1:9" x14ac:dyDescent="0.35">
      <c r="A5" t="s">
        <v>175</v>
      </c>
      <c r="B5">
        <v>53</v>
      </c>
      <c r="C5" t="s">
        <v>176</v>
      </c>
      <c r="D5">
        <v>101</v>
      </c>
      <c r="E5" t="s">
        <v>182</v>
      </c>
      <c r="F5" t="s">
        <v>183</v>
      </c>
      <c r="G5" t="s">
        <v>179</v>
      </c>
      <c r="H5" t="s">
        <v>180</v>
      </c>
    </row>
    <row r="6" spans="1:9" x14ac:dyDescent="0.35">
      <c r="A6" t="s">
        <v>175</v>
      </c>
      <c r="B6">
        <v>53</v>
      </c>
      <c r="C6" t="s">
        <v>176</v>
      </c>
      <c r="D6">
        <v>101</v>
      </c>
      <c r="E6" t="s">
        <v>183</v>
      </c>
      <c r="F6" t="s">
        <v>184</v>
      </c>
      <c r="G6" t="s">
        <v>179</v>
      </c>
      <c r="H6" t="s">
        <v>180</v>
      </c>
    </row>
    <row r="7" spans="1:9" x14ac:dyDescent="0.35">
      <c r="A7" t="s">
        <v>175</v>
      </c>
      <c r="B7">
        <v>53</v>
      </c>
      <c r="C7" t="s">
        <v>176</v>
      </c>
      <c r="D7">
        <v>101</v>
      </c>
      <c r="E7" t="s">
        <v>184</v>
      </c>
      <c r="F7" t="s">
        <v>185</v>
      </c>
      <c r="G7" t="s">
        <v>179</v>
      </c>
      <c r="H7" t="s">
        <v>180</v>
      </c>
    </row>
    <row r="8" spans="1:9" x14ac:dyDescent="0.35">
      <c r="A8" t="s">
        <v>175</v>
      </c>
      <c r="B8">
        <v>53</v>
      </c>
      <c r="C8" t="s">
        <v>176</v>
      </c>
      <c r="D8">
        <v>101</v>
      </c>
      <c r="E8" t="s">
        <v>185</v>
      </c>
      <c r="F8" t="s">
        <v>186</v>
      </c>
      <c r="G8" t="s">
        <v>179</v>
      </c>
      <c r="H8" t="s">
        <v>180</v>
      </c>
    </row>
    <row r="9" spans="1:9" x14ac:dyDescent="0.35">
      <c r="A9" t="s">
        <v>175</v>
      </c>
      <c r="B9">
        <v>53</v>
      </c>
      <c r="C9" t="s">
        <v>176</v>
      </c>
      <c r="D9">
        <v>101</v>
      </c>
      <c r="E9" t="s">
        <v>186</v>
      </c>
      <c r="F9" t="s">
        <v>187</v>
      </c>
      <c r="G9" t="s">
        <v>179</v>
      </c>
      <c r="H9" t="s">
        <v>180</v>
      </c>
    </row>
    <row r="10" spans="1:9" x14ac:dyDescent="0.35">
      <c r="A10" t="s">
        <v>175</v>
      </c>
      <c r="B10">
        <v>53</v>
      </c>
      <c r="C10" t="s">
        <v>176</v>
      </c>
      <c r="D10">
        <v>101</v>
      </c>
      <c r="E10" t="s">
        <v>187</v>
      </c>
      <c r="F10" t="s">
        <v>188</v>
      </c>
      <c r="G10" t="s">
        <v>179</v>
      </c>
      <c r="H10" t="s">
        <v>180</v>
      </c>
      <c r="I10" t="s">
        <v>189</v>
      </c>
    </row>
    <row r="12" spans="1:9" s="8" customFormat="1" x14ac:dyDescent="0.35">
      <c r="A12" s="8" t="s">
        <v>175</v>
      </c>
      <c r="B12" s="8">
        <v>53</v>
      </c>
      <c r="C12" s="8" t="s">
        <v>176</v>
      </c>
      <c r="D12" s="8">
        <v>102</v>
      </c>
      <c r="E12" s="8" t="s">
        <v>177</v>
      </c>
      <c r="F12" s="8" t="s">
        <v>178</v>
      </c>
      <c r="G12" s="8" t="s">
        <v>179</v>
      </c>
      <c r="H12" s="8" t="s">
        <v>180</v>
      </c>
    </row>
    <row r="13" spans="1:9" x14ac:dyDescent="0.35">
      <c r="A13" t="s">
        <v>175</v>
      </c>
      <c r="B13">
        <v>53</v>
      </c>
      <c r="C13" t="s">
        <v>176</v>
      </c>
      <c r="D13">
        <v>102</v>
      </c>
      <c r="E13" t="s">
        <v>178</v>
      </c>
      <c r="F13" t="s">
        <v>181</v>
      </c>
      <c r="G13" t="s">
        <v>179</v>
      </c>
      <c r="H13" t="s">
        <v>180</v>
      </c>
    </row>
    <row r="14" spans="1:9" x14ac:dyDescent="0.35">
      <c r="A14" t="s">
        <v>175</v>
      </c>
      <c r="B14">
        <v>53</v>
      </c>
      <c r="C14" t="s">
        <v>176</v>
      </c>
      <c r="D14">
        <v>102</v>
      </c>
      <c r="E14" t="s">
        <v>181</v>
      </c>
      <c r="F14" t="s">
        <v>182</v>
      </c>
      <c r="G14" t="s">
        <v>179</v>
      </c>
      <c r="H14" t="s">
        <v>180</v>
      </c>
    </row>
    <row r="15" spans="1:9" x14ac:dyDescent="0.35">
      <c r="A15" t="s">
        <v>175</v>
      </c>
      <c r="B15">
        <v>53</v>
      </c>
      <c r="C15" t="s">
        <v>176</v>
      </c>
      <c r="D15">
        <v>102</v>
      </c>
      <c r="E15" t="s">
        <v>182</v>
      </c>
      <c r="F15" t="s">
        <v>183</v>
      </c>
      <c r="G15" t="s">
        <v>179</v>
      </c>
      <c r="H15" t="s">
        <v>180</v>
      </c>
    </row>
    <row r="16" spans="1:9" x14ac:dyDescent="0.35">
      <c r="A16" t="s">
        <v>175</v>
      </c>
      <c r="B16">
        <v>53</v>
      </c>
      <c r="C16" t="s">
        <v>176</v>
      </c>
      <c r="D16">
        <v>102</v>
      </c>
      <c r="E16" t="s">
        <v>183</v>
      </c>
      <c r="F16" t="s">
        <v>184</v>
      </c>
      <c r="G16" t="s">
        <v>179</v>
      </c>
      <c r="H16" t="s">
        <v>180</v>
      </c>
    </row>
    <row r="17" spans="1:9" x14ac:dyDescent="0.35">
      <c r="A17" t="s">
        <v>175</v>
      </c>
      <c r="B17">
        <v>53</v>
      </c>
      <c r="C17" t="s">
        <v>176</v>
      </c>
      <c r="D17">
        <v>102</v>
      </c>
      <c r="E17" t="s">
        <v>184</v>
      </c>
      <c r="F17" t="s">
        <v>185</v>
      </c>
      <c r="G17" t="s">
        <v>179</v>
      </c>
      <c r="H17" t="s">
        <v>180</v>
      </c>
    </row>
    <row r="18" spans="1:9" x14ac:dyDescent="0.35">
      <c r="A18" t="s">
        <v>175</v>
      </c>
      <c r="B18">
        <v>53</v>
      </c>
      <c r="C18" t="s">
        <v>176</v>
      </c>
      <c r="D18">
        <v>102</v>
      </c>
      <c r="E18" t="s">
        <v>185</v>
      </c>
      <c r="F18" t="s">
        <v>186</v>
      </c>
      <c r="G18" t="s">
        <v>179</v>
      </c>
      <c r="H18" t="s">
        <v>180</v>
      </c>
    </row>
    <row r="19" spans="1:9" x14ac:dyDescent="0.35">
      <c r="A19" t="s">
        <v>175</v>
      </c>
      <c r="B19">
        <v>53</v>
      </c>
      <c r="C19" t="s">
        <v>176</v>
      </c>
      <c r="D19">
        <v>102</v>
      </c>
      <c r="E19" t="s">
        <v>186</v>
      </c>
      <c r="F19" t="s">
        <v>187</v>
      </c>
      <c r="G19" t="s">
        <v>179</v>
      </c>
      <c r="H19" t="s">
        <v>180</v>
      </c>
    </row>
    <row r="20" spans="1:9" x14ac:dyDescent="0.35">
      <c r="A20" t="s">
        <v>175</v>
      </c>
      <c r="B20">
        <v>53</v>
      </c>
      <c r="C20" t="s">
        <v>176</v>
      </c>
      <c r="D20">
        <v>102</v>
      </c>
      <c r="E20" t="s">
        <v>187</v>
      </c>
      <c r="F20" t="s">
        <v>188</v>
      </c>
      <c r="G20" t="s">
        <v>179</v>
      </c>
      <c r="H20" t="s">
        <v>180</v>
      </c>
      <c r="I20" t="s">
        <v>189</v>
      </c>
    </row>
    <row r="22" spans="1:9" s="8" customFormat="1" x14ac:dyDescent="0.35">
      <c r="A22" s="8" t="s">
        <v>175</v>
      </c>
      <c r="B22" s="8">
        <v>53</v>
      </c>
      <c r="C22" s="8" t="s">
        <v>176</v>
      </c>
      <c r="D22" s="8">
        <v>103</v>
      </c>
      <c r="E22" s="8" t="s">
        <v>177</v>
      </c>
      <c r="F22" s="8" t="s">
        <v>178</v>
      </c>
      <c r="G22" s="8" t="s">
        <v>179</v>
      </c>
      <c r="H22" s="8" t="s">
        <v>180</v>
      </c>
    </row>
    <row r="23" spans="1:9" x14ac:dyDescent="0.35">
      <c r="A23" t="s">
        <v>175</v>
      </c>
      <c r="B23">
        <v>53</v>
      </c>
      <c r="C23" t="s">
        <v>176</v>
      </c>
      <c r="D23">
        <v>103</v>
      </c>
      <c r="E23" t="s">
        <v>178</v>
      </c>
      <c r="F23" t="s">
        <v>181</v>
      </c>
      <c r="G23" t="s">
        <v>179</v>
      </c>
      <c r="H23" t="s">
        <v>180</v>
      </c>
    </row>
    <row r="24" spans="1:9" x14ac:dyDescent="0.35">
      <c r="A24" t="s">
        <v>175</v>
      </c>
      <c r="B24">
        <v>53</v>
      </c>
      <c r="C24" t="s">
        <v>176</v>
      </c>
      <c r="D24">
        <v>103</v>
      </c>
      <c r="E24" t="s">
        <v>181</v>
      </c>
      <c r="F24" t="s">
        <v>182</v>
      </c>
      <c r="G24" t="s">
        <v>179</v>
      </c>
      <c r="H24" t="s">
        <v>180</v>
      </c>
    </row>
    <row r="25" spans="1:9" x14ac:dyDescent="0.35">
      <c r="A25" t="s">
        <v>175</v>
      </c>
      <c r="B25">
        <v>53</v>
      </c>
      <c r="C25" t="s">
        <v>176</v>
      </c>
      <c r="D25">
        <v>103</v>
      </c>
      <c r="E25" t="s">
        <v>182</v>
      </c>
      <c r="F25" t="s">
        <v>183</v>
      </c>
      <c r="G25" t="s">
        <v>179</v>
      </c>
      <c r="H25" t="s">
        <v>180</v>
      </c>
    </row>
    <row r="26" spans="1:9" x14ac:dyDescent="0.35">
      <c r="A26" t="s">
        <v>175</v>
      </c>
      <c r="B26">
        <v>53</v>
      </c>
      <c r="C26" t="s">
        <v>176</v>
      </c>
      <c r="D26">
        <v>103</v>
      </c>
      <c r="E26" t="s">
        <v>183</v>
      </c>
      <c r="F26" t="s">
        <v>184</v>
      </c>
      <c r="G26" t="s">
        <v>179</v>
      </c>
      <c r="H26" t="s">
        <v>180</v>
      </c>
    </row>
    <row r="27" spans="1:9" x14ac:dyDescent="0.35">
      <c r="A27" t="s">
        <v>175</v>
      </c>
      <c r="B27">
        <v>53</v>
      </c>
      <c r="C27" t="s">
        <v>176</v>
      </c>
      <c r="D27">
        <v>103</v>
      </c>
      <c r="E27" t="s">
        <v>184</v>
      </c>
      <c r="F27" t="s">
        <v>185</v>
      </c>
      <c r="G27" t="s">
        <v>179</v>
      </c>
      <c r="H27" t="s">
        <v>180</v>
      </c>
    </row>
    <row r="28" spans="1:9" x14ac:dyDescent="0.35">
      <c r="A28" t="s">
        <v>175</v>
      </c>
      <c r="B28">
        <v>53</v>
      </c>
      <c r="C28" t="s">
        <v>176</v>
      </c>
      <c r="D28">
        <v>103</v>
      </c>
      <c r="E28" t="s">
        <v>185</v>
      </c>
      <c r="F28" t="s">
        <v>186</v>
      </c>
      <c r="G28" t="s">
        <v>179</v>
      </c>
      <c r="H28" t="s">
        <v>180</v>
      </c>
    </row>
    <row r="29" spans="1:9" x14ac:dyDescent="0.35">
      <c r="A29" t="s">
        <v>175</v>
      </c>
      <c r="B29">
        <v>53</v>
      </c>
      <c r="C29" t="s">
        <v>176</v>
      </c>
      <c r="D29">
        <v>103</v>
      </c>
      <c r="E29" t="s">
        <v>186</v>
      </c>
      <c r="F29" t="s">
        <v>187</v>
      </c>
      <c r="G29" t="s">
        <v>179</v>
      </c>
      <c r="H29" t="s">
        <v>180</v>
      </c>
    </row>
    <row r="30" spans="1:9" x14ac:dyDescent="0.35">
      <c r="A30" t="s">
        <v>175</v>
      </c>
      <c r="B30">
        <v>53</v>
      </c>
      <c r="C30" t="s">
        <v>176</v>
      </c>
      <c r="D30">
        <v>103</v>
      </c>
      <c r="E30" t="s">
        <v>187</v>
      </c>
      <c r="F30" t="s">
        <v>188</v>
      </c>
      <c r="G30" t="s">
        <v>179</v>
      </c>
      <c r="H30" t="s">
        <v>180</v>
      </c>
      <c r="I30" t="s">
        <v>189</v>
      </c>
    </row>
    <row r="32" spans="1:9" s="8" customFormat="1" x14ac:dyDescent="0.35">
      <c r="A32" s="8" t="s">
        <v>175</v>
      </c>
      <c r="B32" s="8">
        <v>53</v>
      </c>
      <c r="C32" s="8" t="s">
        <v>176</v>
      </c>
      <c r="D32" s="8">
        <v>104</v>
      </c>
      <c r="E32" s="8" t="s">
        <v>177</v>
      </c>
      <c r="F32" s="8" t="s">
        <v>178</v>
      </c>
      <c r="G32" s="8" t="s">
        <v>179</v>
      </c>
      <c r="H32" s="8" t="s">
        <v>180</v>
      </c>
    </row>
    <row r="33" spans="1:9" x14ac:dyDescent="0.35">
      <c r="A33" t="s">
        <v>175</v>
      </c>
      <c r="B33">
        <v>53</v>
      </c>
      <c r="C33" t="s">
        <v>176</v>
      </c>
      <c r="D33">
        <v>104</v>
      </c>
      <c r="E33" t="s">
        <v>178</v>
      </c>
      <c r="F33" t="s">
        <v>181</v>
      </c>
      <c r="G33" t="s">
        <v>179</v>
      </c>
      <c r="H33" t="s">
        <v>180</v>
      </c>
    </row>
    <row r="34" spans="1:9" x14ac:dyDescent="0.35">
      <c r="A34" t="s">
        <v>175</v>
      </c>
      <c r="B34">
        <v>53</v>
      </c>
      <c r="C34" t="s">
        <v>176</v>
      </c>
      <c r="D34">
        <v>104</v>
      </c>
      <c r="E34" t="s">
        <v>181</v>
      </c>
      <c r="F34" t="s">
        <v>182</v>
      </c>
      <c r="G34" t="s">
        <v>179</v>
      </c>
      <c r="H34" t="s">
        <v>180</v>
      </c>
    </row>
    <row r="35" spans="1:9" x14ac:dyDescent="0.35">
      <c r="A35" t="s">
        <v>175</v>
      </c>
      <c r="B35">
        <v>53</v>
      </c>
      <c r="C35" t="s">
        <v>176</v>
      </c>
      <c r="D35">
        <v>104</v>
      </c>
      <c r="E35" t="s">
        <v>182</v>
      </c>
      <c r="F35" t="s">
        <v>183</v>
      </c>
      <c r="G35" t="s">
        <v>179</v>
      </c>
      <c r="H35" t="s">
        <v>180</v>
      </c>
    </row>
    <row r="36" spans="1:9" x14ac:dyDescent="0.35">
      <c r="A36" t="s">
        <v>175</v>
      </c>
      <c r="B36">
        <v>53</v>
      </c>
      <c r="C36" t="s">
        <v>176</v>
      </c>
      <c r="D36">
        <v>104</v>
      </c>
      <c r="E36" t="s">
        <v>183</v>
      </c>
      <c r="F36" t="s">
        <v>184</v>
      </c>
      <c r="G36" t="s">
        <v>179</v>
      </c>
      <c r="H36" t="s">
        <v>180</v>
      </c>
    </row>
    <row r="37" spans="1:9" x14ac:dyDescent="0.35">
      <c r="A37" t="s">
        <v>175</v>
      </c>
      <c r="B37">
        <v>53</v>
      </c>
      <c r="C37" t="s">
        <v>176</v>
      </c>
      <c r="D37">
        <v>104</v>
      </c>
      <c r="E37" t="s">
        <v>184</v>
      </c>
      <c r="F37" t="s">
        <v>185</v>
      </c>
      <c r="G37" t="s">
        <v>179</v>
      </c>
      <c r="H37" t="s">
        <v>180</v>
      </c>
    </row>
    <row r="38" spans="1:9" x14ac:dyDescent="0.35">
      <c r="A38" t="s">
        <v>175</v>
      </c>
      <c r="B38">
        <v>53</v>
      </c>
      <c r="C38" t="s">
        <v>176</v>
      </c>
      <c r="D38">
        <v>104</v>
      </c>
      <c r="E38" t="s">
        <v>185</v>
      </c>
      <c r="F38" t="s">
        <v>186</v>
      </c>
      <c r="G38" t="s">
        <v>179</v>
      </c>
      <c r="H38" t="s">
        <v>180</v>
      </c>
    </row>
    <row r="39" spans="1:9" x14ac:dyDescent="0.35">
      <c r="A39" t="s">
        <v>175</v>
      </c>
      <c r="B39">
        <v>53</v>
      </c>
      <c r="C39" t="s">
        <v>176</v>
      </c>
      <c r="D39">
        <v>104</v>
      </c>
      <c r="E39" t="s">
        <v>186</v>
      </c>
      <c r="F39" t="s">
        <v>187</v>
      </c>
      <c r="G39" t="s">
        <v>179</v>
      </c>
      <c r="H39" t="s">
        <v>180</v>
      </c>
    </row>
    <row r="40" spans="1:9" x14ac:dyDescent="0.35">
      <c r="A40" t="s">
        <v>175</v>
      </c>
      <c r="B40">
        <v>53</v>
      </c>
      <c r="C40" t="s">
        <v>176</v>
      </c>
      <c r="D40">
        <v>104</v>
      </c>
      <c r="E40" t="s">
        <v>187</v>
      </c>
      <c r="F40" t="s">
        <v>188</v>
      </c>
      <c r="G40" t="s">
        <v>179</v>
      </c>
      <c r="H40" t="s">
        <v>180</v>
      </c>
      <c r="I40" t="s">
        <v>189</v>
      </c>
    </row>
    <row r="42" spans="1:9" s="8" customFormat="1" x14ac:dyDescent="0.35">
      <c r="A42" s="8" t="s">
        <v>175</v>
      </c>
      <c r="B42" s="8">
        <v>53</v>
      </c>
      <c r="C42" s="8" t="s">
        <v>176</v>
      </c>
      <c r="D42" s="8">
        <v>105</v>
      </c>
      <c r="E42" s="8" t="s">
        <v>177</v>
      </c>
      <c r="F42" s="8" t="s">
        <v>178</v>
      </c>
      <c r="G42" s="8" t="s">
        <v>179</v>
      </c>
      <c r="H42" s="8" t="s">
        <v>180</v>
      </c>
    </row>
    <row r="43" spans="1:9" x14ac:dyDescent="0.35">
      <c r="A43" t="s">
        <v>175</v>
      </c>
      <c r="B43">
        <v>53</v>
      </c>
      <c r="C43" t="s">
        <v>176</v>
      </c>
      <c r="D43">
        <v>105</v>
      </c>
      <c r="E43" t="s">
        <v>178</v>
      </c>
      <c r="F43" t="s">
        <v>181</v>
      </c>
      <c r="G43" t="s">
        <v>179</v>
      </c>
      <c r="H43" t="s">
        <v>180</v>
      </c>
    </row>
    <row r="44" spans="1:9" x14ac:dyDescent="0.35">
      <c r="A44" t="s">
        <v>175</v>
      </c>
      <c r="B44">
        <v>53</v>
      </c>
      <c r="C44" t="s">
        <v>176</v>
      </c>
      <c r="D44">
        <v>105</v>
      </c>
      <c r="E44" t="s">
        <v>181</v>
      </c>
      <c r="F44" t="s">
        <v>182</v>
      </c>
      <c r="G44" t="s">
        <v>179</v>
      </c>
      <c r="H44" t="s">
        <v>180</v>
      </c>
    </row>
    <row r="45" spans="1:9" x14ac:dyDescent="0.35">
      <c r="A45" t="s">
        <v>175</v>
      </c>
      <c r="B45">
        <v>53</v>
      </c>
      <c r="C45" t="s">
        <v>176</v>
      </c>
      <c r="D45">
        <v>105</v>
      </c>
      <c r="E45" t="s">
        <v>182</v>
      </c>
      <c r="F45" t="s">
        <v>183</v>
      </c>
      <c r="G45" t="s">
        <v>179</v>
      </c>
      <c r="H45" t="s">
        <v>180</v>
      </c>
    </row>
    <row r="46" spans="1:9" x14ac:dyDescent="0.35">
      <c r="A46" t="s">
        <v>175</v>
      </c>
      <c r="B46">
        <v>53</v>
      </c>
      <c r="C46" t="s">
        <v>176</v>
      </c>
      <c r="D46">
        <v>105</v>
      </c>
      <c r="E46" t="s">
        <v>183</v>
      </c>
      <c r="F46" t="s">
        <v>184</v>
      </c>
      <c r="G46" t="s">
        <v>179</v>
      </c>
      <c r="H46" t="s">
        <v>180</v>
      </c>
    </row>
    <row r="47" spans="1:9" x14ac:dyDescent="0.35">
      <c r="A47" t="s">
        <v>175</v>
      </c>
      <c r="B47">
        <v>53</v>
      </c>
      <c r="C47" t="s">
        <v>176</v>
      </c>
      <c r="D47">
        <v>105</v>
      </c>
      <c r="E47" t="s">
        <v>184</v>
      </c>
      <c r="F47" t="s">
        <v>185</v>
      </c>
      <c r="G47" t="s">
        <v>179</v>
      </c>
      <c r="H47" t="s">
        <v>180</v>
      </c>
      <c r="I47" t="s">
        <v>190</v>
      </c>
    </row>
    <row r="48" spans="1:9" x14ac:dyDescent="0.35">
      <c r="A48" t="s">
        <v>175</v>
      </c>
      <c r="B48">
        <v>53</v>
      </c>
      <c r="C48" t="s">
        <v>176</v>
      </c>
      <c r="D48">
        <v>105</v>
      </c>
      <c r="E48" t="s">
        <v>185</v>
      </c>
      <c r="F48" t="s">
        <v>186</v>
      </c>
      <c r="G48" t="s">
        <v>179</v>
      </c>
      <c r="H48" t="s">
        <v>180</v>
      </c>
    </row>
    <row r="49" spans="1:9" x14ac:dyDescent="0.35">
      <c r="A49" t="s">
        <v>175</v>
      </c>
      <c r="B49">
        <v>53</v>
      </c>
      <c r="C49" t="s">
        <v>176</v>
      </c>
      <c r="D49">
        <v>105</v>
      </c>
      <c r="E49" t="s">
        <v>186</v>
      </c>
      <c r="F49" t="s">
        <v>187</v>
      </c>
      <c r="G49" t="s">
        <v>179</v>
      </c>
      <c r="H49" t="s">
        <v>180</v>
      </c>
    </row>
    <row r="50" spans="1:9" x14ac:dyDescent="0.35">
      <c r="A50" t="s">
        <v>175</v>
      </c>
      <c r="B50">
        <v>53</v>
      </c>
      <c r="C50" t="s">
        <v>176</v>
      </c>
      <c r="D50">
        <v>105</v>
      </c>
      <c r="E50" t="s">
        <v>187</v>
      </c>
      <c r="F50" t="s">
        <v>188</v>
      </c>
      <c r="G50" t="s">
        <v>179</v>
      </c>
      <c r="H50" t="s">
        <v>180</v>
      </c>
      <c r="I50" t="s">
        <v>189</v>
      </c>
    </row>
    <row r="52" spans="1:9" s="8" customFormat="1" x14ac:dyDescent="0.35">
      <c r="A52" s="8" t="s">
        <v>175</v>
      </c>
      <c r="B52" s="8">
        <v>53</v>
      </c>
      <c r="C52" s="8" t="s">
        <v>176</v>
      </c>
      <c r="D52" s="8">
        <v>106</v>
      </c>
      <c r="E52" s="8" t="s">
        <v>177</v>
      </c>
      <c r="F52" s="8" t="s">
        <v>178</v>
      </c>
      <c r="G52" s="8" t="s">
        <v>179</v>
      </c>
      <c r="H52" s="8" t="s">
        <v>179</v>
      </c>
    </row>
    <row r="53" spans="1:9" x14ac:dyDescent="0.35">
      <c r="A53" t="s">
        <v>175</v>
      </c>
      <c r="B53">
        <v>53</v>
      </c>
      <c r="C53" t="s">
        <v>176</v>
      </c>
      <c r="D53">
        <v>106</v>
      </c>
      <c r="E53" t="s">
        <v>178</v>
      </c>
      <c r="F53" t="s">
        <v>181</v>
      </c>
      <c r="G53" t="s">
        <v>179</v>
      </c>
      <c r="H53" t="s">
        <v>180</v>
      </c>
    </row>
    <row r="54" spans="1:9" x14ac:dyDescent="0.35">
      <c r="A54" t="s">
        <v>175</v>
      </c>
      <c r="B54">
        <v>53</v>
      </c>
      <c r="C54" t="s">
        <v>176</v>
      </c>
      <c r="D54">
        <v>106</v>
      </c>
      <c r="E54" t="s">
        <v>181</v>
      </c>
      <c r="F54" t="s">
        <v>182</v>
      </c>
      <c r="G54" t="s">
        <v>179</v>
      </c>
      <c r="H54" t="s">
        <v>180</v>
      </c>
    </row>
    <row r="55" spans="1:9" x14ac:dyDescent="0.35">
      <c r="A55" t="s">
        <v>175</v>
      </c>
      <c r="B55">
        <v>53</v>
      </c>
      <c r="C55" t="s">
        <v>176</v>
      </c>
      <c r="D55">
        <v>106</v>
      </c>
      <c r="E55" t="s">
        <v>182</v>
      </c>
      <c r="F55" t="s">
        <v>183</v>
      </c>
      <c r="G55" t="s">
        <v>179</v>
      </c>
      <c r="H55" t="s">
        <v>180</v>
      </c>
    </row>
    <row r="56" spans="1:9" x14ac:dyDescent="0.35">
      <c r="A56" t="s">
        <v>175</v>
      </c>
      <c r="B56">
        <v>53</v>
      </c>
      <c r="C56" t="s">
        <v>176</v>
      </c>
      <c r="D56">
        <v>106</v>
      </c>
      <c r="E56" t="s">
        <v>183</v>
      </c>
      <c r="F56" t="s">
        <v>184</v>
      </c>
      <c r="G56" t="s">
        <v>179</v>
      </c>
      <c r="H56" t="s">
        <v>180</v>
      </c>
    </row>
    <row r="57" spans="1:9" x14ac:dyDescent="0.35">
      <c r="A57" t="s">
        <v>175</v>
      </c>
      <c r="B57">
        <v>53</v>
      </c>
      <c r="C57" t="s">
        <v>176</v>
      </c>
      <c r="D57">
        <v>106</v>
      </c>
      <c r="E57" t="s">
        <v>184</v>
      </c>
      <c r="F57" t="s">
        <v>185</v>
      </c>
      <c r="G57" t="s">
        <v>179</v>
      </c>
      <c r="H57" t="s">
        <v>180</v>
      </c>
    </row>
    <row r="58" spans="1:9" x14ac:dyDescent="0.35">
      <c r="A58" t="s">
        <v>175</v>
      </c>
      <c r="B58">
        <v>53</v>
      </c>
      <c r="C58" t="s">
        <v>176</v>
      </c>
      <c r="D58">
        <v>106</v>
      </c>
      <c r="E58" t="s">
        <v>185</v>
      </c>
      <c r="F58" t="s">
        <v>186</v>
      </c>
      <c r="G58" t="s">
        <v>179</v>
      </c>
      <c r="H58" t="s">
        <v>180</v>
      </c>
    </row>
    <row r="59" spans="1:9" x14ac:dyDescent="0.35">
      <c r="A59" t="s">
        <v>175</v>
      </c>
      <c r="B59">
        <v>53</v>
      </c>
      <c r="C59" t="s">
        <v>176</v>
      </c>
      <c r="D59">
        <v>106</v>
      </c>
      <c r="E59" t="s">
        <v>186</v>
      </c>
      <c r="F59" t="s">
        <v>187</v>
      </c>
      <c r="G59" t="s">
        <v>179</v>
      </c>
      <c r="H59" t="s">
        <v>180</v>
      </c>
    </row>
    <row r="60" spans="1:9" x14ac:dyDescent="0.35">
      <c r="A60" t="s">
        <v>175</v>
      </c>
      <c r="B60">
        <v>53</v>
      </c>
      <c r="C60" t="s">
        <v>176</v>
      </c>
      <c r="D60">
        <v>106</v>
      </c>
      <c r="E60" t="s">
        <v>187</v>
      </c>
      <c r="F60" t="s">
        <v>188</v>
      </c>
      <c r="G60" t="s">
        <v>179</v>
      </c>
      <c r="H60" t="s">
        <v>180</v>
      </c>
      <c r="I60" t="s">
        <v>189</v>
      </c>
    </row>
    <row r="62" spans="1:9" s="8" customFormat="1" x14ac:dyDescent="0.35">
      <c r="A62" s="8" t="s">
        <v>175</v>
      </c>
      <c r="B62" s="8">
        <v>53</v>
      </c>
      <c r="C62" s="8" t="s">
        <v>176</v>
      </c>
      <c r="D62" s="8">
        <v>107</v>
      </c>
      <c r="E62" s="8" t="s">
        <v>177</v>
      </c>
      <c r="F62" s="8" t="s">
        <v>178</v>
      </c>
      <c r="G62" s="8" t="s">
        <v>179</v>
      </c>
      <c r="H62" s="8" t="s">
        <v>179</v>
      </c>
      <c r="I62" s="8" t="s">
        <v>191</v>
      </c>
    </row>
    <row r="63" spans="1:9" x14ac:dyDescent="0.35">
      <c r="A63" t="s">
        <v>175</v>
      </c>
      <c r="B63">
        <v>53</v>
      </c>
      <c r="C63" t="s">
        <v>176</v>
      </c>
      <c r="D63">
        <v>107</v>
      </c>
      <c r="E63" t="s">
        <v>178</v>
      </c>
      <c r="F63" t="s">
        <v>181</v>
      </c>
      <c r="G63" t="s">
        <v>179</v>
      </c>
      <c r="H63" t="s">
        <v>180</v>
      </c>
    </row>
    <row r="64" spans="1:9" x14ac:dyDescent="0.35">
      <c r="A64" t="s">
        <v>175</v>
      </c>
      <c r="B64">
        <v>53</v>
      </c>
      <c r="C64" t="s">
        <v>176</v>
      </c>
      <c r="D64">
        <v>107</v>
      </c>
      <c r="E64" t="s">
        <v>181</v>
      </c>
      <c r="F64" t="s">
        <v>182</v>
      </c>
      <c r="G64" t="s">
        <v>179</v>
      </c>
      <c r="H64" t="s">
        <v>180</v>
      </c>
    </row>
    <row r="65" spans="1:9" x14ac:dyDescent="0.35">
      <c r="A65" t="s">
        <v>175</v>
      </c>
      <c r="B65">
        <v>53</v>
      </c>
      <c r="C65" t="s">
        <v>176</v>
      </c>
      <c r="D65">
        <v>107</v>
      </c>
      <c r="E65" t="s">
        <v>182</v>
      </c>
      <c r="F65" t="s">
        <v>183</v>
      </c>
      <c r="G65" t="s">
        <v>179</v>
      </c>
      <c r="H65" t="s">
        <v>180</v>
      </c>
    </row>
    <row r="66" spans="1:9" x14ac:dyDescent="0.35">
      <c r="A66" t="s">
        <v>175</v>
      </c>
      <c r="B66">
        <v>53</v>
      </c>
      <c r="C66" t="s">
        <v>176</v>
      </c>
      <c r="D66">
        <v>107</v>
      </c>
      <c r="E66" t="s">
        <v>183</v>
      </c>
      <c r="F66" t="s">
        <v>184</v>
      </c>
      <c r="G66" t="s">
        <v>179</v>
      </c>
      <c r="H66" t="s">
        <v>180</v>
      </c>
    </row>
    <row r="67" spans="1:9" x14ac:dyDescent="0.35">
      <c r="A67" t="s">
        <v>175</v>
      </c>
      <c r="B67">
        <v>53</v>
      </c>
      <c r="C67" t="s">
        <v>176</v>
      </c>
      <c r="D67">
        <v>107</v>
      </c>
      <c r="E67" t="s">
        <v>184</v>
      </c>
      <c r="F67" t="s">
        <v>185</v>
      </c>
      <c r="G67" t="s">
        <v>179</v>
      </c>
      <c r="H67" t="s">
        <v>180</v>
      </c>
    </row>
    <row r="68" spans="1:9" x14ac:dyDescent="0.35">
      <c r="A68" t="s">
        <v>175</v>
      </c>
      <c r="B68">
        <v>53</v>
      </c>
      <c r="C68" t="s">
        <v>176</v>
      </c>
      <c r="D68">
        <v>107</v>
      </c>
      <c r="E68" t="s">
        <v>185</v>
      </c>
      <c r="F68" t="s">
        <v>186</v>
      </c>
      <c r="G68" t="s">
        <v>179</v>
      </c>
      <c r="H68" t="s">
        <v>180</v>
      </c>
    </row>
    <row r="69" spans="1:9" x14ac:dyDescent="0.35">
      <c r="A69" t="s">
        <v>175</v>
      </c>
      <c r="B69">
        <v>53</v>
      </c>
      <c r="C69" t="s">
        <v>176</v>
      </c>
      <c r="D69">
        <v>107</v>
      </c>
      <c r="E69" t="s">
        <v>186</v>
      </c>
      <c r="F69" t="s">
        <v>187</v>
      </c>
      <c r="G69" t="s">
        <v>179</v>
      </c>
      <c r="H69" t="s">
        <v>180</v>
      </c>
    </row>
    <row r="70" spans="1:9" x14ac:dyDescent="0.35">
      <c r="A70" t="s">
        <v>175</v>
      </c>
      <c r="B70">
        <v>53</v>
      </c>
      <c r="C70" t="s">
        <v>176</v>
      </c>
      <c r="D70">
        <v>107</v>
      </c>
      <c r="E70" t="s">
        <v>187</v>
      </c>
      <c r="F70" t="s">
        <v>188</v>
      </c>
      <c r="G70" t="s">
        <v>179</v>
      </c>
      <c r="H70" t="s">
        <v>180</v>
      </c>
      <c r="I70" t="s">
        <v>189</v>
      </c>
    </row>
    <row r="72" spans="1:9" s="8" customFormat="1" x14ac:dyDescent="0.35">
      <c r="A72" s="8" t="s">
        <v>175</v>
      </c>
      <c r="B72" s="8">
        <v>53</v>
      </c>
      <c r="C72" s="8" t="s">
        <v>176</v>
      </c>
      <c r="D72" s="8">
        <v>108</v>
      </c>
      <c r="E72" s="8" t="s">
        <v>177</v>
      </c>
      <c r="F72" s="8" t="s">
        <v>178</v>
      </c>
      <c r="G72" s="8" t="s">
        <v>179</v>
      </c>
      <c r="H72" s="8" t="s">
        <v>179</v>
      </c>
      <c r="I72" s="8" t="s">
        <v>191</v>
      </c>
    </row>
    <row r="73" spans="1:9" x14ac:dyDescent="0.35">
      <c r="A73" t="s">
        <v>175</v>
      </c>
      <c r="B73">
        <v>53</v>
      </c>
      <c r="C73" t="s">
        <v>176</v>
      </c>
      <c r="D73">
        <v>108</v>
      </c>
      <c r="E73" t="s">
        <v>178</v>
      </c>
      <c r="F73" t="s">
        <v>181</v>
      </c>
      <c r="G73" t="s">
        <v>179</v>
      </c>
      <c r="H73" t="s">
        <v>180</v>
      </c>
    </row>
    <row r="74" spans="1:9" x14ac:dyDescent="0.35">
      <c r="A74" t="s">
        <v>175</v>
      </c>
      <c r="B74">
        <v>53</v>
      </c>
      <c r="C74" t="s">
        <v>176</v>
      </c>
      <c r="D74">
        <v>108</v>
      </c>
      <c r="E74" t="s">
        <v>181</v>
      </c>
      <c r="F74" t="s">
        <v>182</v>
      </c>
      <c r="G74" t="s">
        <v>179</v>
      </c>
      <c r="H74" t="s">
        <v>180</v>
      </c>
    </row>
    <row r="75" spans="1:9" x14ac:dyDescent="0.35">
      <c r="A75" t="s">
        <v>175</v>
      </c>
      <c r="B75">
        <v>53</v>
      </c>
      <c r="C75" t="s">
        <v>176</v>
      </c>
      <c r="D75">
        <v>108</v>
      </c>
      <c r="E75" t="s">
        <v>182</v>
      </c>
      <c r="F75" t="s">
        <v>183</v>
      </c>
      <c r="G75" t="s">
        <v>179</v>
      </c>
      <c r="H75" t="s">
        <v>180</v>
      </c>
    </row>
    <row r="76" spans="1:9" x14ac:dyDescent="0.35">
      <c r="A76" t="s">
        <v>175</v>
      </c>
      <c r="B76">
        <v>53</v>
      </c>
      <c r="C76" t="s">
        <v>176</v>
      </c>
      <c r="D76">
        <v>108</v>
      </c>
      <c r="E76" t="s">
        <v>183</v>
      </c>
      <c r="F76" t="s">
        <v>184</v>
      </c>
      <c r="G76" t="s">
        <v>179</v>
      </c>
      <c r="H76" t="s">
        <v>180</v>
      </c>
    </row>
    <row r="77" spans="1:9" x14ac:dyDescent="0.35">
      <c r="A77" t="s">
        <v>175</v>
      </c>
      <c r="B77">
        <v>53</v>
      </c>
      <c r="C77" t="s">
        <v>176</v>
      </c>
      <c r="D77">
        <v>108</v>
      </c>
      <c r="E77" t="s">
        <v>184</v>
      </c>
      <c r="F77" t="s">
        <v>185</v>
      </c>
      <c r="G77" t="s">
        <v>179</v>
      </c>
      <c r="H77" t="s">
        <v>180</v>
      </c>
    </row>
    <row r="78" spans="1:9" x14ac:dyDescent="0.35">
      <c r="A78" t="s">
        <v>175</v>
      </c>
      <c r="B78">
        <v>53</v>
      </c>
      <c r="C78" t="s">
        <v>176</v>
      </c>
      <c r="D78">
        <v>108</v>
      </c>
      <c r="E78" t="s">
        <v>185</v>
      </c>
      <c r="F78" t="s">
        <v>186</v>
      </c>
      <c r="G78" t="s">
        <v>179</v>
      </c>
      <c r="H78" t="s">
        <v>180</v>
      </c>
    </row>
    <row r="79" spans="1:9" x14ac:dyDescent="0.35">
      <c r="A79" t="s">
        <v>175</v>
      </c>
      <c r="B79">
        <v>53</v>
      </c>
      <c r="C79" t="s">
        <v>176</v>
      </c>
      <c r="D79">
        <v>108</v>
      </c>
      <c r="E79" t="s">
        <v>186</v>
      </c>
      <c r="F79" t="s">
        <v>187</v>
      </c>
      <c r="G79" t="s">
        <v>179</v>
      </c>
      <c r="H79" t="s">
        <v>180</v>
      </c>
    </row>
    <row r="80" spans="1:9" x14ac:dyDescent="0.35">
      <c r="A80" t="s">
        <v>175</v>
      </c>
      <c r="B80">
        <v>53</v>
      </c>
      <c r="C80" t="s">
        <v>176</v>
      </c>
      <c r="D80">
        <v>108</v>
      </c>
      <c r="E80" t="s">
        <v>187</v>
      </c>
      <c r="F80" t="s">
        <v>188</v>
      </c>
      <c r="G80" t="s">
        <v>179</v>
      </c>
      <c r="H80" t="s">
        <v>180</v>
      </c>
      <c r="I80" t="s">
        <v>192</v>
      </c>
    </row>
    <row r="82" spans="1:9" s="8" customFormat="1" x14ac:dyDescent="0.35">
      <c r="A82" s="8" t="s">
        <v>175</v>
      </c>
      <c r="B82" s="8">
        <v>53</v>
      </c>
      <c r="C82" s="8" t="s">
        <v>176</v>
      </c>
      <c r="D82" s="8">
        <v>109</v>
      </c>
      <c r="E82" s="8" t="s">
        <v>177</v>
      </c>
      <c r="F82" s="8" t="s">
        <v>178</v>
      </c>
      <c r="G82" s="8" t="s">
        <v>180</v>
      </c>
      <c r="H82" s="8" t="s">
        <v>179</v>
      </c>
      <c r="I82" s="8" t="s">
        <v>193</v>
      </c>
    </row>
    <row r="83" spans="1:9" x14ac:dyDescent="0.35">
      <c r="A83" t="s">
        <v>175</v>
      </c>
      <c r="B83">
        <v>53</v>
      </c>
      <c r="C83" t="s">
        <v>176</v>
      </c>
      <c r="D83">
        <v>109</v>
      </c>
      <c r="E83" t="s">
        <v>178</v>
      </c>
      <c r="F83" t="s">
        <v>181</v>
      </c>
      <c r="G83" t="s">
        <v>179</v>
      </c>
      <c r="H83" t="s">
        <v>180</v>
      </c>
      <c r="I83" t="s">
        <v>194</v>
      </c>
    </row>
    <row r="84" spans="1:9" x14ac:dyDescent="0.35">
      <c r="A84" t="s">
        <v>175</v>
      </c>
      <c r="B84">
        <v>53</v>
      </c>
      <c r="C84" t="s">
        <v>176</v>
      </c>
      <c r="D84">
        <v>109</v>
      </c>
      <c r="E84" t="s">
        <v>181</v>
      </c>
      <c r="F84" t="s">
        <v>182</v>
      </c>
      <c r="G84" t="s">
        <v>179</v>
      </c>
      <c r="H84" t="s">
        <v>180</v>
      </c>
    </row>
    <row r="85" spans="1:9" x14ac:dyDescent="0.35">
      <c r="A85" t="s">
        <v>175</v>
      </c>
      <c r="B85">
        <v>53</v>
      </c>
      <c r="C85" t="s">
        <v>176</v>
      </c>
      <c r="D85">
        <v>109</v>
      </c>
      <c r="E85" t="s">
        <v>182</v>
      </c>
      <c r="F85" t="s">
        <v>183</v>
      </c>
      <c r="G85" t="s">
        <v>179</v>
      </c>
      <c r="H85" t="s">
        <v>180</v>
      </c>
    </row>
    <row r="86" spans="1:9" x14ac:dyDescent="0.35">
      <c r="A86" t="s">
        <v>175</v>
      </c>
      <c r="B86">
        <v>53</v>
      </c>
      <c r="C86" t="s">
        <v>176</v>
      </c>
      <c r="D86">
        <v>109</v>
      </c>
      <c r="E86" t="s">
        <v>183</v>
      </c>
      <c r="F86" t="s">
        <v>184</v>
      </c>
      <c r="G86" t="s">
        <v>179</v>
      </c>
      <c r="H86" t="s">
        <v>180</v>
      </c>
    </row>
    <row r="87" spans="1:9" x14ac:dyDescent="0.35">
      <c r="A87" t="s">
        <v>175</v>
      </c>
      <c r="B87">
        <v>53</v>
      </c>
      <c r="C87" t="s">
        <v>176</v>
      </c>
      <c r="D87">
        <v>109</v>
      </c>
      <c r="E87" t="s">
        <v>184</v>
      </c>
      <c r="F87" t="s">
        <v>185</v>
      </c>
      <c r="G87" t="s">
        <v>179</v>
      </c>
      <c r="H87" t="s">
        <v>180</v>
      </c>
    </row>
    <row r="88" spans="1:9" x14ac:dyDescent="0.35">
      <c r="A88" t="s">
        <v>175</v>
      </c>
      <c r="B88">
        <v>53</v>
      </c>
      <c r="C88" t="s">
        <v>176</v>
      </c>
      <c r="D88">
        <v>109</v>
      </c>
      <c r="E88" t="s">
        <v>185</v>
      </c>
      <c r="F88" t="s">
        <v>186</v>
      </c>
      <c r="G88" t="s">
        <v>179</v>
      </c>
      <c r="H88" t="s">
        <v>180</v>
      </c>
    </row>
    <row r="89" spans="1:9" x14ac:dyDescent="0.35">
      <c r="A89" t="s">
        <v>175</v>
      </c>
      <c r="B89">
        <v>53</v>
      </c>
      <c r="C89" t="s">
        <v>176</v>
      </c>
      <c r="D89">
        <v>109</v>
      </c>
      <c r="E89" t="s">
        <v>186</v>
      </c>
      <c r="F89" t="s">
        <v>187</v>
      </c>
      <c r="G89" t="s">
        <v>179</v>
      </c>
      <c r="H89" t="s">
        <v>180</v>
      </c>
    </row>
    <row r="90" spans="1:9" x14ac:dyDescent="0.35">
      <c r="A90" t="s">
        <v>175</v>
      </c>
      <c r="B90">
        <v>53</v>
      </c>
      <c r="C90" t="s">
        <v>176</v>
      </c>
      <c r="D90">
        <v>109</v>
      </c>
      <c r="E90" t="s">
        <v>187</v>
      </c>
      <c r="F90" t="s">
        <v>188</v>
      </c>
      <c r="G90" t="s">
        <v>179</v>
      </c>
      <c r="H90" t="s">
        <v>180</v>
      </c>
      <c r="I90" t="s">
        <v>189</v>
      </c>
    </row>
    <row r="92" spans="1:9" s="8" customFormat="1" x14ac:dyDescent="0.35">
      <c r="A92" s="8" t="s">
        <v>175</v>
      </c>
      <c r="B92" s="8">
        <v>53</v>
      </c>
      <c r="C92" s="8" t="s">
        <v>176</v>
      </c>
      <c r="D92" s="8">
        <v>110</v>
      </c>
      <c r="E92" s="8" t="s">
        <v>177</v>
      </c>
      <c r="F92" s="8" t="s">
        <v>178</v>
      </c>
      <c r="G92" s="8" t="s">
        <v>179</v>
      </c>
      <c r="H92" s="8" t="s">
        <v>179</v>
      </c>
      <c r="I92" s="8" t="s">
        <v>191</v>
      </c>
    </row>
    <row r="93" spans="1:9" x14ac:dyDescent="0.35">
      <c r="A93" t="s">
        <v>175</v>
      </c>
      <c r="B93">
        <v>53</v>
      </c>
      <c r="C93" t="s">
        <v>176</v>
      </c>
      <c r="D93">
        <v>110</v>
      </c>
      <c r="E93" t="s">
        <v>178</v>
      </c>
      <c r="F93" t="s">
        <v>181</v>
      </c>
      <c r="G93" t="s">
        <v>179</v>
      </c>
      <c r="H93" t="s">
        <v>180</v>
      </c>
    </row>
    <row r="94" spans="1:9" x14ac:dyDescent="0.35">
      <c r="A94" t="s">
        <v>175</v>
      </c>
      <c r="B94">
        <v>53</v>
      </c>
      <c r="C94" t="s">
        <v>176</v>
      </c>
      <c r="D94">
        <v>110</v>
      </c>
      <c r="E94" t="s">
        <v>181</v>
      </c>
      <c r="F94" t="s">
        <v>182</v>
      </c>
      <c r="G94" t="s">
        <v>179</v>
      </c>
      <c r="H94" t="s">
        <v>180</v>
      </c>
    </row>
    <row r="95" spans="1:9" x14ac:dyDescent="0.35">
      <c r="A95" t="s">
        <v>175</v>
      </c>
      <c r="B95">
        <v>53</v>
      </c>
      <c r="C95" t="s">
        <v>176</v>
      </c>
      <c r="D95">
        <v>110</v>
      </c>
      <c r="E95" t="s">
        <v>182</v>
      </c>
      <c r="F95" t="s">
        <v>183</v>
      </c>
      <c r="G95" t="s">
        <v>179</v>
      </c>
      <c r="H95" t="s">
        <v>180</v>
      </c>
    </row>
    <row r="96" spans="1:9" x14ac:dyDescent="0.35">
      <c r="A96" t="s">
        <v>175</v>
      </c>
      <c r="B96">
        <v>53</v>
      </c>
      <c r="C96" t="s">
        <v>176</v>
      </c>
      <c r="D96">
        <v>110</v>
      </c>
      <c r="E96" t="s">
        <v>183</v>
      </c>
      <c r="F96" t="s">
        <v>184</v>
      </c>
      <c r="G96" t="s">
        <v>179</v>
      </c>
      <c r="H96" t="s">
        <v>180</v>
      </c>
    </row>
    <row r="97" spans="1:9" x14ac:dyDescent="0.35">
      <c r="A97" t="s">
        <v>175</v>
      </c>
      <c r="B97">
        <v>53</v>
      </c>
      <c r="C97" t="s">
        <v>176</v>
      </c>
      <c r="D97">
        <v>110</v>
      </c>
      <c r="E97" t="s">
        <v>184</v>
      </c>
      <c r="F97" t="s">
        <v>185</v>
      </c>
      <c r="G97" t="s">
        <v>179</v>
      </c>
      <c r="H97" t="s">
        <v>180</v>
      </c>
    </row>
    <row r="98" spans="1:9" x14ac:dyDescent="0.35">
      <c r="A98" t="s">
        <v>175</v>
      </c>
      <c r="B98">
        <v>53</v>
      </c>
      <c r="C98" t="s">
        <v>176</v>
      </c>
      <c r="D98">
        <v>110</v>
      </c>
      <c r="E98" t="s">
        <v>185</v>
      </c>
      <c r="F98" t="s">
        <v>186</v>
      </c>
      <c r="G98" t="s">
        <v>179</v>
      </c>
      <c r="H98" t="s">
        <v>180</v>
      </c>
    </row>
    <row r="99" spans="1:9" x14ac:dyDescent="0.35">
      <c r="A99" t="s">
        <v>175</v>
      </c>
      <c r="B99">
        <v>53</v>
      </c>
      <c r="C99" t="s">
        <v>176</v>
      </c>
      <c r="D99">
        <v>110</v>
      </c>
      <c r="E99" t="s">
        <v>186</v>
      </c>
      <c r="F99" t="s">
        <v>187</v>
      </c>
      <c r="G99" t="s">
        <v>179</v>
      </c>
      <c r="H99" t="s">
        <v>180</v>
      </c>
    </row>
    <row r="100" spans="1:9" x14ac:dyDescent="0.35">
      <c r="A100" t="s">
        <v>175</v>
      </c>
      <c r="B100">
        <v>53</v>
      </c>
      <c r="C100" t="s">
        <v>176</v>
      </c>
      <c r="D100">
        <v>110</v>
      </c>
      <c r="E100" t="s">
        <v>187</v>
      </c>
      <c r="F100" t="s">
        <v>188</v>
      </c>
      <c r="G100" t="s">
        <v>179</v>
      </c>
      <c r="H100" t="s">
        <v>180</v>
      </c>
      <c r="I100" t="s">
        <v>189</v>
      </c>
    </row>
    <row r="102" spans="1:9" s="8" customFormat="1" x14ac:dyDescent="0.35">
      <c r="A102" s="8" t="s">
        <v>175</v>
      </c>
      <c r="B102" s="8">
        <v>53</v>
      </c>
      <c r="C102" s="8" t="s">
        <v>176</v>
      </c>
      <c r="D102" s="8">
        <v>111</v>
      </c>
      <c r="E102" s="8" t="s">
        <v>177</v>
      </c>
      <c r="F102" s="8" t="s">
        <v>178</v>
      </c>
      <c r="G102" s="8" t="s">
        <v>179</v>
      </c>
      <c r="H102" s="8" t="s">
        <v>180</v>
      </c>
    </row>
    <row r="103" spans="1:9" x14ac:dyDescent="0.35">
      <c r="A103" t="s">
        <v>175</v>
      </c>
      <c r="B103">
        <v>53</v>
      </c>
      <c r="C103" t="s">
        <v>176</v>
      </c>
      <c r="D103">
        <v>111</v>
      </c>
      <c r="E103" t="s">
        <v>178</v>
      </c>
      <c r="F103" t="s">
        <v>181</v>
      </c>
      <c r="G103" t="s">
        <v>179</v>
      </c>
      <c r="H103" t="s">
        <v>180</v>
      </c>
    </row>
    <row r="104" spans="1:9" x14ac:dyDescent="0.35">
      <c r="A104" t="s">
        <v>175</v>
      </c>
      <c r="B104">
        <v>53</v>
      </c>
      <c r="C104" t="s">
        <v>176</v>
      </c>
      <c r="D104">
        <v>111</v>
      </c>
      <c r="E104" t="s">
        <v>181</v>
      </c>
      <c r="F104" t="s">
        <v>182</v>
      </c>
      <c r="G104" t="s">
        <v>179</v>
      </c>
      <c r="H104" t="s">
        <v>180</v>
      </c>
    </row>
    <row r="105" spans="1:9" x14ac:dyDescent="0.35">
      <c r="A105" t="s">
        <v>175</v>
      </c>
      <c r="B105">
        <v>53</v>
      </c>
      <c r="C105" t="s">
        <v>176</v>
      </c>
      <c r="D105">
        <v>111</v>
      </c>
      <c r="E105" t="s">
        <v>182</v>
      </c>
      <c r="F105" t="s">
        <v>183</v>
      </c>
      <c r="G105" t="s">
        <v>179</v>
      </c>
      <c r="H105" t="s">
        <v>180</v>
      </c>
    </row>
    <row r="106" spans="1:9" x14ac:dyDescent="0.35">
      <c r="A106" t="s">
        <v>175</v>
      </c>
      <c r="B106">
        <v>53</v>
      </c>
      <c r="C106" t="s">
        <v>176</v>
      </c>
      <c r="D106">
        <v>111</v>
      </c>
      <c r="E106" t="s">
        <v>183</v>
      </c>
      <c r="F106" t="s">
        <v>184</v>
      </c>
      <c r="G106" t="s">
        <v>179</v>
      </c>
      <c r="H106" t="s">
        <v>180</v>
      </c>
    </row>
    <row r="107" spans="1:9" x14ac:dyDescent="0.35">
      <c r="A107" t="s">
        <v>175</v>
      </c>
      <c r="B107">
        <v>53</v>
      </c>
      <c r="C107" t="s">
        <v>176</v>
      </c>
      <c r="D107">
        <v>111</v>
      </c>
      <c r="E107" t="s">
        <v>184</v>
      </c>
      <c r="F107" t="s">
        <v>185</v>
      </c>
      <c r="G107" t="s">
        <v>179</v>
      </c>
      <c r="H107" t="s">
        <v>180</v>
      </c>
    </row>
    <row r="108" spans="1:9" x14ac:dyDescent="0.35">
      <c r="A108" t="s">
        <v>175</v>
      </c>
      <c r="B108">
        <v>53</v>
      </c>
      <c r="C108" t="s">
        <v>176</v>
      </c>
      <c r="D108">
        <v>111</v>
      </c>
      <c r="E108" t="s">
        <v>185</v>
      </c>
      <c r="F108" t="s">
        <v>186</v>
      </c>
      <c r="G108" t="s">
        <v>179</v>
      </c>
      <c r="H108" t="s">
        <v>180</v>
      </c>
    </row>
    <row r="109" spans="1:9" x14ac:dyDescent="0.35">
      <c r="A109" t="s">
        <v>175</v>
      </c>
      <c r="B109">
        <v>53</v>
      </c>
      <c r="C109" t="s">
        <v>176</v>
      </c>
      <c r="D109">
        <v>111</v>
      </c>
      <c r="E109" t="s">
        <v>186</v>
      </c>
      <c r="F109" t="s">
        <v>187</v>
      </c>
      <c r="G109" t="s">
        <v>179</v>
      </c>
      <c r="H109" t="s">
        <v>180</v>
      </c>
    </row>
    <row r="110" spans="1:9" x14ac:dyDescent="0.35">
      <c r="A110" t="s">
        <v>175</v>
      </c>
      <c r="B110">
        <v>53</v>
      </c>
      <c r="C110" t="s">
        <v>176</v>
      </c>
      <c r="D110">
        <v>111</v>
      </c>
      <c r="E110" t="s">
        <v>187</v>
      </c>
      <c r="F110" t="s">
        <v>188</v>
      </c>
      <c r="G110" t="s">
        <v>179</v>
      </c>
      <c r="H110" t="s">
        <v>180</v>
      </c>
      <c r="I110" t="s">
        <v>189</v>
      </c>
    </row>
    <row r="112" spans="1:9" s="8" customFormat="1" x14ac:dyDescent="0.35">
      <c r="A112" s="8" t="s">
        <v>175</v>
      </c>
      <c r="B112" s="8">
        <v>53</v>
      </c>
      <c r="C112" s="8" t="s">
        <v>176</v>
      </c>
      <c r="D112" s="8">
        <v>112</v>
      </c>
      <c r="E112" s="8" t="s">
        <v>177</v>
      </c>
      <c r="F112" s="8" t="s">
        <v>178</v>
      </c>
      <c r="G112" s="8" t="s">
        <v>180</v>
      </c>
      <c r="H112" s="8" t="s">
        <v>179</v>
      </c>
      <c r="I112" s="8" t="s">
        <v>195</v>
      </c>
    </row>
    <row r="113" spans="1:9" x14ac:dyDescent="0.35">
      <c r="A113" t="s">
        <v>175</v>
      </c>
      <c r="B113">
        <v>53</v>
      </c>
      <c r="C113" t="s">
        <v>176</v>
      </c>
      <c r="D113">
        <v>112</v>
      </c>
      <c r="E113" t="s">
        <v>178</v>
      </c>
      <c r="F113" t="s">
        <v>181</v>
      </c>
      <c r="G113" t="s">
        <v>179</v>
      </c>
      <c r="H113" t="s">
        <v>180</v>
      </c>
      <c r="I113" t="s">
        <v>194</v>
      </c>
    </row>
    <row r="114" spans="1:9" x14ac:dyDescent="0.35">
      <c r="A114" t="s">
        <v>175</v>
      </c>
      <c r="B114">
        <v>53</v>
      </c>
      <c r="C114" t="s">
        <v>176</v>
      </c>
      <c r="D114">
        <v>112</v>
      </c>
      <c r="E114" t="s">
        <v>181</v>
      </c>
      <c r="F114" t="s">
        <v>182</v>
      </c>
      <c r="G114" t="s">
        <v>179</v>
      </c>
      <c r="H114" t="s">
        <v>180</v>
      </c>
    </row>
    <row r="115" spans="1:9" x14ac:dyDescent="0.35">
      <c r="A115" t="s">
        <v>175</v>
      </c>
      <c r="B115">
        <v>53</v>
      </c>
      <c r="C115" t="s">
        <v>176</v>
      </c>
      <c r="D115">
        <v>112</v>
      </c>
      <c r="E115" t="s">
        <v>182</v>
      </c>
      <c r="F115" t="s">
        <v>183</v>
      </c>
      <c r="G115" t="s">
        <v>179</v>
      </c>
      <c r="H115" t="s">
        <v>180</v>
      </c>
      <c r="I115" t="s">
        <v>196</v>
      </c>
    </row>
    <row r="116" spans="1:9" x14ac:dyDescent="0.35">
      <c r="A116" t="s">
        <v>175</v>
      </c>
      <c r="B116">
        <v>53</v>
      </c>
      <c r="C116" t="s">
        <v>176</v>
      </c>
      <c r="D116">
        <v>112</v>
      </c>
      <c r="E116" t="s">
        <v>183</v>
      </c>
      <c r="F116" t="s">
        <v>184</v>
      </c>
      <c r="G116" t="s">
        <v>179</v>
      </c>
      <c r="H116" t="s">
        <v>180</v>
      </c>
    </row>
    <row r="117" spans="1:9" x14ac:dyDescent="0.35">
      <c r="A117" t="s">
        <v>175</v>
      </c>
      <c r="B117">
        <v>53</v>
      </c>
      <c r="C117" t="s">
        <v>176</v>
      </c>
      <c r="D117">
        <v>112</v>
      </c>
      <c r="E117" t="s">
        <v>184</v>
      </c>
      <c r="F117" t="s">
        <v>185</v>
      </c>
      <c r="G117" t="s">
        <v>179</v>
      </c>
      <c r="H117" t="s">
        <v>180</v>
      </c>
    </row>
    <row r="118" spans="1:9" x14ac:dyDescent="0.35">
      <c r="A118" t="s">
        <v>175</v>
      </c>
      <c r="B118">
        <v>53</v>
      </c>
      <c r="C118" t="s">
        <v>176</v>
      </c>
      <c r="D118">
        <v>112</v>
      </c>
      <c r="E118" t="s">
        <v>185</v>
      </c>
      <c r="F118" t="s">
        <v>186</v>
      </c>
      <c r="G118" t="s">
        <v>179</v>
      </c>
      <c r="H118" t="s">
        <v>180</v>
      </c>
    </row>
    <row r="119" spans="1:9" x14ac:dyDescent="0.35">
      <c r="A119" t="s">
        <v>175</v>
      </c>
      <c r="B119">
        <v>53</v>
      </c>
      <c r="C119" t="s">
        <v>176</v>
      </c>
      <c r="D119">
        <v>112</v>
      </c>
      <c r="E119" t="s">
        <v>186</v>
      </c>
      <c r="F119" t="s">
        <v>187</v>
      </c>
      <c r="G119" t="s">
        <v>179</v>
      </c>
      <c r="H119" t="s">
        <v>180</v>
      </c>
    </row>
    <row r="120" spans="1:9" x14ac:dyDescent="0.35">
      <c r="A120" t="s">
        <v>175</v>
      </c>
      <c r="B120">
        <v>53</v>
      </c>
      <c r="C120" t="s">
        <v>176</v>
      </c>
      <c r="D120">
        <v>112</v>
      </c>
      <c r="E120" t="s">
        <v>187</v>
      </c>
      <c r="F120" t="s">
        <v>188</v>
      </c>
      <c r="G120" t="s">
        <v>179</v>
      </c>
      <c r="H120" t="s">
        <v>180</v>
      </c>
      <c r="I120" t="s">
        <v>189</v>
      </c>
    </row>
    <row r="122" spans="1:9" s="8" customFormat="1" x14ac:dyDescent="0.35">
      <c r="A122" s="8" t="s">
        <v>175</v>
      </c>
      <c r="B122" s="8">
        <v>53</v>
      </c>
      <c r="C122" s="8" t="s">
        <v>176</v>
      </c>
      <c r="D122" s="8">
        <v>113</v>
      </c>
      <c r="E122" s="8" t="s">
        <v>177</v>
      </c>
      <c r="F122" s="8" t="s">
        <v>178</v>
      </c>
      <c r="G122" s="8" t="s">
        <v>179</v>
      </c>
      <c r="H122" s="8" t="s">
        <v>180</v>
      </c>
    </row>
    <row r="123" spans="1:9" x14ac:dyDescent="0.35">
      <c r="A123" t="s">
        <v>175</v>
      </c>
      <c r="B123">
        <v>53</v>
      </c>
      <c r="C123" t="s">
        <v>176</v>
      </c>
      <c r="D123">
        <v>113</v>
      </c>
      <c r="E123" t="s">
        <v>178</v>
      </c>
      <c r="F123" t="s">
        <v>181</v>
      </c>
      <c r="G123" t="s">
        <v>179</v>
      </c>
      <c r="H123" t="s">
        <v>180</v>
      </c>
    </row>
    <row r="124" spans="1:9" x14ac:dyDescent="0.35">
      <c r="A124" t="s">
        <v>175</v>
      </c>
      <c r="B124">
        <v>53</v>
      </c>
      <c r="C124" t="s">
        <v>176</v>
      </c>
      <c r="D124">
        <v>113</v>
      </c>
      <c r="E124" t="s">
        <v>181</v>
      </c>
      <c r="F124" t="s">
        <v>182</v>
      </c>
      <c r="G124" t="s">
        <v>179</v>
      </c>
      <c r="H124" t="s">
        <v>180</v>
      </c>
    </row>
    <row r="125" spans="1:9" x14ac:dyDescent="0.35">
      <c r="A125" t="s">
        <v>175</v>
      </c>
      <c r="B125">
        <v>53</v>
      </c>
      <c r="C125" t="s">
        <v>176</v>
      </c>
      <c r="D125">
        <v>113</v>
      </c>
      <c r="E125" t="s">
        <v>182</v>
      </c>
      <c r="F125" t="s">
        <v>183</v>
      </c>
      <c r="G125" t="s">
        <v>179</v>
      </c>
      <c r="H125" t="s">
        <v>180</v>
      </c>
    </row>
    <row r="126" spans="1:9" x14ac:dyDescent="0.35">
      <c r="A126" t="s">
        <v>175</v>
      </c>
      <c r="B126">
        <v>53</v>
      </c>
      <c r="C126" t="s">
        <v>176</v>
      </c>
      <c r="D126">
        <v>113</v>
      </c>
      <c r="E126" t="s">
        <v>183</v>
      </c>
      <c r="F126" t="s">
        <v>184</v>
      </c>
      <c r="G126" t="s">
        <v>179</v>
      </c>
      <c r="H126" t="s">
        <v>180</v>
      </c>
    </row>
    <row r="127" spans="1:9" x14ac:dyDescent="0.35">
      <c r="A127" t="s">
        <v>175</v>
      </c>
      <c r="B127">
        <v>53</v>
      </c>
      <c r="C127" t="s">
        <v>176</v>
      </c>
      <c r="D127">
        <v>113</v>
      </c>
      <c r="E127" t="s">
        <v>184</v>
      </c>
      <c r="F127" t="s">
        <v>185</v>
      </c>
      <c r="G127" t="s">
        <v>179</v>
      </c>
      <c r="H127" t="s">
        <v>180</v>
      </c>
    </row>
    <row r="128" spans="1:9" x14ac:dyDescent="0.35">
      <c r="A128" t="s">
        <v>175</v>
      </c>
      <c r="B128">
        <v>53</v>
      </c>
      <c r="C128" t="s">
        <v>176</v>
      </c>
      <c r="D128">
        <v>113</v>
      </c>
      <c r="E128" t="s">
        <v>185</v>
      </c>
      <c r="F128" t="s">
        <v>186</v>
      </c>
      <c r="G128" t="s">
        <v>179</v>
      </c>
      <c r="H128" t="s">
        <v>180</v>
      </c>
    </row>
    <row r="129" spans="1:9" x14ac:dyDescent="0.35">
      <c r="A129" t="s">
        <v>175</v>
      </c>
      <c r="B129">
        <v>53</v>
      </c>
      <c r="C129" t="s">
        <v>176</v>
      </c>
      <c r="D129">
        <v>113</v>
      </c>
      <c r="E129" t="s">
        <v>186</v>
      </c>
      <c r="F129" t="s">
        <v>187</v>
      </c>
      <c r="G129" t="s">
        <v>179</v>
      </c>
      <c r="H129" t="s">
        <v>180</v>
      </c>
    </row>
    <row r="130" spans="1:9" x14ac:dyDescent="0.35">
      <c r="A130" t="s">
        <v>175</v>
      </c>
      <c r="B130">
        <v>53</v>
      </c>
      <c r="C130" t="s">
        <v>176</v>
      </c>
      <c r="D130">
        <v>113</v>
      </c>
      <c r="E130" t="s">
        <v>187</v>
      </c>
      <c r="F130" t="s">
        <v>188</v>
      </c>
      <c r="G130" t="s">
        <v>179</v>
      </c>
      <c r="H130" t="s">
        <v>180</v>
      </c>
      <c r="I130" t="s">
        <v>189</v>
      </c>
    </row>
    <row r="132" spans="1:9" s="8" customFormat="1" x14ac:dyDescent="0.35">
      <c r="A132" s="8" t="s">
        <v>175</v>
      </c>
      <c r="B132" s="8">
        <v>53</v>
      </c>
      <c r="C132" s="8" t="s">
        <v>176</v>
      </c>
      <c r="D132" s="8">
        <v>114</v>
      </c>
      <c r="E132" s="8" t="s">
        <v>177</v>
      </c>
      <c r="F132" s="8" t="s">
        <v>178</v>
      </c>
      <c r="G132" s="8" t="s">
        <v>179</v>
      </c>
      <c r="H132" s="8" t="s">
        <v>180</v>
      </c>
    </row>
    <row r="133" spans="1:9" x14ac:dyDescent="0.35">
      <c r="A133" t="s">
        <v>175</v>
      </c>
      <c r="B133">
        <v>53</v>
      </c>
      <c r="C133" t="s">
        <v>176</v>
      </c>
      <c r="D133">
        <v>114</v>
      </c>
      <c r="E133" t="s">
        <v>178</v>
      </c>
      <c r="F133" t="s">
        <v>181</v>
      </c>
      <c r="G133" t="s">
        <v>179</v>
      </c>
      <c r="H133" t="s">
        <v>180</v>
      </c>
    </row>
    <row r="134" spans="1:9" x14ac:dyDescent="0.35">
      <c r="A134" t="s">
        <v>175</v>
      </c>
      <c r="B134">
        <v>53</v>
      </c>
      <c r="C134" t="s">
        <v>176</v>
      </c>
      <c r="D134">
        <v>114</v>
      </c>
      <c r="E134" t="s">
        <v>181</v>
      </c>
      <c r="F134" t="s">
        <v>182</v>
      </c>
      <c r="G134" t="s">
        <v>179</v>
      </c>
      <c r="H134" t="s">
        <v>180</v>
      </c>
    </row>
    <row r="135" spans="1:9" x14ac:dyDescent="0.35">
      <c r="A135" t="s">
        <v>175</v>
      </c>
      <c r="B135">
        <v>53</v>
      </c>
      <c r="C135" t="s">
        <v>176</v>
      </c>
      <c r="D135">
        <v>114</v>
      </c>
      <c r="E135" t="s">
        <v>182</v>
      </c>
      <c r="F135" t="s">
        <v>183</v>
      </c>
      <c r="G135" t="s">
        <v>179</v>
      </c>
      <c r="H135" t="s">
        <v>180</v>
      </c>
    </row>
    <row r="136" spans="1:9" x14ac:dyDescent="0.35">
      <c r="A136" t="s">
        <v>175</v>
      </c>
      <c r="B136">
        <v>53</v>
      </c>
      <c r="C136" t="s">
        <v>176</v>
      </c>
      <c r="D136">
        <v>114</v>
      </c>
      <c r="E136" t="s">
        <v>183</v>
      </c>
      <c r="F136" t="s">
        <v>184</v>
      </c>
      <c r="G136" t="s">
        <v>179</v>
      </c>
      <c r="H136" t="s">
        <v>180</v>
      </c>
    </row>
    <row r="137" spans="1:9" x14ac:dyDescent="0.35">
      <c r="A137" t="s">
        <v>175</v>
      </c>
      <c r="B137">
        <v>53</v>
      </c>
      <c r="C137" t="s">
        <v>176</v>
      </c>
      <c r="D137">
        <v>114</v>
      </c>
      <c r="E137" t="s">
        <v>184</v>
      </c>
      <c r="F137" t="s">
        <v>185</v>
      </c>
      <c r="G137" t="s">
        <v>179</v>
      </c>
      <c r="H137" t="s">
        <v>180</v>
      </c>
    </row>
    <row r="138" spans="1:9" x14ac:dyDescent="0.35">
      <c r="A138" t="s">
        <v>175</v>
      </c>
      <c r="B138">
        <v>53</v>
      </c>
      <c r="C138" t="s">
        <v>176</v>
      </c>
      <c r="D138">
        <v>114</v>
      </c>
      <c r="E138" t="s">
        <v>185</v>
      </c>
      <c r="F138" t="s">
        <v>186</v>
      </c>
      <c r="G138" t="s">
        <v>179</v>
      </c>
      <c r="H138" t="s">
        <v>180</v>
      </c>
    </row>
    <row r="139" spans="1:9" x14ac:dyDescent="0.35">
      <c r="A139" t="s">
        <v>175</v>
      </c>
      <c r="B139">
        <v>53</v>
      </c>
      <c r="C139" t="s">
        <v>176</v>
      </c>
      <c r="D139">
        <v>114</v>
      </c>
      <c r="E139" t="s">
        <v>186</v>
      </c>
      <c r="F139" t="s">
        <v>187</v>
      </c>
      <c r="G139" t="s">
        <v>179</v>
      </c>
      <c r="H139" t="s">
        <v>180</v>
      </c>
    </row>
    <row r="140" spans="1:9" x14ac:dyDescent="0.35">
      <c r="A140" t="s">
        <v>175</v>
      </c>
      <c r="B140">
        <v>53</v>
      </c>
      <c r="C140" t="s">
        <v>176</v>
      </c>
      <c r="D140">
        <v>114</v>
      </c>
      <c r="E140" t="s">
        <v>187</v>
      </c>
      <c r="F140" t="s">
        <v>188</v>
      </c>
      <c r="G140" t="s">
        <v>179</v>
      </c>
      <c r="H140" t="s">
        <v>180</v>
      </c>
      <c r="I140" t="s">
        <v>189</v>
      </c>
    </row>
    <row r="142" spans="1:9" s="8" customFormat="1" x14ac:dyDescent="0.35">
      <c r="A142" s="8" t="s">
        <v>175</v>
      </c>
      <c r="B142" s="8">
        <v>53</v>
      </c>
      <c r="C142" s="8" t="s">
        <v>176</v>
      </c>
      <c r="D142" s="8">
        <v>115</v>
      </c>
      <c r="E142" s="8" t="s">
        <v>177</v>
      </c>
      <c r="F142" s="8" t="s">
        <v>178</v>
      </c>
      <c r="G142" s="8" t="s">
        <v>179</v>
      </c>
      <c r="H142" s="8" t="s">
        <v>180</v>
      </c>
    </row>
    <row r="143" spans="1:9" x14ac:dyDescent="0.35">
      <c r="A143" t="s">
        <v>175</v>
      </c>
      <c r="B143">
        <v>53</v>
      </c>
      <c r="C143" t="s">
        <v>176</v>
      </c>
      <c r="D143">
        <v>115</v>
      </c>
      <c r="E143" t="s">
        <v>178</v>
      </c>
      <c r="F143" t="s">
        <v>181</v>
      </c>
      <c r="G143" t="s">
        <v>179</v>
      </c>
      <c r="H143" t="s">
        <v>180</v>
      </c>
    </row>
    <row r="144" spans="1:9" x14ac:dyDescent="0.35">
      <c r="A144" t="s">
        <v>175</v>
      </c>
      <c r="B144">
        <v>53</v>
      </c>
      <c r="C144" t="s">
        <v>176</v>
      </c>
      <c r="D144">
        <v>115</v>
      </c>
      <c r="E144" t="s">
        <v>181</v>
      </c>
      <c r="F144" t="s">
        <v>182</v>
      </c>
      <c r="G144" t="s">
        <v>179</v>
      </c>
      <c r="H144" t="s">
        <v>180</v>
      </c>
    </row>
    <row r="145" spans="1:9" x14ac:dyDescent="0.35">
      <c r="A145" t="s">
        <v>175</v>
      </c>
      <c r="B145">
        <v>53</v>
      </c>
      <c r="C145" t="s">
        <v>176</v>
      </c>
      <c r="D145">
        <v>115</v>
      </c>
      <c r="E145" t="s">
        <v>182</v>
      </c>
      <c r="F145" t="s">
        <v>183</v>
      </c>
      <c r="G145" t="s">
        <v>179</v>
      </c>
      <c r="H145" t="s">
        <v>180</v>
      </c>
    </row>
    <row r="146" spans="1:9" x14ac:dyDescent="0.35">
      <c r="A146" t="s">
        <v>175</v>
      </c>
      <c r="B146">
        <v>53</v>
      </c>
      <c r="C146" t="s">
        <v>176</v>
      </c>
      <c r="D146">
        <v>115</v>
      </c>
      <c r="E146" t="s">
        <v>183</v>
      </c>
      <c r="F146" t="s">
        <v>184</v>
      </c>
      <c r="G146" t="s">
        <v>179</v>
      </c>
      <c r="H146" t="s">
        <v>180</v>
      </c>
    </row>
    <row r="147" spans="1:9" x14ac:dyDescent="0.35">
      <c r="A147" t="s">
        <v>175</v>
      </c>
      <c r="B147">
        <v>53</v>
      </c>
      <c r="C147" t="s">
        <v>176</v>
      </c>
      <c r="D147">
        <v>115</v>
      </c>
      <c r="E147" t="s">
        <v>184</v>
      </c>
      <c r="F147" t="s">
        <v>185</v>
      </c>
      <c r="G147" t="s">
        <v>179</v>
      </c>
      <c r="H147" t="s">
        <v>180</v>
      </c>
    </row>
    <row r="148" spans="1:9" x14ac:dyDescent="0.35">
      <c r="A148" t="s">
        <v>175</v>
      </c>
      <c r="B148">
        <v>53</v>
      </c>
      <c r="C148" t="s">
        <v>176</v>
      </c>
      <c r="D148">
        <v>115</v>
      </c>
      <c r="E148" t="s">
        <v>185</v>
      </c>
      <c r="F148" t="s">
        <v>186</v>
      </c>
      <c r="G148" t="s">
        <v>179</v>
      </c>
      <c r="H148" t="s">
        <v>180</v>
      </c>
    </row>
    <row r="149" spans="1:9" x14ac:dyDescent="0.35">
      <c r="A149" t="s">
        <v>175</v>
      </c>
      <c r="B149">
        <v>53</v>
      </c>
      <c r="C149" t="s">
        <v>176</v>
      </c>
      <c r="D149">
        <v>115</v>
      </c>
      <c r="E149" t="s">
        <v>186</v>
      </c>
      <c r="F149" t="s">
        <v>187</v>
      </c>
      <c r="G149" t="s">
        <v>179</v>
      </c>
      <c r="H149" t="s">
        <v>180</v>
      </c>
    </row>
    <row r="150" spans="1:9" x14ac:dyDescent="0.35">
      <c r="A150" t="s">
        <v>175</v>
      </c>
      <c r="B150">
        <v>53</v>
      </c>
      <c r="C150" t="s">
        <v>176</v>
      </c>
      <c r="D150">
        <v>115</v>
      </c>
      <c r="E150" t="s">
        <v>187</v>
      </c>
      <c r="F150" t="s">
        <v>188</v>
      </c>
      <c r="G150" t="s">
        <v>179</v>
      </c>
      <c r="H150" t="s">
        <v>180</v>
      </c>
      <c r="I150"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ash_plot_centers</vt:lpstr>
      <vt:lpstr>ash_seedlings_2024_2025</vt:lpstr>
      <vt:lpstr>ash_saplings_2024_2025</vt:lpstr>
      <vt:lpstr>ash_trees_2024_2025</vt:lpstr>
      <vt:lpstr>trap_locations_2024</vt:lpstr>
      <vt:lpstr>EAB_trap_collection_2024</vt:lpstr>
      <vt:lpstr>yellow_pan_trap_counts_2024</vt:lpstr>
      <vt:lpstr>yellow_pan_trap_collection_2024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Tayal</dc:creator>
  <cp:lastModifiedBy>Aaron Tayal</cp:lastModifiedBy>
  <dcterms:created xsi:type="dcterms:W3CDTF">2025-06-30T20:26:36Z</dcterms:created>
  <dcterms:modified xsi:type="dcterms:W3CDTF">2025-07-10T17:31:09Z</dcterms:modified>
</cp:coreProperties>
</file>