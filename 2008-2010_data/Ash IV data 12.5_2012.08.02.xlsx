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f02f1096a9313f/Documents/Entomology MS/Thesis research/EAB_Michigan_2024_2025_github_folder/2008-2010_data/"/>
    </mc:Choice>
  </mc:AlternateContent>
  <xr:revisionPtr revIDLastSave="0" documentId="11_94A54807CA67E7CFBDD4828945EB6CBF39BB4FC7" xr6:coauthVersionLast="47" xr6:coauthVersionMax="47" xr10:uidLastSave="{00000000-0000-0000-0000-000000000000}"/>
  <bookViews>
    <workbookView xWindow="-110" yWindow="-110" windowWidth="19420" windowHeight="10420" firstSheet="1" activeTab="2" xr2:uid="{00000000-000D-0000-FFFF-FFFF00000000}"/>
  </bookViews>
  <sheets>
    <sheet name="2008-10-# Trees-12.5up Rfreq" sheetId="1" r:id="rId1"/>
    <sheet name="2008-10-# Trees-12.5up Rdens" sheetId="3" r:id="rId2"/>
    <sheet name="2008-10-BasalArea-12.5up Rdom" sheetId="2" r:id="rId3"/>
    <sheet name="Ash IV - 12.5up" sheetId="4" r:id="rId4"/>
    <sheet name="Rdens, Rdom data for SAS" sheetId="5" r:id="rId5"/>
    <sheet name="IV data for S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3" i="4" l="1"/>
  <c r="BT3" i="4"/>
  <c r="BU3" i="4"/>
  <c r="BV3" i="4"/>
  <c r="BW3" i="4"/>
  <c r="BX3" i="4"/>
  <c r="BY3" i="4"/>
  <c r="BZ3" i="4"/>
  <c r="CA3" i="4"/>
  <c r="CB3" i="4"/>
  <c r="CC3" i="4"/>
  <c r="CD3" i="4"/>
  <c r="CE3" i="4"/>
  <c r="CF3" i="4"/>
  <c r="CG3" i="4"/>
  <c r="CH3" i="4"/>
  <c r="CI3" i="4"/>
  <c r="CJ3" i="4"/>
  <c r="CK3" i="4"/>
  <c r="BS6" i="4"/>
  <c r="BT6" i="4"/>
  <c r="BU6" i="4"/>
  <c r="BV6" i="4"/>
  <c r="BW6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BS51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BS54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BS57" i="4"/>
  <c r="BT57" i="4"/>
  <c r="BU57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BS60" i="4"/>
  <c r="BT60" i="4"/>
  <c r="BU60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BS63" i="4"/>
  <c r="BT63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BS66" i="4"/>
  <c r="BT66" i="4"/>
  <c r="BU66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BS69" i="4"/>
  <c r="BT69" i="4"/>
  <c r="BU69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BS75" i="4"/>
  <c r="BT75" i="4"/>
  <c r="BU75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BS78" i="4"/>
  <c r="BT78" i="4"/>
  <c r="BU78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BS81" i="4"/>
  <c r="BT81" i="4"/>
  <c r="BU81" i="4"/>
  <c r="BV81" i="4"/>
  <c r="BW81" i="4"/>
  <c r="BX81" i="4"/>
  <c r="BY81" i="4"/>
  <c r="BZ81" i="4"/>
  <c r="CA81" i="4"/>
  <c r="CB81" i="4"/>
  <c r="CC81" i="4"/>
  <c r="CD81" i="4"/>
  <c r="CE81" i="4"/>
  <c r="CF81" i="4"/>
  <c r="CG81" i="4"/>
  <c r="CH81" i="4"/>
  <c r="CI81" i="4"/>
  <c r="CJ81" i="4"/>
  <c r="CK81" i="4"/>
  <c r="BS84" i="4"/>
  <c r="BT84" i="4"/>
  <c r="BU84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BS87" i="4"/>
  <c r="BT87" i="4"/>
  <c r="BU87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BS90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BS93" i="4"/>
  <c r="BT93" i="4"/>
  <c r="BU93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BS96" i="4"/>
  <c r="BT96" i="4"/>
  <c r="BU96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BS99" i="4"/>
  <c r="BT99" i="4"/>
  <c r="BU99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BS102" i="4"/>
  <c r="BT102" i="4"/>
  <c r="BU102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BS105" i="4"/>
  <c r="BT105" i="4"/>
  <c r="BU105" i="4"/>
  <c r="BV105" i="4"/>
  <c r="BW105" i="4"/>
  <c r="BX105" i="4"/>
  <c r="BY105" i="4"/>
  <c r="BZ105" i="4"/>
  <c r="CA105" i="4"/>
  <c r="CB105" i="4"/>
  <c r="CC105" i="4"/>
  <c r="CD105" i="4"/>
  <c r="CE105" i="4"/>
  <c r="CF105" i="4"/>
  <c r="CG105" i="4"/>
  <c r="CH105" i="4"/>
  <c r="CI105" i="4"/>
  <c r="CJ105" i="4"/>
  <c r="CK105" i="4"/>
  <c r="BS108" i="4"/>
  <c r="BT108" i="4"/>
  <c r="BU108" i="4"/>
  <c r="BV108" i="4"/>
  <c r="BW108" i="4"/>
  <c r="BX108" i="4"/>
  <c r="BY108" i="4"/>
  <c r="BZ108" i="4"/>
  <c r="CA108" i="4"/>
  <c r="CB108" i="4"/>
  <c r="CC108" i="4"/>
  <c r="CD108" i="4"/>
  <c r="CE108" i="4"/>
  <c r="CF108" i="4"/>
  <c r="CG108" i="4"/>
  <c r="CH108" i="4"/>
  <c r="CI108" i="4"/>
  <c r="CJ108" i="4"/>
  <c r="CK108" i="4"/>
  <c r="BS111" i="4"/>
  <c r="BT111" i="4"/>
  <c r="BU111" i="4"/>
  <c r="BV111" i="4"/>
  <c r="BW111" i="4"/>
  <c r="BX111" i="4"/>
  <c r="BY111" i="4"/>
  <c r="BZ111" i="4"/>
  <c r="CA111" i="4"/>
  <c r="CB111" i="4"/>
  <c r="CC111" i="4"/>
  <c r="CD111" i="4"/>
  <c r="CE111" i="4"/>
  <c r="CF111" i="4"/>
  <c r="CG111" i="4"/>
  <c r="CH111" i="4"/>
  <c r="CI111" i="4"/>
  <c r="CJ111" i="4"/>
  <c r="CK111" i="4"/>
  <c r="BS114" i="4"/>
  <c r="BT114" i="4"/>
  <c r="BU114" i="4"/>
  <c r="BV114" i="4"/>
  <c r="BW114" i="4"/>
  <c r="BX114" i="4"/>
  <c r="BY114" i="4"/>
  <c r="BZ114" i="4"/>
  <c r="CA114" i="4"/>
  <c r="CB114" i="4"/>
  <c r="CC114" i="4"/>
  <c r="CD114" i="4"/>
  <c r="CE114" i="4"/>
  <c r="CF114" i="4"/>
  <c r="CG114" i="4"/>
  <c r="CH114" i="4"/>
  <c r="CI114" i="4"/>
  <c r="CJ114" i="4"/>
  <c r="CK114" i="4"/>
  <c r="BS117" i="4"/>
  <c r="BT117" i="4"/>
  <c r="BU117" i="4"/>
  <c r="BV117" i="4"/>
  <c r="BW117" i="4"/>
  <c r="BX117" i="4"/>
  <c r="BY117" i="4"/>
  <c r="BZ117" i="4"/>
  <c r="CA117" i="4"/>
  <c r="CB117" i="4"/>
  <c r="CC117" i="4"/>
  <c r="CD117" i="4"/>
  <c r="CE117" i="4"/>
  <c r="CF117" i="4"/>
  <c r="CG117" i="4"/>
  <c r="CH117" i="4"/>
  <c r="CI117" i="4"/>
  <c r="CJ117" i="4"/>
  <c r="CK117" i="4"/>
  <c r="BS120" i="4"/>
  <c r="BT120" i="4"/>
  <c r="BU120" i="4"/>
  <c r="BV120" i="4"/>
  <c r="BW120" i="4"/>
  <c r="BX120" i="4"/>
  <c r="BY120" i="4"/>
  <c r="BZ120" i="4"/>
  <c r="CA120" i="4"/>
  <c r="CB120" i="4"/>
  <c r="CC120" i="4"/>
  <c r="CD120" i="4"/>
  <c r="CE120" i="4"/>
  <c r="CF120" i="4"/>
  <c r="CG120" i="4"/>
  <c r="CH120" i="4"/>
  <c r="CI120" i="4"/>
  <c r="CJ120" i="4"/>
  <c r="CK120" i="4"/>
  <c r="BS123" i="4"/>
  <c r="BT123" i="4"/>
  <c r="BU123" i="4"/>
  <c r="BV123" i="4"/>
  <c r="BW123" i="4"/>
  <c r="BX123" i="4"/>
  <c r="BY123" i="4"/>
  <c r="BZ123" i="4"/>
  <c r="CA123" i="4"/>
  <c r="CB123" i="4"/>
  <c r="CC123" i="4"/>
  <c r="CD123" i="4"/>
  <c r="CE123" i="4"/>
  <c r="CF123" i="4"/>
  <c r="CG123" i="4"/>
  <c r="CH123" i="4"/>
  <c r="CI123" i="4"/>
  <c r="CJ123" i="4"/>
  <c r="CK123" i="4"/>
  <c r="BS126" i="4"/>
  <c r="BT126" i="4"/>
  <c r="BU126" i="4"/>
  <c r="BV126" i="4"/>
  <c r="BW126" i="4"/>
  <c r="BX126" i="4"/>
  <c r="BY126" i="4"/>
  <c r="BZ126" i="4"/>
  <c r="CA126" i="4"/>
  <c r="CB126" i="4"/>
  <c r="CC126" i="4"/>
  <c r="CD126" i="4"/>
  <c r="CE126" i="4"/>
  <c r="CF126" i="4"/>
  <c r="CG126" i="4"/>
  <c r="CH126" i="4"/>
  <c r="CI126" i="4"/>
  <c r="CJ126" i="4"/>
  <c r="CK126" i="4"/>
  <c r="BS129" i="4"/>
  <c r="BT129" i="4"/>
  <c r="BU129" i="4"/>
  <c r="BV129" i="4"/>
  <c r="BW129" i="4"/>
  <c r="BX129" i="4"/>
  <c r="BY129" i="4"/>
  <c r="BZ129" i="4"/>
  <c r="CA129" i="4"/>
  <c r="CB129" i="4"/>
  <c r="CC129" i="4"/>
  <c r="CD129" i="4"/>
  <c r="CE129" i="4"/>
  <c r="CF129" i="4"/>
  <c r="CG129" i="4"/>
  <c r="CH129" i="4"/>
  <c r="CI129" i="4"/>
  <c r="CJ129" i="4"/>
  <c r="CK129" i="4"/>
  <c r="BR129" i="4"/>
  <c r="BR126" i="4"/>
  <c r="BR123" i="4"/>
  <c r="CL123" i="4" s="1"/>
  <c r="BR120" i="4"/>
  <c r="BR117" i="4"/>
  <c r="BR114" i="4"/>
  <c r="BR111" i="4"/>
  <c r="CL111" i="4" s="1"/>
  <c r="BR108" i="4"/>
  <c r="BR105" i="4"/>
  <c r="BR102" i="4"/>
  <c r="BR99" i="4"/>
  <c r="CL99" i="4" s="1"/>
  <c r="BR96" i="4"/>
  <c r="BR93" i="4"/>
  <c r="BR90" i="4"/>
  <c r="BR87" i="4"/>
  <c r="CL87" i="4" s="1"/>
  <c r="BR84" i="4"/>
  <c r="BR81" i="4"/>
  <c r="BR78" i="4"/>
  <c r="BR75" i="4"/>
  <c r="CL75" i="4" s="1"/>
  <c r="BR72" i="4"/>
  <c r="BR69" i="4"/>
  <c r="BR66" i="4"/>
  <c r="BR63" i="4"/>
  <c r="CL63" i="4" s="1"/>
  <c r="BR60" i="4"/>
  <c r="BR57" i="4"/>
  <c r="BR54" i="4"/>
  <c r="BR51" i="4"/>
  <c r="CL51" i="4" s="1"/>
  <c r="BR48" i="4"/>
  <c r="BR45" i="4"/>
  <c r="BR42" i="4"/>
  <c r="BR39" i="4"/>
  <c r="CL39" i="4" s="1"/>
  <c r="BR36" i="4"/>
  <c r="BR33" i="4"/>
  <c r="BR30" i="4"/>
  <c r="BR27" i="4"/>
  <c r="CL27" i="4" s="1"/>
  <c r="BR24" i="4"/>
  <c r="BR21" i="4"/>
  <c r="BR18" i="4"/>
  <c r="BR15" i="4"/>
  <c r="CL15" i="4" s="1"/>
  <c r="BR12" i="4"/>
  <c r="BR9" i="4"/>
  <c r="CL9" i="4" s="1"/>
  <c r="BR6" i="4"/>
  <c r="CL6" i="4" s="1"/>
  <c r="BR3" i="4"/>
  <c r="CL3" i="4" s="1"/>
  <c r="AB12" i="3"/>
  <c r="AB24" i="3"/>
  <c r="AB36" i="3"/>
  <c r="AB64" i="3"/>
  <c r="AB76" i="3"/>
  <c r="Z4" i="3"/>
  <c r="AB4" i="3" s="1"/>
  <c r="Z5" i="3"/>
  <c r="AQ5" i="3" s="1"/>
  <c r="Z6" i="3"/>
  <c r="AI6" i="3" s="1"/>
  <c r="Z7" i="3"/>
  <c r="Z8" i="3"/>
  <c r="AD8" i="3" s="1"/>
  <c r="Z9" i="3"/>
  <c r="Z10" i="3"/>
  <c r="AC10" i="3" s="1"/>
  <c r="Z11" i="3"/>
  <c r="Z12" i="3"/>
  <c r="AK12" i="3" s="1"/>
  <c r="Z13" i="3"/>
  <c r="Z14" i="3"/>
  <c r="AU14" i="3" s="1"/>
  <c r="Z15" i="3"/>
  <c r="AB15" i="3" s="1"/>
  <c r="Z16" i="3"/>
  <c r="AK16" i="3" s="1"/>
  <c r="Z17" i="3"/>
  <c r="Z18" i="3"/>
  <c r="AM18" i="3" s="1"/>
  <c r="Z19" i="3"/>
  <c r="Z20" i="3"/>
  <c r="AB20" i="3" s="1"/>
  <c r="Z21" i="3"/>
  <c r="Z22" i="3"/>
  <c r="AF22" i="3" s="1"/>
  <c r="Z23" i="3"/>
  <c r="AC23" i="3" s="1"/>
  <c r="Z24" i="3"/>
  <c r="AL24" i="3" s="1"/>
  <c r="Z25" i="3"/>
  <c r="Z26" i="3"/>
  <c r="Z27" i="3"/>
  <c r="AB27" i="3" s="1"/>
  <c r="Z28" i="3"/>
  <c r="AB28" i="3" s="1"/>
  <c r="Z29" i="3"/>
  <c r="Z30" i="3"/>
  <c r="Z31" i="3"/>
  <c r="Z32" i="3"/>
  <c r="AH32" i="3" s="1"/>
  <c r="Z33" i="3"/>
  <c r="Z34" i="3"/>
  <c r="Z35" i="3"/>
  <c r="Z36" i="3"/>
  <c r="AQ36" i="3" s="1"/>
  <c r="Z37" i="3"/>
  <c r="Z38" i="3"/>
  <c r="AK38" i="3" s="1"/>
  <c r="Z39" i="3"/>
  <c r="AB39" i="3" s="1"/>
  <c r="Z40" i="3"/>
  <c r="AD40" i="3" s="1"/>
  <c r="Z41" i="3"/>
  <c r="Z42" i="3"/>
  <c r="AQ42" i="3" s="1"/>
  <c r="Z43" i="3"/>
  <c r="Z44" i="3"/>
  <c r="AN44" i="3" s="1"/>
  <c r="Z45" i="3"/>
  <c r="Z46" i="3"/>
  <c r="AL46" i="3" s="1"/>
  <c r="Z47" i="3"/>
  <c r="Z48" i="3"/>
  <c r="AR48" i="3" s="1"/>
  <c r="Z49" i="3"/>
  <c r="Z50" i="3"/>
  <c r="AQ50" i="3" s="1"/>
  <c r="Z51" i="3"/>
  <c r="AK51" i="3" s="1"/>
  <c r="Z52" i="3"/>
  <c r="AT52" i="3" s="1"/>
  <c r="Z53" i="3"/>
  <c r="Z54" i="3"/>
  <c r="AF54" i="3" s="1"/>
  <c r="Z55" i="3"/>
  <c r="AJ55" i="3" s="1"/>
  <c r="Z56" i="3"/>
  <c r="AC56" i="3" s="1"/>
  <c r="Z57" i="3"/>
  <c r="Z58" i="3"/>
  <c r="AJ58" i="3" s="1"/>
  <c r="Z59" i="3"/>
  <c r="Z60" i="3"/>
  <c r="AB60" i="3" s="1"/>
  <c r="Z61" i="3"/>
  <c r="Z62" i="3"/>
  <c r="AI62" i="3" s="1"/>
  <c r="Z63" i="3"/>
  <c r="AM63" i="3" s="1"/>
  <c r="Z64" i="3"/>
  <c r="AQ64" i="3" s="1"/>
  <c r="Z65" i="3"/>
  <c r="Z66" i="3"/>
  <c r="AD66" i="3" s="1"/>
  <c r="Z67" i="3"/>
  <c r="AC67" i="3" s="1"/>
  <c r="Z68" i="3"/>
  <c r="AK68" i="3" s="1"/>
  <c r="Z69" i="3"/>
  <c r="Z70" i="3"/>
  <c r="AQ70" i="3" s="1"/>
  <c r="Z71" i="3"/>
  <c r="AQ71" i="3" s="1"/>
  <c r="Z72" i="3"/>
  <c r="AJ72" i="3" s="1"/>
  <c r="Z73" i="3"/>
  <c r="Z74" i="3"/>
  <c r="AN74" i="3" s="1"/>
  <c r="Z75" i="3"/>
  <c r="AF75" i="3" s="1"/>
  <c r="Z76" i="3"/>
  <c r="AS76" i="3" s="1"/>
  <c r="Z77" i="3"/>
  <c r="Z78" i="3"/>
  <c r="AP78" i="3" s="1"/>
  <c r="Z79" i="3"/>
  <c r="AR79" i="3" s="1"/>
  <c r="Z80" i="3"/>
  <c r="AO80" i="3" s="1"/>
  <c r="Z81" i="3"/>
  <c r="Z82" i="3"/>
  <c r="AP82" i="3" s="1"/>
  <c r="Z83" i="3"/>
  <c r="AS83" i="3" s="1"/>
  <c r="Z84" i="3"/>
  <c r="AN84" i="3" s="1"/>
  <c r="Z85" i="3"/>
  <c r="Z86" i="3"/>
  <c r="AH86" i="3" s="1"/>
  <c r="Z87" i="3"/>
  <c r="AU87" i="3" s="1"/>
  <c r="Z88" i="3"/>
  <c r="AR88" i="3" s="1"/>
  <c r="Z89" i="3"/>
  <c r="AK89" i="3" s="1"/>
  <c r="Z90" i="3"/>
  <c r="AE90" i="3" s="1"/>
  <c r="Z91" i="3"/>
  <c r="AJ91" i="3" s="1"/>
  <c r="Z92" i="3"/>
  <c r="AC92" i="3" s="1"/>
  <c r="Z93" i="3"/>
  <c r="Z94" i="3"/>
  <c r="AR94" i="3" s="1"/>
  <c r="Z95" i="3"/>
  <c r="AO95" i="3" s="1"/>
  <c r="Z96" i="3"/>
  <c r="AC96" i="3" s="1"/>
  <c r="Z97" i="3"/>
  <c r="AL97" i="3" s="1"/>
  <c r="Z98" i="3"/>
  <c r="AQ98" i="3" s="1"/>
  <c r="Z99" i="3"/>
  <c r="AC99" i="3" s="1"/>
  <c r="Z100" i="3"/>
  <c r="Z101" i="3"/>
  <c r="Z102" i="3"/>
  <c r="AJ102" i="3" s="1"/>
  <c r="Z103" i="3"/>
  <c r="AE103" i="3" s="1"/>
  <c r="Z104" i="3"/>
  <c r="Z105" i="3"/>
  <c r="AD105" i="3" s="1"/>
  <c r="Z106" i="3"/>
  <c r="AH106" i="3" s="1"/>
  <c r="Z107" i="3"/>
  <c r="AM107" i="3" s="1"/>
  <c r="Z108" i="3"/>
  <c r="Z109" i="3"/>
  <c r="Z110" i="3"/>
  <c r="AN110" i="3" s="1"/>
  <c r="Z111" i="3"/>
  <c r="AK111" i="3" s="1"/>
  <c r="Z112" i="3"/>
  <c r="Z113" i="3"/>
  <c r="Z114" i="3"/>
  <c r="AL114" i="3" s="1"/>
  <c r="Z115" i="3"/>
  <c r="AB115" i="3" s="1"/>
  <c r="Z116" i="3"/>
  <c r="Z117" i="3"/>
  <c r="Z118" i="3"/>
  <c r="AE118" i="3" s="1"/>
  <c r="Z119" i="3"/>
  <c r="AE119" i="3" s="1"/>
  <c r="Z120" i="3"/>
  <c r="Z121" i="3"/>
  <c r="AE121" i="3" s="1"/>
  <c r="Z122" i="3"/>
  <c r="AM122" i="3" s="1"/>
  <c r="Z123" i="3"/>
  <c r="AE123" i="3" s="1"/>
  <c r="Z124" i="3"/>
  <c r="Z125" i="3"/>
  <c r="Z126" i="3"/>
  <c r="AM126" i="3" s="1"/>
  <c r="Z127" i="3"/>
  <c r="AM127" i="3" s="1"/>
  <c r="Z128" i="3"/>
  <c r="Z129" i="3"/>
  <c r="AM129" i="3" s="1"/>
  <c r="Z130" i="3"/>
  <c r="AL130" i="3" s="1"/>
  <c r="Z131" i="3"/>
  <c r="AE131" i="3" s="1"/>
  <c r="Z3" i="3"/>
  <c r="AB3" i="3" s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A129" i="1"/>
  <c r="AA126" i="1"/>
  <c r="AA123" i="1"/>
  <c r="AA120" i="1"/>
  <c r="AA117" i="1"/>
  <c r="AA114" i="1"/>
  <c r="AA111" i="1"/>
  <c r="AA108" i="1"/>
  <c r="AA105" i="1"/>
  <c r="AA102" i="1"/>
  <c r="AA99" i="1"/>
  <c r="AA96" i="1"/>
  <c r="AA93" i="1"/>
  <c r="AA90" i="1"/>
  <c r="AA87" i="1"/>
  <c r="AA84" i="1"/>
  <c r="AA81" i="1"/>
  <c r="AA78" i="1"/>
  <c r="AA75" i="1"/>
  <c r="AA72" i="1"/>
  <c r="AA69" i="1"/>
  <c r="AA66" i="1"/>
  <c r="AA63" i="1"/>
  <c r="AA60" i="1"/>
  <c r="AA57" i="1"/>
  <c r="AA54" i="1"/>
  <c r="AA51" i="1"/>
  <c r="AA48" i="1"/>
  <c r="AA45" i="1"/>
  <c r="AA42" i="1"/>
  <c r="AA39" i="1"/>
  <c r="AA36" i="1"/>
  <c r="AA33" i="1"/>
  <c r="AA30" i="1"/>
  <c r="AA27" i="1"/>
  <c r="AA24" i="1"/>
  <c r="AA21" i="1"/>
  <c r="AA18" i="1"/>
  <c r="AA15" i="1"/>
  <c r="AA12" i="1"/>
  <c r="AA9" i="1"/>
  <c r="AA6" i="1"/>
  <c r="AA3" i="1"/>
  <c r="AL101" i="3" l="1"/>
  <c r="AD101" i="3"/>
  <c r="AM101" i="3"/>
  <c r="AB101" i="3"/>
  <c r="AE101" i="3"/>
  <c r="AP101" i="3"/>
  <c r="AK101" i="3"/>
  <c r="AS101" i="3"/>
  <c r="AG69" i="3"/>
  <c r="AS69" i="3"/>
  <c r="AK69" i="3"/>
  <c r="BF69" i="3" s="1"/>
  <c r="AT69" i="3"/>
  <c r="BO69" i="3" s="1"/>
  <c r="AB69" i="3"/>
  <c r="AD69" i="3"/>
  <c r="AL69" i="3"/>
  <c r="AE69" i="3"/>
  <c r="AP69" i="3"/>
  <c r="AI61" i="3"/>
  <c r="AS61" i="3"/>
  <c r="AJ61" i="3"/>
  <c r="AB61" i="3"/>
  <c r="AL61" i="3"/>
  <c r="AR61" i="3"/>
  <c r="AM57" i="3"/>
  <c r="AK57" i="3"/>
  <c r="AL57" i="3"/>
  <c r="AP57" i="3"/>
  <c r="AE57" i="3"/>
  <c r="AS49" i="3"/>
  <c r="AT49" i="3"/>
  <c r="AL45" i="3"/>
  <c r="BG45" i="3" s="1"/>
  <c r="AD45" i="3"/>
  <c r="AY45" i="3" s="1"/>
  <c r="AB45" i="3"/>
  <c r="AQ41" i="3"/>
  <c r="AG41" i="3"/>
  <c r="AI41" i="3"/>
  <c r="AP41" i="3"/>
  <c r="AU37" i="3"/>
  <c r="AB37" i="3"/>
  <c r="AW36" i="3" s="1"/>
  <c r="AP37" i="3"/>
  <c r="AR37" i="3"/>
  <c r="AP33" i="3"/>
  <c r="AH33" i="3"/>
  <c r="AU33" i="3"/>
  <c r="BP33" i="3" s="1"/>
  <c r="AE33" i="3"/>
  <c r="AT29" i="3"/>
  <c r="AU29" i="3"/>
  <c r="AB29" i="3"/>
  <c r="AH25" i="3"/>
  <c r="AD25" i="3"/>
  <c r="AN25" i="3"/>
  <c r="AL21" i="3"/>
  <c r="AT21" i="3"/>
  <c r="AB21" i="3"/>
  <c r="AB13" i="3"/>
  <c r="AJ13" i="3"/>
  <c r="AE125" i="3"/>
  <c r="AH125" i="3"/>
  <c r="AO125" i="3"/>
  <c r="AT125" i="3"/>
  <c r="AC125" i="3"/>
  <c r="AI125" i="3"/>
  <c r="AP125" i="3"/>
  <c r="AD125" i="3"/>
  <c r="AK125" i="3"/>
  <c r="AQ125" i="3"/>
  <c r="AG125" i="3"/>
  <c r="AL125" i="3"/>
  <c r="AS125" i="3"/>
  <c r="AB125" i="3"/>
  <c r="AE117" i="3"/>
  <c r="AZ117" i="3" s="1"/>
  <c r="AG117" i="3"/>
  <c r="AL117" i="3"/>
  <c r="AS117" i="3"/>
  <c r="BN117" i="3" s="1"/>
  <c r="AH117" i="3"/>
  <c r="AO117" i="3"/>
  <c r="AT117" i="3"/>
  <c r="AC117" i="3"/>
  <c r="AI117" i="3"/>
  <c r="AP117" i="3"/>
  <c r="AB117" i="3"/>
  <c r="AD117" i="3"/>
  <c r="AK117" i="3"/>
  <c r="AQ117" i="3"/>
  <c r="AK109" i="3"/>
  <c r="AQ109" i="3"/>
  <c r="AC109" i="3"/>
  <c r="AL109" i="3"/>
  <c r="AU109" i="3"/>
  <c r="AE109" i="3"/>
  <c r="AM109" i="3"/>
  <c r="AG109" i="3"/>
  <c r="AP109" i="3"/>
  <c r="AB109" i="3"/>
  <c r="AK93" i="3"/>
  <c r="AU93" i="3"/>
  <c r="AC93" i="3"/>
  <c r="AL93" i="3"/>
  <c r="BG93" i="3" s="1"/>
  <c r="AD93" i="3"/>
  <c r="AO93" i="3"/>
  <c r="AH93" i="3"/>
  <c r="AP93" i="3"/>
  <c r="BK93" i="3" s="1"/>
  <c r="AB93" i="3"/>
  <c r="AK85" i="3"/>
  <c r="AU85" i="3"/>
  <c r="AC85" i="3"/>
  <c r="AM85" i="3"/>
  <c r="AB85" i="3"/>
  <c r="AG85" i="3"/>
  <c r="AO85" i="3"/>
  <c r="AH85" i="3"/>
  <c r="AT85" i="3"/>
  <c r="AL77" i="3"/>
  <c r="AU77" i="3"/>
  <c r="AB77" i="3"/>
  <c r="AE77" i="3"/>
  <c r="AM77" i="3"/>
  <c r="AG77" i="3"/>
  <c r="AS77" i="3"/>
  <c r="AH77" i="3"/>
  <c r="AT77" i="3"/>
  <c r="AI73" i="3"/>
  <c r="AK73" i="3"/>
  <c r="AT73" i="3"/>
  <c r="AD73" i="3"/>
  <c r="AL73" i="3"/>
  <c r="AG73" i="3"/>
  <c r="AQ73" i="3"/>
  <c r="AH73" i="3"/>
  <c r="AS73" i="3"/>
  <c r="AG65" i="3"/>
  <c r="AH65" i="3"/>
  <c r="AP65" i="3"/>
  <c r="AC65" i="3"/>
  <c r="AQ65" i="3"/>
  <c r="AF65" i="3"/>
  <c r="AS65" i="3"/>
  <c r="AJ53" i="3"/>
  <c r="AB53" i="3"/>
  <c r="AL9" i="3"/>
  <c r="AE9" i="3"/>
  <c r="AD9" i="3"/>
  <c r="AY9" i="3" s="1"/>
  <c r="AG128" i="3"/>
  <c r="AK128" i="3"/>
  <c r="AB128" i="3"/>
  <c r="AD124" i="3"/>
  <c r="AK124" i="3"/>
  <c r="AJ124" i="3"/>
  <c r="AK120" i="3"/>
  <c r="BF120" i="3" s="1"/>
  <c r="AJ120" i="3"/>
  <c r="AC116" i="3"/>
  <c r="AJ116" i="3"/>
  <c r="AT116" i="3"/>
  <c r="AB116" i="3"/>
  <c r="AG116" i="3"/>
  <c r="AS112" i="3"/>
  <c r="AC112" i="3"/>
  <c r="AG108" i="3"/>
  <c r="AR108" i="3"/>
  <c r="AN108" i="3"/>
  <c r="AD104" i="3"/>
  <c r="AK104" i="3"/>
  <c r="AP100" i="3"/>
  <c r="AF100" i="3"/>
  <c r="AB100" i="3"/>
  <c r="AC100" i="3"/>
  <c r="BG24" i="3"/>
  <c r="AW39" i="3"/>
  <c r="AW27" i="3"/>
  <c r="AR131" i="3"/>
  <c r="AU130" i="3"/>
  <c r="AJ130" i="3"/>
  <c r="AR127" i="3"/>
  <c r="AU126" i="3"/>
  <c r="AI126" i="3"/>
  <c r="AU122" i="3"/>
  <c r="AJ122" i="3"/>
  <c r="AQ119" i="3"/>
  <c r="AT118" i="3"/>
  <c r="AH118" i="3"/>
  <c r="AT114" i="3"/>
  <c r="AI114" i="3"/>
  <c r="AQ110" i="3"/>
  <c r="AH110" i="3"/>
  <c r="AT106" i="3"/>
  <c r="AL102" i="3"/>
  <c r="AI98" i="3"/>
  <c r="AQ95" i="3"/>
  <c r="AP94" i="3"/>
  <c r="AJ92" i="3"/>
  <c r="AP90" i="3"/>
  <c r="BK90" i="3" s="1"/>
  <c r="AG88" i="3"/>
  <c r="AM86" i="3"/>
  <c r="AU83" i="3"/>
  <c r="AN82" i="3"/>
  <c r="AN79" i="3"/>
  <c r="AM78" i="3"/>
  <c r="AG76" i="3"/>
  <c r="AM74" i="3"/>
  <c r="AR72" i="3"/>
  <c r="AF72" i="3"/>
  <c r="AM70" i="3"/>
  <c r="AG64" i="3"/>
  <c r="AO62" i="3"/>
  <c r="AL60" i="3"/>
  <c r="AH58" i="3"/>
  <c r="AF56" i="3"/>
  <c r="AF48" i="3"/>
  <c r="AE42" i="3"/>
  <c r="AJ40" i="3"/>
  <c r="AH27" i="3"/>
  <c r="AO24" i="3"/>
  <c r="AP5" i="3"/>
  <c r="AX96" i="3"/>
  <c r="AB103" i="3"/>
  <c r="AB91" i="3"/>
  <c r="AB72" i="3"/>
  <c r="AW72" i="3" s="1"/>
  <c r="AB63" i="3"/>
  <c r="AB52" i="3"/>
  <c r="AB40" i="3"/>
  <c r="AB32" i="3"/>
  <c r="AB8" i="3"/>
  <c r="AQ131" i="3"/>
  <c r="AQ130" i="3"/>
  <c r="AI130" i="3"/>
  <c r="AQ127" i="3"/>
  <c r="AP126" i="3"/>
  <c r="AH126" i="3"/>
  <c r="AQ123" i="3"/>
  <c r="BL123" i="3" s="1"/>
  <c r="AT122" i="3"/>
  <c r="AI122" i="3"/>
  <c r="AN119" i="3"/>
  <c r="AN118" i="3"/>
  <c r="AF118" i="3"/>
  <c r="AO115" i="3"/>
  <c r="AR114" i="3"/>
  <c r="AH114" i="3"/>
  <c r="BC114" i="3" s="1"/>
  <c r="AU111" i="3"/>
  <c r="AP110" i="3"/>
  <c r="AD110" i="3"/>
  <c r="AN107" i="3"/>
  <c r="AM106" i="3"/>
  <c r="AJ103" i="3"/>
  <c r="AH102" i="3"/>
  <c r="AF98" i="3"/>
  <c r="AJ94" i="3"/>
  <c r="AK91" i="3"/>
  <c r="AI90" i="3"/>
  <c r="AG87" i="3"/>
  <c r="BB87" i="3" s="1"/>
  <c r="AI86" i="3"/>
  <c r="AF82" i="3"/>
  <c r="AM79" i="3"/>
  <c r="AL78" i="3"/>
  <c r="AI75" i="3"/>
  <c r="AF74" i="3"/>
  <c r="AN72" i="3"/>
  <c r="AD72" i="3"/>
  <c r="AY72" i="3" s="1"/>
  <c r="AL70" i="3"/>
  <c r="AP66" i="3"/>
  <c r="AF64" i="3"/>
  <c r="AL62" i="3"/>
  <c r="AK60" i="3"/>
  <c r="AP56" i="3"/>
  <c r="AL54" i="3"/>
  <c r="AQ51" i="3"/>
  <c r="AD48" i="3"/>
  <c r="AR44" i="3"/>
  <c r="AC40" i="3"/>
  <c r="AO32" i="3"/>
  <c r="AG27" i="3"/>
  <c r="BB27" i="3" s="1"/>
  <c r="AQ16" i="3"/>
  <c r="AB51" i="3"/>
  <c r="AW51" i="3" s="1"/>
  <c r="AB16" i="3"/>
  <c r="AB5" i="3"/>
  <c r="AW3" i="3" s="1"/>
  <c r="AF131" i="3"/>
  <c r="AP130" i="3"/>
  <c r="AD130" i="3"/>
  <c r="AE127" i="3"/>
  <c r="AN126" i="3"/>
  <c r="AD126" i="3"/>
  <c r="AY126" i="3" s="1"/>
  <c r="AO123" i="3"/>
  <c r="BJ123" i="3" s="1"/>
  <c r="AP122" i="3"/>
  <c r="AH122" i="3"/>
  <c r="AC119" i="3"/>
  <c r="AM118" i="3"/>
  <c r="AN115" i="3"/>
  <c r="AM114" i="3"/>
  <c r="AE114" i="3"/>
  <c r="AG111" i="3"/>
  <c r="BB111" i="3" s="1"/>
  <c r="AM110" i="3"/>
  <c r="AL106" i="3"/>
  <c r="AF103" i="3"/>
  <c r="AE102" i="3"/>
  <c r="AZ102" i="3" s="1"/>
  <c r="AT98" i="3"/>
  <c r="AD98" i="3"/>
  <c r="AU94" i="3"/>
  <c r="AD94" i="3"/>
  <c r="AH90" i="3"/>
  <c r="AU86" i="3"/>
  <c r="AD86" i="3"/>
  <c r="AT82" i="3"/>
  <c r="AD82" i="3"/>
  <c r="AT78" i="3"/>
  <c r="AH78" i="3"/>
  <c r="BC78" i="3" s="1"/>
  <c r="AE74" i="3"/>
  <c r="AL72" i="3"/>
  <c r="AU71" i="3"/>
  <c r="AJ68" i="3"/>
  <c r="AM66" i="3"/>
  <c r="BH66" i="3" s="1"/>
  <c r="AS64" i="3"/>
  <c r="AC64" i="3"/>
  <c r="AF62" i="3"/>
  <c r="AR58" i="3"/>
  <c r="AJ56" i="3"/>
  <c r="AE54" i="3"/>
  <c r="AS48" i="3"/>
  <c r="AD16" i="3"/>
  <c r="BA54" i="3"/>
  <c r="AB127" i="3"/>
  <c r="AB68" i="3"/>
  <c r="AB56" i="3"/>
  <c r="AB48" i="3"/>
  <c r="AC127" i="3"/>
  <c r="AL126" i="3"/>
  <c r="AU118" i="3"/>
  <c r="AI118" i="3"/>
  <c r="AU114" i="3"/>
  <c r="AF111" i="3"/>
  <c r="AL110" i="3"/>
  <c r="AU106" i="3"/>
  <c r="AQ102" i="3"/>
  <c r="AD102" i="3"/>
  <c r="AS96" i="3"/>
  <c r="AQ94" i="3"/>
  <c r="AO92" i="3"/>
  <c r="AQ90" i="3"/>
  <c r="AT86" i="3"/>
  <c r="AS84" i="3"/>
  <c r="AR78" i="3"/>
  <c r="AK76" i="3"/>
  <c r="AS72" i="3"/>
  <c r="AK72" i="3"/>
  <c r="BF72" i="3" s="1"/>
  <c r="AC68" i="3"/>
  <c r="AJ64" i="3"/>
  <c r="AG56" i="3"/>
  <c r="AD54" i="3"/>
  <c r="AN48" i="3"/>
  <c r="AS15" i="3"/>
  <c r="CL21" i="4"/>
  <c r="CL33" i="4"/>
  <c r="CL45" i="4"/>
  <c r="CL57" i="4"/>
  <c r="CL69" i="4"/>
  <c r="CL81" i="4"/>
  <c r="CL93" i="4"/>
  <c r="CL105" i="4"/>
  <c r="CL117" i="4"/>
  <c r="CL129" i="4"/>
  <c r="CL12" i="4"/>
  <c r="CL24" i="4"/>
  <c r="CL36" i="4"/>
  <c r="CL48" i="4"/>
  <c r="CL60" i="4"/>
  <c r="CL72" i="4"/>
  <c r="CL84" i="4"/>
  <c r="CL96" i="4"/>
  <c r="CL108" i="4"/>
  <c r="CL120" i="4"/>
  <c r="CL18" i="4"/>
  <c r="CL30" i="4"/>
  <c r="CL42" i="4"/>
  <c r="CL54" i="4"/>
  <c r="CL66" i="4"/>
  <c r="CL78" i="4"/>
  <c r="CL90" i="4"/>
  <c r="CL102" i="4"/>
  <c r="CL114" i="4"/>
  <c r="CL126" i="4"/>
  <c r="AJ113" i="3"/>
  <c r="AR113" i="3"/>
  <c r="AG113" i="3"/>
  <c r="AP113" i="3"/>
  <c r="AB113" i="3"/>
  <c r="AH113" i="3"/>
  <c r="AQ113" i="3"/>
  <c r="AD113" i="3"/>
  <c r="AM113" i="3"/>
  <c r="AE81" i="3"/>
  <c r="AM81" i="3"/>
  <c r="AU81" i="3"/>
  <c r="BP81" i="3" s="1"/>
  <c r="AF81" i="3"/>
  <c r="AN81" i="3"/>
  <c r="AJ81" i="3"/>
  <c r="AR81" i="3"/>
  <c r="BM81" i="3" s="1"/>
  <c r="AC81" i="3"/>
  <c r="AX81" i="3" s="1"/>
  <c r="AP81" i="3"/>
  <c r="AB81" i="3"/>
  <c r="AD81" i="3"/>
  <c r="AY81" i="3" s="1"/>
  <c r="AQ81" i="3"/>
  <c r="BL81" i="3" s="1"/>
  <c r="AK81" i="3"/>
  <c r="AE129" i="3"/>
  <c r="AP121" i="3"/>
  <c r="AS81" i="3"/>
  <c r="AE112" i="3"/>
  <c r="AM112" i="3"/>
  <c r="AU112" i="3"/>
  <c r="AH112" i="3"/>
  <c r="AQ112" i="3"/>
  <c r="AI112" i="3"/>
  <c r="AR112" i="3"/>
  <c r="AD112" i="3"/>
  <c r="AN112" i="3"/>
  <c r="AH80" i="3"/>
  <c r="AP80" i="3"/>
  <c r="AI80" i="3"/>
  <c r="AQ80" i="3"/>
  <c r="AE80" i="3"/>
  <c r="AM80" i="3"/>
  <c r="AU80" i="3"/>
  <c r="AJ80" i="3"/>
  <c r="AK80" i="3"/>
  <c r="AD80" i="3"/>
  <c r="AR80" i="3"/>
  <c r="AB88" i="3"/>
  <c r="AD129" i="3"/>
  <c r="AP112" i="3"/>
  <c r="AH89" i="3"/>
  <c r="AD88" i="3"/>
  <c r="AC131" i="3"/>
  <c r="AK131" i="3"/>
  <c r="AS131" i="3"/>
  <c r="AD131" i="3"/>
  <c r="AL131" i="3"/>
  <c r="AT131" i="3"/>
  <c r="AH131" i="3"/>
  <c r="AP131" i="3"/>
  <c r="AC123" i="3"/>
  <c r="AK123" i="3"/>
  <c r="BF123" i="3" s="1"/>
  <c r="AS123" i="3"/>
  <c r="BN123" i="3" s="1"/>
  <c r="AD123" i="3"/>
  <c r="AY123" i="3" s="1"/>
  <c r="AL123" i="3"/>
  <c r="AT123" i="3"/>
  <c r="BO123" i="3" s="1"/>
  <c r="AH123" i="3"/>
  <c r="AP123" i="3"/>
  <c r="AC115" i="3"/>
  <c r="AK115" i="3"/>
  <c r="AS115" i="3"/>
  <c r="AD115" i="3"/>
  <c r="AL115" i="3"/>
  <c r="AT115" i="3"/>
  <c r="AH115" i="3"/>
  <c r="AP115" i="3"/>
  <c r="AG107" i="3"/>
  <c r="AO107" i="3"/>
  <c r="AH107" i="3"/>
  <c r="AP107" i="3"/>
  <c r="AD107" i="3"/>
  <c r="AL107" i="3"/>
  <c r="AT107" i="3"/>
  <c r="AI107" i="3"/>
  <c r="AU107" i="3"/>
  <c r="AJ107" i="3"/>
  <c r="AC107" i="3"/>
  <c r="AQ107" i="3"/>
  <c r="AG99" i="3"/>
  <c r="AO99" i="3"/>
  <c r="AH99" i="3"/>
  <c r="AP99" i="3"/>
  <c r="BK99" i="3" s="1"/>
  <c r="AD99" i="3"/>
  <c r="AL99" i="3"/>
  <c r="BG99" i="3" s="1"/>
  <c r="AT99" i="3"/>
  <c r="AF99" i="3"/>
  <c r="AS99" i="3"/>
  <c r="AI99" i="3"/>
  <c r="AU99" i="3"/>
  <c r="AN99" i="3"/>
  <c r="AG91" i="3"/>
  <c r="AO91" i="3"/>
  <c r="AH91" i="3"/>
  <c r="AP91" i="3"/>
  <c r="AD91" i="3"/>
  <c r="AL91" i="3"/>
  <c r="AT91" i="3"/>
  <c r="AE91" i="3"/>
  <c r="AR91" i="3"/>
  <c r="AF91" i="3"/>
  <c r="AS91" i="3"/>
  <c r="AM91" i="3"/>
  <c r="AG83" i="3"/>
  <c r="AO83" i="3"/>
  <c r="AH83" i="3"/>
  <c r="AP83" i="3"/>
  <c r="AD83" i="3"/>
  <c r="AL83" i="3"/>
  <c r="AT83" i="3"/>
  <c r="AC83" i="3"/>
  <c r="AQ83" i="3"/>
  <c r="AE83" i="3"/>
  <c r="AR83" i="3"/>
  <c r="AK83" i="3"/>
  <c r="AG75" i="3"/>
  <c r="AO75" i="3"/>
  <c r="AH75" i="3"/>
  <c r="AP75" i="3"/>
  <c r="AD75" i="3"/>
  <c r="AL75" i="3"/>
  <c r="BG75" i="3" s="1"/>
  <c r="AT75" i="3"/>
  <c r="BO75" i="3" s="1"/>
  <c r="AN75" i="3"/>
  <c r="AC75" i="3"/>
  <c r="AQ75" i="3"/>
  <c r="AJ75" i="3"/>
  <c r="AG67" i="3"/>
  <c r="AO67" i="3"/>
  <c r="AH67" i="3"/>
  <c r="AP67" i="3"/>
  <c r="AD67" i="3"/>
  <c r="AL67" i="3"/>
  <c r="AT67" i="3"/>
  <c r="AK67" i="3"/>
  <c r="AM67" i="3"/>
  <c r="AN67" i="3"/>
  <c r="AI67" i="3"/>
  <c r="AU67" i="3"/>
  <c r="AC59" i="3"/>
  <c r="AK59" i="3"/>
  <c r="AS59" i="3"/>
  <c r="AD59" i="3"/>
  <c r="AL59" i="3"/>
  <c r="AT59" i="3"/>
  <c r="AH59" i="3"/>
  <c r="AP59" i="3"/>
  <c r="AG59" i="3"/>
  <c r="AU59" i="3"/>
  <c r="AI59" i="3"/>
  <c r="AO59" i="3"/>
  <c r="AE59" i="3"/>
  <c r="AF59" i="3"/>
  <c r="AQ59" i="3"/>
  <c r="AG51" i="3"/>
  <c r="AH51" i="3"/>
  <c r="AD51" i="3"/>
  <c r="AL51" i="3"/>
  <c r="BG51" i="3" s="1"/>
  <c r="AT51" i="3"/>
  <c r="AN51" i="3"/>
  <c r="AC51" i="3"/>
  <c r="AO51" i="3"/>
  <c r="AJ51" i="3"/>
  <c r="AS51" i="3"/>
  <c r="AM51" i="3"/>
  <c r="AP51" i="3"/>
  <c r="BK51" i="3" s="1"/>
  <c r="AF51" i="3"/>
  <c r="AE51" i="3"/>
  <c r="AI51" i="3"/>
  <c r="AU51" i="3"/>
  <c r="AG43" i="3"/>
  <c r="AO43" i="3"/>
  <c r="AH43" i="3"/>
  <c r="AP43" i="3"/>
  <c r="AD43" i="3"/>
  <c r="AL43" i="3"/>
  <c r="AT43" i="3"/>
  <c r="AM43" i="3"/>
  <c r="AN43" i="3"/>
  <c r="AI43" i="3"/>
  <c r="AU43" i="3"/>
  <c r="AC43" i="3"/>
  <c r="AE43" i="3"/>
  <c r="AQ43" i="3"/>
  <c r="AS43" i="3"/>
  <c r="AK43" i="3"/>
  <c r="AD35" i="3"/>
  <c r="AL35" i="3"/>
  <c r="AT35" i="3"/>
  <c r="AE35" i="3"/>
  <c r="AM35" i="3"/>
  <c r="AU35" i="3"/>
  <c r="AI35" i="3"/>
  <c r="AQ35" i="3"/>
  <c r="AK35" i="3"/>
  <c r="AN35" i="3"/>
  <c r="AG35" i="3"/>
  <c r="AS35" i="3"/>
  <c r="AO35" i="3"/>
  <c r="AP35" i="3"/>
  <c r="AF35" i="3"/>
  <c r="AJ35" i="3"/>
  <c r="AC35" i="3"/>
  <c r="AD27" i="3"/>
  <c r="AL27" i="3"/>
  <c r="AT27" i="3"/>
  <c r="BO27" i="3" s="1"/>
  <c r="AE27" i="3"/>
  <c r="AM27" i="3"/>
  <c r="AU27" i="3"/>
  <c r="AI27" i="3"/>
  <c r="BD27" i="3" s="1"/>
  <c r="AQ27" i="3"/>
  <c r="AJ27" i="3"/>
  <c r="AK27" i="3"/>
  <c r="AF27" i="3"/>
  <c r="AR27" i="3"/>
  <c r="AC27" i="3"/>
  <c r="AO27" i="3"/>
  <c r="AN27" i="3"/>
  <c r="AP27" i="3"/>
  <c r="AD19" i="3"/>
  <c r="AL19" i="3"/>
  <c r="AT19" i="3"/>
  <c r="AE19" i="3"/>
  <c r="AM19" i="3"/>
  <c r="AU19" i="3"/>
  <c r="AI19" i="3"/>
  <c r="AQ19" i="3"/>
  <c r="AH19" i="3"/>
  <c r="AJ19" i="3"/>
  <c r="AC19" i="3"/>
  <c r="AP19" i="3"/>
  <c r="AK19" i="3"/>
  <c r="AN19" i="3"/>
  <c r="AF19" i="3"/>
  <c r="AS19" i="3"/>
  <c r="AR19" i="3"/>
  <c r="AD11" i="3"/>
  <c r="AL11" i="3"/>
  <c r="AT11" i="3"/>
  <c r="AE11" i="3"/>
  <c r="AM11" i="3"/>
  <c r="AU11" i="3"/>
  <c r="AI11" i="3"/>
  <c r="AQ11" i="3"/>
  <c r="AG11" i="3"/>
  <c r="AS11" i="3"/>
  <c r="AH11" i="3"/>
  <c r="AO11" i="3"/>
  <c r="AR11" i="3"/>
  <c r="AK11" i="3"/>
  <c r="AP11" i="3"/>
  <c r="AJ11" i="3"/>
  <c r="AC11" i="3"/>
  <c r="AF11" i="3"/>
  <c r="AB119" i="3"/>
  <c r="AB107" i="3"/>
  <c r="AB80" i="3"/>
  <c r="AB55" i="3"/>
  <c r="AB43" i="3"/>
  <c r="AI131" i="3"/>
  <c r="AU129" i="3"/>
  <c r="AH129" i="3"/>
  <c r="BC129" i="3" s="1"/>
  <c r="AO128" i="3"/>
  <c r="AU127" i="3"/>
  <c r="AI127" i="3"/>
  <c r="AN124" i="3"/>
  <c r="AU123" i="3"/>
  <c r="AG123" i="3"/>
  <c r="AT121" i="3"/>
  <c r="AG121" i="3"/>
  <c r="AN120" i="3"/>
  <c r="AS119" i="3"/>
  <c r="AF119" i="3"/>
  <c r="AL116" i="3"/>
  <c r="AR115" i="3"/>
  <c r="AF115" i="3"/>
  <c r="AS113" i="3"/>
  <c r="AC113" i="3"/>
  <c r="AG112" i="3"/>
  <c r="AL111" i="3"/>
  <c r="AS107" i="3"/>
  <c r="AQ105" i="3"/>
  <c r="BL105" i="3" s="1"/>
  <c r="AR104" i="3"/>
  <c r="AN103" i="3"/>
  <c r="AJ100" i="3"/>
  <c r="AJ99" i="3"/>
  <c r="AD97" i="3"/>
  <c r="AD96" i="3"/>
  <c r="AR92" i="3"/>
  <c r="AQ91" i="3"/>
  <c r="AO89" i="3"/>
  <c r="AN88" i="3"/>
  <c r="AJ87" i="3"/>
  <c r="AG84" i="3"/>
  <c r="BB84" i="3" s="1"/>
  <c r="AF83" i="3"/>
  <c r="AT80" i="3"/>
  <c r="AU79" i="3"/>
  <c r="AO76" i="3"/>
  <c r="AM75" i="3"/>
  <c r="AF71" i="3"/>
  <c r="AN68" i="3"/>
  <c r="AF67" i="3"/>
  <c r="AS60" i="3"/>
  <c r="AF52" i="3"/>
  <c r="AK28" i="3"/>
  <c r="AF130" i="3"/>
  <c r="AN130" i="3"/>
  <c r="AG130" i="3"/>
  <c r="AO130" i="3"/>
  <c r="AB130" i="3"/>
  <c r="AC130" i="3"/>
  <c r="AK130" i="3"/>
  <c r="AS130" i="3"/>
  <c r="AF122" i="3"/>
  <c r="AN122" i="3"/>
  <c r="AG122" i="3"/>
  <c r="AO122" i="3"/>
  <c r="AB122" i="3"/>
  <c r="AC122" i="3"/>
  <c r="AK122" i="3"/>
  <c r="AS122" i="3"/>
  <c r="AF114" i="3"/>
  <c r="AN114" i="3"/>
  <c r="BI114" i="3" s="1"/>
  <c r="AG114" i="3"/>
  <c r="AO114" i="3"/>
  <c r="AB114" i="3"/>
  <c r="AW114" i="3" s="1"/>
  <c r="AC114" i="3"/>
  <c r="AX114" i="3" s="1"/>
  <c r="AK114" i="3"/>
  <c r="AS114" i="3"/>
  <c r="AJ106" i="3"/>
  <c r="AR106" i="3"/>
  <c r="AC106" i="3"/>
  <c r="AK106" i="3"/>
  <c r="AS106" i="3"/>
  <c r="AG106" i="3"/>
  <c r="AO106" i="3"/>
  <c r="AN106" i="3"/>
  <c r="AD106" i="3"/>
  <c r="AY105" i="3" s="1"/>
  <c r="AP106" i="3"/>
  <c r="AB106" i="3"/>
  <c r="AI106" i="3"/>
  <c r="AJ98" i="3"/>
  <c r="AR98" i="3"/>
  <c r="AC98" i="3"/>
  <c r="AK98" i="3"/>
  <c r="AS98" i="3"/>
  <c r="AG98" i="3"/>
  <c r="AO98" i="3"/>
  <c r="AM98" i="3"/>
  <c r="AN98" i="3"/>
  <c r="AB98" i="3"/>
  <c r="AH98" i="3"/>
  <c r="AU98" i="3"/>
  <c r="AJ90" i="3"/>
  <c r="BE90" i="3" s="1"/>
  <c r="AR90" i="3"/>
  <c r="BM90" i="3" s="1"/>
  <c r="AC90" i="3"/>
  <c r="AK90" i="3"/>
  <c r="AS90" i="3"/>
  <c r="AG90" i="3"/>
  <c r="BB90" i="3" s="1"/>
  <c r="AO90" i="3"/>
  <c r="AL90" i="3"/>
  <c r="AM90" i="3"/>
  <c r="BH90" i="3" s="1"/>
  <c r="AB90" i="3"/>
  <c r="AF90" i="3"/>
  <c r="AT90" i="3"/>
  <c r="AJ82" i="3"/>
  <c r="AR82" i="3"/>
  <c r="AC82" i="3"/>
  <c r="AK82" i="3"/>
  <c r="AS82" i="3"/>
  <c r="AG82" i="3"/>
  <c r="AO82" i="3"/>
  <c r="AI82" i="3"/>
  <c r="AL82" i="3"/>
  <c r="AB82" i="3"/>
  <c r="AE82" i="3"/>
  <c r="AQ82" i="3"/>
  <c r="AJ74" i="3"/>
  <c r="AR74" i="3"/>
  <c r="AC74" i="3"/>
  <c r="AK74" i="3"/>
  <c r="AS74" i="3"/>
  <c r="AG74" i="3"/>
  <c r="AO74" i="3"/>
  <c r="AH74" i="3"/>
  <c r="AU74" i="3"/>
  <c r="AI74" i="3"/>
  <c r="AB74" i="3"/>
  <c r="AD74" i="3"/>
  <c r="AP74" i="3"/>
  <c r="AJ66" i="3"/>
  <c r="BE66" i="3" s="1"/>
  <c r="AR66" i="3"/>
  <c r="AC66" i="3"/>
  <c r="AK66" i="3"/>
  <c r="BF66" i="3" s="1"/>
  <c r="AS66" i="3"/>
  <c r="AG66" i="3"/>
  <c r="AO66" i="3"/>
  <c r="AE66" i="3"/>
  <c r="AQ66" i="3"/>
  <c r="AF66" i="3"/>
  <c r="AT66" i="3"/>
  <c r="AH66" i="3"/>
  <c r="BC66" i="3" s="1"/>
  <c r="AU66" i="3"/>
  <c r="BP66" i="3" s="1"/>
  <c r="AB66" i="3"/>
  <c r="AN66" i="3"/>
  <c r="BI66" i="3" s="1"/>
  <c r="AF58" i="3"/>
  <c r="AN58" i="3"/>
  <c r="AG58" i="3"/>
  <c r="AO58" i="3"/>
  <c r="AC58" i="3"/>
  <c r="AK58" i="3"/>
  <c r="AS58" i="3"/>
  <c r="AM58" i="3"/>
  <c r="AP58" i="3"/>
  <c r="AI58" i="3"/>
  <c r="AU58" i="3"/>
  <c r="AT58" i="3"/>
  <c r="AD58" i="3"/>
  <c r="AE58" i="3"/>
  <c r="AB58" i="3"/>
  <c r="AQ58" i="3"/>
  <c r="AJ50" i="3"/>
  <c r="AR50" i="3"/>
  <c r="AC50" i="3"/>
  <c r="AK50" i="3"/>
  <c r="AS50" i="3"/>
  <c r="AG50" i="3"/>
  <c r="AO50" i="3"/>
  <c r="AH50" i="3"/>
  <c r="AU50" i="3"/>
  <c r="AI50" i="3"/>
  <c r="AD50" i="3"/>
  <c r="AP50" i="3"/>
  <c r="AM50" i="3"/>
  <c r="AN50" i="3"/>
  <c r="AE50" i="3"/>
  <c r="AT50" i="3"/>
  <c r="AB50" i="3"/>
  <c r="AL50" i="3"/>
  <c r="AJ42" i="3"/>
  <c r="AR42" i="3"/>
  <c r="AC42" i="3"/>
  <c r="AX42" i="3" s="1"/>
  <c r="AK42" i="3"/>
  <c r="AS42" i="3"/>
  <c r="AG42" i="3"/>
  <c r="AO42" i="3"/>
  <c r="AF42" i="3"/>
  <c r="BA42" i="3" s="1"/>
  <c r="AT42" i="3"/>
  <c r="AH42" i="3"/>
  <c r="AU42" i="3"/>
  <c r="BP42" i="3" s="1"/>
  <c r="AN42" i="3"/>
  <c r="BI42" i="3" s="1"/>
  <c r="AD42" i="3"/>
  <c r="AM42" i="3"/>
  <c r="AI42" i="3"/>
  <c r="BD42" i="3" s="1"/>
  <c r="AL42" i="3"/>
  <c r="BG42" i="3" s="1"/>
  <c r="AP42" i="3"/>
  <c r="AB42" i="3"/>
  <c r="AG34" i="3"/>
  <c r="AO34" i="3"/>
  <c r="AH34" i="3"/>
  <c r="AP34" i="3"/>
  <c r="AD34" i="3"/>
  <c r="AL34" i="3"/>
  <c r="AT34" i="3"/>
  <c r="AE34" i="3"/>
  <c r="AR34" i="3"/>
  <c r="AF34" i="3"/>
  <c r="AS34" i="3"/>
  <c r="AM34" i="3"/>
  <c r="AK34" i="3"/>
  <c r="AN34" i="3"/>
  <c r="AC34" i="3"/>
  <c r="AJ34" i="3"/>
  <c r="AQ34" i="3"/>
  <c r="AI34" i="3"/>
  <c r="AU34" i="3"/>
  <c r="AB34" i="3"/>
  <c r="AG26" i="3"/>
  <c r="AO26" i="3"/>
  <c r="AH26" i="3"/>
  <c r="AP26" i="3"/>
  <c r="AD26" i="3"/>
  <c r="AL26" i="3"/>
  <c r="AT26" i="3"/>
  <c r="AC26" i="3"/>
  <c r="AQ26" i="3"/>
  <c r="AE26" i="3"/>
  <c r="AR26" i="3"/>
  <c r="AK26" i="3"/>
  <c r="AU26" i="3"/>
  <c r="AM26" i="3"/>
  <c r="AF26" i="3"/>
  <c r="AS26" i="3"/>
  <c r="AI26" i="3"/>
  <c r="AJ26" i="3"/>
  <c r="AN26" i="3"/>
  <c r="AB26" i="3"/>
  <c r="AG18" i="3"/>
  <c r="BB18" i="3" s="1"/>
  <c r="AO18" i="3"/>
  <c r="AH18" i="3"/>
  <c r="AP18" i="3"/>
  <c r="AD18" i="3"/>
  <c r="AY18" i="3" s="1"/>
  <c r="AL18" i="3"/>
  <c r="AT18" i="3"/>
  <c r="AN18" i="3"/>
  <c r="AC18" i="3"/>
  <c r="AX18" i="3" s="1"/>
  <c r="AQ18" i="3"/>
  <c r="BL18" i="3" s="1"/>
  <c r="AJ18" i="3"/>
  <c r="AI18" i="3"/>
  <c r="AK18" i="3"/>
  <c r="BF18" i="3" s="1"/>
  <c r="AU18" i="3"/>
  <c r="BP18" i="3" s="1"/>
  <c r="AR18" i="3"/>
  <c r="AS18" i="3"/>
  <c r="AF18" i="3"/>
  <c r="BA18" i="3" s="1"/>
  <c r="AE18" i="3"/>
  <c r="AZ18" i="3" s="1"/>
  <c r="AB18" i="3"/>
  <c r="AG10" i="3"/>
  <c r="AO10" i="3"/>
  <c r="AH10" i="3"/>
  <c r="AP10" i="3"/>
  <c r="AD10" i="3"/>
  <c r="AL10" i="3"/>
  <c r="AT10" i="3"/>
  <c r="AM10" i="3"/>
  <c r="AN10" i="3"/>
  <c r="AI10" i="3"/>
  <c r="AU10" i="3"/>
  <c r="AR10" i="3"/>
  <c r="AS10" i="3"/>
  <c r="AJ10" i="3"/>
  <c r="AE10" i="3"/>
  <c r="AF10" i="3"/>
  <c r="AK10" i="3"/>
  <c r="AQ10" i="3"/>
  <c r="AB10" i="3"/>
  <c r="AB131" i="3"/>
  <c r="AB104" i="3"/>
  <c r="AB92" i="3"/>
  <c r="AB79" i="3"/>
  <c r="AB67" i="3"/>
  <c r="AU131" i="3"/>
  <c r="AG131" i="3"/>
  <c r="AM130" i="3"/>
  <c r="AT129" i="3"/>
  <c r="AG129" i="3"/>
  <c r="AN128" i="3"/>
  <c r="AS127" i="3"/>
  <c r="AF127" i="3"/>
  <c r="AL124" i="3"/>
  <c r="AR123" i="3"/>
  <c r="BM123" i="3" s="1"/>
  <c r="AF123" i="3"/>
  <c r="AL122" i="3"/>
  <c r="AS121" i="3"/>
  <c r="AR119" i="3"/>
  <c r="AL118" i="3"/>
  <c r="AK116" i="3"/>
  <c r="AQ115" i="3"/>
  <c r="AE115" i="3"/>
  <c r="AJ114" i="3"/>
  <c r="AO113" i="3"/>
  <c r="AT112" i="3"/>
  <c r="AF112" i="3"/>
  <c r="AS108" i="3"/>
  <c r="AR107" i="3"/>
  <c r="AQ106" i="3"/>
  <c r="AO105" i="3"/>
  <c r="BJ105" i="3" s="1"/>
  <c r="AL104" i="3"/>
  <c r="AM103" i="3"/>
  <c r="AG100" i="3"/>
  <c r="AE99" i="3"/>
  <c r="AZ99" i="3" s="1"/>
  <c r="AE98" i="3"/>
  <c r="AC97" i="3"/>
  <c r="AP92" i="3"/>
  <c r="AN91" i="3"/>
  <c r="AN90" i="3"/>
  <c r="AJ88" i="3"/>
  <c r="AI87" i="3"/>
  <c r="AC84" i="3"/>
  <c r="AU82" i="3"/>
  <c r="AT81" i="3"/>
  <c r="AS80" i="3"/>
  <c r="AN76" i="3"/>
  <c r="AK75" i="3"/>
  <c r="AL74" i="3"/>
  <c r="AE71" i="3"/>
  <c r="AE67" i="3"/>
  <c r="AO60" i="3"/>
  <c r="AL58" i="3"/>
  <c r="AR51" i="3"/>
  <c r="AS27" i="3"/>
  <c r="AI121" i="3"/>
  <c r="AQ121" i="3"/>
  <c r="AB121" i="3"/>
  <c r="AJ121" i="3"/>
  <c r="AR121" i="3"/>
  <c r="AF121" i="3"/>
  <c r="AN121" i="3"/>
  <c r="AE89" i="3"/>
  <c r="AM89" i="3"/>
  <c r="AU89" i="3"/>
  <c r="AF89" i="3"/>
  <c r="AN89" i="3"/>
  <c r="AJ89" i="3"/>
  <c r="AR89" i="3"/>
  <c r="AD89" i="3"/>
  <c r="AQ89" i="3"/>
  <c r="AB89" i="3"/>
  <c r="AG89" i="3"/>
  <c r="AS89" i="3"/>
  <c r="AL89" i="3"/>
  <c r="AD121" i="3"/>
  <c r="AL105" i="3"/>
  <c r="AD120" i="3"/>
  <c r="AL120" i="3"/>
  <c r="AT120" i="3"/>
  <c r="AE120" i="3"/>
  <c r="AM120" i="3"/>
  <c r="AU120" i="3"/>
  <c r="BP120" i="3" s="1"/>
  <c r="AI120" i="3"/>
  <c r="BD120" i="3" s="1"/>
  <c r="AQ120" i="3"/>
  <c r="AH96" i="3"/>
  <c r="AP96" i="3"/>
  <c r="BK96" i="3" s="1"/>
  <c r="AI96" i="3"/>
  <c r="BD96" i="3" s="1"/>
  <c r="AQ96" i="3"/>
  <c r="AE96" i="3"/>
  <c r="AM96" i="3"/>
  <c r="AU96" i="3"/>
  <c r="AL96" i="3"/>
  <c r="AN96" i="3"/>
  <c r="AG96" i="3"/>
  <c r="BB96" i="3" s="1"/>
  <c r="AT96" i="3"/>
  <c r="BO96" i="3" s="1"/>
  <c r="AP129" i="3"/>
  <c r="AC121" i="3"/>
  <c r="AL113" i="3"/>
  <c r="AK105" i="3"/>
  <c r="AR96" i="3"/>
  <c r="AN80" i="3"/>
  <c r="AG119" i="3"/>
  <c r="AO119" i="3"/>
  <c r="AH119" i="3"/>
  <c r="AP119" i="3"/>
  <c r="AD119" i="3"/>
  <c r="AL119" i="3"/>
  <c r="AT119" i="3"/>
  <c r="AH111" i="3"/>
  <c r="AP111" i="3"/>
  <c r="BK111" i="3" s="1"/>
  <c r="AI111" i="3"/>
  <c r="BD111" i="3" s="1"/>
  <c r="AR111" i="3"/>
  <c r="AJ111" i="3"/>
  <c r="AS111" i="3"/>
  <c r="BN111" i="3" s="1"/>
  <c r="AE111" i="3"/>
  <c r="AZ111" i="3" s="1"/>
  <c r="AN111" i="3"/>
  <c r="AC95" i="3"/>
  <c r="AK95" i="3"/>
  <c r="AS95" i="3"/>
  <c r="AD95" i="3"/>
  <c r="AL95" i="3"/>
  <c r="AT95" i="3"/>
  <c r="AH95" i="3"/>
  <c r="AP95" i="3"/>
  <c r="AF95" i="3"/>
  <c r="AR95" i="3"/>
  <c r="AG95" i="3"/>
  <c r="AU95" i="3"/>
  <c r="AN95" i="3"/>
  <c r="AC79" i="3"/>
  <c r="AK79" i="3"/>
  <c r="AS79" i="3"/>
  <c r="AD79" i="3"/>
  <c r="AL79" i="3"/>
  <c r="AT79" i="3"/>
  <c r="AH79" i="3"/>
  <c r="AP79" i="3"/>
  <c r="BK78" i="3" s="1"/>
  <c r="AO79" i="3"/>
  <c r="AE79" i="3"/>
  <c r="AQ79" i="3"/>
  <c r="AJ79" i="3"/>
  <c r="AG63" i="3"/>
  <c r="BB63" i="3" s="1"/>
  <c r="AO63" i="3"/>
  <c r="AH63" i="3"/>
  <c r="AP63" i="3"/>
  <c r="AJ63" i="3"/>
  <c r="BE63" i="3" s="1"/>
  <c r="AT63" i="3"/>
  <c r="AK63" i="3"/>
  <c r="AU63" i="3"/>
  <c r="AE63" i="3"/>
  <c r="AQ63" i="3"/>
  <c r="BL63" i="3" s="1"/>
  <c r="AN63" i="3"/>
  <c r="AR63" i="3"/>
  <c r="AC63" i="3"/>
  <c r="AX63" i="3" s="1"/>
  <c r="AS63" i="3"/>
  <c r="BN63" i="3" s="1"/>
  <c r="AL63" i="3"/>
  <c r="AC47" i="3"/>
  <c r="AK47" i="3"/>
  <c r="AS47" i="3"/>
  <c r="AD47" i="3"/>
  <c r="AL47" i="3"/>
  <c r="AT47" i="3"/>
  <c r="AH47" i="3"/>
  <c r="AP47" i="3"/>
  <c r="AN47" i="3"/>
  <c r="AO47" i="3"/>
  <c r="AI47" i="3"/>
  <c r="AG47" i="3"/>
  <c r="AJ47" i="3"/>
  <c r="AU47" i="3"/>
  <c r="AM47" i="3"/>
  <c r="AQ47" i="3"/>
  <c r="AR47" i="3"/>
  <c r="AE47" i="3"/>
  <c r="AH31" i="3"/>
  <c r="AP31" i="3"/>
  <c r="AI31" i="3"/>
  <c r="AQ31" i="3"/>
  <c r="AE31" i="3"/>
  <c r="AM31" i="3"/>
  <c r="AU31" i="3"/>
  <c r="AK31" i="3"/>
  <c r="AL31" i="3"/>
  <c r="AF31" i="3"/>
  <c r="AS31" i="3"/>
  <c r="AG31" i="3"/>
  <c r="AJ31" i="3"/>
  <c r="AT31" i="3"/>
  <c r="AC31" i="3"/>
  <c r="AD31" i="3"/>
  <c r="AO31" i="3"/>
  <c r="AR31" i="3"/>
  <c r="AH15" i="3"/>
  <c r="AP15" i="3"/>
  <c r="BK15" i="3" s="1"/>
  <c r="AI15" i="3"/>
  <c r="AQ15" i="3"/>
  <c r="AE15" i="3"/>
  <c r="AM15" i="3"/>
  <c r="BH15" i="3" s="1"/>
  <c r="AU15" i="3"/>
  <c r="BP15" i="3" s="1"/>
  <c r="AG15" i="3"/>
  <c r="AT15" i="3"/>
  <c r="AJ15" i="3"/>
  <c r="BE15" i="3" s="1"/>
  <c r="AC15" i="3"/>
  <c r="AO15" i="3"/>
  <c r="AD15" i="3"/>
  <c r="AF15" i="3"/>
  <c r="BA15" i="3" s="1"/>
  <c r="AR15" i="3"/>
  <c r="AK15" i="3"/>
  <c r="AL15" i="3"/>
  <c r="AN15" i="3"/>
  <c r="AB75" i="3"/>
  <c r="AW75" i="3" s="1"/>
  <c r="AB11" i="3"/>
  <c r="AO129" i="3"/>
  <c r="AH128" i="3"/>
  <c r="AG124" i="3"/>
  <c r="AM121" i="3"/>
  <c r="AG120" i="3"/>
  <c r="AF116" i="3"/>
  <c r="AM115" i="3"/>
  <c r="AO112" i="3"/>
  <c r="AD111" i="3"/>
  <c r="AK107" i="3"/>
  <c r="AG105" i="3"/>
  <c r="BB105" i="3" s="1"/>
  <c r="AS100" i="3"/>
  <c r="AO96" i="3"/>
  <c r="AH92" i="3"/>
  <c r="AC88" i="3"/>
  <c r="AN83" i="3"/>
  <c r="AL81" i="3"/>
  <c r="AI79" i="3"/>
  <c r="AE75" i="3"/>
  <c r="AS67" i="3"/>
  <c r="AF47" i="3"/>
  <c r="AN31" i="3"/>
  <c r="AG20" i="3"/>
  <c r="AJ126" i="3"/>
  <c r="AR126" i="3"/>
  <c r="AC126" i="3"/>
  <c r="AK126" i="3"/>
  <c r="AS126" i="3"/>
  <c r="AG126" i="3"/>
  <c r="AO126" i="3"/>
  <c r="BJ126" i="3" s="1"/>
  <c r="AB126" i="3"/>
  <c r="AW126" i="3" s="1"/>
  <c r="AC110" i="3"/>
  <c r="AK110" i="3"/>
  <c r="AS110" i="3"/>
  <c r="AI110" i="3"/>
  <c r="AR110" i="3"/>
  <c r="AJ110" i="3"/>
  <c r="AT110" i="3"/>
  <c r="AF110" i="3"/>
  <c r="AO110" i="3"/>
  <c r="AB110" i="3"/>
  <c r="AF102" i="3"/>
  <c r="BA102" i="3" s="1"/>
  <c r="AN102" i="3"/>
  <c r="BI102" i="3" s="1"/>
  <c r="AG102" i="3"/>
  <c r="AO102" i="3"/>
  <c r="AC102" i="3"/>
  <c r="AX102" i="3" s="1"/>
  <c r="AK102" i="3"/>
  <c r="BF102" i="3" s="1"/>
  <c r="AS102" i="3"/>
  <c r="AM102" i="3"/>
  <c r="AP102" i="3"/>
  <c r="AI102" i="3"/>
  <c r="AU102" i="3"/>
  <c r="AB102" i="3"/>
  <c r="AW102" i="3" s="1"/>
  <c r="AF94" i="3"/>
  <c r="AN94" i="3"/>
  <c r="AG94" i="3"/>
  <c r="AO94" i="3"/>
  <c r="AC94" i="3"/>
  <c r="AK94" i="3"/>
  <c r="AS94" i="3"/>
  <c r="AL94" i="3"/>
  <c r="AM94" i="3"/>
  <c r="AH94" i="3"/>
  <c r="AT94" i="3"/>
  <c r="AB94" i="3"/>
  <c r="AF86" i="3"/>
  <c r="AN86" i="3"/>
  <c r="AG86" i="3"/>
  <c r="AO86" i="3"/>
  <c r="AC86" i="3"/>
  <c r="AK86" i="3"/>
  <c r="AS86" i="3"/>
  <c r="AJ86" i="3"/>
  <c r="AL86" i="3"/>
  <c r="AE86" i="3"/>
  <c r="AR86" i="3"/>
  <c r="AB86" i="3"/>
  <c r="AF78" i="3"/>
  <c r="AN78" i="3"/>
  <c r="BI78" i="3" s="1"/>
  <c r="AG78" i="3"/>
  <c r="AO78" i="3"/>
  <c r="AC78" i="3"/>
  <c r="AX78" i="3" s="1"/>
  <c r="AK78" i="3"/>
  <c r="BF78" i="3" s="1"/>
  <c r="AS78" i="3"/>
  <c r="BN78" i="3" s="1"/>
  <c r="AI78" i="3"/>
  <c r="AU78" i="3"/>
  <c r="BP78" i="3" s="1"/>
  <c r="AJ78" i="3"/>
  <c r="BE78" i="3" s="1"/>
  <c r="AD78" i="3"/>
  <c r="AQ78" i="3"/>
  <c r="BL78" i="3" s="1"/>
  <c r="AB78" i="3"/>
  <c r="AW78" i="3" s="1"/>
  <c r="AF70" i="3"/>
  <c r="AN70" i="3"/>
  <c r="AG70" i="3"/>
  <c r="AO70" i="3"/>
  <c r="AC70" i="3"/>
  <c r="AK70" i="3"/>
  <c r="AS70" i="3"/>
  <c r="AE70" i="3"/>
  <c r="AR70" i="3"/>
  <c r="AH70" i="3"/>
  <c r="AT70" i="3"/>
  <c r="AI70" i="3"/>
  <c r="AU70" i="3"/>
  <c r="AP70" i="3"/>
  <c r="AB70" i="3"/>
  <c r="AJ62" i="3"/>
  <c r="AR62" i="3"/>
  <c r="AC62" i="3"/>
  <c r="AK62" i="3"/>
  <c r="AS62" i="3"/>
  <c r="AG62" i="3"/>
  <c r="AQ62" i="3"/>
  <c r="AH62" i="3"/>
  <c r="AT62" i="3"/>
  <c r="AD62" i="3"/>
  <c r="AN62" i="3"/>
  <c r="AP62" i="3"/>
  <c r="AU62" i="3"/>
  <c r="AE62" i="3"/>
  <c r="AM62" i="3"/>
  <c r="AB62" i="3"/>
  <c r="AW60" i="3" s="1"/>
  <c r="AJ54" i="3"/>
  <c r="BE54" i="3" s="1"/>
  <c r="AR54" i="3"/>
  <c r="AC54" i="3"/>
  <c r="AK54" i="3"/>
  <c r="AS54" i="3"/>
  <c r="BN54" i="3" s="1"/>
  <c r="AG54" i="3"/>
  <c r="BB54" i="3" s="1"/>
  <c r="AO54" i="3"/>
  <c r="AM54" i="3"/>
  <c r="AN54" i="3"/>
  <c r="BI54" i="3" s="1"/>
  <c r="AH54" i="3"/>
  <c r="AU54" i="3"/>
  <c r="AP54" i="3"/>
  <c r="AQ54" i="3"/>
  <c r="BL54" i="3" s="1"/>
  <c r="AT54" i="3"/>
  <c r="AI54" i="3"/>
  <c r="AB54" i="3"/>
  <c r="AF46" i="3"/>
  <c r="AN46" i="3"/>
  <c r="AG46" i="3"/>
  <c r="AO46" i="3"/>
  <c r="AC46" i="3"/>
  <c r="AK46" i="3"/>
  <c r="AS46" i="3"/>
  <c r="AH46" i="3"/>
  <c r="AT46" i="3"/>
  <c r="AI46" i="3"/>
  <c r="AU46" i="3"/>
  <c r="AP46" i="3"/>
  <c r="AE46" i="3"/>
  <c r="AJ46" i="3"/>
  <c r="AR46" i="3"/>
  <c r="AD46" i="3"/>
  <c r="AB46" i="3"/>
  <c r="AH38" i="3"/>
  <c r="AP38" i="3"/>
  <c r="AD38" i="3"/>
  <c r="AM38" i="3"/>
  <c r="AE38" i="3"/>
  <c r="AN38" i="3"/>
  <c r="AJ38" i="3"/>
  <c r="AS38" i="3"/>
  <c r="AC38" i="3"/>
  <c r="AR38" i="3"/>
  <c r="AF38" i="3"/>
  <c r="AT38" i="3"/>
  <c r="AL38" i="3"/>
  <c r="AO38" i="3"/>
  <c r="AQ38" i="3"/>
  <c r="AG38" i="3"/>
  <c r="AU38" i="3"/>
  <c r="AI38" i="3"/>
  <c r="AB38" i="3"/>
  <c r="AC30" i="3"/>
  <c r="AX30" i="3" s="1"/>
  <c r="AK30" i="3"/>
  <c r="AS30" i="3"/>
  <c r="AD30" i="3"/>
  <c r="AL30" i="3"/>
  <c r="BG30" i="3" s="1"/>
  <c r="AT30" i="3"/>
  <c r="AH30" i="3"/>
  <c r="AP30" i="3"/>
  <c r="AE30" i="3"/>
  <c r="AZ30" i="3" s="1"/>
  <c r="AQ30" i="3"/>
  <c r="AF30" i="3"/>
  <c r="AR30" i="3"/>
  <c r="AM30" i="3"/>
  <c r="BH30" i="3" s="1"/>
  <c r="AG30" i="3"/>
  <c r="AI30" i="3"/>
  <c r="AU30" i="3"/>
  <c r="AJ30" i="3"/>
  <c r="BE30" i="3" s="1"/>
  <c r="AO30" i="3"/>
  <c r="AB30" i="3"/>
  <c r="AC22" i="3"/>
  <c r="AK22" i="3"/>
  <c r="AS22" i="3"/>
  <c r="AD22" i="3"/>
  <c r="AL22" i="3"/>
  <c r="AT22" i="3"/>
  <c r="AH22" i="3"/>
  <c r="AP22" i="3"/>
  <c r="AO22" i="3"/>
  <c r="AE22" i="3"/>
  <c r="AQ22" i="3"/>
  <c r="AJ22" i="3"/>
  <c r="AN22" i="3"/>
  <c r="AR22" i="3"/>
  <c r="AG22" i="3"/>
  <c r="AI22" i="3"/>
  <c r="AM22" i="3"/>
  <c r="AU22" i="3"/>
  <c r="AB22" i="3"/>
  <c r="AC14" i="3"/>
  <c r="AK14" i="3"/>
  <c r="AS14" i="3"/>
  <c r="AD14" i="3"/>
  <c r="AL14" i="3"/>
  <c r="AT14" i="3"/>
  <c r="AH14" i="3"/>
  <c r="AP14" i="3"/>
  <c r="AN14" i="3"/>
  <c r="AO14" i="3"/>
  <c r="AI14" i="3"/>
  <c r="AE14" i="3"/>
  <c r="AF14" i="3"/>
  <c r="AQ14" i="3"/>
  <c r="AR14" i="3"/>
  <c r="AG14" i="3"/>
  <c r="AJ14" i="3"/>
  <c r="AM14" i="3"/>
  <c r="AB14" i="3"/>
  <c r="AC6" i="3"/>
  <c r="AK6" i="3"/>
  <c r="AS6" i="3"/>
  <c r="AD6" i="3"/>
  <c r="AY6" i="3" s="1"/>
  <c r="AL6" i="3"/>
  <c r="AT6" i="3"/>
  <c r="AH6" i="3"/>
  <c r="AP6" i="3"/>
  <c r="BK6" i="3" s="1"/>
  <c r="AM6" i="3"/>
  <c r="AN6" i="3"/>
  <c r="AG6" i="3"/>
  <c r="AU6" i="3"/>
  <c r="BP6" i="3" s="1"/>
  <c r="AJ6" i="3"/>
  <c r="AO6" i="3"/>
  <c r="AE6" i="3"/>
  <c r="AQ6" i="3"/>
  <c r="AR6" i="3"/>
  <c r="BM6" i="3" s="1"/>
  <c r="AF6" i="3"/>
  <c r="AB6" i="3"/>
  <c r="AB124" i="3"/>
  <c r="AB111" i="3"/>
  <c r="AW111" i="3" s="1"/>
  <c r="AB99" i="3"/>
  <c r="AB47" i="3"/>
  <c r="AB35" i="3"/>
  <c r="AN131" i="3"/>
  <c r="AT130" i="3"/>
  <c r="AH130" i="3"/>
  <c r="AS128" i="3"/>
  <c r="AT126" i="3"/>
  <c r="AF126" i="3"/>
  <c r="AS124" i="3"/>
  <c r="AF124" i="3"/>
  <c r="AM123" i="3"/>
  <c r="AR122" i="3"/>
  <c r="AE122" i="3"/>
  <c r="AL121" i="3"/>
  <c r="AR120" i="3"/>
  <c r="BM120" i="3" s="1"/>
  <c r="AF120" i="3"/>
  <c r="AK119" i="3"/>
  <c r="AQ118" i="3"/>
  <c r="AR116" i="3"/>
  <c r="AD116" i="3"/>
  <c r="AJ115" i="3"/>
  <c r="AQ114" i="3"/>
  <c r="BL114" i="3" s="1"/>
  <c r="AD114" i="3"/>
  <c r="AY114" i="3" s="1"/>
  <c r="AI113" i="3"/>
  <c r="AL112" i="3"/>
  <c r="AQ111" i="3"/>
  <c r="BL111" i="3" s="1"/>
  <c r="AC111" i="3"/>
  <c r="AG110" i="3"/>
  <c r="AH108" i="3"/>
  <c r="AF107" i="3"/>
  <c r="AF106" i="3"/>
  <c r="AT102" i="3"/>
  <c r="AR100" i="3"/>
  <c r="AQ99" i="3"/>
  <c r="BL99" i="3" s="1"/>
  <c r="AP98" i="3"/>
  <c r="AK96" i="3"/>
  <c r="AJ95" i="3"/>
  <c r="AI94" i="3"/>
  <c r="AF92" i="3"/>
  <c r="AC91" i="3"/>
  <c r="AD90" i="3"/>
  <c r="AT88" i="3"/>
  <c r="AQ86" i="3"/>
  <c r="AO84" i="3"/>
  <c r="AM83" i="3"/>
  <c r="AM82" i="3"/>
  <c r="AI81" i="3"/>
  <c r="BD81" i="3" s="1"/>
  <c r="AG80" i="3"/>
  <c r="AG79" i="3"/>
  <c r="AE78" i="3"/>
  <c r="AZ78" i="3" s="1"/>
  <c r="AU75" i="3"/>
  <c r="BP75" i="3" s="1"/>
  <c r="AT74" i="3"/>
  <c r="AJ70" i="3"/>
  <c r="AR67" i="3"/>
  <c r="AL66" i="3"/>
  <c r="BG66" i="3" s="1"/>
  <c r="AF63" i="3"/>
  <c r="BA63" i="3" s="1"/>
  <c r="AN59" i="3"/>
  <c r="AU52" i="3"/>
  <c r="AF50" i="3"/>
  <c r="AQ46" i="3"/>
  <c r="AJ43" i="3"/>
  <c r="AC36" i="3"/>
  <c r="AX36" i="3" s="1"/>
  <c r="AN30" i="3"/>
  <c r="AO19" i="3"/>
  <c r="AP12" i="3"/>
  <c r="AI129" i="3"/>
  <c r="BD129" i="3" s="1"/>
  <c r="AQ129" i="3"/>
  <c r="BL129" i="3" s="1"/>
  <c r="AB129" i="3"/>
  <c r="AJ129" i="3"/>
  <c r="AR129" i="3"/>
  <c r="BM129" i="3" s="1"/>
  <c r="AF129" i="3"/>
  <c r="AN129" i="3"/>
  <c r="AE97" i="3"/>
  <c r="AM97" i="3"/>
  <c r="AU97" i="3"/>
  <c r="AF97" i="3"/>
  <c r="AN97" i="3"/>
  <c r="AJ97" i="3"/>
  <c r="AR97" i="3"/>
  <c r="AG97" i="3"/>
  <c r="AS97" i="3"/>
  <c r="AB97" i="3"/>
  <c r="AH97" i="3"/>
  <c r="AT97" i="3"/>
  <c r="AO97" i="3"/>
  <c r="AS129" i="3"/>
  <c r="BN129" i="3" s="1"/>
  <c r="AN113" i="3"/>
  <c r="AI89" i="3"/>
  <c r="AD128" i="3"/>
  <c r="AL128" i="3"/>
  <c r="AT128" i="3"/>
  <c r="AE128" i="3"/>
  <c r="AM128" i="3"/>
  <c r="BH126" i="3" s="1"/>
  <c r="AU128" i="3"/>
  <c r="AI128" i="3"/>
  <c r="AQ128" i="3"/>
  <c r="AH104" i="3"/>
  <c r="AP104" i="3"/>
  <c r="AI104" i="3"/>
  <c r="AQ104" i="3"/>
  <c r="AE104" i="3"/>
  <c r="AM104" i="3"/>
  <c r="AU104" i="3"/>
  <c r="AN104" i="3"/>
  <c r="AC104" i="3"/>
  <c r="AO104" i="3"/>
  <c r="AJ104" i="3"/>
  <c r="BE102" i="3" s="1"/>
  <c r="AJ128" i="3"/>
  <c r="AO121" i="3"/>
  <c r="AG104" i="3"/>
  <c r="AO81" i="3"/>
  <c r="AG127" i="3"/>
  <c r="AO127" i="3"/>
  <c r="AH127" i="3"/>
  <c r="AP127" i="3"/>
  <c r="AD127" i="3"/>
  <c r="AL127" i="3"/>
  <c r="AT127" i="3"/>
  <c r="AC103" i="3"/>
  <c r="AK103" i="3"/>
  <c r="AS103" i="3"/>
  <c r="AD103" i="3"/>
  <c r="AL103" i="3"/>
  <c r="AT103" i="3"/>
  <c r="AH103" i="3"/>
  <c r="AP103" i="3"/>
  <c r="AG103" i="3"/>
  <c r="AU103" i="3"/>
  <c r="AI103" i="3"/>
  <c r="AO103" i="3"/>
  <c r="AC87" i="3"/>
  <c r="AX87" i="3" s="1"/>
  <c r="AK87" i="3"/>
  <c r="AS87" i="3"/>
  <c r="AD87" i="3"/>
  <c r="AY87" i="3" s="1"/>
  <c r="AL87" i="3"/>
  <c r="AT87" i="3"/>
  <c r="AH87" i="3"/>
  <c r="AP87" i="3"/>
  <c r="BK87" i="3" s="1"/>
  <c r="AE87" i="3"/>
  <c r="AQ87" i="3"/>
  <c r="AF87" i="3"/>
  <c r="AR87" i="3"/>
  <c r="BM87" i="3" s="1"/>
  <c r="AM87" i="3"/>
  <c r="AC71" i="3"/>
  <c r="AK71" i="3"/>
  <c r="AS71" i="3"/>
  <c r="AD71" i="3"/>
  <c r="AL71" i="3"/>
  <c r="AT71" i="3"/>
  <c r="AH71" i="3"/>
  <c r="AP71" i="3"/>
  <c r="AM71" i="3"/>
  <c r="AN71" i="3"/>
  <c r="AO71" i="3"/>
  <c r="AI71" i="3"/>
  <c r="AG55" i="3"/>
  <c r="AO55" i="3"/>
  <c r="AH55" i="3"/>
  <c r="AP55" i="3"/>
  <c r="AD55" i="3"/>
  <c r="AL55" i="3"/>
  <c r="AT55" i="3"/>
  <c r="AF55" i="3"/>
  <c r="AS55" i="3"/>
  <c r="AI55" i="3"/>
  <c r="AU55" i="3"/>
  <c r="AN55" i="3"/>
  <c r="AQ55" i="3"/>
  <c r="AR55" i="3"/>
  <c r="AK55" i="3"/>
  <c r="AC39" i="3"/>
  <c r="AK39" i="3"/>
  <c r="AS39" i="3"/>
  <c r="AD39" i="3"/>
  <c r="AY39" i="3" s="1"/>
  <c r="AL39" i="3"/>
  <c r="AT39" i="3"/>
  <c r="AH39" i="3"/>
  <c r="AP39" i="3"/>
  <c r="BK39" i="3" s="1"/>
  <c r="AM39" i="3"/>
  <c r="AN39" i="3"/>
  <c r="AG39" i="3"/>
  <c r="AU39" i="3"/>
  <c r="BP39" i="3" s="1"/>
  <c r="AQ39" i="3"/>
  <c r="AR39" i="3"/>
  <c r="AI39" i="3"/>
  <c r="AE39" i="3"/>
  <c r="AF39" i="3"/>
  <c r="AH23" i="3"/>
  <c r="AP23" i="3"/>
  <c r="AI23" i="3"/>
  <c r="AQ23" i="3"/>
  <c r="AE23" i="3"/>
  <c r="AM23" i="3"/>
  <c r="AU23" i="3"/>
  <c r="AJ23" i="3"/>
  <c r="AK23" i="3"/>
  <c r="AD23" i="3"/>
  <c r="AR23" i="3"/>
  <c r="AO23" i="3"/>
  <c r="AS23" i="3"/>
  <c r="AG23" i="3"/>
  <c r="AL23" i="3"/>
  <c r="AF23" i="3"/>
  <c r="AN23" i="3"/>
  <c r="AT23" i="3"/>
  <c r="AH7" i="3"/>
  <c r="AP7" i="3"/>
  <c r="AI7" i="3"/>
  <c r="AQ7" i="3"/>
  <c r="AE7" i="3"/>
  <c r="AM7" i="3"/>
  <c r="AU7" i="3"/>
  <c r="AF7" i="3"/>
  <c r="AS7" i="3"/>
  <c r="AG7" i="3"/>
  <c r="AT7" i="3"/>
  <c r="AN7" i="3"/>
  <c r="AL7" i="3"/>
  <c r="AO7" i="3"/>
  <c r="AD7" i="3"/>
  <c r="AC7" i="3"/>
  <c r="AJ7" i="3"/>
  <c r="AK7" i="3"/>
  <c r="AR7" i="3"/>
  <c r="AB112" i="3"/>
  <c r="AB87" i="3"/>
  <c r="AW87" i="3" s="1"/>
  <c r="AB23" i="3"/>
  <c r="AO131" i="3"/>
  <c r="AC129" i="3"/>
  <c r="AN127" i="3"/>
  <c r="AT124" i="3"/>
  <c r="AN123" i="3"/>
  <c r="AS120" i="3"/>
  <c r="BN120" i="3" s="1"/>
  <c r="AM119" i="3"/>
  <c r="AS116" i="3"/>
  <c r="AK113" i="3"/>
  <c r="AT111" i="3"/>
  <c r="AK108" i="3"/>
  <c r="BF108" i="3" s="1"/>
  <c r="AF104" i="3"/>
  <c r="AR99" i="3"/>
  <c r="AP97" i="3"/>
  <c r="AM95" i="3"/>
  <c r="AI91" i="3"/>
  <c r="AC89" i="3"/>
  <c r="AP84" i="3"/>
  <c r="AL80" i="3"/>
  <c r="AF76" i="3"/>
  <c r="AR71" i="3"/>
  <c r="AI63" i="3"/>
  <c r="AR59" i="3"/>
  <c r="AM55" i="3"/>
  <c r="AR43" i="3"/>
  <c r="AJ118" i="3"/>
  <c r="AR118" i="3"/>
  <c r="AC118" i="3"/>
  <c r="AK118" i="3"/>
  <c r="AS118" i="3"/>
  <c r="AG118" i="3"/>
  <c r="AO118" i="3"/>
  <c r="AB118" i="3"/>
  <c r="AB123" i="3"/>
  <c r="AB96" i="3"/>
  <c r="AW96" i="3" s="1"/>
  <c r="AB84" i="3"/>
  <c r="AW84" i="3" s="1"/>
  <c r="AB71" i="3"/>
  <c r="AB59" i="3"/>
  <c r="AB7" i="3"/>
  <c r="AM131" i="3"/>
  <c r="AR130" i="3"/>
  <c r="AE130" i="3"/>
  <c r="AL129" i="3"/>
  <c r="BG129" i="3" s="1"/>
  <c r="AR128" i="3"/>
  <c r="AF128" i="3"/>
  <c r="AK127" i="3"/>
  <c r="AQ126" i="3"/>
  <c r="BL126" i="3" s="1"/>
  <c r="AE126" i="3"/>
  <c r="AZ126" i="3" s="1"/>
  <c r="AR124" i="3"/>
  <c r="AJ123" i="3"/>
  <c r="AQ122" i="3"/>
  <c r="AD122" i="3"/>
  <c r="AK121" i="3"/>
  <c r="AP120" i="3"/>
  <c r="AC120" i="3"/>
  <c r="AX120" i="3" s="1"/>
  <c r="AJ119" i="3"/>
  <c r="AP118" i="3"/>
  <c r="AD118" i="3"/>
  <c r="AO116" i="3"/>
  <c r="AI115" i="3"/>
  <c r="AP114" i="3"/>
  <c r="AU113" i="3"/>
  <c r="AF113" i="3"/>
  <c r="AK112" i="3"/>
  <c r="BF111" i="3" s="1"/>
  <c r="AO111" i="3"/>
  <c r="BJ111" i="3" s="1"/>
  <c r="AU110" i="3"/>
  <c r="AE110" i="3"/>
  <c r="AE107" i="3"/>
  <c r="AE106" i="3"/>
  <c r="AT104" i="3"/>
  <c r="AR103" i="3"/>
  <c r="AR102" i="3"/>
  <c r="AM99" i="3"/>
  <c r="AL98" i="3"/>
  <c r="AK97" i="3"/>
  <c r="AJ96" i="3"/>
  <c r="AI95" i="3"/>
  <c r="AE94" i="3"/>
  <c r="AU90" i="3"/>
  <c r="BP90" i="3" s="1"/>
  <c r="AT89" i="3"/>
  <c r="AO87" i="3"/>
  <c r="AP86" i="3"/>
  <c r="AJ83" i="3"/>
  <c r="AH82" i="3"/>
  <c r="AH81" i="3"/>
  <c r="AF80" i="3"/>
  <c r="AF79" i="3"/>
  <c r="AS75" i="3"/>
  <c r="BN75" i="3" s="1"/>
  <c r="AQ74" i="3"/>
  <c r="AJ71" i="3"/>
  <c r="AD70" i="3"/>
  <c r="AQ67" i="3"/>
  <c r="AI66" i="3"/>
  <c r="AD63" i="3"/>
  <c r="AM59" i="3"/>
  <c r="AE55" i="3"/>
  <c r="AM46" i="3"/>
  <c r="AF43" i="3"/>
  <c r="AO39" i="3"/>
  <c r="BJ39" i="3" s="1"/>
  <c r="AR35" i="3"/>
  <c r="AG19" i="3"/>
  <c r="AE105" i="3"/>
  <c r="AM105" i="3"/>
  <c r="BH105" i="3" s="1"/>
  <c r="AU105" i="3"/>
  <c r="AF105" i="3"/>
  <c r="AN105" i="3"/>
  <c r="AJ105" i="3"/>
  <c r="BE105" i="3" s="1"/>
  <c r="AR105" i="3"/>
  <c r="BM105" i="3" s="1"/>
  <c r="AH105" i="3"/>
  <c r="AT105" i="3"/>
  <c r="AB105" i="3"/>
  <c r="AW105" i="3" s="1"/>
  <c r="AI105" i="3"/>
  <c r="BD105" i="3" s="1"/>
  <c r="AC105" i="3"/>
  <c r="AP105" i="3"/>
  <c r="AH88" i="3"/>
  <c r="AP88" i="3"/>
  <c r="AI88" i="3"/>
  <c r="AQ88" i="3"/>
  <c r="AE88" i="3"/>
  <c r="AM88" i="3"/>
  <c r="AU88" i="3"/>
  <c r="BP87" i="3" s="1"/>
  <c r="AK88" i="3"/>
  <c r="AL88" i="3"/>
  <c r="AF88" i="3"/>
  <c r="AS88" i="3"/>
  <c r="AH120" i="3"/>
  <c r="AQ97" i="3"/>
  <c r="AD3" i="3"/>
  <c r="AL3" i="3"/>
  <c r="AT3" i="3"/>
  <c r="AE3" i="3"/>
  <c r="AZ3" i="3" s="1"/>
  <c r="AM3" i="3"/>
  <c r="AU3" i="3"/>
  <c r="AI3" i="3"/>
  <c r="AQ3" i="3"/>
  <c r="BL3" i="3" s="1"/>
  <c r="AF3" i="3"/>
  <c r="AR3" i="3"/>
  <c r="AG3" i="3"/>
  <c r="AS3" i="3"/>
  <c r="AN3" i="3"/>
  <c r="AH3" i="3"/>
  <c r="AJ3" i="3"/>
  <c r="AC3" i="3"/>
  <c r="AK3" i="3"/>
  <c r="AO3" i="3"/>
  <c r="AP3" i="3"/>
  <c r="AH124" i="3"/>
  <c r="AP124" i="3"/>
  <c r="AI124" i="3"/>
  <c r="AQ124" i="3"/>
  <c r="AE124" i="3"/>
  <c r="AZ123" i="3" s="1"/>
  <c r="AM124" i="3"/>
  <c r="AU124" i="3"/>
  <c r="AH116" i="3"/>
  <c r="AP116" i="3"/>
  <c r="AI116" i="3"/>
  <c r="AQ116" i="3"/>
  <c r="AE116" i="3"/>
  <c r="AM116" i="3"/>
  <c r="AU116" i="3"/>
  <c r="AD108" i="3"/>
  <c r="AL108" i="3"/>
  <c r="BG108" i="3" s="1"/>
  <c r="AT108" i="3"/>
  <c r="BO108" i="3" s="1"/>
  <c r="AE108" i="3"/>
  <c r="AM108" i="3"/>
  <c r="BH108" i="3" s="1"/>
  <c r="AU108" i="3"/>
  <c r="AI108" i="3"/>
  <c r="AQ108" i="3"/>
  <c r="BL108" i="3" s="1"/>
  <c r="AO108" i="3"/>
  <c r="AC108" i="3"/>
  <c r="AX108" i="3" s="1"/>
  <c r="AP108" i="3"/>
  <c r="BK108" i="3" s="1"/>
  <c r="AJ108" i="3"/>
  <c r="BE108" i="3" s="1"/>
  <c r="AD100" i="3"/>
  <c r="AL100" i="3"/>
  <c r="AT100" i="3"/>
  <c r="AE100" i="3"/>
  <c r="AM100" i="3"/>
  <c r="AU100" i="3"/>
  <c r="AI100" i="3"/>
  <c r="AQ100" i="3"/>
  <c r="AN100" i="3"/>
  <c r="AO100" i="3"/>
  <c r="AH100" i="3"/>
  <c r="AD92" i="3"/>
  <c r="AL92" i="3"/>
  <c r="AT92" i="3"/>
  <c r="AE92" i="3"/>
  <c r="AM92" i="3"/>
  <c r="AU92" i="3"/>
  <c r="AI92" i="3"/>
  <c r="AQ92" i="3"/>
  <c r="AK92" i="3"/>
  <c r="AN92" i="3"/>
  <c r="AG92" i="3"/>
  <c r="AS92" i="3"/>
  <c r="AD84" i="3"/>
  <c r="AY84" i="3" s="1"/>
  <c r="AL84" i="3"/>
  <c r="AT84" i="3"/>
  <c r="BO84" i="3" s="1"/>
  <c r="AE84" i="3"/>
  <c r="AZ84" i="3" s="1"/>
  <c r="AM84" i="3"/>
  <c r="BH84" i="3" s="1"/>
  <c r="AU84" i="3"/>
  <c r="AI84" i="3"/>
  <c r="AQ84" i="3"/>
  <c r="BL84" i="3" s="1"/>
  <c r="AJ84" i="3"/>
  <c r="AK84" i="3"/>
  <c r="AF84" i="3"/>
  <c r="AR84" i="3"/>
  <c r="BM84" i="3" s="1"/>
  <c r="AD76" i="3"/>
  <c r="AL76" i="3"/>
  <c r="AT76" i="3"/>
  <c r="AE76" i="3"/>
  <c r="AM76" i="3"/>
  <c r="AU76" i="3"/>
  <c r="AI76" i="3"/>
  <c r="AQ76" i="3"/>
  <c r="AH76" i="3"/>
  <c r="AJ76" i="3"/>
  <c r="AC76" i="3"/>
  <c r="AP76" i="3"/>
  <c r="AD68" i="3"/>
  <c r="AY66" i="3" s="1"/>
  <c r="AL68" i="3"/>
  <c r="AT68" i="3"/>
  <c r="AE68" i="3"/>
  <c r="AM68" i="3"/>
  <c r="AU68" i="3"/>
  <c r="AI68" i="3"/>
  <c r="AQ68" i="3"/>
  <c r="AF68" i="3"/>
  <c r="AR68" i="3"/>
  <c r="AG68" i="3"/>
  <c r="AS68" i="3"/>
  <c r="AH68" i="3"/>
  <c r="AO68" i="3"/>
  <c r="AH60" i="3"/>
  <c r="AP60" i="3"/>
  <c r="BK60" i="3" s="1"/>
  <c r="AI60" i="3"/>
  <c r="BD60" i="3" s="1"/>
  <c r="AQ60" i="3"/>
  <c r="AE60" i="3"/>
  <c r="AM60" i="3"/>
  <c r="BH60" i="3" s="1"/>
  <c r="AC60" i="3"/>
  <c r="AN60" i="3"/>
  <c r="AJ60" i="3"/>
  <c r="AT60" i="3"/>
  <c r="BO60" i="3" s="1"/>
  <c r="AD60" i="3"/>
  <c r="AU60" i="3"/>
  <c r="AF60" i="3"/>
  <c r="AG60" i="3"/>
  <c r="BB60" i="3" s="1"/>
  <c r="AR60" i="3"/>
  <c r="BM60" i="3" s="1"/>
  <c r="AI52" i="3"/>
  <c r="AQ52" i="3"/>
  <c r="AD52" i="3"/>
  <c r="AM52" i="3"/>
  <c r="AE52" i="3"/>
  <c r="AN52" i="3"/>
  <c r="AJ52" i="3"/>
  <c r="AS52" i="3"/>
  <c r="AH52" i="3"/>
  <c r="AK52" i="3"/>
  <c r="AC52" i="3"/>
  <c r="AR52" i="3"/>
  <c r="AG52" i="3"/>
  <c r="AL52" i="3"/>
  <c r="AO52" i="3"/>
  <c r="AD44" i="3"/>
  <c r="AL44" i="3"/>
  <c r="AT44" i="3"/>
  <c r="AE44" i="3"/>
  <c r="AM44" i="3"/>
  <c r="AU44" i="3"/>
  <c r="AI44" i="3"/>
  <c r="AQ44" i="3"/>
  <c r="BL42" i="3" s="1"/>
  <c r="AG44" i="3"/>
  <c r="AS44" i="3"/>
  <c r="AH44" i="3"/>
  <c r="AO44" i="3"/>
  <c r="AC44" i="3"/>
  <c r="AF44" i="3"/>
  <c r="AP44" i="3"/>
  <c r="AJ44" i="3"/>
  <c r="AK44" i="3"/>
  <c r="AF36" i="3"/>
  <c r="AN36" i="3"/>
  <c r="AE36" i="3"/>
  <c r="AZ36" i="3" s="1"/>
  <c r="AO36" i="3"/>
  <c r="AG36" i="3"/>
  <c r="AP36" i="3"/>
  <c r="AK36" i="3"/>
  <c r="BF36" i="3" s="1"/>
  <c r="AT36" i="3"/>
  <c r="AL36" i="3"/>
  <c r="AM36" i="3"/>
  <c r="AH36" i="3"/>
  <c r="BC36" i="3" s="1"/>
  <c r="AU36" i="3"/>
  <c r="BP36" i="3" s="1"/>
  <c r="AD36" i="3"/>
  <c r="AI36" i="3"/>
  <c r="AS36" i="3"/>
  <c r="AR36" i="3"/>
  <c r="BM36" i="3" s="1"/>
  <c r="AJ36" i="3"/>
  <c r="AI28" i="3"/>
  <c r="AQ28" i="3"/>
  <c r="AJ28" i="3"/>
  <c r="AR28" i="3"/>
  <c r="AF28" i="3"/>
  <c r="AN28" i="3"/>
  <c r="AD28" i="3"/>
  <c r="AP28" i="3"/>
  <c r="AE28" i="3"/>
  <c r="AS28" i="3"/>
  <c r="AL28" i="3"/>
  <c r="AC28" i="3"/>
  <c r="AG28" i="3"/>
  <c r="AO28" i="3"/>
  <c r="AM28" i="3"/>
  <c r="AT28" i="3"/>
  <c r="AU28" i="3"/>
  <c r="AH28" i="3"/>
  <c r="AI20" i="3"/>
  <c r="AQ20" i="3"/>
  <c r="AJ20" i="3"/>
  <c r="AR20" i="3"/>
  <c r="AF20" i="3"/>
  <c r="AN20" i="3"/>
  <c r="AC20" i="3"/>
  <c r="AO20" i="3"/>
  <c r="AD20" i="3"/>
  <c r="AP20" i="3"/>
  <c r="AK20" i="3"/>
  <c r="AL20" i="3"/>
  <c r="AM20" i="3"/>
  <c r="BH18" i="3" s="1"/>
  <c r="AE20" i="3"/>
  <c r="AS20" i="3"/>
  <c r="AT20" i="3"/>
  <c r="AH20" i="3"/>
  <c r="AU20" i="3"/>
  <c r="AI12" i="3"/>
  <c r="AQ12" i="3"/>
  <c r="BL12" i="3" s="1"/>
  <c r="AJ12" i="3"/>
  <c r="BE12" i="3" s="1"/>
  <c r="AR12" i="3"/>
  <c r="AF12" i="3"/>
  <c r="AN12" i="3"/>
  <c r="BI12" i="3" s="1"/>
  <c r="AM12" i="3"/>
  <c r="AC12" i="3"/>
  <c r="AO12" i="3"/>
  <c r="AH12" i="3"/>
  <c r="BC12" i="3" s="1"/>
  <c r="AU12" i="3"/>
  <c r="BP12" i="3" s="1"/>
  <c r="AT12" i="3"/>
  <c r="AD12" i="3"/>
  <c r="AL12" i="3"/>
  <c r="BG12" i="3" s="1"/>
  <c r="AE12" i="3"/>
  <c r="AG12" i="3"/>
  <c r="AS12" i="3"/>
  <c r="AI4" i="3"/>
  <c r="AQ4" i="3"/>
  <c r="AJ4" i="3"/>
  <c r="AR4" i="3"/>
  <c r="AF4" i="3"/>
  <c r="AN4" i="3"/>
  <c r="AL4" i="3"/>
  <c r="AM4" i="3"/>
  <c r="AG4" i="3"/>
  <c r="AT4" i="3"/>
  <c r="AH4" i="3"/>
  <c r="AK4" i="3"/>
  <c r="AC4" i="3"/>
  <c r="AU4" i="3"/>
  <c r="AS4" i="3"/>
  <c r="AO4" i="3"/>
  <c r="AD4" i="3"/>
  <c r="AE4" i="3"/>
  <c r="AB120" i="3"/>
  <c r="AB108" i="3"/>
  <c r="AB95" i="3"/>
  <c r="AB83" i="3"/>
  <c r="AB44" i="3"/>
  <c r="AB31" i="3"/>
  <c r="AB19" i="3"/>
  <c r="AJ131" i="3"/>
  <c r="AK129" i="3"/>
  <c r="AP128" i="3"/>
  <c r="AC128" i="3"/>
  <c r="AJ127" i="3"/>
  <c r="AO124" i="3"/>
  <c r="AC124" i="3"/>
  <c r="AI123" i="3"/>
  <c r="BD123" i="3" s="1"/>
  <c r="AU121" i="3"/>
  <c r="AH121" i="3"/>
  <c r="AO120" i="3"/>
  <c r="BJ120" i="3" s="1"/>
  <c r="AU119" i="3"/>
  <c r="AI119" i="3"/>
  <c r="AN116" i="3"/>
  <c r="AU115" i="3"/>
  <c r="AG115" i="3"/>
  <c r="AT113" i="3"/>
  <c r="AE113" i="3"/>
  <c r="AJ112" i="3"/>
  <c r="AM111" i="3"/>
  <c r="BH111" i="3" s="1"/>
  <c r="AF108" i="3"/>
  <c r="AS105" i="3"/>
  <c r="AS104" i="3"/>
  <c r="AQ103" i="3"/>
  <c r="AK100" i="3"/>
  <c r="AK99" i="3"/>
  <c r="AI97" i="3"/>
  <c r="AF96" i="3"/>
  <c r="BA96" i="3" s="1"/>
  <c r="AE95" i="3"/>
  <c r="AU91" i="3"/>
  <c r="AP89" i="3"/>
  <c r="AO88" i="3"/>
  <c r="AN87" i="3"/>
  <c r="AH84" i="3"/>
  <c r="BC84" i="3" s="1"/>
  <c r="AI83" i="3"/>
  <c r="AG81" i="3"/>
  <c r="BB81" i="3" s="1"/>
  <c r="AC80" i="3"/>
  <c r="AR76" i="3"/>
  <c r="AR75" i="3"/>
  <c r="AG71" i="3"/>
  <c r="AP68" i="3"/>
  <c r="AJ67" i="3"/>
  <c r="AJ59" i="3"/>
  <c r="AC55" i="3"/>
  <c r="AP52" i="3"/>
  <c r="AJ39" i="3"/>
  <c r="AH35" i="3"/>
  <c r="AN11" i="3"/>
  <c r="AP4" i="3"/>
  <c r="AJ109" i="3"/>
  <c r="AR109" i="3"/>
  <c r="AF109" i="3"/>
  <c r="AN109" i="3"/>
  <c r="AI101" i="3"/>
  <c r="AQ101" i="3"/>
  <c r="AJ101" i="3"/>
  <c r="AR101" i="3"/>
  <c r="AF101" i="3"/>
  <c r="AN101" i="3"/>
  <c r="AI93" i="3"/>
  <c r="BD93" i="3" s="1"/>
  <c r="AQ93" i="3"/>
  <c r="BL93" i="3" s="1"/>
  <c r="AJ93" i="3"/>
  <c r="AR93" i="3"/>
  <c r="AF93" i="3"/>
  <c r="BA93" i="3" s="1"/>
  <c r="AN93" i="3"/>
  <c r="BI93" i="3" s="1"/>
  <c r="AI85" i="3"/>
  <c r="AQ85" i="3"/>
  <c r="AJ85" i="3"/>
  <c r="AR85" i="3"/>
  <c r="AF85" i="3"/>
  <c r="AN85" i="3"/>
  <c r="BI84" i="3" s="1"/>
  <c r="AI77" i="3"/>
  <c r="AQ77" i="3"/>
  <c r="AJ77" i="3"/>
  <c r="AR77" i="3"/>
  <c r="AF77" i="3"/>
  <c r="AN77" i="3"/>
  <c r="AI69" i="3"/>
  <c r="AQ69" i="3"/>
  <c r="BL69" i="3" s="1"/>
  <c r="AJ69" i="3"/>
  <c r="BE69" i="3" s="1"/>
  <c r="AR69" i="3"/>
  <c r="BM69" i="3" s="1"/>
  <c r="AF69" i="3"/>
  <c r="AN69" i="3"/>
  <c r="BI69" i="3" s="1"/>
  <c r="AE61" i="3"/>
  <c r="AM61" i="3"/>
  <c r="AU61" i="3"/>
  <c r="AF61" i="3"/>
  <c r="AN61" i="3"/>
  <c r="AD61" i="3"/>
  <c r="AP61" i="3"/>
  <c r="AG61" i="3"/>
  <c r="AQ61" i="3"/>
  <c r="AK61" i="3"/>
  <c r="AF53" i="3"/>
  <c r="AN53" i="3"/>
  <c r="AC53" i="3"/>
  <c r="AL53" i="3"/>
  <c r="AU53" i="3"/>
  <c r="AD53" i="3"/>
  <c r="AM53" i="3"/>
  <c r="AI53" i="3"/>
  <c r="AR53" i="3"/>
  <c r="AE53" i="3"/>
  <c r="AS53" i="3"/>
  <c r="AG53" i="3"/>
  <c r="AT53" i="3"/>
  <c r="AO53" i="3"/>
  <c r="AI45" i="3"/>
  <c r="BD45" i="3" s="1"/>
  <c r="AQ45" i="3"/>
  <c r="BL45" i="3" s="1"/>
  <c r="AJ45" i="3"/>
  <c r="AR45" i="3"/>
  <c r="BM45" i="3" s="1"/>
  <c r="AF45" i="3"/>
  <c r="BA45" i="3" s="1"/>
  <c r="AN45" i="3"/>
  <c r="BI45" i="3" s="1"/>
  <c r="AM45" i="3"/>
  <c r="AC45" i="3"/>
  <c r="AO45" i="3"/>
  <c r="BJ45" i="3" s="1"/>
  <c r="AH45" i="3"/>
  <c r="BC45" i="3" s="1"/>
  <c r="AU45" i="3"/>
  <c r="AE45" i="3"/>
  <c r="AG45" i="3"/>
  <c r="BB45" i="3" s="1"/>
  <c r="AS45" i="3"/>
  <c r="BN45" i="3" s="1"/>
  <c r="AC37" i="3"/>
  <c r="AK37" i="3"/>
  <c r="AS37" i="3"/>
  <c r="AE37" i="3"/>
  <c r="AN37" i="3"/>
  <c r="AF37" i="3"/>
  <c r="AO37" i="3"/>
  <c r="AJ37" i="3"/>
  <c r="AT37" i="3"/>
  <c r="AH37" i="3"/>
  <c r="AI37" i="3"/>
  <c r="AQ37" i="3"/>
  <c r="BL36" i="3" s="1"/>
  <c r="AL37" i="3"/>
  <c r="AM37" i="3"/>
  <c r="AF29" i="3"/>
  <c r="AN29" i="3"/>
  <c r="AG29" i="3"/>
  <c r="AO29" i="3"/>
  <c r="AC29" i="3"/>
  <c r="AK29" i="3"/>
  <c r="AS29" i="3"/>
  <c r="AJ29" i="3"/>
  <c r="AL29" i="3"/>
  <c r="AE29" i="3"/>
  <c r="AR29" i="3"/>
  <c r="AD29" i="3"/>
  <c r="AH29" i="3"/>
  <c r="AQ29" i="3"/>
  <c r="AI29" i="3"/>
  <c r="AM29" i="3"/>
  <c r="AF21" i="3"/>
  <c r="BA21" i="3" s="1"/>
  <c r="AN21" i="3"/>
  <c r="BI21" i="3" s="1"/>
  <c r="AG21" i="3"/>
  <c r="AO21" i="3"/>
  <c r="BJ21" i="3" s="1"/>
  <c r="AC21" i="3"/>
  <c r="AX21" i="3" s="1"/>
  <c r="AK21" i="3"/>
  <c r="AS21" i="3"/>
  <c r="AI21" i="3"/>
  <c r="AU21" i="3"/>
  <c r="BP21" i="3" s="1"/>
  <c r="AJ21" i="3"/>
  <c r="BE21" i="3" s="1"/>
  <c r="AD21" i="3"/>
  <c r="AY21" i="3" s="1"/>
  <c r="AQ21" i="3"/>
  <c r="BL21" i="3" s="1"/>
  <c r="AM21" i="3"/>
  <c r="BH21" i="3" s="1"/>
  <c r="AP21" i="3"/>
  <c r="BK21" i="3" s="1"/>
  <c r="AE21" i="3"/>
  <c r="AR21" i="3"/>
  <c r="AF13" i="3"/>
  <c r="AN13" i="3"/>
  <c r="AG13" i="3"/>
  <c r="AO13" i="3"/>
  <c r="AC13" i="3"/>
  <c r="AK13" i="3"/>
  <c r="BF12" i="3" s="1"/>
  <c r="AS13" i="3"/>
  <c r="AH13" i="3"/>
  <c r="AT13" i="3"/>
  <c r="AI13" i="3"/>
  <c r="AU13" i="3"/>
  <c r="AP13" i="3"/>
  <c r="AD13" i="3"/>
  <c r="AM13" i="3"/>
  <c r="AL13" i="3"/>
  <c r="AQ13" i="3"/>
  <c r="AR13" i="3"/>
  <c r="AE13" i="3"/>
  <c r="AF5" i="3"/>
  <c r="AN5" i="3"/>
  <c r="AG5" i="3"/>
  <c r="AO5" i="3"/>
  <c r="AC5" i="3"/>
  <c r="AK5" i="3"/>
  <c r="AS5" i="3"/>
  <c r="AE5" i="3"/>
  <c r="AR5" i="3"/>
  <c r="AH5" i="3"/>
  <c r="AT5" i="3"/>
  <c r="AM5" i="3"/>
  <c r="AJ5" i="3"/>
  <c r="AL5" i="3"/>
  <c r="AD5" i="3"/>
  <c r="AI5" i="3"/>
  <c r="AR125" i="3"/>
  <c r="AJ125" i="3"/>
  <c r="AR117" i="3"/>
  <c r="BM117" i="3" s="1"/>
  <c r="AJ117" i="3"/>
  <c r="BE117" i="3" s="1"/>
  <c r="AO109" i="3"/>
  <c r="AD109" i="3"/>
  <c r="AO101" i="3"/>
  <c r="AC101" i="3"/>
  <c r="AX99" i="3" s="1"/>
  <c r="AM93" i="3"/>
  <c r="AL85" i="3"/>
  <c r="AK77" i="3"/>
  <c r="AO72" i="3"/>
  <c r="AC72" i="3"/>
  <c r="AU69" i="3"/>
  <c r="BP69" i="3" s="1"/>
  <c r="AH69" i="3"/>
  <c r="BC69" i="3" s="1"/>
  <c r="AT65" i="3"/>
  <c r="AI64" i="3"/>
  <c r="AO61" i="3"/>
  <c r="AK56" i="3"/>
  <c r="AH53" i="3"/>
  <c r="AK45" i="3"/>
  <c r="AU5" i="3"/>
  <c r="AE73" i="3"/>
  <c r="AM73" i="3"/>
  <c r="AU73" i="3"/>
  <c r="AF73" i="3"/>
  <c r="AN73" i="3"/>
  <c r="AJ73" i="3"/>
  <c r="AR73" i="3"/>
  <c r="AJ65" i="3"/>
  <c r="AD65" i="3"/>
  <c r="AM65" i="3"/>
  <c r="AU65" i="3"/>
  <c r="AE65" i="3"/>
  <c r="AN65" i="3"/>
  <c r="AI65" i="3"/>
  <c r="AR65" i="3"/>
  <c r="AI57" i="3"/>
  <c r="BD57" i="3" s="1"/>
  <c r="AQ57" i="3"/>
  <c r="BL57" i="3" s="1"/>
  <c r="AJ57" i="3"/>
  <c r="AR57" i="3"/>
  <c r="AF57" i="3"/>
  <c r="BA57" i="3" s="1"/>
  <c r="AN57" i="3"/>
  <c r="BI57" i="3" s="1"/>
  <c r="AG57" i="3"/>
  <c r="BB57" i="3" s="1"/>
  <c r="AT57" i="3"/>
  <c r="BO57" i="3" s="1"/>
  <c r="AH57" i="3"/>
  <c r="BC57" i="3" s="1"/>
  <c r="AU57" i="3"/>
  <c r="BP57" i="3" s="1"/>
  <c r="AC57" i="3"/>
  <c r="AO57" i="3"/>
  <c r="BJ57" i="3" s="1"/>
  <c r="AE49" i="3"/>
  <c r="AM49" i="3"/>
  <c r="AU49" i="3"/>
  <c r="AF49" i="3"/>
  <c r="AN49" i="3"/>
  <c r="AJ49" i="3"/>
  <c r="AR49" i="3"/>
  <c r="BM48" i="3" s="1"/>
  <c r="AO49" i="3"/>
  <c r="AC49" i="3"/>
  <c r="AP49" i="3"/>
  <c r="AI49" i="3"/>
  <c r="AK49" i="3"/>
  <c r="AL49" i="3"/>
  <c r="AD49" i="3"/>
  <c r="AE41" i="3"/>
  <c r="AM41" i="3"/>
  <c r="AU41" i="3"/>
  <c r="AF41" i="3"/>
  <c r="AN41" i="3"/>
  <c r="AJ41" i="3"/>
  <c r="AR41" i="3"/>
  <c r="AL41" i="3"/>
  <c r="AO41" i="3"/>
  <c r="AH41" i="3"/>
  <c r="AT41" i="3"/>
  <c r="AS41" i="3"/>
  <c r="AC41" i="3"/>
  <c r="AK41" i="3"/>
  <c r="AJ33" i="3"/>
  <c r="BE33" i="3" s="1"/>
  <c r="AR33" i="3"/>
  <c r="BM33" i="3" s="1"/>
  <c r="AC33" i="3"/>
  <c r="AX33" i="3" s="1"/>
  <c r="AK33" i="3"/>
  <c r="AS33" i="3"/>
  <c r="BN33" i="3" s="1"/>
  <c r="AG33" i="3"/>
  <c r="BB33" i="3" s="1"/>
  <c r="AO33" i="3"/>
  <c r="BJ33" i="3" s="1"/>
  <c r="AL33" i="3"/>
  <c r="AM33" i="3"/>
  <c r="BH33" i="3" s="1"/>
  <c r="AF33" i="3"/>
  <c r="BA33" i="3" s="1"/>
  <c r="AT33" i="3"/>
  <c r="BO33" i="3" s="1"/>
  <c r="AI33" i="3"/>
  <c r="AN33" i="3"/>
  <c r="BI33" i="3" s="1"/>
  <c r="AD33" i="3"/>
  <c r="AY33" i="3" s="1"/>
  <c r="AQ33" i="3"/>
  <c r="AJ25" i="3"/>
  <c r="AR25" i="3"/>
  <c r="AC25" i="3"/>
  <c r="AK25" i="3"/>
  <c r="AS25" i="3"/>
  <c r="AG25" i="3"/>
  <c r="AO25" i="3"/>
  <c r="AI25" i="3"/>
  <c r="AL25" i="3"/>
  <c r="AE25" i="3"/>
  <c r="AQ25" i="3"/>
  <c r="AT25" i="3"/>
  <c r="AU25" i="3"/>
  <c r="AM25" i="3"/>
  <c r="AP25" i="3"/>
  <c r="AF25" i="3"/>
  <c r="AJ17" i="3"/>
  <c r="AR17" i="3"/>
  <c r="AC17" i="3"/>
  <c r="AK17" i="3"/>
  <c r="AS17" i="3"/>
  <c r="AG17" i="3"/>
  <c r="AO17" i="3"/>
  <c r="AH17" i="3"/>
  <c r="AU17" i="3"/>
  <c r="AI17" i="3"/>
  <c r="AD17" i="3"/>
  <c r="AP17" i="3"/>
  <c r="AF17" i="3"/>
  <c r="AL17" i="3"/>
  <c r="AT17" i="3"/>
  <c r="AE17" i="3"/>
  <c r="AM17" i="3"/>
  <c r="AJ9" i="3"/>
  <c r="BE9" i="3" s="1"/>
  <c r="AR9" i="3"/>
  <c r="BM9" i="3" s="1"/>
  <c r="AC9" i="3"/>
  <c r="AX9" i="3" s="1"/>
  <c r="AK9" i="3"/>
  <c r="AS9" i="3"/>
  <c r="BN9" i="3" s="1"/>
  <c r="AG9" i="3"/>
  <c r="BB9" i="3" s="1"/>
  <c r="AO9" i="3"/>
  <c r="AF9" i="3"/>
  <c r="AT9" i="3"/>
  <c r="BO9" i="3" s="1"/>
  <c r="AH9" i="3"/>
  <c r="BC9" i="3" s="1"/>
  <c r="AU9" i="3"/>
  <c r="BP9" i="3" s="1"/>
  <c r="AN9" i="3"/>
  <c r="AP9" i="3"/>
  <c r="BK9" i="3" s="1"/>
  <c r="AQ9" i="3"/>
  <c r="BL9" i="3" s="1"/>
  <c r="AI9" i="3"/>
  <c r="AM9" i="3"/>
  <c r="BH9" i="3" s="1"/>
  <c r="AN125" i="3"/>
  <c r="AF125" i="3"/>
  <c r="AN117" i="3"/>
  <c r="BI117" i="3" s="1"/>
  <c r="AF117" i="3"/>
  <c r="AT109" i="3"/>
  <c r="AI109" i="3"/>
  <c r="AU101" i="3"/>
  <c r="AH101" i="3"/>
  <c r="AT93" i="3"/>
  <c r="AG93" i="3"/>
  <c r="BB93" i="3" s="1"/>
  <c r="AS85" i="3"/>
  <c r="AE85" i="3"/>
  <c r="AP77" i="3"/>
  <c r="AD77" i="3"/>
  <c r="AP73" i="3"/>
  <c r="AC73" i="3"/>
  <c r="AO69" i="3"/>
  <c r="AC69" i="3"/>
  <c r="AX69" i="3" s="1"/>
  <c r="AO65" i="3"/>
  <c r="AH61" i="3"/>
  <c r="AD57" i="3"/>
  <c r="AY57" i="3" s="1"/>
  <c r="AQ53" i="3"/>
  <c r="AQ49" i="3"/>
  <c r="AD41" i="3"/>
  <c r="AG37" i="3"/>
  <c r="AP29" i="3"/>
  <c r="AH21" i="3"/>
  <c r="BC21" i="3" s="1"/>
  <c r="AH72" i="3"/>
  <c r="BC72" i="3" s="1"/>
  <c r="AP72" i="3"/>
  <c r="BK72" i="3" s="1"/>
  <c r="AI72" i="3"/>
  <c r="BD72" i="3" s="1"/>
  <c r="AQ72" i="3"/>
  <c r="BL72" i="3" s="1"/>
  <c r="AE72" i="3"/>
  <c r="AM72" i="3"/>
  <c r="BH72" i="3" s="1"/>
  <c r="AU72" i="3"/>
  <c r="BP72" i="3" s="1"/>
  <c r="AD64" i="3"/>
  <c r="AL64" i="3"/>
  <c r="AT64" i="3"/>
  <c r="AE64" i="3"/>
  <c r="AM64" i="3"/>
  <c r="BH63" i="3" s="1"/>
  <c r="AU64" i="3"/>
  <c r="AK64" i="3"/>
  <c r="AN64" i="3"/>
  <c r="AH64" i="3"/>
  <c r="AR64" i="3"/>
  <c r="AD56" i="3"/>
  <c r="AL56" i="3"/>
  <c r="AT56" i="3"/>
  <c r="AE56" i="3"/>
  <c r="AM56" i="3"/>
  <c r="AU56" i="3"/>
  <c r="AI56" i="3"/>
  <c r="AQ56" i="3"/>
  <c r="AN56" i="3"/>
  <c r="AO56" i="3"/>
  <c r="AH56" i="3"/>
  <c r="AH48" i="3"/>
  <c r="AP48" i="3"/>
  <c r="AI48" i="3"/>
  <c r="BD48" i="3" s="1"/>
  <c r="AQ48" i="3"/>
  <c r="BL48" i="3" s="1"/>
  <c r="AE48" i="3"/>
  <c r="AM48" i="3"/>
  <c r="AU48" i="3"/>
  <c r="BP48" i="3" s="1"/>
  <c r="AG48" i="3"/>
  <c r="AT48" i="3"/>
  <c r="BO48" i="3" s="1"/>
  <c r="AJ48" i="3"/>
  <c r="AC48" i="3"/>
  <c r="AX48" i="3" s="1"/>
  <c r="AO48" i="3"/>
  <c r="BJ48" i="3" s="1"/>
  <c r="AK48" i="3"/>
  <c r="BF48" i="3" s="1"/>
  <c r="AL48" i="3"/>
  <c r="BG48" i="3" s="1"/>
  <c r="AH40" i="3"/>
  <c r="AP40" i="3"/>
  <c r="AI40" i="3"/>
  <c r="AQ40" i="3"/>
  <c r="AE40" i="3"/>
  <c r="AM40" i="3"/>
  <c r="AU40" i="3"/>
  <c r="AF40" i="3"/>
  <c r="AS40" i="3"/>
  <c r="AG40" i="3"/>
  <c r="AT40" i="3"/>
  <c r="AN40" i="3"/>
  <c r="AR40" i="3"/>
  <c r="AK40" i="3"/>
  <c r="AE32" i="3"/>
  <c r="AM32" i="3"/>
  <c r="AU32" i="3"/>
  <c r="AF32" i="3"/>
  <c r="AN32" i="3"/>
  <c r="AJ32" i="3"/>
  <c r="AR32" i="3"/>
  <c r="AD32" i="3"/>
  <c r="AQ32" i="3"/>
  <c r="AG32" i="3"/>
  <c r="AS32" i="3"/>
  <c r="AL32" i="3"/>
  <c r="AI32" i="3"/>
  <c r="AK32" i="3"/>
  <c r="AP32" i="3"/>
  <c r="AT32" i="3"/>
  <c r="AC32" i="3"/>
  <c r="AE24" i="3"/>
  <c r="AZ24" i="3" s="1"/>
  <c r="AM24" i="3"/>
  <c r="BH24" i="3" s="1"/>
  <c r="AU24" i="3"/>
  <c r="AF24" i="3"/>
  <c r="AN24" i="3"/>
  <c r="BI24" i="3" s="1"/>
  <c r="AJ24" i="3"/>
  <c r="BE24" i="3" s="1"/>
  <c r="AR24" i="3"/>
  <c r="AC24" i="3"/>
  <c r="AP24" i="3"/>
  <c r="AD24" i="3"/>
  <c r="AY24" i="3" s="1"/>
  <c r="AQ24" i="3"/>
  <c r="AK24" i="3"/>
  <c r="AS24" i="3"/>
  <c r="BN24" i="3" s="1"/>
  <c r="AT24" i="3"/>
  <c r="BO24" i="3" s="1"/>
  <c r="AI24" i="3"/>
  <c r="AG24" i="3"/>
  <c r="AH24" i="3"/>
  <c r="BC24" i="3" s="1"/>
  <c r="AE16" i="3"/>
  <c r="AM16" i="3"/>
  <c r="AU16" i="3"/>
  <c r="AF16" i="3"/>
  <c r="AN16" i="3"/>
  <c r="AJ16" i="3"/>
  <c r="AR16" i="3"/>
  <c r="AO16" i="3"/>
  <c r="AC16" i="3"/>
  <c r="AP16" i="3"/>
  <c r="AI16" i="3"/>
  <c r="AG16" i="3"/>
  <c r="AH16" i="3"/>
  <c r="AS16" i="3"/>
  <c r="AT16" i="3"/>
  <c r="AL16" i="3"/>
  <c r="AE8" i="3"/>
  <c r="AM8" i="3"/>
  <c r="AU8" i="3"/>
  <c r="AF8" i="3"/>
  <c r="AN8" i="3"/>
  <c r="AJ8" i="3"/>
  <c r="AR8" i="3"/>
  <c r="AL8" i="3"/>
  <c r="AO8" i="3"/>
  <c r="AH8" i="3"/>
  <c r="AT8" i="3"/>
  <c r="AP8" i="3"/>
  <c r="AQ8" i="3"/>
  <c r="AG8" i="3"/>
  <c r="AI8" i="3"/>
  <c r="AK8" i="3"/>
  <c r="AS8" i="3"/>
  <c r="AC8" i="3"/>
  <c r="AB73" i="3"/>
  <c r="AB65" i="3"/>
  <c r="AB57" i="3"/>
  <c r="AW57" i="3" s="1"/>
  <c r="AB49" i="3"/>
  <c r="AB41" i="3"/>
  <c r="AB33" i="3"/>
  <c r="AB25" i="3"/>
  <c r="AW24" i="3" s="1"/>
  <c r="AB17" i="3"/>
  <c r="AB9" i="3"/>
  <c r="AW9" i="3" s="1"/>
  <c r="AU125" i="3"/>
  <c r="AM125" i="3"/>
  <c r="AU117" i="3"/>
  <c r="AM117" i="3"/>
  <c r="AS109" i="3"/>
  <c r="AH109" i="3"/>
  <c r="AT101" i="3"/>
  <c r="AG101" i="3"/>
  <c r="AS93" i="3"/>
  <c r="BN93" i="3" s="1"/>
  <c r="AE93" i="3"/>
  <c r="AZ93" i="3" s="1"/>
  <c r="AP85" i="3"/>
  <c r="AD85" i="3"/>
  <c r="AO77" i="3"/>
  <c r="AC77" i="3"/>
  <c r="AO73" i="3"/>
  <c r="AT72" i="3"/>
  <c r="BO72" i="3" s="1"/>
  <c r="AG72" i="3"/>
  <c r="BB72" i="3" s="1"/>
  <c r="AM69" i="3"/>
  <c r="BH69" i="3" s="1"/>
  <c r="AL65" i="3"/>
  <c r="AP64" i="3"/>
  <c r="AT61" i="3"/>
  <c r="AC61" i="3"/>
  <c r="AS56" i="3"/>
  <c r="AP53" i="3"/>
  <c r="AH49" i="3"/>
  <c r="AT45" i="3"/>
  <c r="BO45" i="3" s="1"/>
  <c r="AO40" i="3"/>
  <c r="AD37" i="3"/>
  <c r="AQ17" i="3"/>
  <c r="AK65" i="3"/>
  <c r="AO64" i="3"/>
  <c r="AS57" i="3"/>
  <c r="AR56" i="3"/>
  <c r="AK53" i="3"/>
  <c r="AG49" i="3"/>
  <c r="AP45" i="3"/>
  <c r="BK45" i="3" s="1"/>
  <c r="AL40" i="3"/>
  <c r="AN17" i="3"/>
  <c r="AU3" i="1"/>
  <c r="AY3" i="1" s="1"/>
  <c r="AU57" i="1"/>
  <c r="BO57" i="1" s="1"/>
  <c r="AU129" i="1"/>
  <c r="BO129" i="1" s="1"/>
  <c r="AU54" i="1"/>
  <c r="BM21" i="1"/>
  <c r="AU12" i="1"/>
  <c r="BI12" i="1" s="1"/>
  <c r="AU84" i="1"/>
  <c r="AU9" i="1"/>
  <c r="BJ9" i="1" s="1"/>
  <c r="AU81" i="1"/>
  <c r="BJ81" i="1" s="1"/>
  <c r="BI57" i="1"/>
  <c r="AU36" i="1"/>
  <c r="BF36" i="1" s="1"/>
  <c r="AU60" i="1"/>
  <c r="AU108" i="1"/>
  <c r="AU51" i="1"/>
  <c r="BC51" i="1" s="1"/>
  <c r="AU15" i="1"/>
  <c r="BO15" i="1" s="1"/>
  <c r="AU39" i="1"/>
  <c r="BO39" i="1" s="1"/>
  <c r="AU63" i="1"/>
  <c r="BO63" i="1" s="1"/>
  <c r="AU87" i="1"/>
  <c r="BK87" i="1" s="1"/>
  <c r="AW87" i="1"/>
  <c r="AU111" i="1"/>
  <c r="BB108" i="1"/>
  <c r="BA57" i="1"/>
  <c r="AU33" i="1"/>
  <c r="AY33" i="1" s="1"/>
  <c r="AU105" i="1"/>
  <c r="AZ3" i="1"/>
  <c r="BB3" i="1"/>
  <c r="AU21" i="1"/>
  <c r="BE21" i="1" s="1"/>
  <c r="AU69" i="1"/>
  <c r="AW69" i="1" s="1"/>
  <c r="AU117" i="1"/>
  <c r="BM117" i="1" s="1"/>
  <c r="AY57" i="1"/>
  <c r="BO3" i="1"/>
  <c r="AU24" i="1"/>
  <c r="AU120" i="1"/>
  <c r="BI120" i="1" s="1"/>
  <c r="BL9" i="1"/>
  <c r="AU75" i="1"/>
  <c r="AY78" i="1"/>
  <c r="BD63" i="1"/>
  <c r="AU27" i="1"/>
  <c r="BH27" i="1" s="1"/>
  <c r="AU123" i="1"/>
  <c r="BI87" i="1"/>
  <c r="BM3" i="1"/>
  <c r="AU45" i="1"/>
  <c r="BM45" i="1" s="1"/>
  <c r="AU6" i="1"/>
  <c r="AZ6" i="1" s="1"/>
  <c r="AU30" i="1"/>
  <c r="AU102" i="1"/>
  <c r="AY102" i="1" s="1"/>
  <c r="AU126" i="1"/>
  <c r="BH87" i="1"/>
  <c r="BL51" i="1"/>
  <c r="BN21" i="1"/>
  <c r="BO6" i="1"/>
  <c r="AU48" i="1"/>
  <c r="BJ48" i="1" s="1"/>
  <c r="AU99" i="1"/>
  <c r="BC99" i="1" s="1"/>
  <c r="BE63" i="1"/>
  <c r="AX6" i="1"/>
  <c r="BI3" i="1"/>
  <c r="AU18" i="1"/>
  <c r="BA18" i="1" s="1"/>
  <c r="AU42" i="1"/>
  <c r="AY42" i="1" s="1"/>
  <c r="AU66" i="1"/>
  <c r="AU90" i="1"/>
  <c r="AX90" i="1" s="1"/>
  <c r="AU114" i="1"/>
  <c r="BC114" i="1" s="1"/>
  <c r="AY120" i="1"/>
  <c r="BA114" i="1"/>
  <c r="BC102" i="1"/>
  <c r="BO90" i="1"/>
  <c r="BG90" i="1"/>
  <c r="AX63" i="1"/>
  <c r="BH51" i="1"/>
  <c r="BJ21" i="1"/>
  <c r="BF9" i="1"/>
  <c r="AZ9" i="1"/>
  <c r="BC6" i="1"/>
  <c r="BH3" i="1"/>
  <c r="BL102" i="1"/>
  <c r="BC21" i="1"/>
  <c r="BB102" i="1"/>
  <c r="BE57" i="1"/>
  <c r="BN42" i="1"/>
  <c r="BH12" i="1"/>
  <c r="BE9" i="1"/>
  <c r="BA3" i="1"/>
  <c r="AU78" i="1"/>
  <c r="BJ78" i="1" s="1"/>
  <c r="AU93" i="1"/>
  <c r="BB93" i="1" s="1"/>
  <c r="AZ114" i="1"/>
  <c r="AU72" i="1"/>
  <c r="BG72" i="1" s="1"/>
  <c r="AU96" i="1"/>
  <c r="BH96" i="1" s="1"/>
  <c r="BD129" i="1"/>
  <c r="BM114" i="1"/>
  <c r="AY114" i="1"/>
  <c r="BA108" i="1"/>
  <c r="AY90" i="1"/>
  <c r="BB63" i="1"/>
  <c r="BL57" i="1"/>
  <c r="BM18" i="1"/>
  <c r="BI6" i="1"/>
  <c r="BN3" i="1"/>
  <c r="BI63" i="1"/>
  <c r="BC57" i="1"/>
  <c r="BL42" i="1"/>
  <c r="BO21" i="1"/>
  <c r="BG21" i="1"/>
  <c r="BH6" i="1"/>
  <c r="BE3" i="1"/>
  <c r="AX51" i="1"/>
  <c r="BA6" i="1"/>
  <c r="BL3" i="1"/>
  <c r="BD3" i="1"/>
  <c r="BE6" i="1"/>
  <c r="AU7" i="2"/>
  <c r="AI19" i="2"/>
  <c r="AH35" i="2"/>
  <c r="AH43" i="2"/>
  <c r="AH47" i="2"/>
  <c r="AH54" i="2"/>
  <c r="AR59" i="2"/>
  <c r="AO63" i="2"/>
  <c r="AU71" i="2"/>
  <c r="AP75" i="2"/>
  <c r="AP79" i="2"/>
  <c r="AG86" i="2"/>
  <c r="AF91" i="2"/>
  <c r="AN91" i="2"/>
  <c r="AI99" i="2"/>
  <c r="AQ99" i="2"/>
  <c r="AQ103" i="2"/>
  <c r="AT107" i="2"/>
  <c r="AE115" i="2"/>
  <c r="AP115" i="2"/>
  <c r="AM123" i="2"/>
  <c r="AS123" i="2"/>
  <c r="AD131" i="2"/>
  <c r="AM131" i="2"/>
  <c r="AS131" i="2"/>
  <c r="AT131" i="2"/>
  <c r="AB87" i="2"/>
  <c r="AB31" i="2"/>
  <c r="AB15" i="2"/>
  <c r="Z4" i="2"/>
  <c r="Z5" i="2"/>
  <c r="Z6" i="2"/>
  <c r="Z7" i="2"/>
  <c r="AN7" i="2" s="1"/>
  <c r="Z8" i="2"/>
  <c r="AP8" i="2" s="1"/>
  <c r="Z9" i="2"/>
  <c r="AI9" i="2" s="1"/>
  <c r="Z10" i="2"/>
  <c r="AB10" i="2" s="1"/>
  <c r="Z11" i="2"/>
  <c r="Z12" i="2"/>
  <c r="Z13" i="2"/>
  <c r="Z14" i="2"/>
  <c r="Z15" i="2"/>
  <c r="AU15" i="2" s="1"/>
  <c r="Z16" i="2"/>
  <c r="Z17" i="2"/>
  <c r="Z18" i="2"/>
  <c r="AD18" i="2" s="1"/>
  <c r="Z19" i="2"/>
  <c r="Z20" i="2"/>
  <c r="Z21" i="2"/>
  <c r="Z22" i="2"/>
  <c r="AU22" i="2" s="1"/>
  <c r="Z23" i="2"/>
  <c r="AD23" i="2" s="1"/>
  <c r="Z24" i="2"/>
  <c r="AB24" i="2" s="1"/>
  <c r="Z25" i="2"/>
  <c r="AO25" i="2" s="1"/>
  <c r="Z26" i="2"/>
  <c r="AO26" i="2" s="1"/>
  <c r="Z27" i="2"/>
  <c r="Z28" i="2"/>
  <c r="Z29" i="2"/>
  <c r="Z30" i="2"/>
  <c r="AH30" i="2" s="1"/>
  <c r="Z31" i="2"/>
  <c r="AG31" i="2" s="1"/>
  <c r="Z32" i="2"/>
  <c r="AM32" i="2" s="1"/>
  <c r="Z33" i="2"/>
  <c r="Z34" i="2"/>
  <c r="AS34" i="2" s="1"/>
  <c r="Z35" i="2"/>
  <c r="Z36" i="2"/>
  <c r="Z37" i="2"/>
  <c r="AB37" i="2" s="1"/>
  <c r="Z38" i="2"/>
  <c r="AU38" i="2" s="1"/>
  <c r="Z39" i="2"/>
  <c r="Z40" i="2"/>
  <c r="AB40" i="2" s="1"/>
  <c r="Z41" i="2"/>
  <c r="AC41" i="2" s="1"/>
  <c r="Z42" i="2"/>
  <c r="AQ42" i="2" s="1"/>
  <c r="Z43" i="2"/>
  <c r="Z44" i="2"/>
  <c r="Z45" i="2"/>
  <c r="AT45" i="2" s="1"/>
  <c r="Z46" i="2"/>
  <c r="AB46" i="2" s="1"/>
  <c r="Z47" i="2"/>
  <c r="AJ47" i="2" s="1"/>
  <c r="Z48" i="2"/>
  <c r="Z49" i="2"/>
  <c r="Z50" i="2"/>
  <c r="AF50" i="2" s="1"/>
  <c r="Z51" i="2"/>
  <c r="Z52" i="2"/>
  <c r="AN52" i="2" s="1"/>
  <c r="Z53" i="2"/>
  <c r="AB53" i="2" s="1"/>
  <c r="Z54" i="2"/>
  <c r="AM54" i="2" s="1"/>
  <c r="Z55" i="2"/>
  <c r="AH55" i="2" s="1"/>
  <c r="Z56" i="2"/>
  <c r="AD56" i="2" s="1"/>
  <c r="Z57" i="2"/>
  <c r="AN57" i="2" s="1"/>
  <c r="Z58" i="2"/>
  <c r="AI58" i="2" s="1"/>
  <c r="Z59" i="2"/>
  <c r="Z60" i="2"/>
  <c r="Z61" i="2"/>
  <c r="AG61" i="2" s="1"/>
  <c r="Z62" i="2"/>
  <c r="AB62" i="2" s="1"/>
  <c r="Z63" i="2"/>
  <c r="Z64" i="2"/>
  <c r="Z65" i="2"/>
  <c r="AI65" i="2" s="1"/>
  <c r="Z66" i="2"/>
  <c r="AM66" i="2" s="1"/>
  <c r="Z67" i="2"/>
  <c r="Z68" i="2"/>
  <c r="AG68" i="2" s="1"/>
  <c r="Z69" i="2"/>
  <c r="Z70" i="2"/>
  <c r="Z71" i="2"/>
  <c r="Z72" i="2"/>
  <c r="Z73" i="2"/>
  <c r="AS73" i="2" s="1"/>
  <c r="Z74" i="2"/>
  <c r="AB74" i="2" s="1"/>
  <c r="Z75" i="2"/>
  <c r="Z76" i="2"/>
  <c r="Z77" i="2"/>
  <c r="AJ77" i="2" s="1"/>
  <c r="Z78" i="2"/>
  <c r="Z79" i="2"/>
  <c r="AH79" i="2" s="1"/>
  <c r="Z80" i="2"/>
  <c r="AK80" i="2" s="1"/>
  <c r="Z81" i="2"/>
  <c r="AM81" i="2" s="1"/>
  <c r="Z82" i="2"/>
  <c r="AH82" i="2" s="1"/>
  <c r="Z83" i="2"/>
  <c r="Z84" i="2"/>
  <c r="Z85" i="2"/>
  <c r="AC85" i="2" s="1"/>
  <c r="Z86" i="2"/>
  <c r="Z87" i="2"/>
  <c r="AI87" i="2" s="1"/>
  <c r="Z88" i="2"/>
  <c r="AC88" i="2" s="1"/>
  <c r="Z89" i="2"/>
  <c r="AM89" i="2" s="1"/>
  <c r="Z90" i="2"/>
  <c r="AE90" i="2" s="1"/>
  <c r="Z91" i="2"/>
  <c r="Z92" i="2"/>
  <c r="AG92" i="2" s="1"/>
  <c r="Z93" i="2"/>
  <c r="AP93" i="2" s="1"/>
  <c r="Z94" i="2"/>
  <c r="Z95" i="2"/>
  <c r="Z96" i="2"/>
  <c r="Z97" i="2"/>
  <c r="AL97" i="2" s="1"/>
  <c r="Z98" i="2"/>
  <c r="AC98" i="2" s="1"/>
  <c r="Z99" i="2"/>
  <c r="Z100" i="2"/>
  <c r="Z101" i="2"/>
  <c r="AH101" i="2" s="1"/>
  <c r="Z102" i="2"/>
  <c r="Z103" i="2"/>
  <c r="Z104" i="2"/>
  <c r="Z105" i="2"/>
  <c r="AD105" i="2" s="1"/>
  <c r="Z106" i="2"/>
  <c r="AR106" i="2" s="1"/>
  <c r="Z107" i="2"/>
  <c r="Z108" i="2"/>
  <c r="Z109" i="2"/>
  <c r="Z110" i="2"/>
  <c r="Z111" i="2"/>
  <c r="Z112" i="2"/>
  <c r="Z113" i="2"/>
  <c r="AE113" i="2" s="1"/>
  <c r="Z114" i="2"/>
  <c r="AE114" i="2" s="1"/>
  <c r="Z115" i="2"/>
  <c r="Z116" i="2"/>
  <c r="AS116" i="2" s="1"/>
  <c r="Z117" i="2"/>
  <c r="AN117" i="2" s="1"/>
  <c r="Z118" i="2"/>
  <c r="AF118" i="2" s="1"/>
  <c r="Z119" i="2"/>
  <c r="AP119" i="2" s="1"/>
  <c r="Z120" i="2"/>
  <c r="AK120" i="2" s="1"/>
  <c r="Z121" i="2"/>
  <c r="AL121" i="2" s="1"/>
  <c r="Z122" i="2"/>
  <c r="AR122" i="2" s="1"/>
  <c r="Z123" i="2"/>
  <c r="Z124" i="2"/>
  <c r="AU124" i="2" s="1"/>
  <c r="Z125" i="2"/>
  <c r="AE125" i="2" s="1"/>
  <c r="Z126" i="2"/>
  <c r="Z127" i="2"/>
  <c r="Z128" i="2"/>
  <c r="AE128" i="2" s="1"/>
  <c r="Z129" i="2"/>
  <c r="AI129" i="2" s="1"/>
  <c r="Z130" i="2"/>
  <c r="Z131" i="2"/>
  <c r="Z3" i="2"/>
  <c r="BP105" i="1" l="1"/>
  <c r="AZ105" i="1"/>
  <c r="BM111" i="1"/>
  <c r="AZ111" i="1"/>
  <c r="BJ111" i="1"/>
  <c r="AG126" i="2"/>
  <c r="AB126" i="2"/>
  <c r="AB110" i="2"/>
  <c r="AF110" i="2"/>
  <c r="AC102" i="2"/>
  <c r="AO102" i="2"/>
  <c r="AL94" i="2"/>
  <c r="AN94" i="2"/>
  <c r="AB86" i="2"/>
  <c r="AI86" i="2"/>
  <c r="AO78" i="2"/>
  <c r="AE78" i="2"/>
  <c r="AC70" i="2"/>
  <c r="AJ70" i="2"/>
  <c r="AB70" i="2"/>
  <c r="AD14" i="2"/>
  <c r="AN14" i="2"/>
  <c r="BP126" i="1"/>
  <c r="BO126" i="1"/>
  <c r="BK126" i="1"/>
  <c r="AF49" i="2"/>
  <c r="AM49" i="2"/>
  <c r="AM14" i="2"/>
  <c r="BA75" i="3"/>
  <c r="AZ24" i="1"/>
  <c r="BJ24" i="1"/>
  <c r="BF60" i="1"/>
  <c r="BH60" i="1"/>
  <c r="BE60" i="1"/>
  <c r="BG54" i="1"/>
  <c r="BI54" i="1"/>
  <c r="BN36" i="3"/>
  <c r="BD108" i="3"/>
  <c r="AX3" i="3"/>
  <c r="BQ3" i="3" s="1"/>
  <c r="BN3" i="3"/>
  <c r="AZ39" i="3"/>
  <c r="AG131" i="2"/>
  <c r="AE131" i="2"/>
  <c r="AF131" i="2"/>
  <c r="AO131" i="2"/>
  <c r="AI131" i="2"/>
  <c r="AQ131" i="2"/>
  <c r="AN127" i="2"/>
  <c r="AG127" i="2"/>
  <c r="AM127" i="2"/>
  <c r="AT127" i="2"/>
  <c r="AJ123" i="2"/>
  <c r="AC123" i="2"/>
  <c r="AN123" i="2"/>
  <c r="AF123" i="2"/>
  <c r="AP123" i="2"/>
  <c r="AH123" i="2"/>
  <c r="AR123" i="2"/>
  <c r="AK115" i="2"/>
  <c r="AI115" i="2"/>
  <c r="AQ115" i="2"/>
  <c r="AJ115" i="2"/>
  <c r="AT115" i="2"/>
  <c r="AD115" i="2"/>
  <c r="AL115" i="2"/>
  <c r="AI111" i="2"/>
  <c r="AB111" i="2"/>
  <c r="AD107" i="2"/>
  <c r="AK107" i="2"/>
  <c r="AU107" i="2"/>
  <c r="AC107" i="2"/>
  <c r="AM107" i="2"/>
  <c r="AP107" i="2"/>
  <c r="AH107" i="2"/>
  <c r="AH103" i="2"/>
  <c r="AU103" i="2"/>
  <c r="AG103" i="2"/>
  <c r="AH99" i="2"/>
  <c r="AJ99" i="2"/>
  <c r="AT99" i="2"/>
  <c r="AC99" i="2"/>
  <c r="AN99" i="2"/>
  <c r="AP99" i="2"/>
  <c r="AD99" i="2"/>
  <c r="AJ95" i="2"/>
  <c r="AH95" i="2"/>
  <c r="AI91" i="2"/>
  <c r="BD90" i="2" s="1"/>
  <c r="AH91" i="2"/>
  <c r="AR91" i="2"/>
  <c r="AC91" i="2"/>
  <c r="AL91" i="2"/>
  <c r="AT91" i="2"/>
  <c r="AD91" i="2"/>
  <c r="AM91" i="2"/>
  <c r="AE83" i="2"/>
  <c r="AD83" i="2"/>
  <c r="AN83" i="2"/>
  <c r="AI83" i="2"/>
  <c r="AQ83" i="2"/>
  <c r="AU83" i="2"/>
  <c r="AK83" i="2"/>
  <c r="AJ75" i="2"/>
  <c r="AH75" i="2"/>
  <c r="AQ75" i="2"/>
  <c r="AI75" i="2"/>
  <c r="AT75" i="2"/>
  <c r="AK75" i="2"/>
  <c r="AH71" i="2"/>
  <c r="AG71" i="2"/>
  <c r="AI67" i="2"/>
  <c r="AE67" i="2"/>
  <c r="AO67" i="2"/>
  <c r="AF67" i="2"/>
  <c r="AJ67" i="2"/>
  <c r="AB63" i="2"/>
  <c r="AD63" i="2"/>
  <c r="AJ59" i="2"/>
  <c r="AC59" i="2"/>
  <c r="AS59" i="2"/>
  <c r="AH59" i="2"/>
  <c r="AI59" i="2"/>
  <c r="AG51" i="2"/>
  <c r="AP51" i="2"/>
  <c r="AE51" i="2"/>
  <c r="AQ51" i="2"/>
  <c r="AF51" i="2"/>
  <c r="AT51" i="2"/>
  <c r="AC43" i="2"/>
  <c r="AJ43" i="2"/>
  <c r="AK43" i="2"/>
  <c r="AT43" i="2"/>
  <c r="AL39" i="2"/>
  <c r="AU39" i="2"/>
  <c r="AL35" i="2"/>
  <c r="AK35" i="2"/>
  <c r="AO35" i="2"/>
  <c r="AD35" i="2"/>
  <c r="AU27" i="2"/>
  <c r="AN27" i="2"/>
  <c r="AO27" i="2"/>
  <c r="AG27" i="2"/>
  <c r="AO19" i="2"/>
  <c r="AS19" i="2"/>
  <c r="AE19" i="2"/>
  <c r="AT19" i="2"/>
  <c r="AF19" i="2"/>
  <c r="AF11" i="2"/>
  <c r="AJ11" i="2"/>
  <c r="AS11" i="2"/>
  <c r="AU11" i="2"/>
  <c r="AB14" i="2"/>
  <c r="AB95" i="2"/>
  <c r="AJ131" i="2"/>
  <c r="AC119" i="2"/>
  <c r="AJ107" i="2"/>
  <c r="AD95" i="2"/>
  <c r="AL83" i="2"/>
  <c r="AN67" i="2"/>
  <c r="AK51" i="2"/>
  <c r="AJ27" i="2"/>
  <c r="BB75" i="1"/>
  <c r="BI75" i="1"/>
  <c r="BH75" i="1"/>
  <c r="BF75" i="1"/>
  <c r="AY84" i="1"/>
  <c r="AW84" i="1"/>
  <c r="BM84" i="1"/>
  <c r="BC84" i="1"/>
  <c r="BL6" i="3"/>
  <c r="BA78" i="3"/>
  <c r="BK102" i="3"/>
  <c r="AX126" i="3"/>
  <c r="BI15" i="3"/>
  <c r="AZ63" i="3"/>
  <c r="BH96" i="3"/>
  <c r="BG120" i="3"/>
  <c r="BN27" i="3"/>
  <c r="AX84" i="3"/>
  <c r="BQ84" i="3" s="1"/>
  <c r="BJ42" i="3"/>
  <c r="AZ66" i="3"/>
  <c r="BN90" i="3"/>
  <c r="BA114" i="3"/>
  <c r="BE99" i="3"/>
  <c r="BI27" i="3"/>
  <c r="BA27" i="3"/>
  <c r="BP51" i="3"/>
  <c r="BJ51" i="3"/>
  <c r="BL75" i="3"/>
  <c r="BJ75" i="3"/>
  <c r="BD99" i="3"/>
  <c r="BJ99" i="3"/>
  <c r="AY54" i="3"/>
  <c r="BN84" i="3"/>
  <c r="AW48" i="3"/>
  <c r="AY48" i="3"/>
  <c r="BF60" i="3"/>
  <c r="BD75" i="3"/>
  <c r="BP111" i="3"/>
  <c r="AW63" i="3"/>
  <c r="BI108" i="3"/>
  <c r="BH48" i="3"/>
  <c r="BJ69" i="3"/>
  <c r="BM21" i="3"/>
  <c r="BD21" i="3"/>
  <c r="AZ45" i="3"/>
  <c r="AX45" i="3"/>
  <c r="BM93" i="3"/>
  <c r="BF51" i="3"/>
  <c r="BG114" i="3"/>
  <c r="AW15" i="3"/>
  <c r="BL51" i="3"/>
  <c r="BG78" i="3"/>
  <c r="AW33" i="3"/>
  <c r="BK24" i="3"/>
  <c r="BE48" i="3"/>
  <c r="BK48" i="3"/>
  <c r="BO93" i="3"/>
  <c r="AX3" i="1"/>
  <c r="BP6" i="1"/>
  <c r="AX42" i="1"/>
  <c r="BF3" i="1"/>
  <c r="BM42" i="1"/>
  <c r="BB6" i="1"/>
  <c r="AY63" i="1"/>
  <c r="BP3" i="1"/>
  <c r="BB129" i="1"/>
  <c r="BG69" i="1"/>
  <c r="AW3" i="1"/>
  <c r="BM102" i="1"/>
  <c r="BJ3" i="1"/>
  <c r="BK3" i="1"/>
  <c r="BC3" i="1"/>
  <c r="BN57" i="3"/>
  <c r="BH117" i="3"/>
  <c r="BB24" i="3"/>
  <c r="BF24" i="3"/>
  <c r="AX24" i="3"/>
  <c r="BQ24" i="3" s="1"/>
  <c r="BA24" i="3"/>
  <c r="AZ48" i="3"/>
  <c r="BC48" i="3"/>
  <c r="AZ72" i="3"/>
  <c r="BA117" i="3"/>
  <c r="BI9" i="3"/>
  <c r="BA9" i="3"/>
  <c r="BF9" i="3"/>
  <c r="BD33" i="3"/>
  <c r="BG33" i="3"/>
  <c r="BF33" i="3"/>
  <c r="BM57" i="3"/>
  <c r="BF45" i="3"/>
  <c r="AX72" i="3"/>
  <c r="BQ72" i="3" s="1"/>
  <c r="BH93" i="3"/>
  <c r="AZ21" i="3"/>
  <c r="BN21" i="3"/>
  <c r="BB21" i="3"/>
  <c r="BP45" i="3"/>
  <c r="BH45" i="3"/>
  <c r="BE45" i="3"/>
  <c r="BA69" i="3"/>
  <c r="BD69" i="3"/>
  <c r="BE93" i="3"/>
  <c r="BD6" i="3"/>
  <c r="AZ90" i="3"/>
  <c r="BN48" i="3"/>
  <c r="AZ114" i="3"/>
  <c r="BC27" i="3"/>
  <c r="BD126" i="3"/>
  <c r="AY117" i="3"/>
  <c r="AX117" i="3"/>
  <c r="BG21" i="3"/>
  <c r="AZ57" i="3"/>
  <c r="BH57" i="3"/>
  <c r="AZ69" i="3"/>
  <c r="AZ33" i="1"/>
  <c r="BJ129" i="1"/>
  <c r="AY129" i="1"/>
  <c r="AZ129" i="1"/>
  <c r="AX12" i="1"/>
  <c r="BN6" i="1"/>
  <c r="BP117" i="3"/>
  <c r="BD24" i="3"/>
  <c r="BL24" i="3"/>
  <c r="BM24" i="3"/>
  <c r="BP24" i="3"/>
  <c r="BB48" i="3"/>
  <c r="BD9" i="3"/>
  <c r="BJ9" i="3"/>
  <c r="BL33" i="3"/>
  <c r="AX57" i="3"/>
  <c r="BQ57" i="3" s="1"/>
  <c r="BE57" i="3"/>
  <c r="BE72" i="3"/>
  <c r="BJ72" i="3"/>
  <c r="BF21" i="3"/>
  <c r="BI87" i="3"/>
  <c r="BA108" i="3"/>
  <c r="AZ12" i="3"/>
  <c r="BH12" i="3"/>
  <c r="BO36" i="3"/>
  <c r="BJ36" i="3"/>
  <c r="AY60" i="3"/>
  <c r="AX60" i="3"/>
  <c r="BQ60" i="3" s="1"/>
  <c r="BE84" i="3"/>
  <c r="AZ108" i="3"/>
  <c r="BF3" i="3"/>
  <c r="BI3" i="3"/>
  <c r="BA3" i="3"/>
  <c r="BH3" i="3"/>
  <c r="AY3" i="3"/>
  <c r="BP105" i="3"/>
  <c r="BE96" i="3"/>
  <c r="BQ96" i="3" s="1"/>
  <c r="BM102" i="3"/>
  <c r="BA39" i="3"/>
  <c r="BL39" i="3"/>
  <c r="BH39" i="3"/>
  <c r="BG39" i="3"/>
  <c r="AX39" i="3"/>
  <c r="BH87" i="3"/>
  <c r="BQ87" i="3" s="1"/>
  <c r="AZ87" i="3"/>
  <c r="BG87" i="3"/>
  <c r="BJ81" i="3"/>
  <c r="BA129" i="3"/>
  <c r="BI30" i="3"/>
  <c r="AX111" i="3"/>
  <c r="BH123" i="3"/>
  <c r="BO126" i="3"/>
  <c r="BE6" i="3"/>
  <c r="BH6" i="3"/>
  <c r="BG6" i="3"/>
  <c r="AX6" i="3"/>
  <c r="BJ30" i="3"/>
  <c r="BB30" i="3"/>
  <c r="BL30" i="3"/>
  <c r="BO30" i="3"/>
  <c r="BF30" i="3"/>
  <c r="BO54" i="3"/>
  <c r="BC54" i="3"/>
  <c r="BM54" i="3"/>
  <c r="BD102" i="3"/>
  <c r="BF126" i="3"/>
  <c r="AZ75" i="3"/>
  <c r="BM15" i="3"/>
  <c r="AX15" i="3"/>
  <c r="BD15" i="3"/>
  <c r="BO63" i="3"/>
  <c r="BJ63" i="3"/>
  <c r="BF105" i="3"/>
  <c r="BP96" i="3"/>
  <c r="BO120" i="3"/>
  <c r="BJ60" i="3"/>
  <c r="BF75" i="3"/>
  <c r="BI90" i="3"/>
  <c r="BN108" i="3"/>
  <c r="BE114" i="3"/>
  <c r="BA123" i="3"/>
  <c r="BH129" i="3"/>
  <c r="BG18" i="3"/>
  <c r="BJ18" i="3"/>
  <c r="BF42" i="3"/>
  <c r="BL66" i="3"/>
  <c r="BN66" i="3"/>
  <c r="AW90" i="3"/>
  <c r="BN60" i="3"/>
  <c r="BH75" i="3"/>
  <c r="BI120" i="3"/>
  <c r="BP123" i="3"/>
  <c r="BK27" i="3"/>
  <c r="BM27" i="3"/>
  <c r="BL27" i="3"/>
  <c r="AZ27" i="3"/>
  <c r="BA51" i="3"/>
  <c r="BE51" i="3"/>
  <c r="BO51" i="3"/>
  <c r="BB51" i="3"/>
  <c r="BE75" i="3"/>
  <c r="BC75" i="3"/>
  <c r="BP99" i="3"/>
  <c r="BO99" i="3"/>
  <c r="BC99" i="3"/>
  <c r="BC123" i="3"/>
  <c r="BN81" i="3"/>
  <c r="BA81" i="3"/>
  <c r="BI48" i="3"/>
  <c r="BM78" i="3"/>
  <c r="BL102" i="3"/>
  <c r="BP114" i="3"/>
  <c r="BG102" i="3"/>
  <c r="BD114" i="3"/>
  <c r="BP126" i="3"/>
  <c r="AZ9" i="3"/>
  <c r="BQ9" i="3" s="1"/>
  <c r="BC93" i="3"/>
  <c r="AX93" i="3"/>
  <c r="AW117" i="3"/>
  <c r="BO117" i="3"/>
  <c r="BG117" i="3"/>
  <c r="AW12" i="3"/>
  <c r="BC33" i="3"/>
  <c r="BK57" i="3"/>
  <c r="BG69" i="3"/>
  <c r="BM75" i="3"/>
  <c r="AW108" i="3"/>
  <c r="BN12" i="3"/>
  <c r="AY12" i="3"/>
  <c r="BJ12" i="3"/>
  <c r="BA12" i="3"/>
  <c r="BD12" i="3"/>
  <c r="BD36" i="3"/>
  <c r="BH36" i="3"/>
  <c r="BK36" i="3"/>
  <c r="BI36" i="3"/>
  <c r="BA60" i="3"/>
  <c r="BE60" i="3"/>
  <c r="AZ60" i="3"/>
  <c r="BC60" i="3"/>
  <c r="BA84" i="3"/>
  <c r="BD84" i="3"/>
  <c r="BP108" i="3"/>
  <c r="BK3" i="3"/>
  <c r="BE3" i="3"/>
  <c r="BB3" i="3"/>
  <c r="BD3" i="3"/>
  <c r="BO3" i="3"/>
  <c r="BC120" i="3"/>
  <c r="BK105" i="3"/>
  <c r="BO105" i="3"/>
  <c r="BI105" i="3"/>
  <c r="AZ105" i="3"/>
  <c r="AY63" i="3"/>
  <c r="BK120" i="3"/>
  <c r="BE123" i="3"/>
  <c r="AW123" i="3"/>
  <c r="BD63" i="3"/>
  <c r="BK84" i="3"/>
  <c r="BO111" i="3"/>
  <c r="AX129" i="3"/>
  <c r="BD39" i="3"/>
  <c r="BB39" i="3"/>
  <c r="BC39" i="3"/>
  <c r="BQ39" i="3" s="1"/>
  <c r="BN39" i="3"/>
  <c r="BA87" i="3"/>
  <c r="BC87" i="3"/>
  <c r="BN87" i="3"/>
  <c r="BE129" i="3"/>
  <c r="BK12" i="3"/>
  <c r="AY90" i="3"/>
  <c r="BC108" i="3"/>
  <c r="AW6" i="3"/>
  <c r="AZ6" i="3"/>
  <c r="BB6" i="3"/>
  <c r="BC6" i="3"/>
  <c r="BN6" i="3"/>
  <c r="BP30" i="3"/>
  <c r="BM30" i="3"/>
  <c r="BK30" i="3"/>
  <c r="AY30" i="3"/>
  <c r="AW54" i="3"/>
  <c r="BK54" i="3"/>
  <c r="BH54" i="3"/>
  <c r="BF54" i="3"/>
  <c r="BD78" i="3"/>
  <c r="BJ78" i="3"/>
  <c r="BH102" i="3"/>
  <c r="BJ102" i="3"/>
  <c r="BB126" i="3"/>
  <c r="BM126" i="3"/>
  <c r="BG81" i="3"/>
  <c r="BJ96" i="3"/>
  <c r="AY111" i="3"/>
  <c r="BQ111" i="3" s="1"/>
  <c r="BB120" i="3"/>
  <c r="BJ129" i="3"/>
  <c r="BG15" i="3"/>
  <c r="AY15" i="3"/>
  <c r="BO15" i="3"/>
  <c r="AZ15" i="3"/>
  <c r="BC15" i="3"/>
  <c r="BM63" i="3"/>
  <c r="BP63" i="3"/>
  <c r="BK63" i="3"/>
  <c r="BE111" i="3"/>
  <c r="BC111" i="3"/>
  <c r="BI96" i="3"/>
  <c r="AZ96" i="3"/>
  <c r="BC96" i="3"/>
  <c r="BH120" i="3"/>
  <c r="AY120" i="3"/>
  <c r="BM51" i="3"/>
  <c r="BD87" i="3"/>
  <c r="BB129" i="3"/>
  <c r="BN18" i="3"/>
  <c r="BD18" i="3"/>
  <c r="BI18" i="3"/>
  <c r="BK18" i="3"/>
  <c r="AW42" i="3"/>
  <c r="BH42" i="3"/>
  <c r="BC42" i="3"/>
  <c r="BB42" i="3"/>
  <c r="BM42" i="3"/>
  <c r="BO66" i="3"/>
  <c r="BJ66" i="3"/>
  <c r="AX66" i="3"/>
  <c r="BO90" i="3"/>
  <c r="BG90" i="3"/>
  <c r="BF90" i="3"/>
  <c r="BN114" i="3"/>
  <c r="BJ114" i="3"/>
  <c r="BE87" i="3"/>
  <c r="BP129" i="3"/>
  <c r="BJ27" i="3"/>
  <c r="BF27" i="3"/>
  <c r="BP27" i="3"/>
  <c r="BG27" i="3"/>
  <c r="BD51" i="3"/>
  <c r="BH51" i="3"/>
  <c r="AX51" i="3"/>
  <c r="AY51" i="3"/>
  <c r="AX75" i="3"/>
  <c r="BQ75" i="3" s="1"/>
  <c r="AY75" i="3"/>
  <c r="BB75" i="3"/>
  <c r="BN99" i="3"/>
  <c r="AY99" i="3"/>
  <c r="BB99" i="3"/>
  <c r="BG123" i="3"/>
  <c r="AX123" i="3"/>
  <c r="AY129" i="3"/>
  <c r="AZ129" i="3"/>
  <c r="AW81" i="3"/>
  <c r="BE81" i="3"/>
  <c r="BH81" i="3"/>
  <c r="BN72" i="3"/>
  <c r="BN96" i="3"/>
  <c r="AZ54" i="3"/>
  <c r="BO78" i="3"/>
  <c r="BH114" i="3"/>
  <c r="BI126" i="3"/>
  <c r="BG54" i="3"/>
  <c r="BI72" i="3"/>
  <c r="BD90" i="3"/>
  <c r="BC102" i="3"/>
  <c r="BM114" i="3"/>
  <c r="BC126" i="3"/>
  <c r="AZ42" i="3"/>
  <c r="BG60" i="3"/>
  <c r="BA72" i="3"/>
  <c r="BH78" i="3"/>
  <c r="BO114" i="3"/>
  <c r="BM108" i="3"/>
  <c r="BG9" i="3"/>
  <c r="BJ93" i="3"/>
  <c r="BP93" i="3"/>
  <c r="BL117" i="3"/>
  <c r="BK117" i="3"/>
  <c r="BJ117" i="3"/>
  <c r="BB117" i="3"/>
  <c r="AW21" i="3"/>
  <c r="BK33" i="3"/>
  <c r="BG57" i="3"/>
  <c r="AY69" i="3"/>
  <c r="BN69" i="3"/>
  <c r="BE39" i="3"/>
  <c r="BF99" i="3"/>
  <c r="BN105" i="3"/>
  <c r="BF129" i="3"/>
  <c r="AW120" i="3"/>
  <c r="BB12" i="3"/>
  <c r="BO12" i="3"/>
  <c r="AX12" i="3"/>
  <c r="BM12" i="3"/>
  <c r="BE36" i="3"/>
  <c r="AY36" i="3"/>
  <c r="BQ36" i="3" s="1"/>
  <c r="BG36" i="3"/>
  <c r="BB36" i="3"/>
  <c r="BA36" i="3"/>
  <c r="BP60" i="3"/>
  <c r="BI60" i="3"/>
  <c r="BL60" i="3"/>
  <c r="BF84" i="3"/>
  <c r="BP84" i="3"/>
  <c r="BG84" i="3"/>
  <c r="BJ108" i="3"/>
  <c r="AY108" i="3"/>
  <c r="BJ3" i="3"/>
  <c r="BC3" i="3"/>
  <c r="BM3" i="3"/>
  <c r="BP3" i="3"/>
  <c r="BG3" i="3"/>
  <c r="AX105" i="3"/>
  <c r="BQ105" i="3" s="1"/>
  <c r="BC105" i="3"/>
  <c r="BA105" i="3"/>
  <c r="BD66" i="3"/>
  <c r="BC81" i="3"/>
  <c r="BJ87" i="3"/>
  <c r="BH99" i="3"/>
  <c r="BK114" i="3"/>
  <c r="BM99" i="3"/>
  <c r="BI123" i="3"/>
  <c r="BM39" i="3"/>
  <c r="BI39" i="3"/>
  <c r="BO39" i="3"/>
  <c r="BF39" i="3"/>
  <c r="BL87" i="3"/>
  <c r="BO87" i="3"/>
  <c r="BF87" i="3"/>
  <c r="BI129" i="3"/>
  <c r="AW129" i="3"/>
  <c r="BJ84" i="3"/>
  <c r="BF96" i="3"/>
  <c r="BO102" i="3"/>
  <c r="BA120" i="3"/>
  <c r="BA126" i="3"/>
  <c r="BQ126" i="3" s="1"/>
  <c r="AW99" i="3"/>
  <c r="BA6" i="3"/>
  <c r="BJ6" i="3"/>
  <c r="BI6" i="3"/>
  <c r="BO6" i="3"/>
  <c r="BF6" i="3"/>
  <c r="AW30" i="3"/>
  <c r="BD30" i="3"/>
  <c r="BA30" i="3"/>
  <c r="BC30" i="3"/>
  <c r="BN30" i="3"/>
  <c r="BD54" i="3"/>
  <c r="BP54" i="3"/>
  <c r="BJ54" i="3"/>
  <c r="AX54" i="3"/>
  <c r="AY78" i="3"/>
  <c r="BQ78" i="3" s="1"/>
  <c r="BB78" i="3"/>
  <c r="BP102" i="3"/>
  <c r="BN102" i="3"/>
  <c r="BB102" i="3"/>
  <c r="BQ102" i="3" s="1"/>
  <c r="BN126" i="3"/>
  <c r="BE126" i="3"/>
  <c r="BF15" i="3"/>
  <c r="BJ15" i="3"/>
  <c r="BB15" i="3"/>
  <c r="BL15" i="3"/>
  <c r="BG63" i="3"/>
  <c r="BI63" i="3"/>
  <c r="BF63" i="3"/>
  <c r="BC63" i="3"/>
  <c r="BI111" i="3"/>
  <c r="BM111" i="3"/>
  <c r="BM96" i="3"/>
  <c r="BK129" i="3"/>
  <c r="BG96" i="3"/>
  <c r="BL96" i="3"/>
  <c r="BL120" i="3"/>
  <c r="AZ120" i="3"/>
  <c r="BG105" i="3"/>
  <c r="BO81" i="3"/>
  <c r="BO129" i="3"/>
  <c r="AW18" i="3"/>
  <c r="BM18" i="3"/>
  <c r="BE18" i="3"/>
  <c r="BO18" i="3"/>
  <c r="BC18" i="3"/>
  <c r="BK42" i="3"/>
  <c r="AY42" i="3"/>
  <c r="BO42" i="3"/>
  <c r="BN42" i="3"/>
  <c r="BE42" i="3"/>
  <c r="AW66" i="3"/>
  <c r="BA66" i="3"/>
  <c r="BB66" i="3"/>
  <c r="BM66" i="3"/>
  <c r="BA90" i="3"/>
  <c r="BJ90" i="3"/>
  <c r="AX90" i="3"/>
  <c r="BF114" i="3"/>
  <c r="BB114" i="3"/>
  <c r="BQ114" i="3" s="1"/>
  <c r="AY96" i="3"/>
  <c r="BG111" i="3"/>
  <c r="BB123" i="3"/>
  <c r="AX27" i="3"/>
  <c r="BQ27" i="3" s="1"/>
  <c r="BE27" i="3"/>
  <c r="BH27" i="3"/>
  <c r="AY27" i="3"/>
  <c r="AZ51" i="3"/>
  <c r="BQ51" i="3" s="1"/>
  <c r="BN51" i="3"/>
  <c r="BI51" i="3"/>
  <c r="BC51" i="3"/>
  <c r="BI75" i="3"/>
  <c r="BK75" i="3"/>
  <c r="BI99" i="3"/>
  <c r="BA99" i="3"/>
  <c r="BK123" i="3"/>
  <c r="BF81" i="3"/>
  <c r="BK81" i="3"/>
  <c r="BI81" i="3"/>
  <c r="AZ81" i="3"/>
  <c r="BN15" i="3"/>
  <c r="BL90" i="3"/>
  <c r="AY102" i="3"/>
  <c r="BA111" i="3"/>
  <c r="BG126" i="3"/>
  <c r="BG72" i="3"/>
  <c r="BC90" i="3"/>
  <c r="BK66" i="3"/>
  <c r="BK126" i="3"/>
  <c r="BJ24" i="3"/>
  <c r="BA48" i="3"/>
  <c r="BM72" i="3"/>
  <c r="BB108" i="3"/>
  <c r="BE120" i="3"/>
  <c r="AW93" i="3"/>
  <c r="AY93" i="3"/>
  <c r="BF93" i="3"/>
  <c r="BF117" i="3"/>
  <c r="BD117" i="3"/>
  <c r="BC117" i="3"/>
  <c r="BO21" i="3"/>
  <c r="AZ33" i="3"/>
  <c r="AW45" i="3"/>
  <c r="BQ45" i="3" s="1"/>
  <c r="BF57" i="3"/>
  <c r="BK69" i="3"/>
  <c r="AW69" i="3"/>
  <c r="BB69" i="3"/>
  <c r="BO9" i="1"/>
  <c r="AX117" i="1"/>
  <c r="BP57" i="1"/>
  <c r="BK42" i="1"/>
  <c r="BA21" i="1"/>
  <c r="BK57" i="1"/>
  <c r="BO84" i="1"/>
  <c r="BG3" i="1"/>
  <c r="BM15" i="1"/>
  <c r="BK6" i="1"/>
  <c r="BD39" i="1"/>
  <c r="BL111" i="1"/>
  <c r="BN117" i="1"/>
  <c r="AW6" i="1"/>
  <c r="BO117" i="1"/>
  <c r="AY6" i="1"/>
  <c r="BD9" i="1"/>
  <c r="BJ126" i="1"/>
  <c r="BK21" i="1"/>
  <c r="AW39" i="1"/>
  <c r="BI129" i="1"/>
  <c r="BF6" i="1"/>
  <c r="BN9" i="1"/>
  <c r="BP9" i="1"/>
  <c r="BL54" i="1"/>
  <c r="BA15" i="1"/>
  <c r="BD21" i="1"/>
  <c r="BF21" i="1"/>
  <c r="BH69" i="1"/>
  <c r="BH117" i="1"/>
  <c r="BP114" i="1"/>
  <c r="BK15" i="1"/>
  <c r="BM24" i="1"/>
  <c r="BA93" i="1"/>
  <c r="BB21" i="1"/>
  <c r="BA117" i="1"/>
  <c r="BO114" i="1"/>
  <c r="AY21" i="1"/>
  <c r="BD117" i="1"/>
  <c r="BG39" i="1"/>
  <c r="BC117" i="1"/>
  <c r="BI69" i="1"/>
  <c r="BI51" i="1"/>
  <c r="BN126" i="1"/>
  <c r="BL21" i="1"/>
  <c r="BI24" i="1"/>
  <c r="BC9" i="1"/>
  <c r="BE51" i="1"/>
  <c r="BP21" i="1"/>
  <c r="BP117" i="1"/>
  <c r="BI21" i="1"/>
  <c r="BK111" i="1"/>
  <c r="BP90" i="1"/>
  <c r="BC90" i="1"/>
  <c r="BL114" i="1"/>
  <c r="BP51" i="1"/>
  <c r="BO51" i="1"/>
  <c r="BC126" i="1"/>
  <c r="BL117" i="1"/>
  <c r="BC75" i="1"/>
  <c r="BM9" i="1"/>
  <c r="BK93" i="1"/>
  <c r="BF39" i="1"/>
  <c r="BH39" i="1"/>
  <c r="BK9" i="1"/>
  <c r="BJ39" i="1"/>
  <c r="BG84" i="1"/>
  <c r="BD24" i="1"/>
  <c r="BA9" i="1"/>
  <c r="AX39" i="1"/>
  <c r="BF117" i="1"/>
  <c r="BG117" i="1"/>
  <c r="AW51" i="1"/>
  <c r="BF126" i="1"/>
  <c r="BB99" i="1"/>
  <c r="BP120" i="1"/>
  <c r="AW120" i="1"/>
  <c r="BA27" i="1"/>
  <c r="BN120" i="1"/>
  <c r="BL120" i="1"/>
  <c r="BH36" i="1"/>
  <c r="BN105" i="1"/>
  <c r="BL99" i="1"/>
  <c r="BB120" i="1"/>
  <c r="BF87" i="1"/>
  <c r="AY126" i="1"/>
  <c r="BL126" i="1"/>
  <c r="BG120" i="1"/>
  <c r="BA87" i="1"/>
  <c r="AW129" i="1"/>
  <c r="BH9" i="1"/>
  <c r="BD69" i="1"/>
  <c r="BH54" i="1"/>
  <c r="AY18" i="1"/>
  <c r="BN51" i="1"/>
  <c r="BA84" i="1"/>
  <c r="BN99" i="1"/>
  <c r="BI126" i="1"/>
  <c r="BE105" i="1"/>
  <c r="BM87" i="1"/>
  <c r="AY9" i="1"/>
  <c r="AX24" i="1"/>
  <c r="BJ54" i="1"/>
  <c r="BL96" i="1"/>
  <c r="AY39" i="1"/>
  <c r="AY24" i="1"/>
  <c r="BN57" i="1"/>
  <c r="BH99" i="1"/>
  <c r="BB117" i="1"/>
  <c r="AZ48" i="1"/>
  <c r="AW117" i="1"/>
  <c r="BE84" i="1"/>
  <c r="BA126" i="1"/>
  <c r="BN84" i="1"/>
  <c r="AX114" i="1"/>
  <c r="BE54" i="1"/>
  <c r="BL93" i="1"/>
  <c r="BL129" i="1"/>
  <c r="BN114" i="1"/>
  <c r="BE117" i="1"/>
  <c r="BO105" i="1"/>
  <c r="BI114" i="1"/>
  <c r="BF54" i="1"/>
  <c r="AY117" i="1"/>
  <c r="BG126" i="1"/>
  <c r="BJ18" i="1"/>
  <c r="BI18" i="1"/>
  <c r="BM120" i="1"/>
  <c r="BB87" i="1"/>
  <c r="BF105" i="1"/>
  <c r="BG93" i="1"/>
  <c r="BK84" i="1"/>
  <c r="AW105" i="1"/>
  <c r="AX84" i="1"/>
  <c r="BJ87" i="1"/>
  <c r="AY87" i="1"/>
  <c r="BO36" i="1"/>
  <c r="AZ78" i="1"/>
  <c r="BB9" i="1"/>
  <c r="BD18" i="1"/>
  <c r="AW24" i="1"/>
  <c r="BG9" i="1"/>
  <c r="AZ18" i="1"/>
  <c r="BP36" i="1"/>
  <c r="BH84" i="1"/>
  <c r="BG18" i="1"/>
  <c r="BJ45" i="1"/>
  <c r="BJ12" i="1"/>
  <c r="BF96" i="1"/>
  <c r="BB105" i="1"/>
  <c r="AW126" i="1"/>
  <c r="BC81" i="1"/>
  <c r="BJ96" i="1"/>
  <c r="BJ120" i="1"/>
  <c r="BI99" i="1"/>
  <c r="AW114" i="1"/>
  <c r="BN87" i="1"/>
  <c r="BP93" i="1"/>
  <c r="BM129" i="1"/>
  <c r="BD84" i="1"/>
  <c r="BA129" i="1"/>
  <c r="BM126" i="1"/>
  <c r="BB18" i="1"/>
  <c r="BB90" i="1"/>
  <c r="AW9" i="1"/>
  <c r="BG87" i="1"/>
  <c r="AX120" i="1"/>
  <c r="BH120" i="1"/>
  <c r="BJ99" i="1"/>
  <c r="BF27" i="1"/>
  <c r="AX87" i="1"/>
  <c r="BE87" i="1"/>
  <c r="BE45" i="1"/>
  <c r="AX18" i="1"/>
  <c r="BJ63" i="1"/>
  <c r="AW93" i="1"/>
  <c r="BD87" i="1"/>
  <c r="BB96" i="1"/>
  <c r="BE120" i="1"/>
  <c r="BH105" i="1"/>
  <c r="BE129" i="1"/>
  <c r="BN54" i="1"/>
  <c r="BD45" i="1"/>
  <c r="AY12" i="1"/>
  <c r="BL18" i="1"/>
  <c r="BA45" i="1"/>
  <c r="BH93" i="1"/>
  <c r="BC120" i="1"/>
  <c r="BI93" i="1"/>
  <c r="AX54" i="1"/>
  <c r="BN18" i="1"/>
  <c r="BP84" i="1"/>
  <c r="BO18" i="1"/>
  <c r="BP18" i="1"/>
  <c r="BH114" i="1"/>
  <c r="BP63" i="1"/>
  <c r="AZ84" i="1"/>
  <c r="BH102" i="1"/>
  <c r="BC129" i="1"/>
  <c r="BA105" i="1"/>
  <c r="BI90" i="1"/>
  <c r="BD114" i="1"/>
  <c r="AX105" i="1"/>
  <c r="BC87" i="1"/>
  <c r="BO87" i="1"/>
  <c r="BD54" i="1"/>
  <c r="BG129" i="1"/>
  <c r="BH129" i="1"/>
  <c r="BH24" i="1"/>
  <c r="BN102" i="1"/>
  <c r="BD99" i="1"/>
  <c r="BM93" i="1"/>
  <c r="BP129" i="1"/>
  <c r="BD27" i="1"/>
  <c r="BD120" i="1"/>
  <c r="BN36" i="1"/>
  <c r="BJ84" i="1"/>
  <c r="BI84" i="1"/>
  <c r="BF120" i="1"/>
  <c r="AY81" i="1"/>
  <c r="BN96" i="1"/>
  <c r="BF129" i="1"/>
  <c r="BK18" i="1"/>
  <c r="AX9" i="1"/>
  <c r="BH45" i="1"/>
  <c r="BD81" i="1"/>
  <c r="BC96" i="1"/>
  <c r="BK120" i="1"/>
  <c r="BD96" i="1"/>
  <c r="BB84" i="1"/>
  <c r="BI45" i="1"/>
  <c r="BI27" i="1"/>
  <c r="BC54" i="1"/>
  <c r="BJ93" i="1"/>
  <c r="BG114" i="1"/>
  <c r="AZ120" i="1"/>
  <c r="BF84" i="1"/>
  <c r="BC105" i="1"/>
  <c r="BK129" i="1"/>
  <c r="BC36" i="1"/>
  <c r="BD93" i="1"/>
  <c r="BG99" i="1"/>
  <c r="BI105" i="1"/>
  <c r="BB114" i="1"/>
  <c r="BI9" i="1"/>
  <c r="BP96" i="1"/>
  <c r="BO120" i="1"/>
  <c r="BK66" i="1"/>
  <c r="AX66" i="1"/>
  <c r="BE66" i="1"/>
  <c r="BE30" i="1"/>
  <c r="BG30" i="1"/>
  <c r="BD30" i="1"/>
  <c r="BD66" i="1"/>
  <c r="AX123" i="1"/>
  <c r="BM123" i="1"/>
  <c r="BL123" i="1"/>
  <c r="BE48" i="1"/>
  <c r="BI30" i="1"/>
  <c r="AW48" i="1"/>
  <c r="BH72" i="1"/>
  <c r="BB33" i="1"/>
  <c r="BL33" i="1"/>
  <c r="BJ33" i="1"/>
  <c r="BM108" i="1"/>
  <c r="BE108" i="1"/>
  <c r="BN81" i="1"/>
  <c r="BA81" i="1"/>
  <c r="BF81" i="1"/>
  <c r="BJ123" i="1"/>
  <c r="BJ66" i="1"/>
  <c r="BK123" i="1"/>
  <c r="BC60" i="1"/>
  <c r="BM60" i="1"/>
  <c r="AY66" i="1"/>
  <c r="BN75" i="1"/>
  <c r="BG108" i="1"/>
  <c r="AZ123" i="1"/>
  <c r="BH108" i="1"/>
  <c r="BJ60" i="1"/>
  <c r="BP12" i="1"/>
  <c r="BE33" i="1"/>
  <c r="AX72" i="1"/>
  <c r="BE81" i="1"/>
  <c r="BF33" i="1"/>
  <c r="AY48" i="1"/>
  <c r="BC78" i="1"/>
  <c r="BI108" i="1"/>
  <c r="BH123" i="1"/>
  <c r="BC42" i="1"/>
  <c r="BI42" i="1"/>
  <c r="AW42" i="1"/>
  <c r="AY15" i="1"/>
  <c r="AW30" i="1"/>
  <c r="BL66" i="1"/>
  <c r="BK81" i="1"/>
  <c r="AW123" i="1"/>
  <c r="BB60" i="1"/>
  <c r="BK60" i="1"/>
  <c r="BE78" i="1"/>
  <c r="BF111" i="1"/>
  <c r="AX33" i="1"/>
  <c r="BB24" i="1"/>
  <c r="BG24" i="1"/>
  <c r="BO24" i="1"/>
  <c r="BC24" i="1"/>
  <c r="BE24" i="1"/>
  <c r="BG15" i="1"/>
  <c r="BH48" i="1"/>
  <c r="BK75" i="1"/>
  <c r="BL108" i="1"/>
  <c r="AW33" i="1"/>
  <c r="BJ108" i="1"/>
  <c r="AZ39" i="1"/>
  <c r="BN39" i="1"/>
  <c r="BI39" i="1"/>
  <c r="BK39" i="1"/>
  <c r="AW108" i="1"/>
  <c r="AY45" i="1"/>
  <c r="BF78" i="1"/>
  <c r="AX108" i="1"/>
  <c r="AW81" i="1"/>
  <c r="BG102" i="1"/>
  <c r="BL12" i="1"/>
  <c r="BJ42" i="1"/>
  <c r="BM69" i="1"/>
  <c r="BA24" i="1"/>
  <c r="BL45" i="1"/>
  <c r="BF63" i="1"/>
  <c r="AX27" i="1"/>
  <c r="BF45" i="1"/>
  <c r="BH63" i="1"/>
  <c r="AZ12" i="1"/>
  <c r="BE27" i="1"/>
  <c r="BD42" i="1"/>
  <c r="BP54" i="1"/>
  <c r="BK24" i="1"/>
  <c r="BE42" i="1"/>
  <c r="BD57" i="1"/>
  <c r="BM66" i="1"/>
  <c r="AX81" i="1"/>
  <c r="BE90" i="1"/>
  <c r="BO108" i="1"/>
  <c r="BF123" i="1"/>
  <c r="BN90" i="1"/>
  <c r="BC111" i="1"/>
  <c r="BN24" i="1"/>
  <c r="BC15" i="1"/>
  <c r="BL24" i="1"/>
  <c r="BM33" i="1"/>
  <c r="AX48" i="1"/>
  <c r="BM57" i="1"/>
  <c r="BD72" i="1"/>
  <c r="BM81" i="1"/>
  <c r="BP108" i="1"/>
  <c r="BF24" i="1"/>
  <c r="BC93" i="1"/>
  <c r="BN33" i="1"/>
  <c r="BM48" i="1"/>
  <c r="BA66" i="1"/>
  <c r="BK78" i="1"/>
  <c r="BE96" i="1"/>
  <c r="BD111" i="1"/>
  <c r="BP123" i="1"/>
  <c r="BC18" i="1"/>
  <c r="BE18" i="1"/>
  <c r="BH18" i="1"/>
  <c r="BE15" i="1"/>
  <c r="BG57" i="1"/>
  <c r="AX102" i="1"/>
  <c r="BH15" i="1"/>
  <c r="AZ69" i="1"/>
  <c r="BJ105" i="1"/>
  <c r="BG6" i="1"/>
  <c r="BJ6" i="1"/>
  <c r="BL6" i="1"/>
  <c r="BM6" i="1"/>
  <c r="BA69" i="1"/>
  <c r="BO93" i="1"/>
  <c r="BK105" i="1"/>
  <c r="AW99" i="1"/>
  <c r="BM63" i="1"/>
  <c r="AX126" i="1"/>
  <c r="BI60" i="1"/>
  <c r="AW18" i="1"/>
  <c r="BN63" i="1"/>
  <c r="BM78" i="1"/>
  <c r="AX93" i="1"/>
  <c r="BE102" i="1"/>
  <c r="BN111" i="1"/>
  <c r="BH126" i="1"/>
  <c r="BG36" i="1"/>
  <c r="BL105" i="1"/>
  <c r="BM105" i="1"/>
  <c r="BI117" i="1"/>
  <c r="BJ117" i="1"/>
  <c r="BK117" i="1"/>
  <c r="AW66" i="1"/>
  <c r="BK51" i="1"/>
  <c r="BN78" i="1"/>
  <c r="BO111" i="1"/>
  <c r="AW36" i="1"/>
  <c r="AY111" i="1"/>
  <c r="AW111" i="1"/>
  <c r="AW15" i="1"/>
  <c r="BA120" i="1"/>
  <c r="AW60" i="1"/>
  <c r="BA111" i="1"/>
  <c r="BO102" i="1"/>
  <c r="BP72" i="1"/>
  <c r="AZ102" i="1"/>
  <c r="BN129" i="1"/>
  <c r="AX129" i="1"/>
  <c r="AY30" i="1"/>
  <c r="BC66" i="1"/>
  <c r="AX30" i="1"/>
  <c r="BD48" i="1"/>
  <c r="BG66" i="1"/>
  <c r="AY108" i="1"/>
  <c r="BF72" i="1"/>
  <c r="BJ72" i="1"/>
  <c r="BH66" i="1"/>
  <c r="BI15" i="1"/>
  <c r="BN15" i="1"/>
  <c r="AZ15" i="1"/>
  <c r="AX15" i="1"/>
  <c r="BL69" i="1"/>
  <c r="BP30" i="1"/>
  <c r="BG12" i="1"/>
  <c r="BA60" i="1"/>
  <c r="BG33" i="1"/>
  <c r="BG27" i="1"/>
  <c r="BP60" i="1"/>
  <c r="BP66" i="1"/>
  <c r="AX75" i="1"/>
  <c r="BN45" i="1"/>
  <c r="AX45" i="1"/>
  <c r="BB45" i="1"/>
  <c r="AY123" i="1"/>
  <c r="AX78" i="1"/>
  <c r="BB69" i="1"/>
  <c r="AX69" i="1"/>
  <c r="AY75" i="1"/>
  <c r="BP45" i="1"/>
  <c r="BF30" i="1"/>
  <c r="AX60" i="1"/>
  <c r="BC69" i="1"/>
  <c r="BM51" i="1"/>
  <c r="BD51" i="1"/>
  <c r="AY51" i="1"/>
  <c r="BB123" i="1"/>
  <c r="BK27" i="1"/>
  <c r="BG78" i="1"/>
  <c r="AW12" i="1"/>
  <c r="BB57" i="1"/>
  <c r="BJ57" i="1"/>
  <c r="AX57" i="1"/>
  <c r="BK12" i="1"/>
  <c r="BH33" i="1"/>
  <c r="AY54" i="1"/>
  <c r="BA72" i="1"/>
  <c r="BM12" i="1"/>
  <c r="AY36" i="1"/>
  <c r="BA54" i="1"/>
  <c r="BC33" i="1"/>
  <c r="BG45" i="1"/>
  <c r="AZ60" i="1"/>
  <c r="BB15" i="1"/>
  <c r="BD33" i="1"/>
  <c r="BC48" i="1"/>
  <c r="BG60" i="1"/>
  <c r="BC72" i="1"/>
  <c r="BK96" i="1"/>
  <c r="BA99" i="1"/>
  <c r="BA123" i="1"/>
  <c r="BJ36" i="1"/>
  <c r="BD102" i="1"/>
  <c r="BF18" i="1"/>
  <c r="BO27" i="1"/>
  <c r="BC39" i="1"/>
  <c r="BA51" i="1"/>
  <c r="BK63" i="1"/>
  <c r="BG75" i="1"/>
  <c r="BG123" i="1"/>
  <c r="BC45" i="1"/>
  <c r="BP27" i="1"/>
  <c r="BA42" i="1"/>
  <c r="BK54" i="1"/>
  <c r="BJ69" i="1"/>
  <c r="BK102" i="1"/>
  <c r="BE114" i="1"/>
  <c r="BF114" i="1"/>
  <c r="BK114" i="1"/>
  <c r="BD6" i="1"/>
  <c r="BA33" i="1"/>
  <c r="BN72" i="1"/>
  <c r="BI123" i="1"/>
  <c r="BO30" i="1"/>
  <c r="BA78" i="1"/>
  <c r="BF93" i="1"/>
  <c r="AW102" i="1"/>
  <c r="BB72" i="1"/>
  <c r="AY99" i="1"/>
  <c r="BN108" i="1"/>
  <c r="BE123" i="1"/>
  <c r="BG81" i="1"/>
  <c r="BE72" i="1"/>
  <c r="BG48" i="1"/>
  <c r="BO72" i="1"/>
  <c r="BA96" i="1"/>
  <c r="BM75" i="1"/>
  <c r="AZ51" i="1"/>
  <c r="BC63" i="1"/>
  <c r="BB126" i="1"/>
  <c r="BH21" i="1"/>
  <c r="AX21" i="1"/>
  <c r="AZ21" i="1"/>
  <c r="AW21" i="1"/>
  <c r="BI33" i="1"/>
  <c r="BA63" i="1"/>
  <c r="AY93" i="1"/>
  <c r="AZ126" i="1"/>
  <c r="BH42" i="1"/>
  <c r="BL78" i="1"/>
  <c r="BD126" i="1"/>
  <c r="BL87" i="1"/>
  <c r="AZ87" i="1"/>
  <c r="BE126" i="1"/>
  <c r="BN30" i="1"/>
  <c r="BL60" i="1"/>
  <c r="BE93" i="1"/>
  <c r="BC123" i="1"/>
  <c r="BP87" i="1"/>
  <c r="AZ117" i="1"/>
  <c r="BP24" i="1"/>
  <c r="AZ54" i="1"/>
  <c r="BL84" i="1"/>
  <c r="BJ114" i="1"/>
  <c r="AW57" i="1"/>
  <c r="BA48" i="1"/>
  <c r="BN123" i="1"/>
  <c r="BL72" i="1"/>
  <c r="AZ81" i="1"/>
  <c r="BB27" i="1"/>
  <c r="BJ27" i="1"/>
  <c r="BM27" i="1"/>
  <c r="BH81" i="1"/>
  <c r="BB111" i="1"/>
  <c r="BI111" i="1"/>
  <c r="BH111" i="1"/>
  <c r="BA12" i="1"/>
  <c r="BC12" i="1"/>
  <c r="BF12" i="1"/>
  <c r="BO12" i="1"/>
  <c r="BM30" i="1"/>
  <c r="BE12" i="1"/>
  <c r="BF69" i="1"/>
  <c r="BL48" i="1"/>
  <c r="BL27" i="1"/>
  <c r="BI102" i="1"/>
  <c r="BA102" i="1"/>
  <c r="AW27" i="1"/>
  <c r="AW45" i="1"/>
  <c r="BG111" i="1"/>
  <c r="BF15" i="1"/>
  <c r="BP33" i="1"/>
  <c r="BM54" i="1"/>
  <c r="BP15" i="1"/>
  <c r="BE36" i="1"/>
  <c r="BO54" i="1"/>
  <c r="BK33" i="1"/>
  <c r="BO45" i="1"/>
  <c r="BN60" i="1"/>
  <c r="BJ15" i="1"/>
  <c r="BA36" i="1"/>
  <c r="BK48" i="1"/>
  <c r="BO60" i="1"/>
  <c r="BK72" i="1"/>
  <c r="BF99" i="1"/>
  <c r="BO99" i="1"/>
  <c r="BO123" i="1"/>
  <c r="BM39" i="1"/>
  <c r="BE111" i="1"/>
  <c r="BB30" i="1"/>
  <c r="AZ42" i="1"/>
  <c r="BG51" i="1"/>
  <c r="AZ66" i="1"/>
  <c r="BO75" i="1"/>
  <c r="AZ90" i="1"/>
  <c r="BD15" i="1"/>
  <c r="BC30" i="1"/>
  <c r="BG42" i="1"/>
  <c r="AZ57" i="1"/>
  <c r="AY72" i="1"/>
  <c r="BA90" i="1"/>
  <c r="AW90" i="1"/>
  <c r="BB36" i="1"/>
  <c r="BD78" i="1"/>
  <c r="BP39" i="1"/>
  <c r="BO78" i="1"/>
  <c r="BI96" i="1"/>
  <c r="AW78" i="1"/>
  <c r="BN12" i="1"/>
  <c r="BH78" i="1"/>
  <c r="BD90" i="1"/>
  <c r="BE99" i="1"/>
  <c r="BL30" i="1"/>
  <c r="BI36" i="1"/>
  <c r="BB51" i="1"/>
  <c r="BG96" i="1"/>
  <c r="BC108" i="1"/>
  <c r="BI78" i="1"/>
  <c r="AW96" i="1"/>
  <c r="BF66" i="1"/>
  <c r="AX111" i="1"/>
  <c r="BL36" i="1"/>
  <c r="BB66" i="1"/>
  <c r="AY105" i="1"/>
  <c r="BD105" i="1"/>
  <c r="BG105" i="1"/>
  <c r="BP42" i="1"/>
  <c r="BO81" i="1"/>
  <c r="AW63" i="1"/>
  <c r="AX36" i="1"/>
  <c r="AZ93" i="1"/>
  <c r="BD123" i="1"/>
  <c r="AZ30" i="1"/>
  <c r="BD60" i="1"/>
  <c r="BI48" i="1"/>
  <c r="BH30" i="1"/>
  <c r="BI72" i="1"/>
  <c r="AZ108" i="1"/>
  <c r="BI66" i="1"/>
  <c r="BD75" i="1"/>
  <c r="BP75" i="1"/>
  <c r="BL75" i="1"/>
  <c r="BE75" i="1"/>
  <c r="AW75" i="1"/>
  <c r="BK69" i="1"/>
  <c r="BN69" i="1"/>
  <c r="BC27" i="1"/>
  <c r="BP111" i="1"/>
  <c r="BP48" i="1"/>
  <c r="BD108" i="1"/>
  <c r="BO48" i="1"/>
  <c r="BA30" i="1"/>
  <c r="BN27" i="1"/>
  <c r="BP69" i="1"/>
  <c r="BA75" i="1"/>
  <c r="BO66" i="1"/>
  <c r="BO69" i="1"/>
  <c r="BF108" i="1"/>
  <c r="BP81" i="1"/>
  <c r="BO33" i="1"/>
  <c r="BI81" i="1"/>
  <c r="BK36" i="1"/>
  <c r="BH57" i="1"/>
  <c r="BM36" i="1"/>
  <c r="AY60" i="1"/>
  <c r="AZ36" i="1"/>
  <c r="BB48" i="1"/>
  <c r="BB39" i="1"/>
  <c r="BF51" i="1"/>
  <c r="AZ75" i="1"/>
  <c r="AY96" i="1"/>
  <c r="AZ96" i="1"/>
  <c r="BJ102" i="1"/>
  <c r="BF48" i="1"/>
  <c r="BJ30" i="1"/>
  <c r="BF42" i="1"/>
  <c r="BB54" i="1"/>
  <c r="BN66" i="1"/>
  <c r="BB78" i="1"/>
  <c r="AX96" i="1"/>
  <c r="AZ72" i="1"/>
  <c r="BL15" i="1"/>
  <c r="BK30" i="1"/>
  <c r="BO42" i="1"/>
  <c r="BF57" i="1"/>
  <c r="BM72" i="1"/>
  <c r="BF90" i="1"/>
  <c r="BK90" i="1"/>
  <c r="BM90" i="1"/>
  <c r="BB12" i="1"/>
  <c r="BE39" i="1"/>
  <c r="BP99" i="1"/>
  <c r="AZ99" i="1"/>
  <c r="AZ45" i="1"/>
  <c r="BB81" i="1"/>
  <c r="AX99" i="1"/>
  <c r="AW54" i="1"/>
  <c r="AY27" i="1"/>
  <c r="BP78" i="1"/>
  <c r="BL90" i="1"/>
  <c r="BM99" i="1"/>
  <c r="BN48" i="1"/>
  <c r="BH90" i="1"/>
  <c r="BL39" i="1"/>
  <c r="BM96" i="1"/>
  <c r="BJ51" i="1"/>
  <c r="BJ75" i="1"/>
  <c r="BO96" i="1"/>
  <c r="BK108" i="1"/>
  <c r="BP102" i="1"/>
  <c r="AZ27" i="1"/>
  <c r="BL81" i="1"/>
  <c r="AW72" i="1"/>
  <c r="BB42" i="1"/>
  <c r="BE69" i="1"/>
  <c r="BF102" i="1"/>
  <c r="BK45" i="1"/>
  <c r="BL63" i="1"/>
  <c r="AZ63" i="1"/>
  <c r="BD12" i="1"/>
  <c r="BA39" i="1"/>
  <c r="AY69" i="1"/>
  <c r="BK99" i="1"/>
  <c r="BN93" i="1"/>
  <c r="BD36" i="1"/>
  <c r="BG63" i="1"/>
  <c r="BJ90" i="1"/>
  <c r="AS114" i="2"/>
  <c r="AN113" i="2"/>
  <c r="AG42" i="2"/>
  <c r="AM113" i="2"/>
  <c r="AS98" i="2"/>
  <c r="AP57" i="2"/>
  <c r="AO34" i="2"/>
  <c r="AG128" i="2"/>
  <c r="AI119" i="2"/>
  <c r="AH111" i="2"/>
  <c r="AQ106" i="2"/>
  <c r="AT95" i="2"/>
  <c r="AF87" i="2"/>
  <c r="AJ73" i="2"/>
  <c r="AB89" i="2"/>
  <c r="AR131" i="2"/>
  <c r="AH131" i="2"/>
  <c r="AQ123" i="2"/>
  <c r="AE123" i="2"/>
  <c r="AH119" i="2"/>
  <c r="AM115" i="2"/>
  <c r="AC115" i="2"/>
  <c r="AC111" i="2"/>
  <c r="AL107" i="2"/>
  <c r="AJ105" i="2"/>
  <c r="AS99" i="2"/>
  <c r="AF99" i="2"/>
  <c r="AR95" i="2"/>
  <c r="AQ91" i="2"/>
  <c r="AE91" i="2"/>
  <c r="AM86" i="2"/>
  <c r="AM83" i="2"/>
  <c r="AR79" i="2"/>
  <c r="AN75" i="2"/>
  <c r="AH73" i="2"/>
  <c r="AL67" i="2"/>
  <c r="AT62" i="2"/>
  <c r="AG59" i="2"/>
  <c r="AS51" i="2"/>
  <c r="AC50" i="2"/>
  <c r="AI43" i="2"/>
  <c r="AI35" i="2"/>
  <c r="AK27" i="2"/>
  <c r="AN19" i="2"/>
  <c r="AN26" i="2"/>
  <c r="AB50" i="2"/>
  <c r="AB129" i="2"/>
  <c r="AL131" i="2"/>
  <c r="AC131" i="2"/>
  <c r="AD127" i="2"/>
  <c r="AL123" i="2"/>
  <c r="AE121" i="2"/>
  <c r="AS115" i="2"/>
  <c r="BN114" i="2" s="1"/>
  <c r="AH115" i="2"/>
  <c r="AT111" i="2"/>
  <c r="AS107" i="2"/>
  <c r="AF107" i="2"/>
  <c r="AR102" i="2"/>
  <c r="AM99" i="2"/>
  <c r="AN97" i="2"/>
  <c r="AM94" i="2"/>
  <c r="AK91" i="2"/>
  <c r="AR87" i="2"/>
  <c r="AT83" i="2"/>
  <c r="AH83" i="2"/>
  <c r="AS75" i="2"/>
  <c r="AD75" i="2"/>
  <c r="AC67" i="2"/>
  <c r="AN59" i="2"/>
  <c r="AM56" i="2"/>
  <c r="AJ51" i="2"/>
  <c r="AO43" i="2"/>
  <c r="AN39" i="2"/>
  <c r="AQ31" i="2"/>
  <c r="AL26" i="2"/>
  <c r="AC19" i="2"/>
  <c r="AI11" i="2"/>
  <c r="AB55" i="2"/>
  <c r="AU131" i="2"/>
  <c r="AK131" i="2"/>
  <c r="AT129" i="2"/>
  <c r="AC127" i="2"/>
  <c r="AI123" i="2"/>
  <c r="AP120" i="2"/>
  <c r="AR115" i="2"/>
  <c r="AF115" i="2"/>
  <c r="AQ111" i="2"/>
  <c r="AQ107" i="2"/>
  <c r="AE107" i="2"/>
  <c r="AQ102" i="2"/>
  <c r="AK99" i="2"/>
  <c r="AU91" i="2"/>
  <c r="AJ91" i="2"/>
  <c r="AO87" i="2"/>
  <c r="AR83" i="2"/>
  <c r="AF83" i="2"/>
  <c r="AR75" i="2"/>
  <c r="AC75" i="2"/>
  <c r="AP67" i="2"/>
  <c r="AI66" i="2"/>
  <c r="AL59" i="2"/>
  <c r="AT55" i="2"/>
  <c r="AH51" i="2"/>
  <c r="AN43" i="2"/>
  <c r="AP35" i="2"/>
  <c r="AE23" i="2"/>
  <c r="AS15" i="2"/>
  <c r="AC11" i="2"/>
  <c r="AQ122" i="2"/>
  <c r="AS57" i="2"/>
  <c r="AK121" i="2"/>
  <c r="AS129" i="2"/>
  <c r="AO119" i="2"/>
  <c r="AN111" i="2"/>
  <c r="AU95" i="2"/>
  <c r="AM87" i="2"/>
  <c r="AU74" i="2"/>
  <c r="AD130" i="2"/>
  <c r="AH130" i="2"/>
  <c r="AT130" i="2"/>
  <c r="BO129" i="2" s="1"/>
  <c r="AI130" i="2"/>
  <c r="BD129" i="2" s="1"/>
  <c r="AU130" i="2"/>
  <c r="AL130" i="2"/>
  <c r="BG129" i="2" s="1"/>
  <c r="AF130" i="2"/>
  <c r="AP130" i="2"/>
  <c r="AE82" i="2"/>
  <c r="AO82" i="2"/>
  <c r="AP82" i="2"/>
  <c r="AB82" i="2"/>
  <c r="AC82" i="2"/>
  <c r="AQ82" i="2"/>
  <c r="AJ82" i="2"/>
  <c r="AC26" i="2"/>
  <c r="AB34" i="2"/>
  <c r="AB114" i="2"/>
  <c r="AG130" i="2"/>
  <c r="AS122" i="2"/>
  <c r="AM121" i="2"/>
  <c r="AL105" i="2"/>
  <c r="AD98" i="2"/>
  <c r="AG89" i="2"/>
  <c r="AN82" i="2"/>
  <c r="AE81" i="2"/>
  <c r="AZ81" i="2" s="1"/>
  <c r="AT73" i="2"/>
  <c r="AJ65" i="2"/>
  <c r="AK58" i="2"/>
  <c r="AG50" i="2"/>
  <c r="AT42" i="2"/>
  <c r="AT26" i="2"/>
  <c r="AF18" i="2"/>
  <c r="AB42" i="2"/>
  <c r="AC130" i="2"/>
  <c r="AD129" i="2"/>
  <c r="AP113" i="2"/>
  <c r="AK105" i="2"/>
  <c r="AI82" i="2"/>
  <c r="AL80" i="2"/>
  <c r="AK122" i="2"/>
  <c r="BF120" i="2" s="1"/>
  <c r="AB122" i="2"/>
  <c r="AO122" i="2"/>
  <c r="AC122" i="2"/>
  <c r="AP122" i="2"/>
  <c r="AI122" i="2"/>
  <c r="AU122" i="2"/>
  <c r="AH114" i="2"/>
  <c r="AK114" i="2"/>
  <c r="AC114" i="2"/>
  <c r="AM114" i="2"/>
  <c r="AD114" i="2"/>
  <c r="AN114" i="2"/>
  <c r="AI114" i="2"/>
  <c r="AU114" i="2"/>
  <c r="AD106" i="2"/>
  <c r="AY105" i="2" s="1"/>
  <c r="AN106" i="2"/>
  <c r="AO106" i="2"/>
  <c r="BJ105" i="2" s="1"/>
  <c r="AP106" i="2"/>
  <c r="AI106" i="2"/>
  <c r="AI98" i="2"/>
  <c r="AU98" i="2"/>
  <c r="AJ98" i="2"/>
  <c r="AB98" i="2"/>
  <c r="AK98" i="2"/>
  <c r="AG98" i="2"/>
  <c r="AR98" i="2"/>
  <c r="AI90" i="2"/>
  <c r="AG90" i="2"/>
  <c r="AU90" i="2"/>
  <c r="BP90" i="2" s="1"/>
  <c r="AJ90" i="2"/>
  <c r="AK90" i="2"/>
  <c r="AP90" i="2"/>
  <c r="AH74" i="2"/>
  <c r="AI74" i="2"/>
  <c r="AL74" i="2"/>
  <c r="AE74" i="2"/>
  <c r="AS74" i="2"/>
  <c r="AF66" i="2"/>
  <c r="AQ66" i="2"/>
  <c r="AS66" i="2"/>
  <c r="AU66" i="2"/>
  <c r="AL66" i="2"/>
  <c r="AB66" i="2"/>
  <c r="AC58" i="2"/>
  <c r="AX57" i="2" s="1"/>
  <c r="AE58" i="2"/>
  <c r="AT58" i="2"/>
  <c r="AF58" i="2"/>
  <c r="AU58" i="2"/>
  <c r="AG58" i="2"/>
  <c r="AB58" i="2"/>
  <c r="AP58" i="2"/>
  <c r="AK50" i="2"/>
  <c r="AO50" i="2"/>
  <c r="AP50" i="2"/>
  <c r="AS50" i="2"/>
  <c r="AM50" i="2"/>
  <c r="AL42" i="2"/>
  <c r="AH42" i="2"/>
  <c r="AN42" i="2"/>
  <c r="AO42" i="2"/>
  <c r="AL34" i="2"/>
  <c r="AT34" i="2"/>
  <c r="AU34" i="2"/>
  <c r="AC34" i="2"/>
  <c r="AP34" i="2"/>
  <c r="AI26" i="2"/>
  <c r="AD26" i="2"/>
  <c r="AE26" i="2"/>
  <c r="AK26" i="2"/>
  <c r="AS26" i="2"/>
  <c r="AB26" i="2"/>
  <c r="AO18" i="2"/>
  <c r="BJ18" i="2" s="1"/>
  <c r="AT18" i="2"/>
  <c r="BO18" i="2" s="1"/>
  <c r="AB18" i="2"/>
  <c r="AK18" i="2"/>
  <c r="AL18" i="2"/>
  <c r="AP10" i="2"/>
  <c r="AD10" i="2"/>
  <c r="AI10" i="2"/>
  <c r="BD9" i="2" s="1"/>
  <c r="AK10" i="2"/>
  <c r="AC10" i="2"/>
  <c r="AB90" i="2"/>
  <c r="AB130" i="2"/>
  <c r="AJ122" i="2"/>
  <c r="AR114" i="2"/>
  <c r="AM106" i="2"/>
  <c r="AQ98" i="2"/>
  <c r="AD90" i="2"/>
  <c r="AG82" i="2"/>
  <c r="AQ74" i="2"/>
  <c r="AH66" i="2"/>
  <c r="AI34" i="2"/>
  <c r="AT10" i="2"/>
  <c r="AF121" i="2"/>
  <c r="AT121" i="2"/>
  <c r="AH121" i="2"/>
  <c r="AU121" i="2"/>
  <c r="AB121" i="2"/>
  <c r="AJ121" i="2"/>
  <c r="AD121" i="2"/>
  <c r="AN121" i="2"/>
  <c r="AO97" i="2"/>
  <c r="AD97" i="2"/>
  <c r="AS97" i="2"/>
  <c r="AE97" i="2"/>
  <c r="AT97" i="2"/>
  <c r="AB97" i="2"/>
  <c r="AM97" i="2"/>
  <c r="AK73" i="2"/>
  <c r="AL73" i="2"/>
  <c r="AR73" i="2"/>
  <c r="AI73" i="2"/>
  <c r="AT65" i="2"/>
  <c r="AU65" i="2"/>
  <c r="AE65" i="2"/>
  <c r="AP65" i="2"/>
  <c r="AK41" i="2"/>
  <c r="AB41" i="2"/>
  <c r="AN41" i="2"/>
  <c r="AP41" i="2"/>
  <c r="AI41" i="2"/>
  <c r="AQ33" i="2"/>
  <c r="AU33" i="2"/>
  <c r="AL33" i="2"/>
  <c r="AH17" i="2"/>
  <c r="AI17" i="2"/>
  <c r="AB57" i="2"/>
  <c r="AQ130" i="2"/>
  <c r="AO114" i="2"/>
  <c r="AP98" i="2"/>
  <c r="AC90" i="2"/>
  <c r="AR128" i="2"/>
  <c r="AP128" i="2"/>
  <c r="AK112" i="2"/>
  <c r="AO112" i="2"/>
  <c r="AJ104" i="2"/>
  <c r="AU104" i="2"/>
  <c r="AR96" i="2"/>
  <c r="AU96" i="2"/>
  <c r="AF96" i="2"/>
  <c r="AP88" i="2"/>
  <c r="AQ88" i="2"/>
  <c r="AS88" i="2"/>
  <c r="AB88" i="2"/>
  <c r="AW87" i="2" s="1"/>
  <c r="AM64" i="2"/>
  <c r="AN64" i="2"/>
  <c r="AB25" i="2"/>
  <c r="AB65" i="2"/>
  <c r="AB106" i="2"/>
  <c r="AO130" i="2"/>
  <c r="AJ129" i="2"/>
  <c r="AG122" i="2"/>
  <c r="AL120" i="2"/>
  <c r="AJ114" i="2"/>
  <c r="AG106" i="2"/>
  <c r="AF104" i="2"/>
  <c r="AM98" i="2"/>
  <c r="AF97" i="2"/>
  <c r="AO90" i="2"/>
  <c r="AO89" i="2"/>
  <c r="AM74" i="2"/>
  <c r="AM57" i="2"/>
  <c r="AC42" i="2"/>
  <c r="AN33" i="2"/>
  <c r="AK25" i="2"/>
  <c r="AF113" i="2"/>
  <c r="AU113" i="2"/>
  <c r="AG113" i="2"/>
  <c r="AH113" i="2"/>
  <c r="AO113" i="2"/>
  <c r="AF81" i="2"/>
  <c r="AS81" i="2"/>
  <c r="AG81" i="2"/>
  <c r="AT81" i="2"/>
  <c r="AH81" i="2"/>
  <c r="BC81" i="2" s="1"/>
  <c r="AD81" i="2"/>
  <c r="AY81" i="2" s="1"/>
  <c r="AP81" i="2"/>
  <c r="BK81" i="2" s="1"/>
  <c r="AP49" i="2"/>
  <c r="AQ49" i="2"/>
  <c r="AC49" i="2"/>
  <c r="AU49" i="2"/>
  <c r="AJ49" i="2"/>
  <c r="AK9" i="2"/>
  <c r="AB9" i="2"/>
  <c r="AM129" i="2"/>
  <c r="AS90" i="2"/>
  <c r="AP74" i="2"/>
  <c r="AG66" i="2"/>
  <c r="AF42" i="2"/>
  <c r="AN130" i="2"/>
  <c r="AD122" i="2"/>
  <c r="AE106" i="2"/>
  <c r="AH98" i="2"/>
  <c r="AG96" i="2"/>
  <c r="AN90" i="2"/>
  <c r="AS82" i="2"/>
  <c r="AL81" i="2"/>
  <c r="AG74" i="2"/>
  <c r="AS65" i="2"/>
  <c r="AS58" i="2"/>
  <c r="AT50" i="2"/>
  <c r="AE49" i="2"/>
  <c r="AT41" i="2"/>
  <c r="AK33" i="2"/>
  <c r="AH25" i="2"/>
  <c r="AE129" i="2"/>
  <c r="AN129" i="2"/>
  <c r="AF129" i="2"/>
  <c r="AQ129" i="2"/>
  <c r="AR129" i="2"/>
  <c r="AL129" i="2"/>
  <c r="AE105" i="2"/>
  <c r="AR105" i="2"/>
  <c r="AB105" i="2"/>
  <c r="AT105" i="2"/>
  <c r="AH105" i="2"/>
  <c r="AU105" i="2"/>
  <c r="BP105" i="2" s="1"/>
  <c r="AO105" i="2"/>
  <c r="AP89" i="2"/>
  <c r="AR89" i="2"/>
  <c r="AF89" i="2"/>
  <c r="AS89" i="2"/>
  <c r="AN89" i="2"/>
  <c r="AF57" i="2"/>
  <c r="BA57" i="2" s="1"/>
  <c r="AL57" i="2"/>
  <c r="AC57" i="2"/>
  <c r="AR57" i="2"/>
  <c r="AH122" i="2"/>
  <c r="AL113" i="2"/>
  <c r="AH106" i="2"/>
  <c r="AK97" i="2"/>
  <c r="AR81" i="2"/>
  <c r="AD73" i="2"/>
  <c r="AI49" i="2"/>
  <c r="AH34" i="2"/>
  <c r="AL10" i="2"/>
  <c r="BB126" i="2"/>
  <c r="AB33" i="2"/>
  <c r="AB73" i="2"/>
  <c r="AB112" i="2"/>
  <c r="AM130" i="2"/>
  <c r="AR121" i="2"/>
  <c r="AP105" i="2"/>
  <c r="AE98" i="2"/>
  <c r="AM90" i="2"/>
  <c r="AJ89" i="2"/>
  <c r="AR82" i="2"/>
  <c r="AK81" i="2"/>
  <c r="AU73" i="2"/>
  <c r="AN65" i="2"/>
  <c r="AO58" i="2"/>
  <c r="AE57" i="2"/>
  <c r="AN50" i="2"/>
  <c r="AU42" i="2"/>
  <c r="AJ41" i="2"/>
  <c r="AI33" i="2"/>
  <c r="AH18" i="2"/>
  <c r="AB127" i="2"/>
  <c r="AP131" i="2"/>
  <c r="AL127" i="2"/>
  <c r="AU123" i="2"/>
  <c r="AN119" i="2"/>
  <c r="AU115" i="2"/>
  <c r="AD111" i="2"/>
  <c r="AN107" i="2"/>
  <c r="AF103" i="2"/>
  <c r="AR99" i="2"/>
  <c r="AG95" i="2"/>
  <c r="AS91" i="2"/>
  <c r="AT87" i="2"/>
  <c r="AC87" i="2"/>
  <c r="AP83" i="2"/>
  <c r="AE71" i="2"/>
  <c r="AN63" i="2"/>
  <c r="AN15" i="2"/>
  <c r="AB38" i="2"/>
  <c r="AB79" i="2"/>
  <c r="AB119" i="2"/>
  <c r="AS127" i="2"/>
  <c r="AS126" i="2"/>
  <c r="AR119" i="2"/>
  <c r="AU118" i="2"/>
  <c r="AM111" i="2"/>
  <c r="AO103" i="2"/>
  <c r="AD102" i="2"/>
  <c r="AQ95" i="2"/>
  <c r="AL87" i="2"/>
  <c r="AM79" i="2"/>
  <c r="AT71" i="2"/>
  <c r="AS55" i="2"/>
  <c r="AJ31" i="2"/>
  <c r="AO7" i="2"/>
  <c r="AB22" i="2"/>
  <c r="AO127" i="2"/>
  <c r="AI126" i="2"/>
  <c r="AQ119" i="2"/>
  <c r="AJ118" i="2"/>
  <c r="AJ111" i="2"/>
  <c r="AL103" i="2"/>
  <c r="AP95" i="2"/>
  <c r="AR71" i="2"/>
  <c r="AN47" i="2"/>
  <c r="AI31" i="2"/>
  <c r="AH3" i="2"/>
  <c r="AP3" i="2"/>
  <c r="AN3" i="2"/>
  <c r="AG3" i="2"/>
  <c r="AR3" i="2"/>
  <c r="AI3" i="2"/>
  <c r="AS3" i="2"/>
  <c r="AL3" i="2"/>
  <c r="AE3" i="2"/>
  <c r="AQ3" i="2"/>
  <c r="AM3" i="2"/>
  <c r="AO3" i="2"/>
  <c r="AB3" i="2"/>
  <c r="AC3" i="2"/>
  <c r="AT3" i="2"/>
  <c r="AD3" i="2"/>
  <c r="AF3" i="2"/>
  <c r="AJ3" i="2"/>
  <c r="AK3" i="2"/>
  <c r="AU3" i="2"/>
  <c r="AD108" i="2"/>
  <c r="AJ108" i="2"/>
  <c r="AR108" i="2"/>
  <c r="AN108" i="2"/>
  <c r="AB108" i="2"/>
  <c r="AO108" i="2"/>
  <c r="AC108" i="2"/>
  <c r="AM108" i="2"/>
  <c r="AK108" i="2"/>
  <c r="AH108" i="2"/>
  <c r="AI108" i="2"/>
  <c r="AL108" i="2"/>
  <c r="AF108" i="2"/>
  <c r="AT108" i="2"/>
  <c r="AG108" i="2"/>
  <c r="AU108" i="2"/>
  <c r="AD84" i="2"/>
  <c r="AJ84" i="2"/>
  <c r="AR84" i="2"/>
  <c r="AO84" i="2"/>
  <c r="AB84" i="2"/>
  <c r="AG84" i="2"/>
  <c r="AP84" i="2"/>
  <c r="AF84" i="2"/>
  <c r="AQ84" i="2"/>
  <c r="AM84" i="2"/>
  <c r="AL84" i="2"/>
  <c r="AN84" i="2"/>
  <c r="AC84" i="2"/>
  <c r="AS84" i="2"/>
  <c r="AI84" i="2"/>
  <c r="AK84" i="2"/>
  <c r="AH60" i="2"/>
  <c r="AP60" i="2"/>
  <c r="AI60" i="2"/>
  <c r="AR60" i="2"/>
  <c r="AE60" i="2"/>
  <c r="AL60" i="2"/>
  <c r="AU60" i="2"/>
  <c r="AS60" i="2"/>
  <c r="AB60" i="2"/>
  <c r="AG60" i="2"/>
  <c r="AT60" i="2"/>
  <c r="AD60" i="2"/>
  <c r="AQ60" i="2"/>
  <c r="AF60" i="2"/>
  <c r="AJ60" i="2"/>
  <c r="AO60" i="2"/>
  <c r="AK60" i="2"/>
  <c r="AM60" i="2"/>
  <c r="AN60" i="2"/>
  <c r="AC60" i="2"/>
  <c r="AH36" i="2"/>
  <c r="AP36" i="2"/>
  <c r="AG36" i="2"/>
  <c r="AQ36" i="2"/>
  <c r="AE36" i="2"/>
  <c r="AM36" i="2"/>
  <c r="AR36" i="2"/>
  <c r="AK36" i="2"/>
  <c r="AB36" i="2"/>
  <c r="AL36" i="2"/>
  <c r="AJ36" i="2"/>
  <c r="AN36" i="2"/>
  <c r="AO36" i="2"/>
  <c r="AC36" i="2"/>
  <c r="AS36" i="2"/>
  <c r="AI36" i="2"/>
  <c r="AT36" i="2"/>
  <c r="AD36" i="2"/>
  <c r="AF36" i="2"/>
  <c r="AE20" i="2"/>
  <c r="AK20" i="2"/>
  <c r="AS20" i="2"/>
  <c r="AN20" i="2"/>
  <c r="AG20" i="2"/>
  <c r="AQ20" i="2"/>
  <c r="AL20" i="2"/>
  <c r="AF20" i="2"/>
  <c r="AP20" i="2"/>
  <c r="AU20" i="2"/>
  <c r="AB20" i="2"/>
  <c r="AH20" i="2"/>
  <c r="AI20" i="2"/>
  <c r="AC20" i="2"/>
  <c r="AD20" i="2"/>
  <c r="AJ20" i="2"/>
  <c r="AR20" i="2"/>
  <c r="AT20" i="2"/>
  <c r="AT124" i="2"/>
  <c r="AE108" i="2"/>
  <c r="BK93" i="2"/>
  <c r="AH84" i="2"/>
  <c r="AB101" i="2"/>
  <c r="AK125" i="2"/>
  <c r="AC124" i="2"/>
  <c r="AP116" i="2"/>
  <c r="AS108" i="2"/>
  <c r="AI101" i="2"/>
  <c r="AH92" i="2"/>
  <c r="AH126" i="2"/>
  <c r="AP126" i="2"/>
  <c r="AD126" i="2"/>
  <c r="AK126" i="2"/>
  <c r="AT126" i="2"/>
  <c r="AE126" i="2"/>
  <c r="AL126" i="2"/>
  <c r="AU126" i="2"/>
  <c r="AR126" i="2"/>
  <c r="AN126" i="2"/>
  <c r="AC126" i="2"/>
  <c r="AO126" i="2"/>
  <c r="AF126" i="2"/>
  <c r="AQ126" i="2"/>
  <c r="AJ126" i="2"/>
  <c r="AH118" i="2"/>
  <c r="AP118" i="2"/>
  <c r="AN118" i="2"/>
  <c r="BI117" i="2" s="1"/>
  <c r="AO118" i="2"/>
  <c r="AI118" i="2"/>
  <c r="AT118" i="2"/>
  <c r="AC118" i="2"/>
  <c r="AM118" i="2"/>
  <c r="AQ118" i="2"/>
  <c r="AB118" i="2"/>
  <c r="AD118" i="2"/>
  <c r="AR118" i="2"/>
  <c r="AE118" i="2"/>
  <c r="AS118" i="2"/>
  <c r="AK118" i="2"/>
  <c r="AL118" i="2"/>
  <c r="AH110" i="2"/>
  <c r="AP110" i="2"/>
  <c r="AI110" i="2"/>
  <c r="AR110" i="2"/>
  <c r="AC110" i="2"/>
  <c r="AJ110" i="2"/>
  <c r="AS110" i="2"/>
  <c r="AG110" i="2"/>
  <c r="AU110" i="2"/>
  <c r="AL110" i="2"/>
  <c r="AN110" i="2"/>
  <c r="AD110" i="2"/>
  <c r="AO110" i="2"/>
  <c r="AE110" i="2"/>
  <c r="AQ110" i="2"/>
  <c r="AK110" i="2"/>
  <c r="AM110" i="2"/>
  <c r="AH102" i="2"/>
  <c r="AP102" i="2"/>
  <c r="AE102" i="2"/>
  <c r="AL102" i="2"/>
  <c r="AU102" i="2"/>
  <c r="AF102" i="2"/>
  <c r="AM102" i="2"/>
  <c r="AI102" i="2"/>
  <c r="AT102" i="2"/>
  <c r="AS102" i="2"/>
  <c r="AJ102" i="2"/>
  <c r="AK102" i="2"/>
  <c r="AN102" i="2"/>
  <c r="AB102" i="2"/>
  <c r="AG102" i="2"/>
  <c r="AH94" i="2"/>
  <c r="AP94" i="2"/>
  <c r="AO94" i="2"/>
  <c r="AG94" i="2"/>
  <c r="AQ94" i="2"/>
  <c r="AK94" i="2"/>
  <c r="AE94" i="2"/>
  <c r="AR94" i="2"/>
  <c r="AU94" i="2"/>
  <c r="AB94" i="2"/>
  <c r="AI94" i="2"/>
  <c r="AJ94" i="2"/>
  <c r="AD94" i="2"/>
  <c r="AS94" i="2"/>
  <c r="AF94" i="2"/>
  <c r="AT94" i="2"/>
  <c r="AH86" i="2"/>
  <c r="AP86" i="2"/>
  <c r="AC86" i="2"/>
  <c r="AJ86" i="2"/>
  <c r="AS86" i="2"/>
  <c r="AD86" i="2"/>
  <c r="AK86" i="2"/>
  <c r="AT86" i="2"/>
  <c r="AL86" i="2"/>
  <c r="AN86" i="2"/>
  <c r="AF86" i="2"/>
  <c r="AR86" i="2"/>
  <c r="AU86" i="2"/>
  <c r="AO86" i="2"/>
  <c r="AE86" i="2"/>
  <c r="AQ86" i="2"/>
  <c r="AH78" i="2"/>
  <c r="AP78" i="2"/>
  <c r="AF78" i="2"/>
  <c r="AM78" i="2"/>
  <c r="AN78" i="2"/>
  <c r="AG78" i="2"/>
  <c r="AS78" i="2"/>
  <c r="AI78" i="2"/>
  <c r="AJ78" i="2"/>
  <c r="AU78" i="2"/>
  <c r="AK78" i="2"/>
  <c r="AT78" i="2"/>
  <c r="AC78" i="2"/>
  <c r="AD78" i="2"/>
  <c r="AB78" i="2"/>
  <c r="AQ78" i="2"/>
  <c r="AR78" i="2"/>
  <c r="AN70" i="2"/>
  <c r="AE70" i="2"/>
  <c r="AL70" i="2"/>
  <c r="AU70" i="2"/>
  <c r="AF70" i="2"/>
  <c r="AO70" i="2"/>
  <c r="AP70" i="2"/>
  <c r="AD70" i="2"/>
  <c r="AR70" i="2"/>
  <c r="AG70" i="2"/>
  <c r="AS70" i="2"/>
  <c r="AH70" i="2"/>
  <c r="AT70" i="2"/>
  <c r="AI70" i="2"/>
  <c r="AQ70" i="2"/>
  <c r="AM70" i="2"/>
  <c r="AN62" i="2"/>
  <c r="AE62" i="2"/>
  <c r="AL62" i="2"/>
  <c r="AU62" i="2"/>
  <c r="AG62" i="2"/>
  <c r="AP62" i="2"/>
  <c r="AC62" i="2"/>
  <c r="AM62" i="2"/>
  <c r="AD62" i="2"/>
  <c r="AO62" i="2"/>
  <c r="AI62" i="2"/>
  <c r="AJ62" i="2"/>
  <c r="AK62" i="2"/>
  <c r="AQ62" i="2"/>
  <c r="AH62" i="2"/>
  <c r="AF62" i="2"/>
  <c r="AR62" i="2"/>
  <c r="AN54" i="2"/>
  <c r="AG54" i="2"/>
  <c r="AP54" i="2"/>
  <c r="AC54" i="2"/>
  <c r="AJ54" i="2"/>
  <c r="AS54" i="2"/>
  <c r="AK54" i="2"/>
  <c r="AL54" i="2"/>
  <c r="AO54" i="2"/>
  <c r="AD54" i="2"/>
  <c r="AQ54" i="2"/>
  <c r="AE54" i="2"/>
  <c r="AR54" i="2"/>
  <c r="AF54" i="2"/>
  <c r="AT54" i="2"/>
  <c r="AI54" i="2"/>
  <c r="AB54" i="2"/>
  <c r="AU54" i="2"/>
  <c r="AN46" i="2"/>
  <c r="AC46" i="2"/>
  <c r="AJ46" i="2"/>
  <c r="AS46" i="2"/>
  <c r="AF46" i="2"/>
  <c r="AM46" i="2"/>
  <c r="AH46" i="2"/>
  <c r="AT46" i="2"/>
  <c r="AI46" i="2"/>
  <c r="AU46" i="2"/>
  <c r="AE46" i="2"/>
  <c r="AR46" i="2"/>
  <c r="AG46" i="2"/>
  <c r="AK46" i="2"/>
  <c r="AO46" i="2"/>
  <c r="AP46" i="2"/>
  <c r="AQ46" i="2"/>
  <c r="AD46" i="2"/>
  <c r="AL46" i="2"/>
  <c r="AN38" i="2"/>
  <c r="AD38" i="2"/>
  <c r="AK38" i="2"/>
  <c r="AT38" i="2"/>
  <c r="AE38" i="2"/>
  <c r="AM38" i="2"/>
  <c r="AG38" i="2"/>
  <c r="AQ38" i="2"/>
  <c r="AJ38" i="2"/>
  <c r="AL38" i="2"/>
  <c r="AH38" i="2"/>
  <c r="AI38" i="2"/>
  <c r="AO38" i="2"/>
  <c r="AS38" i="2"/>
  <c r="AF38" i="2"/>
  <c r="AP38" i="2"/>
  <c r="AR38" i="2"/>
  <c r="AC38" i="2"/>
  <c r="AC30" i="2"/>
  <c r="AI30" i="2"/>
  <c r="AQ30" i="2"/>
  <c r="AN30" i="2"/>
  <c r="AP30" i="2"/>
  <c r="AF30" i="2"/>
  <c r="AR30" i="2"/>
  <c r="AJ30" i="2"/>
  <c r="AU30" i="2"/>
  <c r="AD30" i="2"/>
  <c r="AS30" i="2"/>
  <c r="AE30" i="2"/>
  <c r="AT30" i="2"/>
  <c r="AO30" i="2"/>
  <c r="AG30" i="2"/>
  <c r="AK30" i="2"/>
  <c r="AB30" i="2"/>
  <c r="AL30" i="2"/>
  <c r="AM30" i="2"/>
  <c r="AC22" i="2"/>
  <c r="AI22" i="2"/>
  <c r="AQ22" i="2"/>
  <c r="AH22" i="2"/>
  <c r="AR22" i="2"/>
  <c r="AP22" i="2"/>
  <c r="AS22" i="2"/>
  <c r="AK22" i="2"/>
  <c r="AL22" i="2"/>
  <c r="AM22" i="2"/>
  <c r="AN22" i="2"/>
  <c r="AG22" i="2"/>
  <c r="AJ22" i="2"/>
  <c r="AO22" i="2"/>
  <c r="AT22" i="2"/>
  <c r="AD22" i="2"/>
  <c r="AE22" i="2"/>
  <c r="AF22" i="2"/>
  <c r="AC14" i="2"/>
  <c r="AI14" i="2"/>
  <c r="AQ14" i="2"/>
  <c r="AE14" i="2"/>
  <c r="AL14" i="2"/>
  <c r="AU14" i="2"/>
  <c r="AP14" i="2"/>
  <c r="AG14" i="2"/>
  <c r="AR14" i="2"/>
  <c r="AF14" i="2"/>
  <c r="AS14" i="2"/>
  <c r="AJ14" i="2"/>
  <c r="AH14" i="2"/>
  <c r="AK14" i="2"/>
  <c r="AO14" i="2"/>
  <c r="AT14" i="2"/>
  <c r="AC6" i="2"/>
  <c r="AI6" i="2"/>
  <c r="AQ6" i="2"/>
  <c r="AO6" i="2"/>
  <c r="AG6" i="2"/>
  <c r="AR6" i="2"/>
  <c r="AH6" i="2"/>
  <c r="AS6" i="2"/>
  <c r="AF6" i="2"/>
  <c r="AT6" i="2"/>
  <c r="AK6" i="2"/>
  <c r="AJ6" i="2"/>
  <c r="AL6" i="2"/>
  <c r="AP6" i="2"/>
  <c r="AU6" i="2"/>
  <c r="AM6" i="2"/>
  <c r="AN6" i="2"/>
  <c r="AB6" i="2"/>
  <c r="AD6" i="2"/>
  <c r="AE6" i="2"/>
  <c r="AI128" i="2"/>
  <c r="AM126" i="2"/>
  <c r="AG118" i="2"/>
  <c r="AT110" i="2"/>
  <c r="AQ108" i="2"/>
  <c r="AC94" i="2"/>
  <c r="AU84" i="2"/>
  <c r="AL78" i="2"/>
  <c r="AK70" i="2"/>
  <c r="AS62" i="2"/>
  <c r="AM125" i="2"/>
  <c r="AU125" i="2"/>
  <c r="AF125" i="2"/>
  <c r="AN125" i="2"/>
  <c r="AO125" i="2"/>
  <c r="AD125" i="2"/>
  <c r="AP125" i="2"/>
  <c r="BK123" i="2" s="1"/>
  <c r="AB125" i="2"/>
  <c r="AI125" i="2"/>
  <c r="AG125" i="2"/>
  <c r="AT125" i="2"/>
  <c r="AH125" i="2"/>
  <c r="AJ125" i="2"/>
  <c r="AC125" i="2"/>
  <c r="AR125" i="2"/>
  <c r="AM117" i="2"/>
  <c r="AU117" i="2"/>
  <c r="AH117" i="2"/>
  <c r="AQ117" i="2"/>
  <c r="AI117" i="2"/>
  <c r="AR117" i="2"/>
  <c r="AF117" i="2"/>
  <c r="AP117" i="2"/>
  <c r="BK117" i="2" s="1"/>
  <c r="AG117" i="2"/>
  <c r="AE117" i="2"/>
  <c r="AT117" i="2"/>
  <c r="AB117" i="2"/>
  <c r="AJ117" i="2"/>
  <c r="AC117" i="2"/>
  <c r="AO117" i="2"/>
  <c r="AD117" i="2"/>
  <c r="AS117" i="2"/>
  <c r="AM109" i="2"/>
  <c r="AU109" i="2"/>
  <c r="AD109" i="2"/>
  <c r="AK109" i="2"/>
  <c r="AT109" i="2"/>
  <c r="AE109" i="2"/>
  <c r="AL109" i="2"/>
  <c r="AQ109" i="2"/>
  <c r="AF109" i="2"/>
  <c r="AR109" i="2"/>
  <c r="AC109" i="2"/>
  <c r="AS109" i="2"/>
  <c r="AG109" i="2"/>
  <c r="AH109" i="2"/>
  <c r="AO109" i="2"/>
  <c r="AB109" i="2"/>
  <c r="AP109" i="2"/>
  <c r="AM101" i="2"/>
  <c r="AU101" i="2"/>
  <c r="AO101" i="2"/>
  <c r="AG101" i="2"/>
  <c r="AP101" i="2"/>
  <c r="AF101" i="2"/>
  <c r="AR101" i="2"/>
  <c r="AL101" i="2"/>
  <c r="AN101" i="2"/>
  <c r="AC101" i="2"/>
  <c r="AQ101" i="2"/>
  <c r="AD101" i="2"/>
  <c r="AS101" i="2"/>
  <c r="AJ101" i="2"/>
  <c r="AK101" i="2"/>
  <c r="AM93" i="2"/>
  <c r="AU93" i="2"/>
  <c r="AI93" i="2"/>
  <c r="AR93" i="2"/>
  <c r="AC93" i="2"/>
  <c r="AJ93" i="2"/>
  <c r="AS93" i="2"/>
  <c r="AG93" i="2"/>
  <c r="AT93" i="2"/>
  <c r="AB93" i="2"/>
  <c r="AK93" i="2"/>
  <c r="AL93" i="2"/>
  <c r="AN93" i="2"/>
  <c r="AO93" i="2"/>
  <c r="AH93" i="2"/>
  <c r="AM85" i="2"/>
  <c r="AU85" i="2"/>
  <c r="AE85" i="2"/>
  <c r="AL85" i="2"/>
  <c r="AF85" i="2"/>
  <c r="AN85" i="2"/>
  <c r="AH85" i="2"/>
  <c r="AS85" i="2"/>
  <c r="AG85" i="2"/>
  <c r="AT85" i="2"/>
  <c r="AI85" i="2"/>
  <c r="AJ85" i="2"/>
  <c r="AK85" i="2"/>
  <c r="AD85" i="2"/>
  <c r="AR85" i="2"/>
  <c r="AB85" i="2"/>
  <c r="AM77" i="2"/>
  <c r="AU77" i="2"/>
  <c r="AG77" i="2"/>
  <c r="AP77" i="2"/>
  <c r="AH77" i="2"/>
  <c r="AQ77" i="2"/>
  <c r="AE77" i="2"/>
  <c r="AO77" i="2"/>
  <c r="AF77" i="2"/>
  <c r="AR77" i="2"/>
  <c r="AS77" i="2"/>
  <c r="AI77" i="2"/>
  <c r="AT77" i="2"/>
  <c r="BO75" i="2" s="1"/>
  <c r="AD77" i="2"/>
  <c r="AN77" i="2"/>
  <c r="AK77" i="2"/>
  <c r="AL77" i="2"/>
  <c r="AE69" i="2"/>
  <c r="AK69" i="2"/>
  <c r="AS69" i="2"/>
  <c r="AD69" i="2"/>
  <c r="AL69" i="2"/>
  <c r="AU69" i="2"/>
  <c r="AO69" i="2"/>
  <c r="AM69" i="2"/>
  <c r="AC69" i="2"/>
  <c r="AN69" i="2"/>
  <c r="AH69" i="2"/>
  <c r="AI69" i="2"/>
  <c r="AJ69" i="2"/>
  <c r="AP69" i="2"/>
  <c r="AG69" i="2"/>
  <c r="AQ69" i="2"/>
  <c r="AB69" i="2"/>
  <c r="AR69" i="2"/>
  <c r="AT69" i="2"/>
  <c r="AF69" i="2"/>
  <c r="AE61" i="2"/>
  <c r="AK61" i="2"/>
  <c r="AS61" i="2"/>
  <c r="AO61" i="2"/>
  <c r="AI61" i="2"/>
  <c r="AR61" i="2"/>
  <c r="AJ61" i="2"/>
  <c r="AL61" i="2"/>
  <c r="AN61" i="2"/>
  <c r="AC61" i="2"/>
  <c r="AP61" i="2"/>
  <c r="AD61" i="2"/>
  <c r="AQ61" i="2"/>
  <c r="AF61" i="2"/>
  <c r="AT61" i="2"/>
  <c r="AB61" i="2"/>
  <c r="AM61" i="2"/>
  <c r="AU61" i="2"/>
  <c r="AE53" i="2"/>
  <c r="AK53" i="2"/>
  <c r="AS53" i="2"/>
  <c r="AI53" i="2"/>
  <c r="AR53" i="2"/>
  <c r="AF53" i="2"/>
  <c r="AM53" i="2"/>
  <c r="AG53" i="2"/>
  <c r="AT53" i="2"/>
  <c r="AH53" i="2"/>
  <c r="AU53" i="2"/>
  <c r="AD53" i="2"/>
  <c r="AQ53" i="2"/>
  <c r="AJ53" i="2"/>
  <c r="AN53" i="2"/>
  <c r="AO53" i="2"/>
  <c r="AP53" i="2"/>
  <c r="AC53" i="2"/>
  <c r="AL53" i="2"/>
  <c r="AE45" i="2"/>
  <c r="AK45" i="2"/>
  <c r="AC45" i="2"/>
  <c r="AJ45" i="2"/>
  <c r="BE45" i="2" s="1"/>
  <c r="AS45" i="2"/>
  <c r="AD45" i="2"/>
  <c r="AM45" i="2"/>
  <c r="AP45" i="2"/>
  <c r="AF45" i="2"/>
  <c r="AQ45" i="2"/>
  <c r="AR45" i="2"/>
  <c r="AH45" i="2"/>
  <c r="AI45" i="2"/>
  <c r="AL45" i="2"/>
  <c r="AN45" i="2"/>
  <c r="BI45" i="2" s="1"/>
  <c r="AB45" i="2"/>
  <c r="AG45" i="2"/>
  <c r="AE37" i="2"/>
  <c r="AK37" i="2"/>
  <c r="AS37" i="2"/>
  <c r="AN37" i="2"/>
  <c r="AD37" i="2"/>
  <c r="AM37" i="2"/>
  <c r="AG37" i="2"/>
  <c r="AQ37" i="2"/>
  <c r="AF37" i="2"/>
  <c r="AR37" i="2"/>
  <c r="AT37" i="2"/>
  <c r="AI37" i="2"/>
  <c r="AJ37" i="2"/>
  <c r="AL37" i="2"/>
  <c r="AO37" i="2"/>
  <c r="AC37" i="2"/>
  <c r="AU37" i="2"/>
  <c r="AN29" i="2"/>
  <c r="BI27" i="2" s="1"/>
  <c r="AH29" i="2"/>
  <c r="AQ29" i="2"/>
  <c r="AP29" i="2"/>
  <c r="AD29" i="2"/>
  <c r="AM29" i="2"/>
  <c r="AG29" i="2"/>
  <c r="AS29" i="2"/>
  <c r="AI29" i="2"/>
  <c r="AJ29" i="2"/>
  <c r="AR29" i="2"/>
  <c r="AT29" i="2"/>
  <c r="AC29" i="2"/>
  <c r="AU29" i="2"/>
  <c r="AE29" i="2"/>
  <c r="AB29" i="2"/>
  <c r="AF29" i="2"/>
  <c r="AK29" i="2"/>
  <c r="AN21" i="2"/>
  <c r="AD21" i="2"/>
  <c r="AK21" i="2"/>
  <c r="AT21" i="2"/>
  <c r="AG21" i="2"/>
  <c r="AQ21" i="2"/>
  <c r="AE21" i="2"/>
  <c r="AO21" i="2"/>
  <c r="AH21" i="2"/>
  <c r="AS21" i="2"/>
  <c r="AP21" i="2"/>
  <c r="AC21" i="2"/>
  <c r="AR21" i="2"/>
  <c r="AF21" i="2"/>
  <c r="AU21" i="2"/>
  <c r="AI21" i="2"/>
  <c r="AJ21" i="2"/>
  <c r="AL21" i="2"/>
  <c r="AM21" i="2"/>
  <c r="AB21" i="2"/>
  <c r="AN13" i="2"/>
  <c r="AO13" i="2"/>
  <c r="AG13" i="2"/>
  <c r="AQ13" i="2"/>
  <c r="AH13" i="2"/>
  <c r="AR13" i="2"/>
  <c r="AK13" i="2"/>
  <c r="AD13" i="2"/>
  <c r="AP13" i="2"/>
  <c r="AI13" i="2"/>
  <c r="AJ13" i="2"/>
  <c r="AL13" i="2"/>
  <c r="AF13" i="2"/>
  <c r="AM13" i="2"/>
  <c r="AS13" i="2"/>
  <c r="AT13" i="2"/>
  <c r="AU13" i="2"/>
  <c r="AC13" i="2"/>
  <c r="AE13" i="2"/>
  <c r="AN5" i="2"/>
  <c r="AI5" i="2"/>
  <c r="AR5" i="2"/>
  <c r="AG5" i="2"/>
  <c r="AQ5" i="2"/>
  <c r="AH5" i="2"/>
  <c r="AS5" i="2"/>
  <c r="AL5" i="2"/>
  <c r="AE5" i="2"/>
  <c r="AP5" i="2"/>
  <c r="AJ5" i="2"/>
  <c r="AK5" i="2"/>
  <c r="AM5" i="2"/>
  <c r="AO5" i="2"/>
  <c r="AT5" i="2"/>
  <c r="AU5" i="2"/>
  <c r="AD5" i="2"/>
  <c r="AB5" i="2"/>
  <c r="AF116" i="2"/>
  <c r="AP108" i="2"/>
  <c r="AE101" i="2"/>
  <c r="AQ93" i="2"/>
  <c r="AT84" i="2"/>
  <c r="AH61" i="2"/>
  <c r="AU45" i="2"/>
  <c r="AD124" i="2"/>
  <c r="AJ124" i="2"/>
  <c r="AR124" i="2"/>
  <c r="AG124" i="2"/>
  <c r="AP124" i="2"/>
  <c r="AB124" i="2"/>
  <c r="AH124" i="2"/>
  <c r="BC123" i="2" s="1"/>
  <c r="AQ124" i="2"/>
  <c r="AL124" i="2"/>
  <c r="AE124" i="2"/>
  <c r="AZ123" i="2" s="1"/>
  <c r="AO124" i="2"/>
  <c r="AK124" i="2"/>
  <c r="AM124" i="2"/>
  <c r="AN124" i="2"/>
  <c r="AD100" i="2"/>
  <c r="AY99" i="2" s="1"/>
  <c r="AJ100" i="2"/>
  <c r="AR100" i="2"/>
  <c r="AH100" i="2"/>
  <c r="BC99" i="2" s="1"/>
  <c r="AQ100" i="2"/>
  <c r="AB100" i="2"/>
  <c r="AI100" i="2"/>
  <c r="AS100" i="2"/>
  <c r="AE100" i="2"/>
  <c r="AN100" i="2"/>
  <c r="AU100" i="2"/>
  <c r="AF100" i="2"/>
  <c r="BA99" i="2" s="1"/>
  <c r="AT100" i="2"/>
  <c r="AG100" i="2"/>
  <c r="AO100" i="2"/>
  <c r="AC100" i="2"/>
  <c r="AX99" i="2" s="1"/>
  <c r="AP100" i="2"/>
  <c r="BK99" i="2" s="1"/>
  <c r="AD76" i="2"/>
  <c r="AJ76" i="2"/>
  <c r="AR76" i="2"/>
  <c r="BM75" i="2" s="1"/>
  <c r="AI76" i="2"/>
  <c r="AS76" i="2"/>
  <c r="AB76" i="2"/>
  <c r="AC76" i="2"/>
  <c r="AK76" i="2"/>
  <c r="AT76" i="2"/>
  <c r="AM76" i="2"/>
  <c r="AE76" i="2"/>
  <c r="AN76" i="2"/>
  <c r="BI75" i="2" s="1"/>
  <c r="AF76" i="2"/>
  <c r="AO76" i="2"/>
  <c r="AP76" i="2"/>
  <c r="BK75" i="2" s="1"/>
  <c r="AH76" i="2"/>
  <c r="BC75" i="2" s="1"/>
  <c r="AL76" i="2"/>
  <c r="AQ76" i="2"/>
  <c r="BL75" i="2" s="1"/>
  <c r="AG76" i="2"/>
  <c r="AH44" i="2"/>
  <c r="AP44" i="2"/>
  <c r="AF44" i="2"/>
  <c r="AM44" i="2"/>
  <c r="AD44" i="2"/>
  <c r="AL44" i="2"/>
  <c r="AQ44" i="2"/>
  <c r="AJ44" i="2"/>
  <c r="AB44" i="2"/>
  <c r="AK44" i="2"/>
  <c r="AI44" i="2"/>
  <c r="AN44" i="2"/>
  <c r="AO44" i="2"/>
  <c r="AR44" i="2"/>
  <c r="AT44" i="2"/>
  <c r="AS44" i="2"/>
  <c r="AU44" i="2"/>
  <c r="AG44" i="2"/>
  <c r="AE12" i="2"/>
  <c r="AK12" i="2"/>
  <c r="AS12" i="2"/>
  <c r="AH12" i="2"/>
  <c r="AQ12" i="2"/>
  <c r="AP12" i="2"/>
  <c r="AG12" i="2"/>
  <c r="AR12" i="2"/>
  <c r="AF12" i="2"/>
  <c r="AT12" i="2"/>
  <c r="AJ12" i="2"/>
  <c r="AL12" i="2"/>
  <c r="AB12" i="2"/>
  <c r="AM12" i="2"/>
  <c r="AN12" i="2"/>
  <c r="AC12" i="2"/>
  <c r="AD12" i="2"/>
  <c r="AI12" i="2"/>
  <c r="AU12" i="2"/>
  <c r="AO12" i="2"/>
  <c r="AS124" i="2"/>
  <c r="AL117" i="2"/>
  <c r="AC77" i="2"/>
  <c r="AP37" i="2"/>
  <c r="AB77" i="2"/>
  <c r="AK117" i="2"/>
  <c r="AN109" i="2"/>
  <c r="AK100" i="2"/>
  <c r="AE93" i="2"/>
  <c r="AQ85" i="2"/>
  <c r="AE84" i="2"/>
  <c r="AU76" i="2"/>
  <c r="AL68" i="2"/>
  <c r="AS52" i="2"/>
  <c r="AE44" i="2"/>
  <c r="AH37" i="2"/>
  <c r="AO29" i="2"/>
  <c r="AF5" i="2"/>
  <c r="AB13" i="2"/>
  <c r="AQ125" i="2"/>
  <c r="BL123" i="2" s="1"/>
  <c r="AJ109" i="2"/>
  <c r="AD93" i="2"/>
  <c r="AP85" i="2"/>
  <c r="AC44" i="2"/>
  <c r="AU36" i="2"/>
  <c r="AL29" i="2"/>
  <c r="AO20" i="2"/>
  <c r="AC5" i="2"/>
  <c r="AD116" i="2"/>
  <c r="AY114" i="2" s="1"/>
  <c r="AJ116" i="2"/>
  <c r="BE114" i="2" s="1"/>
  <c r="AR116" i="2"/>
  <c r="BM114" i="2" s="1"/>
  <c r="AC116" i="2"/>
  <c r="AK116" i="2"/>
  <c r="AT116" i="2"/>
  <c r="AB116" i="2"/>
  <c r="AE116" i="2"/>
  <c r="AZ114" i="2" s="1"/>
  <c r="AL116" i="2"/>
  <c r="AU116" i="2"/>
  <c r="AN116" i="2"/>
  <c r="AO116" i="2"/>
  <c r="AH116" i="2"/>
  <c r="AI116" i="2"/>
  <c r="AM116" i="2"/>
  <c r="AG116" i="2"/>
  <c r="AD92" i="2"/>
  <c r="AJ92" i="2"/>
  <c r="AR92" i="2"/>
  <c r="AE92" i="2"/>
  <c r="AZ90" i="2" s="1"/>
  <c r="AL92" i="2"/>
  <c r="AU92" i="2"/>
  <c r="AB92" i="2"/>
  <c r="AF92" i="2"/>
  <c r="AM92" i="2"/>
  <c r="AP92" i="2"/>
  <c r="AC92" i="2"/>
  <c r="AX90" i="2" s="1"/>
  <c r="AQ92" i="2"/>
  <c r="AO92" i="2"/>
  <c r="AS92" i="2"/>
  <c r="AT92" i="2"/>
  <c r="AK92" i="2"/>
  <c r="AN92" i="2"/>
  <c r="BI90" i="2" s="1"/>
  <c r="AH68" i="2"/>
  <c r="AP68" i="2"/>
  <c r="AN68" i="2"/>
  <c r="AI68" i="2"/>
  <c r="AR68" i="2"/>
  <c r="AJ68" i="2"/>
  <c r="AU68" i="2"/>
  <c r="AB68" i="2"/>
  <c r="AK68" i="2"/>
  <c r="AM68" i="2"/>
  <c r="AC68" i="2"/>
  <c r="AO68" i="2"/>
  <c r="AD68" i="2"/>
  <c r="AQ68" i="2"/>
  <c r="AE68" i="2"/>
  <c r="AS68" i="2"/>
  <c r="AF68" i="2"/>
  <c r="AH52" i="2"/>
  <c r="BC51" i="2" s="1"/>
  <c r="AP52" i="2"/>
  <c r="AE52" i="2"/>
  <c r="AL52" i="2"/>
  <c r="AU52" i="2"/>
  <c r="AO52" i="2"/>
  <c r="AF52" i="2"/>
  <c r="AQ52" i="2"/>
  <c r="BL51" i="2" s="1"/>
  <c r="AB52" i="2"/>
  <c r="AR52" i="2"/>
  <c r="AI52" i="2"/>
  <c r="AJ52" i="2"/>
  <c r="AK52" i="2"/>
  <c r="AM52" i="2"/>
  <c r="AT52" i="2"/>
  <c r="AC52" i="2"/>
  <c r="AD52" i="2"/>
  <c r="AE28" i="2"/>
  <c r="AK28" i="2"/>
  <c r="AS28" i="2"/>
  <c r="AC28" i="2"/>
  <c r="AJ28" i="2"/>
  <c r="AT28" i="2"/>
  <c r="AP28" i="2"/>
  <c r="AL28" i="2"/>
  <c r="AF28" i="2"/>
  <c r="AO28" i="2"/>
  <c r="AM28" i="2"/>
  <c r="AB28" i="2"/>
  <c r="AN28" i="2"/>
  <c r="AR28" i="2"/>
  <c r="AU28" i="2"/>
  <c r="BP27" i="2" s="1"/>
  <c r="AD28" i="2"/>
  <c r="AH28" i="2"/>
  <c r="AQ28" i="2"/>
  <c r="AG28" i="2"/>
  <c r="AI28" i="2"/>
  <c r="AE4" i="2"/>
  <c r="AK4" i="2"/>
  <c r="AS4" i="2"/>
  <c r="AD4" i="2"/>
  <c r="AL4" i="2"/>
  <c r="AU4" i="2"/>
  <c r="AG4" i="2"/>
  <c r="AQ4" i="2"/>
  <c r="AH4" i="2"/>
  <c r="AR4" i="2"/>
  <c r="AT4" i="2"/>
  <c r="AJ4" i="2"/>
  <c r="AM4" i="2"/>
  <c r="AB4" i="2"/>
  <c r="AN4" i="2"/>
  <c r="AO4" i="2"/>
  <c r="AC4" i="2"/>
  <c r="AF4" i="2"/>
  <c r="AI4" i="2"/>
  <c r="AM100" i="2"/>
  <c r="BH99" i="2" s="1"/>
  <c r="AL100" i="2"/>
  <c r="AF93" i="2"/>
  <c r="AT68" i="2"/>
  <c r="AO45" i="2"/>
  <c r="AS125" i="2"/>
  <c r="AI124" i="2"/>
  <c r="AF128" i="2"/>
  <c r="AL128" i="2"/>
  <c r="AT128" i="2"/>
  <c r="AM128" i="2"/>
  <c r="AU128" i="2"/>
  <c r="AJ128" i="2"/>
  <c r="AK128" i="2"/>
  <c r="AC128" i="2"/>
  <c r="AN128" i="2"/>
  <c r="AB128" i="2"/>
  <c r="AD128" i="2"/>
  <c r="AO128" i="2"/>
  <c r="AH128" i="2"/>
  <c r="AS128" i="2"/>
  <c r="AN120" i="2"/>
  <c r="AI120" i="2"/>
  <c r="AR120" i="2"/>
  <c r="BM120" i="2" s="1"/>
  <c r="AC120" i="2"/>
  <c r="AJ120" i="2"/>
  <c r="AS120" i="2"/>
  <c r="AE120" i="2"/>
  <c r="AO120" i="2"/>
  <c r="AM120" i="2"/>
  <c r="AU120" i="2"/>
  <c r="AG120" i="2"/>
  <c r="AH120" i="2"/>
  <c r="BC120" i="2" s="1"/>
  <c r="AD120" i="2"/>
  <c r="AQ120" i="2"/>
  <c r="AB120" i="2"/>
  <c r="AF120" i="2"/>
  <c r="AT120" i="2"/>
  <c r="AN112" i="2"/>
  <c r="BI111" i="2" s="1"/>
  <c r="AE112" i="2"/>
  <c r="AL112" i="2"/>
  <c r="AU112" i="2"/>
  <c r="AF112" i="2"/>
  <c r="AM112" i="2"/>
  <c r="AD112" i="2"/>
  <c r="AP112" i="2"/>
  <c r="AJ112" i="2"/>
  <c r="AS112" i="2"/>
  <c r="AG112" i="2"/>
  <c r="AT112" i="2"/>
  <c r="AH112" i="2"/>
  <c r="AQ112" i="2"/>
  <c r="AC112" i="2"/>
  <c r="AR112" i="2"/>
  <c r="AN104" i="2"/>
  <c r="AG104" i="2"/>
  <c r="AP104" i="2"/>
  <c r="AH104" i="2"/>
  <c r="AQ104" i="2"/>
  <c r="BL102" i="2" s="1"/>
  <c r="AE104" i="2"/>
  <c r="AO104" i="2"/>
  <c r="BJ102" i="2" s="1"/>
  <c r="AT104" i="2"/>
  <c r="AM104" i="2"/>
  <c r="AC104" i="2"/>
  <c r="AR104" i="2"/>
  <c r="AB104" i="2"/>
  <c r="AD104" i="2"/>
  <c r="AS104" i="2"/>
  <c r="AK104" i="2"/>
  <c r="AL104" i="2"/>
  <c r="AN96" i="2"/>
  <c r="AC96" i="2"/>
  <c r="AX96" i="2" s="1"/>
  <c r="AJ96" i="2"/>
  <c r="AS96" i="2"/>
  <c r="AD96" i="2"/>
  <c r="AK96" i="2"/>
  <c r="AT96" i="2"/>
  <c r="AQ96" i="2"/>
  <c r="AE96" i="2"/>
  <c r="AP96" i="2"/>
  <c r="AL96" i="2"/>
  <c r="AM96" i="2"/>
  <c r="AO96" i="2"/>
  <c r="AH96" i="2"/>
  <c r="AB96" i="2"/>
  <c r="AI96" i="2"/>
  <c r="AN88" i="2"/>
  <c r="AF88" i="2"/>
  <c r="AM88" i="2"/>
  <c r="BH87" i="2" s="1"/>
  <c r="AO88" i="2"/>
  <c r="AG88" i="2"/>
  <c r="AR88" i="2"/>
  <c r="BM87" i="2" s="1"/>
  <c r="AL88" i="2"/>
  <c r="AI88" i="2"/>
  <c r="AJ88" i="2"/>
  <c r="AK88" i="2"/>
  <c r="AE88" i="2"/>
  <c r="AT88" i="2"/>
  <c r="AH88" i="2"/>
  <c r="AU88" i="2"/>
  <c r="AN80" i="2"/>
  <c r="AH80" i="2"/>
  <c r="AQ80" i="2"/>
  <c r="AI80" i="2"/>
  <c r="AR80" i="2"/>
  <c r="AD80" i="2"/>
  <c r="AM80" i="2"/>
  <c r="AF80" i="2"/>
  <c r="AS80" i="2"/>
  <c r="AG80" i="2"/>
  <c r="AC80" i="2"/>
  <c r="AU80" i="2"/>
  <c r="AB80" i="2"/>
  <c r="AE80" i="2"/>
  <c r="AJ80" i="2"/>
  <c r="AP80" i="2"/>
  <c r="AT80" i="2"/>
  <c r="AF72" i="2"/>
  <c r="AL72" i="2"/>
  <c r="AT72" i="2"/>
  <c r="AG72" i="2"/>
  <c r="AP72" i="2"/>
  <c r="AE72" i="2"/>
  <c r="AN72" i="2"/>
  <c r="AO72" i="2"/>
  <c r="AD72" i="2"/>
  <c r="AR72" i="2"/>
  <c r="AS72" i="2"/>
  <c r="AH72" i="2"/>
  <c r="AU72" i="2"/>
  <c r="AI72" i="2"/>
  <c r="AC72" i="2"/>
  <c r="AM72" i="2"/>
  <c r="AQ72" i="2"/>
  <c r="AJ72" i="2"/>
  <c r="AB72" i="2"/>
  <c r="AK72" i="2"/>
  <c r="AF64" i="2"/>
  <c r="AL64" i="2"/>
  <c r="AT64" i="2"/>
  <c r="AG64" i="2"/>
  <c r="AP64" i="2"/>
  <c r="AC64" i="2"/>
  <c r="AJ64" i="2"/>
  <c r="AS64" i="2"/>
  <c r="AH64" i="2"/>
  <c r="AU64" i="2"/>
  <c r="AI64" i="2"/>
  <c r="AO64" i="2"/>
  <c r="AD64" i="2"/>
  <c r="AQ64" i="2"/>
  <c r="AE64" i="2"/>
  <c r="AR64" i="2"/>
  <c r="AK64" i="2"/>
  <c r="AF56" i="2"/>
  <c r="AL56" i="2"/>
  <c r="AT56" i="2"/>
  <c r="AC56" i="2"/>
  <c r="AJ56" i="2"/>
  <c r="AS56" i="2"/>
  <c r="AN56" i="2"/>
  <c r="AQ56" i="2"/>
  <c r="AG56" i="2"/>
  <c r="AR56" i="2"/>
  <c r="AE56" i="2"/>
  <c r="AH56" i="2"/>
  <c r="BC54" i="2" s="1"/>
  <c r="AI56" i="2"/>
  <c r="AK56" i="2"/>
  <c r="AU56" i="2"/>
  <c r="AB56" i="2"/>
  <c r="AO56" i="2"/>
  <c r="AP56" i="2"/>
  <c r="AF48" i="2"/>
  <c r="BA48" i="2" s="1"/>
  <c r="AL48" i="2"/>
  <c r="AT48" i="2"/>
  <c r="AN48" i="2"/>
  <c r="AH48" i="2"/>
  <c r="AQ48" i="2"/>
  <c r="AD48" i="2"/>
  <c r="AO48" i="2"/>
  <c r="AE48" i="2"/>
  <c r="AP48" i="2"/>
  <c r="AJ48" i="2"/>
  <c r="AK48" i="2"/>
  <c r="AM48" i="2"/>
  <c r="AR48" i="2"/>
  <c r="AI48" i="2"/>
  <c r="AS48" i="2"/>
  <c r="AU48" i="2"/>
  <c r="AC48" i="2"/>
  <c r="AG48" i="2"/>
  <c r="AF40" i="2"/>
  <c r="AL40" i="2"/>
  <c r="AT40" i="2"/>
  <c r="AO40" i="2"/>
  <c r="AD40" i="2"/>
  <c r="AM40" i="2"/>
  <c r="AG40" i="2"/>
  <c r="AQ40" i="2"/>
  <c r="AJ40" i="2"/>
  <c r="AK40" i="2"/>
  <c r="AC40" i="2"/>
  <c r="AS40" i="2"/>
  <c r="AE40" i="2"/>
  <c r="AU40" i="2"/>
  <c r="AH40" i="2"/>
  <c r="AP40" i="2"/>
  <c r="AI40" i="2"/>
  <c r="AN40" i="2"/>
  <c r="AR40" i="2"/>
  <c r="AG32" i="2"/>
  <c r="AO32" i="2"/>
  <c r="AI32" i="2"/>
  <c r="AR32" i="2"/>
  <c r="AP32" i="2"/>
  <c r="AK32" i="2"/>
  <c r="AE32" i="2"/>
  <c r="AN32" i="2"/>
  <c r="AH32" i="2"/>
  <c r="AJ32" i="2"/>
  <c r="AS32" i="2"/>
  <c r="AC32" i="2"/>
  <c r="AT32" i="2"/>
  <c r="AD32" i="2"/>
  <c r="AU32" i="2"/>
  <c r="AF32" i="2"/>
  <c r="AL32" i="2"/>
  <c r="AB32" i="2"/>
  <c r="AQ32" i="2"/>
  <c r="AG24" i="2"/>
  <c r="AO24" i="2"/>
  <c r="BJ24" i="2" s="1"/>
  <c r="AE24" i="2"/>
  <c r="AL24" i="2"/>
  <c r="AU24" i="2"/>
  <c r="AQ24" i="2"/>
  <c r="AK24" i="2"/>
  <c r="AF24" i="2"/>
  <c r="AP24" i="2"/>
  <c r="AC24" i="2"/>
  <c r="AR24" i="2"/>
  <c r="AD24" i="2"/>
  <c r="AY24" i="2" s="1"/>
  <c r="AS24" i="2"/>
  <c r="AN24" i="2"/>
  <c r="AT24" i="2"/>
  <c r="AI24" i="2"/>
  <c r="AJ24" i="2"/>
  <c r="AM24" i="2"/>
  <c r="AH24" i="2"/>
  <c r="AG16" i="2"/>
  <c r="AO16" i="2"/>
  <c r="AP16" i="2"/>
  <c r="AQ16" i="2"/>
  <c r="AH16" i="2"/>
  <c r="AR16" i="2"/>
  <c r="AE16" i="2"/>
  <c r="AS16" i="2"/>
  <c r="AJ16" i="2"/>
  <c r="AC16" i="2"/>
  <c r="AT16" i="2"/>
  <c r="AD16" i="2"/>
  <c r="AU16" i="2"/>
  <c r="AF16" i="2"/>
  <c r="AI16" i="2"/>
  <c r="AK16" i="2"/>
  <c r="AL16" i="2"/>
  <c r="AM16" i="2"/>
  <c r="AN16" i="2"/>
  <c r="AB16" i="2"/>
  <c r="AG8" i="2"/>
  <c r="AO8" i="2"/>
  <c r="AC8" i="2"/>
  <c r="AJ8" i="2"/>
  <c r="AS8" i="2"/>
  <c r="AQ8" i="2"/>
  <c r="AH8" i="2"/>
  <c r="AR8" i="2"/>
  <c r="AF8" i="2"/>
  <c r="AT8" i="2"/>
  <c r="AK8" i="2"/>
  <c r="AD8" i="2"/>
  <c r="AU8" i="2"/>
  <c r="AE8" i="2"/>
  <c r="AI8" i="2"/>
  <c r="AL8" i="2"/>
  <c r="AM8" i="2"/>
  <c r="AN8" i="2"/>
  <c r="AB8" i="2"/>
  <c r="AB48" i="2"/>
  <c r="AB64" i="2"/>
  <c r="AW63" i="2" s="1"/>
  <c r="AQ128" i="2"/>
  <c r="AL125" i="2"/>
  <c r="AF124" i="2"/>
  <c r="AQ116" i="2"/>
  <c r="AI112" i="2"/>
  <c r="AI109" i="2"/>
  <c r="AI104" i="2"/>
  <c r="AT101" i="2"/>
  <c r="BO99" i="2" s="1"/>
  <c r="AI92" i="2"/>
  <c r="AD88" i="2"/>
  <c r="AO85" i="2"/>
  <c r="AO80" i="2"/>
  <c r="AG52" i="2"/>
  <c r="AM20" i="2"/>
  <c r="AP4" i="2"/>
  <c r="BG81" i="2"/>
  <c r="BI63" i="2"/>
  <c r="AE127" i="2"/>
  <c r="AK127" i="2"/>
  <c r="AH127" i="2"/>
  <c r="AQ127" i="2"/>
  <c r="AI127" i="2"/>
  <c r="AR127" i="2"/>
  <c r="AJ127" i="2"/>
  <c r="AU127" i="2"/>
  <c r="AE119" i="2"/>
  <c r="AK119" i="2"/>
  <c r="AS119" i="2"/>
  <c r="AD119" i="2"/>
  <c r="AL119" i="2"/>
  <c r="AU119" i="2"/>
  <c r="AF119" i="2"/>
  <c r="AM119" i="2"/>
  <c r="AJ119" i="2"/>
  <c r="AG119" i="2"/>
  <c r="AT119" i="2"/>
  <c r="AE111" i="2"/>
  <c r="AK111" i="2"/>
  <c r="AS111" i="2"/>
  <c r="AO111" i="2"/>
  <c r="AG111" i="2"/>
  <c r="AP111" i="2"/>
  <c r="AL111" i="2"/>
  <c r="AF111" i="2"/>
  <c r="AR111" i="2"/>
  <c r="AE103" i="2"/>
  <c r="AK103" i="2"/>
  <c r="AS103" i="2"/>
  <c r="AI103" i="2"/>
  <c r="AR103" i="2"/>
  <c r="AC103" i="2"/>
  <c r="AX102" i="2" s="1"/>
  <c r="AJ103" i="2"/>
  <c r="AT103" i="2"/>
  <c r="AM103" i="2"/>
  <c r="AB103" i="2"/>
  <c r="AN103" i="2"/>
  <c r="AE95" i="2"/>
  <c r="AK95" i="2"/>
  <c r="AS95" i="2"/>
  <c r="AF95" i="2"/>
  <c r="AM95" i="2"/>
  <c r="AN95" i="2"/>
  <c r="AC95" i="2"/>
  <c r="AO95" i="2"/>
  <c r="AI95" i="2"/>
  <c r="AE87" i="2"/>
  <c r="AK87" i="2"/>
  <c r="AS87" i="2"/>
  <c r="AG87" i="2"/>
  <c r="AP87" i="2"/>
  <c r="AH87" i="2"/>
  <c r="AQ87" i="2"/>
  <c r="AD87" i="2"/>
  <c r="AN87" i="2"/>
  <c r="AU87" i="2"/>
  <c r="AE79" i="2"/>
  <c r="AK79" i="2"/>
  <c r="AS79" i="2"/>
  <c r="AC79" i="2"/>
  <c r="AJ79" i="2"/>
  <c r="AT79" i="2"/>
  <c r="AD79" i="2"/>
  <c r="AL79" i="2"/>
  <c r="AU79" i="2"/>
  <c r="AI79" i="2"/>
  <c r="AN79" i="2"/>
  <c r="AF79" i="2"/>
  <c r="AO79" i="2"/>
  <c r="BJ78" i="2" s="1"/>
  <c r="AG79" i="2"/>
  <c r="AC71" i="2"/>
  <c r="AI71" i="2"/>
  <c r="AQ71" i="2"/>
  <c r="AJ71" i="2"/>
  <c r="AS71" i="2"/>
  <c r="AF71" i="2"/>
  <c r="AN71" i="2"/>
  <c r="AO71" i="2"/>
  <c r="AK71" i="2"/>
  <c r="AL71" i="2"/>
  <c r="AM71" i="2"/>
  <c r="AD71" i="2"/>
  <c r="AP71" i="2"/>
  <c r="AB71" i="2"/>
  <c r="AC63" i="2"/>
  <c r="AI63" i="2"/>
  <c r="AQ63" i="2"/>
  <c r="AJ63" i="2"/>
  <c r="AS63" i="2"/>
  <c r="AF63" i="2"/>
  <c r="AM63" i="2"/>
  <c r="AP63" i="2"/>
  <c r="AR63" i="2"/>
  <c r="AE63" i="2"/>
  <c r="AU63" i="2"/>
  <c r="AG63" i="2"/>
  <c r="AH63" i="2"/>
  <c r="AK63" i="2"/>
  <c r="AT63" i="2"/>
  <c r="AC55" i="2"/>
  <c r="AI55" i="2"/>
  <c r="AQ55" i="2"/>
  <c r="AF55" i="2"/>
  <c r="AM55" i="2"/>
  <c r="AG55" i="2"/>
  <c r="AP55" i="2"/>
  <c r="AD55" i="2"/>
  <c r="AN55" i="2"/>
  <c r="AE55" i="2"/>
  <c r="AO55" i="2"/>
  <c r="AJ55" i="2"/>
  <c r="AK55" i="2"/>
  <c r="AL55" i="2"/>
  <c r="AR55" i="2"/>
  <c r="AU55" i="2"/>
  <c r="AC47" i="2"/>
  <c r="AI47" i="2"/>
  <c r="AQ47" i="2"/>
  <c r="AG47" i="2"/>
  <c r="AP47" i="2"/>
  <c r="AD47" i="2"/>
  <c r="AK47" i="2"/>
  <c r="AT47" i="2"/>
  <c r="AL47" i="2"/>
  <c r="AM47" i="2"/>
  <c r="AO47" i="2"/>
  <c r="AE47" i="2"/>
  <c r="AR47" i="2"/>
  <c r="AF47" i="2"/>
  <c r="AS47" i="2"/>
  <c r="AU47" i="2"/>
  <c r="AC39" i="2"/>
  <c r="AX39" i="2" s="1"/>
  <c r="AI39" i="2"/>
  <c r="AQ39" i="2"/>
  <c r="AH39" i="2"/>
  <c r="AR39" i="2"/>
  <c r="AE39" i="2"/>
  <c r="AM39" i="2"/>
  <c r="AP39" i="2"/>
  <c r="AF39" i="2"/>
  <c r="AS39" i="2"/>
  <c r="AT39" i="2"/>
  <c r="AD39" i="2"/>
  <c r="AG39" i="2"/>
  <c r="AJ39" i="2"/>
  <c r="AK39" i="2"/>
  <c r="AB39" i="2"/>
  <c r="AW39" i="2" s="1"/>
  <c r="AF31" i="2"/>
  <c r="AL31" i="2"/>
  <c r="AT31" i="2"/>
  <c r="AD31" i="2"/>
  <c r="AK31" i="2"/>
  <c r="AU31" i="2"/>
  <c r="AP31" i="2"/>
  <c r="AH31" i="2"/>
  <c r="BC30" i="2" s="1"/>
  <c r="AS31" i="2"/>
  <c r="AM31" i="2"/>
  <c r="AN31" i="2"/>
  <c r="AO31" i="2"/>
  <c r="AR31" i="2"/>
  <c r="AC31" i="2"/>
  <c r="AE31" i="2"/>
  <c r="AF23" i="2"/>
  <c r="AL23" i="2"/>
  <c r="AT23" i="2"/>
  <c r="AO23" i="2"/>
  <c r="AG23" i="2"/>
  <c r="AQ23" i="2"/>
  <c r="AI23" i="2"/>
  <c r="AU23" i="2"/>
  <c r="AC23" i="2"/>
  <c r="AM23" i="2"/>
  <c r="AH23" i="2"/>
  <c r="AJ23" i="2"/>
  <c r="AN23" i="2"/>
  <c r="AP23" i="2"/>
  <c r="AR23" i="2"/>
  <c r="AS23" i="2"/>
  <c r="AF15" i="2"/>
  <c r="AL15" i="2"/>
  <c r="AT15" i="2"/>
  <c r="AI15" i="2"/>
  <c r="AR15" i="2"/>
  <c r="AP15" i="2"/>
  <c r="AG15" i="2"/>
  <c r="AQ15" i="2"/>
  <c r="AK15" i="2"/>
  <c r="AD15" i="2"/>
  <c r="AO15" i="2"/>
  <c r="AE15" i="2"/>
  <c r="AH15" i="2"/>
  <c r="AC15" i="2"/>
  <c r="AJ15" i="2"/>
  <c r="AF7" i="2"/>
  <c r="AL7" i="2"/>
  <c r="AT7" i="2"/>
  <c r="AE7" i="2"/>
  <c r="AM7" i="2"/>
  <c r="AG7" i="2"/>
  <c r="AQ7" i="2"/>
  <c r="AH7" i="2"/>
  <c r="AR7" i="2"/>
  <c r="AK7" i="2"/>
  <c r="AD7" i="2"/>
  <c r="AP7" i="2"/>
  <c r="AI7" i="2"/>
  <c r="AC7" i="2"/>
  <c r="AJ7" i="2"/>
  <c r="AB7" i="2"/>
  <c r="AS7" i="2"/>
  <c r="AB23" i="2"/>
  <c r="AB47" i="2"/>
  <c r="AP127" i="2"/>
  <c r="AF127" i="2"/>
  <c r="AU111" i="2"/>
  <c r="AP103" i="2"/>
  <c r="AD103" i="2"/>
  <c r="AL95" i="2"/>
  <c r="AJ87" i="2"/>
  <c r="AQ79" i="2"/>
  <c r="AL63" i="2"/>
  <c r="AO39" i="2"/>
  <c r="AK23" i="2"/>
  <c r="AM15" i="2"/>
  <c r="BD114" i="2"/>
  <c r="AY75" i="2"/>
  <c r="BM123" i="2"/>
  <c r="AG129" i="2"/>
  <c r="AO129" i="2"/>
  <c r="AH129" i="2"/>
  <c r="AP129" i="2"/>
  <c r="BK129" i="2" s="1"/>
  <c r="AC121" i="2"/>
  <c r="AI121" i="2"/>
  <c r="AQ121" i="2"/>
  <c r="AO121" i="2"/>
  <c r="AG121" i="2"/>
  <c r="AP121" i="2"/>
  <c r="AC113" i="2"/>
  <c r="AI113" i="2"/>
  <c r="AQ113" i="2"/>
  <c r="AJ113" i="2"/>
  <c r="BE111" i="2" s="1"/>
  <c r="AS113" i="2"/>
  <c r="AD113" i="2"/>
  <c r="AK113" i="2"/>
  <c r="AT113" i="2"/>
  <c r="AC105" i="2"/>
  <c r="AI105" i="2"/>
  <c r="AQ105" i="2"/>
  <c r="AF105" i="2"/>
  <c r="AM105" i="2"/>
  <c r="AN105" i="2"/>
  <c r="AC97" i="2"/>
  <c r="AI97" i="2"/>
  <c r="AQ97" i="2"/>
  <c r="AG97" i="2"/>
  <c r="AP97" i="2"/>
  <c r="AH97" i="2"/>
  <c r="AR97" i="2"/>
  <c r="BM96" i="2" s="1"/>
  <c r="AC89" i="2"/>
  <c r="AI89" i="2"/>
  <c r="AQ89" i="2"/>
  <c r="AD89" i="2"/>
  <c r="AK89" i="2"/>
  <c r="AT89" i="2"/>
  <c r="AE89" i="2"/>
  <c r="AL89" i="2"/>
  <c r="AU89" i="2"/>
  <c r="AC81" i="2"/>
  <c r="AI81" i="2"/>
  <c r="AQ81" i="2"/>
  <c r="BL81" i="2" s="1"/>
  <c r="AN81" i="2"/>
  <c r="AO81" i="2"/>
  <c r="AG73" i="2"/>
  <c r="AO73" i="2"/>
  <c r="AF73" i="2"/>
  <c r="AM73" i="2"/>
  <c r="AE73" i="2"/>
  <c r="AN73" i="2"/>
  <c r="AP73" i="2"/>
  <c r="AG65" i="2"/>
  <c r="AO65" i="2"/>
  <c r="AF65" i="2"/>
  <c r="AM65" i="2"/>
  <c r="AH65" i="2"/>
  <c r="AQ65" i="2"/>
  <c r="AK65" i="2"/>
  <c r="AC65" i="2"/>
  <c r="AL65" i="2"/>
  <c r="AG57" i="2"/>
  <c r="AO57" i="2"/>
  <c r="AH57" i="2"/>
  <c r="AQ57" i="2"/>
  <c r="AD57" i="2"/>
  <c r="AK57" i="2"/>
  <c r="BF57" i="2" s="1"/>
  <c r="AT57" i="2"/>
  <c r="AI57" i="2"/>
  <c r="BD57" i="2" s="1"/>
  <c r="AU57" i="2"/>
  <c r="AJ57" i="2"/>
  <c r="AG49" i="2"/>
  <c r="AO49" i="2"/>
  <c r="AD49" i="2"/>
  <c r="AK49" i="2"/>
  <c r="AT49" i="2"/>
  <c r="AN49" i="2"/>
  <c r="AR49" i="2"/>
  <c r="AH49" i="2"/>
  <c r="AS49" i="2"/>
  <c r="AG41" i="2"/>
  <c r="AO41" i="2"/>
  <c r="AE41" i="2"/>
  <c r="AL41" i="2"/>
  <c r="AU41" i="2"/>
  <c r="AD41" i="2"/>
  <c r="AM41" i="2"/>
  <c r="AQ41" i="2"/>
  <c r="AF41" i="2"/>
  <c r="AR41" i="2"/>
  <c r="AS41" i="2"/>
  <c r="AD33" i="2"/>
  <c r="AJ33" i="2"/>
  <c r="AO33" i="2"/>
  <c r="BJ33" i="2" s="1"/>
  <c r="AP33" i="2"/>
  <c r="AC33" i="2"/>
  <c r="AM33" i="2"/>
  <c r="AG33" i="2"/>
  <c r="AR33" i="2"/>
  <c r="AE33" i="2"/>
  <c r="AS33" i="2"/>
  <c r="AF33" i="2"/>
  <c r="AT33" i="2"/>
  <c r="AD25" i="2"/>
  <c r="AJ25" i="2"/>
  <c r="AR25" i="2"/>
  <c r="AI25" i="2"/>
  <c r="AS25" i="2"/>
  <c r="AP25" i="2"/>
  <c r="AE25" i="2"/>
  <c r="AN25" i="2"/>
  <c r="AG25" i="2"/>
  <c r="AT25" i="2"/>
  <c r="AL25" i="2"/>
  <c r="AM25" i="2"/>
  <c r="AD17" i="2"/>
  <c r="AJ17" i="2"/>
  <c r="AR17" i="2"/>
  <c r="AF17" i="2"/>
  <c r="AM17" i="2"/>
  <c r="AP17" i="2"/>
  <c r="AG17" i="2"/>
  <c r="AQ17" i="2"/>
  <c r="AK17" i="2"/>
  <c r="AC17" i="2"/>
  <c r="AO17" i="2"/>
  <c r="AS17" i="2"/>
  <c r="AT17" i="2"/>
  <c r="AE17" i="2"/>
  <c r="AU17" i="2"/>
  <c r="AD9" i="2"/>
  <c r="AY9" i="2" s="1"/>
  <c r="AJ9" i="2"/>
  <c r="AR9" i="2"/>
  <c r="AG9" i="2"/>
  <c r="AP9" i="2"/>
  <c r="AQ9" i="2"/>
  <c r="AH9" i="2"/>
  <c r="AS9" i="2"/>
  <c r="AL9" i="2"/>
  <c r="AE9" i="2"/>
  <c r="AO9" i="2"/>
  <c r="AT9" i="2"/>
  <c r="AC9" i="2"/>
  <c r="AU9" i="2"/>
  <c r="AF9" i="2"/>
  <c r="AB17" i="2"/>
  <c r="AB49" i="2"/>
  <c r="AB81" i="2"/>
  <c r="AB113" i="2"/>
  <c r="AU129" i="2"/>
  <c r="BP129" i="2" s="1"/>
  <c r="AK129" i="2"/>
  <c r="AC129" i="2"/>
  <c r="AS121" i="2"/>
  <c r="AR113" i="2"/>
  <c r="AS105" i="2"/>
  <c r="AG105" i="2"/>
  <c r="AU97" i="2"/>
  <c r="AJ97" i="2"/>
  <c r="AH89" i="2"/>
  <c r="AU81" i="2"/>
  <c r="AJ81" i="2"/>
  <c r="AQ73" i="2"/>
  <c r="AC73" i="2"/>
  <c r="AR65" i="2"/>
  <c r="AD65" i="2"/>
  <c r="AL49" i="2"/>
  <c r="AH41" i="2"/>
  <c r="AH33" i="2"/>
  <c r="BC33" i="2" s="1"/>
  <c r="AF25" i="2"/>
  <c r="BA18" i="2"/>
  <c r="BD66" i="2"/>
  <c r="AC25" i="2"/>
  <c r="AU25" i="2"/>
  <c r="AN17" i="2"/>
  <c r="AN9" i="2"/>
  <c r="AQ25" i="2"/>
  <c r="AL17" i="2"/>
  <c r="AM9" i="2"/>
  <c r="AG123" i="2"/>
  <c r="AO123" i="2"/>
  <c r="AG115" i="2"/>
  <c r="AO115" i="2"/>
  <c r="AG107" i="2"/>
  <c r="AO107" i="2"/>
  <c r="AG99" i="2"/>
  <c r="AO99" i="2"/>
  <c r="AG91" i="2"/>
  <c r="AO91" i="2"/>
  <c r="AG83" i="2"/>
  <c r="AO83" i="2"/>
  <c r="AG75" i="2"/>
  <c r="AO75" i="2"/>
  <c r="AM67" i="2"/>
  <c r="BH66" i="2" s="1"/>
  <c r="AU67" i="2"/>
  <c r="AH67" i="2"/>
  <c r="AQ67" i="2"/>
  <c r="AD67" i="2"/>
  <c r="AK67" i="2"/>
  <c r="AT67" i="2"/>
  <c r="AM59" i="2"/>
  <c r="AU59" i="2"/>
  <c r="AD59" i="2"/>
  <c r="AK59" i="2"/>
  <c r="AT59" i="2"/>
  <c r="AO59" i="2"/>
  <c r="AM51" i="2"/>
  <c r="AU51" i="2"/>
  <c r="AO51" i="2"/>
  <c r="AI51" i="2"/>
  <c r="AR51" i="2"/>
  <c r="AM43" i="2"/>
  <c r="AU43" i="2"/>
  <c r="AG43" i="2"/>
  <c r="AP43" i="2"/>
  <c r="AD43" i="2"/>
  <c r="AL43" i="2"/>
  <c r="AQ43" i="2"/>
  <c r="BL42" i="2" s="1"/>
  <c r="AM35" i="2"/>
  <c r="AU35" i="2"/>
  <c r="AC35" i="2"/>
  <c r="AJ35" i="2"/>
  <c r="AS35" i="2"/>
  <c r="AE35" i="2"/>
  <c r="AN35" i="2"/>
  <c r="AG35" i="2"/>
  <c r="AQ35" i="2"/>
  <c r="AH27" i="2"/>
  <c r="AP27" i="2"/>
  <c r="AF27" i="2"/>
  <c r="AM27" i="2"/>
  <c r="AQ27" i="2"/>
  <c r="AI27" i="2"/>
  <c r="AT27" i="2"/>
  <c r="AC27" i="2"/>
  <c r="AL27" i="2"/>
  <c r="AH19" i="2"/>
  <c r="AP19" i="2"/>
  <c r="AG19" i="2"/>
  <c r="AQ19" i="2"/>
  <c r="AR19" i="2"/>
  <c r="AJ19" i="2"/>
  <c r="AU19" i="2"/>
  <c r="AD19" i="2"/>
  <c r="AM19" i="2"/>
  <c r="AH11" i="2"/>
  <c r="AP11" i="2"/>
  <c r="AD11" i="2"/>
  <c r="AK11" i="2"/>
  <c r="AT11" i="2"/>
  <c r="AQ11" i="2"/>
  <c r="AG11" i="2"/>
  <c r="AR11" i="2"/>
  <c r="AL11" i="2"/>
  <c r="AE11" i="2"/>
  <c r="AO11" i="2"/>
  <c r="AB11" i="2"/>
  <c r="AB19" i="2"/>
  <c r="AB27" i="2"/>
  <c r="AB35" i="2"/>
  <c r="AB43" i="2"/>
  <c r="AB51" i="2"/>
  <c r="AB59" i="2"/>
  <c r="AB67" i="2"/>
  <c r="AB75" i="2"/>
  <c r="AB83" i="2"/>
  <c r="AB91" i="2"/>
  <c r="AB99" i="2"/>
  <c r="AB107" i="2"/>
  <c r="AB115" i="2"/>
  <c r="AB123" i="2"/>
  <c r="AB131" i="2"/>
  <c r="AN131" i="2"/>
  <c r="AS130" i="2"/>
  <c r="BN129" i="2" s="1"/>
  <c r="AK130" i="2"/>
  <c r="AE130" i="2"/>
  <c r="AT123" i="2"/>
  <c r="AK123" i="2"/>
  <c r="AD123" i="2"/>
  <c r="AN122" i="2"/>
  <c r="AN115" i="2"/>
  <c r="AQ114" i="2"/>
  <c r="BL114" i="2" s="1"/>
  <c r="AR107" i="2"/>
  <c r="AI107" i="2"/>
  <c r="AU106" i="2"/>
  <c r="AK106" i="2"/>
  <c r="AU99" i="2"/>
  <c r="AL99" i="2"/>
  <c r="AE99" i="2"/>
  <c r="AO98" i="2"/>
  <c r="AP91" i="2"/>
  <c r="AR90" i="2"/>
  <c r="AS83" i="2"/>
  <c r="BN81" i="2" s="1"/>
  <c r="AJ83" i="2"/>
  <c r="AC83" i="2"/>
  <c r="AM82" i="2"/>
  <c r="AM75" i="2"/>
  <c r="AF75" i="2"/>
  <c r="BA75" i="2" s="1"/>
  <c r="AO74" i="2"/>
  <c r="AS67" i="2"/>
  <c r="AG67" i="2"/>
  <c r="BB66" i="2" s="1"/>
  <c r="AP66" i="2"/>
  <c r="AQ59" i="2"/>
  <c r="AF59" i="2"/>
  <c r="AM58" i="2"/>
  <c r="BH57" i="2" s="1"/>
  <c r="AN51" i="2"/>
  <c r="AD51" i="2"/>
  <c r="AS43" i="2"/>
  <c r="AF43" i="2"/>
  <c r="AT35" i="2"/>
  <c r="AS27" i="2"/>
  <c r="AE27" i="2"/>
  <c r="AL19" i="2"/>
  <c r="AN11" i="2"/>
  <c r="AF122" i="2"/>
  <c r="AL122" i="2"/>
  <c r="AT122" i="2"/>
  <c r="AF114" i="2"/>
  <c r="AL114" i="2"/>
  <c r="AT114" i="2"/>
  <c r="AF106" i="2"/>
  <c r="AL106" i="2"/>
  <c r="BG105" i="2" s="1"/>
  <c r="AT106" i="2"/>
  <c r="AF98" i="2"/>
  <c r="AL98" i="2"/>
  <c r="AT98" i="2"/>
  <c r="AF90" i="2"/>
  <c r="AL90" i="2"/>
  <c r="AT90" i="2"/>
  <c r="AF82" i="2"/>
  <c r="BA81" i="2" s="1"/>
  <c r="AL82" i="2"/>
  <c r="AT82" i="2"/>
  <c r="AD74" i="2"/>
  <c r="AJ74" i="2"/>
  <c r="AR74" i="2"/>
  <c r="AC74" i="2"/>
  <c r="AK74" i="2"/>
  <c r="AT74" i="2"/>
  <c r="AD66" i="2"/>
  <c r="AJ66" i="2"/>
  <c r="AR66" i="2"/>
  <c r="AC66" i="2"/>
  <c r="AK66" i="2"/>
  <c r="AT66" i="2"/>
  <c r="AN66" i="2"/>
  <c r="AD58" i="2"/>
  <c r="AJ58" i="2"/>
  <c r="AR58" i="2"/>
  <c r="BM57" i="2" s="1"/>
  <c r="AN58" i="2"/>
  <c r="AH58" i="2"/>
  <c r="AQ58" i="2"/>
  <c r="AD50" i="2"/>
  <c r="AJ50" i="2"/>
  <c r="AR50" i="2"/>
  <c r="AH50" i="2"/>
  <c r="AQ50" i="2"/>
  <c r="AE50" i="2"/>
  <c r="AL50" i="2"/>
  <c r="AU50" i="2"/>
  <c r="AD42" i="2"/>
  <c r="AJ42" i="2"/>
  <c r="AR42" i="2"/>
  <c r="AI42" i="2"/>
  <c r="BD42" i="2" s="1"/>
  <c r="AS42" i="2"/>
  <c r="AE42" i="2"/>
  <c r="AM42" i="2"/>
  <c r="AP42" i="2"/>
  <c r="AD34" i="2"/>
  <c r="AJ34" i="2"/>
  <c r="AR34" i="2"/>
  <c r="AF34" i="2"/>
  <c r="AM34" i="2"/>
  <c r="AE34" i="2"/>
  <c r="AN34" i="2"/>
  <c r="AG34" i="2"/>
  <c r="AQ34" i="2"/>
  <c r="AM26" i="2"/>
  <c r="AU26" i="2"/>
  <c r="AG26" i="2"/>
  <c r="AP26" i="2"/>
  <c r="AQ26" i="2"/>
  <c r="AF26" i="2"/>
  <c r="AR26" i="2"/>
  <c r="AJ26" i="2"/>
  <c r="AM18" i="2"/>
  <c r="AU18" i="2"/>
  <c r="BP18" i="2" s="1"/>
  <c r="AC18" i="2"/>
  <c r="AJ18" i="2"/>
  <c r="AS18" i="2"/>
  <c r="AP18" i="2"/>
  <c r="AG18" i="2"/>
  <c r="AQ18" i="2"/>
  <c r="AE18" i="2"/>
  <c r="AZ18" i="2" s="1"/>
  <c r="AR18" i="2"/>
  <c r="AI18" i="2"/>
  <c r="AM10" i="2"/>
  <c r="AU10" i="2"/>
  <c r="AF10" i="2"/>
  <c r="AN10" i="2"/>
  <c r="AG10" i="2"/>
  <c r="AQ10" i="2"/>
  <c r="AH10" i="2"/>
  <c r="AR10" i="2"/>
  <c r="AE10" i="2"/>
  <c r="AS10" i="2"/>
  <c r="AJ10" i="2"/>
  <c r="AR130" i="2"/>
  <c r="AJ130" i="2"/>
  <c r="BN123" i="2"/>
  <c r="BE123" i="2"/>
  <c r="AM122" i="2"/>
  <c r="AE122" i="2"/>
  <c r="AP114" i="2"/>
  <c r="AG114" i="2"/>
  <c r="AS106" i="2"/>
  <c r="AJ106" i="2"/>
  <c r="AC106" i="2"/>
  <c r="AN98" i="2"/>
  <c r="AQ90" i="2"/>
  <c r="AH90" i="2"/>
  <c r="AU82" i="2"/>
  <c r="AK82" i="2"/>
  <c r="BF81" i="2" s="1"/>
  <c r="AD82" i="2"/>
  <c r="AU75" i="2"/>
  <c r="AL75" i="2"/>
  <c r="AE75" i="2"/>
  <c r="AN74" i="2"/>
  <c r="AF74" i="2"/>
  <c r="AR67" i="2"/>
  <c r="AO66" i="2"/>
  <c r="BJ66" i="2" s="1"/>
  <c r="AE66" i="2"/>
  <c r="AP59" i="2"/>
  <c r="AE59" i="2"/>
  <c r="AL58" i="2"/>
  <c r="AL51" i="2"/>
  <c r="AC51" i="2"/>
  <c r="AI50" i="2"/>
  <c r="AR43" i="2"/>
  <c r="AE43" i="2"/>
  <c r="AK42" i="2"/>
  <c r="AR35" i="2"/>
  <c r="AF35" i="2"/>
  <c r="AK34" i="2"/>
  <c r="AR27" i="2"/>
  <c r="AD27" i="2"/>
  <c r="AH26" i="2"/>
  <c r="AK19" i="2"/>
  <c r="AN18" i="2"/>
  <c r="AM11" i="2"/>
  <c r="AO10" i="2"/>
  <c r="BL69" i="2" l="1"/>
  <c r="BQ15" i="3"/>
  <c r="BI114" i="2"/>
  <c r="BN9" i="2"/>
  <c r="BN15" i="2"/>
  <c r="BN72" i="2"/>
  <c r="BH111" i="2"/>
  <c r="BI42" i="2"/>
  <c r="BI123" i="2"/>
  <c r="BH30" i="2"/>
  <c r="BE126" i="2"/>
  <c r="BQ3" i="1"/>
  <c r="BQ129" i="3"/>
  <c r="BQ63" i="3"/>
  <c r="BC90" i="2"/>
  <c r="BE105" i="2"/>
  <c r="BO81" i="2"/>
  <c r="BG90" i="2"/>
  <c r="BA96" i="2"/>
  <c r="BO114" i="2"/>
  <c r="BH81" i="2"/>
  <c r="AZ129" i="2"/>
  <c r="AW129" i="2"/>
  <c r="AW33" i="2"/>
  <c r="AY18" i="2"/>
  <c r="BB75" i="2"/>
  <c r="AW111" i="2"/>
  <c r="BK39" i="2"/>
  <c r="BK87" i="2"/>
  <c r="BF27" i="2"/>
  <c r="AY90" i="2"/>
  <c r="BE75" i="2"/>
  <c r="BN126" i="2"/>
  <c r="AX87" i="2"/>
  <c r="BP114" i="2"/>
  <c r="BM81" i="2"/>
  <c r="BO105" i="2"/>
  <c r="BI129" i="2"/>
  <c r="BF9" i="2"/>
  <c r="BQ69" i="3"/>
  <c r="BQ18" i="3"/>
  <c r="BQ120" i="3"/>
  <c r="BQ54" i="3"/>
  <c r="BQ117" i="3"/>
  <c r="BA24" i="2"/>
  <c r="BH69" i="2"/>
  <c r="AW114" i="2"/>
  <c r="BQ9" i="1"/>
  <c r="BQ66" i="3"/>
  <c r="BQ42" i="3"/>
  <c r="AZ57" i="2"/>
  <c r="BG18" i="2"/>
  <c r="BP15" i="2"/>
  <c r="BK120" i="2"/>
  <c r="BA123" i="2"/>
  <c r="BF24" i="2"/>
  <c r="BJ48" i="2"/>
  <c r="BH12" i="2"/>
  <c r="BL30" i="2"/>
  <c r="BQ93" i="3"/>
  <c r="BQ30" i="3"/>
  <c r="BQ108" i="3"/>
  <c r="BQ90" i="3"/>
  <c r="BF18" i="2"/>
  <c r="BF33" i="2"/>
  <c r="AY33" i="2"/>
  <c r="BI81" i="2"/>
  <c r="BD63" i="2"/>
  <c r="AZ111" i="2"/>
  <c r="BB51" i="2"/>
  <c r="BJ87" i="2"/>
  <c r="BH96" i="2"/>
  <c r="BO111" i="2"/>
  <c r="AY120" i="2"/>
  <c r="BE120" i="2"/>
  <c r="BK51" i="2"/>
  <c r="BO93" i="2"/>
  <c r="BD123" i="2"/>
  <c r="BH6" i="2"/>
  <c r="BI102" i="2"/>
  <c r="BO60" i="2"/>
  <c r="BC105" i="2"/>
  <c r="BA66" i="2"/>
  <c r="BE90" i="2"/>
  <c r="BA129" i="2"/>
  <c r="BQ6" i="1"/>
  <c r="BQ87" i="1"/>
  <c r="BQ99" i="3"/>
  <c r="BQ21" i="3"/>
  <c r="BQ81" i="3"/>
  <c r="BQ6" i="3"/>
  <c r="BQ123" i="3"/>
  <c r="BQ12" i="3"/>
  <c r="BQ33" i="3"/>
  <c r="BQ48" i="3"/>
  <c r="BQ117" i="1"/>
  <c r="BQ21" i="1"/>
  <c r="BQ24" i="1"/>
  <c r="BQ129" i="1"/>
  <c r="BQ120" i="1"/>
  <c r="BQ105" i="1"/>
  <c r="BQ114" i="1"/>
  <c r="BQ126" i="1"/>
  <c r="BQ51" i="1"/>
  <c r="BQ18" i="1"/>
  <c r="BQ78" i="1"/>
  <c r="BQ84" i="1"/>
  <c r="BQ93" i="1"/>
  <c r="BQ69" i="1"/>
  <c r="BQ81" i="1"/>
  <c r="BQ39" i="1"/>
  <c r="BQ48" i="1"/>
  <c r="BQ45" i="1"/>
  <c r="BQ60" i="1"/>
  <c r="BQ33" i="1"/>
  <c r="BQ75" i="1"/>
  <c r="BQ63" i="1"/>
  <c r="BQ27" i="1"/>
  <c r="BQ102" i="1"/>
  <c r="BQ15" i="1"/>
  <c r="BQ99" i="1"/>
  <c r="BQ108" i="1"/>
  <c r="BQ123" i="1"/>
  <c r="BQ12" i="1"/>
  <c r="BQ66" i="1"/>
  <c r="BQ72" i="1"/>
  <c r="BQ54" i="1"/>
  <c r="BQ96" i="1"/>
  <c r="BQ57" i="1"/>
  <c r="BQ111" i="1"/>
  <c r="BQ30" i="1"/>
  <c r="BQ90" i="1"/>
  <c r="BQ36" i="1"/>
  <c r="BQ42" i="1"/>
  <c r="AW81" i="2"/>
  <c r="AW69" i="2"/>
  <c r="BF15" i="2"/>
  <c r="BE18" i="2"/>
  <c r="AW99" i="2"/>
  <c r="BP33" i="2"/>
  <c r="BD15" i="2"/>
  <c r="BF12" i="2"/>
  <c r="AX75" i="2"/>
  <c r="BO84" i="2"/>
  <c r="BO69" i="2"/>
  <c r="BD75" i="2"/>
  <c r="BD6" i="2"/>
  <c r="BG126" i="2"/>
  <c r="BH129" i="2"/>
  <c r="BG120" i="2"/>
  <c r="BL90" i="2"/>
  <c r="BD18" i="2"/>
  <c r="BK90" i="2"/>
  <c r="BM105" i="2"/>
  <c r="AW27" i="2"/>
  <c r="BM51" i="2"/>
  <c r="BP96" i="2"/>
  <c r="BN33" i="2"/>
  <c r="BP39" i="2"/>
  <c r="BL105" i="2"/>
  <c r="BN39" i="2"/>
  <c r="BM63" i="2"/>
  <c r="BJ111" i="2"/>
  <c r="BD48" i="2"/>
  <c r="AY96" i="2"/>
  <c r="BJ27" i="2"/>
  <c r="BC114" i="2"/>
  <c r="BP36" i="2"/>
  <c r="BH123" i="2"/>
  <c r="BB45" i="2"/>
  <c r="BN75" i="2"/>
  <c r="BA102" i="2"/>
  <c r="BN57" i="2"/>
  <c r="BG15" i="2"/>
  <c r="BI66" i="2"/>
  <c r="BP42" i="2"/>
  <c r="BJ129" i="2"/>
  <c r="AW48" i="2"/>
  <c r="AY102" i="2"/>
  <c r="BK42" i="2"/>
  <c r="BJ114" i="2"/>
  <c r="BA9" i="2"/>
  <c r="BE15" i="2"/>
  <c r="BN87" i="2"/>
  <c r="BA111" i="2"/>
  <c r="BE48" i="2"/>
  <c r="BG72" i="2"/>
  <c r="AZ96" i="2"/>
  <c r="BI96" i="2"/>
  <c r="BA51" i="2"/>
  <c r="BN66" i="2"/>
  <c r="BH90" i="2"/>
  <c r="BO42" i="2"/>
  <c r="BM99" i="2"/>
  <c r="BG123" i="2"/>
  <c r="BC21" i="2"/>
  <c r="BI21" i="2"/>
  <c r="BN99" i="2"/>
  <c r="BJ117" i="2"/>
  <c r="BI126" i="2"/>
  <c r="BG33" i="2"/>
  <c r="BB90" i="2"/>
  <c r="BI39" i="2"/>
  <c r="AX78" i="2"/>
  <c r="BK57" i="2"/>
  <c r="BE129" i="2"/>
  <c r="BK12" i="2"/>
  <c r="BO45" i="2"/>
  <c r="BM129" i="2"/>
  <c r="BP99" i="2"/>
  <c r="BI33" i="2"/>
  <c r="BF105" i="2"/>
  <c r="BB42" i="2"/>
  <c r="BP9" i="2"/>
  <c r="AY111" i="2"/>
  <c r="BH54" i="2"/>
  <c r="BP87" i="2"/>
  <c r="BG111" i="2"/>
  <c r="AX48" i="2"/>
  <c r="BK48" i="2"/>
  <c r="BD96" i="2"/>
  <c r="BL96" i="2"/>
  <c r="BF90" i="2"/>
  <c r="BE99" i="2"/>
  <c r="BD21" i="2"/>
  <c r="BI93" i="2"/>
  <c r="AX93" i="2"/>
  <c r="BM117" i="2"/>
  <c r="AW24" i="2"/>
  <c r="BD81" i="2"/>
  <c r="BF39" i="2"/>
  <c r="BA87" i="2"/>
  <c r="BI57" i="2"/>
  <c r="BA42" i="2"/>
  <c r="BO123" i="2"/>
  <c r="AW105" i="2"/>
  <c r="AW42" i="2"/>
  <c r="BC18" i="2"/>
  <c r="BO33" i="2"/>
  <c r="BH105" i="2"/>
  <c r="BC15" i="2"/>
  <c r="BL63" i="2"/>
  <c r="BJ63" i="2"/>
  <c r="AW96" i="2"/>
  <c r="AX111" i="2"/>
  <c r="BF51" i="2"/>
  <c r="BJ42" i="2"/>
  <c r="BF75" i="2"/>
  <c r="AZ21" i="2"/>
  <c r="AY69" i="2"/>
  <c r="BM93" i="2"/>
  <c r="BL99" i="2"/>
  <c r="BE117" i="2"/>
  <c r="BD117" i="2"/>
  <c r="BM78" i="2"/>
  <c r="BD102" i="2"/>
  <c r="AW126" i="2"/>
  <c r="BL33" i="2"/>
  <c r="BC42" i="2"/>
  <c r="BG66" i="2"/>
  <c r="AW90" i="2"/>
  <c r="BI87" i="2"/>
  <c r="BP24" i="2"/>
  <c r="BH114" i="2"/>
  <c r="BG51" i="2"/>
  <c r="BH42" i="2"/>
  <c r="BA90" i="2"/>
  <c r="BG114" i="2"/>
  <c r="AW123" i="2"/>
  <c r="AW57" i="2"/>
  <c r="BB99" i="2"/>
  <c r="BJ57" i="2"/>
  <c r="BD87" i="2"/>
  <c r="BJ15" i="2"/>
  <c r="AW15" i="2"/>
  <c r="BO24" i="2"/>
  <c r="BB24" i="2"/>
  <c r="AW72" i="2"/>
  <c r="BK72" i="2"/>
  <c r="AW120" i="2"/>
  <c r="BJ120" i="2"/>
  <c r="BG12" i="2"/>
  <c r="BL45" i="2"/>
  <c r="BN93" i="2"/>
  <c r="BF99" i="2"/>
  <c r="BP117" i="2"/>
  <c r="BP123" i="2"/>
  <c r="BN30" i="2"/>
  <c r="BI30" i="2"/>
  <c r="AW78" i="2"/>
  <c r="BD78" i="2"/>
  <c r="BC78" i="2"/>
  <c r="AY126" i="2"/>
  <c r="BO36" i="2"/>
  <c r="BE60" i="2"/>
  <c r="BC60" i="2"/>
  <c r="BE84" i="2"/>
  <c r="BC108" i="2"/>
  <c r="AZ3" i="2"/>
  <c r="BK3" i="2"/>
  <c r="BL129" i="2"/>
  <c r="BG57" i="2"/>
  <c r="AZ75" i="2"/>
  <c r="BM18" i="2"/>
  <c r="AX18" i="2"/>
  <c r="AX66" i="2"/>
  <c r="BK66" i="2"/>
  <c r="BH27" i="2"/>
  <c r="BB57" i="2"/>
  <c r="BI105" i="2"/>
  <c r="BB129" i="2"/>
  <c r="BO15" i="2"/>
  <c r="BC39" i="2"/>
  <c r="BP63" i="2"/>
  <c r="AZ78" i="2"/>
  <c r="BM111" i="2"/>
  <c r="BF111" i="2"/>
  <c r="BD126" i="2"/>
  <c r="BI15" i="2"/>
  <c r="BO48" i="2"/>
  <c r="BE72" i="2"/>
  <c r="BB72" i="2"/>
  <c r="BG96" i="2"/>
  <c r="BN96" i="2"/>
  <c r="BC111" i="2"/>
  <c r="AZ120" i="2"/>
  <c r="BC66" i="2"/>
  <c r="BE12" i="2"/>
  <c r="BC12" i="2"/>
  <c r="BI99" i="2"/>
  <c r="BG21" i="2"/>
  <c r="AW45" i="2"/>
  <c r="BF45" i="2"/>
  <c r="BJ93" i="2"/>
  <c r="BE93" i="2"/>
  <c r="BG30" i="2"/>
  <c r="BN78" i="2"/>
  <c r="AZ108" i="2"/>
  <c r="BD36" i="2"/>
  <c r="AW36" i="2"/>
  <c r="BF108" i="2"/>
  <c r="BD33" i="2"/>
  <c r="AY129" i="2"/>
  <c r="AX27" i="2"/>
  <c r="BM102" i="2"/>
  <c r="BN51" i="2"/>
  <c r="BL93" i="2"/>
  <c r="AX123" i="2"/>
  <c r="AW18" i="2"/>
  <c r="BL66" i="2"/>
  <c r="AX9" i="2"/>
  <c r="AY57" i="2"/>
  <c r="BB96" i="2"/>
  <c r="BL111" i="2"/>
  <c r="BE39" i="2"/>
  <c r="BO63" i="2"/>
  <c r="BK63" i="2"/>
  <c r="AX63" i="2"/>
  <c r="BG39" i="2"/>
  <c r="BM48" i="2"/>
  <c r="BL48" i="2"/>
  <c r="BD72" i="2"/>
  <c r="BG87" i="2"/>
  <c r="BP120" i="2"/>
  <c r="BB27" i="2"/>
  <c r="BE51" i="2"/>
  <c r="BN90" i="2"/>
  <c r="BF117" i="2"/>
  <c r="BP21" i="2"/>
  <c r="BE27" i="2"/>
  <c r="BC45" i="2"/>
  <c r="BO51" i="2"/>
  <c r="AZ51" i="2"/>
  <c r="AZ69" i="2"/>
  <c r="AW117" i="2"/>
  <c r="BP6" i="2"/>
  <c r="AX6" i="2"/>
  <c r="BO54" i="2"/>
  <c r="BF54" i="2"/>
  <c r="BF102" i="2"/>
  <c r="BP102" i="2"/>
  <c r="BJ84" i="2"/>
  <c r="BP3" i="2"/>
  <c r="BJ3" i="2"/>
  <c r="AZ105" i="2"/>
  <c r="BM33" i="2"/>
  <c r="AW30" i="2"/>
  <c r="BC126" i="2"/>
  <c r="BF87" i="2"/>
  <c r="BP126" i="2"/>
  <c r="AX129" i="2"/>
  <c r="BO87" i="2"/>
  <c r="BH126" i="2"/>
  <c r="BG54" i="2"/>
  <c r="BK114" i="2"/>
  <c r="AY42" i="2"/>
  <c r="BO90" i="2"/>
  <c r="BH75" i="2"/>
  <c r="AW9" i="2"/>
  <c r="BD27" i="2"/>
  <c r="BD51" i="2"/>
  <c r="BB123" i="2"/>
  <c r="BK9" i="2"/>
  <c r="BK33" i="2"/>
  <c r="BD111" i="2"/>
  <c r="BE24" i="2"/>
  <c r="AX24" i="2"/>
  <c r="AZ24" i="2"/>
  <c r="BH48" i="2"/>
  <c r="BP72" i="2"/>
  <c r="BJ90" i="2"/>
  <c r="BF114" i="2"/>
  <c r="BL21" i="2"/>
  <c r="BB69" i="2"/>
  <c r="BL117" i="2"/>
  <c r="BK6" i="2"/>
  <c r="BA54" i="2"/>
  <c r="BN54" i="2"/>
  <c r="BP78" i="2"/>
  <c r="BG102" i="2"/>
  <c r="BK105" i="2"/>
  <c r="BJ45" i="2"/>
  <c r="AY51" i="2"/>
  <c r="BB81" i="2"/>
  <c r="AY63" i="2"/>
  <c r="BA93" i="2"/>
  <c r="AX69" i="2"/>
  <c r="BA6" i="2"/>
  <c r="BM27" i="2"/>
  <c r="AX51" i="2"/>
  <c r="BN18" i="2"/>
  <c r="BO66" i="2"/>
  <c r="AZ27" i="2"/>
  <c r="AW66" i="2"/>
  <c r="BG42" i="2"/>
  <c r="BJ51" i="2"/>
  <c r="BP66" i="2"/>
  <c r="BC129" i="2"/>
  <c r="BJ39" i="2"/>
  <c r="BD24" i="2"/>
  <c r="BK24" i="2"/>
  <c r="BF72" i="2"/>
  <c r="BC72" i="2"/>
  <c r="AZ72" i="2"/>
  <c r="BF96" i="2"/>
  <c r="BA120" i="2"/>
  <c r="BH120" i="2"/>
  <c r="BI120" i="2"/>
  <c r="AX114" i="2"/>
  <c r="AX42" i="2"/>
  <c r="AZ84" i="2"/>
  <c r="AW12" i="2"/>
  <c r="AW21" i="2"/>
  <c r="BD99" i="2"/>
  <c r="AY36" i="2"/>
  <c r="BE36" i="2"/>
  <c r="BJ60" i="2"/>
  <c r="AW60" i="2"/>
  <c r="BH84" i="2"/>
  <c r="BM84" i="2"/>
  <c r="BI108" i="2"/>
  <c r="BL3" i="2"/>
  <c r="BG117" i="2"/>
  <c r="AZ33" i="2"/>
  <c r="BA105" i="2"/>
  <c r="BL108" i="2"/>
  <c r="BN108" i="2"/>
  <c r="BG36" i="2"/>
  <c r="BB36" i="2"/>
  <c r="BN60" i="2"/>
  <c r="BL84" i="2"/>
  <c r="BL12" i="2"/>
  <c r="BM42" i="2"/>
  <c r="BE66" i="2"/>
  <c r="AY123" i="2"/>
  <c r="BH9" i="2"/>
  <c r="BP81" i="2"/>
  <c r="AZ9" i="2"/>
  <c r="BM9" i="2"/>
  <c r="BL39" i="2"/>
  <c r="BN63" i="2"/>
  <c r="BC24" i="2"/>
  <c r="BP48" i="2"/>
  <c r="AX12" i="2"/>
  <c r="BM12" i="2"/>
  <c r="AZ12" i="2"/>
  <c r="BK21" i="2"/>
  <c r="BF21" i="2"/>
  <c r="AY45" i="2"/>
  <c r="BC69" i="2"/>
  <c r="BH93" i="2"/>
  <c r="AW6" i="2"/>
  <c r="BF6" i="2"/>
  <c r="BO30" i="2"/>
  <c r="BK30" i="2"/>
  <c r="BP54" i="2"/>
  <c r="AY54" i="2"/>
  <c r="BB54" i="2"/>
  <c r="BA78" i="2"/>
  <c r="BJ36" i="2"/>
  <c r="BH36" i="2"/>
  <c r="BH60" i="2"/>
  <c r="BM60" i="2"/>
  <c r="BI84" i="2"/>
  <c r="BA108" i="2"/>
  <c r="BB3" i="2"/>
  <c r="AY27" i="2"/>
  <c r="BE42" i="2"/>
  <c r="AY66" i="2"/>
  <c r="BM90" i="2"/>
  <c r="BF123" i="2"/>
  <c r="AW51" i="2"/>
  <c r="BL27" i="2"/>
  <c r="BJ75" i="2"/>
  <c r="BG9" i="2"/>
  <c r="BE9" i="2"/>
  <c r="BA33" i="2"/>
  <c r="BO57" i="2"/>
  <c r="BJ81" i="2"/>
  <c r="BH15" i="2"/>
  <c r="BE87" i="2"/>
  <c r="BP111" i="2"/>
  <c r="AZ15" i="2"/>
  <c r="BM15" i="2"/>
  <c r="BA39" i="2"/>
  <c r="BD39" i="2"/>
  <c r="AZ63" i="2"/>
  <c r="BE63" i="2"/>
  <c r="BB87" i="2"/>
  <c r="BN111" i="2"/>
  <c r="BH24" i="2"/>
  <c r="BM24" i="2"/>
  <c r="BG24" i="2"/>
  <c r="BN48" i="2"/>
  <c r="AZ48" i="2"/>
  <c r="BG48" i="2"/>
  <c r="BI72" i="2"/>
  <c r="BK96" i="2"/>
  <c r="BE96" i="2"/>
  <c r="BO120" i="2"/>
  <c r="BD120" i="2"/>
  <c r="AY93" i="2"/>
  <c r="BI12" i="2"/>
  <c r="BB12" i="2"/>
  <c r="BE21" i="2"/>
  <c r="BN21" i="2"/>
  <c r="AY21" i="2"/>
  <c r="BM45" i="2"/>
  <c r="BN45" i="2"/>
  <c r="BM69" i="2"/>
  <c r="BI69" i="2"/>
  <c r="BN69" i="2"/>
  <c r="BC93" i="2"/>
  <c r="BB93" i="2"/>
  <c r="AX117" i="2"/>
  <c r="BA117" i="2"/>
  <c r="BI6" i="2"/>
  <c r="BO6" i="2"/>
  <c r="BL6" i="2"/>
  <c r="AZ30" i="2"/>
  <c r="AW54" i="2"/>
  <c r="BJ54" i="2"/>
  <c r="BI54" i="2"/>
  <c r="BL78" i="2"/>
  <c r="BE78" i="2"/>
  <c r="BK78" i="2"/>
  <c r="AW102" i="2"/>
  <c r="BH102" i="2"/>
  <c r="BM126" i="2"/>
  <c r="BK126" i="2"/>
  <c r="BA36" i="2"/>
  <c r="BI36" i="2"/>
  <c r="AZ36" i="2"/>
  <c r="BF60" i="2"/>
  <c r="BB60" i="2"/>
  <c r="BD60" i="2"/>
  <c r="BG84" i="2"/>
  <c r="BG108" i="2"/>
  <c r="AW108" i="2"/>
  <c r="BF3" i="2"/>
  <c r="BH3" i="2"/>
  <c r="BI3" i="2"/>
  <c r="BF69" i="2"/>
  <c r="BD54" i="2"/>
  <c r="BK60" i="2"/>
  <c r="BE3" i="2"/>
  <c r="BI51" i="2"/>
  <c r="AY48" i="2"/>
  <c r="BA27" i="2"/>
  <c r="BE33" i="2"/>
  <c r="BH39" i="2"/>
  <c r="BL120" i="2"/>
  <c r="BC6" i="2"/>
  <c r="BP30" i="2"/>
  <c r="BE102" i="2"/>
  <c r="BC3" i="2"/>
  <c r="BB114" i="2"/>
  <c r="BL18" i="2"/>
  <c r="BH18" i="2"/>
  <c r="AZ42" i="2"/>
  <c r="BF66" i="2"/>
  <c r="BN27" i="2"/>
  <c r="AZ99" i="2"/>
  <c r="BG27" i="2"/>
  <c r="BK27" i="2"/>
  <c r="BJ123" i="2"/>
  <c r="BB105" i="2"/>
  <c r="BF129" i="2"/>
  <c r="BB33" i="2"/>
  <c r="BC57" i="2"/>
  <c r="BD105" i="2"/>
  <c r="BL15" i="2"/>
  <c r="BA15" i="2"/>
  <c r="AY39" i="2"/>
  <c r="AZ39" i="2"/>
  <c r="BF63" i="2"/>
  <c r="AY87" i="2"/>
  <c r="BK111" i="2"/>
  <c r="BI24" i="2"/>
  <c r="BC48" i="2"/>
  <c r="BL72" i="2"/>
  <c r="BM72" i="2"/>
  <c r="BO72" i="2"/>
  <c r="BC96" i="2"/>
  <c r="BO96" i="2"/>
  <c r="BN120" i="2"/>
  <c r="BD12" i="2"/>
  <c r="BP45" i="2"/>
  <c r="BA21" i="2"/>
  <c r="BK45" i="2"/>
  <c r="AZ45" i="2"/>
  <c r="BK69" i="2"/>
  <c r="BG93" i="2"/>
  <c r="BO117" i="2"/>
  <c r="BC117" i="2"/>
  <c r="BG6" i="2"/>
  <c r="BM6" i="2"/>
  <c r="BF30" i="2"/>
  <c r="BE30" i="2"/>
  <c r="BD30" i="2"/>
  <c r="BM54" i="2"/>
  <c r="BE54" i="2"/>
  <c r="BO78" i="2"/>
  <c r="BI78" i="2"/>
  <c r="BN102" i="2"/>
  <c r="AZ102" i="2"/>
  <c r="BA126" i="2"/>
  <c r="AZ126" i="2"/>
  <c r="BF36" i="2"/>
  <c r="BC36" i="2"/>
  <c r="BA60" i="2"/>
  <c r="BP60" i="2"/>
  <c r="BD84" i="2"/>
  <c r="BK84" i="2"/>
  <c r="BP108" i="2"/>
  <c r="BH108" i="2"/>
  <c r="BE108" i="2"/>
  <c r="BO3" i="2"/>
  <c r="BN3" i="2"/>
  <c r="AY15" i="2"/>
  <c r="BN6" i="2"/>
  <c r="AY30" i="2"/>
  <c r="BL9" i="2"/>
  <c r="BB39" i="2"/>
  <c r="AZ87" i="2"/>
  <c r="BP12" i="2"/>
  <c r="BA45" i="2"/>
  <c r="BJ69" i="2"/>
  <c r="BK36" i="2"/>
  <c r="BA84" i="2"/>
  <c r="BM108" i="2"/>
  <c r="AY3" i="2"/>
  <c r="BI18" i="2"/>
  <c r="BG75" i="2"/>
  <c r="BN42" i="2"/>
  <c r="BA114" i="2"/>
  <c r="BG99" i="2"/>
  <c r="AW75" i="2"/>
  <c r="BC27" i="2"/>
  <c r="BP51" i="2"/>
  <c r="BN105" i="2"/>
  <c r="BO9" i="2"/>
  <c r="BH33" i="2"/>
  <c r="BE57" i="2"/>
  <c r="AX105" i="2"/>
  <c r="BG63" i="2"/>
  <c r="AX15" i="2"/>
  <c r="BB15" i="2"/>
  <c r="BO39" i="2"/>
  <c r="BM39" i="2"/>
  <c r="BC63" i="2"/>
  <c r="BH63" i="2"/>
  <c r="BL87" i="2"/>
  <c r="BB111" i="2"/>
  <c r="BL24" i="2"/>
  <c r="BB48" i="2"/>
  <c r="BF48" i="2"/>
  <c r="BI48" i="2"/>
  <c r="BH72" i="2"/>
  <c r="AY72" i="2"/>
  <c r="BJ96" i="2"/>
  <c r="AZ93" i="2"/>
  <c r="BO12" i="2"/>
  <c r="BN12" i="2"/>
  <c r="BM21" i="2"/>
  <c r="BB21" i="2"/>
  <c r="BG45" i="2"/>
  <c r="BE69" i="2"/>
  <c r="BP69" i="2"/>
  <c r="BF93" i="2"/>
  <c r="BD93" i="2"/>
  <c r="BN117" i="2"/>
  <c r="AZ117" i="2"/>
  <c r="BG78" i="2"/>
  <c r="AZ6" i="2"/>
  <c r="BE6" i="2"/>
  <c r="BB6" i="2"/>
  <c r="BB30" i="2"/>
  <c r="BM30" i="2"/>
  <c r="AX30" i="2"/>
  <c r="AZ54" i="2"/>
  <c r="AX54" i="2"/>
  <c r="BK102" i="2"/>
  <c r="BJ126" i="2"/>
  <c r="BO126" i="2"/>
  <c r="BN36" i="2"/>
  <c r="BM36" i="2"/>
  <c r="AX60" i="2"/>
  <c r="BL60" i="2"/>
  <c r="BG60" i="2"/>
  <c r="BN84" i="2"/>
  <c r="BB84" i="2"/>
  <c r="BB108" i="2"/>
  <c r="AX108" i="2"/>
  <c r="AY108" i="2"/>
  <c r="AX3" i="2"/>
  <c r="BD3" i="2"/>
  <c r="BL36" i="2"/>
  <c r="BD108" i="2"/>
  <c r="BC9" i="2"/>
  <c r="BJ12" i="2"/>
  <c r="BJ21" i="2"/>
  <c r="AX45" i="2"/>
  <c r="AY78" i="2"/>
  <c r="BA3" i="2"/>
  <c r="BI9" i="2"/>
  <c r="BL57" i="2"/>
  <c r="BB78" i="2"/>
  <c r="BL126" i="2"/>
  <c r="BF84" i="2"/>
  <c r="AY84" i="2"/>
  <c r="BG3" i="2"/>
  <c r="BF42" i="2"/>
  <c r="BB18" i="2"/>
  <c r="AZ66" i="2"/>
  <c r="BP75" i="2"/>
  <c r="BK18" i="2"/>
  <c r="BM66" i="2"/>
  <c r="BO27" i="2"/>
  <c r="BH51" i="2"/>
  <c r="BJ99" i="2"/>
  <c r="BE81" i="2"/>
  <c r="BJ9" i="2"/>
  <c r="BB9" i="2"/>
  <c r="AX33" i="2"/>
  <c r="BP57" i="2"/>
  <c r="AX81" i="2"/>
  <c r="BK15" i="2"/>
  <c r="BB63" i="2"/>
  <c r="BA63" i="2"/>
  <c r="BC87" i="2"/>
  <c r="BN24" i="2"/>
  <c r="AX72" i="2"/>
  <c r="BJ72" i="2"/>
  <c r="BA72" i="2"/>
  <c r="BB120" i="2"/>
  <c r="AX120" i="2"/>
  <c r="AY12" i="2"/>
  <c r="BA12" i="2"/>
  <c r="BK108" i="2"/>
  <c r="BH21" i="2"/>
  <c r="AX21" i="2"/>
  <c r="BO21" i="2"/>
  <c r="BD45" i="2"/>
  <c r="BH45" i="2"/>
  <c r="BA69" i="2"/>
  <c r="BD69" i="2"/>
  <c r="BG69" i="2"/>
  <c r="AW93" i="2"/>
  <c r="BP93" i="2"/>
  <c r="AY117" i="2"/>
  <c r="BB117" i="2"/>
  <c r="BH117" i="2"/>
  <c r="BP84" i="2"/>
  <c r="AY6" i="2"/>
  <c r="BJ6" i="2"/>
  <c r="BJ30" i="2"/>
  <c r="BA30" i="2"/>
  <c r="BL54" i="2"/>
  <c r="BK54" i="2"/>
  <c r="BF78" i="2"/>
  <c r="BH78" i="2"/>
  <c r="BB102" i="2"/>
  <c r="BO102" i="2"/>
  <c r="BC102" i="2"/>
  <c r="AX126" i="2"/>
  <c r="BF126" i="2"/>
  <c r="BC84" i="2"/>
  <c r="AX36" i="2"/>
  <c r="BI60" i="2"/>
  <c r="AY60" i="2"/>
  <c r="AZ60" i="2"/>
  <c r="AX84" i="2"/>
  <c r="AW84" i="2"/>
  <c r="BO108" i="2"/>
  <c r="BJ108" i="2"/>
  <c r="AW3" i="2"/>
  <c r="BM3" i="2"/>
</calcChain>
</file>

<file path=xl/sharedStrings.xml><?xml version="1.0" encoding="utf-8"?>
<sst xmlns="http://schemas.openxmlformats.org/spreadsheetml/2006/main" count="2721" uniqueCount="229">
  <si>
    <r>
      <t xml:space="preserve"># Trees by Species - </t>
    </r>
    <r>
      <rPr>
        <sz val="11"/>
        <color indexed="8"/>
        <rFont val="Calibri"/>
        <family val="2"/>
      </rPr>
      <t>≥</t>
    </r>
    <r>
      <rPr>
        <sz val="11"/>
        <color theme="1"/>
        <rFont val="Calibri"/>
        <family val="2"/>
        <scheme val="minor"/>
      </rPr>
      <t xml:space="preserve"> 12.5 cm DBH - 2008 - 2010</t>
    </r>
  </si>
  <si>
    <t>Park</t>
  </si>
  <si>
    <t>Plot</t>
  </si>
  <si>
    <t>Name</t>
  </si>
  <si>
    <t>Transect</t>
  </si>
  <si>
    <t>Hydrocl</t>
  </si>
  <si>
    <t>Amelanchier spp.</t>
  </si>
  <si>
    <t>Betula alleghaniensis</t>
  </si>
  <si>
    <t>Carpinus caroliniana</t>
  </si>
  <si>
    <t>Fagus grandifolia</t>
  </si>
  <si>
    <t>Juniperus virginiana</t>
  </si>
  <si>
    <t>Larix laricina</t>
  </si>
  <si>
    <t>Liriodendron tulipifera</t>
  </si>
  <si>
    <t>Ostrya virginiana</t>
  </si>
  <si>
    <t>Pinus strobus</t>
  </si>
  <si>
    <t>Robinia pseudoacacia</t>
  </si>
  <si>
    <t>Sassafras albidum</t>
  </si>
  <si>
    <t>Tilia americana</t>
  </si>
  <si>
    <t>Kensington</t>
  </si>
  <si>
    <t>kenuphd</t>
  </si>
  <si>
    <t>A</t>
  </si>
  <si>
    <t>xeric</t>
  </si>
  <si>
    <t>kenuphd2</t>
  </si>
  <si>
    <t>kenuphd3</t>
  </si>
  <si>
    <t>Hudson Mills</t>
  </si>
  <si>
    <t>hmhd</t>
  </si>
  <si>
    <t>AA</t>
  </si>
  <si>
    <t>mesic</t>
  </si>
  <si>
    <t>hmhd2</t>
  </si>
  <si>
    <t>hmhd3</t>
  </si>
  <si>
    <t>kendry</t>
  </si>
  <si>
    <t>B</t>
  </si>
  <si>
    <t>kendry2</t>
  </si>
  <si>
    <t>kendry2A</t>
  </si>
  <si>
    <t>hmdry</t>
  </si>
  <si>
    <t>BB</t>
  </si>
  <si>
    <t>hmdry2</t>
  </si>
  <si>
    <t>hmdry3</t>
  </si>
  <si>
    <t>kenup</t>
  </si>
  <si>
    <t>C</t>
  </si>
  <si>
    <t>kenup2</t>
  </si>
  <si>
    <t>kenup3</t>
  </si>
  <si>
    <t>Island Lake</t>
  </si>
  <si>
    <t>ilopen</t>
  </si>
  <si>
    <t>CC</t>
  </si>
  <si>
    <t>ilopen2</t>
  </si>
  <si>
    <t>ilopen3</t>
  </si>
  <si>
    <t>kendry3</t>
  </si>
  <si>
    <t>D</t>
  </si>
  <si>
    <t>kendry3A</t>
  </si>
  <si>
    <t>kendry3B</t>
  </si>
  <si>
    <t>illow</t>
  </si>
  <si>
    <t>DD</t>
  </si>
  <si>
    <t>hydric</t>
  </si>
  <si>
    <t>illow2</t>
  </si>
  <si>
    <t>illow3</t>
  </si>
  <si>
    <t>Proud Lake</t>
  </si>
  <si>
    <t>plint</t>
  </si>
  <si>
    <t>E</t>
  </si>
  <si>
    <t>plint2</t>
  </si>
  <si>
    <t>plint3</t>
  </si>
  <si>
    <t>Highland Lake</t>
  </si>
  <si>
    <t>hlmat</t>
  </si>
  <si>
    <t>EE</t>
  </si>
  <si>
    <t>hlmat2</t>
  </si>
  <si>
    <t>hlmat3</t>
  </si>
  <si>
    <t>pldrymat</t>
  </si>
  <si>
    <t>F</t>
  </si>
  <si>
    <t>pldrymat2</t>
  </si>
  <si>
    <t>pldrymat2A</t>
  </si>
  <si>
    <t>plconf</t>
  </si>
  <si>
    <t>G</t>
  </si>
  <si>
    <t>pldrymat3</t>
  </si>
  <si>
    <t>pldrymat3A</t>
  </si>
  <si>
    <t>plwet</t>
  </si>
  <si>
    <t>H</t>
  </si>
  <si>
    <t>plwet2</t>
  </si>
  <si>
    <t>plwet3</t>
  </si>
  <si>
    <t>kenwet</t>
  </si>
  <si>
    <t>I</t>
  </si>
  <si>
    <t>kenwet2</t>
  </si>
  <si>
    <t>kenwet4</t>
  </si>
  <si>
    <t>kenwet3</t>
  </si>
  <si>
    <t>J</t>
  </si>
  <si>
    <t>kenwet3A</t>
  </si>
  <si>
    <t>kenwet3B</t>
  </si>
  <si>
    <t>Brighton</t>
  </si>
  <si>
    <t>brint2</t>
  </si>
  <si>
    <t>K</t>
  </si>
  <si>
    <t>brint2A</t>
  </si>
  <si>
    <t>brint2B</t>
  </si>
  <si>
    <t>Pontiac Lake</t>
  </si>
  <si>
    <t>ponup</t>
  </si>
  <si>
    <t>L</t>
  </si>
  <si>
    <t>ponup2</t>
  </si>
  <si>
    <t>ponup3</t>
  </si>
  <si>
    <t>ponhd</t>
  </si>
  <si>
    <t>M</t>
  </si>
  <si>
    <t>ponhd2</t>
  </si>
  <si>
    <t>ponhd3</t>
  </si>
  <si>
    <t>poneast</t>
  </si>
  <si>
    <t>N</t>
  </si>
  <si>
    <t>poneast2</t>
  </si>
  <si>
    <t>poneast3</t>
  </si>
  <si>
    <t>ponrt</t>
  </si>
  <si>
    <t>O</t>
  </si>
  <si>
    <t>ponrt2</t>
  </si>
  <si>
    <t>ponrt3</t>
  </si>
  <si>
    <t>ilrip</t>
  </si>
  <si>
    <t>P</t>
  </si>
  <si>
    <t>ilrip2</t>
  </si>
  <si>
    <t>ilrip3</t>
  </si>
  <si>
    <t>ilcc</t>
  </si>
  <si>
    <t>Q</t>
  </si>
  <si>
    <t>ilcc2</t>
  </si>
  <si>
    <t>ilcc3</t>
  </si>
  <si>
    <t>Indian Springs</t>
  </si>
  <si>
    <t>ismatdry</t>
  </si>
  <si>
    <t>R</t>
  </si>
  <si>
    <t>ismatdry2</t>
  </si>
  <si>
    <t>ismatdry3</t>
  </si>
  <si>
    <t>isld</t>
  </si>
  <si>
    <t>S</t>
  </si>
  <si>
    <t>isld2</t>
  </si>
  <si>
    <t>isld3</t>
  </si>
  <si>
    <t>ismatde</t>
  </si>
  <si>
    <t>T</t>
  </si>
  <si>
    <t>ismatde2</t>
  </si>
  <si>
    <t>ismatde3</t>
  </si>
  <si>
    <t>isrip</t>
  </si>
  <si>
    <t>U</t>
  </si>
  <si>
    <t>isrip2</t>
  </si>
  <si>
    <t>isrip3</t>
  </si>
  <si>
    <t>isopen</t>
  </si>
  <si>
    <t>V</t>
  </si>
  <si>
    <t>isopen2</t>
  </si>
  <si>
    <t>isopen3</t>
  </si>
  <si>
    <t>hlmatfr</t>
  </si>
  <si>
    <t>W</t>
  </si>
  <si>
    <t>hlmatfr2</t>
  </si>
  <si>
    <t>hlmatfr3</t>
  </si>
  <si>
    <t>hlrip</t>
  </si>
  <si>
    <t>X</t>
  </si>
  <si>
    <t>hlrip2</t>
  </si>
  <si>
    <t>hlrip3</t>
  </si>
  <si>
    <t>hlup</t>
  </si>
  <si>
    <t>Y</t>
  </si>
  <si>
    <t>hlup2</t>
  </si>
  <si>
    <t>hlup3</t>
  </si>
  <si>
    <t>hmmat</t>
  </si>
  <si>
    <t>Z</t>
  </si>
  <si>
    <t>hmmat2</t>
  </si>
  <si>
    <t>hmmat3</t>
  </si>
  <si>
    <t>ponnew</t>
  </si>
  <si>
    <t>ZA</t>
  </si>
  <si>
    <t>ponnew2</t>
  </si>
  <si>
    <t>ponnew3</t>
  </si>
  <si>
    <t>ponrd</t>
  </si>
  <si>
    <t>ZB</t>
  </si>
  <si>
    <t>ponrd2</t>
  </si>
  <si>
    <t>ponrd3</t>
  </si>
  <si>
    <t>ponwh</t>
  </si>
  <si>
    <t>ZC</t>
  </si>
  <si>
    <t>ponwh2</t>
  </si>
  <si>
    <t>ponwh3</t>
  </si>
  <si>
    <t>isbr</t>
  </si>
  <si>
    <t>ZD</t>
  </si>
  <si>
    <t>isbr2</t>
  </si>
  <si>
    <t>isbr3</t>
  </si>
  <si>
    <t>isbrs</t>
  </si>
  <si>
    <t>ZE</t>
  </si>
  <si>
    <t>isbrs2</t>
  </si>
  <si>
    <t>isbrs3</t>
  </si>
  <si>
    <t>iswh</t>
  </si>
  <si>
    <t>ZF</t>
  </si>
  <si>
    <t>iswh2</t>
  </si>
  <si>
    <t>iswh3</t>
  </si>
  <si>
    <t>kennew</t>
  </si>
  <si>
    <t>ZG</t>
  </si>
  <si>
    <t>kennew2</t>
  </si>
  <si>
    <t>kennew3</t>
  </si>
  <si>
    <t>hlnac</t>
  </si>
  <si>
    <t>ZH</t>
  </si>
  <si>
    <t>hlnac2</t>
  </si>
  <si>
    <t>hlnac3</t>
  </si>
  <si>
    <t>hlnae</t>
  </si>
  <si>
    <t>ZI</t>
  </si>
  <si>
    <t>hlnae2</t>
  </si>
  <si>
    <t>hlnae3</t>
  </si>
  <si>
    <t>ponnae</t>
  </si>
  <si>
    <t>ZJ</t>
  </si>
  <si>
    <t>ponnae2</t>
  </si>
  <si>
    <t>ponnae3</t>
  </si>
  <si>
    <t>plna</t>
  </si>
  <si>
    <t>ZK</t>
  </si>
  <si>
    <t>plna2</t>
  </si>
  <si>
    <t>plna3</t>
  </si>
  <si>
    <t>kenna</t>
  </si>
  <si>
    <t>ZL</t>
  </si>
  <si>
    <t>kenna2</t>
  </si>
  <si>
    <t>kenna3</t>
  </si>
  <si>
    <r>
      <t xml:space="preserve">Total Basal Area by Species - </t>
    </r>
    <r>
      <rPr>
        <sz val="11"/>
        <color indexed="8"/>
        <rFont val="Calibri"/>
        <family val="2"/>
      </rPr>
      <t>≥</t>
    </r>
    <r>
      <rPr>
        <sz val="11"/>
        <color theme="1"/>
        <rFont val="Calibri"/>
        <family val="2"/>
        <scheme val="minor"/>
      </rPr>
      <t xml:space="preserve"> 12.5 cm DBH - 2008 - 2010</t>
    </r>
  </si>
  <si>
    <t>ACER</t>
  </si>
  <si>
    <t>CARYA</t>
  </si>
  <si>
    <t>FRAXINUS</t>
  </si>
  <si>
    <t>JUGLANS</t>
  </si>
  <si>
    <t>POPULUS</t>
  </si>
  <si>
    <t>PRUNUS</t>
  </si>
  <si>
    <t>QUERCUS</t>
  </si>
  <si>
    <t>ULMUS</t>
  </si>
  <si>
    <t>SUM</t>
  </si>
  <si>
    <t>RELATIVE DOMINANCE by transect</t>
  </si>
  <si>
    <t>ABSOLUTE FREQ</t>
  </si>
  <si>
    <t>RELATIVE FREQ</t>
  </si>
  <si>
    <t>RELATIVE DENSITY by transect</t>
  </si>
  <si>
    <t>RELATIVE DENSITY by plot</t>
  </si>
  <si>
    <t>SUJM</t>
  </si>
  <si>
    <t>RELATIVE FREQ (Max of 100 for any one species)</t>
  </si>
  <si>
    <t>RELATIVE DENSITY by transect (Max of 100 for any one species)</t>
  </si>
  <si>
    <t>RELATIVE DOMINANCE by transect (Max of 100 for any one species)</t>
  </si>
  <si>
    <t>IMPORTANCE VALUE (Max of 300 for any one species) - Rel Frequency + Relative Density + Relative Dominance</t>
  </si>
  <si>
    <t>FRAX_Rdens</t>
  </si>
  <si>
    <t>FRAX_#</t>
  </si>
  <si>
    <t>FRAX_BA</t>
  </si>
  <si>
    <t>FRAX_Rdom</t>
  </si>
  <si>
    <r>
      <t>RELATIVE DOMINANCE (= RBA) by plot (</t>
    </r>
    <r>
      <rPr>
        <b/>
        <sz val="11"/>
        <color theme="1"/>
        <rFont val="Calibri"/>
        <family val="2"/>
      </rPr>
      <t>≥ 12.5 cm dbh)</t>
    </r>
  </si>
  <si>
    <r>
      <t xml:space="preserve">Ash </t>
    </r>
    <r>
      <rPr>
        <b/>
        <sz val="11"/>
        <color indexed="8"/>
        <rFont val="Calibri"/>
        <family val="2"/>
      </rPr>
      <t>≥</t>
    </r>
    <r>
      <rPr>
        <b/>
        <sz val="11"/>
        <color theme="1"/>
        <rFont val="Calibri"/>
        <family val="2"/>
        <scheme val="minor"/>
      </rPr>
      <t xml:space="preserve"> 12.5 cm DBH - 2008 - 2010 (characterization data)</t>
    </r>
  </si>
  <si>
    <t>FRAX_IV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</si>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</sst>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5" fillId="0" borderId="0" xfId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1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2" fontId="0" fillId="0" borderId="0" xfId="0" applyNumberFormat="1"/>
    <xf numFmtId="0" fontId="7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2" fillId="0" borderId="0" xfId="0" applyFont="1" applyAlignment="1">
      <alignment horizontal="center"/>
    </xf>
    <xf numFmtId="2" fontId="2" fillId="0" borderId="0" xfId="0" applyNumberFormat="1" applyFont="1"/>
    <xf numFmtId="2" fontId="0" fillId="0" borderId="0" xfId="0" applyNumberFormat="1" applyAlignment="1">
      <alignment horizontal="center"/>
    </xf>
  </cellXfs>
  <cellStyles count="2">
    <cellStyle name="Normal" xfId="0" builtinId="0"/>
    <cellStyle name="Normal_master plot log_revised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3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D38" sqref="D38"/>
    </sheetView>
  </sheetViews>
  <sheetFormatPr defaultRowHeight="14.5" x14ac:dyDescent="0.35"/>
  <cols>
    <col min="47" max="47" width="9.1796875" style="15"/>
  </cols>
  <sheetData>
    <row r="1" spans="1:69" x14ac:dyDescent="0.35">
      <c r="A1" s="1" t="s">
        <v>0</v>
      </c>
      <c r="B1" s="1"/>
      <c r="C1" s="1"/>
      <c r="D1" s="1"/>
      <c r="E1" s="1"/>
      <c r="AA1" s="15" t="s">
        <v>212</v>
      </c>
      <c r="AW1" s="15" t="s">
        <v>213</v>
      </c>
    </row>
    <row r="2" spans="1:69" s="9" customFormat="1" x14ac:dyDescent="0.3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10" t="s">
        <v>202</v>
      </c>
      <c r="G2" s="7" t="s">
        <v>6</v>
      </c>
      <c r="H2" s="7" t="s">
        <v>7</v>
      </c>
      <c r="I2" s="7" t="s">
        <v>8</v>
      </c>
      <c r="J2" s="10" t="s">
        <v>203</v>
      </c>
      <c r="K2" s="7" t="s">
        <v>9</v>
      </c>
      <c r="L2" s="7" t="s">
        <v>204</v>
      </c>
      <c r="M2" s="10" t="s">
        <v>205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10" t="s">
        <v>206</v>
      </c>
      <c r="T2" s="10" t="s">
        <v>207</v>
      </c>
      <c r="U2" s="7" t="s">
        <v>208</v>
      </c>
      <c r="V2" s="7" t="s">
        <v>15</v>
      </c>
      <c r="W2" s="7" t="s">
        <v>16</v>
      </c>
      <c r="X2" s="7" t="s">
        <v>17</v>
      </c>
      <c r="Y2" s="10" t="s">
        <v>209</v>
      </c>
      <c r="AA2" s="10" t="s">
        <v>202</v>
      </c>
      <c r="AB2" s="7" t="s">
        <v>6</v>
      </c>
      <c r="AC2" s="7" t="s">
        <v>7</v>
      </c>
      <c r="AD2" s="7" t="s">
        <v>8</v>
      </c>
      <c r="AE2" s="10" t="s">
        <v>203</v>
      </c>
      <c r="AF2" s="7" t="s">
        <v>9</v>
      </c>
      <c r="AG2" s="7" t="s">
        <v>204</v>
      </c>
      <c r="AH2" s="10" t="s">
        <v>205</v>
      </c>
      <c r="AI2" s="7" t="s">
        <v>10</v>
      </c>
      <c r="AJ2" s="7" t="s">
        <v>11</v>
      </c>
      <c r="AK2" s="7" t="s">
        <v>12</v>
      </c>
      <c r="AL2" s="7" t="s">
        <v>13</v>
      </c>
      <c r="AM2" s="7" t="s">
        <v>14</v>
      </c>
      <c r="AN2" s="10" t="s">
        <v>206</v>
      </c>
      <c r="AO2" s="10" t="s">
        <v>207</v>
      </c>
      <c r="AP2" s="7" t="s">
        <v>208</v>
      </c>
      <c r="AQ2" s="7" t="s">
        <v>15</v>
      </c>
      <c r="AR2" s="7" t="s">
        <v>16</v>
      </c>
      <c r="AS2" s="7" t="s">
        <v>17</v>
      </c>
      <c r="AT2" s="10" t="s">
        <v>209</v>
      </c>
      <c r="AU2" s="17" t="s">
        <v>210</v>
      </c>
      <c r="AW2" s="10" t="s">
        <v>202</v>
      </c>
      <c r="AX2" s="7" t="s">
        <v>6</v>
      </c>
      <c r="AY2" s="7" t="s">
        <v>7</v>
      </c>
      <c r="AZ2" s="7" t="s">
        <v>8</v>
      </c>
      <c r="BA2" s="10" t="s">
        <v>203</v>
      </c>
      <c r="BB2" s="7" t="s">
        <v>9</v>
      </c>
      <c r="BC2" s="7" t="s">
        <v>204</v>
      </c>
      <c r="BD2" s="10" t="s">
        <v>205</v>
      </c>
      <c r="BE2" s="7" t="s">
        <v>10</v>
      </c>
      <c r="BF2" s="7" t="s">
        <v>11</v>
      </c>
      <c r="BG2" s="7" t="s">
        <v>12</v>
      </c>
      <c r="BH2" s="7" t="s">
        <v>13</v>
      </c>
      <c r="BI2" s="7" t="s">
        <v>14</v>
      </c>
      <c r="BJ2" s="10" t="s">
        <v>206</v>
      </c>
      <c r="BK2" s="10" t="s">
        <v>207</v>
      </c>
      <c r="BL2" s="7" t="s">
        <v>208</v>
      </c>
      <c r="BM2" s="7" t="s">
        <v>15</v>
      </c>
      <c r="BN2" s="7" t="s">
        <v>16</v>
      </c>
      <c r="BO2" s="7" t="s">
        <v>17</v>
      </c>
      <c r="BP2" s="10" t="s">
        <v>209</v>
      </c>
      <c r="BQ2" s="9" t="s">
        <v>210</v>
      </c>
    </row>
    <row r="3" spans="1:69" x14ac:dyDescent="0.35">
      <c r="A3" s="1" t="s">
        <v>18</v>
      </c>
      <c r="B3" s="1">
        <v>1</v>
      </c>
      <c r="C3" s="1" t="s">
        <v>19</v>
      </c>
      <c r="D3" s="1" t="s">
        <v>20</v>
      </c>
      <c r="E3" s="3" t="s">
        <v>21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23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2</v>
      </c>
      <c r="T3" s="4">
        <v>16</v>
      </c>
      <c r="U3" s="4">
        <v>19</v>
      </c>
      <c r="V3" s="4">
        <v>0</v>
      </c>
      <c r="W3" s="4">
        <v>0</v>
      </c>
      <c r="X3" s="4">
        <v>4</v>
      </c>
      <c r="Y3" s="4">
        <v>1</v>
      </c>
      <c r="AA3">
        <f t="shared" ref="AA3:AT3" si="0">(COUNTIF(F3:F5, "&gt;0"))/3</f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0.33333333333333331</v>
      </c>
      <c r="AF3">
        <f t="shared" si="0"/>
        <v>0</v>
      </c>
      <c r="AG3">
        <f t="shared" si="0"/>
        <v>1</v>
      </c>
      <c r="AH3">
        <f t="shared" si="0"/>
        <v>0.66666666666666663</v>
      </c>
      <c r="AI3">
        <f t="shared" si="0"/>
        <v>0</v>
      </c>
      <c r="AJ3">
        <f t="shared" si="0"/>
        <v>0</v>
      </c>
      <c r="AK3">
        <f t="shared" si="0"/>
        <v>0</v>
      </c>
      <c r="AL3">
        <f t="shared" si="0"/>
        <v>0</v>
      </c>
      <c r="AM3">
        <f t="shared" si="0"/>
        <v>0</v>
      </c>
      <c r="AN3">
        <f t="shared" si="0"/>
        <v>0.33333333333333331</v>
      </c>
      <c r="AO3">
        <f t="shared" si="0"/>
        <v>0.66666666666666663</v>
      </c>
      <c r="AP3">
        <f t="shared" si="0"/>
        <v>0.66666666666666663</v>
      </c>
      <c r="AQ3">
        <f t="shared" si="0"/>
        <v>0</v>
      </c>
      <c r="AR3">
        <f t="shared" si="0"/>
        <v>0</v>
      </c>
      <c r="AS3">
        <f t="shared" si="0"/>
        <v>0.66666666666666663</v>
      </c>
      <c r="AT3">
        <f t="shared" si="0"/>
        <v>1</v>
      </c>
      <c r="AU3" s="15">
        <f>SUM(AA3:AT3)</f>
        <v>5.333333333333333</v>
      </c>
      <c r="AW3">
        <f t="shared" ref="AW3:BP3" si="1">(AA3/$AU3)*100</f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1"/>
        <v>6.25</v>
      </c>
      <c r="BB3">
        <f t="shared" si="1"/>
        <v>0</v>
      </c>
      <c r="BC3">
        <f t="shared" si="1"/>
        <v>18.75</v>
      </c>
      <c r="BD3">
        <f t="shared" si="1"/>
        <v>12.5</v>
      </c>
      <c r="BE3">
        <f t="shared" si="1"/>
        <v>0</v>
      </c>
      <c r="BF3">
        <f t="shared" si="1"/>
        <v>0</v>
      </c>
      <c r="BG3">
        <f t="shared" si="1"/>
        <v>0</v>
      </c>
      <c r="BH3">
        <f t="shared" si="1"/>
        <v>0</v>
      </c>
      <c r="BI3">
        <f t="shared" si="1"/>
        <v>0</v>
      </c>
      <c r="BJ3">
        <f t="shared" si="1"/>
        <v>6.25</v>
      </c>
      <c r="BK3">
        <f t="shared" si="1"/>
        <v>12.5</v>
      </c>
      <c r="BL3">
        <f t="shared" si="1"/>
        <v>12.5</v>
      </c>
      <c r="BM3">
        <f t="shared" si="1"/>
        <v>0</v>
      </c>
      <c r="BN3">
        <f t="shared" si="1"/>
        <v>0</v>
      </c>
      <c r="BO3">
        <f t="shared" si="1"/>
        <v>12.5</v>
      </c>
      <c r="BP3">
        <f t="shared" si="1"/>
        <v>18.75</v>
      </c>
      <c r="BQ3">
        <f>SUM(AW3:BP3)</f>
        <v>100</v>
      </c>
    </row>
    <row r="4" spans="1:69" x14ac:dyDescent="0.35">
      <c r="A4" s="1" t="s">
        <v>18</v>
      </c>
      <c r="B4" s="1">
        <v>2</v>
      </c>
      <c r="C4" s="1" t="s">
        <v>22</v>
      </c>
      <c r="D4" s="1" t="s">
        <v>20</v>
      </c>
      <c r="E4" s="3" t="s">
        <v>21</v>
      </c>
      <c r="F4" s="4">
        <v>0</v>
      </c>
      <c r="G4" s="4">
        <v>0</v>
      </c>
      <c r="H4" s="4">
        <v>0</v>
      </c>
      <c r="I4" s="4">
        <v>0</v>
      </c>
      <c r="J4" s="4">
        <v>6</v>
      </c>
      <c r="K4" s="4">
        <v>0</v>
      </c>
      <c r="L4" s="4">
        <v>26</v>
      </c>
      <c r="M4" s="4">
        <v>6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2</v>
      </c>
      <c r="V4" s="4">
        <v>0</v>
      </c>
      <c r="W4" s="4">
        <v>0</v>
      </c>
      <c r="X4" s="4">
        <v>7</v>
      </c>
      <c r="Y4" s="4">
        <v>4</v>
      </c>
    </row>
    <row r="5" spans="1:69" x14ac:dyDescent="0.35">
      <c r="A5" s="1" t="s">
        <v>18</v>
      </c>
      <c r="B5" s="1">
        <v>3</v>
      </c>
      <c r="C5" s="1" t="s">
        <v>23</v>
      </c>
      <c r="D5" s="1" t="s">
        <v>20</v>
      </c>
      <c r="E5" s="3" t="s">
        <v>21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15</v>
      </c>
      <c r="M5" s="4">
        <v>10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1</v>
      </c>
      <c r="U5" s="4">
        <v>0</v>
      </c>
      <c r="V5" s="4">
        <v>0</v>
      </c>
      <c r="W5" s="4">
        <v>0</v>
      </c>
      <c r="X5" s="4">
        <v>0</v>
      </c>
      <c r="Y5" s="4">
        <v>2</v>
      </c>
    </row>
    <row r="6" spans="1:69" x14ac:dyDescent="0.35">
      <c r="A6" s="1" t="s">
        <v>24</v>
      </c>
      <c r="B6" s="1">
        <v>4</v>
      </c>
      <c r="C6" s="1" t="s">
        <v>25</v>
      </c>
      <c r="D6" s="1" t="s">
        <v>26</v>
      </c>
      <c r="E6" s="3" t="s">
        <v>27</v>
      </c>
      <c r="F6" s="4">
        <v>1</v>
      </c>
      <c r="G6" s="4">
        <v>0</v>
      </c>
      <c r="H6" s="4">
        <v>0</v>
      </c>
      <c r="I6" s="4">
        <v>0</v>
      </c>
      <c r="J6" s="4">
        <v>2</v>
      </c>
      <c r="K6" s="4">
        <v>0</v>
      </c>
      <c r="L6" s="4">
        <v>8</v>
      </c>
      <c r="M6" s="4">
        <v>1</v>
      </c>
      <c r="N6" s="4">
        <v>0</v>
      </c>
      <c r="O6" s="4">
        <v>0</v>
      </c>
      <c r="P6" s="4">
        <v>0</v>
      </c>
      <c r="Q6" s="4">
        <v>1</v>
      </c>
      <c r="R6" s="4">
        <v>0</v>
      </c>
      <c r="S6" s="4">
        <v>4</v>
      </c>
      <c r="T6" s="4">
        <v>3</v>
      </c>
      <c r="U6" s="4">
        <v>12</v>
      </c>
      <c r="V6" s="4">
        <v>0</v>
      </c>
      <c r="W6" s="4">
        <v>4</v>
      </c>
      <c r="X6" s="4">
        <v>0</v>
      </c>
      <c r="Y6" s="4">
        <v>5</v>
      </c>
      <c r="AA6">
        <f t="shared" ref="AA6:AT6" si="2">(COUNTIF(F6:F8, "&gt;0"))/3</f>
        <v>0.33333333333333331</v>
      </c>
      <c r="AB6">
        <f t="shared" si="2"/>
        <v>0</v>
      </c>
      <c r="AC6">
        <f t="shared" si="2"/>
        <v>0</v>
      </c>
      <c r="AD6">
        <f t="shared" si="2"/>
        <v>0</v>
      </c>
      <c r="AE6">
        <f t="shared" si="2"/>
        <v>1</v>
      </c>
      <c r="AF6">
        <f t="shared" si="2"/>
        <v>0</v>
      </c>
      <c r="AG6">
        <f t="shared" si="2"/>
        <v>1</v>
      </c>
      <c r="AH6">
        <f t="shared" si="2"/>
        <v>0.33333333333333331</v>
      </c>
      <c r="AI6">
        <f t="shared" si="2"/>
        <v>0</v>
      </c>
      <c r="AJ6">
        <f t="shared" si="2"/>
        <v>0</v>
      </c>
      <c r="AK6">
        <f t="shared" si="2"/>
        <v>0</v>
      </c>
      <c r="AL6">
        <f t="shared" si="2"/>
        <v>0.33333333333333331</v>
      </c>
      <c r="AM6">
        <f t="shared" si="2"/>
        <v>0</v>
      </c>
      <c r="AN6">
        <f t="shared" si="2"/>
        <v>0.66666666666666663</v>
      </c>
      <c r="AO6">
        <f t="shared" si="2"/>
        <v>0.66666666666666663</v>
      </c>
      <c r="AP6">
        <f t="shared" si="2"/>
        <v>1</v>
      </c>
      <c r="AQ6">
        <f t="shared" si="2"/>
        <v>0</v>
      </c>
      <c r="AR6">
        <f t="shared" si="2"/>
        <v>0.66666666666666663</v>
      </c>
      <c r="AS6">
        <f t="shared" si="2"/>
        <v>0.33333333333333331</v>
      </c>
      <c r="AT6">
        <f t="shared" si="2"/>
        <v>1</v>
      </c>
      <c r="AU6" s="15">
        <f>SUM(AA6:AT6)</f>
        <v>7.333333333333333</v>
      </c>
      <c r="AW6">
        <f>(AA6/$AU6)*100</f>
        <v>4.5454545454545459</v>
      </c>
      <c r="AX6">
        <f>(AB6/$AU6)*100</f>
        <v>0</v>
      </c>
      <c r="AY6">
        <f>(AC6/$AU6)*100</f>
        <v>0</v>
      </c>
      <c r="AZ6">
        <f>(AD6/$AU6)*100</f>
        <v>0</v>
      </c>
      <c r="BA6">
        <f>(AE6/$AU6)*100</f>
        <v>13.636363636363638</v>
      </c>
      <c r="BB6">
        <f t="shared" ref="BB6" si="3">(AF6/$AU6)*100</f>
        <v>0</v>
      </c>
      <c r="BC6">
        <f t="shared" ref="BC6" si="4">(AG6/$AU6)*100</f>
        <v>13.636363636363638</v>
      </c>
      <c r="BD6">
        <f t="shared" ref="BD6" si="5">(AH6/$AU6)*100</f>
        <v>4.5454545454545459</v>
      </c>
      <c r="BE6">
        <f t="shared" ref="BE6" si="6">(AI6/$AU6)*100</f>
        <v>0</v>
      </c>
      <c r="BF6">
        <f t="shared" ref="BF6" si="7">(AJ6/$AU6)*100</f>
        <v>0</v>
      </c>
      <c r="BG6">
        <f t="shared" ref="BG6" si="8">(AK6/$AU6)*100</f>
        <v>0</v>
      </c>
      <c r="BH6">
        <f t="shared" ref="BH6" si="9">(AL6/$AU6)*100</f>
        <v>4.5454545454545459</v>
      </c>
      <c r="BI6">
        <f t="shared" ref="BI6" si="10">(AM6/$AU6)*100</f>
        <v>0</v>
      </c>
      <c r="BJ6">
        <f t="shared" ref="BJ6" si="11">(AN6/$AU6)*100</f>
        <v>9.0909090909090917</v>
      </c>
      <c r="BK6">
        <f t="shared" ref="BK6" si="12">(AO6/$AU6)*100</f>
        <v>9.0909090909090917</v>
      </c>
      <c r="BL6">
        <f t="shared" ref="BL6" si="13">(AP6/$AU6)*100</f>
        <v>13.636363636363638</v>
      </c>
      <c r="BM6">
        <f t="shared" ref="BM6" si="14">(AQ6/$AU6)*100</f>
        <v>0</v>
      </c>
      <c r="BN6">
        <f t="shared" ref="BN6" si="15">(AR6/$AU6)*100</f>
        <v>9.0909090909090917</v>
      </c>
      <c r="BO6">
        <f t="shared" ref="BO6" si="16">(AS6/$AU6)*100</f>
        <v>4.5454545454545459</v>
      </c>
      <c r="BP6">
        <f t="shared" ref="BP6" si="17">(AT6/$AU6)*100</f>
        <v>13.636363636363638</v>
      </c>
      <c r="BQ6">
        <f>SUM(AW6:BP6)</f>
        <v>100.00000000000001</v>
      </c>
    </row>
    <row r="7" spans="1:69" x14ac:dyDescent="0.35">
      <c r="A7" s="1" t="s">
        <v>24</v>
      </c>
      <c r="B7" s="1">
        <v>5</v>
      </c>
      <c r="C7" s="1" t="s">
        <v>28</v>
      </c>
      <c r="D7" s="1" t="s">
        <v>26</v>
      </c>
      <c r="E7" s="3" t="s">
        <v>27</v>
      </c>
      <c r="F7" s="4">
        <v>0</v>
      </c>
      <c r="G7" s="4">
        <v>0</v>
      </c>
      <c r="H7" s="4">
        <v>0</v>
      </c>
      <c r="I7" s="4">
        <v>0</v>
      </c>
      <c r="J7" s="4">
        <v>3</v>
      </c>
      <c r="K7" s="4">
        <v>0</v>
      </c>
      <c r="L7" s="4">
        <v>12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4</v>
      </c>
      <c r="U7" s="4">
        <v>25</v>
      </c>
      <c r="V7" s="4">
        <v>0</v>
      </c>
      <c r="W7" s="4">
        <v>0</v>
      </c>
      <c r="X7" s="4">
        <v>13</v>
      </c>
      <c r="Y7" s="4">
        <v>2</v>
      </c>
    </row>
    <row r="8" spans="1:69" x14ac:dyDescent="0.35">
      <c r="A8" s="1" t="s">
        <v>24</v>
      </c>
      <c r="B8" s="1">
        <v>6</v>
      </c>
      <c r="C8" s="1" t="s">
        <v>29</v>
      </c>
      <c r="D8" s="1" t="s">
        <v>26</v>
      </c>
      <c r="E8" s="3" t="s">
        <v>27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0</v>
      </c>
      <c r="L8" s="4">
        <v>30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</v>
      </c>
      <c r="T8" s="4">
        <v>0</v>
      </c>
      <c r="U8" s="4">
        <v>23</v>
      </c>
      <c r="V8" s="4">
        <v>0</v>
      </c>
      <c r="W8" s="4">
        <v>1</v>
      </c>
      <c r="X8" s="4">
        <v>0</v>
      </c>
      <c r="Y8" s="4">
        <v>3</v>
      </c>
    </row>
    <row r="9" spans="1:69" x14ac:dyDescent="0.35">
      <c r="A9" s="1" t="s">
        <v>18</v>
      </c>
      <c r="B9" s="1">
        <v>7</v>
      </c>
      <c r="C9" s="1" t="s">
        <v>30</v>
      </c>
      <c r="D9" s="1" t="s">
        <v>31</v>
      </c>
      <c r="E9" s="3" t="s">
        <v>21</v>
      </c>
      <c r="F9" s="4">
        <v>1</v>
      </c>
      <c r="G9" s="4">
        <v>0</v>
      </c>
      <c r="H9" s="4">
        <v>0</v>
      </c>
      <c r="I9" s="4">
        <v>0</v>
      </c>
      <c r="J9" s="4">
        <v>10</v>
      </c>
      <c r="K9" s="4">
        <v>0</v>
      </c>
      <c r="L9" s="4">
        <v>2</v>
      </c>
      <c r="M9" s="4">
        <v>0</v>
      </c>
      <c r="N9" s="4">
        <v>0</v>
      </c>
      <c r="O9" s="4">
        <v>0</v>
      </c>
      <c r="P9" s="4">
        <v>0</v>
      </c>
      <c r="Q9" s="4">
        <v>1</v>
      </c>
      <c r="R9" s="4">
        <v>0</v>
      </c>
      <c r="S9" s="4">
        <v>0</v>
      </c>
      <c r="T9" s="4">
        <v>1</v>
      </c>
      <c r="U9" s="4">
        <v>11</v>
      </c>
      <c r="V9" s="4">
        <v>0</v>
      </c>
      <c r="W9" s="4">
        <v>0</v>
      </c>
      <c r="X9" s="4">
        <v>3</v>
      </c>
      <c r="Y9" s="4">
        <v>0</v>
      </c>
      <c r="AA9">
        <f t="shared" ref="AA9:AT9" si="18">(COUNTIF(F9:F11, "&gt;0"))/3</f>
        <v>0.66666666666666663</v>
      </c>
      <c r="AB9">
        <f t="shared" si="18"/>
        <v>0</v>
      </c>
      <c r="AC9">
        <f t="shared" si="18"/>
        <v>0</v>
      </c>
      <c r="AD9">
        <f t="shared" si="18"/>
        <v>0</v>
      </c>
      <c r="AE9">
        <f t="shared" si="18"/>
        <v>1</v>
      </c>
      <c r="AF9">
        <f t="shared" si="18"/>
        <v>0.33333333333333331</v>
      </c>
      <c r="AG9">
        <f t="shared" si="18"/>
        <v>1</v>
      </c>
      <c r="AH9">
        <f t="shared" si="18"/>
        <v>0.33333333333333331</v>
      </c>
      <c r="AI9">
        <f t="shared" si="18"/>
        <v>0</v>
      </c>
      <c r="AJ9">
        <f t="shared" si="18"/>
        <v>0</v>
      </c>
      <c r="AK9">
        <f t="shared" si="18"/>
        <v>0</v>
      </c>
      <c r="AL9">
        <f t="shared" si="18"/>
        <v>0.33333333333333331</v>
      </c>
      <c r="AM9">
        <f t="shared" si="18"/>
        <v>0</v>
      </c>
      <c r="AN9">
        <f t="shared" si="18"/>
        <v>0</v>
      </c>
      <c r="AO9">
        <f t="shared" si="18"/>
        <v>0.66666666666666663</v>
      </c>
      <c r="AP9">
        <f t="shared" si="18"/>
        <v>1</v>
      </c>
      <c r="AQ9">
        <f t="shared" si="18"/>
        <v>0</v>
      </c>
      <c r="AR9">
        <f t="shared" si="18"/>
        <v>0</v>
      </c>
      <c r="AS9">
        <f t="shared" si="18"/>
        <v>0.33333333333333331</v>
      </c>
      <c r="AT9">
        <f t="shared" si="18"/>
        <v>0.33333333333333331</v>
      </c>
      <c r="AU9" s="15">
        <f>SUM(AA9:AT9)</f>
        <v>6</v>
      </c>
      <c r="AW9">
        <f>(AA9/$AU9)*100</f>
        <v>11.111111111111111</v>
      </c>
      <c r="AX9">
        <f>(AB9/$AU9)*100</f>
        <v>0</v>
      </c>
      <c r="AY9">
        <f>(AC9/$AU9)*100</f>
        <v>0</v>
      </c>
      <c r="AZ9">
        <f>(AD9/$AU9)*100</f>
        <v>0</v>
      </c>
      <c r="BA9">
        <f>(AE9/$AU9)*100</f>
        <v>16.666666666666664</v>
      </c>
      <c r="BB9">
        <f t="shared" ref="BB9" si="19">(AF9/$AU9)*100</f>
        <v>5.5555555555555554</v>
      </c>
      <c r="BC9">
        <f t="shared" ref="BC9" si="20">(AG9/$AU9)*100</f>
        <v>16.666666666666664</v>
      </c>
      <c r="BD9">
        <f t="shared" ref="BD9" si="21">(AH9/$AU9)*100</f>
        <v>5.5555555555555554</v>
      </c>
      <c r="BE9">
        <f t="shared" ref="BE9" si="22">(AI9/$AU9)*100</f>
        <v>0</v>
      </c>
      <c r="BF9">
        <f t="shared" ref="BF9" si="23">(AJ9/$AU9)*100</f>
        <v>0</v>
      </c>
      <c r="BG9">
        <f t="shared" ref="BG9" si="24">(AK9/$AU9)*100</f>
        <v>0</v>
      </c>
      <c r="BH9">
        <f t="shared" ref="BH9" si="25">(AL9/$AU9)*100</f>
        <v>5.5555555555555554</v>
      </c>
      <c r="BI9">
        <f t="shared" ref="BI9" si="26">(AM9/$AU9)*100</f>
        <v>0</v>
      </c>
      <c r="BJ9">
        <f t="shared" ref="BJ9" si="27">(AN9/$AU9)*100</f>
        <v>0</v>
      </c>
      <c r="BK9">
        <f t="shared" ref="BK9" si="28">(AO9/$AU9)*100</f>
        <v>11.111111111111111</v>
      </c>
      <c r="BL9">
        <f t="shared" ref="BL9" si="29">(AP9/$AU9)*100</f>
        <v>16.666666666666664</v>
      </c>
      <c r="BM9">
        <f t="shared" ref="BM9" si="30">(AQ9/$AU9)*100</f>
        <v>0</v>
      </c>
      <c r="BN9">
        <f t="shared" ref="BN9" si="31">(AR9/$AU9)*100</f>
        <v>0</v>
      </c>
      <c r="BO9">
        <f t="shared" ref="BO9" si="32">(AS9/$AU9)*100</f>
        <v>5.5555555555555554</v>
      </c>
      <c r="BP9">
        <f t="shared" ref="BP9" si="33">(AT9/$AU9)*100</f>
        <v>5.5555555555555554</v>
      </c>
      <c r="BQ9">
        <f>SUM(AW9:BP9)</f>
        <v>100</v>
      </c>
    </row>
    <row r="10" spans="1:69" x14ac:dyDescent="0.35">
      <c r="A10" s="1" t="s">
        <v>18</v>
      </c>
      <c r="B10" s="1">
        <v>8</v>
      </c>
      <c r="C10" s="1" t="s">
        <v>32</v>
      </c>
      <c r="D10" s="1" t="s">
        <v>31</v>
      </c>
      <c r="E10" s="3" t="s">
        <v>21</v>
      </c>
      <c r="F10" s="4">
        <v>0</v>
      </c>
      <c r="G10" s="4">
        <v>0</v>
      </c>
      <c r="H10" s="4">
        <v>0</v>
      </c>
      <c r="I10" s="4">
        <v>0</v>
      </c>
      <c r="J10" s="4">
        <v>14</v>
      </c>
      <c r="K10" s="4">
        <v>0</v>
      </c>
      <c r="L10" s="4">
        <v>12</v>
      </c>
      <c r="M10" s="4">
        <v>1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8</v>
      </c>
      <c r="V10" s="4">
        <v>0</v>
      </c>
      <c r="W10" s="4">
        <v>0</v>
      </c>
      <c r="X10" s="4">
        <v>0</v>
      </c>
      <c r="Y10" s="4">
        <v>2</v>
      </c>
    </row>
    <row r="11" spans="1:69" x14ac:dyDescent="0.35">
      <c r="A11" s="1" t="s">
        <v>18</v>
      </c>
      <c r="B11" s="1">
        <v>9</v>
      </c>
      <c r="C11" s="1" t="s">
        <v>33</v>
      </c>
      <c r="D11" s="1" t="s">
        <v>31</v>
      </c>
      <c r="E11" s="3" t="s">
        <v>21</v>
      </c>
      <c r="F11" s="4">
        <v>1</v>
      </c>
      <c r="G11" s="4">
        <v>0</v>
      </c>
      <c r="H11" s="4">
        <v>0</v>
      </c>
      <c r="I11" s="4">
        <v>0</v>
      </c>
      <c r="J11" s="4">
        <v>7</v>
      </c>
      <c r="K11" s="4">
        <v>4</v>
      </c>
      <c r="L11" s="4">
        <v>3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1</v>
      </c>
      <c r="U11" s="4">
        <v>15</v>
      </c>
      <c r="V11" s="4">
        <v>0</v>
      </c>
      <c r="W11" s="4">
        <v>0</v>
      </c>
      <c r="X11" s="4">
        <v>0</v>
      </c>
      <c r="Y11" s="4">
        <v>0</v>
      </c>
    </row>
    <row r="12" spans="1:69" x14ac:dyDescent="0.35">
      <c r="A12" s="1" t="s">
        <v>24</v>
      </c>
      <c r="B12" s="1">
        <v>10</v>
      </c>
      <c r="C12" s="1" t="s">
        <v>34</v>
      </c>
      <c r="D12" s="1" t="s">
        <v>35</v>
      </c>
      <c r="E12" s="3" t="s">
        <v>21</v>
      </c>
      <c r="F12" s="4">
        <v>0</v>
      </c>
      <c r="G12" s="4">
        <v>0</v>
      </c>
      <c r="H12" s="4">
        <v>0</v>
      </c>
      <c r="I12" s="4">
        <v>0</v>
      </c>
      <c r="J12" s="4">
        <v>4</v>
      </c>
      <c r="K12" s="4">
        <v>0</v>
      </c>
      <c r="L12" s="4">
        <v>7</v>
      </c>
      <c r="M12" s="4">
        <v>6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12</v>
      </c>
      <c r="T12" s="4">
        <v>6</v>
      </c>
      <c r="U12" s="4">
        <v>2</v>
      </c>
      <c r="V12" s="4">
        <v>0</v>
      </c>
      <c r="W12" s="4">
        <v>0</v>
      </c>
      <c r="X12" s="4">
        <v>21</v>
      </c>
      <c r="Y12" s="4">
        <v>6</v>
      </c>
      <c r="AA12">
        <f t="shared" ref="AA12:AT12" si="34">(COUNTIF(F12:F14, "&gt;0"))/3</f>
        <v>0.66666666666666663</v>
      </c>
      <c r="AB12">
        <f t="shared" si="34"/>
        <v>0.33333333333333331</v>
      </c>
      <c r="AC12">
        <f t="shared" si="34"/>
        <v>0</v>
      </c>
      <c r="AD12">
        <f t="shared" si="34"/>
        <v>0</v>
      </c>
      <c r="AE12">
        <f t="shared" si="34"/>
        <v>1</v>
      </c>
      <c r="AF12">
        <f t="shared" si="34"/>
        <v>0</v>
      </c>
      <c r="AG12">
        <f t="shared" si="34"/>
        <v>1</v>
      </c>
      <c r="AH12">
        <f t="shared" si="34"/>
        <v>0.66666666666666663</v>
      </c>
      <c r="AI12">
        <f t="shared" si="34"/>
        <v>0</v>
      </c>
      <c r="AJ12">
        <f t="shared" si="34"/>
        <v>0</v>
      </c>
      <c r="AK12">
        <f t="shared" si="34"/>
        <v>0.33333333333333331</v>
      </c>
      <c r="AL12">
        <f t="shared" si="34"/>
        <v>0.33333333333333331</v>
      </c>
      <c r="AM12">
        <f t="shared" si="34"/>
        <v>0</v>
      </c>
      <c r="AN12">
        <f t="shared" si="34"/>
        <v>0.33333333333333331</v>
      </c>
      <c r="AO12">
        <f t="shared" si="34"/>
        <v>1</v>
      </c>
      <c r="AP12">
        <f t="shared" si="34"/>
        <v>1</v>
      </c>
      <c r="AQ12">
        <f t="shared" si="34"/>
        <v>0</v>
      </c>
      <c r="AR12">
        <f t="shared" si="34"/>
        <v>0.33333333333333331</v>
      </c>
      <c r="AS12">
        <f t="shared" si="34"/>
        <v>1</v>
      </c>
      <c r="AT12">
        <f t="shared" si="34"/>
        <v>1</v>
      </c>
      <c r="AU12" s="15">
        <f>SUM(AA12:AT12)</f>
        <v>9</v>
      </c>
      <c r="AW12">
        <f>(AA12/$AU12)*100</f>
        <v>7.4074074074074066</v>
      </c>
      <c r="AX12">
        <f>(AB12/$AU12)*100</f>
        <v>3.7037037037037033</v>
      </c>
      <c r="AY12">
        <f>(AC12/$AU12)*100</f>
        <v>0</v>
      </c>
      <c r="AZ12">
        <f>(AD12/$AU12)*100</f>
        <v>0</v>
      </c>
      <c r="BA12">
        <f>(AE12/$AU12)*100</f>
        <v>11.111111111111111</v>
      </c>
      <c r="BB12">
        <f t="shared" ref="BB12" si="35">(AF12/$AU12)*100</f>
        <v>0</v>
      </c>
      <c r="BC12">
        <f t="shared" ref="BC12" si="36">(AG12/$AU12)*100</f>
        <v>11.111111111111111</v>
      </c>
      <c r="BD12">
        <f t="shared" ref="BD12" si="37">(AH12/$AU12)*100</f>
        <v>7.4074074074074066</v>
      </c>
      <c r="BE12">
        <f t="shared" ref="BE12" si="38">(AI12/$AU12)*100</f>
        <v>0</v>
      </c>
      <c r="BF12">
        <f t="shared" ref="BF12" si="39">(AJ12/$AU12)*100</f>
        <v>0</v>
      </c>
      <c r="BG12">
        <f t="shared" ref="BG12" si="40">(AK12/$AU12)*100</f>
        <v>3.7037037037037033</v>
      </c>
      <c r="BH12">
        <f t="shared" ref="BH12" si="41">(AL12/$AU12)*100</f>
        <v>3.7037037037037033</v>
      </c>
      <c r="BI12">
        <f t="shared" ref="BI12" si="42">(AM12/$AU12)*100</f>
        <v>0</v>
      </c>
      <c r="BJ12">
        <f t="shared" ref="BJ12" si="43">(AN12/$AU12)*100</f>
        <v>3.7037037037037033</v>
      </c>
      <c r="BK12">
        <f t="shared" ref="BK12" si="44">(AO12/$AU12)*100</f>
        <v>11.111111111111111</v>
      </c>
      <c r="BL12">
        <f t="shared" ref="BL12" si="45">(AP12/$AU12)*100</f>
        <v>11.111111111111111</v>
      </c>
      <c r="BM12">
        <f t="shared" ref="BM12" si="46">(AQ12/$AU12)*100</f>
        <v>0</v>
      </c>
      <c r="BN12">
        <f t="shared" ref="BN12" si="47">(AR12/$AU12)*100</f>
        <v>3.7037037037037033</v>
      </c>
      <c r="BO12">
        <f t="shared" ref="BO12" si="48">(AS12/$AU12)*100</f>
        <v>11.111111111111111</v>
      </c>
      <c r="BP12">
        <f t="shared" ref="BP12" si="49">(AT12/$AU12)*100</f>
        <v>11.111111111111111</v>
      </c>
      <c r="BQ12">
        <f>SUM(AW12:BP12)</f>
        <v>100</v>
      </c>
    </row>
    <row r="13" spans="1:69" x14ac:dyDescent="0.35">
      <c r="A13" s="1" t="s">
        <v>24</v>
      </c>
      <c r="B13" s="1">
        <v>11</v>
      </c>
      <c r="C13" s="1" t="s">
        <v>36</v>
      </c>
      <c r="D13" s="1" t="s">
        <v>35</v>
      </c>
      <c r="E13" s="3" t="s">
        <v>21</v>
      </c>
      <c r="F13" s="4">
        <v>5</v>
      </c>
      <c r="G13" s="4">
        <v>0</v>
      </c>
      <c r="H13" s="4">
        <v>0</v>
      </c>
      <c r="I13" s="4">
        <v>0</v>
      </c>
      <c r="J13" s="4">
        <v>7</v>
      </c>
      <c r="K13" s="4">
        <v>0</v>
      </c>
      <c r="L13" s="4">
        <v>5</v>
      </c>
      <c r="M13" s="4">
        <v>1</v>
      </c>
      <c r="N13" s="4">
        <v>0</v>
      </c>
      <c r="O13" s="4">
        <v>0</v>
      </c>
      <c r="P13" s="4">
        <v>0</v>
      </c>
      <c r="Q13" s="4">
        <v>2</v>
      </c>
      <c r="R13" s="4">
        <v>0</v>
      </c>
      <c r="S13" s="4">
        <v>0</v>
      </c>
      <c r="T13" s="4">
        <v>6</v>
      </c>
      <c r="U13" s="4">
        <v>4</v>
      </c>
      <c r="V13" s="4">
        <v>0</v>
      </c>
      <c r="W13" s="4">
        <v>1</v>
      </c>
      <c r="X13" s="4">
        <v>16</v>
      </c>
      <c r="Y13" s="4">
        <v>3</v>
      </c>
    </row>
    <row r="14" spans="1:69" x14ac:dyDescent="0.35">
      <c r="A14" s="1" t="s">
        <v>24</v>
      </c>
      <c r="B14" s="1">
        <v>12</v>
      </c>
      <c r="C14" s="1" t="s">
        <v>37</v>
      </c>
      <c r="D14" s="1" t="s">
        <v>35</v>
      </c>
      <c r="E14" s="3" t="s">
        <v>21</v>
      </c>
      <c r="F14" s="4">
        <v>1</v>
      </c>
      <c r="G14" s="4">
        <v>1</v>
      </c>
      <c r="H14" s="4">
        <v>0</v>
      </c>
      <c r="I14" s="4">
        <v>0</v>
      </c>
      <c r="J14" s="4">
        <v>1</v>
      </c>
      <c r="K14" s="4">
        <v>0</v>
      </c>
      <c r="L14" s="4">
        <v>9</v>
      </c>
      <c r="M14" s="4">
        <v>0</v>
      </c>
      <c r="N14" s="4">
        <v>0</v>
      </c>
      <c r="O14" s="4">
        <v>0</v>
      </c>
      <c r="P14" s="4">
        <v>3</v>
      </c>
      <c r="Q14" s="4">
        <v>0</v>
      </c>
      <c r="R14" s="4">
        <v>0</v>
      </c>
      <c r="S14" s="4">
        <v>0</v>
      </c>
      <c r="T14" s="4">
        <v>16</v>
      </c>
      <c r="U14" s="4">
        <v>3</v>
      </c>
      <c r="V14" s="4">
        <v>0</v>
      </c>
      <c r="W14" s="4">
        <v>0</v>
      </c>
      <c r="X14" s="4">
        <v>3</v>
      </c>
      <c r="Y14" s="4">
        <v>2</v>
      </c>
    </row>
    <row r="15" spans="1:69" x14ac:dyDescent="0.35">
      <c r="A15" s="1" t="s">
        <v>18</v>
      </c>
      <c r="B15" s="1">
        <v>13</v>
      </c>
      <c r="C15" s="1" t="s">
        <v>38</v>
      </c>
      <c r="D15" s="1" t="s">
        <v>39</v>
      </c>
      <c r="E15" s="3" t="s">
        <v>21</v>
      </c>
      <c r="F15" s="4">
        <v>3</v>
      </c>
      <c r="G15" s="4">
        <v>0</v>
      </c>
      <c r="H15" s="4">
        <v>0</v>
      </c>
      <c r="I15" s="4">
        <v>0</v>
      </c>
      <c r="J15" s="4">
        <v>3</v>
      </c>
      <c r="K15" s="4">
        <v>1</v>
      </c>
      <c r="L15" s="4">
        <v>2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2</v>
      </c>
      <c r="U15" s="4">
        <v>16</v>
      </c>
      <c r="V15" s="4">
        <v>0</v>
      </c>
      <c r="W15" s="4">
        <v>0</v>
      </c>
      <c r="X15" s="4">
        <v>2</v>
      </c>
      <c r="Y15" s="4">
        <v>0</v>
      </c>
      <c r="AA15">
        <f t="shared" ref="AA15:AT15" si="50">(COUNTIF(F15:F17, "&gt;0"))/3</f>
        <v>0.66666666666666663</v>
      </c>
      <c r="AB15">
        <f t="shared" si="50"/>
        <v>0</v>
      </c>
      <c r="AC15">
        <f t="shared" si="50"/>
        <v>0</v>
      </c>
      <c r="AD15">
        <f t="shared" si="50"/>
        <v>0.33333333333333331</v>
      </c>
      <c r="AE15">
        <f t="shared" si="50"/>
        <v>1</v>
      </c>
      <c r="AF15">
        <f t="shared" si="50"/>
        <v>0.33333333333333331</v>
      </c>
      <c r="AG15">
        <f t="shared" si="50"/>
        <v>1</v>
      </c>
      <c r="AH15">
        <f t="shared" si="50"/>
        <v>0.33333333333333331</v>
      </c>
      <c r="AI15">
        <f t="shared" si="50"/>
        <v>0</v>
      </c>
      <c r="AJ15">
        <f t="shared" si="50"/>
        <v>0</v>
      </c>
      <c r="AK15">
        <f t="shared" si="50"/>
        <v>0.33333333333333331</v>
      </c>
      <c r="AL15">
        <f t="shared" si="50"/>
        <v>0</v>
      </c>
      <c r="AM15">
        <f t="shared" si="50"/>
        <v>0</v>
      </c>
      <c r="AN15">
        <f t="shared" si="50"/>
        <v>0</v>
      </c>
      <c r="AO15">
        <f t="shared" si="50"/>
        <v>1</v>
      </c>
      <c r="AP15">
        <f t="shared" si="50"/>
        <v>1</v>
      </c>
      <c r="AQ15">
        <f t="shared" si="50"/>
        <v>0</v>
      </c>
      <c r="AR15">
        <f t="shared" si="50"/>
        <v>0</v>
      </c>
      <c r="AS15">
        <f t="shared" si="50"/>
        <v>1</v>
      </c>
      <c r="AT15">
        <f t="shared" si="50"/>
        <v>0</v>
      </c>
      <c r="AU15" s="15">
        <f>SUM(AA15:AT15)</f>
        <v>7</v>
      </c>
      <c r="AW15">
        <f>(AA15/$AU15)*100</f>
        <v>9.5238095238095237</v>
      </c>
      <c r="AX15">
        <f>(AB15/$AU15)*100</f>
        <v>0</v>
      </c>
      <c r="AY15">
        <f>(AC15/$AU15)*100</f>
        <v>0</v>
      </c>
      <c r="AZ15">
        <f>(AD15/$AU15)*100</f>
        <v>4.7619047619047619</v>
      </c>
      <c r="BA15">
        <f>(AE15/$AU15)*100</f>
        <v>14.285714285714285</v>
      </c>
      <c r="BB15">
        <f t="shared" ref="BB15" si="51">(AF15/$AU15)*100</f>
        <v>4.7619047619047619</v>
      </c>
      <c r="BC15">
        <f t="shared" ref="BC15" si="52">(AG15/$AU15)*100</f>
        <v>14.285714285714285</v>
      </c>
      <c r="BD15">
        <f t="shared" ref="BD15" si="53">(AH15/$AU15)*100</f>
        <v>4.7619047619047619</v>
      </c>
      <c r="BE15">
        <f t="shared" ref="BE15" si="54">(AI15/$AU15)*100</f>
        <v>0</v>
      </c>
      <c r="BF15">
        <f t="shared" ref="BF15" si="55">(AJ15/$AU15)*100</f>
        <v>0</v>
      </c>
      <c r="BG15">
        <f t="shared" ref="BG15" si="56">(AK15/$AU15)*100</f>
        <v>4.7619047619047619</v>
      </c>
      <c r="BH15">
        <f t="shared" ref="BH15" si="57">(AL15/$AU15)*100</f>
        <v>0</v>
      </c>
      <c r="BI15">
        <f t="shared" ref="BI15" si="58">(AM15/$AU15)*100</f>
        <v>0</v>
      </c>
      <c r="BJ15">
        <f t="shared" ref="BJ15" si="59">(AN15/$AU15)*100</f>
        <v>0</v>
      </c>
      <c r="BK15">
        <f t="shared" ref="BK15" si="60">(AO15/$AU15)*100</f>
        <v>14.285714285714285</v>
      </c>
      <c r="BL15">
        <f t="shared" ref="BL15" si="61">(AP15/$AU15)*100</f>
        <v>14.285714285714285</v>
      </c>
      <c r="BM15">
        <f t="shared" ref="BM15" si="62">(AQ15/$AU15)*100</f>
        <v>0</v>
      </c>
      <c r="BN15">
        <f t="shared" ref="BN15" si="63">(AR15/$AU15)*100</f>
        <v>0</v>
      </c>
      <c r="BO15">
        <f t="shared" ref="BO15" si="64">(AS15/$AU15)*100</f>
        <v>14.285714285714285</v>
      </c>
      <c r="BP15">
        <f t="shared" ref="BP15" si="65">(AT15/$AU15)*100</f>
        <v>0</v>
      </c>
      <c r="BQ15">
        <f>SUM(AW15:BP15)</f>
        <v>99.999999999999972</v>
      </c>
    </row>
    <row r="16" spans="1:69" x14ac:dyDescent="0.35">
      <c r="A16" s="1" t="s">
        <v>18</v>
      </c>
      <c r="B16" s="1">
        <v>14</v>
      </c>
      <c r="C16" s="1" t="s">
        <v>40</v>
      </c>
      <c r="D16" s="1" t="s">
        <v>39</v>
      </c>
      <c r="E16" s="3" t="s">
        <v>21</v>
      </c>
      <c r="F16" s="4">
        <v>1</v>
      </c>
      <c r="G16" s="4">
        <v>0</v>
      </c>
      <c r="H16" s="4">
        <v>0</v>
      </c>
      <c r="I16" s="4">
        <v>1</v>
      </c>
      <c r="J16" s="4">
        <v>9</v>
      </c>
      <c r="K16" s="4">
        <v>0</v>
      </c>
      <c r="L16" s="4">
        <v>6</v>
      </c>
      <c r="M16" s="4">
        <v>1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7</v>
      </c>
      <c r="U16" s="4">
        <v>12</v>
      </c>
      <c r="V16" s="4">
        <v>0</v>
      </c>
      <c r="W16" s="4">
        <v>0</v>
      </c>
      <c r="X16" s="4">
        <v>2</v>
      </c>
      <c r="Y16" s="4">
        <v>0</v>
      </c>
    </row>
    <row r="17" spans="1:69" x14ac:dyDescent="0.35">
      <c r="A17" s="1" t="s">
        <v>18</v>
      </c>
      <c r="B17" s="1">
        <v>15</v>
      </c>
      <c r="C17" s="1" t="s">
        <v>41</v>
      </c>
      <c r="D17" s="1" t="s">
        <v>39</v>
      </c>
      <c r="E17" s="3" t="s">
        <v>21</v>
      </c>
      <c r="F17" s="4">
        <v>0</v>
      </c>
      <c r="G17" s="4">
        <v>0</v>
      </c>
      <c r="H17" s="4">
        <v>0</v>
      </c>
      <c r="I17" s="4">
        <v>0</v>
      </c>
      <c r="J17" s="4">
        <v>1</v>
      </c>
      <c r="K17" s="4">
        <v>0</v>
      </c>
      <c r="L17" s="4">
        <v>4</v>
      </c>
      <c r="M17" s="4">
        <v>0</v>
      </c>
      <c r="N17" s="4">
        <v>0</v>
      </c>
      <c r="O17" s="4">
        <v>0</v>
      </c>
      <c r="P17" s="4">
        <v>3</v>
      </c>
      <c r="Q17" s="4">
        <v>0</v>
      </c>
      <c r="R17" s="4">
        <v>0</v>
      </c>
      <c r="S17" s="4">
        <v>0</v>
      </c>
      <c r="T17" s="4">
        <v>2</v>
      </c>
      <c r="U17" s="4">
        <v>15</v>
      </c>
      <c r="V17" s="4">
        <v>0</v>
      </c>
      <c r="W17" s="4">
        <v>0</v>
      </c>
      <c r="X17" s="4">
        <v>1</v>
      </c>
      <c r="Y17" s="4">
        <v>0</v>
      </c>
    </row>
    <row r="18" spans="1:69" x14ac:dyDescent="0.35">
      <c r="A18" s="1" t="s">
        <v>42</v>
      </c>
      <c r="B18" s="1">
        <v>16</v>
      </c>
      <c r="C18" s="1" t="s">
        <v>43</v>
      </c>
      <c r="D18" s="1" t="s">
        <v>44</v>
      </c>
      <c r="E18" s="3" t="s">
        <v>27</v>
      </c>
      <c r="F18" s="4">
        <v>23</v>
      </c>
      <c r="G18" s="4">
        <v>0</v>
      </c>
      <c r="H18" s="4">
        <v>0</v>
      </c>
      <c r="I18" s="4">
        <v>0</v>
      </c>
      <c r="J18" s="4">
        <v>1</v>
      </c>
      <c r="K18" s="4">
        <v>1</v>
      </c>
      <c r="L18" s="4">
        <v>9</v>
      </c>
      <c r="M18" s="4">
        <v>0</v>
      </c>
      <c r="N18" s="4">
        <v>0</v>
      </c>
      <c r="O18" s="4">
        <v>0</v>
      </c>
      <c r="P18" s="4">
        <v>0</v>
      </c>
      <c r="Q18" s="4">
        <v>1</v>
      </c>
      <c r="R18" s="4">
        <v>0</v>
      </c>
      <c r="S18" s="4">
        <v>1</v>
      </c>
      <c r="T18" s="4">
        <v>0</v>
      </c>
      <c r="U18" s="4">
        <v>5</v>
      </c>
      <c r="V18" s="4">
        <v>0</v>
      </c>
      <c r="W18" s="4">
        <v>0</v>
      </c>
      <c r="X18" s="4">
        <v>8</v>
      </c>
      <c r="Y18" s="4">
        <v>0</v>
      </c>
      <c r="AA18">
        <f t="shared" ref="AA18:AT18" si="66">(COUNTIF(F18:F20, "&gt;0"))/3</f>
        <v>1</v>
      </c>
      <c r="AB18">
        <f t="shared" si="66"/>
        <v>0</v>
      </c>
      <c r="AC18">
        <f t="shared" si="66"/>
        <v>0</v>
      </c>
      <c r="AD18">
        <f t="shared" si="66"/>
        <v>0.33333333333333331</v>
      </c>
      <c r="AE18">
        <f t="shared" si="66"/>
        <v>1</v>
      </c>
      <c r="AF18">
        <f t="shared" si="66"/>
        <v>0.66666666666666663</v>
      </c>
      <c r="AG18">
        <f t="shared" si="66"/>
        <v>1</v>
      </c>
      <c r="AH18">
        <f t="shared" si="66"/>
        <v>0</v>
      </c>
      <c r="AI18">
        <f t="shared" si="66"/>
        <v>0</v>
      </c>
      <c r="AJ18">
        <f t="shared" si="66"/>
        <v>0</v>
      </c>
      <c r="AK18">
        <f t="shared" si="66"/>
        <v>0</v>
      </c>
      <c r="AL18">
        <f t="shared" si="66"/>
        <v>0.33333333333333331</v>
      </c>
      <c r="AM18">
        <f t="shared" si="66"/>
        <v>0</v>
      </c>
      <c r="AN18">
        <f t="shared" si="66"/>
        <v>0.66666666666666663</v>
      </c>
      <c r="AO18">
        <f t="shared" si="66"/>
        <v>0</v>
      </c>
      <c r="AP18">
        <f t="shared" si="66"/>
        <v>1</v>
      </c>
      <c r="AQ18">
        <f t="shared" si="66"/>
        <v>0</v>
      </c>
      <c r="AR18">
        <f t="shared" si="66"/>
        <v>0</v>
      </c>
      <c r="AS18">
        <f t="shared" si="66"/>
        <v>1</v>
      </c>
      <c r="AT18">
        <f t="shared" si="66"/>
        <v>0</v>
      </c>
      <c r="AU18" s="15">
        <f>SUM(AA18:AT18)</f>
        <v>7</v>
      </c>
      <c r="AW18">
        <f>(AA18/$AU18)*100</f>
        <v>14.285714285714285</v>
      </c>
      <c r="AX18">
        <f>(AB18/$AU18)*100</f>
        <v>0</v>
      </c>
      <c r="AY18">
        <f>(AC18/$AU18)*100</f>
        <v>0</v>
      </c>
      <c r="AZ18">
        <f>(AD18/$AU18)*100</f>
        <v>4.7619047619047619</v>
      </c>
      <c r="BA18">
        <f>(AE18/$AU18)*100</f>
        <v>14.285714285714285</v>
      </c>
      <c r="BB18">
        <f t="shared" ref="BB18" si="67">(AF18/$AU18)*100</f>
        <v>9.5238095238095237</v>
      </c>
      <c r="BC18">
        <f t="shared" ref="BC18" si="68">(AG18/$AU18)*100</f>
        <v>14.285714285714285</v>
      </c>
      <c r="BD18">
        <f t="shared" ref="BD18" si="69">(AH18/$AU18)*100</f>
        <v>0</v>
      </c>
      <c r="BE18">
        <f t="shared" ref="BE18" si="70">(AI18/$AU18)*100</f>
        <v>0</v>
      </c>
      <c r="BF18">
        <f t="shared" ref="BF18" si="71">(AJ18/$AU18)*100</f>
        <v>0</v>
      </c>
      <c r="BG18">
        <f t="shared" ref="BG18" si="72">(AK18/$AU18)*100</f>
        <v>0</v>
      </c>
      <c r="BH18">
        <f t="shared" ref="BH18" si="73">(AL18/$AU18)*100</f>
        <v>4.7619047619047619</v>
      </c>
      <c r="BI18">
        <f t="shared" ref="BI18" si="74">(AM18/$AU18)*100</f>
        <v>0</v>
      </c>
      <c r="BJ18">
        <f t="shared" ref="BJ18" si="75">(AN18/$AU18)*100</f>
        <v>9.5238095238095237</v>
      </c>
      <c r="BK18">
        <f t="shared" ref="BK18" si="76">(AO18/$AU18)*100</f>
        <v>0</v>
      </c>
      <c r="BL18">
        <f t="shared" ref="BL18" si="77">(AP18/$AU18)*100</f>
        <v>14.285714285714285</v>
      </c>
      <c r="BM18">
        <f t="shared" ref="BM18" si="78">(AQ18/$AU18)*100</f>
        <v>0</v>
      </c>
      <c r="BN18">
        <f t="shared" ref="BN18" si="79">(AR18/$AU18)*100</f>
        <v>0</v>
      </c>
      <c r="BO18">
        <f t="shared" ref="BO18" si="80">(AS18/$AU18)*100</f>
        <v>14.285714285714285</v>
      </c>
      <c r="BP18">
        <f t="shared" ref="BP18" si="81">(AT18/$AU18)*100</f>
        <v>0</v>
      </c>
      <c r="BQ18">
        <f>SUM(AW18:BP18)</f>
        <v>99.999999999999972</v>
      </c>
    </row>
    <row r="19" spans="1:69" x14ac:dyDescent="0.35">
      <c r="A19" s="1" t="s">
        <v>42</v>
      </c>
      <c r="B19" s="1">
        <v>17</v>
      </c>
      <c r="C19" s="1" t="s">
        <v>45</v>
      </c>
      <c r="D19" s="1" t="s">
        <v>44</v>
      </c>
      <c r="E19" s="3" t="s">
        <v>27</v>
      </c>
      <c r="F19" s="4">
        <v>8</v>
      </c>
      <c r="G19" s="4">
        <v>0</v>
      </c>
      <c r="H19" s="4">
        <v>0</v>
      </c>
      <c r="I19" s="4">
        <v>0</v>
      </c>
      <c r="J19" s="4">
        <v>1</v>
      </c>
      <c r="K19" s="4">
        <v>1</v>
      </c>
      <c r="L19" s="4">
        <v>13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</v>
      </c>
      <c r="T19" s="4">
        <v>0</v>
      </c>
      <c r="U19" s="4">
        <v>4</v>
      </c>
      <c r="V19" s="4">
        <v>0</v>
      </c>
      <c r="W19" s="4">
        <v>0</v>
      </c>
      <c r="X19" s="4">
        <v>4</v>
      </c>
      <c r="Y19" s="4">
        <v>0</v>
      </c>
    </row>
    <row r="20" spans="1:69" x14ac:dyDescent="0.35">
      <c r="A20" s="1" t="s">
        <v>42</v>
      </c>
      <c r="B20" s="1">
        <v>18</v>
      </c>
      <c r="C20" s="1" t="s">
        <v>46</v>
      </c>
      <c r="D20" s="1" t="s">
        <v>44</v>
      </c>
      <c r="E20" s="3" t="s">
        <v>27</v>
      </c>
      <c r="F20" s="4">
        <v>8</v>
      </c>
      <c r="G20" s="4">
        <v>0</v>
      </c>
      <c r="H20" s="4">
        <v>0</v>
      </c>
      <c r="I20" s="4">
        <v>2</v>
      </c>
      <c r="J20" s="4">
        <v>1</v>
      </c>
      <c r="K20" s="4">
        <v>0</v>
      </c>
      <c r="L20" s="4">
        <v>25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10</v>
      </c>
      <c r="V20" s="4">
        <v>0</v>
      </c>
      <c r="W20" s="4">
        <v>0</v>
      </c>
      <c r="X20" s="4">
        <v>9</v>
      </c>
      <c r="Y20" s="4">
        <v>0</v>
      </c>
    </row>
    <row r="21" spans="1:69" x14ac:dyDescent="0.35">
      <c r="A21" s="1" t="s">
        <v>18</v>
      </c>
      <c r="B21" s="1">
        <v>19</v>
      </c>
      <c r="C21" s="1" t="s">
        <v>47</v>
      </c>
      <c r="D21" s="1" t="s">
        <v>48</v>
      </c>
      <c r="E21" s="3" t="s">
        <v>21</v>
      </c>
      <c r="F21" s="4">
        <v>5</v>
      </c>
      <c r="G21" s="4">
        <v>0</v>
      </c>
      <c r="H21" s="4">
        <v>0</v>
      </c>
      <c r="I21" s="4">
        <v>0</v>
      </c>
      <c r="J21" s="4">
        <v>3</v>
      </c>
      <c r="K21" s="4">
        <v>0</v>
      </c>
      <c r="L21" s="4">
        <v>7</v>
      </c>
      <c r="M21" s="4">
        <v>1</v>
      </c>
      <c r="N21" s="4">
        <v>0</v>
      </c>
      <c r="O21" s="4">
        <v>0</v>
      </c>
      <c r="P21" s="4">
        <v>0</v>
      </c>
      <c r="Q21" s="4">
        <v>1</v>
      </c>
      <c r="R21" s="4">
        <v>0</v>
      </c>
      <c r="S21" s="4">
        <v>0</v>
      </c>
      <c r="T21" s="4">
        <v>1</v>
      </c>
      <c r="U21" s="4">
        <v>15</v>
      </c>
      <c r="V21" s="4">
        <v>0</v>
      </c>
      <c r="W21" s="4">
        <v>6</v>
      </c>
      <c r="X21" s="4">
        <v>0</v>
      </c>
      <c r="Y21" s="4">
        <v>0</v>
      </c>
      <c r="AA21">
        <f t="shared" ref="AA21:AT21" si="82">(COUNTIF(F21:F23, "&gt;0"))/3</f>
        <v>0.66666666666666663</v>
      </c>
      <c r="AB21">
        <f t="shared" si="82"/>
        <v>0</v>
      </c>
      <c r="AC21">
        <f t="shared" si="82"/>
        <v>0</v>
      </c>
      <c r="AD21">
        <f t="shared" si="82"/>
        <v>0</v>
      </c>
      <c r="AE21">
        <f t="shared" si="82"/>
        <v>1</v>
      </c>
      <c r="AF21">
        <f t="shared" si="82"/>
        <v>0.33333333333333331</v>
      </c>
      <c r="AG21">
        <f t="shared" si="82"/>
        <v>1</v>
      </c>
      <c r="AH21">
        <f t="shared" si="82"/>
        <v>0.33333333333333331</v>
      </c>
      <c r="AI21">
        <f t="shared" si="82"/>
        <v>0</v>
      </c>
      <c r="AJ21">
        <f t="shared" si="82"/>
        <v>0</v>
      </c>
      <c r="AK21">
        <f t="shared" si="82"/>
        <v>0</v>
      </c>
      <c r="AL21">
        <f t="shared" si="82"/>
        <v>0.33333333333333331</v>
      </c>
      <c r="AM21">
        <f t="shared" si="82"/>
        <v>0</v>
      </c>
      <c r="AN21">
        <f t="shared" si="82"/>
        <v>0</v>
      </c>
      <c r="AO21">
        <f t="shared" si="82"/>
        <v>1</v>
      </c>
      <c r="AP21">
        <f t="shared" si="82"/>
        <v>1</v>
      </c>
      <c r="AQ21">
        <f t="shared" si="82"/>
        <v>0</v>
      </c>
      <c r="AR21">
        <f t="shared" si="82"/>
        <v>1</v>
      </c>
      <c r="AS21">
        <f t="shared" si="82"/>
        <v>0</v>
      </c>
      <c r="AT21">
        <f t="shared" si="82"/>
        <v>0.33333333333333331</v>
      </c>
      <c r="AU21" s="15">
        <f>SUM(AA21:AT21)</f>
        <v>7</v>
      </c>
      <c r="AW21">
        <f>(AA21/$AU21)*100</f>
        <v>9.5238095238095237</v>
      </c>
      <c r="AX21">
        <f>(AB21/$AU21)*100</f>
        <v>0</v>
      </c>
      <c r="AY21">
        <f>(AC21/$AU21)*100</f>
        <v>0</v>
      </c>
      <c r="AZ21">
        <f>(AD21/$AU21)*100</f>
        <v>0</v>
      </c>
      <c r="BA21">
        <f>(AE21/$AU21)*100</f>
        <v>14.285714285714285</v>
      </c>
      <c r="BB21">
        <f t="shared" ref="BB21" si="83">(AF21/$AU21)*100</f>
        <v>4.7619047619047619</v>
      </c>
      <c r="BC21">
        <f t="shared" ref="BC21" si="84">(AG21/$AU21)*100</f>
        <v>14.285714285714285</v>
      </c>
      <c r="BD21">
        <f t="shared" ref="BD21" si="85">(AH21/$AU21)*100</f>
        <v>4.7619047619047619</v>
      </c>
      <c r="BE21">
        <f t="shared" ref="BE21" si="86">(AI21/$AU21)*100</f>
        <v>0</v>
      </c>
      <c r="BF21">
        <f t="shared" ref="BF21" si="87">(AJ21/$AU21)*100</f>
        <v>0</v>
      </c>
      <c r="BG21">
        <f t="shared" ref="BG21" si="88">(AK21/$AU21)*100</f>
        <v>0</v>
      </c>
      <c r="BH21">
        <f t="shared" ref="BH21" si="89">(AL21/$AU21)*100</f>
        <v>4.7619047619047619</v>
      </c>
      <c r="BI21">
        <f t="shared" ref="BI21" si="90">(AM21/$AU21)*100</f>
        <v>0</v>
      </c>
      <c r="BJ21">
        <f t="shared" ref="BJ21" si="91">(AN21/$AU21)*100</f>
        <v>0</v>
      </c>
      <c r="BK21">
        <f t="shared" ref="BK21" si="92">(AO21/$AU21)*100</f>
        <v>14.285714285714285</v>
      </c>
      <c r="BL21">
        <f t="shared" ref="BL21" si="93">(AP21/$AU21)*100</f>
        <v>14.285714285714285</v>
      </c>
      <c r="BM21">
        <f t="shared" ref="BM21" si="94">(AQ21/$AU21)*100</f>
        <v>0</v>
      </c>
      <c r="BN21">
        <f t="shared" ref="BN21" si="95">(AR21/$AU21)*100</f>
        <v>14.285714285714285</v>
      </c>
      <c r="BO21">
        <f t="shared" ref="BO21" si="96">(AS21/$AU21)*100</f>
        <v>0</v>
      </c>
      <c r="BP21">
        <f t="shared" ref="BP21" si="97">(AT21/$AU21)*100</f>
        <v>4.7619047619047619</v>
      </c>
      <c r="BQ21">
        <f>SUM(AW21:BP21)</f>
        <v>99.999999999999972</v>
      </c>
    </row>
    <row r="22" spans="1:69" x14ac:dyDescent="0.35">
      <c r="A22" s="1" t="s">
        <v>18</v>
      </c>
      <c r="B22" s="1">
        <v>20</v>
      </c>
      <c r="C22" s="1" t="s">
        <v>49</v>
      </c>
      <c r="D22" s="1" t="s">
        <v>48</v>
      </c>
      <c r="E22" s="3" t="s">
        <v>21</v>
      </c>
      <c r="F22" s="4">
        <v>0</v>
      </c>
      <c r="G22" s="4">
        <v>0</v>
      </c>
      <c r="H22" s="4">
        <v>0</v>
      </c>
      <c r="I22" s="4">
        <v>0</v>
      </c>
      <c r="J22" s="4">
        <v>8</v>
      </c>
      <c r="K22" s="4">
        <v>0</v>
      </c>
      <c r="L22" s="4">
        <v>7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11</v>
      </c>
      <c r="U22" s="4">
        <v>11</v>
      </c>
      <c r="V22" s="4">
        <v>0</v>
      </c>
      <c r="W22" s="4">
        <v>4</v>
      </c>
      <c r="X22" s="4">
        <v>0</v>
      </c>
      <c r="Y22" s="4">
        <v>6</v>
      </c>
    </row>
    <row r="23" spans="1:69" x14ac:dyDescent="0.35">
      <c r="A23" s="1" t="s">
        <v>18</v>
      </c>
      <c r="B23" s="1">
        <v>21</v>
      </c>
      <c r="C23" s="1" t="s">
        <v>50</v>
      </c>
      <c r="D23" s="1" t="s">
        <v>48</v>
      </c>
      <c r="E23" s="3" t="s">
        <v>21</v>
      </c>
      <c r="F23" s="4">
        <v>4</v>
      </c>
      <c r="G23" s="4">
        <v>0</v>
      </c>
      <c r="H23" s="4">
        <v>0</v>
      </c>
      <c r="I23" s="4">
        <v>0</v>
      </c>
      <c r="J23" s="4">
        <v>5</v>
      </c>
      <c r="K23" s="4">
        <v>5</v>
      </c>
      <c r="L23" s="4">
        <v>5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1</v>
      </c>
      <c r="U23" s="4">
        <v>12</v>
      </c>
      <c r="V23" s="4">
        <v>0</v>
      </c>
      <c r="W23" s="4">
        <v>2</v>
      </c>
      <c r="X23" s="4">
        <v>0</v>
      </c>
      <c r="Y23" s="4">
        <v>0</v>
      </c>
    </row>
    <row r="24" spans="1:69" x14ac:dyDescent="0.35">
      <c r="A24" s="1" t="s">
        <v>42</v>
      </c>
      <c r="B24" s="1">
        <v>22</v>
      </c>
      <c r="C24" s="1" t="s">
        <v>51</v>
      </c>
      <c r="D24" s="1" t="s">
        <v>52</v>
      </c>
      <c r="E24" s="3" t="s">
        <v>53</v>
      </c>
      <c r="F24" s="4">
        <v>14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22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1</v>
      </c>
      <c r="T24" s="4">
        <v>0</v>
      </c>
      <c r="U24" s="4">
        <v>1</v>
      </c>
      <c r="V24" s="4">
        <v>0</v>
      </c>
      <c r="W24" s="4">
        <v>0</v>
      </c>
      <c r="X24" s="4">
        <v>11</v>
      </c>
      <c r="Y24" s="4">
        <v>0</v>
      </c>
      <c r="AA24">
        <f t="shared" ref="AA24:AT24" si="98">(COUNTIF(F24:F26, "&gt;0"))/3</f>
        <v>1</v>
      </c>
      <c r="AB24">
        <f t="shared" si="98"/>
        <v>0</v>
      </c>
      <c r="AC24">
        <f t="shared" si="98"/>
        <v>0</v>
      </c>
      <c r="AD24">
        <f t="shared" si="98"/>
        <v>0</v>
      </c>
      <c r="AE24">
        <f t="shared" si="98"/>
        <v>0.33333333333333331</v>
      </c>
      <c r="AF24">
        <f t="shared" si="98"/>
        <v>0</v>
      </c>
      <c r="AG24">
        <f t="shared" si="98"/>
        <v>1</v>
      </c>
      <c r="AH24">
        <f t="shared" si="98"/>
        <v>0</v>
      </c>
      <c r="AI24">
        <f t="shared" si="98"/>
        <v>0</v>
      </c>
      <c r="AJ24">
        <f t="shared" si="98"/>
        <v>0</v>
      </c>
      <c r="AK24">
        <f t="shared" si="98"/>
        <v>0</v>
      </c>
      <c r="AL24">
        <f t="shared" si="98"/>
        <v>0</v>
      </c>
      <c r="AM24">
        <f t="shared" si="98"/>
        <v>0</v>
      </c>
      <c r="AN24">
        <f t="shared" si="98"/>
        <v>0.66666666666666663</v>
      </c>
      <c r="AO24">
        <f t="shared" si="98"/>
        <v>0</v>
      </c>
      <c r="AP24">
        <f t="shared" si="98"/>
        <v>1</v>
      </c>
      <c r="AQ24">
        <f t="shared" si="98"/>
        <v>0</v>
      </c>
      <c r="AR24">
        <f t="shared" si="98"/>
        <v>0</v>
      </c>
      <c r="AS24">
        <f t="shared" si="98"/>
        <v>1</v>
      </c>
      <c r="AT24">
        <f t="shared" si="98"/>
        <v>0.66666666666666663</v>
      </c>
      <c r="AU24" s="15">
        <f>SUM(AA24:AT24)</f>
        <v>5.666666666666667</v>
      </c>
      <c r="AW24">
        <f>(AA24/$AU24)*100</f>
        <v>17.647058823529409</v>
      </c>
      <c r="AX24">
        <f>(AB24/$AU24)*100</f>
        <v>0</v>
      </c>
      <c r="AY24">
        <f>(AC24/$AU24)*100</f>
        <v>0</v>
      </c>
      <c r="AZ24">
        <f>(AD24/$AU24)*100</f>
        <v>0</v>
      </c>
      <c r="BA24">
        <f>(AE24/$AU24)*100</f>
        <v>5.8823529411764701</v>
      </c>
      <c r="BB24">
        <f t="shared" ref="BB24" si="99">(AF24/$AU24)*100</f>
        <v>0</v>
      </c>
      <c r="BC24">
        <f t="shared" ref="BC24" si="100">(AG24/$AU24)*100</f>
        <v>17.647058823529409</v>
      </c>
      <c r="BD24">
        <f t="shared" ref="BD24" si="101">(AH24/$AU24)*100</f>
        <v>0</v>
      </c>
      <c r="BE24">
        <f t="shared" ref="BE24" si="102">(AI24/$AU24)*100</f>
        <v>0</v>
      </c>
      <c r="BF24">
        <f t="shared" ref="BF24" si="103">(AJ24/$AU24)*100</f>
        <v>0</v>
      </c>
      <c r="BG24">
        <f t="shared" ref="BG24" si="104">(AK24/$AU24)*100</f>
        <v>0</v>
      </c>
      <c r="BH24">
        <f t="shared" ref="BH24" si="105">(AL24/$AU24)*100</f>
        <v>0</v>
      </c>
      <c r="BI24">
        <f t="shared" ref="BI24" si="106">(AM24/$AU24)*100</f>
        <v>0</v>
      </c>
      <c r="BJ24">
        <f t="shared" ref="BJ24" si="107">(AN24/$AU24)*100</f>
        <v>11.76470588235294</v>
      </c>
      <c r="BK24">
        <f t="shared" ref="BK24" si="108">(AO24/$AU24)*100</f>
        <v>0</v>
      </c>
      <c r="BL24">
        <f t="shared" ref="BL24" si="109">(AP24/$AU24)*100</f>
        <v>17.647058823529409</v>
      </c>
      <c r="BM24">
        <f t="shared" ref="BM24" si="110">(AQ24/$AU24)*100</f>
        <v>0</v>
      </c>
      <c r="BN24">
        <f t="shared" ref="BN24" si="111">(AR24/$AU24)*100</f>
        <v>0</v>
      </c>
      <c r="BO24">
        <f t="shared" ref="BO24" si="112">(AS24/$AU24)*100</f>
        <v>17.647058823529409</v>
      </c>
      <c r="BP24">
        <f t="shared" ref="BP24" si="113">(AT24/$AU24)*100</f>
        <v>11.76470588235294</v>
      </c>
      <c r="BQ24">
        <f>SUM(AW24:BP24)</f>
        <v>99.999999999999986</v>
      </c>
    </row>
    <row r="25" spans="1:69" x14ac:dyDescent="0.35">
      <c r="A25" s="1" t="s">
        <v>42</v>
      </c>
      <c r="B25" s="1">
        <v>23</v>
      </c>
      <c r="C25" s="1" t="s">
        <v>54</v>
      </c>
      <c r="D25" s="1" t="s">
        <v>52</v>
      </c>
      <c r="E25" s="3" t="s">
        <v>53</v>
      </c>
      <c r="F25" s="4">
        <v>15</v>
      </c>
      <c r="G25" s="4">
        <v>0</v>
      </c>
      <c r="H25" s="4">
        <v>0</v>
      </c>
      <c r="I25" s="4">
        <v>0</v>
      </c>
      <c r="J25" s="4">
        <v>1</v>
      </c>
      <c r="K25" s="4">
        <v>0</v>
      </c>
      <c r="L25" s="4">
        <v>9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1</v>
      </c>
      <c r="T25" s="4">
        <v>0</v>
      </c>
      <c r="U25" s="4">
        <v>1</v>
      </c>
      <c r="V25" s="4">
        <v>0</v>
      </c>
      <c r="W25" s="4">
        <v>0</v>
      </c>
      <c r="X25" s="4">
        <v>1</v>
      </c>
      <c r="Y25" s="4">
        <v>4</v>
      </c>
    </row>
    <row r="26" spans="1:69" x14ac:dyDescent="0.35">
      <c r="A26" s="1" t="s">
        <v>42</v>
      </c>
      <c r="B26" s="1">
        <v>24</v>
      </c>
      <c r="C26" s="1" t="s">
        <v>55</v>
      </c>
      <c r="D26" s="1" t="s">
        <v>52</v>
      </c>
      <c r="E26" s="3" t="s">
        <v>53</v>
      </c>
      <c r="F26" s="4">
        <v>20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14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2</v>
      </c>
      <c r="V26" s="4">
        <v>0</v>
      </c>
      <c r="W26" s="4">
        <v>0</v>
      </c>
      <c r="X26" s="4">
        <v>9</v>
      </c>
      <c r="Y26" s="4">
        <v>6</v>
      </c>
    </row>
    <row r="27" spans="1:69" x14ac:dyDescent="0.35">
      <c r="A27" s="1" t="s">
        <v>56</v>
      </c>
      <c r="B27" s="1">
        <v>25</v>
      </c>
      <c r="C27" s="1" t="s">
        <v>57</v>
      </c>
      <c r="D27" s="1" t="s">
        <v>58</v>
      </c>
      <c r="E27" s="3" t="s">
        <v>21</v>
      </c>
      <c r="F27" s="4">
        <v>2</v>
      </c>
      <c r="G27" s="4">
        <v>0</v>
      </c>
      <c r="H27" s="4">
        <v>0</v>
      </c>
      <c r="I27" s="4">
        <v>2</v>
      </c>
      <c r="J27" s="4">
        <v>1</v>
      </c>
      <c r="K27" s="4">
        <v>1</v>
      </c>
      <c r="L27" s="4">
        <v>10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2</v>
      </c>
      <c r="T27" s="4">
        <v>9</v>
      </c>
      <c r="U27" s="4">
        <v>15</v>
      </c>
      <c r="V27" s="4">
        <v>0</v>
      </c>
      <c r="W27" s="4">
        <v>0</v>
      </c>
      <c r="X27" s="4">
        <v>4</v>
      </c>
      <c r="Y27" s="4">
        <v>0</v>
      </c>
      <c r="AA27">
        <f t="shared" ref="AA27:AT27" si="114">(COUNTIF(F27:F29, "&gt;0"))/3</f>
        <v>1</v>
      </c>
      <c r="AB27">
        <f t="shared" si="114"/>
        <v>0.33333333333333331</v>
      </c>
      <c r="AC27">
        <f t="shared" si="114"/>
        <v>0</v>
      </c>
      <c r="AD27">
        <f t="shared" si="114"/>
        <v>0.33333333333333331</v>
      </c>
      <c r="AE27">
        <f t="shared" si="114"/>
        <v>1</v>
      </c>
      <c r="AF27">
        <f t="shared" si="114"/>
        <v>0.33333333333333331</v>
      </c>
      <c r="AG27">
        <f t="shared" si="114"/>
        <v>1</v>
      </c>
      <c r="AH27">
        <f t="shared" si="114"/>
        <v>0</v>
      </c>
      <c r="AI27">
        <f t="shared" si="114"/>
        <v>0</v>
      </c>
      <c r="AJ27">
        <f t="shared" si="114"/>
        <v>0</v>
      </c>
      <c r="AK27">
        <f t="shared" si="114"/>
        <v>0</v>
      </c>
      <c r="AL27">
        <f t="shared" si="114"/>
        <v>0</v>
      </c>
      <c r="AM27">
        <f t="shared" si="114"/>
        <v>0</v>
      </c>
      <c r="AN27">
        <f t="shared" si="114"/>
        <v>1</v>
      </c>
      <c r="AO27">
        <f t="shared" si="114"/>
        <v>1</v>
      </c>
      <c r="AP27">
        <f t="shared" si="114"/>
        <v>1</v>
      </c>
      <c r="AQ27">
        <f t="shared" si="114"/>
        <v>0</v>
      </c>
      <c r="AR27">
        <f t="shared" si="114"/>
        <v>0.33333333333333331</v>
      </c>
      <c r="AS27">
        <f t="shared" si="114"/>
        <v>0.66666666666666663</v>
      </c>
      <c r="AT27">
        <f t="shared" si="114"/>
        <v>0.33333333333333331</v>
      </c>
      <c r="AU27" s="15">
        <f>SUM(AA27:AT27)</f>
        <v>8.3333333333333339</v>
      </c>
      <c r="AW27">
        <f>(AA27/$AU27)*100</f>
        <v>12</v>
      </c>
      <c r="AX27">
        <f>(AB27/$AU27)*100</f>
        <v>3.9999999999999996</v>
      </c>
      <c r="AY27">
        <f>(AC27/$AU27)*100</f>
        <v>0</v>
      </c>
      <c r="AZ27">
        <f>(AD27/$AU27)*100</f>
        <v>3.9999999999999996</v>
      </c>
      <c r="BA27">
        <f>(AE27/$AU27)*100</f>
        <v>12</v>
      </c>
      <c r="BB27">
        <f t="shared" ref="BB27" si="115">(AF27/$AU27)*100</f>
        <v>3.9999999999999996</v>
      </c>
      <c r="BC27">
        <f t="shared" ref="BC27" si="116">(AG27/$AU27)*100</f>
        <v>12</v>
      </c>
      <c r="BD27">
        <f t="shared" ref="BD27" si="117">(AH27/$AU27)*100</f>
        <v>0</v>
      </c>
      <c r="BE27">
        <f t="shared" ref="BE27" si="118">(AI27/$AU27)*100</f>
        <v>0</v>
      </c>
      <c r="BF27">
        <f t="shared" ref="BF27" si="119">(AJ27/$AU27)*100</f>
        <v>0</v>
      </c>
      <c r="BG27">
        <f t="shared" ref="BG27" si="120">(AK27/$AU27)*100</f>
        <v>0</v>
      </c>
      <c r="BH27">
        <f t="shared" ref="BH27" si="121">(AL27/$AU27)*100</f>
        <v>0</v>
      </c>
      <c r="BI27">
        <f t="shared" ref="BI27" si="122">(AM27/$AU27)*100</f>
        <v>0</v>
      </c>
      <c r="BJ27">
        <f t="shared" ref="BJ27" si="123">(AN27/$AU27)*100</f>
        <v>12</v>
      </c>
      <c r="BK27">
        <f t="shared" ref="BK27" si="124">(AO27/$AU27)*100</f>
        <v>12</v>
      </c>
      <c r="BL27">
        <f t="shared" ref="BL27" si="125">(AP27/$AU27)*100</f>
        <v>12</v>
      </c>
      <c r="BM27">
        <f t="shared" ref="BM27" si="126">(AQ27/$AU27)*100</f>
        <v>0</v>
      </c>
      <c r="BN27">
        <f t="shared" ref="BN27" si="127">(AR27/$AU27)*100</f>
        <v>3.9999999999999996</v>
      </c>
      <c r="BO27">
        <f t="shared" ref="BO27" si="128">(AS27/$AU27)*100</f>
        <v>7.9999999999999991</v>
      </c>
      <c r="BP27">
        <f t="shared" ref="BP27" si="129">(AT27/$AU27)*100</f>
        <v>3.9999999999999996</v>
      </c>
      <c r="BQ27">
        <f>SUM(AW27:BP27)</f>
        <v>100</v>
      </c>
    </row>
    <row r="28" spans="1:69" x14ac:dyDescent="0.35">
      <c r="A28" s="1" t="s">
        <v>56</v>
      </c>
      <c r="B28" s="1">
        <v>26</v>
      </c>
      <c r="C28" s="1" t="s">
        <v>59</v>
      </c>
      <c r="D28" s="1" t="s">
        <v>58</v>
      </c>
      <c r="E28" s="3" t="s">
        <v>21</v>
      </c>
      <c r="F28" s="4">
        <v>3</v>
      </c>
      <c r="G28" s="4">
        <v>0</v>
      </c>
      <c r="H28" s="4">
        <v>0</v>
      </c>
      <c r="I28" s="4">
        <v>0</v>
      </c>
      <c r="J28" s="4">
        <v>2</v>
      </c>
      <c r="K28" s="4">
        <v>0</v>
      </c>
      <c r="L28" s="4">
        <v>10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4</v>
      </c>
      <c r="T28" s="4">
        <v>19</v>
      </c>
      <c r="U28" s="4">
        <v>8</v>
      </c>
      <c r="V28" s="4">
        <v>0</v>
      </c>
      <c r="W28" s="4">
        <v>0</v>
      </c>
      <c r="X28" s="4">
        <v>1</v>
      </c>
      <c r="Y28" s="4">
        <v>0</v>
      </c>
    </row>
    <row r="29" spans="1:69" x14ac:dyDescent="0.35">
      <c r="A29" s="1" t="s">
        <v>56</v>
      </c>
      <c r="B29" s="1">
        <v>27</v>
      </c>
      <c r="C29" s="1" t="s">
        <v>60</v>
      </c>
      <c r="D29" s="1" t="s">
        <v>58</v>
      </c>
      <c r="E29" s="3" t="s">
        <v>21</v>
      </c>
      <c r="F29" s="4">
        <v>5</v>
      </c>
      <c r="G29" s="4">
        <v>1</v>
      </c>
      <c r="H29" s="4">
        <v>0</v>
      </c>
      <c r="I29" s="4">
        <v>0</v>
      </c>
      <c r="J29" s="4">
        <v>4</v>
      </c>
      <c r="K29" s="4">
        <v>0</v>
      </c>
      <c r="L29" s="4">
        <v>8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5</v>
      </c>
      <c r="T29" s="4">
        <v>18</v>
      </c>
      <c r="U29" s="4">
        <v>9</v>
      </c>
      <c r="V29" s="4">
        <v>0</v>
      </c>
      <c r="W29" s="4">
        <v>1</v>
      </c>
      <c r="X29" s="4">
        <v>0</v>
      </c>
      <c r="Y29" s="4">
        <v>1</v>
      </c>
    </row>
    <row r="30" spans="1:69" x14ac:dyDescent="0.35">
      <c r="A30" s="1" t="s">
        <v>61</v>
      </c>
      <c r="B30" s="1">
        <v>28</v>
      </c>
      <c r="C30" s="1" t="s">
        <v>62</v>
      </c>
      <c r="D30" s="5" t="s">
        <v>63</v>
      </c>
      <c r="E30" s="3" t="s">
        <v>21</v>
      </c>
      <c r="F30" s="4">
        <v>22</v>
      </c>
      <c r="G30" s="4">
        <v>0</v>
      </c>
      <c r="H30" s="4">
        <v>0</v>
      </c>
      <c r="I30" s="4">
        <v>0</v>
      </c>
      <c r="J30" s="4">
        <v>0</v>
      </c>
      <c r="K30" s="4">
        <v>3</v>
      </c>
      <c r="L30" s="4">
        <v>2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4</v>
      </c>
      <c r="V30" s="4">
        <v>0</v>
      </c>
      <c r="W30" s="4">
        <v>0</v>
      </c>
      <c r="X30" s="4">
        <v>0</v>
      </c>
      <c r="Y30" s="4">
        <v>0</v>
      </c>
      <c r="AA30">
        <f t="shared" ref="AA30:AT30" si="130">(COUNTIF(F30:F32, "&gt;0"))/3</f>
        <v>1</v>
      </c>
      <c r="AB30">
        <f t="shared" si="130"/>
        <v>0</v>
      </c>
      <c r="AC30">
        <f t="shared" si="130"/>
        <v>0</v>
      </c>
      <c r="AD30">
        <f t="shared" si="130"/>
        <v>0</v>
      </c>
      <c r="AE30">
        <f t="shared" si="130"/>
        <v>0.33333333333333331</v>
      </c>
      <c r="AF30">
        <f t="shared" si="130"/>
        <v>1</v>
      </c>
      <c r="AG30">
        <f t="shared" si="130"/>
        <v>1</v>
      </c>
      <c r="AH30">
        <f t="shared" si="130"/>
        <v>0</v>
      </c>
      <c r="AI30">
        <f t="shared" si="130"/>
        <v>0</v>
      </c>
      <c r="AJ30">
        <f t="shared" si="130"/>
        <v>0</v>
      </c>
      <c r="AK30">
        <f t="shared" si="130"/>
        <v>0</v>
      </c>
      <c r="AL30">
        <f t="shared" si="130"/>
        <v>0</v>
      </c>
      <c r="AM30">
        <f t="shared" si="130"/>
        <v>0</v>
      </c>
      <c r="AN30">
        <f t="shared" si="130"/>
        <v>0</v>
      </c>
      <c r="AO30">
        <f t="shared" si="130"/>
        <v>0</v>
      </c>
      <c r="AP30">
        <f t="shared" si="130"/>
        <v>0.66666666666666663</v>
      </c>
      <c r="AQ30">
        <f t="shared" si="130"/>
        <v>0</v>
      </c>
      <c r="AR30">
        <f t="shared" si="130"/>
        <v>0</v>
      </c>
      <c r="AS30">
        <f t="shared" si="130"/>
        <v>0.33333333333333331</v>
      </c>
      <c r="AT30">
        <f t="shared" si="130"/>
        <v>0</v>
      </c>
      <c r="AU30" s="15">
        <f>SUM(AA30:AT30)</f>
        <v>4.333333333333333</v>
      </c>
      <c r="AW30">
        <f>(AA30/$AU30)*100</f>
        <v>23.076923076923077</v>
      </c>
      <c r="AX30">
        <f>(AB30/$AU30)*100</f>
        <v>0</v>
      </c>
      <c r="AY30">
        <f>(AC30/$AU30)*100</f>
        <v>0</v>
      </c>
      <c r="AZ30">
        <f>(AD30/$AU30)*100</f>
        <v>0</v>
      </c>
      <c r="BA30">
        <f>(AE30/$AU30)*100</f>
        <v>7.6923076923076925</v>
      </c>
      <c r="BB30">
        <f t="shared" ref="BB30" si="131">(AF30/$AU30)*100</f>
        <v>23.076923076923077</v>
      </c>
      <c r="BC30">
        <f t="shared" ref="BC30" si="132">(AG30/$AU30)*100</f>
        <v>23.076923076923077</v>
      </c>
      <c r="BD30">
        <f t="shared" ref="BD30" si="133">(AH30/$AU30)*100</f>
        <v>0</v>
      </c>
      <c r="BE30">
        <f t="shared" ref="BE30" si="134">(AI30/$AU30)*100</f>
        <v>0</v>
      </c>
      <c r="BF30">
        <f t="shared" ref="BF30" si="135">(AJ30/$AU30)*100</f>
        <v>0</v>
      </c>
      <c r="BG30">
        <f t="shared" ref="BG30" si="136">(AK30/$AU30)*100</f>
        <v>0</v>
      </c>
      <c r="BH30">
        <f t="shared" ref="BH30" si="137">(AL30/$AU30)*100</f>
        <v>0</v>
      </c>
      <c r="BI30">
        <f t="shared" ref="BI30" si="138">(AM30/$AU30)*100</f>
        <v>0</v>
      </c>
      <c r="BJ30">
        <f t="shared" ref="BJ30" si="139">(AN30/$AU30)*100</f>
        <v>0</v>
      </c>
      <c r="BK30">
        <f t="shared" ref="BK30" si="140">(AO30/$AU30)*100</f>
        <v>0</v>
      </c>
      <c r="BL30">
        <f t="shared" ref="BL30" si="141">(AP30/$AU30)*100</f>
        <v>15.384615384615385</v>
      </c>
      <c r="BM30">
        <f t="shared" ref="BM30" si="142">(AQ30/$AU30)*100</f>
        <v>0</v>
      </c>
      <c r="BN30">
        <f t="shared" ref="BN30" si="143">(AR30/$AU30)*100</f>
        <v>0</v>
      </c>
      <c r="BO30">
        <f t="shared" ref="BO30" si="144">(AS30/$AU30)*100</f>
        <v>7.6923076923076925</v>
      </c>
      <c r="BP30">
        <f t="shared" ref="BP30" si="145">(AT30/$AU30)*100</f>
        <v>0</v>
      </c>
      <c r="BQ30">
        <f>SUM(AW30:BP30)</f>
        <v>100</v>
      </c>
    </row>
    <row r="31" spans="1:69" x14ac:dyDescent="0.35">
      <c r="A31" s="1" t="s">
        <v>61</v>
      </c>
      <c r="B31" s="1">
        <v>29</v>
      </c>
      <c r="C31" s="1" t="s">
        <v>64</v>
      </c>
      <c r="D31" s="1" t="s">
        <v>63</v>
      </c>
      <c r="E31" s="3" t="s">
        <v>21</v>
      </c>
      <c r="F31" s="4">
        <v>19</v>
      </c>
      <c r="G31" s="4">
        <v>0</v>
      </c>
      <c r="H31" s="4">
        <v>0</v>
      </c>
      <c r="I31" s="4">
        <v>0</v>
      </c>
      <c r="J31" s="4">
        <v>0</v>
      </c>
      <c r="K31" s="4">
        <v>1</v>
      </c>
      <c r="L31" s="4">
        <v>3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</row>
    <row r="32" spans="1:69" x14ac:dyDescent="0.35">
      <c r="A32" s="1" t="s">
        <v>61</v>
      </c>
      <c r="B32" s="1">
        <v>30</v>
      </c>
      <c r="C32" s="1" t="s">
        <v>65</v>
      </c>
      <c r="D32" s="1" t="s">
        <v>63</v>
      </c>
      <c r="E32" s="3" t="s">
        <v>21</v>
      </c>
      <c r="F32" s="4">
        <v>15</v>
      </c>
      <c r="G32" s="4">
        <v>0</v>
      </c>
      <c r="H32" s="4">
        <v>0</v>
      </c>
      <c r="I32" s="4">
        <v>0</v>
      </c>
      <c r="J32" s="4">
        <v>6</v>
      </c>
      <c r="K32" s="4">
        <v>1</v>
      </c>
      <c r="L32" s="4">
        <v>3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4</v>
      </c>
      <c r="V32" s="4">
        <v>0</v>
      </c>
      <c r="W32" s="4">
        <v>0</v>
      </c>
      <c r="X32" s="4">
        <v>1</v>
      </c>
      <c r="Y32" s="4">
        <v>0</v>
      </c>
    </row>
    <row r="33" spans="1:69" x14ac:dyDescent="0.35">
      <c r="A33" s="1" t="s">
        <v>56</v>
      </c>
      <c r="B33" s="1">
        <v>31</v>
      </c>
      <c r="C33" s="1" t="s">
        <v>66</v>
      </c>
      <c r="D33" s="1" t="s">
        <v>67</v>
      </c>
      <c r="E33" s="3" t="s">
        <v>21</v>
      </c>
      <c r="F33" s="4">
        <v>4</v>
      </c>
      <c r="G33" s="4">
        <v>0</v>
      </c>
      <c r="H33" s="4">
        <v>0</v>
      </c>
      <c r="I33" s="4">
        <v>0</v>
      </c>
      <c r="J33" s="4">
        <v>2</v>
      </c>
      <c r="K33" s="4">
        <v>0</v>
      </c>
      <c r="L33" s="4">
        <v>7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1</v>
      </c>
      <c r="T33" s="4">
        <v>12</v>
      </c>
      <c r="U33" s="4">
        <v>13</v>
      </c>
      <c r="V33" s="4">
        <v>0</v>
      </c>
      <c r="W33" s="4">
        <v>0</v>
      </c>
      <c r="X33" s="4">
        <v>0</v>
      </c>
      <c r="Y33" s="4">
        <v>1</v>
      </c>
      <c r="AA33">
        <f t="shared" ref="AA33:AT33" si="146">(COUNTIF(F33:F35, "&gt;0"))/3</f>
        <v>1</v>
      </c>
      <c r="AB33">
        <f t="shared" si="146"/>
        <v>0</v>
      </c>
      <c r="AC33">
        <f t="shared" si="146"/>
        <v>0</v>
      </c>
      <c r="AD33">
        <f t="shared" si="146"/>
        <v>0</v>
      </c>
      <c r="AE33">
        <f t="shared" si="146"/>
        <v>0.66666666666666663</v>
      </c>
      <c r="AF33">
        <f t="shared" si="146"/>
        <v>0</v>
      </c>
      <c r="AG33">
        <f t="shared" si="146"/>
        <v>1</v>
      </c>
      <c r="AH33">
        <f t="shared" si="146"/>
        <v>0.33333333333333331</v>
      </c>
      <c r="AI33">
        <f t="shared" si="146"/>
        <v>0.33333333333333331</v>
      </c>
      <c r="AJ33">
        <f t="shared" si="146"/>
        <v>0</v>
      </c>
      <c r="AK33">
        <f t="shared" si="146"/>
        <v>0</v>
      </c>
      <c r="AL33">
        <f t="shared" si="146"/>
        <v>0</v>
      </c>
      <c r="AM33">
        <f t="shared" si="146"/>
        <v>0</v>
      </c>
      <c r="AN33">
        <f t="shared" si="146"/>
        <v>0.33333333333333331</v>
      </c>
      <c r="AO33">
        <f t="shared" si="146"/>
        <v>1</v>
      </c>
      <c r="AP33">
        <f t="shared" si="146"/>
        <v>1</v>
      </c>
      <c r="AQ33">
        <f t="shared" si="146"/>
        <v>0.33333333333333331</v>
      </c>
      <c r="AR33">
        <f t="shared" si="146"/>
        <v>0</v>
      </c>
      <c r="AS33">
        <f t="shared" si="146"/>
        <v>0.33333333333333331</v>
      </c>
      <c r="AT33">
        <f t="shared" si="146"/>
        <v>1</v>
      </c>
      <c r="AU33" s="15">
        <f>SUM(AA33:AT33)</f>
        <v>7.333333333333333</v>
      </c>
      <c r="AW33">
        <f>(AA33/$AU33)*100</f>
        <v>13.636363636363638</v>
      </c>
      <c r="AX33">
        <f>(AB33/$AU33)*100</f>
        <v>0</v>
      </c>
      <c r="AY33">
        <f>(AC33/$AU33)*100</f>
        <v>0</v>
      </c>
      <c r="AZ33">
        <f>(AD33/$AU33)*100</f>
        <v>0</v>
      </c>
      <c r="BA33">
        <f>(AE33/$AU33)*100</f>
        <v>9.0909090909090917</v>
      </c>
      <c r="BB33">
        <f t="shared" ref="BB33" si="147">(AF33/$AU33)*100</f>
        <v>0</v>
      </c>
      <c r="BC33">
        <f t="shared" ref="BC33" si="148">(AG33/$AU33)*100</f>
        <v>13.636363636363638</v>
      </c>
      <c r="BD33">
        <f t="shared" ref="BD33" si="149">(AH33/$AU33)*100</f>
        <v>4.5454545454545459</v>
      </c>
      <c r="BE33">
        <f t="shared" ref="BE33" si="150">(AI33/$AU33)*100</f>
        <v>4.5454545454545459</v>
      </c>
      <c r="BF33">
        <f t="shared" ref="BF33" si="151">(AJ33/$AU33)*100</f>
        <v>0</v>
      </c>
      <c r="BG33">
        <f t="shared" ref="BG33" si="152">(AK33/$AU33)*100</f>
        <v>0</v>
      </c>
      <c r="BH33">
        <f t="shared" ref="BH33" si="153">(AL33/$AU33)*100</f>
        <v>0</v>
      </c>
      <c r="BI33">
        <f t="shared" ref="BI33" si="154">(AM33/$AU33)*100</f>
        <v>0</v>
      </c>
      <c r="BJ33">
        <f t="shared" ref="BJ33" si="155">(AN33/$AU33)*100</f>
        <v>4.5454545454545459</v>
      </c>
      <c r="BK33">
        <f t="shared" ref="BK33" si="156">(AO33/$AU33)*100</f>
        <v>13.636363636363638</v>
      </c>
      <c r="BL33">
        <f t="shared" ref="BL33" si="157">(AP33/$AU33)*100</f>
        <v>13.636363636363638</v>
      </c>
      <c r="BM33">
        <f t="shared" ref="BM33" si="158">(AQ33/$AU33)*100</f>
        <v>4.5454545454545459</v>
      </c>
      <c r="BN33">
        <f t="shared" ref="BN33" si="159">(AR33/$AU33)*100</f>
        <v>0</v>
      </c>
      <c r="BO33">
        <f t="shared" ref="BO33" si="160">(AS33/$AU33)*100</f>
        <v>4.5454545454545459</v>
      </c>
      <c r="BP33">
        <f t="shared" ref="BP33" si="161">(AT33/$AU33)*100</f>
        <v>13.636363636363638</v>
      </c>
      <c r="BQ33">
        <f>SUM(AW33:BP33)</f>
        <v>100.00000000000001</v>
      </c>
    </row>
    <row r="34" spans="1:69" x14ac:dyDescent="0.35">
      <c r="A34" s="1" t="s">
        <v>56</v>
      </c>
      <c r="B34" s="1">
        <v>32</v>
      </c>
      <c r="C34" s="1" t="s">
        <v>68</v>
      </c>
      <c r="D34" s="1" t="s">
        <v>67</v>
      </c>
      <c r="E34" s="3" t="s">
        <v>21</v>
      </c>
      <c r="F34" s="4">
        <v>1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2</v>
      </c>
      <c r="M34" s="4">
        <v>0</v>
      </c>
      <c r="N34" s="4">
        <v>1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12</v>
      </c>
      <c r="U34" s="4">
        <v>20</v>
      </c>
      <c r="V34" s="4">
        <v>1</v>
      </c>
      <c r="W34" s="4">
        <v>0</v>
      </c>
      <c r="X34" s="4">
        <v>0</v>
      </c>
      <c r="Y34" s="4">
        <v>1</v>
      </c>
    </row>
    <row r="35" spans="1:69" x14ac:dyDescent="0.35">
      <c r="A35" s="1" t="s">
        <v>56</v>
      </c>
      <c r="B35" s="1">
        <v>33</v>
      </c>
      <c r="C35" s="1" t="s">
        <v>69</v>
      </c>
      <c r="D35" s="1" t="s">
        <v>67</v>
      </c>
      <c r="E35" s="3" t="s">
        <v>21</v>
      </c>
      <c r="F35" s="4">
        <v>1</v>
      </c>
      <c r="G35" s="4">
        <v>0</v>
      </c>
      <c r="H35" s="4">
        <v>0</v>
      </c>
      <c r="I35" s="4">
        <v>0</v>
      </c>
      <c r="J35" s="4">
        <v>3</v>
      </c>
      <c r="K35" s="4">
        <v>0</v>
      </c>
      <c r="L35" s="4">
        <v>8</v>
      </c>
      <c r="M35" s="4">
        <v>1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22</v>
      </c>
      <c r="U35" s="4">
        <v>6</v>
      </c>
      <c r="V35" s="4">
        <v>0</v>
      </c>
      <c r="W35" s="4">
        <v>0</v>
      </c>
      <c r="X35" s="4">
        <v>1</v>
      </c>
      <c r="Y35" s="4">
        <v>6</v>
      </c>
    </row>
    <row r="36" spans="1:69" x14ac:dyDescent="0.35">
      <c r="A36" s="1" t="s">
        <v>56</v>
      </c>
      <c r="B36" s="1">
        <v>34</v>
      </c>
      <c r="C36" s="1" t="s">
        <v>70</v>
      </c>
      <c r="D36" s="1" t="s">
        <v>71</v>
      </c>
      <c r="E36" s="3" t="s">
        <v>21</v>
      </c>
      <c r="F36" s="4">
        <v>30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11</v>
      </c>
      <c r="M36" s="4">
        <v>0</v>
      </c>
      <c r="N36" s="4">
        <v>0</v>
      </c>
      <c r="O36" s="4">
        <v>0</v>
      </c>
      <c r="P36" s="4">
        <v>1</v>
      </c>
      <c r="Q36" s="4">
        <v>0</v>
      </c>
      <c r="R36" s="4">
        <v>6</v>
      </c>
      <c r="S36" s="4">
        <v>6</v>
      </c>
      <c r="T36" s="4">
        <v>0</v>
      </c>
      <c r="U36" s="4">
        <v>3</v>
      </c>
      <c r="V36" s="4">
        <v>0</v>
      </c>
      <c r="W36" s="4">
        <v>0</v>
      </c>
      <c r="X36" s="4">
        <v>0</v>
      </c>
      <c r="Y36" s="4">
        <v>1</v>
      </c>
      <c r="AA36">
        <f t="shared" ref="AA36:AT36" si="162">(COUNTIF(F36:F38, "&gt;0"))/3</f>
        <v>1</v>
      </c>
      <c r="AB36">
        <f t="shared" si="162"/>
        <v>0.33333333333333331</v>
      </c>
      <c r="AC36">
        <f t="shared" si="162"/>
        <v>0</v>
      </c>
      <c r="AD36">
        <f t="shared" si="162"/>
        <v>0</v>
      </c>
      <c r="AE36">
        <f t="shared" si="162"/>
        <v>0</v>
      </c>
      <c r="AF36">
        <f t="shared" si="162"/>
        <v>0.33333333333333331</v>
      </c>
      <c r="AG36">
        <f t="shared" si="162"/>
        <v>1</v>
      </c>
      <c r="AH36">
        <f t="shared" si="162"/>
        <v>0</v>
      </c>
      <c r="AI36">
        <f t="shared" si="162"/>
        <v>0</v>
      </c>
      <c r="AJ36">
        <f t="shared" si="162"/>
        <v>0</v>
      </c>
      <c r="AK36">
        <f t="shared" si="162"/>
        <v>0.66666666666666663</v>
      </c>
      <c r="AL36">
        <f t="shared" si="162"/>
        <v>0</v>
      </c>
      <c r="AM36">
        <f t="shared" si="162"/>
        <v>0.66666666666666663</v>
      </c>
      <c r="AN36">
        <f t="shared" si="162"/>
        <v>0.33333333333333331</v>
      </c>
      <c r="AO36">
        <f t="shared" si="162"/>
        <v>0.66666666666666663</v>
      </c>
      <c r="AP36">
        <f t="shared" si="162"/>
        <v>1</v>
      </c>
      <c r="AQ36">
        <f t="shared" si="162"/>
        <v>0</v>
      </c>
      <c r="AR36">
        <f t="shared" si="162"/>
        <v>0.33333333333333331</v>
      </c>
      <c r="AS36">
        <f t="shared" si="162"/>
        <v>0.33333333333333331</v>
      </c>
      <c r="AT36">
        <f t="shared" si="162"/>
        <v>0.66666666666666663</v>
      </c>
      <c r="AU36" s="15">
        <f>SUM(AA36:AT36)</f>
        <v>7.333333333333333</v>
      </c>
      <c r="AW36">
        <f>(AA36/$AU36)*100</f>
        <v>13.636363636363638</v>
      </c>
      <c r="AX36">
        <f>(AB36/$AU36)*100</f>
        <v>4.5454545454545459</v>
      </c>
      <c r="AY36">
        <f>(AC36/$AU36)*100</f>
        <v>0</v>
      </c>
      <c r="AZ36">
        <f>(AD36/$AU36)*100</f>
        <v>0</v>
      </c>
      <c r="BA36">
        <f>(AE36/$AU36)*100</f>
        <v>0</v>
      </c>
      <c r="BB36">
        <f t="shared" ref="BB36" si="163">(AF36/$AU36)*100</f>
        <v>4.5454545454545459</v>
      </c>
      <c r="BC36">
        <f t="shared" ref="BC36" si="164">(AG36/$AU36)*100</f>
        <v>13.636363636363638</v>
      </c>
      <c r="BD36">
        <f t="shared" ref="BD36" si="165">(AH36/$AU36)*100</f>
        <v>0</v>
      </c>
      <c r="BE36">
        <f t="shared" ref="BE36" si="166">(AI36/$AU36)*100</f>
        <v>0</v>
      </c>
      <c r="BF36">
        <f t="shared" ref="BF36" si="167">(AJ36/$AU36)*100</f>
        <v>0</v>
      </c>
      <c r="BG36">
        <f t="shared" ref="BG36" si="168">(AK36/$AU36)*100</f>
        <v>9.0909090909090917</v>
      </c>
      <c r="BH36">
        <f t="shared" ref="BH36" si="169">(AL36/$AU36)*100</f>
        <v>0</v>
      </c>
      <c r="BI36">
        <f t="shared" ref="BI36" si="170">(AM36/$AU36)*100</f>
        <v>9.0909090909090917</v>
      </c>
      <c r="BJ36">
        <f t="shared" ref="BJ36" si="171">(AN36/$AU36)*100</f>
        <v>4.5454545454545459</v>
      </c>
      <c r="BK36">
        <f t="shared" ref="BK36" si="172">(AO36/$AU36)*100</f>
        <v>9.0909090909090917</v>
      </c>
      <c r="BL36">
        <f t="shared" ref="BL36" si="173">(AP36/$AU36)*100</f>
        <v>13.636363636363638</v>
      </c>
      <c r="BM36">
        <f t="shared" ref="BM36" si="174">(AQ36/$AU36)*100</f>
        <v>0</v>
      </c>
      <c r="BN36">
        <f t="shared" ref="BN36" si="175">(AR36/$AU36)*100</f>
        <v>4.5454545454545459</v>
      </c>
      <c r="BO36">
        <f t="shared" ref="BO36" si="176">(AS36/$AU36)*100</f>
        <v>4.5454545454545459</v>
      </c>
      <c r="BP36">
        <f t="shared" ref="BP36" si="177">(AT36/$AU36)*100</f>
        <v>9.0909090909090917</v>
      </c>
      <c r="BQ36">
        <f>SUM(AW36:BP36)</f>
        <v>100.00000000000001</v>
      </c>
    </row>
    <row r="37" spans="1:69" x14ac:dyDescent="0.35">
      <c r="A37" s="1" t="s">
        <v>56</v>
      </c>
      <c r="B37" s="1">
        <v>35</v>
      </c>
      <c r="C37" s="1" t="s">
        <v>72</v>
      </c>
      <c r="D37" s="1" t="s">
        <v>71</v>
      </c>
      <c r="E37" s="3" t="s">
        <v>21</v>
      </c>
      <c r="F37" s="4">
        <v>21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9</v>
      </c>
      <c r="M37" s="4">
        <v>0</v>
      </c>
      <c r="N37" s="4">
        <v>0</v>
      </c>
      <c r="O37" s="4">
        <v>0</v>
      </c>
      <c r="P37" s="4">
        <v>1</v>
      </c>
      <c r="Q37" s="4">
        <v>0</v>
      </c>
      <c r="R37" s="4">
        <v>3</v>
      </c>
      <c r="S37" s="4">
        <v>0</v>
      </c>
      <c r="T37" s="4">
        <v>2</v>
      </c>
      <c r="U37" s="4">
        <v>8</v>
      </c>
      <c r="V37" s="4">
        <v>0</v>
      </c>
      <c r="W37" s="4">
        <v>6</v>
      </c>
      <c r="X37" s="4">
        <v>0</v>
      </c>
      <c r="Y37" s="4">
        <v>0</v>
      </c>
    </row>
    <row r="38" spans="1:69" x14ac:dyDescent="0.35">
      <c r="A38" s="1" t="s">
        <v>56</v>
      </c>
      <c r="B38" s="1">
        <v>36</v>
      </c>
      <c r="C38" s="1" t="s">
        <v>73</v>
      </c>
      <c r="D38" s="1" t="s">
        <v>71</v>
      </c>
      <c r="E38" s="3" t="s">
        <v>21</v>
      </c>
      <c r="F38" s="4">
        <v>6</v>
      </c>
      <c r="G38" s="4">
        <v>1</v>
      </c>
      <c r="H38" s="4">
        <v>0</v>
      </c>
      <c r="I38" s="4">
        <v>0</v>
      </c>
      <c r="J38" s="4">
        <v>0</v>
      </c>
      <c r="K38" s="4">
        <v>1</v>
      </c>
      <c r="L38" s="4">
        <v>4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7</v>
      </c>
      <c r="U38" s="4">
        <v>21</v>
      </c>
      <c r="V38" s="4">
        <v>0</v>
      </c>
      <c r="W38" s="4">
        <v>0</v>
      </c>
      <c r="X38" s="4">
        <v>7</v>
      </c>
      <c r="Y38" s="4">
        <v>2</v>
      </c>
    </row>
    <row r="39" spans="1:69" x14ac:dyDescent="0.35">
      <c r="A39" s="1" t="s">
        <v>56</v>
      </c>
      <c r="B39" s="1">
        <v>37</v>
      </c>
      <c r="C39" s="1" t="s">
        <v>74</v>
      </c>
      <c r="D39" s="1" t="s">
        <v>75</v>
      </c>
      <c r="E39" s="3" t="s">
        <v>53</v>
      </c>
      <c r="F39" s="4">
        <v>0</v>
      </c>
      <c r="G39" s="4">
        <v>0</v>
      </c>
      <c r="H39" s="4">
        <v>26</v>
      </c>
      <c r="I39" s="4">
        <v>0</v>
      </c>
      <c r="J39" s="4">
        <v>0</v>
      </c>
      <c r="K39" s="4">
        <v>0</v>
      </c>
      <c r="L39" s="4">
        <v>27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5</v>
      </c>
      <c r="AA39">
        <f t="shared" ref="AA39:AT39" si="178">(COUNTIF(F39:F41, "&gt;0"))/3</f>
        <v>0.66666666666666663</v>
      </c>
      <c r="AB39">
        <f t="shared" si="178"/>
        <v>0</v>
      </c>
      <c r="AC39">
        <f t="shared" si="178"/>
        <v>1</v>
      </c>
      <c r="AD39">
        <f t="shared" si="178"/>
        <v>0</v>
      </c>
      <c r="AE39">
        <f t="shared" si="178"/>
        <v>0</v>
      </c>
      <c r="AF39">
        <f t="shared" si="178"/>
        <v>0</v>
      </c>
      <c r="AG39">
        <f t="shared" si="178"/>
        <v>1</v>
      </c>
      <c r="AH39">
        <f t="shared" si="178"/>
        <v>0</v>
      </c>
      <c r="AI39">
        <f t="shared" si="178"/>
        <v>0</v>
      </c>
      <c r="AJ39">
        <f t="shared" si="178"/>
        <v>0.33333333333333331</v>
      </c>
      <c r="AK39">
        <f t="shared" si="178"/>
        <v>0</v>
      </c>
      <c r="AL39">
        <f t="shared" si="178"/>
        <v>0</v>
      </c>
      <c r="AM39">
        <f t="shared" si="178"/>
        <v>0</v>
      </c>
      <c r="AN39">
        <f t="shared" si="178"/>
        <v>0</v>
      </c>
      <c r="AO39">
        <f t="shared" si="178"/>
        <v>0</v>
      </c>
      <c r="AP39">
        <f t="shared" si="178"/>
        <v>0.33333333333333331</v>
      </c>
      <c r="AQ39">
        <f t="shared" si="178"/>
        <v>0</v>
      </c>
      <c r="AR39">
        <f t="shared" si="178"/>
        <v>0</v>
      </c>
      <c r="AS39">
        <f t="shared" si="178"/>
        <v>0.33333333333333331</v>
      </c>
      <c r="AT39">
        <f t="shared" si="178"/>
        <v>1</v>
      </c>
      <c r="AU39" s="15">
        <f>SUM(AA39:AT39)</f>
        <v>4.666666666666667</v>
      </c>
      <c r="AW39">
        <f>(AA39/$AU39)*100</f>
        <v>14.285714285714285</v>
      </c>
      <c r="AX39">
        <f>(AB39/$AU39)*100</f>
        <v>0</v>
      </c>
      <c r="AY39">
        <f>(AC39/$AU39)*100</f>
        <v>21.428571428571427</v>
      </c>
      <c r="AZ39">
        <f>(AD39/$AU39)*100</f>
        <v>0</v>
      </c>
      <c r="BA39">
        <f>(AE39/$AU39)*100</f>
        <v>0</v>
      </c>
      <c r="BB39">
        <f t="shared" ref="BB39" si="179">(AF39/$AU39)*100</f>
        <v>0</v>
      </c>
      <c r="BC39">
        <f t="shared" ref="BC39" si="180">(AG39/$AU39)*100</f>
        <v>21.428571428571427</v>
      </c>
      <c r="BD39">
        <f t="shared" ref="BD39" si="181">(AH39/$AU39)*100</f>
        <v>0</v>
      </c>
      <c r="BE39">
        <f t="shared" ref="BE39" si="182">(AI39/$AU39)*100</f>
        <v>0</v>
      </c>
      <c r="BF39">
        <f t="shared" ref="BF39" si="183">(AJ39/$AU39)*100</f>
        <v>7.1428571428571423</v>
      </c>
      <c r="BG39">
        <f t="shared" ref="BG39" si="184">(AK39/$AU39)*100</f>
        <v>0</v>
      </c>
      <c r="BH39">
        <f t="shared" ref="BH39" si="185">(AL39/$AU39)*100</f>
        <v>0</v>
      </c>
      <c r="BI39">
        <f t="shared" ref="BI39" si="186">(AM39/$AU39)*100</f>
        <v>0</v>
      </c>
      <c r="BJ39">
        <f t="shared" ref="BJ39" si="187">(AN39/$AU39)*100</f>
        <v>0</v>
      </c>
      <c r="BK39">
        <f t="shared" ref="BK39" si="188">(AO39/$AU39)*100</f>
        <v>0</v>
      </c>
      <c r="BL39">
        <f t="shared" ref="BL39" si="189">(AP39/$AU39)*100</f>
        <v>7.1428571428571423</v>
      </c>
      <c r="BM39">
        <f t="shared" ref="BM39" si="190">(AQ39/$AU39)*100</f>
        <v>0</v>
      </c>
      <c r="BN39">
        <f t="shared" ref="BN39" si="191">(AR39/$AU39)*100</f>
        <v>0</v>
      </c>
      <c r="BO39">
        <f t="shared" ref="BO39" si="192">(AS39/$AU39)*100</f>
        <v>7.1428571428571423</v>
      </c>
      <c r="BP39">
        <f t="shared" ref="BP39" si="193">(AT39/$AU39)*100</f>
        <v>21.428571428571427</v>
      </c>
      <c r="BQ39">
        <f>SUM(AW39:BP39)</f>
        <v>99.999999999999986</v>
      </c>
    </row>
    <row r="40" spans="1:69" x14ac:dyDescent="0.35">
      <c r="A40" s="1" t="s">
        <v>56</v>
      </c>
      <c r="B40" s="1">
        <v>38</v>
      </c>
      <c r="C40" s="1" t="s">
        <v>76</v>
      </c>
      <c r="D40" s="1" t="s">
        <v>75</v>
      </c>
      <c r="E40" s="3" t="s">
        <v>53</v>
      </c>
      <c r="F40" s="4">
        <v>2</v>
      </c>
      <c r="G40" s="4">
        <v>0</v>
      </c>
      <c r="H40" s="4">
        <v>10</v>
      </c>
      <c r="I40" s="4">
        <v>0</v>
      </c>
      <c r="J40" s="4">
        <v>0</v>
      </c>
      <c r="K40" s="4">
        <v>0</v>
      </c>
      <c r="L40" s="4">
        <v>29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</v>
      </c>
      <c r="V40" s="4">
        <v>0</v>
      </c>
      <c r="W40" s="4">
        <v>0</v>
      </c>
      <c r="X40" s="4">
        <v>0</v>
      </c>
      <c r="Y40" s="4">
        <v>10</v>
      </c>
    </row>
    <row r="41" spans="1:69" x14ac:dyDescent="0.35">
      <c r="A41" s="1" t="s">
        <v>56</v>
      </c>
      <c r="B41" s="1">
        <v>39</v>
      </c>
      <c r="C41" s="1" t="s">
        <v>77</v>
      </c>
      <c r="D41" s="1" t="s">
        <v>75</v>
      </c>
      <c r="E41" s="3" t="s">
        <v>53</v>
      </c>
      <c r="F41" s="4">
        <v>4</v>
      </c>
      <c r="G41" s="4">
        <v>0</v>
      </c>
      <c r="H41" s="4">
        <v>2</v>
      </c>
      <c r="I41" s="4">
        <v>0</v>
      </c>
      <c r="J41" s="4">
        <v>0</v>
      </c>
      <c r="K41" s="4">
        <v>0</v>
      </c>
      <c r="L41" s="4">
        <v>17</v>
      </c>
      <c r="M41" s="4">
        <v>0</v>
      </c>
      <c r="N41" s="4">
        <v>0</v>
      </c>
      <c r="O41" s="4">
        <v>14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1</v>
      </c>
      <c r="Y41" s="4">
        <v>11</v>
      </c>
    </row>
    <row r="42" spans="1:69" x14ac:dyDescent="0.35">
      <c r="A42" s="1" t="s">
        <v>18</v>
      </c>
      <c r="B42" s="1">
        <v>40</v>
      </c>
      <c r="C42" s="1" t="s">
        <v>78</v>
      </c>
      <c r="D42" s="1" t="s">
        <v>79</v>
      </c>
      <c r="E42" s="3" t="s">
        <v>53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9</v>
      </c>
      <c r="M42" s="4">
        <v>0</v>
      </c>
      <c r="N42" s="4">
        <v>0</v>
      </c>
      <c r="O42" s="4">
        <v>9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6</v>
      </c>
      <c r="V42" s="4">
        <v>0</v>
      </c>
      <c r="W42" s="4">
        <v>0</v>
      </c>
      <c r="X42" s="4">
        <v>4</v>
      </c>
      <c r="Y42" s="4">
        <v>2</v>
      </c>
      <c r="AA42">
        <f t="shared" ref="AA42:AT42" si="194">(COUNTIF(F42:F44, "&gt;0"))/3</f>
        <v>0.33333333333333331</v>
      </c>
      <c r="AB42">
        <f t="shared" si="194"/>
        <v>0</v>
      </c>
      <c r="AC42">
        <f t="shared" si="194"/>
        <v>0.33333333333333331</v>
      </c>
      <c r="AD42">
        <f t="shared" si="194"/>
        <v>0</v>
      </c>
      <c r="AE42">
        <f t="shared" si="194"/>
        <v>0</v>
      </c>
      <c r="AF42">
        <f t="shared" si="194"/>
        <v>0</v>
      </c>
      <c r="AG42">
        <f t="shared" si="194"/>
        <v>1</v>
      </c>
      <c r="AH42">
        <f t="shared" si="194"/>
        <v>0.33333333333333331</v>
      </c>
      <c r="AI42">
        <f t="shared" si="194"/>
        <v>0</v>
      </c>
      <c r="AJ42">
        <f t="shared" si="194"/>
        <v>1</v>
      </c>
      <c r="AK42">
        <f t="shared" si="194"/>
        <v>0</v>
      </c>
      <c r="AL42">
        <f t="shared" si="194"/>
        <v>0</v>
      </c>
      <c r="AM42">
        <f t="shared" si="194"/>
        <v>0</v>
      </c>
      <c r="AN42">
        <f t="shared" si="194"/>
        <v>0</v>
      </c>
      <c r="AO42">
        <f t="shared" si="194"/>
        <v>0</v>
      </c>
      <c r="AP42">
        <f t="shared" si="194"/>
        <v>0.33333333333333331</v>
      </c>
      <c r="AQ42">
        <f t="shared" si="194"/>
        <v>0</v>
      </c>
      <c r="AR42">
        <f t="shared" si="194"/>
        <v>0</v>
      </c>
      <c r="AS42">
        <f t="shared" si="194"/>
        <v>0.66666666666666663</v>
      </c>
      <c r="AT42">
        <f t="shared" si="194"/>
        <v>1</v>
      </c>
      <c r="AU42" s="15">
        <f>SUM(AA42:AT42)</f>
        <v>5</v>
      </c>
      <c r="AW42">
        <f>(AA42/$AU42)*100</f>
        <v>6.666666666666667</v>
      </c>
      <c r="AX42">
        <f>(AB42/$AU42)*100</f>
        <v>0</v>
      </c>
      <c r="AY42">
        <f>(AC42/$AU42)*100</f>
        <v>6.666666666666667</v>
      </c>
      <c r="AZ42">
        <f>(AD42/$AU42)*100</f>
        <v>0</v>
      </c>
      <c r="BA42">
        <f>(AE42/$AU42)*100</f>
        <v>0</v>
      </c>
      <c r="BB42">
        <f t="shared" ref="BB42" si="195">(AF42/$AU42)*100</f>
        <v>0</v>
      </c>
      <c r="BC42">
        <f t="shared" ref="BC42" si="196">(AG42/$AU42)*100</f>
        <v>20</v>
      </c>
      <c r="BD42">
        <f t="shared" ref="BD42" si="197">(AH42/$AU42)*100</f>
        <v>6.666666666666667</v>
      </c>
      <c r="BE42">
        <f t="shared" ref="BE42" si="198">(AI42/$AU42)*100</f>
        <v>0</v>
      </c>
      <c r="BF42">
        <f t="shared" ref="BF42" si="199">(AJ42/$AU42)*100</f>
        <v>20</v>
      </c>
      <c r="BG42">
        <f t="shared" ref="BG42" si="200">(AK42/$AU42)*100</f>
        <v>0</v>
      </c>
      <c r="BH42">
        <f t="shared" ref="BH42" si="201">(AL42/$AU42)*100</f>
        <v>0</v>
      </c>
      <c r="BI42">
        <f t="shared" ref="BI42" si="202">(AM42/$AU42)*100</f>
        <v>0</v>
      </c>
      <c r="BJ42">
        <f t="shared" ref="BJ42" si="203">(AN42/$AU42)*100</f>
        <v>0</v>
      </c>
      <c r="BK42">
        <f t="shared" ref="BK42" si="204">(AO42/$AU42)*100</f>
        <v>0</v>
      </c>
      <c r="BL42">
        <f t="shared" ref="BL42" si="205">(AP42/$AU42)*100</f>
        <v>6.666666666666667</v>
      </c>
      <c r="BM42">
        <f t="shared" ref="BM42" si="206">(AQ42/$AU42)*100</f>
        <v>0</v>
      </c>
      <c r="BN42">
        <f t="shared" ref="BN42" si="207">(AR42/$AU42)*100</f>
        <v>0</v>
      </c>
      <c r="BO42">
        <f t="shared" ref="BO42" si="208">(AS42/$AU42)*100</f>
        <v>13.333333333333334</v>
      </c>
      <c r="BP42">
        <f t="shared" ref="BP42" si="209">(AT42/$AU42)*100</f>
        <v>20</v>
      </c>
      <c r="BQ42">
        <f>SUM(AW42:BP42)</f>
        <v>100</v>
      </c>
    </row>
    <row r="43" spans="1:69" x14ac:dyDescent="0.35">
      <c r="A43" s="1" t="s">
        <v>18</v>
      </c>
      <c r="B43" s="1">
        <v>41</v>
      </c>
      <c r="C43" s="1" t="s">
        <v>80</v>
      </c>
      <c r="D43" s="1" t="s">
        <v>79</v>
      </c>
      <c r="E43" s="3" t="s">
        <v>53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2</v>
      </c>
      <c r="M43" s="4">
        <v>1</v>
      </c>
      <c r="N43" s="4">
        <v>0</v>
      </c>
      <c r="O43" s="4">
        <v>1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18</v>
      </c>
      <c r="Y43" s="4">
        <v>4</v>
      </c>
    </row>
    <row r="44" spans="1:69" x14ac:dyDescent="0.35">
      <c r="A44" s="1" t="s">
        <v>18</v>
      </c>
      <c r="B44" s="1">
        <v>42</v>
      </c>
      <c r="C44" s="1" t="s">
        <v>81</v>
      </c>
      <c r="D44" s="1" t="s">
        <v>79</v>
      </c>
      <c r="E44" s="3" t="s">
        <v>53</v>
      </c>
      <c r="F44" s="4">
        <v>1</v>
      </c>
      <c r="G44" s="4">
        <v>0</v>
      </c>
      <c r="H44" s="4">
        <v>1</v>
      </c>
      <c r="I44" s="4">
        <v>0</v>
      </c>
      <c r="J44" s="4">
        <v>0</v>
      </c>
      <c r="K44" s="4">
        <v>0</v>
      </c>
      <c r="L44" s="4">
        <v>9</v>
      </c>
      <c r="M44" s="4">
        <v>0</v>
      </c>
      <c r="N44" s="4">
        <v>0</v>
      </c>
      <c r="O44" s="4">
        <v>4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2</v>
      </c>
    </row>
    <row r="45" spans="1:69" x14ac:dyDescent="0.35">
      <c r="A45" s="1" t="s">
        <v>18</v>
      </c>
      <c r="B45" s="1">
        <v>43</v>
      </c>
      <c r="C45" s="1" t="s">
        <v>82</v>
      </c>
      <c r="D45" s="1" t="s">
        <v>83</v>
      </c>
      <c r="E45" s="3" t="s">
        <v>53</v>
      </c>
      <c r="F45" s="4">
        <v>1</v>
      </c>
      <c r="G45" s="4">
        <v>0</v>
      </c>
      <c r="H45" s="4">
        <v>0</v>
      </c>
      <c r="I45" s="4">
        <v>0</v>
      </c>
      <c r="J45" s="4">
        <v>1</v>
      </c>
      <c r="K45" s="4">
        <v>0</v>
      </c>
      <c r="L45" s="4">
        <v>4</v>
      </c>
      <c r="M45" s="4">
        <v>0</v>
      </c>
      <c r="N45" s="4">
        <v>1</v>
      </c>
      <c r="O45" s="4">
        <v>17</v>
      </c>
      <c r="P45" s="4">
        <v>0</v>
      </c>
      <c r="Q45" s="4">
        <v>0</v>
      </c>
      <c r="R45" s="4">
        <v>0</v>
      </c>
      <c r="S45" s="4">
        <v>0</v>
      </c>
      <c r="T45" s="4">
        <v>2</v>
      </c>
      <c r="U45" s="4">
        <v>5</v>
      </c>
      <c r="V45" s="4">
        <v>0</v>
      </c>
      <c r="W45" s="4">
        <v>0</v>
      </c>
      <c r="X45" s="4">
        <v>10</v>
      </c>
      <c r="Y45" s="4">
        <v>4</v>
      </c>
      <c r="AA45">
        <f t="shared" ref="AA45:AT45" si="210">(COUNTIF(F45:F47, "&gt;0"))/3</f>
        <v>0.66666666666666663</v>
      </c>
      <c r="AB45">
        <f t="shared" si="210"/>
        <v>0</v>
      </c>
      <c r="AC45">
        <f t="shared" si="210"/>
        <v>0.33333333333333331</v>
      </c>
      <c r="AD45">
        <f t="shared" si="210"/>
        <v>0</v>
      </c>
      <c r="AE45">
        <f t="shared" si="210"/>
        <v>0.66666666666666663</v>
      </c>
      <c r="AF45">
        <f t="shared" si="210"/>
        <v>0</v>
      </c>
      <c r="AG45">
        <f t="shared" si="210"/>
        <v>1</v>
      </c>
      <c r="AH45">
        <f t="shared" si="210"/>
        <v>0</v>
      </c>
      <c r="AI45">
        <f t="shared" si="210"/>
        <v>0.66666666666666663</v>
      </c>
      <c r="AJ45">
        <f t="shared" si="210"/>
        <v>1</v>
      </c>
      <c r="AK45">
        <f t="shared" si="210"/>
        <v>0</v>
      </c>
      <c r="AL45">
        <f t="shared" si="210"/>
        <v>0</v>
      </c>
      <c r="AM45">
        <f t="shared" si="210"/>
        <v>0</v>
      </c>
      <c r="AN45">
        <f t="shared" si="210"/>
        <v>0</v>
      </c>
      <c r="AO45">
        <f t="shared" si="210"/>
        <v>0.33333333333333331</v>
      </c>
      <c r="AP45">
        <f t="shared" si="210"/>
        <v>0.66666666666666663</v>
      </c>
      <c r="AQ45">
        <f t="shared" si="210"/>
        <v>0</v>
      </c>
      <c r="AR45">
        <f t="shared" si="210"/>
        <v>0</v>
      </c>
      <c r="AS45">
        <f t="shared" si="210"/>
        <v>1</v>
      </c>
      <c r="AT45">
        <f t="shared" si="210"/>
        <v>1</v>
      </c>
      <c r="AU45" s="15">
        <f>SUM(AA45:AT45)</f>
        <v>7.333333333333333</v>
      </c>
      <c r="AW45">
        <f>(AA45/$AU45)*100</f>
        <v>9.0909090909090917</v>
      </c>
      <c r="AX45">
        <f>(AB45/$AU45)*100</f>
        <v>0</v>
      </c>
      <c r="AY45">
        <f>(AC45/$AU45)*100</f>
        <v>4.5454545454545459</v>
      </c>
      <c r="AZ45">
        <f>(AD45/$AU45)*100</f>
        <v>0</v>
      </c>
      <c r="BA45">
        <f>(AE45/$AU45)*100</f>
        <v>9.0909090909090917</v>
      </c>
      <c r="BB45">
        <f t="shared" ref="BB45" si="211">(AF45/$AU45)*100</f>
        <v>0</v>
      </c>
      <c r="BC45">
        <f t="shared" ref="BC45" si="212">(AG45/$AU45)*100</f>
        <v>13.636363636363638</v>
      </c>
      <c r="BD45">
        <f t="shared" ref="BD45" si="213">(AH45/$AU45)*100</f>
        <v>0</v>
      </c>
      <c r="BE45">
        <f t="shared" ref="BE45" si="214">(AI45/$AU45)*100</f>
        <v>9.0909090909090917</v>
      </c>
      <c r="BF45">
        <f t="shared" ref="BF45" si="215">(AJ45/$AU45)*100</f>
        <v>13.636363636363638</v>
      </c>
      <c r="BG45">
        <f t="shared" ref="BG45" si="216">(AK45/$AU45)*100</f>
        <v>0</v>
      </c>
      <c r="BH45">
        <f t="shared" ref="BH45" si="217">(AL45/$AU45)*100</f>
        <v>0</v>
      </c>
      <c r="BI45">
        <f t="shared" ref="BI45" si="218">(AM45/$AU45)*100</f>
        <v>0</v>
      </c>
      <c r="BJ45">
        <f t="shared" ref="BJ45" si="219">(AN45/$AU45)*100</f>
        <v>0</v>
      </c>
      <c r="BK45">
        <f t="shared" ref="BK45" si="220">(AO45/$AU45)*100</f>
        <v>4.5454545454545459</v>
      </c>
      <c r="BL45">
        <f t="shared" ref="BL45" si="221">(AP45/$AU45)*100</f>
        <v>9.0909090909090917</v>
      </c>
      <c r="BM45">
        <f t="shared" ref="BM45" si="222">(AQ45/$AU45)*100</f>
        <v>0</v>
      </c>
      <c r="BN45">
        <f t="shared" ref="BN45" si="223">(AR45/$AU45)*100</f>
        <v>0</v>
      </c>
      <c r="BO45">
        <f t="shared" ref="BO45" si="224">(AS45/$AU45)*100</f>
        <v>13.636363636363638</v>
      </c>
      <c r="BP45">
        <f t="shared" ref="BP45" si="225">(AT45/$AU45)*100</f>
        <v>13.636363636363638</v>
      </c>
      <c r="BQ45">
        <f>SUM(AW45:BP45)</f>
        <v>100.00000000000001</v>
      </c>
    </row>
    <row r="46" spans="1:69" x14ac:dyDescent="0.35">
      <c r="A46" s="1" t="s">
        <v>18</v>
      </c>
      <c r="B46" s="1">
        <v>44</v>
      </c>
      <c r="C46" s="1" t="s">
        <v>84</v>
      </c>
      <c r="D46" s="1" t="s">
        <v>83</v>
      </c>
      <c r="E46" s="3" t="s">
        <v>53</v>
      </c>
      <c r="F46" s="4">
        <v>0</v>
      </c>
      <c r="G46" s="4">
        <v>0</v>
      </c>
      <c r="H46" s="4">
        <v>0</v>
      </c>
      <c r="I46" s="4">
        <v>0</v>
      </c>
      <c r="J46" s="4">
        <v>2</v>
      </c>
      <c r="K46" s="4">
        <v>0</v>
      </c>
      <c r="L46" s="4">
        <v>7</v>
      </c>
      <c r="M46" s="4">
        <v>0</v>
      </c>
      <c r="N46" s="4">
        <v>0</v>
      </c>
      <c r="O46" s="4">
        <v>3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9</v>
      </c>
      <c r="V46" s="4">
        <v>0</v>
      </c>
      <c r="W46" s="4">
        <v>0</v>
      </c>
      <c r="X46" s="4">
        <v>2</v>
      </c>
      <c r="Y46" s="4">
        <v>6</v>
      </c>
    </row>
    <row r="47" spans="1:69" x14ac:dyDescent="0.35">
      <c r="A47" s="1" t="s">
        <v>18</v>
      </c>
      <c r="B47" s="1">
        <v>45</v>
      </c>
      <c r="C47" s="1" t="s">
        <v>85</v>
      </c>
      <c r="D47" s="1" t="s">
        <v>83</v>
      </c>
      <c r="E47" s="3" t="s">
        <v>53</v>
      </c>
      <c r="F47" s="4">
        <v>3</v>
      </c>
      <c r="G47" s="4">
        <v>0</v>
      </c>
      <c r="H47" s="4">
        <v>2</v>
      </c>
      <c r="I47" s="4">
        <v>0</v>
      </c>
      <c r="J47" s="4">
        <v>0</v>
      </c>
      <c r="K47" s="4">
        <v>0</v>
      </c>
      <c r="L47" s="4">
        <v>13</v>
      </c>
      <c r="M47" s="4">
        <v>0</v>
      </c>
      <c r="N47" s="4">
        <v>1</v>
      </c>
      <c r="O47" s="4">
        <v>4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2</v>
      </c>
      <c r="Y47" s="4">
        <v>6</v>
      </c>
    </row>
    <row r="48" spans="1:69" x14ac:dyDescent="0.35">
      <c r="A48" s="1" t="s">
        <v>86</v>
      </c>
      <c r="B48" s="1">
        <v>46</v>
      </c>
      <c r="C48" s="1" t="s">
        <v>87</v>
      </c>
      <c r="D48" s="1" t="s">
        <v>88</v>
      </c>
      <c r="E48" s="3" t="s">
        <v>21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4</v>
      </c>
      <c r="M48" s="4">
        <v>5</v>
      </c>
      <c r="N48" s="4">
        <v>0</v>
      </c>
      <c r="O48" s="4">
        <v>0</v>
      </c>
      <c r="P48" s="4">
        <v>0</v>
      </c>
      <c r="Q48" s="4">
        <v>0</v>
      </c>
      <c r="R48" s="4">
        <v>3</v>
      </c>
      <c r="S48" s="4">
        <v>0</v>
      </c>
      <c r="T48" s="4">
        <v>5</v>
      </c>
      <c r="U48" s="4">
        <v>0</v>
      </c>
      <c r="V48" s="4">
        <v>40</v>
      </c>
      <c r="W48" s="4">
        <v>0</v>
      </c>
      <c r="X48" s="4">
        <v>0</v>
      </c>
      <c r="Y48" s="4">
        <v>2</v>
      </c>
      <c r="AA48">
        <f t="shared" ref="AA48:AT48" si="226">(COUNTIF(F48:F50, "&gt;0"))/3</f>
        <v>0.66666666666666663</v>
      </c>
      <c r="AB48">
        <f t="shared" si="226"/>
        <v>0</v>
      </c>
      <c r="AC48">
        <f t="shared" si="226"/>
        <v>0</v>
      </c>
      <c r="AD48">
        <f t="shared" si="226"/>
        <v>0</v>
      </c>
      <c r="AE48">
        <f t="shared" si="226"/>
        <v>0</v>
      </c>
      <c r="AF48">
        <f t="shared" si="226"/>
        <v>0</v>
      </c>
      <c r="AG48">
        <f t="shared" si="226"/>
        <v>1</v>
      </c>
      <c r="AH48">
        <f t="shared" si="226"/>
        <v>0.66666666666666663</v>
      </c>
      <c r="AI48">
        <f t="shared" si="226"/>
        <v>0</v>
      </c>
      <c r="AJ48">
        <f t="shared" si="226"/>
        <v>0</v>
      </c>
      <c r="AK48">
        <f t="shared" si="226"/>
        <v>0</v>
      </c>
      <c r="AL48">
        <f t="shared" si="226"/>
        <v>0</v>
      </c>
      <c r="AM48">
        <f t="shared" si="226"/>
        <v>0.33333333333333331</v>
      </c>
      <c r="AN48">
        <f t="shared" si="226"/>
        <v>0</v>
      </c>
      <c r="AO48">
        <f t="shared" si="226"/>
        <v>0.66666666666666663</v>
      </c>
      <c r="AP48">
        <f t="shared" si="226"/>
        <v>0.66666666666666663</v>
      </c>
      <c r="AQ48">
        <f t="shared" si="226"/>
        <v>0.66666666666666663</v>
      </c>
      <c r="AR48">
        <f t="shared" si="226"/>
        <v>0.33333333333333331</v>
      </c>
      <c r="AS48">
        <f t="shared" si="226"/>
        <v>0.33333333333333331</v>
      </c>
      <c r="AT48">
        <f t="shared" si="226"/>
        <v>1</v>
      </c>
      <c r="AU48" s="15">
        <f>SUM(AA48:AT48)</f>
        <v>6.3333333333333321</v>
      </c>
      <c r="AW48">
        <f>(AA48/$AU48)*100</f>
        <v>10.526315789473685</v>
      </c>
      <c r="AX48">
        <f>(AB48/$AU48)*100</f>
        <v>0</v>
      </c>
      <c r="AY48">
        <f>(AC48/$AU48)*100</f>
        <v>0</v>
      </c>
      <c r="AZ48">
        <f>(AD48/$AU48)*100</f>
        <v>0</v>
      </c>
      <c r="BA48">
        <f>(AE48/$AU48)*100</f>
        <v>0</v>
      </c>
      <c r="BB48">
        <f t="shared" ref="BB48" si="227">(AF48/$AU48)*100</f>
        <v>0</v>
      </c>
      <c r="BC48">
        <f t="shared" ref="BC48" si="228">(AG48/$AU48)*100</f>
        <v>15.789473684210527</v>
      </c>
      <c r="BD48">
        <f t="shared" ref="BD48" si="229">(AH48/$AU48)*100</f>
        <v>10.526315789473685</v>
      </c>
      <c r="BE48">
        <f t="shared" ref="BE48" si="230">(AI48/$AU48)*100</f>
        <v>0</v>
      </c>
      <c r="BF48">
        <f t="shared" ref="BF48" si="231">(AJ48/$AU48)*100</f>
        <v>0</v>
      </c>
      <c r="BG48">
        <f t="shared" ref="BG48" si="232">(AK48/$AU48)*100</f>
        <v>0</v>
      </c>
      <c r="BH48">
        <f t="shared" ref="BH48" si="233">(AL48/$AU48)*100</f>
        <v>0</v>
      </c>
      <c r="BI48">
        <f t="shared" ref="BI48" si="234">(AM48/$AU48)*100</f>
        <v>5.2631578947368425</v>
      </c>
      <c r="BJ48">
        <f t="shared" ref="BJ48" si="235">(AN48/$AU48)*100</f>
        <v>0</v>
      </c>
      <c r="BK48">
        <f t="shared" ref="BK48" si="236">(AO48/$AU48)*100</f>
        <v>10.526315789473685</v>
      </c>
      <c r="BL48">
        <f t="shared" ref="BL48" si="237">(AP48/$AU48)*100</f>
        <v>10.526315789473685</v>
      </c>
      <c r="BM48">
        <f t="shared" ref="BM48" si="238">(AQ48/$AU48)*100</f>
        <v>10.526315789473685</v>
      </c>
      <c r="BN48">
        <f t="shared" ref="BN48" si="239">(AR48/$AU48)*100</f>
        <v>5.2631578947368425</v>
      </c>
      <c r="BO48">
        <f t="shared" ref="BO48" si="240">(AS48/$AU48)*100</f>
        <v>5.2631578947368425</v>
      </c>
      <c r="BP48">
        <f t="shared" ref="BP48" si="241">(AT48/$AU48)*100</f>
        <v>15.789473684210527</v>
      </c>
      <c r="BQ48">
        <f>SUM(AW48:BP48)</f>
        <v>100</v>
      </c>
    </row>
    <row r="49" spans="1:69" x14ac:dyDescent="0.35">
      <c r="A49" s="1" t="s">
        <v>86</v>
      </c>
      <c r="B49" s="1">
        <v>47</v>
      </c>
      <c r="C49" s="1" t="s">
        <v>89</v>
      </c>
      <c r="D49" s="1" t="s">
        <v>88</v>
      </c>
      <c r="E49" s="3" t="s">
        <v>21</v>
      </c>
      <c r="F49" s="4">
        <v>7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12</v>
      </c>
      <c r="M49" s="4">
        <v>8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1</v>
      </c>
      <c r="V49" s="4">
        <v>0</v>
      </c>
      <c r="W49" s="4">
        <v>2</v>
      </c>
      <c r="X49" s="4">
        <v>15</v>
      </c>
      <c r="Y49" s="4">
        <v>8</v>
      </c>
    </row>
    <row r="50" spans="1:69" x14ac:dyDescent="0.35">
      <c r="A50" s="1" t="s">
        <v>86</v>
      </c>
      <c r="B50" s="1">
        <v>48</v>
      </c>
      <c r="C50" s="1" t="s">
        <v>90</v>
      </c>
      <c r="D50" s="5" t="s">
        <v>88</v>
      </c>
      <c r="E50" s="3" t="s">
        <v>21</v>
      </c>
      <c r="F50" s="4">
        <v>2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4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2</v>
      </c>
      <c r="U50" s="4">
        <v>2</v>
      </c>
      <c r="V50" s="4">
        <v>8</v>
      </c>
      <c r="W50" s="4">
        <v>0</v>
      </c>
      <c r="X50" s="4">
        <v>0</v>
      </c>
      <c r="Y50" s="4">
        <v>6</v>
      </c>
    </row>
    <row r="51" spans="1:69" x14ac:dyDescent="0.35">
      <c r="A51" s="1" t="s">
        <v>91</v>
      </c>
      <c r="B51" s="1">
        <v>49</v>
      </c>
      <c r="C51" s="1" t="s">
        <v>92</v>
      </c>
      <c r="D51" s="1" t="s">
        <v>93</v>
      </c>
      <c r="E51" s="3" t="s">
        <v>21</v>
      </c>
      <c r="F51" s="4">
        <v>12</v>
      </c>
      <c r="G51" s="4">
        <v>0</v>
      </c>
      <c r="H51" s="4">
        <v>0</v>
      </c>
      <c r="I51" s="4">
        <v>0</v>
      </c>
      <c r="J51" s="4">
        <v>2</v>
      </c>
      <c r="K51" s="4">
        <v>0</v>
      </c>
      <c r="L51" s="4">
        <v>12</v>
      </c>
      <c r="M51" s="4">
        <v>0</v>
      </c>
      <c r="N51" s="4">
        <v>0</v>
      </c>
      <c r="O51" s="4">
        <v>0</v>
      </c>
      <c r="P51" s="4">
        <v>0</v>
      </c>
      <c r="Q51" s="4">
        <v>1</v>
      </c>
      <c r="R51" s="4">
        <v>0</v>
      </c>
      <c r="S51" s="4">
        <v>0</v>
      </c>
      <c r="T51" s="4">
        <v>2</v>
      </c>
      <c r="U51" s="4">
        <v>20</v>
      </c>
      <c r="V51" s="4">
        <v>0</v>
      </c>
      <c r="W51" s="4">
        <v>2</v>
      </c>
      <c r="X51" s="4">
        <v>8</v>
      </c>
      <c r="Y51" s="4">
        <v>0</v>
      </c>
      <c r="AA51">
        <f t="shared" ref="AA51:AT51" si="242">(COUNTIF(F51:F53, "&gt;0"))/3</f>
        <v>1</v>
      </c>
      <c r="AB51">
        <f t="shared" si="242"/>
        <v>0</v>
      </c>
      <c r="AC51">
        <f t="shared" si="242"/>
        <v>0</v>
      </c>
      <c r="AD51">
        <f t="shared" si="242"/>
        <v>0</v>
      </c>
      <c r="AE51">
        <f t="shared" si="242"/>
        <v>1</v>
      </c>
      <c r="AF51">
        <f t="shared" si="242"/>
        <v>0</v>
      </c>
      <c r="AG51">
        <f t="shared" si="242"/>
        <v>1</v>
      </c>
      <c r="AH51">
        <f t="shared" si="242"/>
        <v>0</v>
      </c>
      <c r="AI51">
        <f t="shared" si="242"/>
        <v>0</v>
      </c>
      <c r="AJ51">
        <f t="shared" si="242"/>
        <v>0</v>
      </c>
      <c r="AK51">
        <f t="shared" si="242"/>
        <v>0</v>
      </c>
      <c r="AL51">
        <f t="shared" si="242"/>
        <v>0.66666666666666663</v>
      </c>
      <c r="AM51">
        <f t="shared" si="242"/>
        <v>0</v>
      </c>
      <c r="AN51">
        <f t="shared" si="242"/>
        <v>0</v>
      </c>
      <c r="AO51">
        <f t="shared" si="242"/>
        <v>0.33333333333333331</v>
      </c>
      <c r="AP51">
        <f t="shared" si="242"/>
        <v>1</v>
      </c>
      <c r="AQ51">
        <f t="shared" si="242"/>
        <v>0</v>
      </c>
      <c r="AR51">
        <f t="shared" si="242"/>
        <v>0.66666666666666663</v>
      </c>
      <c r="AS51">
        <f t="shared" si="242"/>
        <v>1</v>
      </c>
      <c r="AT51">
        <f t="shared" si="242"/>
        <v>0.33333333333333331</v>
      </c>
      <c r="AU51" s="15">
        <f>SUM(AA51:AT51)</f>
        <v>7</v>
      </c>
      <c r="AW51">
        <f>(AA51/$AU51)*100</f>
        <v>14.285714285714285</v>
      </c>
      <c r="AX51">
        <f>(AB51/$AU51)*100</f>
        <v>0</v>
      </c>
      <c r="AY51">
        <f>(AC51/$AU51)*100</f>
        <v>0</v>
      </c>
      <c r="AZ51">
        <f>(AD51/$AU51)*100</f>
        <v>0</v>
      </c>
      <c r="BA51">
        <f>(AE51/$AU51)*100</f>
        <v>14.285714285714285</v>
      </c>
      <c r="BB51">
        <f t="shared" ref="BB51" si="243">(AF51/$AU51)*100</f>
        <v>0</v>
      </c>
      <c r="BC51">
        <f t="shared" ref="BC51" si="244">(AG51/$AU51)*100</f>
        <v>14.285714285714285</v>
      </c>
      <c r="BD51">
        <f t="shared" ref="BD51" si="245">(AH51/$AU51)*100</f>
        <v>0</v>
      </c>
      <c r="BE51">
        <f t="shared" ref="BE51" si="246">(AI51/$AU51)*100</f>
        <v>0</v>
      </c>
      <c r="BF51">
        <f t="shared" ref="BF51" si="247">(AJ51/$AU51)*100</f>
        <v>0</v>
      </c>
      <c r="BG51">
        <f t="shared" ref="BG51" si="248">(AK51/$AU51)*100</f>
        <v>0</v>
      </c>
      <c r="BH51">
        <f t="shared" ref="BH51" si="249">(AL51/$AU51)*100</f>
        <v>9.5238095238095237</v>
      </c>
      <c r="BI51">
        <f t="shared" ref="BI51" si="250">(AM51/$AU51)*100</f>
        <v>0</v>
      </c>
      <c r="BJ51">
        <f t="shared" ref="BJ51" si="251">(AN51/$AU51)*100</f>
        <v>0</v>
      </c>
      <c r="BK51">
        <f t="shared" ref="BK51" si="252">(AO51/$AU51)*100</f>
        <v>4.7619047619047619</v>
      </c>
      <c r="BL51">
        <f t="shared" ref="BL51" si="253">(AP51/$AU51)*100</f>
        <v>14.285714285714285</v>
      </c>
      <c r="BM51">
        <f t="shared" ref="BM51" si="254">(AQ51/$AU51)*100</f>
        <v>0</v>
      </c>
      <c r="BN51">
        <f t="shared" ref="BN51" si="255">(AR51/$AU51)*100</f>
        <v>9.5238095238095237</v>
      </c>
      <c r="BO51">
        <f t="shared" ref="BO51" si="256">(AS51/$AU51)*100</f>
        <v>14.285714285714285</v>
      </c>
      <c r="BP51">
        <f t="shared" ref="BP51" si="257">(AT51/$AU51)*100</f>
        <v>4.7619047619047619</v>
      </c>
      <c r="BQ51">
        <f>SUM(AW51:BP51)</f>
        <v>99.999999999999972</v>
      </c>
    </row>
    <row r="52" spans="1:69" x14ac:dyDescent="0.35">
      <c r="A52" s="1" t="s">
        <v>91</v>
      </c>
      <c r="B52" s="1">
        <v>50</v>
      </c>
      <c r="C52" s="1" t="s">
        <v>94</v>
      </c>
      <c r="D52" s="1" t="s">
        <v>93</v>
      </c>
      <c r="E52" s="3" t="s">
        <v>21</v>
      </c>
      <c r="F52" s="4">
        <v>4</v>
      </c>
      <c r="G52" s="4">
        <v>0</v>
      </c>
      <c r="H52" s="4">
        <v>0</v>
      </c>
      <c r="I52" s="4">
        <v>0</v>
      </c>
      <c r="J52" s="4">
        <v>3</v>
      </c>
      <c r="K52" s="4">
        <v>0</v>
      </c>
      <c r="L52" s="4">
        <v>19</v>
      </c>
      <c r="M52" s="4">
        <v>0</v>
      </c>
      <c r="N52" s="4">
        <v>0</v>
      </c>
      <c r="O52" s="4">
        <v>0</v>
      </c>
      <c r="P52" s="4">
        <v>0</v>
      </c>
      <c r="Q52" s="4">
        <v>1</v>
      </c>
      <c r="R52" s="4">
        <v>0</v>
      </c>
      <c r="S52" s="4">
        <v>0</v>
      </c>
      <c r="T52" s="4">
        <v>0</v>
      </c>
      <c r="U52" s="4">
        <v>42</v>
      </c>
      <c r="V52" s="4">
        <v>0</v>
      </c>
      <c r="W52" s="4">
        <v>0</v>
      </c>
      <c r="X52" s="4">
        <v>9</v>
      </c>
      <c r="Y52" s="4">
        <v>0</v>
      </c>
    </row>
    <row r="53" spans="1:69" x14ac:dyDescent="0.35">
      <c r="A53" s="1" t="s">
        <v>91</v>
      </c>
      <c r="B53" s="1">
        <v>51</v>
      </c>
      <c r="C53" s="1" t="s">
        <v>95</v>
      </c>
      <c r="D53" s="1" t="s">
        <v>93</v>
      </c>
      <c r="E53" s="3" t="s">
        <v>21</v>
      </c>
      <c r="F53" s="4">
        <v>2</v>
      </c>
      <c r="G53" s="4">
        <v>0</v>
      </c>
      <c r="H53" s="4">
        <v>0</v>
      </c>
      <c r="I53" s="4">
        <v>0</v>
      </c>
      <c r="J53" s="4">
        <v>2</v>
      </c>
      <c r="K53" s="4">
        <v>0</v>
      </c>
      <c r="L53" s="4">
        <v>11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25</v>
      </c>
      <c r="V53" s="4">
        <v>0</v>
      </c>
      <c r="W53" s="4">
        <v>3</v>
      </c>
      <c r="X53" s="4">
        <v>7</v>
      </c>
      <c r="Y53" s="4">
        <v>1</v>
      </c>
    </row>
    <row r="54" spans="1:69" x14ac:dyDescent="0.35">
      <c r="A54" s="1" t="s">
        <v>91</v>
      </c>
      <c r="B54" s="1">
        <v>52</v>
      </c>
      <c r="C54" s="1" t="s">
        <v>96</v>
      </c>
      <c r="D54" s="1" t="s">
        <v>97</v>
      </c>
      <c r="E54" s="3" t="s">
        <v>27</v>
      </c>
      <c r="F54" s="4">
        <v>0</v>
      </c>
      <c r="G54" s="4">
        <v>0</v>
      </c>
      <c r="H54" s="4">
        <v>0</v>
      </c>
      <c r="I54" s="4">
        <v>0</v>
      </c>
      <c r="J54" s="4">
        <v>5</v>
      </c>
      <c r="K54" s="4">
        <v>0</v>
      </c>
      <c r="L54" s="4">
        <v>12</v>
      </c>
      <c r="M54" s="4">
        <v>0</v>
      </c>
      <c r="N54" s="4">
        <v>0</v>
      </c>
      <c r="O54" s="4">
        <v>0</v>
      </c>
      <c r="P54" s="4">
        <v>0</v>
      </c>
      <c r="Q54" s="4">
        <v>2</v>
      </c>
      <c r="R54" s="4">
        <v>0</v>
      </c>
      <c r="S54" s="4">
        <v>0</v>
      </c>
      <c r="T54" s="4">
        <v>0</v>
      </c>
      <c r="U54" s="4">
        <v>17</v>
      </c>
      <c r="V54" s="4">
        <v>0</v>
      </c>
      <c r="W54" s="4">
        <v>0</v>
      </c>
      <c r="X54" s="4">
        <v>16</v>
      </c>
      <c r="Y54" s="4">
        <v>0</v>
      </c>
      <c r="AA54">
        <f t="shared" ref="AA54:AT54" si="258">(COUNTIF(F54:F56, "&gt;0"))/3</f>
        <v>0.66666666666666663</v>
      </c>
      <c r="AB54">
        <f t="shared" si="258"/>
        <v>0.33333333333333331</v>
      </c>
      <c r="AC54">
        <f t="shared" si="258"/>
        <v>0</v>
      </c>
      <c r="AD54">
        <f t="shared" si="258"/>
        <v>0</v>
      </c>
      <c r="AE54">
        <f t="shared" si="258"/>
        <v>1</v>
      </c>
      <c r="AF54">
        <f t="shared" si="258"/>
        <v>0</v>
      </c>
      <c r="AG54">
        <f t="shared" si="258"/>
        <v>1</v>
      </c>
      <c r="AH54">
        <f t="shared" si="258"/>
        <v>0.66666666666666663</v>
      </c>
      <c r="AI54">
        <f t="shared" si="258"/>
        <v>0</v>
      </c>
      <c r="AJ54">
        <f t="shared" si="258"/>
        <v>0</v>
      </c>
      <c r="AK54">
        <f t="shared" si="258"/>
        <v>0.33333333333333331</v>
      </c>
      <c r="AL54">
        <f t="shared" si="258"/>
        <v>0.33333333333333331</v>
      </c>
      <c r="AM54">
        <f t="shared" si="258"/>
        <v>0</v>
      </c>
      <c r="AN54">
        <f t="shared" si="258"/>
        <v>0.33333333333333331</v>
      </c>
      <c r="AO54">
        <f t="shared" si="258"/>
        <v>0.33333333333333331</v>
      </c>
      <c r="AP54">
        <f t="shared" si="258"/>
        <v>1</v>
      </c>
      <c r="AQ54">
        <f t="shared" si="258"/>
        <v>0</v>
      </c>
      <c r="AR54">
        <f t="shared" si="258"/>
        <v>0.33333333333333331</v>
      </c>
      <c r="AS54">
        <f t="shared" si="258"/>
        <v>1</v>
      </c>
      <c r="AT54">
        <f t="shared" si="258"/>
        <v>0.66666666666666663</v>
      </c>
      <c r="AU54" s="15">
        <f>SUM(AA54:AT54)</f>
        <v>7.9999999999999991</v>
      </c>
      <c r="AW54">
        <f>(AA54/$AU54)*100</f>
        <v>8.3333333333333339</v>
      </c>
      <c r="AX54">
        <f>(AB54/$AU54)*100</f>
        <v>4.166666666666667</v>
      </c>
      <c r="AY54">
        <f>(AC54/$AU54)*100</f>
        <v>0</v>
      </c>
      <c r="AZ54">
        <f>(AD54/$AU54)*100</f>
        <v>0</v>
      </c>
      <c r="BA54">
        <f>(AE54/$AU54)*100</f>
        <v>12.5</v>
      </c>
      <c r="BB54">
        <f t="shared" ref="BB54" si="259">(AF54/$AU54)*100</f>
        <v>0</v>
      </c>
      <c r="BC54">
        <f t="shared" ref="BC54" si="260">(AG54/$AU54)*100</f>
        <v>12.5</v>
      </c>
      <c r="BD54">
        <f t="shared" ref="BD54" si="261">(AH54/$AU54)*100</f>
        <v>8.3333333333333339</v>
      </c>
      <c r="BE54">
        <f t="shared" ref="BE54" si="262">(AI54/$AU54)*100</f>
        <v>0</v>
      </c>
      <c r="BF54">
        <f t="shared" ref="BF54" si="263">(AJ54/$AU54)*100</f>
        <v>0</v>
      </c>
      <c r="BG54">
        <f t="shared" ref="BG54" si="264">(AK54/$AU54)*100</f>
        <v>4.166666666666667</v>
      </c>
      <c r="BH54">
        <f t="shared" ref="BH54" si="265">(AL54/$AU54)*100</f>
        <v>4.166666666666667</v>
      </c>
      <c r="BI54">
        <f t="shared" ref="BI54" si="266">(AM54/$AU54)*100</f>
        <v>0</v>
      </c>
      <c r="BJ54">
        <f t="shared" ref="BJ54" si="267">(AN54/$AU54)*100</f>
        <v>4.166666666666667</v>
      </c>
      <c r="BK54">
        <f t="shared" ref="BK54" si="268">(AO54/$AU54)*100</f>
        <v>4.166666666666667</v>
      </c>
      <c r="BL54">
        <f t="shared" ref="BL54" si="269">(AP54/$AU54)*100</f>
        <v>12.5</v>
      </c>
      <c r="BM54">
        <f t="shared" ref="BM54" si="270">(AQ54/$AU54)*100</f>
        <v>0</v>
      </c>
      <c r="BN54">
        <f t="shared" ref="BN54" si="271">(AR54/$AU54)*100</f>
        <v>4.166666666666667</v>
      </c>
      <c r="BO54">
        <f t="shared" ref="BO54" si="272">(AS54/$AU54)*100</f>
        <v>12.5</v>
      </c>
      <c r="BP54">
        <f t="shared" ref="BP54" si="273">(AT54/$AU54)*100</f>
        <v>8.3333333333333339</v>
      </c>
      <c r="BQ54">
        <f>SUM(AW54:BP54)</f>
        <v>100</v>
      </c>
    </row>
    <row r="55" spans="1:69" x14ac:dyDescent="0.35">
      <c r="A55" s="1" t="s">
        <v>91</v>
      </c>
      <c r="B55" s="1">
        <v>53</v>
      </c>
      <c r="C55" s="1" t="s">
        <v>98</v>
      </c>
      <c r="D55" s="1" t="s">
        <v>97</v>
      </c>
      <c r="E55" s="3" t="s">
        <v>27</v>
      </c>
      <c r="F55" s="4">
        <v>3</v>
      </c>
      <c r="G55" s="4">
        <v>1</v>
      </c>
      <c r="H55" s="4">
        <v>0</v>
      </c>
      <c r="I55" s="4">
        <v>0</v>
      </c>
      <c r="J55" s="4">
        <v>4</v>
      </c>
      <c r="K55" s="4">
        <v>0</v>
      </c>
      <c r="L55" s="4">
        <v>15</v>
      </c>
      <c r="M55" s="4">
        <v>6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6</v>
      </c>
      <c r="U55" s="4">
        <v>7</v>
      </c>
      <c r="V55" s="4">
        <v>0</v>
      </c>
      <c r="W55" s="4">
        <v>1</v>
      </c>
      <c r="X55" s="4">
        <v>1</v>
      </c>
      <c r="Y55" s="4">
        <v>1</v>
      </c>
    </row>
    <row r="56" spans="1:69" x14ac:dyDescent="0.35">
      <c r="A56" s="1" t="s">
        <v>91</v>
      </c>
      <c r="B56" s="1">
        <v>54</v>
      </c>
      <c r="C56" s="1" t="s">
        <v>99</v>
      </c>
      <c r="D56" s="1" t="s">
        <v>97</v>
      </c>
      <c r="E56" s="3" t="s">
        <v>27</v>
      </c>
      <c r="F56" s="4">
        <v>1</v>
      </c>
      <c r="G56" s="4">
        <v>0</v>
      </c>
      <c r="H56" s="4">
        <v>0</v>
      </c>
      <c r="I56" s="4">
        <v>0</v>
      </c>
      <c r="J56" s="4">
        <v>2</v>
      </c>
      <c r="K56" s="4">
        <v>0</v>
      </c>
      <c r="L56" s="4">
        <v>11</v>
      </c>
      <c r="M56" s="4">
        <v>1</v>
      </c>
      <c r="N56" s="4">
        <v>0</v>
      </c>
      <c r="O56" s="4">
        <v>0</v>
      </c>
      <c r="P56" s="4">
        <v>2</v>
      </c>
      <c r="Q56" s="4">
        <v>0</v>
      </c>
      <c r="R56" s="4">
        <v>0</v>
      </c>
      <c r="S56" s="4">
        <v>4</v>
      </c>
      <c r="T56" s="4">
        <v>0</v>
      </c>
      <c r="U56" s="4">
        <v>18</v>
      </c>
      <c r="V56" s="4">
        <v>0</v>
      </c>
      <c r="W56" s="4">
        <v>0</v>
      </c>
      <c r="X56" s="4">
        <v>1</v>
      </c>
      <c r="Y56" s="4">
        <v>2</v>
      </c>
    </row>
    <row r="57" spans="1:69" x14ac:dyDescent="0.35">
      <c r="A57" s="1" t="s">
        <v>91</v>
      </c>
      <c r="B57" s="1">
        <v>55</v>
      </c>
      <c r="C57" s="1" t="s">
        <v>100</v>
      </c>
      <c r="D57" s="1" t="s">
        <v>101</v>
      </c>
      <c r="E57" s="3" t="s">
        <v>21</v>
      </c>
      <c r="F57" s="4">
        <v>5</v>
      </c>
      <c r="G57" s="4">
        <v>0</v>
      </c>
      <c r="H57" s="4">
        <v>0</v>
      </c>
      <c r="I57" s="4">
        <v>0</v>
      </c>
      <c r="J57" s="4">
        <v>5</v>
      </c>
      <c r="K57" s="4">
        <v>0</v>
      </c>
      <c r="L57" s="4">
        <v>7</v>
      </c>
      <c r="M57" s="4">
        <v>0</v>
      </c>
      <c r="N57" s="4">
        <v>0</v>
      </c>
      <c r="O57" s="4">
        <v>0</v>
      </c>
      <c r="P57" s="4">
        <v>0</v>
      </c>
      <c r="Q57" s="4">
        <v>2</v>
      </c>
      <c r="R57" s="4">
        <v>0</v>
      </c>
      <c r="S57" s="4">
        <v>1</v>
      </c>
      <c r="T57" s="4">
        <v>0</v>
      </c>
      <c r="U57" s="4">
        <v>11</v>
      </c>
      <c r="V57" s="4">
        <v>0</v>
      </c>
      <c r="W57" s="4">
        <v>0</v>
      </c>
      <c r="X57" s="4">
        <v>13</v>
      </c>
      <c r="Y57" s="4">
        <v>0</v>
      </c>
      <c r="AA57">
        <f t="shared" ref="AA57:AT57" si="274">(COUNTIF(F57:F59, "&gt;0"))/3</f>
        <v>1</v>
      </c>
      <c r="AB57">
        <f t="shared" si="274"/>
        <v>0</v>
      </c>
      <c r="AC57">
        <f t="shared" si="274"/>
        <v>0</v>
      </c>
      <c r="AD57">
        <f t="shared" si="274"/>
        <v>0</v>
      </c>
      <c r="AE57">
        <f t="shared" si="274"/>
        <v>0.66666666666666663</v>
      </c>
      <c r="AF57">
        <f t="shared" si="274"/>
        <v>0</v>
      </c>
      <c r="AG57">
        <f t="shared" si="274"/>
        <v>1</v>
      </c>
      <c r="AH57">
        <f t="shared" si="274"/>
        <v>0</v>
      </c>
      <c r="AI57">
        <f t="shared" si="274"/>
        <v>0</v>
      </c>
      <c r="AJ57">
        <f t="shared" si="274"/>
        <v>0</v>
      </c>
      <c r="AK57">
        <f t="shared" si="274"/>
        <v>0</v>
      </c>
      <c r="AL57">
        <f t="shared" si="274"/>
        <v>0.66666666666666663</v>
      </c>
      <c r="AM57">
        <f t="shared" si="274"/>
        <v>0</v>
      </c>
      <c r="AN57">
        <f t="shared" si="274"/>
        <v>0.33333333333333331</v>
      </c>
      <c r="AO57">
        <f t="shared" si="274"/>
        <v>0</v>
      </c>
      <c r="AP57">
        <f t="shared" si="274"/>
        <v>1</v>
      </c>
      <c r="AQ57">
        <f t="shared" si="274"/>
        <v>0</v>
      </c>
      <c r="AR57">
        <f t="shared" si="274"/>
        <v>0.33333333333333331</v>
      </c>
      <c r="AS57">
        <f t="shared" si="274"/>
        <v>1</v>
      </c>
      <c r="AT57">
        <f t="shared" si="274"/>
        <v>0.33333333333333331</v>
      </c>
      <c r="AU57" s="15">
        <f>SUM(AA57:AT57)</f>
        <v>6.3333333333333321</v>
      </c>
      <c r="AW57">
        <f>(AA57/$AU57)*100</f>
        <v>15.789473684210527</v>
      </c>
      <c r="AX57">
        <f>(AB57/$AU57)*100</f>
        <v>0</v>
      </c>
      <c r="AY57">
        <f>(AC57/$AU57)*100</f>
        <v>0</v>
      </c>
      <c r="AZ57">
        <f>(AD57/$AU57)*100</f>
        <v>0</v>
      </c>
      <c r="BA57">
        <f>(AE57/$AU57)*100</f>
        <v>10.526315789473685</v>
      </c>
      <c r="BB57">
        <f t="shared" ref="BB57" si="275">(AF57/$AU57)*100</f>
        <v>0</v>
      </c>
      <c r="BC57">
        <f t="shared" ref="BC57" si="276">(AG57/$AU57)*100</f>
        <v>15.789473684210527</v>
      </c>
      <c r="BD57">
        <f t="shared" ref="BD57" si="277">(AH57/$AU57)*100</f>
        <v>0</v>
      </c>
      <c r="BE57">
        <f t="shared" ref="BE57" si="278">(AI57/$AU57)*100</f>
        <v>0</v>
      </c>
      <c r="BF57">
        <f t="shared" ref="BF57" si="279">(AJ57/$AU57)*100</f>
        <v>0</v>
      </c>
      <c r="BG57">
        <f t="shared" ref="BG57" si="280">(AK57/$AU57)*100</f>
        <v>0</v>
      </c>
      <c r="BH57">
        <f t="shared" ref="BH57" si="281">(AL57/$AU57)*100</f>
        <v>10.526315789473685</v>
      </c>
      <c r="BI57">
        <f t="shared" ref="BI57" si="282">(AM57/$AU57)*100</f>
        <v>0</v>
      </c>
      <c r="BJ57">
        <f t="shared" ref="BJ57" si="283">(AN57/$AU57)*100</f>
        <v>5.2631578947368425</v>
      </c>
      <c r="BK57">
        <f t="shared" ref="BK57" si="284">(AO57/$AU57)*100</f>
        <v>0</v>
      </c>
      <c r="BL57">
        <f t="shared" ref="BL57" si="285">(AP57/$AU57)*100</f>
        <v>15.789473684210527</v>
      </c>
      <c r="BM57">
        <f t="shared" ref="BM57" si="286">(AQ57/$AU57)*100</f>
        <v>0</v>
      </c>
      <c r="BN57">
        <f t="shared" ref="BN57" si="287">(AR57/$AU57)*100</f>
        <v>5.2631578947368425</v>
      </c>
      <c r="BO57">
        <f t="shared" ref="BO57" si="288">(AS57/$AU57)*100</f>
        <v>15.789473684210527</v>
      </c>
      <c r="BP57">
        <f t="shared" ref="BP57" si="289">(AT57/$AU57)*100</f>
        <v>5.2631578947368425</v>
      </c>
      <c r="BQ57">
        <f>SUM(AW57:BP57)</f>
        <v>100</v>
      </c>
    </row>
    <row r="58" spans="1:69" x14ac:dyDescent="0.35">
      <c r="A58" s="1" t="s">
        <v>91</v>
      </c>
      <c r="B58" s="1">
        <v>56</v>
      </c>
      <c r="C58" s="1" t="s">
        <v>102</v>
      </c>
      <c r="D58" s="1" t="s">
        <v>101</v>
      </c>
      <c r="E58" s="3" t="s">
        <v>21</v>
      </c>
      <c r="F58" s="4">
        <v>2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21</v>
      </c>
      <c r="M58" s="4">
        <v>0</v>
      </c>
      <c r="N58" s="4">
        <v>0</v>
      </c>
      <c r="O58" s="4">
        <v>0</v>
      </c>
      <c r="P58" s="4">
        <v>0</v>
      </c>
      <c r="Q58" s="4">
        <v>2</v>
      </c>
      <c r="R58" s="4">
        <v>0</v>
      </c>
      <c r="S58" s="4">
        <v>0</v>
      </c>
      <c r="T58" s="4">
        <v>0</v>
      </c>
      <c r="U58" s="4">
        <v>22</v>
      </c>
      <c r="V58" s="4">
        <v>0</v>
      </c>
      <c r="W58" s="4">
        <v>6</v>
      </c>
      <c r="X58" s="4">
        <v>12</v>
      </c>
      <c r="Y58" s="4">
        <v>1</v>
      </c>
    </row>
    <row r="59" spans="1:69" x14ac:dyDescent="0.35">
      <c r="A59" s="1" t="s">
        <v>91</v>
      </c>
      <c r="B59" s="1">
        <v>57</v>
      </c>
      <c r="C59" s="1" t="s">
        <v>103</v>
      </c>
      <c r="D59" s="1" t="s">
        <v>101</v>
      </c>
      <c r="E59" s="3" t="s">
        <v>21</v>
      </c>
      <c r="F59" s="4">
        <v>12</v>
      </c>
      <c r="G59" s="4">
        <v>0</v>
      </c>
      <c r="H59" s="4">
        <v>0</v>
      </c>
      <c r="I59" s="4">
        <v>0</v>
      </c>
      <c r="J59" s="4">
        <v>4</v>
      </c>
      <c r="K59" s="4">
        <v>0</v>
      </c>
      <c r="L59" s="4">
        <v>14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37</v>
      </c>
      <c r="V59" s="4">
        <v>0</v>
      </c>
      <c r="W59" s="4">
        <v>0</v>
      </c>
      <c r="X59" s="4">
        <v>10</v>
      </c>
      <c r="Y59" s="4">
        <v>0</v>
      </c>
    </row>
    <row r="60" spans="1:69" x14ac:dyDescent="0.35">
      <c r="A60" s="1" t="s">
        <v>91</v>
      </c>
      <c r="B60" s="1">
        <v>58</v>
      </c>
      <c r="C60" s="1" t="s">
        <v>104</v>
      </c>
      <c r="D60" s="1" t="s">
        <v>105</v>
      </c>
      <c r="E60" s="3" t="s">
        <v>21</v>
      </c>
      <c r="F60" s="4">
        <v>6</v>
      </c>
      <c r="G60" s="4">
        <v>0</v>
      </c>
      <c r="H60" s="4">
        <v>0</v>
      </c>
      <c r="I60" s="4">
        <v>0</v>
      </c>
      <c r="J60" s="4">
        <v>1</v>
      </c>
      <c r="K60" s="4">
        <v>0</v>
      </c>
      <c r="L60" s="4">
        <v>13</v>
      </c>
      <c r="M60" s="4">
        <v>0</v>
      </c>
      <c r="N60" s="4">
        <v>0</v>
      </c>
      <c r="O60" s="4">
        <v>0</v>
      </c>
      <c r="P60" s="4">
        <v>0</v>
      </c>
      <c r="Q60" s="4">
        <v>1</v>
      </c>
      <c r="R60" s="4">
        <v>0</v>
      </c>
      <c r="S60" s="4">
        <v>0</v>
      </c>
      <c r="T60" s="4">
        <v>0</v>
      </c>
      <c r="U60" s="4">
        <v>26</v>
      </c>
      <c r="V60" s="4">
        <v>0</v>
      </c>
      <c r="W60" s="4">
        <v>2</v>
      </c>
      <c r="X60" s="4">
        <v>13</v>
      </c>
      <c r="Y60" s="4">
        <v>0</v>
      </c>
      <c r="AA60">
        <f t="shared" ref="AA60:AT60" si="290">(COUNTIF(F60:F62, "&gt;0"))/3</f>
        <v>1</v>
      </c>
      <c r="AB60">
        <f t="shared" si="290"/>
        <v>0</v>
      </c>
      <c r="AC60">
        <f t="shared" si="290"/>
        <v>0</v>
      </c>
      <c r="AD60">
        <f t="shared" si="290"/>
        <v>0</v>
      </c>
      <c r="AE60">
        <f t="shared" si="290"/>
        <v>1</v>
      </c>
      <c r="AF60">
        <f t="shared" si="290"/>
        <v>0</v>
      </c>
      <c r="AG60">
        <f t="shared" si="290"/>
        <v>1</v>
      </c>
      <c r="AH60">
        <f t="shared" si="290"/>
        <v>0</v>
      </c>
      <c r="AI60">
        <f t="shared" si="290"/>
        <v>0</v>
      </c>
      <c r="AJ60">
        <f t="shared" si="290"/>
        <v>0</v>
      </c>
      <c r="AK60">
        <f t="shared" si="290"/>
        <v>0.33333333333333331</v>
      </c>
      <c r="AL60">
        <f t="shared" si="290"/>
        <v>0.33333333333333331</v>
      </c>
      <c r="AM60">
        <f t="shared" si="290"/>
        <v>0</v>
      </c>
      <c r="AN60">
        <f t="shared" si="290"/>
        <v>0.66666666666666663</v>
      </c>
      <c r="AO60">
        <f t="shared" si="290"/>
        <v>0</v>
      </c>
      <c r="AP60">
        <f t="shared" si="290"/>
        <v>1</v>
      </c>
      <c r="AQ60">
        <f t="shared" si="290"/>
        <v>0</v>
      </c>
      <c r="AR60">
        <f t="shared" si="290"/>
        <v>1</v>
      </c>
      <c r="AS60">
        <f t="shared" si="290"/>
        <v>0.66666666666666663</v>
      </c>
      <c r="AT60">
        <f t="shared" si="290"/>
        <v>0.33333333333333331</v>
      </c>
      <c r="AU60" s="15">
        <f>SUM(AA60:AT60)</f>
        <v>7.3333333333333339</v>
      </c>
      <c r="AW60">
        <f>(AA60/$AU60)*100</f>
        <v>13.636363636363635</v>
      </c>
      <c r="AX60">
        <f>(AB60/$AU60)*100</f>
        <v>0</v>
      </c>
      <c r="AY60">
        <f>(AC60/$AU60)*100</f>
        <v>0</v>
      </c>
      <c r="AZ60">
        <f>(AD60/$AU60)*100</f>
        <v>0</v>
      </c>
      <c r="BA60">
        <f>(AE60/$AU60)*100</f>
        <v>13.636363636363635</v>
      </c>
      <c r="BB60">
        <f t="shared" ref="BB60" si="291">(AF60/$AU60)*100</f>
        <v>0</v>
      </c>
      <c r="BC60">
        <f t="shared" ref="BC60" si="292">(AG60/$AU60)*100</f>
        <v>13.636363636363635</v>
      </c>
      <c r="BD60">
        <f t="shared" ref="BD60" si="293">(AH60/$AU60)*100</f>
        <v>0</v>
      </c>
      <c r="BE60">
        <f t="shared" ref="BE60" si="294">(AI60/$AU60)*100</f>
        <v>0</v>
      </c>
      <c r="BF60">
        <f t="shared" ref="BF60" si="295">(AJ60/$AU60)*100</f>
        <v>0</v>
      </c>
      <c r="BG60">
        <f t="shared" ref="BG60" si="296">(AK60/$AU60)*100</f>
        <v>4.545454545454545</v>
      </c>
      <c r="BH60">
        <f t="shared" ref="BH60" si="297">(AL60/$AU60)*100</f>
        <v>4.545454545454545</v>
      </c>
      <c r="BI60">
        <f t="shared" ref="BI60" si="298">(AM60/$AU60)*100</f>
        <v>0</v>
      </c>
      <c r="BJ60">
        <f t="shared" ref="BJ60" si="299">(AN60/$AU60)*100</f>
        <v>9.0909090909090899</v>
      </c>
      <c r="BK60">
        <f t="shared" ref="BK60" si="300">(AO60/$AU60)*100</f>
        <v>0</v>
      </c>
      <c r="BL60">
        <f t="shared" ref="BL60" si="301">(AP60/$AU60)*100</f>
        <v>13.636363636363635</v>
      </c>
      <c r="BM60">
        <f t="shared" ref="BM60" si="302">(AQ60/$AU60)*100</f>
        <v>0</v>
      </c>
      <c r="BN60">
        <f t="shared" ref="BN60" si="303">(AR60/$AU60)*100</f>
        <v>13.636363636363635</v>
      </c>
      <c r="BO60">
        <f t="shared" ref="BO60" si="304">(AS60/$AU60)*100</f>
        <v>9.0909090909090899</v>
      </c>
      <c r="BP60">
        <f t="shared" ref="BP60" si="305">(AT60/$AU60)*100</f>
        <v>4.545454545454545</v>
      </c>
      <c r="BQ60">
        <f>SUM(AW60:BP60)</f>
        <v>100.00000000000001</v>
      </c>
    </row>
    <row r="61" spans="1:69" x14ac:dyDescent="0.35">
      <c r="A61" s="1" t="s">
        <v>91</v>
      </c>
      <c r="B61" s="1">
        <v>59</v>
      </c>
      <c r="C61" s="1" t="s">
        <v>106</v>
      </c>
      <c r="D61" s="1" t="s">
        <v>105</v>
      </c>
      <c r="E61" s="3" t="s">
        <v>21</v>
      </c>
      <c r="F61" s="4">
        <v>5</v>
      </c>
      <c r="G61" s="4">
        <v>0</v>
      </c>
      <c r="H61" s="4">
        <v>0</v>
      </c>
      <c r="I61" s="4">
        <v>0</v>
      </c>
      <c r="J61" s="4">
        <v>1</v>
      </c>
      <c r="K61" s="4">
        <v>0</v>
      </c>
      <c r="L61" s="4">
        <v>15</v>
      </c>
      <c r="M61" s="4">
        <v>0</v>
      </c>
      <c r="N61" s="4">
        <v>0</v>
      </c>
      <c r="O61" s="4">
        <v>0</v>
      </c>
      <c r="P61" s="4">
        <v>1</v>
      </c>
      <c r="Q61" s="4">
        <v>0</v>
      </c>
      <c r="R61" s="4">
        <v>0</v>
      </c>
      <c r="S61" s="4">
        <v>7</v>
      </c>
      <c r="T61" s="4">
        <v>0</v>
      </c>
      <c r="U61" s="4">
        <v>7</v>
      </c>
      <c r="V61" s="4">
        <v>0</v>
      </c>
      <c r="W61" s="4">
        <v>5</v>
      </c>
      <c r="X61" s="4">
        <v>7</v>
      </c>
      <c r="Y61" s="4">
        <v>2</v>
      </c>
    </row>
    <row r="62" spans="1:69" x14ac:dyDescent="0.35">
      <c r="A62" s="1" t="s">
        <v>91</v>
      </c>
      <c r="B62" s="1">
        <v>60</v>
      </c>
      <c r="C62" s="1" t="s">
        <v>107</v>
      </c>
      <c r="D62" s="1" t="s">
        <v>105</v>
      </c>
      <c r="E62" s="3" t="s">
        <v>21</v>
      </c>
      <c r="F62" s="4">
        <v>10</v>
      </c>
      <c r="G62" s="4">
        <v>0</v>
      </c>
      <c r="H62" s="4">
        <v>0</v>
      </c>
      <c r="I62" s="4">
        <v>0</v>
      </c>
      <c r="J62" s="4">
        <v>7</v>
      </c>
      <c r="K62" s="4">
        <v>0</v>
      </c>
      <c r="L62" s="4">
        <v>1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1</v>
      </c>
      <c r="T62" s="4">
        <v>0</v>
      </c>
      <c r="U62" s="4">
        <v>10</v>
      </c>
      <c r="V62" s="4">
        <v>0</v>
      </c>
      <c r="W62" s="4">
        <v>5</v>
      </c>
      <c r="X62" s="4">
        <v>0</v>
      </c>
      <c r="Y62" s="4">
        <v>0</v>
      </c>
    </row>
    <row r="63" spans="1:69" x14ac:dyDescent="0.35">
      <c r="A63" s="1" t="s">
        <v>42</v>
      </c>
      <c r="B63" s="1">
        <v>61</v>
      </c>
      <c r="C63" s="1" t="s">
        <v>108</v>
      </c>
      <c r="D63" s="1" t="s">
        <v>109</v>
      </c>
      <c r="E63" s="3" t="s">
        <v>53</v>
      </c>
      <c r="F63" s="4">
        <v>14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40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AA63">
        <f t="shared" ref="AA63:AT63" si="306">(COUNTIF(F63:F65, "&gt;0"))/3</f>
        <v>1</v>
      </c>
      <c r="AB63">
        <f t="shared" si="306"/>
        <v>0</v>
      </c>
      <c r="AC63">
        <f t="shared" si="306"/>
        <v>0</v>
      </c>
      <c r="AD63">
        <f t="shared" si="306"/>
        <v>0</v>
      </c>
      <c r="AE63">
        <f t="shared" si="306"/>
        <v>0</v>
      </c>
      <c r="AF63">
        <f t="shared" si="306"/>
        <v>0</v>
      </c>
      <c r="AG63">
        <f t="shared" si="306"/>
        <v>1</v>
      </c>
      <c r="AH63">
        <f t="shared" si="306"/>
        <v>0</v>
      </c>
      <c r="AI63">
        <f t="shared" si="306"/>
        <v>0</v>
      </c>
      <c r="AJ63">
        <f t="shared" si="306"/>
        <v>0</v>
      </c>
      <c r="AK63">
        <f t="shared" si="306"/>
        <v>0</v>
      </c>
      <c r="AL63">
        <f t="shared" si="306"/>
        <v>0</v>
      </c>
      <c r="AM63">
        <f t="shared" si="306"/>
        <v>0</v>
      </c>
      <c r="AN63">
        <f t="shared" si="306"/>
        <v>0.33333333333333331</v>
      </c>
      <c r="AO63">
        <f t="shared" si="306"/>
        <v>0.33333333333333331</v>
      </c>
      <c r="AP63">
        <f t="shared" si="306"/>
        <v>0.33333333333333331</v>
      </c>
      <c r="AQ63">
        <f t="shared" si="306"/>
        <v>0</v>
      </c>
      <c r="AR63">
        <f t="shared" si="306"/>
        <v>0</v>
      </c>
      <c r="AS63">
        <f t="shared" si="306"/>
        <v>0</v>
      </c>
      <c r="AT63">
        <f t="shared" si="306"/>
        <v>0.66666666666666663</v>
      </c>
      <c r="AU63" s="15">
        <f>SUM(AA63:AT63)</f>
        <v>3.666666666666667</v>
      </c>
      <c r="AW63">
        <f>(AA63/$AU63)*100</f>
        <v>27.27272727272727</v>
      </c>
      <c r="AX63">
        <f>(AB63/$AU63)*100</f>
        <v>0</v>
      </c>
      <c r="AY63">
        <f>(AC63/$AU63)*100</f>
        <v>0</v>
      </c>
      <c r="AZ63">
        <f>(AD63/$AU63)*100</f>
        <v>0</v>
      </c>
      <c r="BA63">
        <f>(AE63/$AU63)*100</f>
        <v>0</v>
      </c>
      <c r="BB63">
        <f t="shared" ref="BB63" si="307">(AF63/$AU63)*100</f>
        <v>0</v>
      </c>
      <c r="BC63">
        <f t="shared" ref="BC63" si="308">(AG63/$AU63)*100</f>
        <v>27.27272727272727</v>
      </c>
      <c r="BD63">
        <f t="shared" ref="BD63" si="309">(AH63/$AU63)*100</f>
        <v>0</v>
      </c>
      <c r="BE63">
        <f t="shared" ref="BE63" si="310">(AI63/$AU63)*100</f>
        <v>0</v>
      </c>
      <c r="BF63">
        <f t="shared" ref="BF63" si="311">(AJ63/$AU63)*100</f>
        <v>0</v>
      </c>
      <c r="BG63">
        <f t="shared" ref="BG63" si="312">(AK63/$AU63)*100</f>
        <v>0</v>
      </c>
      <c r="BH63">
        <f t="shared" ref="BH63" si="313">(AL63/$AU63)*100</f>
        <v>0</v>
      </c>
      <c r="BI63">
        <f t="shared" ref="BI63" si="314">(AM63/$AU63)*100</f>
        <v>0</v>
      </c>
      <c r="BJ63">
        <f t="shared" ref="BJ63" si="315">(AN63/$AU63)*100</f>
        <v>9.0909090909090899</v>
      </c>
      <c r="BK63">
        <f t="shared" ref="BK63" si="316">(AO63/$AU63)*100</f>
        <v>9.0909090909090899</v>
      </c>
      <c r="BL63">
        <f t="shared" ref="BL63" si="317">(AP63/$AU63)*100</f>
        <v>9.0909090909090899</v>
      </c>
      <c r="BM63">
        <f t="shared" ref="BM63" si="318">(AQ63/$AU63)*100</f>
        <v>0</v>
      </c>
      <c r="BN63">
        <f t="shared" ref="BN63" si="319">(AR63/$AU63)*100</f>
        <v>0</v>
      </c>
      <c r="BO63">
        <f t="shared" ref="BO63" si="320">(AS63/$AU63)*100</f>
        <v>0</v>
      </c>
      <c r="BP63">
        <f t="shared" ref="BP63" si="321">(AT63/$AU63)*100</f>
        <v>18.18181818181818</v>
      </c>
      <c r="BQ63">
        <f>SUM(AW63:BP63)</f>
        <v>100</v>
      </c>
    </row>
    <row r="64" spans="1:69" x14ac:dyDescent="0.35">
      <c r="A64" s="1" t="s">
        <v>42</v>
      </c>
      <c r="B64" s="1">
        <v>62</v>
      </c>
      <c r="C64" s="1" t="s">
        <v>110</v>
      </c>
      <c r="D64" s="1" t="s">
        <v>109</v>
      </c>
      <c r="E64" s="3" t="s">
        <v>53</v>
      </c>
      <c r="F64" s="4">
        <v>16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32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2</v>
      </c>
      <c r="U64" s="4">
        <v>4</v>
      </c>
      <c r="V64" s="4">
        <v>0</v>
      </c>
      <c r="W64" s="4">
        <v>0</v>
      </c>
      <c r="X64" s="4">
        <v>0</v>
      </c>
      <c r="Y64" s="4">
        <v>3</v>
      </c>
    </row>
    <row r="65" spans="1:69" x14ac:dyDescent="0.35">
      <c r="A65" s="1" t="s">
        <v>42</v>
      </c>
      <c r="B65" s="1">
        <v>63</v>
      </c>
      <c r="C65" s="1" t="s">
        <v>111</v>
      </c>
      <c r="D65" s="1" t="s">
        <v>109</v>
      </c>
      <c r="E65" s="3" t="s">
        <v>53</v>
      </c>
      <c r="F65" s="4">
        <v>47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23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3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5</v>
      </c>
    </row>
    <row r="66" spans="1:69" x14ac:dyDescent="0.35">
      <c r="A66" s="1" t="s">
        <v>42</v>
      </c>
      <c r="B66" s="1">
        <v>64</v>
      </c>
      <c r="C66" s="1" t="s">
        <v>112</v>
      </c>
      <c r="D66" s="1" t="s">
        <v>113</v>
      </c>
      <c r="E66" s="3" t="s">
        <v>53</v>
      </c>
      <c r="F66" s="4">
        <v>7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42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1</v>
      </c>
      <c r="T66" s="4">
        <v>0</v>
      </c>
      <c r="U66" s="4">
        <v>13</v>
      </c>
      <c r="V66" s="4">
        <v>0</v>
      </c>
      <c r="W66" s="4">
        <v>0</v>
      </c>
      <c r="X66" s="4">
        <v>10</v>
      </c>
      <c r="Y66" s="4">
        <v>0</v>
      </c>
      <c r="AA66">
        <f t="shared" ref="AA66:AT66" si="322">(COUNTIF(F66:F68, "&gt;0"))/3</f>
        <v>1</v>
      </c>
      <c r="AB66">
        <f t="shared" si="322"/>
        <v>0</v>
      </c>
      <c r="AC66">
        <f t="shared" si="322"/>
        <v>0</v>
      </c>
      <c r="AD66">
        <f t="shared" si="322"/>
        <v>0.33333333333333331</v>
      </c>
      <c r="AE66">
        <f t="shared" si="322"/>
        <v>0</v>
      </c>
      <c r="AF66">
        <f t="shared" si="322"/>
        <v>0</v>
      </c>
      <c r="AG66">
        <f t="shared" si="322"/>
        <v>1</v>
      </c>
      <c r="AH66">
        <f t="shared" si="322"/>
        <v>0</v>
      </c>
      <c r="AI66">
        <f t="shared" si="322"/>
        <v>0</v>
      </c>
      <c r="AJ66">
        <f t="shared" si="322"/>
        <v>0</v>
      </c>
      <c r="AK66">
        <f t="shared" si="322"/>
        <v>0</v>
      </c>
      <c r="AL66">
        <f t="shared" si="322"/>
        <v>0</v>
      </c>
      <c r="AM66">
        <f t="shared" si="322"/>
        <v>0</v>
      </c>
      <c r="AN66">
        <f t="shared" si="322"/>
        <v>0.66666666666666663</v>
      </c>
      <c r="AO66">
        <f t="shared" si="322"/>
        <v>0.33333333333333331</v>
      </c>
      <c r="AP66">
        <f t="shared" si="322"/>
        <v>1</v>
      </c>
      <c r="AQ66">
        <f t="shared" si="322"/>
        <v>0</v>
      </c>
      <c r="AR66">
        <f t="shared" si="322"/>
        <v>0</v>
      </c>
      <c r="AS66">
        <f t="shared" si="322"/>
        <v>0.66666666666666663</v>
      </c>
      <c r="AT66">
        <f t="shared" si="322"/>
        <v>0.66666666666666663</v>
      </c>
      <c r="AU66" s="15">
        <f>SUM(AA66:AT66)</f>
        <v>5.666666666666667</v>
      </c>
      <c r="AW66">
        <f>(AA66/$AU66)*100</f>
        <v>17.647058823529409</v>
      </c>
      <c r="AX66">
        <f>(AB66/$AU66)*100</f>
        <v>0</v>
      </c>
      <c r="AY66">
        <f>(AC66/$AU66)*100</f>
        <v>0</v>
      </c>
      <c r="AZ66">
        <f>(AD66/$AU66)*100</f>
        <v>5.8823529411764701</v>
      </c>
      <c r="BA66">
        <f>(AE66/$AU66)*100</f>
        <v>0</v>
      </c>
      <c r="BB66">
        <f t="shared" ref="BB66" si="323">(AF66/$AU66)*100</f>
        <v>0</v>
      </c>
      <c r="BC66">
        <f t="shared" ref="BC66" si="324">(AG66/$AU66)*100</f>
        <v>17.647058823529409</v>
      </c>
      <c r="BD66">
        <f t="shared" ref="BD66" si="325">(AH66/$AU66)*100</f>
        <v>0</v>
      </c>
      <c r="BE66">
        <f t="shared" ref="BE66" si="326">(AI66/$AU66)*100</f>
        <v>0</v>
      </c>
      <c r="BF66">
        <f t="shared" ref="BF66" si="327">(AJ66/$AU66)*100</f>
        <v>0</v>
      </c>
      <c r="BG66">
        <f t="shared" ref="BG66" si="328">(AK66/$AU66)*100</f>
        <v>0</v>
      </c>
      <c r="BH66">
        <f t="shared" ref="BH66" si="329">(AL66/$AU66)*100</f>
        <v>0</v>
      </c>
      <c r="BI66">
        <f t="shared" ref="BI66" si="330">(AM66/$AU66)*100</f>
        <v>0</v>
      </c>
      <c r="BJ66">
        <f t="shared" ref="BJ66" si="331">(AN66/$AU66)*100</f>
        <v>11.76470588235294</v>
      </c>
      <c r="BK66">
        <f t="shared" ref="BK66" si="332">(AO66/$AU66)*100</f>
        <v>5.8823529411764701</v>
      </c>
      <c r="BL66">
        <f t="shared" ref="BL66" si="333">(AP66/$AU66)*100</f>
        <v>17.647058823529409</v>
      </c>
      <c r="BM66">
        <f t="shared" ref="BM66" si="334">(AQ66/$AU66)*100</f>
        <v>0</v>
      </c>
      <c r="BN66">
        <f t="shared" ref="BN66" si="335">(AR66/$AU66)*100</f>
        <v>0</v>
      </c>
      <c r="BO66">
        <f t="shared" ref="BO66" si="336">(AS66/$AU66)*100</f>
        <v>11.76470588235294</v>
      </c>
      <c r="BP66">
        <f t="shared" ref="BP66" si="337">(AT66/$AU66)*100</f>
        <v>11.76470588235294</v>
      </c>
      <c r="BQ66">
        <f>SUM(AW66:BP66)</f>
        <v>100</v>
      </c>
    </row>
    <row r="67" spans="1:69" x14ac:dyDescent="0.35">
      <c r="A67" s="1" t="s">
        <v>42</v>
      </c>
      <c r="B67" s="1">
        <v>65</v>
      </c>
      <c r="C67" s="1" t="s">
        <v>114</v>
      </c>
      <c r="D67" s="1" t="s">
        <v>113</v>
      </c>
      <c r="E67" s="3" t="s">
        <v>53</v>
      </c>
      <c r="F67" s="4">
        <v>12</v>
      </c>
      <c r="G67" s="4">
        <v>0</v>
      </c>
      <c r="H67" s="4">
        <v>0</v>
      </c>
      <c r="I67" s="4">
        <v>1</v>
      </c>
      <c r="J67" s="4">
        <v>0</v>
      </c>
      <c r="K67" s="4">
        <v>0</v>
      </c>
      <c r="L67" s="4">
        <v>18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1</v>
      </c>
      <c r="T67" s="4">
        <v>2</v>
      </c>
      <c r="U67" s="4">
        <v>17</v>
      </c>
      <c r="V67" s="4">
        <v>0</v>
      </c>
      <c r="W67" s="4">
        <v>0</v>
      </c>
      <c r="X67" s="4">
        <v>1</v>
      </c>
      <c r="Y67" s="4">
        <v>3</v>
      </c>
    </row>
    <row r="68" spans="1:69" x14ac:dyDescent="0.35">
      <c r="A68" s="1" t="s">
        <v>42</v>
      </c>
      <c r="B68" s="1">
        <v>66</v>
      </c>
      <c r="C68" s="1" t="s">
        <v>115</v>
      </c>
      <c r="D68" s="1" t="s">
        <v>113</v>
      </c>
      <c r="E68" s="3" t="s">
        <v>53</v>
      </c>
      <c r="F68" s="4">
        <v>24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17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9</v>
      </c>
      <c r="V68" s="4">
        <v>0</v>
      </c>
      <c r="W68" s="4">
        <v>0</v>
      </c>
      <c r="X68" s="4">
        <v>0</v>
      </c>
      <c r="Y68" s="4">
        <v>15</v>
      </c>
    </row>
    <row r="69" spans="1:69" x14ac:dyDescent="0.35">
      <c r="A69" s="1" t="s">
        <v>116</v>
      </c>
      <c r="B69" s="1">
        <v>67</v>
      </c>
      <c r="C69" s="1" t="s">
        <v>117</v>
      </c>
      <c r="D69" s="1" t="s">
        <v>118</v>
      </c>
      <c r="E69" s="3" t="s">
        <v>27</v>
      </c>
      <c r="F69" s="4">
        <v>19</v>
      </c>
      <c r="G69" s="4">
        <v>0</v>
      </c>
      <c r="H69" s="4">
        <v>0</v>
      </c>
      <c r="I69" s="4">
        <v>0</v>
      </c>
      <c r="J69" s="4">
        <v>0</v>
      </c>
      <c r="K69" s="4">
        <v>2</v>
      </c>
      <c r="L69" s="4">
        <v>16</v>
      </c>
      <c r="M69" s="4">
        <v>0</v>
      </c>
      <c r="N69" s="4">
        <v>0</v>
      </c>
      <c r="O69" s="4">
        <v>0</v>
      </c>
      <c r="P69" s="4">
        <v>0</v>
      </c>
      <c r="Q69" s="4">
        <v>1</v>
      </c>
      <c r="R69" s="4">
        <v>0</v>
      </c>
      <c r="S69" s="4">
        <v>0</v>
      </c>
      <c r="T69" s="4">
        <v>2</v>
      </c>
      <c r="U69" s="4">
        <v>9</v>
      </c>
      <c r="V69" s="4">
        <v>0</v>
      </c>
      <c r="W69" s="4">
        <v>0</v>
      </c>
      <c r="X69" s="4">
        <v>0</v>
      </c>
      <c r="Y69" s="4">
        <v>2</v>
      </c>
      <c r="AA69">
        <f t="shared" ref="AA69:AT69" si="338">(COUNTIF(F69:F71, "&gt;0"))/3</f>
        <v>1</v>
      </c>
      <c r="AB69">
        <f t="shared" si="338"/>
        <v>0</v>
      </c>
      <c r="AC69">
        <f t="shared" si="338"/>
        <v>0</v>
      </c>
      <c r="AD69">
        <f t="shared" si="338"/>
        <v>0</v>
      </c>
      <c r="AE69">
        <f t="shared" si="338"/>
        <v>0</v>
      </c>
      <c r="AF69">
        <f t="shared" si="338"/>
        <v>0.66666666666666663</v>
      </c>
      <c r="AG69">
        <f t="shared" si="338"/>
        <v>1</v>
      </c>
      <c r="AH69">
        <f t="shared" si="338"/>
        <v>0</v>
      </c>
      <c r="AI69">
        <f t="shared" si="338"/>
        <v>0</v>
      </c>
      <c r="AJ69">
        <f t="shared" si="338"/>
        <v>0</v>
      </c>
      <c r="AK69">
        <f t="shared" si="338"/>
        <v>0</v>
      </c>
      <c r="AL69">
        <f t="shared" si="338"/>
        <v>0.33333333333333331</v>
      </c>
      <c r="AM69">
        <f t="shared" si="338"/>
        <v>0</v>
      </c>
      <c r="AN69">
        <f t="shared" si="338"/>
        <v>0</v>
      </c>
      <c r="AO69">
        <f t="shared" si="338"/>
        <v>0.33333333333333331</v>
      </c>
      <c r="AP69">
        <f t="shared" si="338"/>
        <v>1</v>
      </c>
      <c r="AQ69">
        <f t="shared" si="338"/>
        <v>0</v>
      </c>
      <c r="AR69">
        <f t="shared" si="338"/>
        <v>0</v>
      </c>
      <c r="AS69">
        <f t="shared" si="338"/>
        <v>0.66666666666666663</v>
      </c>
      <c r="AT69">
        <f t="shared" si="338"/>
        <v>1</v>
      </c>
      <c r="AU69" s="15">
        <f>SUM(AA69:AT69)</f>
        <v>6.0000000000000009</v>
      </c>
      <c r="AW69">
        <f>(AA69/$AU69)*100</f>
        <v>16.666666666666664</v>
      </c>
      <c r="AX69">
        <f>(AB69/$AU69)*100</f>
        <v>0</v>
      </c>
      <c r="AY69">
        <f>(AC69/$AU69)*100</f>
        <v>0</v>
      </c>
      <c r="AZ69">
        <f>(AD69/$AU69)*100</f>
        <v>0</v>
      </c>
      <c r="BA69">
        <f>(AE69/$AU69)*100</f>
        <v>0</v>
      </c>
      <c r="BB69">
        <f t="shared" ref="BB69" si="339">(AF69/$AU69)*100</f>
        <v>11.111111111111109</v>
      </c>
      <c r="BC69">
        <f t="shared" ref="BC69" si="340">(AG69/$AU69)*100</f>
        <v>16.666666666666664</v>
      </c>
      <c r="BD69">
        <f t="shared" ref="BD69" si="341">(AH69/$AU69)*100</f>
        <v>0</v>
      </c>
      <c r="BE69">
        <f t="shared" ref="BE69" si="342">(AI69/$AU69)*100</f>
        <v>0</v>
      </c>
      <c r="BF69">
        <f t="shared" ref="BF69" si="343">(AJ69/$AU69)*100</f>
        <v>0</v>
      </c>
      <c r="BG69">
        <f t="shared" ref="BG69" si="344">(AK69/$AU69)*100</f>
        <v>0</v>
      </c>
      <c r="BH69">
        <f t="shared" ref="BH69" si="345">(AL69/$AU69)*100</f>
        <v>5.5555555555555545</v>
      </c>
      <c r="BI69">
        <f t="shared" ref="BI69" si="346">(AM69/$AU69)*100</f>
        <v>0</v>
      </c>
      <c r="BJ69">
        <f t="shared" ref="BJ69" si="347">(AN69/$AU69)*100</f>
        <v>0</v>
      </c>
      <c r="BK69">
        <f t="shared" ref="BK69" si="348">(AO69/$AU69)*100</f>
        <v>5.5555555555555545</v>
      </c>
      <c r="BL69">
        <f t="shared" ref="BL69" si="349">(AP69/$AU69)*100</f>
        <v>16.666666666666664</v>
      </c>
      <c r="BM69">
        <f t="shared" ref="BM69" si="350">(AQ69/$AU69)*100</f>
        <v>0</v>
      </c>
      <c r="BN69">
        <f t="shared" ref="BN69" si="351">(AR69/$AU69)*100</f>
        <v>0</v>
      </c>
      <c r="BO69">
        <f t="shared" ref="BO69" si="352">(AS69/$AU69)*100</f>
        <v>11.111111111111109</v>
      </c>
      <c r="BP69">
        <f t="shared" ref="BP69" si="353">(AT69/$AU69)*100</f>
        <v>16.666666666666664</v>
      </c>
      <c r="BQ69">
        <f>SUM(AW69:BP69)</f>
        <v>100</v>
      </c>
    </row>
    <row r="70" spans="1:69" x14ac:dyDescent="0.35">
      <c r="A70" s="1" t="s">
        <v>116</v>
      </c>
      <c r="B70" s="1">
        <v>68</v>
      </c>
      <c r="C70" s="1" t="s">
        <v>119</v>
      </c>
      <c r="D70" s="1" t="s">
        <v>118</v>
      </c>
      <c r="E70" s="3" t="s">
        <v>27</v>
      </c>
      <c r="F70" s="4">
        <v>14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24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6</v>
      </c>
      <c r="V70" s="4">
        <v>0</v>
      </c>
      <c r="W70" s="4">
        <v>0</v>
      </c>
      <c r="X70" s="4">
        <v>2</v>
      </c>
      <c r="Y70" s="4">
        <v>1</v>
      </c>
    </row>
    <row r="71" spans="1:69" x14ac:dyDescent="0.35">
      <c r="A71" s="1" t="s">
        <v>116</v>
      </c>
      <c r="B71" s="1">
        <v>69</v>
      </c>
      <c r="C71" s="1" t="s">
        <v>120</v>
      </c>
      <c r="D71" s="1" t="s">
        <v>118</v>
      </c>
      <c r="E71" s="3" t="s">
        <v>27</v>
      </c>
      <c r="F71" s="4">
        <v>11</v>
      </c>
      <c r="G71" s="4">
        <v>0</v>
      </c>
      <c r="H71" s="4">
        <v>0</v>
      </c>
      <c r="I71" s="4">
        <v>0</v>
      </c>
      <c r="J71" s="4">
        <v>0</v>
      </c>
      <c r="K71" s="4">
        <v>1</v>
      </c>
      <c r="L71" s="4">
        <v>11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6</v>
      </c>
      <c r="V71" s="4">
        <v>0</v>
      </c>
      <c r="W71" s="4">
        <v>0</v>
      </c>
      <c r="X71" s="4">
        <v>5</v>
      </c>
      <c r="Y71" s="4">
        <v>2</v>
      </c>
    </row>
    <row r="72" spans="1:69" x14ac:dyDescent="0.35">
      <c r="A72" s="1" t="s">
        <v>116</v>
      </c>
      <c r="B72" s="1">
        <v>70</v>
      </c>
      <c r="C72" s="1" t="s">
        <v>121</v>
      </c>
      <c r="D72" s="1" t="s">
        <v>122</v>
      </c>
      <c r="E72" s="3" t="s">
        <v>53</v>
      </c>
      <c r="F72" s="4">
        <v>12</v>
      </c>
      <c r="G72" s="4">
        <v>0</v>
      </c>
      <c r="H72" s="4">
        <v>0</v>
      </c>
      <c r="I72" s="4">
        <v>0</v>
      </c>
      <c r="J72" s="4">
        <v>0</v>
      </c>
      <c r="K72" s="4">
        <v>2</v>
      </c>
      <c r="L72" s="4">
        <v>8</v>
      </c>
      <c r="M72" s="4">
        <v>0</v>
      </c>
      <c r="N72" s="4">
        <v>0</v>
      </c>
      <c r="O72" s="4">
        <v>2</v>
      </c>
      <c r="P72" s="4">
        <v>0</v>
      </c>
      <c r="Q72" s="4">
        <v>0</v>
      </c>
      <c r="R72" s="4">
        <v>0</v>
      </c>
      <c r="S72" s="4">
        <v>2</v>
      </c>
      <c r="T72" s="4">
        <v>0</v>
      </c>
      <c r="U72" s="4">
        <v>8</v>
      </c>
      <c r="V72" s="4">
        <v>0</v>
      </c>
      <c r="W72" s="4">
        <v>0</v>
      </c>
      <c r="X72" s="4">
        <v>4</v>
      </c>
      <c r="Y72" s="4">
        <v>2</v>
      </c>
      <c r="AA72">
        <f t="shared" ref="AA72:AT72" si="354">(COUNTIF(F72:F74, "&gt;0"))/3</f>
        <v>1</v>
      </c>
      <c r="AB72">
        <f t="shared" si="354"/>
        <v>0</v>
      </c>
      <c r="AC72">
        <f t="shared" si="354"/>
        <v>0</v>
      </c>
      <c r="AD72">
        <f t="shared" si="354"/>
        <v>0</v>
      </c>
      <c r="AE72">
        <f t="shared" si="354"/>
        <v>0</v>
      </c>
      <c r="AF72">
        <f t="shared" si="354"/>
        <v>0.33333333333333331</v>
      </c>
      <c r="AG72">
        <f t="shared" si="354"/>
        <v>1</v>
      </c>
      <c r="AH72">
        <f t="shared" si="354"/>
        <v>0</v>
      </c>
      <c r="AI72">
        <f t="shared" si="354"/>
        <v>0</v>
      </c>
      <c r="AJ72">
        <f t="shared" si="354"/>
        <v>0.66666666666666663</v>
      </c>
      <c r="AK72">
        <f t="shared" si="354"/>
        <v>0</v>
      </c>
      <c r="AL72">
        <f t="shared" si="354"/>
        <v>0</v>
      </c>
      <c r="AM72">
        <f t="shared" si="354"/>
        <v>0</v>
      </c>
      <c r="AN72">
        <f t="shared" si="354"/>
        <v>0.33333333333333331</v>
      </c>
      <c r="AO72">
        <f t="shared" si="354"/>
        <v>0</v>
      </c>
      <c r="AP72">
        <f t="shared" si="354"/>
        <v>1</v>
      </c>
      <c r="AQ72">
        <f t="shared" si="354"/>
        <v>0</v>
      </c>
      <c r="AR72">
        <f t="shared" si="354"/>
        <v>0</v>
      </c>
      <c r="AS72">
        <f t="shared" si="354"/>
        <v>0.66666666666666663</v>
      </c>
      <c r="AT72">
        <f t="shared" si="354"/>
        <v>1</v>
      </c>
      <c r="AU72" s="15">
        <f>SUM(AA72:AT72)</f>
        <v>6</v>
      </c>
      <c r="AW72">
        <f>(AA72/$AU72)*100</f>
        <v>16.666666666666664</v>
      </c>
      <c r="AX72">
        <f>(AB72/$AU72)*100</f>
        <v>0</v>
      </c>
      <c r="AY72">
        <f>(AC72/$AU72)*100</f>
        <v>0</v>
      </c>
      <c r="AZ72">
        <f>(AD72/$AU72)*100</f>
        <v>0</v>
      </c>
      <c r="BA72">
        <f>(AE72/$AU72)*100</f>
        <v>0</v>
      </c>
      <c r="BB72">
        <f t="shared" ref="BB72" si="355">(AF72/$AU72)*100</f>
        <v>5.5555555555555554</v>
      </c>
      <c r="BC72">
        <f t="shared" ref="BC72" si="356">(AG72/$AU72)*100</f>
        <v>16.666666666666664</v>
      </c>
      <c r="BD72">
        <f t="shared" ref="BD72" si="357">(AH72/$AU72)*100</f>
        <v>0</v>
      </c>
      <c r="BE72">
        <f t="shared" ref="BE72" si="358">(AI72/$AU72)*100</f>
        <v>0</v>
      </c>
      <c r="BF72">
        <f t="shared" ref="BF72" si="359">(AJ72/$AU72)*100</f>
        <v>11.111111111111111</v>
      </c>
      <c r="BG72">
        <f t="shared" ref="BG72" si="360">(AK72/$AU72)*100</f>
        <v>0</v>
      </c>
      <c r="BH72">
        <f t="shared" ref="BH72" si="361">(AL72/$AU72)*100</f>
        <v>0</v>
      </c>
      <c r="BI72">
        <f t="shared" ref="BI72" si="362">(AM72/$AU72)*100</f>
        <v>0</v>
      </c>
      <c r="BJ72">
        <f t="shared" ref="BJ72" si="363">(AN72/$AU72)*100</f>
        <v>5.5555555555555554</v>
      </c>
      <c r="BK72">
        <f t="shared" ref="BK72" si="364">(AO72/$AU72)*100</f>
        <v>0</v>
      </c>
      <c r="BL72">
        <f t="shared" ref="BL72" si="365">(AP72/$AU72)*100</f>
        <v>16.666666666666664</v>
      </c>
      <c r="BM72">
        <f t="shared" ref="BM72" si="366">(AQ72/$AU72)*100</f>
        <v>0</v>
      </c>
      <c r="BN72">
        <f t="shared" ref="BN72" si="367">(AR72/$AU72)*100</f>
        <v>0</v>
      </c>
      <c r="BO72">
        <f t="shared" ref="BO72" si="368">(AS72/$AU72)*100</f>
        <v>11.111111111111111</v>
      </c>
      <c r="BP72">
        <f t="shared" ref="BP72" si="369">(AT72/$AU72)*100</f>
        <v>16.666666666666664</v>
      </c>
      <c r="BQ72">
        <f>SUM(AW72:BP72)</f>
        <v>100</v>
      </c>
    </row>
    <row r="73" spans="1:69" x14ac:dyDescent="0.35">
      <c r="A73" s="1" t="s">
        <v>116</v>
      </c>
      <c r="B73" s="1">
        <v>71</v>
      </c>
      <c r="C73" s="1" t="s">
        <v>123</v>
      </c>
      <c r="D73" s="1" t="s">
        <v>122</v>
      </c>
      <c r="E73" s="3" t="s">
        <v>53</v>
      </c>
      <c r="F73" s="4">
        <v>33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10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2</v>
      </c>
      <c r="V73" s="4">
        <v>0</v>
      </c>
      <c r="W73" s="4">
        <v>0</v>
      </c>
      <c r="X73" s="4">
        <v>0</v>
      </c>
      <c r="Y73" s="4">
        <v>11</v>
      </c>
    </row>
    <row r="74" spans="1:69" x14ac:dyDescent="0.35">
      <c r="A74" s="1" t="s">
        <v>116</v>
      </c>
      <c r="B74" s="1">
        <v>72</v>
      </c>
      <c r="C74" s="1" t="s">
        <v>124</v>
      </c>
      <c r="D74" s="1" t="s">
        <v>122</v>
      </c>
      <c r="E74" s="3" t="s">
        <v>53</v>
      </c>
      <c r="F74" s="4">
        <v>2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23</v>
      </c>
      <c r="M74" s="4">
        <v>0</v>
      </c>
      <c r="N74" s="4">
        <v>0</v>
      </c>
      <c r="O74" s="4">
        <v>7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2</v>
      </c>
      <c r="V74" s="4">
        <v>0</v>
      </c>
      <c r="W74" s="4">
        <v>0</v>
      </c>
      <c r="X74" s="4">
        <v>2</v>
      </c>
      <c r="Y74" s="4">
        <v>1</v>
      </c>
    </row>
    <row r="75" spans="1:69" x14ac:dyDescent="0.35">
      <c r="A75" s="1" t="s">
        <v>116</v>
      </c>
      <c r="B75" s="1">
        <v>73</v>
      </c>
      <c r="C75" s="1" t="s">
        <v>125</v>
      </c>
      <c r="D75" s="1" t="s">
        <v>126</v>
      </c>
      <c r="E75" s="3" t="s">
        <v>21</v>
      </c>
      <c r="F75" s="4">
        <v>22</v>
      </c>
      <c r="G75" s="4">
        <v>0</v>
      </c>
      <c r="H75" s="4">
        <v>0</v>
      </c>
      <c r="I75" s="4">
        <v>0</v>
      </c>
      <c r="J75" s="4">
        <v>1</v>
      </c>
      <c r="K75" s="4">
        <v>1</v>
      </c>
      <c r="L75" s="4">
        <v>10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6</v>
      </c>
      <c r="U75" s="4">
        <v>2</v>
      </c>
      <c r="V75" s="4">
        <v>0</v>
      </c>
      <c r="W75" s="4">
        <v>0</v>
      </c>
      <c r="X75" s="4">
        <v>0</v>
      </c>
      <c r="Y75" s="4">
        <v>0</v>
      </c>
      <c r="AA75">
        <f t="shared" ref="AA75:AT75" si="370">(COUNTIF(F75:F77, "&gt;0"))/3</f>
        <v>1</v>
      </c>
      <c r="AB75">
        <f t="shared" si="370"/>
        <v>0</v>
      </c>
      <c r="AC75">
        <f t="shared" si="370"/>
        <v>0</v>
      </c>
      <c r="AD75">
        <f t="shared" si="370"/>
        <v>0.33333333333333331</v>
      </c>
      <c r="AE75">
        <f t="shared" si="370"/>
        <v>1</v>
      </c>
      <c r="AF75">
        <f t="shared" si="370"/>
        <v>0.33333333333333331</v>
      </c>
      <c r="AG75">
        <f t="shared" si="370"/>
        <v>1</v>
      </c>
      <c r="AH75">
        <f t="shared" si="370"/>
        <v>0</v>
      </c>
      <c r="AI75">
        <f t="shared" si="370"/>
        <v>0</v>
      </c>
      <c r="AJ75">
        <f t="shared" si="370"/>
        <v>0</v>
      </c>
      <c r="AK75">
        <f t="shared" si="370"/>
        <v>0</v>
      </c>
      <c r="AL75">
        <f t="shared" si="370"/>
        <v>0.33333333333333331</v>
      </c>
      <c r="AM75">
        <f t="shared" si="370"/>
        <v>0</v>
      </c>
      <c r="AN75">
        <f t="shared" si="370"/>
        <v>0.33333333333333331</v>
      </c>
      <c r="AO75">
        <f t="shared" si="370"/>
        <v>1</v>
      </c>
      <c r="AP75">
        <f t="shared" si="370"/>
        <v>0.66666666666666663</v>
      </c>
      <c r="AQ75">
        <f t="shared" si="370"/>
        <v>0</v>
      </c>
      <c r="AR75">
        <f t="shared" si="370"/>
        <v>0</v>
      </c>
      <c r="AS75">
        <f t="shared" si="370"/>
        <v>0.33333333333333331</v>
      </c>
      <c r="AT75">
        <f t="shared" si="370"/>
        <v>0.66666666666666663</v>
      </c>
      <c r="AU75" s="15">
        <f>SUM(AA75:AT75)</f>
        <v>7</v>
      </c>
      <c r="AW75">
        <f>(AA75/$AU75)*100</f>
        <v>14.285714285714285</v>
      </c>
      <c r="AX75">
        <f>(AB75/$AU75)*100</f>
        <v>0</v>
      </c>
      <c r="AY75">
        <f>(AC75/$AU75)*100</f>
        <v>0</v>
      </c>
      <c r="AZ75">
        <f>(AD75/$AU75)*100</f>
        <v>4.7619047619047619</v>
      </c>
      <c r="BA75">
        <f>(AE75/$AU75)*100</f>
        <v>14.285714285714285</v>
      </c>
      <c r="BB75">
        <f t="shared" ref="BB75" si="371">(AF75/$AU75)*100</f>
        <v>4.7619047619047619</v>
      </c>
      <c r="BC75">
        <f t="shared" ref="BC75" si="372">(AG75/$AU75)*100</f>
        <v>14.285714285714285</v>
      </c>
      <c r="BD75">
        <f t="shared" ref="BD75" si="373">(AH75/$AU75)*100</f>
        <v>0</v>
      </c>
      <c r="BE75">
        <f t="shared" ref="BE75" si="374">(AI75/$AU75)*100</f>
        <v>0</v>
      </c>
      <c r="BF75">
        <f t="shared" ref="BF75" si="375">(AJ75/$AU75)*100</f>
        <v>0</v>
      </c>
      <c r="BG75">
        <f t="shared" ref="BG75" si="376">(AK75/$AU75)*100</f>
        <v>0</v>
      </c>
      <c r="BH75">
        <f t="shared" ref="BH75" si="377">(AL75/$AU75)*100</f>
        <v>4.7619047619047619</v>
      </c>
      <c r="BI75">
        <f t="shared" ref="BI75" si="378">(AM75/$AU75)*100</f>
        <v>0</v>
      </c>
      <c r="BJ75">
        <f t="shared" ref="BJ75" si="379">(AN75/$AU75)*100</f>
        <v>4.7619047619047619</v>
      </c>
      <c r="BK75">
        <f t="shared" ref="BK75" si="380">(AO75/$AU75)*100</f>
        <v>14.285714285714285</v>
      </c>
      <c r="BL75">
        <f t="shared" ref="BL75" si="381">(AP75/$AU75)*100</f>
        <v>9.5238095238095237</v>
      </c>
      <c r="BM75">
        <f t="shared" ref="BM75" si="382">(AQ75/$AU75)*100</f>
        <v>0</v>
      </c>
      <c r="BN75">
        <f t="shared" ref="BN75" si="383">(AR75/$AU75)*100</f>
        <v>0</v>
      </c>
      <c r="BO75">
        <f t="shared" ref="BO75" si="384">(AS75/$AU75)*100</f>
        <v>4.7619047619047619</v>
      </c>
      <c r="BP75">
        <f t="shared" ref="BP75" si="385">(AT75/$AU75)*100</f>
        <v>9.5238095238095237</v>
      </c>
      <c r="BQ75">
        <f>SUM(AW75:BP75)</f>
        <v>99.999999999999972</v>
      </c>
    </row>
    <row r="76" spans="1:69" x14ac:dyDescent="0.35">
      <c r="A76" s="1" t="s">
        <v>116</v>
      </c>
      <c r="B76" s="1">
        <v>74</v>
      </c>
      <c r="C76" s="1" t="s">
        <v>127</v>
      </c>
      <c r="D76" s="1" t="s">
        <v>126</v>
      </c>
      <c r="E76" s="3" t="s">
        <v>21</v>
      </c>
      <c r="F76" s="4">
        <v>12</v>
      </c>
      <c r="G76" s="4">
        <v>0</v>
      </c>
      <c r="H76" s="4">
        <v>0</v>
      </c>
      <c r="I76" s="4">
        <v>1</v>
      </c>
      <c r="J76" s="4">
        <v>3</v>
      </c>
      <c r="K76" s="4">
        <v>0</v>
      </c>
      <c r="L76" s="4">
        <v>11</v>
      </c>
      <c r="M76" s="4">
        <v>0</v>
      </c>
      <c r="N76" s="4">
        <v>0</v>
      </c>
      <c r="O76" s="4">
        <v>0</v>
      </c>
      <c r="P76" s="4">
        <v>0</v>
      </c>
      <c r="Q76" s="4">
        <v>1</v>
      </c>
      <c r="R76" s="4">
        <v>0</v>
      </c>
      <c r="S76" s="4">
        <v>0</v>
      </c>
      <c r="T76" s="4">
        <v>3</v>
      </c>
      <c r="U76" s="4">
        <v>7</v>
      </c>
      <c r="V76" s="4">
        <v>0</v>
      </c>
      <c r="W76" s="4">
        <v>0</v>
      </c>
      <c r="X76" s="4">
        <v>0</v>
      </c>
      <c r="Y76" s="4">
        <v>3</v>
      </c>
    </row>
    <row r="77" spans="1:69" x14ac:dyDescent="0.35">
      <c r="A77" s="1" t="s">
        <v>116</v>
      </c>
      <c r="B77" s="1">
        <v>75</v>
      </c>
      <c r="C77" s="1" t="s">
        <v>128</v>
      </c>
      <c r="D77" s="1" t="s">
        <v>126</v>
      </c>
      <c r="E77" s="3" t="s">
        <v>21</v>
      </c>
      <c r="F77" s="4">
        <v>17</v>
      </c>
      <c r="G77" s="4">
        <v>0</v>
      </c>
      <c r="H77" s="4">
        <v>0</v>
      </c>
      <c r="I77" s="4">
        <v>0</v>
      </c>
      <c r="J77" s="4">
        <v>3</v>
      </c>
      <c r="K77" s="4">
        <v>0</v>
      </c>
      <c r="L77" s="4">
        <v>29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1</v>
      </c>
      <c r="T77" s="4">
        <v>2</v>
      </c>
      <c r="U77" s="4">
        <v>0</v>
      </c>
      <c r="V77" s="4">
        <v>0</v>
      </c>
      <c r="W77" s="4">
        <v>0</v>
      </c>
      <c r="X77" s="4">
        <v>1</v>
      </c>
      <c r="Y77" s="4">
        <v>4</v>
      </c>
    </row>
    <row r="78" spans="1:69" x14ac:dyDescent="0.35">
      <c r="A78" s="1" t="s">
        <v>116</v>
      </c>
      <c r="B78" s="1">
        <v>76</v>
      </c>
      <c r="C78" s="1" t="s">
        <v>129</v>
      </c>
      <c r="D78" s="1" t="s">
        <v>130</v>
      </c>
      <c r="E78" s="3" t="s">
        <v>53</v>
      </c>
      <c r="F78" s="4">
        <v>23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19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1</v>
      </c>
      <c r="V78" s="4">
        <v>0</v>
      </c>
      <c r="W78" s="4">
        <v>0</v>
      </c>
      <c r="X78" s="4">
        <v>8</v>
      </c>
      <c r="Y78" s="4">
        <v>1</v>
      </c>
      <c r="AA78">
        <f t="shared" ref="AA78:AT78" si="386">(COUNTIF(F78:F80, "&gt;0"))/3</f>
        <v>1</v>
      </c>
      <c r="AB78">
        <f t="shared" si="386"/>
        <v>0</v>
      </c>
      <c r="AC78">
        <f t="shared" si="386"/>
        <v>0</v>
      </c>
      <c r="AD78">
        <f t="shared" si="386"/>
        <v>0</v>
      </c>
      <c r="AE78">
        <f t="shared" si="386"/>
        <v>0</v>
      </c>
      <c r="AF78">
        <f t="shared" si="386"/>
        <v>0</v>
      </c>
      <c r="AG78">
        <f t="shared" si="386"/>
        <v>1</v>
      </c>
      <c r="AH78">
        <f t="shared" si="386"/>
        <v>0</v>
      </c>
      <c r="AI78">
        <f t="shared" si="386"/>
        <v>0</v>
      </c>
      <c r="AJ78">
        <f t="shared" si="386"/>
        <v>0</v>
      </c>
      <c r="AK78">
        <f t="shared" si="386"/>
        <v>0</v>
      </c>
      <c r="AL78">
        <f t="shared" si="386"/>
        <v>0</v>
      </c>
      <c r="AM78">
        <f t="shared" si="386"/>
        <v>0</v>
      </c>
      <c r="AN78">
        <f t="shared" si="386"/>
        <v>0.33333333333333331</v>
      </c>
      <c r="AO78">
        <f t="shared" si="386"/>
        <v>0</v>
      </c>
      <c r="AP78">
        <f t="shared" si="386"/>
        <v>0.66666666666666663</v>
      </c>
      <c r="AQ78">
        <f t="shared" si="386"/>
        <v>0</v>
      </c>
      <c r="AR78">
        <f t="shared" si="386"/>
        <v>0</v>
      </c>
      <c r="AS78">
        <f t="shared" si="386"/>
        <v>1</v>
      </c>
      <c r="AT78">
        <f t="shared" si="386"/>
        <v>1</v>
      </c>
      <c r="AU78" s="15">
        <f>SUM(AA78:AT78)</f>
        <v>5</v>
      </c>
      <c r="AW78">
        <f>(AA78/$AU78)*100</f>
        <v>20</v>
      </c>
      <c r="AX78">
        <f>(AB78/$AU78)*100</f>
        <v>0</v>
      </c>
      <c r="AY78">
        <f>(AC78/$AU78)*100</f>
        <v>0</v>
      </c>
      <c r="AZ78">
        <f>(AD78/$AU78)*100</f>
        <v>0</v>
      </c>
      <c r="BA78">
        <f>(AE78/$AU78)*100</f>
        <v>0</v>
      </c>
      <c r="BB78">
        <f t="shared" ref="BB78" si="387">(AF78/$AU78)*100</f>
        <v>0</v>
      </c>
      <c r="BC78">
        <f t="shared" ref="BC78" si="388">(AG78/$AU78)*100</f>
        <v>20</v>
      </c>
      <c r="BD78">
        <f t="shared" ref="BD78" si="389">(AH78/$AU78)*100</f>
        <v>0</v>
      </c>
      <c r="BE78">
        <f t="shared" ref="BE78" si="390">(AI78/$AU78)*100</f>
        <v>0</v>
      </c>
      <c r="BF78">
        <f t="shared" ref="BF78" si="391">(AJ78/$AU78)*100</f>
        <v>0</v>
      </c>
      <c r="BG78">
        <f t="shared" ref="BG78" si="392">(AK78/$AU78)*100</f>
        <v>0</v>
      </c>
      <c r="BH78">
        <f t="shared" ref="BH78" si="393">(AL78/$AU78)*100</f>
        <v>0</v>
      </c>
      <c r="BI78">
        <f t="shared" ref="BI78" si="394">(AM78/$AU78)*100</f>
        <v>0</v>
      </c>
      <c r="BJ78">
        <f t="shared" ref="BJ78" si="395">(AN78/$AU78)*100</f>
        <v>6.666666666666667</v>
      </c>
      <c r="BK78">
        <f t="shared" ref="BK78" si="396">(AO78/$AU78)*100</f>
        <v>0</v>
      </c>
      <c r="BL78">
        <f t="shared" ref="BL78" si="397">(AP78/$AU78)*100</f>
        <v>13.333333333333334</v>
      </c>
      <c r="BM78">
        <f t="shared" ref="BM78" si="398">(AQ78/$AU78)*100</f>
        <v>0</v>
      </c>
      <c r="BN78">
        <f t="shared" ref="BN78" si="399">(AR78/$AU78)*100</f>
        <v>0</v>
      </c>
      <c r="BO78">
        <f t="shared" ref="BO78" si="400">(AS78/$AU78)*100</f>
        <v>20</v>
      </c>
      <c r="BP78">
        <f t="shared" ref="BP78" si="401">(AT78/$AU78)*100</f>
        <v>20</v>
      </c>
      <c r="BQ78">
        <f>SUM(AW78:BP78)</f>
        <v>100</v>
      </c>
    </row>
    <row r="79" spans="1:69" x14ac:dyDescent="0.35">
      <c r="A79" s="1" t="s">
        <v>116</v>
      </c>
      <c r="B79" s="1">
        <v>77</v>
      </c>
      <c r="C79" s="1" t="s">
        <v>131</v>
      </c>
      <c r="D79" s="1" t="s">
        <v>130</v>
      </c>
      <c r="E79" s="3" t="s">
        <v>53</v>
      </c>
      <c r="F79" s="4">
        <v>8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16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2</v>
      </c>
      <c r="V79" s="4">
        <v>0</v>
      </c>
      <c r="W79" s="4">
        <v>0</v>
      </c>
      <c r="X79" s="4">
        <v>2</v>
      </c>
      <c r="Y79" s="4">
        <v>5</v>
      </c>
    </row>
    <row r="80" spans="1:69" x14ac:dyDescent="0.35">
      <c r="A80" s="1" t="s">
        <v>116</v>
      </c>
      <c r="B80" s="1">
        <v>78</v>
      </c>
      <c r="C80" s="1" t="s">
        <v>132</v>
      </c>
      <c r="D80" s="1" t="s">
        <v>130</v>
      </c>
      <c r="E80" s="3" t="s">
        <v>53</v>
      </c>
      <c r="F80" s="4">
        <v>22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23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1</v>
      </c>
      <c r="T80" s="4">
        <v>0</v>
      </c>
      <c r="U80" s="4">
        <v>0</v>
      </c>
      <c r="V80" s="4">
        <v>0</v>
      </c>
      <c r="W80" s="4">
        <v>0</v>
      </c>
      <c r="X80" s="4">
        <v>3</v>
      </c>
      <c r="Y80" s="4">
        <v>6</v>
      </c>
    </row>
    <row r="81" spans="1:69" x14ac:dyDescent="0.35">
      <c r="A81" s="1" t="s">
        <v>116</v>
      </c>
      <c r="B81" s="1">
        <v>79</v>
      </c>
      <c r="C81" s="1" t="s">
        <v>133</v>
      </c>
      <c r="D81" s="1" t="s">
        <v>134</v>
      </c>
      <c r="E81" s="3" t="s">
        <v>27</v>
      </c>
      <c r="F81" s="4">
        <v>16</v>
      </c>
      <c r="G81" s="4">
        <v>0</v>
      </c>
      <c r="H81" s="4">
        <v>0</v>
      </c>
      <c r="I81" s="4">
        <v>0</v>
      </c>
      <c r="J81" s="4">
        <v>2</v>
      </c>
      <c r="K81" s="4">
        <v>0</v>
      </c>
      <c r="L81" s="4">
        <v>7</v>
      </c>
      <c r="M81" s="4">
        <v>0</v>
      </c>
      <c r="N81" s="4">
        <v>0</v>
      </c>
      <c r="O81" s="4">
        <v>0</v>
      </c>
      <c r="P81" s="4">
        <v>1</v>
      </c>
      <c r="Q81" s="4">
        <v>0</v>
      </c>
      <c r="R81" s="4">
        <v>0</v>
      </c>
      <c r="S81" s="4">
        <v>0</v>
      </c>
      <c r="T81" s="4">
        <v>0</v>
      </c>
      <c r="U81" s="4">
        <v>2</v>
      </c>
      <c r="V81" s="4">
        <v>0</v>
      </c>
      <c r="W81" s="4">
        <v>0</v>
      </c>
      <c r="X81" s="4">
        <v>11</v>
      </c>
      <c r="Y81" s="4">
        <v>0</v>
      </c>
      <c r="AA81">
        <f t="shared" ref="AA81:AT81" si="402">(COUNTIF(F81:F83, "&gt;0"))/3</f>
        <v>1</v>
      </c>
      <c r="AB81">
        <f t="shared" si="402"/>
        <v>0</v>
      </c>
      <c r="AC81">
        <f t="shared" si="402"/>
        <v>0.33333333333333331</v>
      </c>
      <c r="AD81">
        <f t="shared" si="402"/>
        <v>0.33333333333333331</v>
      </c>
      <c r="AE81">
        <f t="shared" si="402"/>
        <v>1</v>
      </c>
      <c r="AF81">
        <f t="shared" si="402"/>
        <v>0</v>
      </c>
      <c r="AG81">
        <f t="shared" si="402"/>
        <v>1</v>
      </c>
      <c r="AH81">
        <f t="shared" si="402"/>
        <v>0.33333333333333331</v>
      </c>
      <c r="AI81">
        <f t="shared" si="402"/>
        <v>0</v>
      </c>
      <c r="AJ81">
        <f t="shared" si="402"/>
        <v>0</v>
      </c>
      <c r="AK81">
        <f t="shared" si="402"/>
        <v>0.33333333333333331</v>
      </c>
      <c r="AL81">
        <f t="shared" si="402"/>
        <v>0</v>
      </c>
      <c r="AM81">
        <f t="shared" si="402"/>
        <v>0</v>
      </c>
      <c r="AN81">
        <f t="shared" si="402"/>
        <v>0</v>
      </c>
      <c r="AO81">
        <f t="shared" si="402"/>
        <v>0.66666666666666663</v>
      </c>
      <c r="AP81">
        <f t="shared" si="402"/>
        <v>1</v>
      </c>
      <c r="AQ81">
        <f t="shared" si="402"/>
        <v>0</v>
      </c>
      <c r="AR81">
        <f t="shared" si="402"/>
        <v>0</v>
      </c>
      <c r="AS81">
        <f t="shared" si="402"/>
        <v>0.66666666666666663</v>
      </c>
      <c r="AT81">
        <f t="shared" si="402"/>
        <v>0.33333333333333331</v>
      </c>
      <c r="AU81" s="15">
        <f>SUM(AA81:AT81)</f>
        <v>7</v>
      </c>
      <c r="AW81">
        <f>(AA81/$AU81)*100</f>
        <v>14.285714285714285</v>
      </c>
      <c r="AX81">
        <f>(AB81/$AU81)*100</f>
        <v>0</v>
      </c>
      <c r="AY81">
        <f>(AC81/$AU81)*100</f>
        <v>4.7619047619047619</v>
      </c>
      <c r="AZ81">
        <f>(AD81/$AU81)*100</f>
        <v>4.7619047619047619</v>
      </c>
      <c r="BA81">
        <f>(AE81/$AU81)*100</f>
        <v>14.285714285714285</v>
      </c>
      <c r="BB81">
        <f t="shared" ref="BB81" si="403">(AF81/$AU81)*100</f>
        <v>0</v>
      </c>
      <c r="BC81">
        <f t="shared" ref="BC81" si="404">(AG81/$AU81)*100</f>
        <v>14.285714285714285</v>
      </c>
      <c r="BD81">
        <f t="shared" ref="BD81" si="405">(AH81/$AU81)*100</f>
        <v>4.7619047619047619</v>
      </c>
      <c r="BE81">
        <f t="shared" ref="BE81" si="406">(AI81/$AU81)*100</f>
        <v>0</v>
      </c>
      <c r="BF81">
        <f t="shared" ref="BF81" si="407">(AJ81/$AU81)*100</f>
        <v>0</v>
      </c>
      <c r="BG81">
        <f t="shared" ref="BG81" si="408">(AK81/$AU81)*100</f>
        <v>4.7619047619047619</v>
      </c>
      <c r="BH81">
        <f t="shared" ref="BH81" si="409">(AL81/$AU81)*100</f>
        <v>0</v>
      </c>
      <c r="BI81">
        <f t="shared" ref="BI81" si="410">(AM81/$AU81)*100</f>
        <v>0</v>
      </c>
      <c r="BJ81">
        <f t="shared" ref="BJ81" si="411">(AN81/$AU81)*100</f>
        <v>0</v>
      </c>
      <c r="BK81">
        <f t="shared" ref="BK81" si="412">(AO81/$AU81)*100</f>
        <v>9.5238095238095237</v>
      </c>
      <c r="BL81">
        <f t="shared" ref="BL81" si="413">(AP81/$AU81)*100</f>
        <v>14.285714285714285</v>
      </c>
      <c r="BM81">
        <f t="shared" ref="BM81" si="414">(AQ81/$AU81)*100</f>
        <v>0</v>
      </c>
      <c r="BN81">
        <f t="shared" ref="BN81" si="415">(AR81/$AU81)*100</f>
        <v>0</v>
      </c>
      <c r="BO81">
        <f t="shared" ref="BO81" si="416">(AS81/$AU81)*100</f>
        <v>9.5238095238095237</v>
      </c>
      <c r="BP81">
        <f t="shared" ref="BP81" si="417">(AT81/$AU81)*100</f>
        <v>4.7619047619047619</v>
      </c>
      <c r="BQ81">
        <f>SUM(AW81:BP81)</f>
        <v>99.999999999999972</v>
      </c>
    </row>
    <row r="82" spans="1:69" x14ac:dyDescent="0.35">
      <c r="A82" s="1" t="s">
        <v>116</v>
      </c>
      <c r="B82" s="1">
        <v>80</v>
      </c>
      <c r="C82" s="1" t="s">
        <v>135</v>
      </c>
      <c r="D82" s="1" t="s">
        <v>134</v>
      </c>
      <c r="E82" s="3" t="s">
        <v>27</v>
      </c>
      <c r="F82" s="4">
        <v>11</v>
      </c>
      <c r="G82" s="4">
        <v>0</v>
      </c>
      <c r="H82" s="4">
        <v>1</v>
      </c>
      <c r="I82" s="4">
        <v>0</v>
      </c>
      <c r="J82" s="4">
        <v>2</v>
      </c>
      <c r="K82" s="4">
        <v>0</v>
      </c>
      <c r="L82" s="4">
        <v>6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9</v>
      </c>
      <c r="U82" s="4">
        <v>18</v>
      </c>
      <c r="V82" s="4">
        <v>0</v>
      </c>
      <c r="W82" s="4">
        <v>0</v>
      </c>
      <c r="X82" s="4">
        <v>0</v>
      </c>
      <c r="Y82" s="4">
        <v>1</v>
      </c>
    </row>
    <row r="83" spans="1:69" x14ac:dyDescent="0.35">
      <c r="A83" s="1" t="s">
        <v>116</v>
      </c>
      <c r="B83" s="1">
        <v>81</v>
      </c>
      <c r="C83" s="1" t="s">
        <v>136</v>
      </c>
      <c r="D83" s="1" t="s">
        <v>134</v>
      </c>
      <c r="E83" s="3" t="s">
        <v>27</v>
      </c>
      <c r="F83" s="4">
        <v>13</v>
      </c>
      <c r="G83" s="4">
        <v>0</v>
      </c>
      <c r="H83" s="4">
        <v>0</v>
      </c>
      <c r="I83" s="4">
        <v>1</v>
      </c>
      <c r="J83" s="4">
        <v>3</v>
      </c>
      <c r="K83" s="4">
        <v>0</v>
      </c>
      <c r="L83" s="4">
        <v>6</v>
      </c>
      <c r="M83" s="4">
        <v>1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1</v>
      </c>
      <c r="U83" s="4">
        <v>4</v>
      </c>
      <c r="V83" s="4">
        <v>0</v>
      </c>
      <c r="W83" s="4">
        <v>0</v>
      </c>
      <c r="X83" s="4">
        <v>11</v>
      </c>
      <c r="Y83" s="4">
        <v>0</v>
      </c>
    </row>
    <row r="84" spans="1:69" x14ac:dyDescent="0.35">
      <c r="A84" s="1" t="s">
        <v>61</v>
      </c>
      <c r="B84" s="1">
        <v>82</v>
      </c>
      <c r="C84" s="1" t="s">
        <v>137</v>
      </c>
      <c r="D84" s="1" t="s">
        <v>138</v>
      </c>
      <c r="E84" s="3" t="s">
        <v>21</v>
      </c>
      <c r="F84" s="4">
        <v>16</v>
      </c>
      <c r="G84" s="4">
        <v>0</v>
      </c>
      <c r="H84" s="4">
        <v>0</v>
      </c>
      <c r="I84" s="4">
        <v>0</v>
      </c>
      <c r="J84" s="4">
        <v>1</v>
      </c>
      <c r="K84" s="4">
        <v>0</v>
      </c>
      <c r="L84" s="4">
        <v>6</v>
      </c>
      <c r="M84" s="4">
        <v>0</v>
      </c>
      <c r="N84" s="4">
        <v>0</v>
      </c>
      <c r="O84" s="4">
        <v>0</v>
      </c>
      <c r="P84" s="4">
        <v>0</v>
      </c>
      <c r="Q84" s="4">
        <v>3</v>
      </c>
      <c r="R84" s="4">
        <v>0</v>
      </c>
      <c r="S84" s="4">
        <v>0</v>
      </c>
      <c r="T84" s="4">
        <v>0</v>
      </c>
      <c r="U84" s="4">
        <v>4</v>
      </c>
      <c r="V84" s="4">
        <v>0</v>
      </c>
      <c r="W84" s="4">
        <v>0</v>
      </c>
      <c r="X84" s="4">
        <v>6</v>
      </c>
      <c r="Y84" s="4">
        <v>0</v>
      </c>
      <c r="AA84">
        <f t="shared" ref="AA84:AT84" si="418">(COUNTIF(F84:F86, "&gt;0"))/3</f>
        <v>1</v>
      </c>
      <c r="AB84">
        <f t="shared" si="418"/>
        <v>0</v>
      </c>
      <c r="AC84">
        <f t="shared" si="418"/>
        <v>0</v>
      </c>
      <c r="AD84">
        <f t="shared" si="418"/>
        <v>0</v>
      </c>
      <c r="AE84">
        <f t="shared" si="418"/>
        <v>0.66666666666666663</v>
      </c>
      <c r="AF84">
        <f t="shared" si="418"/>
        <v>0</v>
      </c>
      <c r="AG84">
        <f t="shared" si="418"/>
        <v>1</v>
      </c>
      <c r="AH84">
        <f t="shared" si="418"/>
        <v>0</v>
      </c>
      <c r="AI84">
        <f t="shared" si="418"/>
        <v>0</v>
      </c>
      <c r="AJ84">
        <f t="shared" si="418"/>
        <v>0</v>
      </c>
      <c r="AK84">
        <f t="shared" si="418"/>
        <v>0.33333333333333331</v>
      </c>
      <c r="AL84">
        <f t="shared" si="418"/>
        <v>0.66666666666666663</v>
      </c>
      <c r="AM84">
        <f t="shared" si="418"/>
        <v>0</v>
      </c>
      <c r="AN84">
        <f t="shared" si="418"/>
        <v>0</v>
      </c>
      <c r="AO84">
        <f t="shared" si="418"/>
        <v>0.33333333333333331</v>
      </c>
      <c r="AP84">
        <f t="shared" si="418"/>
        <v>1</v>
      </c>
      <c r="AQ84">
        <f t="shared" si="418"/>
        <v>0</v>
      </c>
      <c r="AR84">
        <f t="shared" si="418"/>
        <v>0</v>
      </c>
      <c r="AS84">
        <f t="shared" si="418"/>
        <v>1</v>
      </c>
      <c r="AT84">
        <f t="shared" si="418"/>
        <v>0.33333333333333331</v>
      </c>
      <c r="AU84" s="15">
        <f>SUM(AA84:AT84)</f>
        <v>6.333333333333333</v>
      </c>
      <c r="AW84">
        <f>(AA84/$AU84)*100</f>
        <v>15.789473684210527</v>
      </c>
      <c r="AX84">
        <f>(AB84/$AU84)*100</f>
        <v>0</v>
      </c>
      <c r="AY84">
        <f>(AC84/$AU84)*100</f>
        <v>0</v>
      </c>
      <c r="AZ84">
        <f>(AD84/$AU84)*100</f>
        <v>0</v>
      </c>
      <c r="BA84">
        <f>(AE84/$AU84)*100</f>
        <v>10.526315789473683</v>
      </c>
      <c r="BB84">
        <f t="shared" ref="BB84" si="419">(AF84/$AU84)*100</f>
        <v>0</v>
      </c>
      <c r="BC84">
        <f t="shared" ref="BC84" si="420">(AG84/$AU84)*100</f>
        <v>15.789473684210527</v>
      </c>
      <c r="BD84">
        <f t="shared" ref="BD84" si="421">(AH84/$AU84)*100</f>
        <v>0</v>
      </c>
      <c r="BE84">
        <f t="shared" ref="BE84" si="422">(AI84/$AU84)*100</f>
        <v>0</v>
      </c>
      <c r="BF84">
        <f t="shared" ref="BF84" si="423">(AJ84/$AU84)*100</f>
        <v>0</v>
      </c>
      <c r="BG84">
        <f t="shared" ref="BG84" si="424">(AK84/$AU84)*100</f>
        <v>5.2631578947368416</v>
      </c>
      <c r="BH84">
        <f t="shared" ref="BH84" si="425">(AL84/$AU84)*100</f>
        <v>10.526315789473683</v>
      </c>
      <c r="BI84">
        <f t="shared" ref="BI84" si="426">(AM84/$AU84)*100</f>
        <v>0</v>
      </c>
      <c r="BJ84">
        <f t="shared" ref="BJ84" si="427">(AN84/$AU84)*100</f>
        <v>0</v>
      </c>
      <c r="BK84">
        <f t="shared" ref="BK84" si="428">(AO84/$AU84)*100</f>
        <v>5.2631578947368416</v>
      </c>
      <c r="BL84">
        <f t="shared" ref="BL84" si="429">(AP84/$AU84)*100</f>
        <v>15.789473684210527</v>
      </c>
      <c r="BM84">
        <f t="shared" ref="BM84" si="430">(AQ84/$AU84)*100</f>
        <v>0</v>
      </c>
      <c r="BN84">
        <f t="shared" ref="BN84" si="431">(AR84/$AU84)*100</f>
        <v>0</v>
      </c>
      <c r="BO84">
        <f t="shared" ref="BO84" si="432">(AS84/$AU84)*100</f>
        <v>15.789473684210527</v>
      </c>
      <c r="BP84">
        <f t="shared" ref="BP84" si="433">(AT84/$AU84)*100</f>
        <v>5.2631578947368416</v>
      </c>
      <c r="BQ84">
        <f>SUM(AW84:BP84)</f>
        <v>99.999999999999986</v>
      </c>
    </row>
    <row r="85" spans="1:69" x14ac:dyDescent="0.35">
      <c r="A85" s="1" t="s">
        <v>61</v>
      </c>
      <c r="B85" s="1">
        <v>83</v>
      </c>
      <c r="C85" s="1" t="s">
        <v>139</v>
      </c>
      <c r="D85" s="1" t="s">
        <v>138</v>
      </c>
      <c r="E85" s="3" t="s">
        <v>21</v>
      </c>
      <c r="F85" s="4">
        <v>18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6</v>
      </c>
      <c r="M85" s="4">
        <v>0</v>
      </c>
      <c r="N85" s="4">
        <v>0</v>
      </c>
      <c r="O85" s="4">
        <v>0</v>
      </c>
      <c r="P85" s="4">
        <v>0</v>
      </c>
      <c r="Q85" s="4">
        <v>1</v>
      </c>
      <c r="R85" s="4">
        <v>0</v>
      </c>
      <c r="S85" s="4">
        <v>0</v>
      </c>
      <c r="T85" s="4">
        <v>1</v>
      </c>
      <c r="U85" s="4">
        <v>14</v>
      </c>
      <c r="V85" s="4">
        <v>0</v>
      </c>
      <c r="W85" s="4">
        <v>0</v>
      </c>
      <c r="X85" s="4">
        <v>1</v>
      </c>
      <c r="Y85" s="4">
        <v>1</v>
      </c>
    </row>
    <row r="86" spans="1:69" x14ac:dyDescent="0.35">
      <c r="A86" s="1" t="s">
        <v>61</v>
      </c>
      <c r="B86" s="1">
        <v>84</v>
      </c>
      <c r="C86" s="1" t="s">
        <v>140</v>
      </c>
      <c r="D86" s="1" t="s">
        <v>138</v>
      </c>
      <c r="E86" s="3" t="s">
        <v>21</v>
      </c>
      <c r="F86" s="4">
        <v>10</v>
      </c>
      <c r="G86" s="4">
        <v>0</v>
      </c>
      <c r="H86" s="4">
        <v>0</v>
      </c>
      <c r="I86" s="4">
        <v>0</v>
      </c>
      <c r="J86" s="4">
        <v>5</v>
      </c>
      <c r="K86" s="4">
        <v>0</v>
      </c>
      <c r="L86" s="4">
        <v>5</v>
      </c>
      <c r="M86" s="4">
        <v>0</v>
      </c>
      <c r="N86" s="4">
        <v>0</v>
      </c>
      <c r="O86" s="4">
        <v>0</v>
      </c>
      <c r="P86" s="4">
        <v>5</v>
      </c>
      <c r="Q86" s="4">
        <v>0</v>
      </c>
      <c r="R86" s="4">
        <v>0</v>
      </c>
      <c r="S86" s="4">
        <v>0</v>
      </c>
      <c r="T86" s="4">
        <v>0</v>
      </c>
      <c r="U86" s="4">
        <v>7</v>
      </c>
      <c r="V86" s="4">
        <v>0</v>
      </c>
      <c r="W86" s="4">
        <v>0</v>
      </c>
      <c r="X86" s="4">
        <v>2</v>
      </c>
      <c r="Y86" s="4">
        <v>0</v>
      </c>
    </row>
    <row r="87" spans="1:69" x14ac:dyDescent="0.35">
      <c r="A87" s="1" t="s">
        <v>61</v>
      </c>
      <c r="B87" s="1">
        <v>85</v>
      </c>
      <c r="C87" s="1" t="s">
        <v>141</v>
      </c>
      <c r="D87" s="1" t="s">
        <v>142</v>
      </c>
      <c r="E87" s="3" t="s">
        <v>27</v>
      </c>
      <c r="F87" s="4">
        <v>14</v>
      </c>
      <c r="G87" s="4">
        <v>3</v>
      </c>
      <c r="H87" s="4">
        <v>0</v>
      </c>
      <c r="I87" s="4">
        <v>0</v>
      </c>
      <c r="J87" s="4">
        <v>0</v>
      </c>
      <c r="K87" s="4">
        <v>0</v>
      </c>
      <c r="L87" s="4">
        <v>4</v>
      </c>
      <c r="M87" s="4">
        <v>0</v>
      </c>
      <c r="N87" s="4">
        <v>1</v>
      </c>
      <c r="O87" s="4">
        <v>0</v>
      </c>
      <c r="P87" s="4">
        <v>0</v>
      </c>
      <c r="Q87" s="4">
        <v>0</v>
      </c>
      <c r="R87" s="4">
        <v>0</v>
      </c>
      <c r="S87" s="4">
        <v>5</v>
      </c>
      <c r="T87" s="4">
        <v>11</v>
      </c>
      <c r="U87" s="4">
        <v>9</v>
      </c>
      <c r="V87" s="4">
        <v>0</v>
      </c>
      <c r="W87" s="4">
        <v>0</v>
      </c>
      <c r="X87" s="4">
        <v>0</v>
      </c>
      <c r="Y87" s="4">
        <v>2</v>
      </c>
      <c r="AA87">
        <f t="shared" ref="AA87:AT87" si="434">(COUNTIF(F87:F89, "&gt;0"))/3</f>
        <v>1</v>
      </c>
      <c r="AB87">
        <f t="shared" si="434"/>
        <v>0.33333333333333331</v>
      </c>
      <c r="AC87">
        <f t="shared" si="434"/>
        <v>0</v>
      </c>
      <c r="AD87">
        <f t="shared" si="434"/>
        <v>0.33333333333333331</v>
      </c>
      <c r="AE87">
        <f t="shared" si="434"/>
        <v>0.33333333333333331</v>
      </c>
      <c r="AF87">
        <f t="shared" si="434"/>
        <v>0.33333333333333331</v>
      </c>
      <c r="AG87">
        <f t="shared" si="434"/>
        <v>1</v>
      </c>
      <c r="AH87">
        <f t="shared" si="434"/>
        <v>0.33333333333333331</v>
      </c>
      <c r="AI87">
        <f t="shared" si="434"/>
        <v>0.33333333333333331</v>
      </c>
      <c r="AJ87">
        <f t="shared" si="434"/>
        <v>0</v>
      </c>
      <c r="AK87">
        <f t="shared" si="434"/>
        <v>0.33333333333333331</v>
      </c>
      <c r="AL87">
        <f t="shared" si="434"/>
        <v>0</v>
      </c>
      <c r="AM87">
        <f t="shared" si="434"/>
        <v>0</v>
      </c>
      <c r="AN87">
        <f t="shared" si="434"/>
        <v>1</v>
      </c>
      <c r="AO87">
        <f t="shared" si="434"/>
        <v>1</v>
      </c>
      <c r="AP87">
        <f t="shared" si="434"/>
        <v>1</v>
      </c>
      <c r="AQ87">
        <f t="shared" si="434"/>
        <v>0</v>
      </c>
      <c r="AR87">
        <f t="shared" si="434"/>
        <v>0</v>
      </c>
      <c r="AS87">
        <f t="shared" si="434"/>
        <v>0.66666666666666663</v>
      </c>
      <c r="AT87">
        <f t="shared" si="434"/>
        <v>0.33333333333333331</v>
      </c>
      <c r="AU87" s="15">
        <f>SUM(AA87:AT87)</f>
        <v>8.3333333333333339</v>
      </c>
      <c r="AW87">
        <f>(AA87/$AU87)*100</f>
        <v>12</v>
      </c>
      <c r="AX87">
        <f>(AB87/$AU87)*100</f>
        <v>3.9999999999999996</v>
      </c>
      <c r="AY87">
        <f>(AC87/$AU87)*100</f>
        <v>0</v>
      </c>
      <c r="AZ87">
        <f>(AD87/$AU87)*100</f>
        <v>3.9999999999999996</v>
      </c>
      <c r="BA87">
        <f>(AE87/$AU87)*100</f>
        <v>3.9999999999999996</v>
      </c>
      <c r="BB87">
        <f t="shared" ref="BB87" si="435">(AF87/$AU87)*100</f>
        <v>3.9999999999999996</v>
      </c>
      <c r="BC87">
        <f t="shared" ref="BC87" si="436">(AG87/$AU87)*100</f>
        <v>12</v>
      </c>
      <c r="BD87">
        <f t="shared" ref="BD87" si="437">(AH87/$AU87)*100</f>
        <v>3.9999999999999996</v>
      </c>
      <c r="BE87">
        <f t="shared" ref="BE87" si="438">(AI87/$AU87)*100</f>
        <v>3.9999999999999996</v>
      </c>
      <c r="BF87">
        <f t="shared" ref="BF87" si="439">(AJ87/$AU87)*100</f>
        <v>0</v>
      </c>
      <c r="BG87">
        <f t="shared" ref="BG87" si="440">(AK87/$AU87)*100</f>
        <v>3.9999999999999996</v>
      </c>
      <c r="BH87">
        <f t="shared" ref="BH87" si="441">(AL87/$AU87)*100</f>
        <v>0</v>
      </c>
      <c r="BI87">
        <f t="shared" ref="BI87" si="442">(AM87/$AU87)*100</f>
        <v>0</v>
      </c>
      <c r="BJ87">
        <f t="shared" ref="BJ87" si="443">(AN87/$AU87)*100</f>
        <v>12</v>
      </c>
      <c r="BK87">
        <f t="shared" ref="BK87" si="444">(AO87/$AU87)*100</f>
        <v>12</v>
      </c>
      <c r="BL87">
        <f t="shared" ref="BL87" si="445">(AP87/$AU87)*100</f>
        <v>12</v>
      </c>
      <c r="BM87">
        <f t="shared" ref="BM87" si="446">(AQ87/$AU87)*100</f>
        <v>0</v>
      </c>
      <c r="BN87">
        <f t="shared" ref="BN87" si="447">(AR87/$AU87)*100</f>
        <v>0</v>
      </c>
      <c r="BO87">
        <f t="shared" ref="BO87" si="448">(AS87/$AU87)*100</f>
        <v>7.9999999999999991</v>
      </c>
      <c r="BP87">
        <f t="shared" ref="BP87" si="449">(AT87/$AU87)*100</f>
        <v>3.9999999999999996</v>
      </c>
      <c r="BQ87">
        <f>SUM(AW87:BP87)</f>
        <v>100</v>
      </c>
    </row>
    <row r="88" spans="1:69" x14ac:dyDescent="0.35">
      <c r="A88" s="1" t="s">
        <v>61</v>
      </c>
      <c r="B88" s="1">
        <v>86</v>
      </c>
      <c r="C88" s="1" t="s">
        <v>143</v>
      </c>
      <c r="D88" s="1" t="s">
        <v>142</v>
      </c>
      <c r="E88" s="3" t="s">
        <v>27</v>
      </c>
      <c r="F88" s="4">
        <v>5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10</v>
      </c>
      <c r="M88" s="4">
        <v>1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5</v>
      </c>
      <c r="T88" s="4">
        <v>6</v>
      </c>
      <c r="U88" s="4">
        <v>5</v>
      </c>
      <c r="V88" s="4">
        <v>0</v>
      </c>
      <c r="W88" s="4">
        <v>0</v>
      </c>
      <c r="X88" s="4">
        <v>4</v>
      </c>
      <c r="Y88" s="4">
        <v>0</v>
      </c>
    </row>
    <row r="89" spans="1:69" x14ac:dyDescent="0.35">
      <c r="A89" s="1" t="s">
        <v>61</v>
      </c>
      <c r="B89" s="1">
        <v>87</v>
      </c>
      <c r="C89" s="1" t="s">
        <v>144</v>
      </c>
      <c r="D89" s="1" t="s">
        <v>142</v>
      </c>
      <c r="E89" s="3" t="s">
        <v>27</v>
      </c>
      <c r="F89" s="4">
        <v>3</v>
      </c>
      <c r="G89" s="4">
        <v>0</v>
      </c>
      <c r="H89" s="4">
        <v>0</v>
      </c>
      <c r="I89" s="4">
        <v>1</v>
      </c>
      <c r="J89" s="4">
        <v>4</v>
      </c>
      <c r="K89" s="4">
        <v>1</v>
      </c>
      <c r="L89" s="4">
        <v>13</v>
      </c>
      <c r="M89" s="4">
        <v>0</v>
      </c>
      <c r="N89" s="4">
        <v>0</v>
      </c>
      <c r="O89" s="4">
        <v>0</v>
      </c>
      <c r="P89" s="4">
        <v>2</v>
      </c>
      <c r="Q89" s="4">
        <v>0</v>
      </c>
      <c r="R89" s="4">
        <v>0</v>
      </c>
      <c r="S89" s="4">
        <v>5</v>
      </c>
      <c r="T89" s="4">
        <v>3</v>
      </c>
      <c r="U89" s="4">
        <v>5</v>
      </c>
      <c r="V89" s="4">
        <v>0</v>
      </c>
      <c r="W89" s="4">
        <v>0</v>
      </c>
      <c r="X89" s="4">
        <v>17</v>
      </c>
      <c r="Y89" s="4">
        <v>0</v>
      </c>
    </row>
    <row r="90" spans="1:69" x14ac:dyDescent="0.35">
      <c r="A90" s="1" t="s">
        <v>61</v>
      </c>
      <c r="B90" s="1">
        <v>88</v>
      </c>
      <c r="C90" s="1" t="s">
        <v>145</v>
      </c>
      <c r="D90" s="1" t="s">
        <v>146</v>
      </c>
      <c r="E90" s="3" t="s">
        <v>21</v>
      </c>
      <c r="F90" s="4">
        <v>6</v>
      </c>
      <c r="G90" s="4">
        <v>0</v>
      </c>
      <c r="H90" s="4">
        <v>0</v>
      </c>
      <c r="I90" s="4">
        <v>0</v>
      </c>
      <c r="J90" s="4">
        <v>0</v>
      </c>
      <c r="K90" s="4">
        <v>1</v>
      </c>
      <c r="L90" s="4">
        <v>4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2</v>
      </c>
      <c r="U90" s="4">
        <v>18</v>
      </c>
      <c r="V90" s="4">
        <v>0</v>
      </c>
      <c r="W90" s="4">
        <v>0</v>
      </c>
      <c r="X90" s="4">
        <v>0</v>
      </c>
      <c r="Y90" s="4">
        <v>0</v>
      </c>
      <c r="AA90">
        <f t="shared" ref="AA90:AT90" si="450">(COUNTIF(F90:F92, "&gt;0"))/3</f>
        <v>1</v>
      </c>
      <c r="AB90">
        <f t="shared" si="450"/>
        <v>0</v>
      </c>
      <c r="AC90">
        <f t="shared" si="450"/>
        <v>0</v>
      </c>
      <c r="AD90">
        <f t="shared" si="450"/>
        <v>0</v>
      </c>
      <c r="AE90">
        <f t="shared" si="450"/>
        <v>0.66666666666666663</v>
      </c>
      <c r="AF90">
        <f t="shared" si="450"/>
        <v>1</v>
      </c>
      <c r="AG90">
        <f t="shared" si="450"/>
        <v>1</v>
      </c>
      <c r="AH90">
        <f t="shared" si="450"/>
        <v>0</v>
      </c>
      <c r="AI90">
        <f t="shared" si="450"/>
        <v>0</v>
      </c>
      <c r="AJ90">
        <f t="shared" si="450"/>
        <v>0</v>
      </c>
      <c r="AK90">
        <f t="shared" si="450"/>
        <v>0</v>
      </c>
      <c r="AL90">
        <f t="shared" si="450"/>
        <v>0.33333333333333331</v>
      </c>
      <c r="AM90">
        <f t="shared" si="450"/>
        <v>0</v>
      </c>
      <c r="AN90">
        <f t="shared" si="450"/>
        <v>0</v>
      </c>
      <c r="AO90">
        <f t="shared" si="450"/>
        <v>0.66666666666666663</v>
      </c>
      <c r="AP90">
        <f t="shared" si="450"/>
        <v>1</v>
      </c>
      <c r="AQ90">
        <f t="shared" si="450"/>
        <v>0</v>
      </c>
      <c r="AR90">
        <f t="shared" si="450"/>
        <v>0.33333333333333331</v>
      </c>
      <c r="AS90">
        <f t="shared" si="450"/>
        <v>0.33333333333333331</v>
      </c>
      <c r="AT90">
        <f t="shared" si="450"/>
        <v>0</v>
      </c>
      <c r="AU90" s="15">
        <f>SUM(AA90:AT90)</f>
        <v>6.333333333333333</v>
      </c>
      <c r="AW90">
        <f>(AA90/$AU90)*100</f>
        <v>15.789473684210527</v>
      </c>
      <c r="AX90">
        <f>(AB90/$AU90)*100</f>
        <v>0</v>
      </c>
      <c r="AY90">
        <f>(AC90/$AU90)*100</f>
        <v>0</v>
      </c>
      <c r="AZ90">
        <f>(AD90/$AU90)*100</f>
        <v>0</v>
      </c>
      <c r="BA90">
        <f>(AE90/$AU90)*100</f>
        <v>10.526315789473683</v>
      </c>
      <c r="BB90">
        <f t="shared" ref="BB90" si="451">(AF90/$AU90)*100</f>
        <v>15.789473684210527</v>
      </c>
      <c r="BC90">
        <f t="shared" ref="BC90" si="452">(AG90/$AU90)*100</f>
        <v>15.789473684210527</v>
      </c>
      <c r="BD90">
        <f t="shared" ref="BD90" si="453">(AH90/$AU90)*100</f>
        <v>0</v>
      </c>
      <c r="BE90">
        <f t="shared" ref="BE90" si="454">(AI90/$AU90)*100</f>
        <v>0</v>
      </c>
      <c r="BF90">
        <f t="shared" ref="BF90" si="455">(AJ90/$AU90)*100</f>
        <v>0</v>
      </c>
      <c r="BG90">
        <f t="shared" ref="BG90" si="456">(AK90/$AU90)*100</f>
        <v>0</v>
      </c>
      <c r="BH90">
        <f t="shared" ref="BH90" si="457">(AL90/$AU90)*100</f>
        <v>5.2631578947368416</v>
      </c>
      <c r="BI90">
        <f t="shared" ref="BI90" si="458">(AM90/$AU90)*100</f>
        <v>0</v>
      </c>
      <c r="BJ90">
        <f t="shared" ref="BJ90" si="459">(AN90/$AU90)*100</f>
        <v>0</v>
      </c>
      <c r="BK90">
        <f t="shared" ref="BK90" si="460">(AO90/$AU90)*100</f>
        <v>10.526315789473683</v>
      </c>
      <c r="BL90">
        <f t="shared" ref="BL90" si="461">(AP90/$AU90)*100</f>
        <v>15.789473684210527</v>
      </c>
      <c r="BM90">
        <f t="shared" ref="BM90" si="462">(AQ90/$AU90)*100</f>
        <v>0</v>
      </c>
      <c r="BN90">
        <f t="shared" ref="BN90" si="463">(AR90/$AU90)*100</f>
        <v>5.2631578947368416</v>
      </c>
      <c r="BO90">
        <f t="shared" ref="BO90" si="464">(AS90/$AU90)*100</f>
        <v>5.2631578947368416</v>
      </c>
      <c r="BP90">
        <f t="shared" ref="BP90" si="465">(AT90/$AU90)*100</f>
        <v>0</v>
      </c>
      <c r="BQ90">
        <f>SUM(AW90:BP90)</f>
        <v>100</v>
      </c>
    </row>
    <row r="91" spans="1:69" x14ac:dyDescent="0.35">
      <c r="A91" s="1" t="s">
        <v>61</v>
      </c>
      <c r="B91" s="1">
        <v>89</v>
      </c>
      <c r="C91" s="1" t="s">
        <v>147</v>
      </c>
      <c r="D91" s="1" t="s">
        <v>146</v>
      </c>
      <c r="E91" s="3" t="s">
        <v>21</v>
      </c>
      <c r="F91" s="4">
        <v>7</v>
      </c>
      <c r="G91" s="4">
        <v>0</v>
      </c>
      <c r="H91" s="4">
        <v>0</v>
      </c>
      <c r="I91" s="4">
        <v>0</v>
      </c>
      <c r="J91" s="4">
        <v>5</v>
      </c>
      <c r="K91" s="4">
        <v>1</v>
      </c>
      <c r="L91" s="4">
        <v>8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17</v>
      </c>
      <c r="V91" s="4">
        <v>0</v>
      </c>
      <c r="W91" s="4">
        <v>4</v>
      </c>
      <c r="X91" s="4">
        <v>1</v>
      </c>
      <c r="Y91" s="4">
        <v>0</v>
      </c>
    </row>
    <row r="92" spans="1:69" x14ac:dyDescent="0.35">
      <c r="A92" s="1" t="s">
        <v>61</v>
      </c>
      <c r="B92" s="1">
        <v>90</v>
      </c>
      <c r="C92" s="1" t="s">
        <v>148</v>
      </c>
      <c r="D92" s="1" t="s">
        <v>146</v>
      </c>
      <c r="E92" s="3" t="s">
        <v>21</v>
      </c>
      <c r="F92" s="4">
        <v>5</v>
      </c>
      <c r="G92" s="4">
        <v>0</v>
      </c>
      <c r="H92" s="4">
        <v>0</v>
      </c>
      <c r="I92" s="4">
        <v>0</v>
      </c>
      <c r="J92" s="4">
        <v>9</v>
      </c>
      <c r="K92" s="4">
        <v>3</v>
      </c>
      <c r="L92" s="4">
        <v>9</v>
      </c>
      <c r="M92" s="4">
        <v>0</v>
      </c>
      <c r="N92" s="4">
        <v>0</v>
      </c>
      <c r="O92" s="4">
        <v>0</v>
      </c>
      <c r="P92" s="4">
        <v>0</v>
      </c>
      <c r="Q92" s="4">
        <v>4</v>
      </c>
      <c r="R92" s="4">
        <v>0</v>
      </c>
      <c r="S92" s="4">
        <v>0</v>
      </c>
      <c r="T92" s="4">
        <v>5</v>
      </c>
      <c r="U92" s="4">
        <v>9</v>
      </c>
      <c r="V92" s="4">
        <v>0</v>
      </c>
      <c r="W92" s="4">
        <v>0</v>
      </c>
      <c r="X92" s="4">
        <v>0</v>
      </c>
      <c r="Y92" s="4">
        <v>0</v>
      </c>
    </row>
    <row r="93" spans="1:69" x14ac:dyDescent="0.35">
      <c r="A93" s="1" t="s">
        <v>24</v>
      </c>
      <c r="B93" s="1">
        <v>91</v>
      </c>
      <c r="C93" s="1" t="s">
        <v>149</v>
      </c>
      <c r="D93" s="1" t="s">
        <v>150</v>
      </c>
      <c r="E93" s="3" t="s">
        <v>21</v>
      </c>
      <c r="F93" s="4">
        <v>2</v>
      </c>
      <c r="G93" s="4">
        <v>0</v>
      </c>
      <c r="H93" s="4">
        <v>0</v>
      </c>
      <c r="I93" s="4">
        <v>0</v>
      </c>
      <c r="J93" s="4">
        <v>6</v>
      </c>
      <c r="K93" s="4">
        <v>0</v>
      </c>
      <c r="L93" s="4">
        <v>14</v>
      </c>
      <c r="M93" s="4">
        <v>1</v>
      </c>
      <c r="N93" s="4">
        <v>0</v>
      </c>
      <c r="O93" s="4">
        <v>0</v>
      </c>
      <c r="P93" s="4">
        <v>0</v>
      </c>
      <c r="Q93" s="4">
        <v>3</v>
      </c>
      <c r="R93" s="4">
        <v>0</v>
      </c>
      <c r="S93" s="4">
        <v>0</v>
      </c>
      <c r="T93" s="4">
        <v>1</v>
      </c>
      <c r="U93" s="4">
        <v>20</v>
      </c>
      <c r="V93" s="4">
        <v>0</v>
      </c>
      <c r="W93" s="4">
        <v>0</v>
      </c>
      <c r="X93" s="4">
        <v>0</v>
      </c>
      <c r="Y93" s="4">
        <v>0</v>
      </c>
      <c r="AA93">
        <f t="shared" ref="AA93:AT93" si="466">(COUNTIF(F93:F95, "&gt;0"))/3</f>
        <v>0.33333333333333331</v>
      </c>
      <c r="AB93">
        <f t="shared" si="466"/>
        <v>0</v>
      </c>
      <c r="AC93">
        <f t="shared" si="466"/>
        <v>0</v>
      </c>
      <c r="AD93">
        <f t="shared" si="466"/>
        <v>0</v>
      </c>
      <c r="AE93">
        <f t="shared" si="466"/>
        <v>1</v>
      </c>
      <c r="AF93">
        <f t="shared" si="466"/>
        <v>0</v>
      </c>
      <c r="AG93">
        <f t="shared" si="466"/>
        <v>1</v>
      </c>
      <c r="AH93">
        <f t="shared" si="466"/>
        <v>1</v>
      </c>
      <c r="AI93">
        <f t="shared" si="466"/>
        <v>0</v>
      </c>
      <c r="AJ93">
        <f t="shared" si="466"/>
        <v>0</v>
      </c>
      <c r="AK93">
        <f t="shared" si="466"/>
        <v>0.33333333333333331</v>
      </c>
      <c r="AL93">
        <f t="shared" si="466"/>
        <v>0.66666666666666663</v>
      </c>
      <c r="AM93">
        <f t="shared" si="466"/>
        <v>0</v>
      </c>
      <c r="AN93">
        <f t="shared" si="466"/>
        <v>0.33333333333333331</v>
      </c>
      <c r="AO93">
        <f t="shared" si="466"/>
        <v>0.66666666666666663</v>
      </c>
      <c r="AP93">
        <f t="shared" si="466"/>
        <v>1</v>
      </c>
      <c r="AQ93">
        <f t="shared" si="466"/>
        <v>0</v>
      </c>
      <c r="AR93">
        <f t="shared" si="466"/>
        <v>0</v>
      </c>
      <c r="AS93">
        <f t="shared" si="466"/>
        <v>0.33333333333333331</v>
      </c>
      <c r="AT93">
        <f t="shared" si="466"/>
        <v>0</v>
      </c>
      <c r="AU93" s="15">
        <f>SUM(AA93:AT93)</f>
        <v>6.6666666666666661</v>
      </c>
      <c r="AW93">
        <f>(AA93/$AU93)*100</f>
        <v>5</v>
      </c>
      <c r="AX93">
        <f>(AB93/$AU93)*100</f>
        <v>0</v>
      </c>
      <c r="AY93">
        <f>(AC93/$AU93)*100</f>
        <v>0</v>
      </c>
      <c r="AZ93">
        <f>(AD93/$AU93)*100</f>
        <v>0</v>
      </c>
      <c r="BA93">
        <f>(AE93/$AU93)*100</f>
        <v>15.000000000000002</v>
      </c>
      <c r="BB93">
        <f t="shared" ref="BB93" si="467">(AF93/$AU93)*100</f>
        <v>0</v>
      </c>
      <c r="BC93">
        <f t="shared" ref="BC93" si="468">(AG93/$AU93)*100</f>
        <v>15.000000000000002</v>
      </c>
      <c r="BD93">
        <f t="shared" ref="BD93" si="469">(AH93/$AU93)*100</f>
        <v>15.000000000000002</v>
      </c>
      <c r="BE93">
        <f t="shared" ref="BE93" si="470">(AI93/$AU93)*100</f>
        <v>0</v>
      </c>
      <c r="BF93">
        <f t="shared" ref="BF93" si="471">(AJ93/$AU93)*100</f>
        <v>0</v>
      </c>
      <c r="BG93">
        <f t="shared" ref="BG93" si="472">(AK93/$AU93)*100</f>
        <v>5</v>
      </c>
      <c r="BH93">
        <f t="shared" ref="BH93" si="473">(AL93/$AU93)*100</f>
        <v>10</v>
      </c>
      <c r="BI93">
        <f t="shared" ref="BI93" si="474">(AM93/$AU93)*100</f>
        <v>0</v>
      </c>
      <c r="BJ93">
        <f t="shared" ref="BJ93" si="475">(AN93/$AU93)*100</f>
        <v>5</v>
      </c>
      <c r="BK93">
        <f t="shared" ref="BK93" si="476">(AO93/$AU93)*100</f>
        <v>10</v>
      </c>
      <c r="BL93">
        <f t="shared" ref="BL93" si="477">(AP93/$AU93)*100</f>
        <v>15.000000000000002</v>
      </c>
      <c r="BM93">
        <f t="shared" ref="BM93" si="478">(AQ93/$AU93)*100</f>
        <v>0</v>
      </c>
      <c r="BN93">
        <f t="shared" ref="BN93" si="479">(AR93/$AU93)*100</f>
        <v>0</v>
      </c>
      <c r="BO93">
        <f t="shared" ref="BO93" si="480">(AS93/$AU93)*100</f>
        <v>5</v>
      </c>
      <c r="BP93">
        <f t="shared" ref="BP93" si="481">(AT93/$AU93)*100</f>
        <v>0</v>
      </c>
      <c r="BQ93">
        <f>SUM(AW93:BP93)</f>
        <v>100</v>
      </c>
    </row>
    <row r="94" spans="1:69" x14ac:dyDescent="0.35">
      <c r="A94" s="1" t="s">
        <v>24</v>
      </c>
      <c r="B94" s="1">
        <v>92</v>
      </c>
      <c r="C94" s="1" t="s">
        <v>151</v>
      </c>
      <c r="D94" s="1" t="s">
        <v>150</v>
      </c>
      <c r="E94" s="3" t="s">
        <v>21</v>
      </c>
      <c r="F94" s="4">
        <v>0</v>
      </c>
      <c r="G94" s="4">
        <v>0</v>
      </c>
      <c r="H94" s="4">
        <v>0</v>
      </c>
      <c r="I94" s="4">
        <v>0</v>
      </c>
      <c r="J94" s="4">
        <v>6</v>
      </c>
      <c r="K94" s="4">
        <v>0</v>
      </c>
      <c r="L94" s="4">
        <v>9</v>
      </c>
      <c r="M94" s="4">
        <v>4</v>
      </c>
      <c r="N94" s="4">
        <v>0</v>
      </c>
      <c r="O94" s="4">
        <v>0</v>
      </c>
      <c r="P94" s="4">
        <v>0</v>
      </c>
      <c r="Q94" s="4">
        <v>1</v>
      </c>
      <c r="R94" s="4">
        <v>0</v>
      </c>
      <c r="S94" s="4">
        <v>0</v>
      </c>
      <c r="T94" s="4">
        <v>0</v>
      </c>
      <c r="U94" s="4">
        <v>23</v>
      </c>
      <c r="V94" s="4">
        <v>0</v>
      </c>
      <c r="W94" s="4">
        <v>0</v>
      </c>
      <c r="X94" s="4">
        <v>0</v>
      </c>
      <c r="Y94" s="4">
        <v>0</v>
      </c>
    </row>
    <row r="95" spans="1:69" x14ac:dyDescent="0.35">
      <c r="A95" s="1" t="s">
        <v>24</v>
      </c>
      <c r="B95" s="1">
        <v>93</v>
      </c>
      <c r="C95" s="1" t="s">
        <v>152</v>
      </c>
      <c r="D95" s="1" t="s">
        <v>150</v>
      </c>
      <c r="E95" s="3" t="s">
        <v>21</v>
      </c>
      <c r="F95" s="4">
        <v>0</v>
      </c>
      <c r="G95" s="4">
        <v>0</v>
      </c>
      <c r="H95" s="4">
        <v>0</v>
      </c>
      <c r="I95" s="4">
        <v>0</v>
      </c>
      <c r="J95" s="4">
        <v>4</v>
      </c>
      <c r="K95" s="4">
        <v>0</v>
      </c>
      <c r="L95" s="4">
        <v>19</v>
      </c>
      <c r="M95" s="4">
        <v>2</v>
      </c>
      <c r="N95" s="4">
        <v>0</v>
      </c>
      <c r="O95" s="4">
        <v>0</v>
      </c>
      <c r="P95" s="4">
        <v>2</v>
      </c>
      <c r="Q95" s="4">
        <v>0</v>
      </c>
      <c r="R95" s="4">
        <v>0</v>
      </c>
      <c r="S95" s="4">
        <v>5</v>
      </c>
      <c r="T95" s="4">
        <v>3</v>
      </c>
      <c r="U95" s="4">
        <v>19</v>
      </c>
      <c r="V95" s="4">
        <v>0</v>
      </c>
      <c r="W95" s="4">
        <v>0</v>
      </c>
      <c r="X95" s="4">
        <v>3</v>
      </c>
      <c r="Y95" s="4">
        <v>0</v>
      </c>
    </row>
    <row r="96" spans="1:69" x14ac:dyDescent="0.35">
      <c r="A96" s="1" t="s">
        <v>91</v>
      </c>
      <c r="B96" s="1">
        <v>94</v>
      </c>
      <c r="C96" s="1" t="s">
        <v>153</v>
      </c>
      <c r="D96" s="1" t="s">
        <v>154</v>
      </c>
      <c r="E96" s="3" t="s">
        <v>21</v>
      </c>
      <c r="F96" s="4">
        <v>11</v>
      </c>
      <c r="G96" s="4">
        <v>0</v>
      </c>
      <c r="H96" s="4">
        <v>0</v>
      </c>
      <c r="I96" s="4">
        <v>0</v>
      </c>
      <c r="J96" s="4">
        <v>7</v>
      </c>
      <c r="K96" s="4">
        <v>0</v>
      </c>
      <c r="L96" s="4">
        <v>7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15</v>
      </c>
      <c r="V96" s="4">
        <v>0</v>
      </c>
      <c r="W96" s="4">
        <v>1</v>
      </c>
      <c r="X96" s="4">
        <v>3</v>
      </c>
      <c r="Y96" s="4">
        <v>0</v>
      </c>
      <c r="AA96">
        <f t="shared" ref="AA96:AT96" si="482">(COUNTIF(F96:F98, "&gt;0"))/3</f>
        <v>1</v>
      </c>
      <c r="AB96">
        <f t="shared" si="482"/>
        <v>0</v>
      </c>
      <c r="AC96">
        <f t="shared" si="482"/>
        <v>0</v>
      </c>
      <c r="AD96">
        <f t="shared" si="482"/>
        <v>0</v>
      </c>
      <c r="AE96">
        <f t="shared" si="482"/>
        <v>1</v>
      </c>
      <c r="AF96">
        <f t="shared" si="482"/>
        <v>0</v>
      </c>
      <c r="AG96">
        <f t="shared" si="482"/>
        <v>1</v>
      </c>
      <c r="AH96">
        <f t="shared" si="482"/>
        <v>0</v>
      </c>
      <c r="AI96">
        <f t="shared" si="482"/>
        <v>0</v>
      </c>
      <c r="AJ96">
        <f t="shared" si="482"/>
        <v>0</v>
      </c>
      <c r="AK96">
        <f t="shared" si="482"/>
        <v>0</v>
      </c>
      <c r="AL96">
        <f t="shared" si="482"/>
        <v>0</v>
      </c>
      <c r="AM96">
        <f t="shared" si="482"/>
        <v>0</v>
      </c>
      <c r="AN96">
        <f t="shared" si="482"/>
        <v>0.33333333333333331</v>
      </c>
      <c r="AO96">
        <f t="shared" si="482"/>
        <v>0</v>
      </c>
      <c r="AP96">
        <f t="shared" si="482"/>
        <v>1</v>
      </c>
      <c r="AQ96">
        <f t="shared" si="482"/>
        <v>0</v>
      </c>
      <c r="AR96">
        <f t="shared" si="482"/>
        <v>1</v>
      </c>
      <c r="AS96">
        <f t="shared" si="482"/>
        <v>1</v>
      </c>
      <c r="AT96">
        <f t="shared" si="482"/>
        <v>0.66666666666666663</v>
      </c>
      <c r="AU96" s="15">
        <f>SUM(AA96:AT96)</f>
        <v>7.0000000000000009</v>
      </c>
      <c r="AW96">
        <f>(AA96/$AU96)*100</f>
        <v>14.285714285714285</v>
      </c>
      <c r="AX96">
        <f>(AB96/$AU96)*100</f>
        <v>0</v>
      </c>
      <c r="AY96">
        <f>(AC96/$AU96)*100</f>
        <v>0</v>
      </c>
      <c r="AZ96">
        <f>(AD96/$AU96)*100</f>
        <v>0</v>
      </c>
      <c r="BA96">
        <f>(AE96/$AU96)*100</f>
        <v>14.285714285714285</v>
      </c>
      <c r="BB96">
        <f t="shared" ref="BB96" si="483">(AF96/$AU96)*100</f>
        <v>0</v>
      </c>
      <c r="BC96">
        <f t="shared" ref="BC96" si="484">(AG96/$AU96)*100</f>
        <v>14.285714285714285</v>
      </c>
      <c r="BD96">
        <f t="shared" ref="BD96" si="485">(AH96/$AU96)*100</f>
        <v>0</v>
      </c>
      <c r="BE96">
        <f t="shared" ref="BE96" si="486">(AI96/$AU96)*100</f>
        <v>0</v>
      </c>
      <c r="BF96">
        <f t="shared" ref="BF96" si="487">(AJ96/$AU96)*100</f>
        <v>0</v>
      </c>
      <c r="BG96">
        <f t="shared" ref="BG96" si="488">(AK96/$AU96)*100</f>
        <v>0</v>
      </c>
      <c r="BH96">
        <f t="shared" ref="BH96" si="489">(AL96/$AU96)*100</f>
        <v>0</v>
      </c>
      <c r="BI96">
        <f t="shared" ref="BI96" si="490">(AM96/$AU96)*100</f>
        <v>0</v>
      </c>
      <c r="BJ96">
        <f t="shared" ref="BJ96" si="491">(AN96/$AU96)*100</f>
        <v>4.761904761904761</v>
      </c>
      <c r="BK96">
        <f t="shared" ref="BK96" si="492">(AO96/$AU96)*100</f>
        <v>0</v>
      </c>
      <c r="BL96">
        <f t="shared" ref="BL96" si="493">(AP96/$AU96)*100</f>
        <v>14.285714285714285</v>
      </c>
      <c r="BM96">
        <f t="shared" ref="BM96" si="494">(AQ96/$AU96)*100</f>
        <v>0</v>
      </c>
      <c r="BN96">
        <f t="shared" ref="BN96" si="495">(AR96/$AU96)*100</f>
        <v>14.285714285714285</v>
      </c>
      <c r="BO96">
        <f t="shared" ref="BO96" si="496">(AS96/$AU96)*100</f>
        <v>14.285714285714285</v>
      </c>
      <c r="BP96">
        <f t="shared" ref="BP96" si="497">(AT96/$AU96)*100</f>
        <v>9.5238095238095219</v>
      </c>
      <c r="BQ96">
        <f>SUM(AW96:BP96)</f>
        <v>99.999999999999972</v>
      </c>
    </row>
    <row r="97" spans="1:69" x14ac:dyDescent="0.35">
      <c r="A97" s="1" t="s">
        <v>91</v>
      </c>
      <c r="B97" s="1">
        <v>95</v>
      </c>
      <c r="C97" s="1" t="s">
        <v>155</v>
      </c>
      <c r="D97" s="1" t="s">
        <v>154</v>
      </c>
      <c r="E97" s="3" t="s">
        <v>21</v>
      </c>
      <c r="F97" s="4">
        <v>7</v>
      </c>
      <c r="G97" s="4">
        <v>0</v>
      </c>
      <c r="H97" s="4">
        <v>0</v>
      </c>
      <c r="I97" s="4">
        <v>0</v>
      </c>
      <c r="J97" s="4">
        <v>1</v>
      </c>
      <c r="K97" s="4">
        <v>0</v>
      </c>
      <c r="L97" s="4">
        <v>8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15</v>
      </c>
      <c r="V97" s="4">
        <v>0</v>
      </c>
      <c r="W97" s="4">
        <v>2</v>
      </c>
      <c r="X97" s="4">
        <v>7</v>
      </c>
      <c r="Y97" s="4">
        <v>1</v>
      </c>
    </row>
    <row r="98" spans="1:69" x14ac:dyDescent="0.35">
      <c r="A98" s="1" t="s">
        <v>91</v>
      </c>
      <c r="B98" s="1">
        <v>96</v>
      </c>
      <c r="C98" s="1" t="s">
        <v>156</v>
      </c>
      <c r="D98" s="1" t="s">
        <v>154</v>
      </c>
      <c r="E98" s="3" t="s">
        <v>21</v>
      </c>
      <c r="F98" s="4">
        <v>3</v>
      </c>
      <c r="G98" s="4">
        <v>0</v>
      </c>
      <c r="H98" s="4">
        <v>0</v>
      </c>
      <c r="I98" s="4">
        <v>0</v>
      </c>
      <c r="J98" s="4">
        <v>4</v>
      </c>
      <c r="K98" s="4">
        <v>0</v>
      </c>
      <c r="L98" s="4">
        <v>11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5</v>
      </c>
      <c r="T98" s="4">
        <v>0</v>
      </c>
      <c r="U98" s="4">
        <v>19</v>
      </c>
      <c r="V98" s="4">
        <v>0</v>
      </c>
      <c r="W98" s="4">
        <v>8</v>
      </c>
      <c r="X98" s="4">
        <v>16</v>
      </c>
      <c r="Y98" s="4">
        <v>1</v>
      </c>
    </row>
    <row r="99" spans="1:69" x14ac:dyDescent="0.35">
      <c r="A99" s="1" t="s">
        <v>91</v>
      </c>
      <c r="B99" s="1">
        <v>97</v>
      </c>
      <c r="C99" s="1" t="s">
        <v>157</v>
      </c>
      <c r="D99" s="1" t="s">
        <v>158</v>
      </c>
      <c r="E99" s="6" t="s">
        <v>27</v>
      </c>
      <c r="F99" s="4">
        <v>3</v>
      </c>
      <c r="G99" s="4">
        <v>0</v>
      </c>
      <c r="H99" s="4">
        <v>0</v>
      </c>
      <c r="I99" s="4">
        <v>0</v>
      </c>
      <c r="J99" s="4">
        <v>3</v>
      </c>
      <c r="K99" s="4">
        <v>0</v>
      </c>
      <c r="L99" s="4">
        <v>13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2</v>
      </c>
      <c r="U99" s="4">
        <v>17</v>
      </c>
      <c r="V99" s="4">
        <v>0</v>
      </c>
      <c r="W99" s="4">
        <v>0</v>
      </c>
      <c r="X99" s="4">
        <v>8</v>
      </c>
      <c r="Y99" s="4">
        <v>2</v>
      </c>
      <c r="AA99">
        <f t="shared" ref="AA99:AT99" si="498">(COUNTIF(F99:F101, "&gt;0"))/3</f>
        <v>1</v>
      </c>
      <c r="AB99">
        <f t="shared" si="498"/>
        <v>0</v>
      </c>
      <c r="AC99">
        <f t="shared" si="498"/>
        <v>0</v>
      </c>
      <c r="AD99">
        <f t="shared" si="498"/>
        <v>0</v>
      </c>
      <c r="AE99">
        <f t="shared" si="498"/>
        <v>0.66666666666666663</v>
      </c>
      <c r="AF99">
        <f t="shared" si="498"/>
        <v>0</v>
      </c>
      <c r="AG99">
        <f t="shared" si="498"/>
        <v>1</v>
      </c>
      <c r="AH99">
        <f t="shared" si="498"/>
        <v>0</v>
      </c>
      <c r="AI99">
        <f t="shared" si="498"/>
        <v>0</v>
      </c>
      <c r="AJ99">
        <f t="shared" si="498"/>
        <v>0</v>
      </c>
      <c r="AK99">
        <f t="shared" si="498"/>
        <v>0</v>
      </c>
      <c r="AL99">
        <f t="shared" si="498"/>
        <v>0.33333333333333331</v>
      </c>
      <c r="AM99">
        <f t="shared" si="498"/>
        <v>0</v>
      </c>
      <c r="AN99">
        <f t="shared" si="498"/>
        <v>0</v>
      </c>
      <c r="AO99">
        <f t="shared" si="498"/>
        <v>0.66666666666666663</v>
      </c>
      <c r="AP99">
        <f t="shared" si="498"/>
        <v>1</v>
      </c>
      <c r="AQ99">
        <f t="shared" si="498"/>
        <v>0</v>
      </c>
      <c r="AR99">
        <f t="shared" si="498"/>
        <v>0.33333333333333331</v>
      </c>
      <c r="AS99">
        <f t="shared" si="498"/>
        <v>1</v>
      </c>
      <c r="AT99">
        <f t="shared" si="498"/>
        <v>0.33333333333333331</v>
      </c>
      <c r="AU99" s="15">
        <f>SUM(AA99:AT99)</f>
        <v>6.3333333333333321</v>
      </c>
      <c r="AW99">
        <f>(AA99/$AU99)*100</f>
        <v>15.789473684210527</v>
      </c>
      <c r="AX99">
        <f>(AB99/$AU99)*100</f>
        <v>0</v>
      </c>
      <c r="AY99">
        <f>(AC99/$AU99)*100</f>
        <v>0</v>
      </c>
      <c r="AZ99">
        <f>(AD99/$AU99)*100</f>
        <v>0</v>
      </c>
      <c r="BA99">
        <f>(AE99/$AU99)*100</f>
        <v>10.526315789473685</v>
      </c>
      <c r="BB99">
        <f t="shared" ref="BB99" si="499">(AF99/$AU99)*100</f>
        <v>0</v>
      </c>
      <c r="BC99">
        <f t="shared" ref="BC99" si="500">(AG99/$AU99)*100</f>
        <v>15.789473684210527</v>
      </c>
      <c r="BD99">
        <f t="shared" ref="BD99" si="501">(AH99/$AU99)*100</f>
        <v>0</v>
      </c>
      <c r="BE99">
        <f t="shared" ref="BE99" si="502">(AI99/$AU99)*100</f>
        <v>0</v>
      </c>
      <c r="BF99">
        <f t="shared" ref="BF99" si="503">(AJ99/$AU99)*100</f>
        <v>0</v>
      </c>
      <c r="BG99">
        <f t="shared" ref="BG99" si="504">(AK99/$AU99)*100</f>
        <v>0</v>
      </c>
      <c r="BH99">
        <f t="shared" ref="BH99" si="505">(AL99/$AU99)*100</f>
        <v>5.2631578947368425</v>
      </c>
      <c r="BI99">
        <f t="shared" ref="BI99" si="506">(AM99/$AU99)*100</f>
        <v>0</v>
      </c>
      <c r="BJ99">
        <f t="shared" ref="BJ99" si="507">(AN99/$AU99)*100</f>
        <v>0</v>
      </c>
      <c r="BK99">
        <f t="shared" ref="BK99" si="508">(AO99/$AU99)*100</f>
        <v>10.526315789473685</v>
      </c>
      <c r="BL99">
        <f t="shared" ref="BL99" si="509">(AP99/$AU99)*100</f>
        <v>15.789473684210527</v>
      </c>
      <c r="BM99">
        <f t="shared" ref="BM99" si="510">(AQ99/$AU99)*100</f>
        <v>0</v>
      </c>
      <c r="BN99">
        <f t="shared" ref="BN99" si="511">(AR99/$AU99)*100</f>
        <v>5.2631578947368425</v>
      </c>
      <c r="BO99">
        <f t="shared" ref="BO99" si="512">(AS99/$AU99)*100</f>
        <v>15.789473684210527</v>
      </c>
      <c r="BP99">
        <f t="shared" ref="BP99" si="513">(AT99/$AU99)*100</f>
        <v>5.2631578947368425</v>
      </c>
      <c r="BQ99">
        <f>SUM(AW99:BP99)</f>
        <v>100</v>
      </c>
    </row>
    <row r="100" spans="1:69" x14ac:dyDescent="0.35">
      <c r="A100" s="1" t="s">
        <v>91</v>
      </c>
      <c r="B100" s="1">
        <v>98</v>
      </c>
      <c r="C100" s="1" t="s">
        <v>159</v>
      </c>
      <c r="D100" s="1" t="s">
        <v>158</v>
      </c>
      <c r="E100" s="6" t="s">
        <v>27</v>
      </c>
      <c r="F100" s="4">
        <v>10</v>
      </c>
      <c r="G100" s="4">
        <v>0</v>
      </c>
      <c r="H100" s="4">
        <v>0</v>
      </c>
      <c r="I100" s="4">
        <v>0</v>
      </c>
      <c r="J100" s="4">
        <v>2</v>
      </c>
      <c r="K100" s="4">
        <v>0</v>
      </c>
      <c r="L100" s="4">
        <v>12</v>
      </c>
      <c r="M100" s="4">
        <v>0</v>
      </c>
      <c r="N100" s="4">
        <v>0</v>
      </c>
      <c r="O100" s="4">
        <v>0</v>
      </c>
      <c r="P100" s="4">
        <v>0</v>
      </c>
      <c r="Q100" s="4">
        <v>2</v>
      </c>
      <c r="R100" s="4">
        <v>0</v>
      </c>
      <c r="S100" s="4">
        <v>0</v>
      </c>
      <c r="T100" s="4">
        <v>0</v>
      </c>
      <c r="U100" s="4">
        <v>14</v>
      </c>
      <c r="V100" s="4">
        <v>0</v>
      </c>
      <c r="W100" s="4">
        <v>0</v>
      </c>
      <c r="X100" s="4">
        <v>13</v>
      </c>
      <c r="Y100" s="4">
        <v>0</v>
      </c>
    </row>
    <row r="101" spans="1:69" x14ac:dyDescent="0.35">
      <c r="A101" s="1" t="s">
        <v>91</v>
      </c>
      <c r="B101" s="1">
        <v>99</v>
      </c>
      <c r="C101" s="1" t="s">
        <v>160</v>
      </c>
      <c r="D101" s="1" t="s">
        <v>158</v>
      </c>
      <c r="E101" s="6" t="s">
        <v>27</v>
      </c>
      <c r="F101" s="4">
        <v>9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15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1</v>
      </c>
      <c r="U101" s="4">
        <v>14</v>
      </c>
      <c r="V101" s="4">
        <v>0</v>
      </c>
      <c r="W101" s="4">
        <v>1</v>
      </c>
      <c r="X101" s="4">
        <v>8</v>
      </c>
      <c r="Y101" s="4">
        <v>0</v>
      </c>
    </row>
    <row r="102" spans="1:69" x14ac:dyDescent="0.35">
      <c r="A102" s="1" t="s">
        <v>91</v>
      </c>
      <c r="B102" s="1">
        <v>100</v>
      </c>
      <c r="C102" s="1" t="s">
        <v>161</v>
      </c>
      <c r="D102" s="1" t="s">
        <v>162</v>
      </c>
      <c r="E102" s="6" t="s">
        <v>21</v>
      </c>
      <c r="F102" s="4">
        <v>5</v>
      </c>
      <c r="G102" s="4">
        <v>0</v>
      </c>
      <c r="H102" s="4">
        <v>0</v>
      </c>
      <c r="I102" s="4">
        <v>0</v>
      </c>
      <c r="J102" s="4">
        <v>3</v>
      </c>
      <c r="K102" s="4">
        <v>0</v>
      </c>
      <c r="L102" s="4">
        <v>11</v>
      </c>
      <c r="M102" s="4">
        <v>0</v>
      </c>
      <c r="N102" s="4">
        <v>0</v>
      </c>
      <c r="O102" s="4">
        <v>0</v>
      </c>
      <c r="P102" s="4">
        <v>0</v>
      </c>
      <c r="Q102" s="4">
        <v>3</v>
      </c>
      <c r="R102" s="4">
        <v>0</v>
      </c>
      <c r="S102" s="4">
        <v>0</v>
      </c>
      <c r="T102" s="4">
        <v>0</v>
      </c>
      <c r="U102" s="4">
        <v>17</v>
      </c>
      <c r="V102" s="4">
        <v>0</v>
      </c>
      <c r="W102" s="4">
        <v>1</v>
      </c>
      <c r="X102" s="4">
        <v>2</v>
      </c>
      <c r="Y102" s="4">
        <v>0</v>
      </c>
      <c r="AA102">
        <f t="shared" ref="AA102:AT102" si="514">(COUNTIF(F102:F104, "&gt;0"))/3</f>
        <v>1</v>
      </c>
      <c r="AB102">
        <f t="shared" si="514"/>
        <v>0</v>
      </c>
      <c r="AC102">
        <f t="shared" si="514"/>
        <v>0</v>
      </c>
      <c r="AD102">
        <f t="shared" si="514"/>
        <v>0</v>
      </c>
      <c r="AE102">
        <f t="shared" si="514"/>
        <v>1</v>
      </c>
      <c r="AF102">
        <f t="shared" si="514"/>
        <v>0</v>
      </c>
      <c r="AG102">
        <f t="shared" si="514"/>
        <v>1</v>
      </c>
      <c r="AH102">
        <f t="shared" si="514"/>
        <v>0</v>
      </c>
      <c r="AI102">
        <f t="shared" si="514"/>
        <v>0</v>
      </c>
      <c r="AJ102">
        <f t="shared" si="514"/>
        <v>0</v>
      </c>
      <c r="AK102">
        <f t="shared" si="514"/>
        <v>0.33333333333333331</v>
      </c>
      <c r="AL102">
        <f t="shared" si="514"/>
        <v>0.33333333333333331</v>
      </c>
      <c r="AM102">
        <f t="shared" si="514"/>
        <v>0</v>
      </c>
      <c r="AN102">
        <f t="shared" si="514"/>
        <v>0.33333333333333331</v>
      </c>
      <c r="AO102">
        <f t="shared" si="514"/>
        <v>0</v>
      </c>
      <c r="AP102">
        <f t="shared" si="514"/>
        <v>1</v>
      </c>
      <c r="AQ102">
        <f t="shared" si="514"/>
        <v>0</v>
      </c>
      <c r="AR102">
        <f t="shared" si="514"/>
        <v>1</v>
      </c>
      <c r="AS102">
        <f t="shared" si="514"/>
        <v>1</v>
      </c>
      <c r="AT102">
        <f t="shared" si="514"/>
        <v>0</v>
      </c>
      <c r="AU102" s="15">
        <f>SUM(AA102:AT102)</f>
        <v>7</v>
      </c>
      <c r="AW102">
        <f>(AA102/$AU102)*100</f>
        <v>14.285714285714285</v>
      </c>
      <c r="AX102">
        <f>(AB102/$AU102)*100</f>
        <v>0</v>
      </c>
      <c r="AY102">
        <f>(AC102/$AU102)*100</f>
        <v>0</v>
      </c>
      <c r="AZ102">
        <f>(AD102/$AU102)*100</f>
        <v>0</v>
      </c>
      <c r="BA102">
        <f>(AE102/$AU102)*100</f>
        <v>14.285714285714285</v>
      </c>
      <c r="BB102">
        <f t="shared" ref="BB102" si="515">(AF102/$AU102)*100</f>
        <v>0</v>
      </c>
      <c r="BC102">
        <f t="shared" ref="BC102" si="516">(AG102/$AU102)*100</f>
        <v>14.285714285714285</v>
      </c>
      <c r="BD102">
        <f t="shared" ref="BD102" si="517">(AH102/$AU102)*100</f>
        <v>0</v>
      </c>
      <c r="BE102">
        <f t="shared" ref="BE102" si="518">(AI102/$AU102)*100</f>
        <v>0</v>
      </c>
      <c r="BF102">
        <f t="shared" ref="BF102" si="519">(AJ102/$AU102)*100</f>
        <v>0</v>
      </c>
      <c r="BG102">
        <f t="shared" ref="BG102" si="520">(AK102/$AU102)*100</f>
        <v>4.7619047619047619</v>
      </c>
      <c r="BH102">
        <f t="shared" ref="BH102" si="521">(AL102/$AU102)*100</f>
        <v>4.7619047619047619</v>
      </c>
      <c r="BI102">
        <f t="shared" ref="BI102" si="522">(AM102/$AU102)*100</f>
        <v>0</v>
      </c>
      <c r="BJ102">
        <f t="shared" ref="BJ102" si="523">(AN102/$AU102)*100</f>
        <v>4.7619047619047619</v>
      </c>
      <c r="BK102">
        <f t="shared" ref="BK102" si="524">(AO102/$AU102)*100</f>
        <v>0</v>
      </c>
      <c r="BL102">
        <f t="shared" ref="BL102" si="525">(AP102/$AU102)*100</f>
        <v>14.285714285714285</v>
      </c>
      <c r="BM102">
        <f t="shared" ref="BM102" si="526">(AQ102/$AU102)*100</f>
        <v>0</v>
      </c>
      <c r="BN102">
        <f t="shared" ref="BN102" si="527">(AR102/$AU102)*100</f>
        <v>14.285714285714285</v>
      </c>
      <c r="BO102">
        <f t="shared" ref="BO102" si="528">(AS102/$AU102)*100</f>
        <v>14.285714285714285</v>
      </c>
      <c r="BP102">
        <f t="shared" ref="BP102" si="529">(AT102/$AU102)*100</f>
        <v>0</v>
      </c>
      <c r="BQ102">
        <f>SUM(AW102:BP102)</f>
        <v>99.999999999999972</v>
      </c>
    </row>
    <row r="103" spans="1:69" x14ac:dyDescent="0.35">
      <c r="A103" s="1" t="s">
        <v>91</v>
      </c>
      <c r="B103" s="1">
        <v>101</v>
      </c>
      <c r="C103" s="1" t="s">
        <v>163</v>
      </c>
      <c r="D103" s="1" t="s">
        <v>162</v>
      </c>
      <c r="E103" s="6" t="s">
        <v>21</v>
      </c>
      <c r="F103" s="4">
        <v>3</v>
      </c>
      <c r="G103" s="4">
        <v>0</v>
      </c>
      <c r="H103" s="4">
        <v>0</v>
      </c>
      <c r="I103" s="4">
        <v>0</v>
      </c>
      <c r="J103" s="4">
        <v>10</v>
      </c>
      <c r="K103" s="4">
        <v>0</v>
      </c>
      <c r="L103" s="4">
        <v>5</v>
      </c>
      <c r="M103" s="4">
        <v>0</v>
      </c>
      <c r="N103" s="4">
        <v>0</v>
      </c>
      <c r="O103" s="4">
        <v>0</v>
      </c>
      <c r="P103" s="4">
        <v>1</v>
      </c>
      <c r="Q103" s="4">
        <v>0</v>
      </c>
      <c r="R103" s="4">
        <v>0</v>
      </c>
      <c r="S103" s="4">
        <v>2</v>
      </c>
      <c r="T103" s="4">
        <v>0</v>
      </c>
      <c r="U103" s="4">
        <v>13</v>
      </c>
      <c r="V103" s="4">
        <v>0</v>
      </c>
      <c r="W103" s="4">
        <v>7</v>
      </c>
      <c r="X103" s="4">
        <v>2</v>
      </c>
      <c r="Y103" s="4">
        <v>0</v>
      </c>
    </row>
    <row r="104" spans="1:69" x14ac:dyDescent="0.35">
      <c r="A104" s="1" t="s">
        <v>91</v>
      </c>
      <c r="B104" s="1">
        <v>102</v>
      </c>
      <c r="C104" s="1" t="s">
        <v>164</v>
      </c>
      <c r="D104" s="1" t="s">
        <v>162</v>
      </c>
      <c r="E104" s="6" t="s">
        <v>21</v>
      </c>
      <c r="F104" s="4">
        <v>13</v>
      </c>
      <c r="G104" s="4">
        <v>0</v>
      </c>
      <c r="H104" s="4">
        <v>0</v>
      </c>
      <c r="I104" s="4">
        <v>0</v>
      </c>
      <c r="J104" s="4">
        <v>4</v>
      </c>
      <c r="K104" s="4">
        <v>0</v>
      </c>
      <c r="L104" s="4">
        <v>10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6</v>
      </c>
      <c r="V104" s="4">
        <v>0</v>
      </c>
      <c r="W104" s="4">
        <v>2</v>
      </c>
      <c r="X104" s="4">
        <v>17</v>
      </c>
      <c r="Y104" s="4">
        <v>0</v>
      </c>
    </row>
    <row r="105" spans="1:69" x14ac:dyDescent="0.35">
      <c r="A105" s="1" t="s">
        <v>116</v>
      </c>
      <c r="B105" s="1">
        <v>103</v>
      </c>
      <c r="C105" s="1" t="s">
        <v>165</v>
      </c>
      <c r="D105" s="1" t="s">
        <v>166</v>
      </c>
      <c r="E105" s="6" t="s">
        <v>53</v>
      </c>
      <c r="F105" s="4">
        <v>15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27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3</v>
      </c>
      <c r="Y105" s="4">
        <v>4</v>
      </c>
      <c r="AA105">
        <f t="shared" ref="AA105:AT105" si="530">(COUNTIF(F105:F107, "&gt;0"))/3</f>
        <v>1</v>
      </c>
      <c r="AB105">
        <f t="shared" si="530"/>
        <v>0</v>
      </c>
      <c r="AC105">
        <f t="shared" si="530"/>
        <v>0</v>
      </c>
      <c r="AD105">
        <f t="shared" si="530"/>
        <v>0</v>
      </c>
      <c r="AE105">
        <f t="shared" si="530"/>
        <v>0</v>
      </c>
      <c r="AF105">
        <f t="shared" si="530"/>
        <v>0</v>
      </c>
      <c r="AG105">
        <f t="shared" si="530"/>
        <v>1</v>
      </c>
      <c r="AH105">
        <f t="shared" si="530"/>
        <v>0</v>
      </c>
      <c r="AI105">
        <f t="shared" si="530"/>
        <v>0</v>
      </c>
      <c r="AJ105">
        <f t="shared" si="530"/>
        <v>0</v>
      </c>
      <c r="AK105">
        <f t="shared" si="530"/>
        <v>0.33333333333333331</v>
      </c>
      <c r="AL105">
        <f t="shared" si="530"/>
        <v>0</v>
      </c>
      <c r="AM105">
        <f t="shared" si="530"/>
        <v>0</v>
      </c>
      <c r="AN105">
        <f t="shared" si="530"/>
        <v>0</v>
      </c>
      <c r="AO105">
        <f t="shared" si="530"/>
        <v>0</v>
      </c>
      <c r="AP105">
        <f t="shared" si="530"/>
        <v>0.66666666666666663</v>
      </c>
      <c r="AQ105">
        <f t="shared" si="530"/>
        <v>0</v>
      </c>
      <c r="AR105">
        <f t="shared" si="530"/>
        <v>0</v>
      </c>
      <c r="AS105">
        <f t="shared" si="530"/>
        <v>1</v>
      </c>
      <c r="AT105">
        <f t="shared" si="530"/>
        <v>1</v>
      </c>
      <c r="AU105" s="15">
        <f>SUM(AA105:AT105)</f>
        <v>5</v>
      </c>
      <c r="AW105">
        <f>(AA105/$AU105)*100</f>
        <v>20</v>
      </c>
      <c r="AX105">
        <f>(AB105/$AU105)*100</f>
        <v>0</v>
      </c>
      <c r="AY105">
        <f>(AC105/$AU105)*100</f>
        <v>0</v>
      </c>
      <c r="AZ105">
        <f>(AD105/$AU105)*100</f>
        <v>0</v>
      </c>
      <c r="BA105">
        <f>(AE105/$AU105)*100</f>
        <v>0</v>
      </c>
      <c r="BB105">
        <f t="shared" ref="BB105" si="531">(AF105/$AU105)*100</f>
        <v>0</v>
      </c>
      <c r="BC105">
        <f t="shared" ref="BC105" si="532">(AG105/$AU105)*100</f>
        <v>20</v>
      </c>
      <c r="BD105">
        <f t="shared" ref="BD105" si="533">(AH105/$AU105)*100</f>
        <v>0</v>
      </c>
      <c r="BE105">
        <f t="shared" ref="BE105" si="534">(AI105/$AU105)*100</f>
        <v>0</v>
      </c>
      <c r="BF105">
        <f t="shared" ref="BF105" si="535">(AJ105/$AU105)*100</f>
        <v>0</v>
      </c>
      <c r="BG105">
        <f t="shared" ref="BG105" si="536">(AK105/$AU105)*100</f>
        <v>6.666666666666667</v>
      </c>
      <c r="BH105">
        <f t="shared" ref="BH105" si="537">(AL105/$AU105)*100</f>
        <v>0</v>
      </c>
      <c r="BI105">
        <f t="shared" ref="BI105" si="538">(AM105/$AU105)*100</f>
        <v>0</v>
      </c>
      <c r="BJ105">
        <f t="shared" ref="BJ105" si="539">(AN105/$AU105)*100</f>
        <v>0</v>
      </c>
      <c r="BK105">
        <f t="shared" ref="BK105" si="540">(AO105/$AU105)*100</f>
        <v>0</v>
      </c>
      <c r="BL105">
        <f t="shared" ref="BL105" si="541">(AP105/$AU105)*100</f>
        <v>13.333333333333334</v>
      </c>
      <c r="BM105">
        <f t="shared" ref="BM105" si="542">(AQ105/$AU105)*100</f>
        <v>0</v>
      </c>
      <c r="BN105">
        <f t="shared" ref="BN105" si="543">(AR105/$AU105)*100</f>
        <v>0</v>
      </c>
      <c r="BO105">
        <f t="shared" ref="BO105" si="544">(AS105/$AU105)*100</f>
        <v>20</v>
      </c>
      <c r="BP105">
        <f t="shared" ref="BP105" si="545">(AT105/$AU105)*100</f>
        <v>20</v>
      </c>
      <c r="BQ105">
        <f>SUM(AW105:BP105)</f>
        <v>100</v>
      </c>
    </row>
    <row r="106" spans="1:69" x14ac:dyDescent="0.35">
      <c r="A106" s="1" t="s">
        <v>116</v>
      </c>
      <c r="B106" s="1">
        <v>104</v>
      </c>
      <c r="C106" s="1" t="s">
        <v>167</v>
      </c>
      <c r="D106" s="1" t="s">
        <v>166</v>
      </c>
      <c r="E106" s="6" t="s">
        <v>53</v>
      </c>
      <c r="F106" s="4">
        <v>14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14</v>
      </c>
      <c r="M106" s="4">
        <v>0</v>
      </c>
      <c r="N106" s="4">
        <v>0</v>
      </c>
      <c r="O106" s="4">
        <v>0</v>
      </c>
      <c r="P106" s="4">
        <v>1</v>
      </c>
      <c r="Q106" s="4">
        <v>0</v>
      </c>
      <c r="R106" s="4">
        <v>0</v>
      </c>
      <c r="S106" s="4">
        <v>0</v>
      </c>
      <c r="T106" s="4">
        <v>0</v>
      </c>
      <c r="U106" s="4">
        <v>1</v>
      </c>
      <c r="V106" s="4">
        <v>0</v>
      </c>
      <c r="W106" s="4">
        <v>0</v>
      </c>
      <c r="X106" s="4">
        <v>5</v>
      </c>
      <c r="Y106" s="4">
        <v>5</v>
      </c>
    </row>
    <row r="107" spans="1:69" x14ac:dyDescent="0.35">
      <c r="A107" s="1" t="s">
        <v>116</v>
      </c>
      <c r="B107" s="1">
        <v>105</v>
      </c>
      <c r="C107" s="1" t="s">
        <v>168</v>
      </c>
      <c r="D107" s="1" t="s">
        <v>166</v>
      </c>
      <c r="E107" s="6" t="s">
        <v>53</v>
      </c>
      <c r="F107" s="4">
        <v>7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10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5</v>
      </c>
      <c r="V107" s="4">
        <v>0</v>
      </c>
      <c r="W107" s="4">
        <v>0</v>
      </c>
      <c r="X107" s="4">
        <v>12</v>
      </c>
      <c r="Y107" s="4">
        <v>5</v>
      </c>
    </row>
    <row r="108" spans="1:69" x14ac:dyDescent="0.35">
      <c r="A108" s="1" t="s">
        <v>116</v>
      </c>
      <c r="B108" s="1">
        <v>106</v>
      </c>
      <c r="C108" s="1" t="s">
        <v>169</v>
      </c>
      <c r="D108" s="1" t="s">
        <v>170</v>
      </c>
      <c r="E108" s="6" t="s">
        <v>53</v>
      </c>
      <c r="F108" s="4">
        <v>15</v>
      </c>
      <c r="G108" s="4">
        <v>0</v>
      </c>
      <c r="H108" s="4">
        <v>0</v>
      </c>
      <c r="I108" s="4">
        <v>2</v>
      </c>
      <c r="J108" s="4">
        <v>0</v>
      </c>
      <c r="K108" s="4">
        <v>0</v>
      </c>
      <c r="L108" s="4">
        <v>15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1</v>
      </c>
      <c r="V108" s="4">
        <v>0</v>
      </c>
      <c r="W108" s="4">
        <v>0</v>
      </c>
      <c r="X108" s="4">
        <v>1</v>
      </c>
      <c r="Y108" s="4">
        <v>7</v>
      </c>
      <c r="AA108">
        <f t="shared" ref="AA108:AT108" si="546">(COUNTIF(F108:F110, "&gt;0"))/3</f>
        <v>1</v>
      </c>
      <c r="AB108">
        <f t="shared" si="546"/>
        <v>0</v>
      </c>
      <c r="AC108">
        <f t="shared" si="546"/>
        <v>0</v>
      </c>
      <c r="AD108">
        <f t="shared" si="546"/>
        <v>0.33333333333333331</v>
      </c>
      <c r="AE108">
        <f t="shared" si="546"/>
        <v>0</v>
      </c>
      <c r="AF108">
        <f t="shared" si="546"/>
        <v>0</v>
      </c>
      <c r="AG108">
        <f t="shared" si="546"/>
        <v>1</v>
      </c>
      <c r="AH108">
        <f t="shared" si="546"/>
        <v>0</v>
      </c>
      <c r="AI108">
        <f t="shared" si="546"/>
        <v>0</v>
      </c>
      <c r="AJ108">
        <f t="shared" si="546"/>
        <v>0</v>
      </c>
      <c r="AK108">
        <f t="shared" si="546"/>
        <v>0</v>
      </c>
      <c r="AL108">
        <f t="shared" si="546"/>
        <v>0</v>
      </c>
      <c r="AM108">
        <f t="shared" si="546"/>
        <v>0</v>
      </c>
      <c r="AN108">
        <f t="shared" si="546"/>
        <v>0.33333333333333331</v>
      </c>
      <c r="AO108">
        <f t="shared" si="546"/>
        <v>0</v>
      </c>
      <c r="AP108">
        <f t="shared" si="546"/>
        <v>0.66666666666666663</v>
      </c>
      <c r="AQ108">
        <f t="shared" si="546"/>
        <v>0</v>
      </c>
      <c r="AR108">
        <f t="shared" si="546"/>
        <v>0</v>
      </c>
      <c r="AS108">
        <f t="shared" si="546"/>
        <v>1</v>
      </c>
      <c r="AT108">
        <f t="shared" si="546"/>
        <v>1</v>
      </c>
      <c r="AU108" s="15">
        <f>SUM(AA108:AT108)</f>
        <v>5.333333333333333</v>
      </c>
      <c r="AW108">
        <f>(AA108/$AU108)*100</f>
        <v>18.75</v>
      </c>
      <c r="AX108">
        <f>(AB108/$AU108)*100</f>
        <v>0</v>
      </c>
      <c r="AY108">
        <f>(AC108/$AU108)*100</f>
        <v>0</v>
      </c>
      <c r="AZ108">
        <f>(AD108/$AU108)*100</f>
        <v>6.25</v>
      </c>
      <c r="BA108">
        <f>(AE108/$AU108)*100</f>
        <v>0</v>
      </c>
      <c r="BB108">
        <f t="shared" ref="BB108" si="547">(AF108/$AU108)*100</f>
        <v>0</v>
      </c>
      <c r="BC108">
        <f t="shared" ref="BC108" si="548">(AG108/$AU108)*100</f>
        <v>18.75</v>
      </c>
      <c r="BD108">
        <f t="shared" ref="BD108" si="549">(AH108/$AU108)*100</f>
        <v>0</v>
      </c>
      <c r="BE108">
        <f t="shared" ref="BE108" si="550">(AI108/$AU108)*100</f>
        <v>0</v>
      </c>
      <c r="BF108">
        <f t="shared" ref="BF108" si="551">(AJ108/$AU108)*100</f>
        <v>0</v>
      </c>
      <c r="BG108">
        <f t="shared" ref="BG108" si="552">(AK108/$AU108)*100</f>
        <v>0</v>
      </c>
      <c r="BH108">
        <f t="shared" ref="BH108" si="553">(AL108/$AU108)*100</f>
        <v>0</v>
      </c>
      <c r="BI108">
        <f t="shared" ref="BI108" si="554">(AM108/$AU108)*100</f>
        <v>0</v>
      </c>
      <c r="BJ108">
        <f t="shared" ref="BJ108" si="555">(AN108/$AU108)*100</f>
        <v>6.25</v>
      </c>
      <c r="BK108">
        <f t="shared" ref="BK108" si="556">(AO108/$AU108)*100</f>
        <v>0</v>
      </c>
      <c r="BL108">
        <f t="shared" ref="BL108" si="557">(AP108/$AU108)*100</f>
        <v>12.5</v>
      </c>
      <c r="BM108">
        <f t="shared" ref="BM108" si="558">(AQ108/$AU108)*100</f>
        <v>0</v>
      </c>
      <c r="BN108">
        <f t="shared" ref="BN108" si="559">(AR108/$AU108)*100</f>
        <v>0</v>
      </c>
      <c r="BO108">
        <f t="shared" ref="BO108" si="560">(AS108/$AU108)*100</f>
        <v>18.75</v>
      </c>
      <c r="BP108">
        <f t="shared" ref="BP108" si="561">(AT108/$AU108)*100</f>
        <v>18.75</v>
      </c>
      <c r="BQ108">
        <f>SUM(AW108:BP108)</f>
        <v>100</v>
      </c>
    </row>
    <row r="109" spans="1:69" x14ac:dyDescent="0.35">
      <c r="A109" s="1" t="s">
        <v>116</v>
      </c>
      <c r="B109" s="1">
        <v>107</v>
      </c>
      <c r="C109" s="1" t="s">
        <v>171</v>
      </c>
      <c r="D109" s="1" t="s">
        <v>170</v>
      </c>
      <c r="E109" s="6" t="s">
        <v>53</v>
      </c>
      <c r="F109" s="4">
        <v>22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10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1</v>
      </c>
      <c r="V109" s="4">
        <v>0</v>
      </c>
      <c r="W109" s="4">
        <v>0</v>
      </c>
      <c r="X109" s="4">
        <v>1</v>
      </c>
      <c r="Y109" s="4">
        <v>1</v>
      </c>
    </row>
    <row r="110" spans="1:69" x14ac:dyDescent="0.35">
      <c r="A110" s="1" t="s">
        <v>116</v>
      </c>
      <c r="B110" s="1">
        <v>108</v>
      </c>
      <c r="C110" s="1" t="s">
        <v>172</v>
      </c>
      <c r="D110" s="1" t="s">
        <v>170</v>
      </c>
      <c r="E110" s="6" t="s">
        <v>53</v>
      </c>
      <c r="F110" s="4">
        <v>17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11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1</v>
      </c>
      <c r="T110" s="4">
        <v>0</v>
      </c>
      <c r="U110" s="4">
        <v>0</v>
      </c>
      <c r="V110" s="4">
        <v>0</v>
      </c>
      <c r="W110" s="4">
        <v>0</v>
      </c>
      <c r="X110" s="4">
        <v>8</v>
      </c>
      <c r="Y110" s="4">
        <v>10</v>
      </c>
    </row>
    <row r="111" spans="1:69" x14ac:dyDescent="0.35">
      <c r="A111" s="1" t="s">
        <v>116</v>
      </c>
      <c r="B111" s="1">
        <v>109</v>
      </c>
      <c r="C111" s="1" t="s">
        <v>173</v>
      </c>
      <c r="D111" s="1" t="s">
        <v>174</v>
      </c>
      <c r="E111" s="6" t="s">
        <v>27</v>
      </c>
      <c r="F111" s="4">
        <v>13</v>
      </c>
      <c r="G111" s="4">
        <v>0</v>
      </c>
      <c r="H111" s="4">
        <v>0</v>
      </c>
      <c r="I111" s="4">
        <v>0</v>
      </c>
      <c r="J111" s="4">
        <v>0</v>
      </c>
      <c r="K111" s="4">
        <v>2</v>
      </c>
      <c r="L111" s="4">
        <v>6</v>
      </c>
      <c r="M111" s="4">
        <v>0</v>
      </c>
      <c r="N111" s="4">
        <v>0</v>
      </c>
      <c r="O111" s="4">
        <v>0</v>
      </c>
      <c r="P111" s="4">
        <v>0</v>
      </c>
      <c r="Q111" s="4">
        <v>1</v>
      </c>
      <c r="R111" s="4">
        <v>0</v>
      </c>
      <c r="S111" s="4">
        <v>0</v>
      </c>
      <c r="T111" s="4">
        <v>2</v>
      </c>
      <c r="U111" s="4">
        <v>4</v>
      </c>
      <c r="V111" s="4">
        <v>0</v>
      </c>
      <c r="W111" s="4">
        <v>0</v>
      </c>
      <c r="X111" s="4">
        <v>2</v>
      </c>
      <c r="Y111" s="4">
        <v>1</v>
      </c>
      <c r="AA111">
        <f t="shared" ref="AA111:AT111" si="562">(COUNTIF(F111:F113, "&gt;0"))/3</f>
        <v>1</v>
      </c>
      <c r="AB111">
        <f t="shared" si="562"/>
        <v>0</v>
      </c>
      <c r="AC111">
        <f t="shared" si="562"/>
        <v>0</v>
      </c>
      <c r="AD111">
        <f t="shared" si="562"/>
        <v>0</v>
      </c>
      <c r="AE111">
        <f t="shared" si="562"/>
        <v>0.66666666666666663</v>
      </c>
      <c r="AF111">
        <f t="shared" si="562"/>
        <v>0.33333333333333331</v>
      </c>
      <c r="AG111">
        <f t="shared" si="562"/>
        <v>1</v>
      </c>
      <c r="AH111">
        <f t="shared" si="562"/>
        <v>0</v>
      </c>
      <c r="AI111">
        <f t="shared" si="562"/>
        <v>0</v>
      </c>
      <c r="AJ111">
        <f t="shared" si="562"/>
        <v>0</v>
      </c>
      <c r="AK111">
        <f t="shared" si="562"/>
        <v>0</v>
      </c>
      <c r="AL111">
        <f t="shared" si="562"/>
        <v>0.33333333333333331</v>
      </c>
      <c r="AM111">
        <f t="shared" si="562"/>
        <v>0</v>
      </c>
      <c r="AN111">
        <f t="shared" si="562"/>
        <v>0</v>
      </c>
      <c r="AO111">
        <f t="shared" si="562"/>
        <v>0.33333333333333331</v>
      </c>
      <c r="AP111">
        <f t="shared" si="562"/>
        <v>1</v>
      </c>
      <c r="AQ111">
        <f t="shared" si="562"/>
        <v>0</v>
      </c>
      <c r="AR111">
        <f t="shared" si="562"/>
        <v>0</v>
      </c>
      <c r="AS111">
        <f t="shared" si="562"/>
        <v>1</v>
      </c>
      <c r="AT111">
        <f t="shared" si="562"/>
        <v>0.66666666666666663</v>
      </c>
      <c r="AU111" s="15">
        <f>SUM(AA111:AT111)</f>
        <v>6.3333333333333339</v>
      </c>
      <c r="AW111">
        <f>(AA111/$AU111)*100</f>
        <v>15.789473684210526</v>
      </c>
      <c r="AX111">
        <f>(AB111/$AU111)*100</f>
        <v>0</v>
      </c>
      <c r="AY111">
        <f>(AC111/$AU111)*100</f>
        <v>0</v>
      </c>
      <c r="AZ111">
        <f>(AD111/$AU111)*100</f>
        <v>0</v>
      </c>
      <c r="BA111">
        <f>(AE111/$AU111)*100</f>
        <v>10.526315789473681</v>
      </c>
      <c r="BB111">
        <f t="shared" ref="BB111" si="563">(AF111/$AU111)*100</f>
        <v>5.2631578947368407</v>
      </c>
      <c r="BC111">
        <f t="shared" ref="BC111" si="564">(AG111/$AU111)*100</f>
        <v>15.789473684210526</v>
      </c>
      <c r="BD111">
        <f t="shared" ref="BD111" si="565">(AH111/$AU111)*100</f>
        <v>0</v>
      </c>
      <c r="BE111">
        <f t="shared" ref="BE111" si="566">(AI111/$AU111)*100</f>
        <v>0</v>
      </c>
      <c r="BF111">
        <f t="shared" ref="BF111" si="567">(AJ111/$AU111)*100</f>
        <v>0</v>
      </c>
      <c r="BG111">
        <f t="shared" ref="BG111" si="568">(AK111/$AU111)*100</f>
        <v>0</v>
      </c>
      <c r="BH111">
        <f t="shared" ref="BH111" si="569">(AL111/$AU111)*100</f>
        <v>5.2631578947368407</v>
      </c>
      <c r="BI111">
        <f t="shared" ref="BI111" si="570">(AM111/$AU111)*100</f>
        <v>0</v>
      </c>
      <c r="BJ111">
        <f t="shared" ref="BJ111" si="571">(AN111/$AU111)*100</f>
        <v>0</v>
      </c>
      <c r="BK111">
        <f t="shared" ref="BK111" si="572">(AO111/$AU111)*100</f>
        <v>5.2631578947368407</v>
      </c>
      <c r="BL111">
        <f t="shared" ref="BL111" si="573">(AP111/$AU111)*100</f>
        <v>15.789473684210526</v>
      </c>
      <c r="BM111">
        <f t="shared" ref="BM111" si="574">(AQ111/$AU111)*100</f>
        <v>0</v>
      </c>
      <c r="BN111">
        <f t="shared" ref="BN111" si="575">(AR111/$AU111)*100</f>
        <v>0</v>
      </c>
      <c r="BO111">
        <f t="shared" ref="BO111" si="576">(AS111/$AU111)*100</f>
        <v>15.789473684210526</v>
      </c>
      <c r="BP111">
        <f t="shared" ref="BP111" si="577">(AT111/$AU111)*100</f>
        <v>10.526315789473681</v>
      </c>
      <c r="BQ111">
        <f>SUM(AW111:BP111)</f>
        <v>99.999999999999986</v>
      </c>
    </row>
    <row r="112" spans="1:69" x14ac:dyDescent="0.35">
      <c r="A112" s="1" t="s">
        <v>116</v>
      </c>
      <c r="B112" s="1">
        <v>110</v>
      </c>
      <c r="C112" s="1" t="s">
        <v>175</v>
      </c>
      <c r="D112" s="1" t="s">
        <v>174</v>
      </c>
      <c r="E112" s="6" t="s">
        <v>27</v>
      </c>
      <c r="F112" s="4">
        <v>14</v>
      </c>
      <c r="G112" s="4">
        <v>0</v>
      </c>
      <c r="H112" s="4">
        <v>0</v>
      </c>
      <c r="I112" s="4">
        <v>0</v>
      </c>
      <c r="J112" s="4">
        <v>1</v>
      </c>
      <c r="K112" s="4">
        <v>0</v>
      </c>
      <c r="L112" s="4">
        <v>18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5</v>
      </c>
      <c r="V112" s="4">
        <v>0</v>
      </c>
      <c r="W112" s="4">
        <v>0</v>
      </c>
      <c r="X112" s="4">
        <v>1</v>
      </c>
      <c r="Y112" s="4">
        <v>1</v>
      </c>
    </row>
    <row r="113" spans="1:69" x14ac:dyDescent="0.35">
      <c r="A113" s="1" t="s">
        <v>116</v>
      </c>
      <c r="B113" s="1">
        <v>111</v>
      </c>
      <c r="C113" s="1" t="s">
        <v>176</v>
      </c>
      <c r="D113" s="1" t="s">
        <v>174</v>
      </c>
      <c r="E113" s="6" t="s">
        <v>27</v>
      </c>
      <c r="F113" s="4">
        <v>14</v>
      </c>
      <c r="G113" s="4">
        <v>0</v>
      </c>
      <c r="H113" s="4">
        <v>0</v>
      </c>
      <c r="I113" s="4">
        <v>0</v>
      </c>
      <c r="J113" s="4">
        <v>1</v>
      </c>
      <c r="K113" s="4">
        <v>0</v>
      </c>
      <c r="L113" s="4">
        <v>7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3</v>
      </c>
      <c r="V113" s="4">
        <v>0</v>
      </c>
      <c r="W113" s="4">
        <v>0</v>
      </c>
      <c r="X113" s="4">
        <v>10</v>
      </c>
      <c r="Y113" s="4">
        <v>0</v>
      </c>
    </row>
    <row r="114" spans="1:69" x14ac:dyDescent="0.35">
      <c r="A114" s="1" t="s">
        <v>18</v>
      </c>
      <c r="B114" s="1">
        <v>112</v>
      </c>
      <c r="C114" s="1" t="s">
        <v>177</v>
      </c>
      <c r="D114" s="1" t="s">
        <v>178</v>
      </c>
      <c r="E114" s="6" t="s">
        <v>21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4</v>
      </c>
      <c r="M114" s="4">
        <v>8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16</v>
      </c>
      <c r="AA114">
        <f t="shared" ref="AA114:AT114" si="578">(COUNTIF(F114:F116, "&gt;0"))/3</f>
        <v>0</v>
      </c>
      <c r="AB114">
        <f t="shared" si="578"/>
        <v>0</v>
      </c>
      <c r="AC114">
        <f t="shared" si="578"/>
        <v>0</v>
      </c>
      <c r="AD114">
        <f t="shared" si="578"/>
        <v>0</v>
      </c>
      <c r="AE114">
        <f t="shared" si="578"/>
        <v>0</v>
      </c>
      <c r="AF114">
        <f t="shared" si="578"/>
        <v>0</v>
      </c>
      <c r="AG114">
        <f t="shared" si="578"/>
        <v>1</v>
      </c>
      <c r="AH114">
        <f t="shared" si="578"/>
        <v>1</v>
      </c>
      <c r="AI114">
        <f t="shared" si="578"/>
        <v>0</v>
      </c>
      <c r="AJ114">
        <f t="shared" si="578"/>
        <v>0</v>
      </c>
      <c r="AK114">
        <f t="shared" si="578"/>
        <v>0</v>
      </c>
      <c r="AL114">
        <f t="shared" si="578"/>
        <v>0</v>
      </c>
      <c r="AM114">
        <f t="shared" si="578"/>
        <v>0</v>
      </c>
      <c r="AN114">
        <f t="shared" si="578"/>
        <v>0</v>
      </c>
      <c r="AO114">
        <f t="shared" si="578"/>
        <v>0.66666666666666663</v>
      </c>
      <c r="AP114">
        <f t="shared" si="578"/>
        <v>0.33333333333333331</v>
      </c>
      <c r="AQ114">
        <f t="shared" si="578"/>
        <v>0</v>
      </c>
      <c r="AR114">
        <f t="shared" si="578"/>
        <v>0</v>
      </c>
      <c r="AS114">
        <f t="shared" si="578"/>
        <v>0</v>
      </c>
      <c r="AT114">
        <f t="shared" si="578"/>
        <v>1</v>
      </c>
      <c r="AU114" s="15">
        <f>SUM(AA114:AT114)</f>
        <v>4</v>
      </c>
      <c r="AW114">
        <f>(AA114/$AU114)*100</f>
        <v>0</v>
      </c>
      <c r="AX114">
        <f>(AB114/$AU114)*100</f>
        <v>0</v>
      </c>
      <c r="AY114">
        <f>(AC114/$AU114)*100</f>
        <v>0</v>
      </c>
      <c r="AZ114">
        <f>(AD114/$AU114)*100</f>
        <v>0</v>
      </c>
      <c r="BA114">
        <f>(AE114/$AU114)*100</f>
        <v>0</v>
      </c>
      <c r="BB114">
        <f t="shared" ref="BB114" si="579">(AF114/$AU114)*100</f>
        <v>0</v>
      </c>
      <c r="BC114">
        <f t="shared" ref="BC114" si="580">(AG114/$AU114)*100</f>
        <v>25</v>
      </c>
      <c r="BD114">
        <f t="shared" ref="BD114" si="581">(AH114/$AU114)*100</f>
        <v>25</v>
      </c>
      <c r="BE114">
        <f t="shared" ref="BE114" si="582">(AI114/$AU114)*100</f>
        <v>0</v>
      </c>
      <c r="BF114">
        <f t="shared" ref="BF114" si="583">(AJ114/$AU114)*100</f>
        <v>0</v>
      </c>
      <c r="BG114">
        <f t="shared" ref="BG114" si="584">(AK114/$AU114)*100</f>
        <v>0</v>
      </c>
      <c r="BH114">
        <f t="shared" ref="BH114" si="585">(AL114/$AU114)*100</f>
        <v>0</v>
      </c>
      <c r="BI114">
        <f t="shared" ref="BI114" si="586">(AM114/$AU114)*100</f>
        <v>0</v>
      </c>
      <c r="BJ114">
        <f t="shared" ref="BJ114" si="587">(AN114/$AU114)*100</f>
        <v>0</v>
      </c>
      <c r="BK114">
        <f t="shared" ref="BK114" si="588">(AO114/$AU114)*100</f>
        <v>16.666666666666664</v>
      </c>
      <c r="BL114">
        <f t="shared" ref="BL114" si="589">(AP114/$AU114)*100</f>
        <v>8.3333333333333321</v>
      </c>
      <c r="BM114">
        <f t="shared" ref="BM114" si="590">(AQ114/$AU114)*100</f>
        <v>0</v>
      </c>
      <c r="BN114">
        <f t="shared" ref="BN114" si="591">(AR114/$AU114)*100</f>
        <v>0</v>
      </c>
      <c r="BO114">
        <f t="shared" ref="BO114" si="592">(AS114/$AU114)*100</f>
        <v>0</v>
      </c>
      <c r="BP114">
        <f t="shared" ref="BP114" si="593">(AT114/$AU114)*100</f>
        <v>25</v>
      </c>
      <c r="BQ114">
        <f>SUM(AW114:BP114)</f>
        <v>99.999999999999986</v>
      </c>
    </row>
    <row r="115" spans="1:69" x14ac:dyDescent="0.35">
      <c r="A115" s="1" t="s">
        <v>18</v>
      </c>
      <c r="B115" s="1">
        <v>113</v>
      </c>
      <c r="C115" s="1" t="s">
        <v>179</v>
      </c>
      <c r="D115" s="1" t="s">
        <v>178</v>
      </c>
      <c r="E115" s="6" t="s">
        <v>21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10</v>
      </c>
      <c r="M115" s="4">
        <v>10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5</v>
      </c>
      <c r="U115" s="4">
        <v>0</v>
      </c>
      <c r="V115" s="4">
        <v>0</v>
      </c>
      <c r="W115" s="4">
        <v>0</v>
      </c>
      <c r="X115" s="4">
        <v>0</v>
      </c>
      <c r="Y115" s="4">
        <v>10</v>
      </c>
    </row>
    <row r="116" spans="1:69" x14ac:dyDescent="0.35">
      <c r="A116" s="1" t="s">
        <v>18</v>
      </c>
      <c r="B116" s="1">
        <v>114</v>
      </c>
      <c r="C116" s="1" t="s">
        <v>180</v>
      </c>
      <c r="D116" s="1" t="s">
        <v>178</v>
      </c>
      <c r="E116" s="6" t="s">
        <v>21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10</v>
      </c>
      <c r="M116" s="4">
        <v>3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7</v>
      </c>
      <c r="U116" s="4">
        <v>2</v>
      </c>
      <c r="V116" s="4">
        <v>0</v>
      </c>
      <c r="W116" s="4">
        <v>0</v>
      </c>
      <c r="X116" s="4">
        <v>0</v>
      </c>
      <c r="Y116" s="4">
        <v>16</v>
      </c>
    </row>
    <row r="117" spans="1:69" x14ac:dyDescent="0.35">
      <c r="A117" s="1" t="s">
        <v>61</v>
      </c>
      <c r="B117" s="1">
        <v>115</v>
      </c>
      <c r="C117" s="1" t="s">
        <v>181</v>
      </c>
      <c r="D117" s="1" t="s">
        <v>182</v>
      </c>
      <c r="E117" s="6" t="s">
        <v>21</v>
      </c>
      <c r="F117" s="4">
        <v>4</v>
      </c>
      <c r="G117" s="4">
        <v>0</v>
      </c>
      <c r="H117" s="4">
        <v>0</v>
      </c>
      <c r="I117" s="4">
        <v>0</v>
      </c>
      <c r="J117" s="4">
        <v>11</v>
      </c>
      <c r="K117" s="4">
        <v>1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3</v>
      </c>
      <c r="R117" s="4">
        <v>0</v>
      </c>
      <c r="S117" s="4">
        <v>0</v>
      </c>
      <c r="T117" s="4">
        <v>0</v>
      </c>
      <c r="U117" s="4">
        <v>12</v>
      </c>
      <c r="V117" s="4">
        <v>0</v>
      </c>
      <c r="W117" s="4">
        <v>0</v>
      </c>
      <c r="X117" s="4">
        <v>0</v>
      </c>
      <c r="Y117" s="4">
        <v>0</v>
      </c>
      <c r="AA117">
        <f t="shared" ref="AA117:AT117" si="594">(COUNTIF(F117:F119, "&gt;0"))/3</f>
        <v>1</v>
      </c>
      <c r="AB117">
        <f t="shared" si="594"/>
        <v>0.33333333333333331</v>
      </c>
      <c r="AC117">
        <f t="shared" si="594"/>
        <v>0</v>
      </c>
      <c r="AD117">
        <f t="shared" si="594"/>
        <v>0</v>
      </c>
      <c r="AE117">
        <f t="shared" si="594"/>
        <v>1</v>
      </c>
      <c r="AF117">
        <f t="shared" si="594"/>
        <v>1</v>
      </c>
      <c r="AG117">
        <f t="shared" si="594"/>
        <v>0</v>
      </c>
      <c r="AH117">
        <f t="shared" si="594"/>
        <v>0</v>
      </c>
      <c r="AI117">
        <f t="shared" si="594"/>
        <v>0</v>
      </c>
      <c r="AJ117">
        <f t="shared" si="594"/>
        <v>0</v>
      </c>
      <c r="AK117">
        <f t="shared" si="594"/>
        <v>0</v>
      </c>
      <c r="AL117">
        <f t="shared" si="594"/>
        <v>1</v>
      </c>
      <c r="AM117">
        <f t="shared" si="594"/>
        <v>0</v>
      </c>
      <c r="AN117">
        <f t="shared" si="594"/>
        <v>0</v>
      </c>
      <c r="AO117">
        <f t="shared" si="594"/>
        <v>0.33333333333333331</v>
      </c>
      <c r="AP117">
        <f t="shared" si="594"/>
        <v>1</v>
      </c>
      <c r="AQ117">
        <f t="shared" si="594"/>
        <v>0</v>
      </c>
      <c r="AR117">
        <f t="shared" si="594"/>
        <v>0.33333333333333331</v>
      </c>
      <c r="AS117">
        <f t="shared" si="594"/>
        <v>0</v>
      </c>
      <c r="AT117">
        <f t="shared" si="594"/>
        <v>0</v>
      </c>
      <c r="AU117" s="15">
        <f>SUM(AA117:AT117)</f>
        <v>5.9999999999999991</v>
      </c>
      <c r="AW117">
        <f>(AA117/$AU117)*100</f>
        <v>16.666666666666668</v>
      </c>
      <c r="AX117">
        <f>(AB117/$AU117)*100</f>
        <v>5.5555555555555562</v>
      </c>
      <c r="AY117">
        <f>(AC117/$AU117)*100</f>
        <v>0</v>
      </c>
      <c r="AZ117">
        <f>(AD117/$AU117)*100</f>
        <v>0</v>
      </c>
      <c r="BA117">
        <f>(AE117/$AU117)*100</f>
        <v>16.666666666666668</v>
      </c>
      <c r="BB117">
        <f t="shared" ref="BB117" si="595">(AF117/$AU117)*100</f>
        <v>16.666666666666668</v>
      </c>
      <c r="BC117">
        <f t="shared" ref="BC117" si="596">(AG117/$AU117)*100</f>
        <v>0</v>
      </c>
      <c r="BD117">
        <f t="shared" ref="BD117" si="597">(AH117/$AU117)*100</f>
        <v>0</v>
      </c>
      <c r="BE117">
        <f t="shared" ref="BE117" si="598">(AI117/$AU117)*100</f>
        <v>0</v>
      </c>
      <c r="BF117">
        <f t="shared" ref="BF117" si="599">(AJ117/$AU117)*100</f>
        <v>0</v>
      </c>
      <c r="BG117">
        <f t="shared" ref="BG117" si="600">(AK117/$AU117)*100</f>
        <v>0</v>
      </c>
      <c r="BH117">
        <f t="shared" ref="BH117" si="601">(AL117/$AU117)*100</f>
        <v>16.666666666666668</v>
      </c>
      <c r="BI117">
        <f t="shared" ref="BI117" si="602">(AM117/$AU117)*100</f>
        <v>0</v>
      </c>
      <c r="BJ117">
        <f t="shared" ref="BJ117" si="603">(AN117/$AU117)*100</f>
        <v>0</v>
      </c>
      <c r="BK117">
        <f t="shared" ref="BK117" si="604">(AO117/$AU117)*100</f>
        <v>5.5555555555555562</v>
      </c>
      <c r="BL117">
        <f t="shared" ref="BL117" si="605">(AP117/$AU117)*100</f>
        <v>16.666666666666668</v>
      </c>
      <c r="BM117">
        <f t="shared" ref="BM117" si="606">(AQ117/$AU117)*100</f>
        <v>0</v>
      </c>
      <c r="BN117">
        <f t="shared" ref="BN117" si="607">(AR117/$AU117)*100</f>
        <v>5.5555555555555562</v>
      </c>
      <c r="BO117">
        <f t="shared" ref="BO117" si="608">(AS117/$AU117)*100</f>
        <v>0</v>
      </c>
      <c r="BP117">
        <f t="shared" ref="BP117" si="609">(AT117/$AU117)*100</f>
        <v>0</v>
      </c>
      <c r="BQ117">
        <f>SUM(AW117:BP117)</f>
        <v>100.00000000000001</v>
      </c>
    </row>
    <row r="118" spans="1:69" x14ac:dyDescent="0.35">
      <c r="A118" s="1" t="s">
        <v>61</v>
      </c>
      <c r="B118" s="1">
        <v>116</v>
      </c>
      <c r="C118" s="1" t="s">
        <v>183</v>
      </c>
      <c r="D118" s="1" t="s">
        <v>182</v>
      </c>
      <c r="E118" s="6" t="s">
        <v>21</v>
      </c>
      <c r="F118" s="4">
        <v>8</v>
      </c>
      <c r="G118" s="4">
        <v>0</v>
      </c>
      <c r="H118" s="4">
        <v>0</v>
      </c>
      <c r="I118" s="4">
        <v>0</v>
      </c>
      <c r="J118" s="4">
        <v>8</v>
      </c>
      <c r="K118" s="4">
        <v>8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1</v>
      </c>
      <c r="R118" s="4">
        <v>0</v>
      </c>
      <c r="S118" s="4">
        <v>0</v>
      </c>
      <c r="T118" s="4">
        <v>0</v>
      </c>
      <c r="U118" s="4">
        <v>11</v>
      </c>
      <c r="V118" s="4">
        <v>0</v>
      </c>
      <c r="W118" s="4">
        <v>0</v>
      </c>
      <c r="X118" s="4">
        <v>0</v>
      </c>
      <c r="Y118" s="4">
        <v>0</v>
      </c>
    </row>
    <row r="119" spans="1:69" x14ac:dyDescent="0.35">
      <c r="A119" s="1" t="s">
        <v>61</v>
      </c>
      <c r="B119" s="1">
        <v>117</v>
      </c>
      <c r="C119" s="1" t="s">
        <v>184</v>
      </c>
      <c r="D119" s="1" t="s">
        <v>182</v>
      </c>
      <c r="E119" s="6" t="s">
        <v>21</v>
      </c>
      <c r="F119" s="4">
        <v>7</v>
      </c>
      <c r="G119" s="4">
        <v>2</v>
      </c>
      <c r="H119" s="4">
        <v>0</v>
      </c>
      <c r="I119" s="4">
        <v>0</v>
      </c>
      <c r="J119" s="4">
        <v>4</v>
      </c>
      <c r="K119" s="4">
        <v>7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3</v>
      </c>
      <c r="R119" s="4">
        <v>0</v>
      </c>
      <c r="S119" s="4">
        <v>0</v>
      </c>
      <c r="T119" s="4">
        <v>1</v>
      </c>
      <c r="U119" s="4">
        <v>18</v>
      </c>
      <c r="V119" s="4">
        <v>0</v>
      </c>
      <c r="W119" s="4">
        <v>4</v>
      </c>
      <c r="X119" s="4">
        <v>0</v>
      </c>
      <c r="Y119" s="4">
        <v>0</v>
      </c>
    </row>
    <row r="120" spans="1:69" x14ac:dyDescent="0.35">
      <c r="A120" s="1" t="s">
        <v>61</v>
      </c>
      <c r="B120" s="1">
        <v>118</v>
      </c>
      <c r="C120" s="1" t="s">
        <v>185</v>
      </c>
      <c r="D120" s="1" t="s">
        <v>186</v>
      </c>
      <c r="E120" s="6" t="s">
        <v>21</v>
      </c>
      <c r="F120" s="4">
        <v>5</v>
      </c>
      <c r="G120" s="4">
        <v>0</v>
      </c>
      <c r="H120" s="4">
        <v>0</v>
      </c>
      <c r="I120" s="4">
        <v>0</v>
      </c>
      <c r="J120" s="4">
        <v>12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3</v>
      </c>
      <c r="R120" s="4">
        <v>0</v>
      </c>
      <c r="S120" s="4">
        <v>0</v>
      </c>
      <c r="T120" s="4">
        <v>0</v>
      </c>
      <c r="U120" s="4">
        <v>12</v>
      </c>
      <c r="V120" s="4">
        <v>0</v>
      </c>
      <c r="W120" s="4">
        <v>0</v>
      </c>
      <c r="X120" s="4">
        <v>2</v>
      </c>
      <c r="Y120" s="4">
        <v>0</v>
      </c>
      <c r="AA120">
        <f t="shared" ref="AA120:AT120" si="610">(COUNTIF(F120:F122, "&gt;0"))/3</f>
        <v>1</v>
      </c>
      <c r="AB120">
        <f t="shared" si="610"/>
        <v>0</v>
      </c>
      <c r="AC120">
        <f t="shared" si="610"/>
        <v>0</v>
      </c>
      <c r="AD120">
        <f t="shared" si="610"/>
        <v>0</v>
      </c>
      <c r="AE120">
        <f t="shared" si="610"/>
        <v>1</v>
      </c>
      <c r="AF120">
        <f t="shared" si="610"/>
        <v>0.66666666666666663</v>
      </c>
      <c r="AG120">
        <f t="shared" si="610"/>
        <v>0</v>
      </c>
      <c r="AH120">
        <f t="shared" si="610"/>
        <v>0</v>
      </c>
      <c r="AI120">
        <f t="shared" si="610"/>
        <v>0</v>
      </c>
      <c r="AJ120">
        <f t="shared" si="610"/>
        <v>0</v>
      </c>
      <c r="AK120">
        <f t="shared" si="610"/>
        <v>0</v>
      </c>
      <c r="AL120">
        <f t="shared" si="610"/>
        <v>0.66666666666666663</v>
      </c>
      <c r="AM120">
        <f t="shared" si="610"/>
        <v>0</v>
      </c>
      <c r="AN120">
        <f t="shared" si="610"/>
        <v>0</v>
      </c>
      <c r="AO120">
        <f t="shared" si="610"/>
        <v>0</v>
      </c>
      <c r="AP120">
        <f t="shared" si="610"/>
        <v>1</v>
      </c>
      <c r="AQ120">
        <f t="shared" si="610"/>
        <v>0</v>
      </c>
      <c r="AR120">
        <f t="shared" si="610"/>
        <v>0</v>
      </c>
      <c r="AS120">
        <f t="shared" si="610"/>
        <v>0.66666666666666663</v>
      </c>
      <c r="AT120">
        <f t="shared" si="610"/>
        <v>0</v>
      </c>
      <c r="AU120" s="15">
        <f>SUM(AA120:AT120)</f>
        <v>5</v>
      </c>
      <c r="AW120">
        <f>(AA120/$AU120)*100</f>
        <v>20</v>
      </c>
      <c r="AX120">
        <f>(AB120/$AU120)*100</f>
        <v>0</v>
      </c>
      <c r="AY120">
        <f>(AC120/$AU120)*100</f>
        <v>0</v>
      </c>
      <c r="AZ120">
        <f>(AD120/$AU120)*100</f>
        <v>0</v>
      </c>
      <c r="BA120">
        <f>(AE120/$AU120)*100</f>
        <v>20</v>
      </c>
      <c r="BB120">
        <f t="shared" ref="BB120" si="611">(AF120/$AU120)*100</f>
        <v>13.333333333333334</v>
      </c>
      <c r="BC120">
        <f t="shared" ref="BC120" si="612">(AG120/$AU120)*100</f>
        <v>0</v>
      </c>
      <c r="BD120">
        <f t="shared" ref="BD120" si="613">(AH120/$AU120)*100</f>
        <v>0</v>
      </c>
      <c r="BE120">
        <f t="shared" ref="BE120" si="614">(AI120/$AU120)*100</f>
        <v>0</v>
      </c>
      <c r="BF120">
        <f t="shared" ref="BF120" si="615">(AJ120/$AU120)*100</f>
        <v>0</v>
      </c>
      <c r="BG120">
        <f t="shared" ref="BG120" si="616">(AK120/$AU120)*100</f>
        <v>0</v>
      </c>
      <c r="BH120">
        <f t="shared" ref="BH120" si="617">(AL120/$AU120)*100</f>
        <v>13.333333333333334</v>
      </c>
      <c r="BI120">
        <f t="shared" ref="BI120" si="618">(AM120/$AU120)*100</f>
        <v>0</v>
      </c>
      <c r="BJ120">
        <f t="shared" ref="BJ120" si="619">(AN120/$AU120)*100</f>
        <v>0</v>
      </c>
      <c r="BK120">
        <f t="shared" ref="BK120" si="620">(AO120/$AU120)*100</f>
        <v>0</v>
      </c>
      <c r="BL120">
        <f t="shared" ref="BL120" si="621">(AP120/$AU120)*100</f>
        <v>20</v>
      </c>
      <c r="BM120">
        <f t="shared" ref="BM120" si="622">(AQ120/$AU120)*100</f>
        <v>0</v>
      </c>
      <c r="BN120">
        <f t="shared" ref="BN120" si="623">(AR120/$AU120)*100</f>
        <v>0</v>
      </c>
      <c r="BO120">
        <f t="shared" ref="BO120" si="624">(AS120/$AU120)*100</f>
        <v>13.333333333333334</v>
      </c>
      <c r="BP120">
        <f t="shared" ref="BP120" si="625">(AT120/$AU120)*100</f>
        <v>0</v>
      </c>
      <c r="BQ120">
        <f>SUM(AW120:BP120)</f>
        <v>100</v>
      </c>
    </row>
    <row r="121" spans="1:69" x14ac:dyDescent="0.35">
      <c r="A121" s="1" t="s">
        <v>61</v>
      </c>
      <c r="B121" s="1">
        <v>119</v>
      </c>
      <c r="C121" s="1" t="s">
        <v>187</v>
      </c>
      <c r="D121" s="1" t="s">
        <v>186</v>
      </c>
      <c r="E121" s="6" t="s">
        <v>21</v>
      </c>
      <c r="F121" s="4">
        <v>9</v>
      </c>
      <c r="G121" s="4">
        <v>0</v>
      </c>
      <c r="H121" s="4">
        <v>0</v>
      </c>
      <c r="I121" s="4">
        <v>0</v>
      </c>
      <c r="J121" s="4">
        <v>4</v>
      </c>
      <c r="K121" s="4">
        <v>2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12</v>
      </c>
      <c r="V121" s="4">
        <v>0</v>
      </c>
      <c r="W121" s="4">
        <v>0</v>
      </c>
      <c r="X121" s="4">
        <v>0</v>
      </c>
      <c r="Y121" s="4">
        <v>0</v>
      </c>
    </row>
    <row r="122" spans="1:69" x14ac:dyDescent="0.35">
      <c r="A122" s="1" t="s">
        <v>61</v>
      </c>
      <c r="B122" s="1">
        <v>120</v>
      </c>
      <c r="C122" s="1" t="s">
        <v>188</v>
      </c>
      <c r="D122" s="1" t="s">
        <v>186</v>
      </c>
      <c r="E122" s="6" t="s">
        <v>21</v>
      </c>
      <c r="F122" s="4">
        <v>6</v>
      </c>
      <c r="G122" s="4">
        <v>0</v>
      </c>
      <c r="H122" s="4">
        <v>0</v>
      </c>
      <c r="I122" s="4">
        <v>0</v>
      </c>
      <c r="J122" s="4">
        <v>1</v>
      </c>
      <c r="K122" s="4">
        <v>11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5</v>
      </c>
      <c r="R122" s="4">
        <v>0</v>
      </c>
      <c r="S122" s="4">
        <v>0</v>
      </c>
      <c r="T122" s="4">
        <v>0</v>
      </c>
      <c r="U122" s="4">
        <v>10</v>
      </c>
      <c r="V122" s="4">
        <v>0</v>
      </c>
      <c r="W122" s="4">
        <v>0</v>
      </c>
      <c r="X122" s="4">
        <v>1</v>
      </c>
      <c r="Y122" s="4">
        <v>0</v>
      </c>
    </row>
    <row r="123" spans="1:69" x14ac:dyDescent="0.35">
      <c r="A123" s="1" t="s">
        <v>91</v>
      </c>
      <c r="B123" s="1">
        <v>121</v>
      </c>
      <c r="C123" s="1" t="s">
        <v>189</v>
      </c>
      <c r="D123" s="1" t="s">
        <v>190</v>
      </c>
      <c r="E123" s="6" t="s">
        <v>21</v>
      </c>
      <c r="F123" s="4">
        <v>15</v>
      </c>
      <c r="G123" s="4">
        <v>0</v>
      </c>
      <c r="H123" s="4">
        <v>0</v>
      </c>
      <c r="I123" s="4">
        <v>0</v>
      </c>
      <c r="J123" s="4">
        <v>2</v>
      </c>
      <c r="K123" s="4">
        <v>0</v>
      </c>
      <c r="L123" s="4">
        <v>1</v>
      </c>
      <c r="M123" s="4">
        <v>0</v>
      </c>
      <c r="N123" s="4">
        <v>0</v>
      </c>
      <c r="O123" s="4">
        <v>0</v>
      </c>
      <c r="P123" s="4">
        <v>4</v>
      </c>
      <c r="Q123" s="4">
        <v>0</v>
      </c>
      <c r="R123" s="4">
        <v>0</v>
      </c>
      <c r="S123" s="4">
        <v>0</v>
      </c>
      <c r="T123" s="4">
        <v>0</v>
      </c>
      <c r="U123" s="4">
        <v>9</v>
      </c>
      <c r="V123" s="4">
        <v>0</v>
      </c>
      <c r="W123" s="4">
        <v>4</v>
      </c>
      <c r="X123" s="4">
        <v>0</v>
      </c>
      <c r="Y123" s="4">
        <v>0</v>
      </c>
      <c r="AA123">
        <f t="shared" ref="AA123:AT123" si="626">(COUNTIF(F123:F125, "&gt;0"))/3</f>
        <v>1</v>
      </c>
      <c r="AB123">
        <f t="shared" si="626"/>
        <v>0</v>
      </c>
      <c r="AC123">
        <f t="shared" si="626"/>
        <v>0</v>
      </c>
      <c r="AD123">
        <f t="shared" si="626"/>
        <v>0</v>
      </c>
      <c r="AE123">
        <f t="shared" si="626"/>
        <v>1</v>
      </c>
      <c r="AF123">
        <f t="shared" si="626"/>
        <v>0</v>
      </c>
      <c r="AG123">
        <f t="shared" si="626"/>
        <v>0.66666666666666663</v>
      </c>
      <c r="AH123">
        <f t="shared" si="626"/>
        <v>0</v>
      </c>
      <c r="AI123">
        <f t="shared" si="626"/>
        <v>0</v>
      </c>
      <c r="AJ123">
        <f t="shared" si="626"/>
        <v>0</v>
      </c>
      <c r="AK123">
        <f t="shared" si="626"/>
        <v>0.66666666666666663</v>
      </c>
      <c r="AL123">
        <f t="shared" si="626"/>
        <v>0</v>
      </c>
      <c r="AM123">
        <f t="shared" si="626"/>
        <v>0</v>
      </c>
      <c r="AN123">
        <f t="shared" si="626"/>
        <v>0.33333333333333331</v>
      </c>
      <c r="AO123">
        <f t="shared" si="626"/>
        <v>0</v>
      </c>
      <c r="AP123">
        <f t="shared" si="626"/>
        <v>1</v>
      </c>
      <c r="AQ123">
        <f t="shared" si="626"/>
        <v>0</v>
      </c>
      <c r="AR123">
        <f t="shared" si="626"/>
        <v>1</v>
      </c>
      <c r="AS123">
        <f t="shared" si="626"/>
        <v>0.33333333333333331</v>
      </c>
      <c r="AT123">
        <f t="shared" si="626"/>
        <v>0.33333333333333331</v>
      </c>
      <c r="AU123" s="15">
        <f>SUM(AA123:AT123)</f>
        <v>6.3333333333333321</v>
      </c>
      <c r="AW123">
        <f>(AA123/$AU123)*100</f>
        <v>15.789473684210527</v>
      </c>
      <c r="AX123">
        <f>(AB123/$AU123)*100</f>
        <v>0</v>
      </c>
      <c r="AY123">
        <f>(AC123/$AU123)*100</f>
        <v>0</v>
      </c>
      <c r="AZ123">
        <f>(AD123/$AU123)*100</f>
        <v>0</v>
      </c>
      <c r="BA123">
        <f>(AE123/$AU123)*100</f>
        <v>15.789473684210527</v>
      </c>
      <c r="BB123">
        <f t="shared" ref="BB123" si="627">(AF123/$AU123)*100</f>
        <v>0</v>
      </c>
      <c r="BC123">
        <f t="shared" ref="BC123" si="628">(AG123/$AU123)*100</f>
        <v>10.526315789473685</v>
      </c>
      <c r="BD123">
        <f t="shared" ref="BD123" si="629">(AH123/$AU123)*100</f>
        <v>0</v>
      </c>
      <c r="BE123">
        <f t="shared" ref="BE123" si="630">(AI123/$AU123)*100</f>
        <v>0</v>
      </c>
      <c r="BF123">
        <f t="shared" ref="BF123" si="631">(AJ123/$AU123)*100</f>
        <v>0</v>
      </c>
      <c r="BG123">
        <f t="shared" ref="BG123" si="632">(AK123/$AU123)*100</f>
        <v>10.526315789473685</v>
      </c>
      <c r="BH123">
        <f t="shared" ref="BH123" si="633">(AL123/$AU123)*100</f>
        <v>0</v>
      </c>
      <c r="BI123">
        <f t="shared" ref="BI123" si="634">(AM123/$AU123)*100</f>
        <v>0</v>
      </c>
      <c r="BJ123">
        <f t="shared" ref="BJ123" si="635">(AN123/$AU123)*100</f>
        <v>5.2631578947368425</v>
      </c>
      <c r="BK123">
        <f t="shared" ref="BK123" si="636">(AO123/$AU123)*100</f>
        <v>0</v>
      </c>
      <c r="BL123">
        <f t="shared" ref="BL123" si="637">(AP123/$AU123)*100</f>
        <v>15.789473684210527</v>
      </c>
      <c r="BM123">
        <f t="shared" ref="BM123" si="638">(AQ123/$AU123)*100</f>
        <v>0</v>
      </c>
      <c r="BN123">
        <f t="shared" ref="BN123" si="639">(AR123/$AU123)*100</f>
        <v>15.789473684210527</v>
      </c>
      <c r="BO123">
        <f t="shared" ref="BO123" si="640">(AS123/$AU123)*100</f>
        <v>5.2631578947368425</v>
      </c>
      <c r="BP123">
        <f t="shared" ref="BP123" si="641">(AT123/$AU123)*100</f>
        <v>5.2631578947368425</v>
      </c>
      <c r="BQ123">
        <f>SUM(AW123:BP123)</f>
        <v>100.00000000000003</v>
      </c>
    </row>
    <row r="124" spans="1:69" x14ac:dyDescent="0.35">
      <c r="A124" s="1" t="s">
        <v>91</v>
      </c>
      <c r="B124" s="1">
        <v>122</v>
      </c>
      <c r="C124" s="1" t="s">
        <v>191</v>
      </c>
      <c r="D124" s="1" t="s">
        <v>190</v>
      </c>
      <c r="E124" s="6" t="s">
        <v>21</v>
      </c>
      <c r="F124" s="4">
        <v>12</v>
      </c>
      <c r="G124" s="4">
        <v>0</v>
      </c>
      <c r="H124" s="4">
        <v>0</v>
      </c>
      <c r="I124" s="4">
        <v>0</v>
      </c>
      <c r="J124" s="4">
        <v>3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3</v>
      </c>
      <c r="Q124" s="4">
        <v>0</v>
      </c>
      <c r="R124" s="4">
        <v>0</v>
      </c>
      <c r="S124" s="4">
        <v>0</v>
      </c>
      <c r="T124" s="4">
        <v>0</v>
      </c>
      <c r="U124" s="4">
        <v>4</v>
      </c>
      <c r="V124" s="4">
        <v>0</v>
      </c>
      <c r="W124" s="4">
        <v>6</v>
      </c>
      <c r="X124" s="4">
        <v>0</v>
      </c>
      <c r="Y124" s="4">
        <v>0</v>
      </c>
    </row>
    <row r="125" spans="1:69" x14ac:dyDescent="0.35">
      <c r="A125" s="1" t="s">
        <v>91</v>
      </c>
      <c r="B125" s="1">
        <v>123</v>
      </c>
      <c r="C125" s="1" t="s">
        <v>192</v>
      </c>
      <c r="D125" s="1" t="s">
        <v>190</v>
      </c>
      <c r="E125" s="6" t="s">
        <v>21</v>
      </c>
      <c r="F125" s="4">
        <v>13</v>
      </c>
      <c r="G125" s="4">
        <v>0</v>
      </c>
      <c r="H125" s="4">
        <v>0</v>
      </c>
      <c r="I125" s="4">
        <v>0</v>
      </c>
      <c r="J125" s="4">
        <v>3</v>
      </c>
      <c r="K125" s="4">
        <v>0</v>
      </c>
      <c r="L125" s="4">
        <v>2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1</v>
      </c>
      <c r="T125" s="4">
        <v>0</v>
      </c>
      <c r="U125" s="4">
        <v>8</v>
      </c>
      <c r="V125" s="4">
        <v>0</v>
      </c>
      <c r="W125" s="4">
        <v>1</v>
      </c>
      <c r="X125" s="4">
        <v>1</v>
      </c>
      <c r="Y125" s="4">
        <v>1</v>
      </c>
    </row>
    <row r="126" spans="1:69" x14ac:dyDescent="0.35">
      <c r="A126" s="1" t="s">
        <v>56</v>
      </c>
      <c r="B126" s="1">
        <v>124</v>
      </c>
      <c r="C126" s="1" t="s">
        <v>193</v>
      </c>
      <c r="D126" s="1" t="s">
        <v>194</v>
      </c>
      <c r="E126" s="6" t="s">
        <v>21</v>
      </c>
      <c r="F126" s="4">
        <v>27</v>
      </c>
      <c r="G126" s="4">
        <v>0</v>
      </c>
      <c r="H126" s="4">
        <v>0</v>
      </c>
      <c r="I126" s="4">
        <v>0</v>
      </c>
      <c r="J126" s="4">
        <v>0</v>
      </c>
      <c r="K126" s="4">
        <v>4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1</v>
      </c>
      <c r="V126" s="4">
        <v>0</v>
      </c>
      <c r="W126" s="4">
        <v>0</v>
      </c>
      <c r="X126" s="4">
        <v>0</v>
      </c>
      <c r="Y126" s="4">
        <v>0</v>
      </c>
      <c r="AA126">
        <f t="shared" ref="AA126:AT126" si="642">(COUNTIF(F126:F128, "&gt;0"))/3</f>
        <v>1</v>
      </c>
      <c r="AB126">
        <f t="shared" si="642"/>
        <v>0</v>
      </c>
      <c r="AC126">
        <f t="shared" si="642"/>
        <v>0.33333333333333331</v>
      </c>
      <c r="AD126">
        <f t="shared" si="642"/>
        <v>0</v>
      </c>
      <c r="AE126">
        <f t="shared" si="642"/>
        <v>0</v>
      </c>
      <c r="AF126">
        <f t="shared" si="642"/>
        <v>1</v>
      </c>
      <c r="AG126">
        <f t="shared" si="642"/>
        <v>0.33333333333333331</v>
      </c>
      <c r="AH126">
        <f t="shared" si="642"/>
        <v>0</v>
      </c>
      <c r="AI126">
        <f t="shared" si="642"/>
        <v>0</v>
      </c>
      <c r="AJ126">
        <f t="shared" si="642"/>
        <v>0</v>
      </c>
      <c r="AK126">
        <f t="shared" si="642"/>
        <v>0.33333333333333331</v>
      </c>
      <c r="AL126">
        <f t="shared" si="642"/>
        <v>0</v>
      </c>
      <c r="AM126">
        <f t="shared" si="642"/>
        <v>0</v>
      </c>
      <c r="AN126">
        <f t="shared" si="642"/>
        <v>0</v>
      </c>
      <c r="AO126">
        <f t="shared" si="642"/>
        <v>0.33333333333333331</v>
      </c>
      <c r="AP126">
        <f t="shared" si="642"/>
        <v>0.33333333333333331</v>
      </c>
      <c r="AQ126">
        <f t="shared" si="642"/>
        <v>0</v>
      </c>
      <c r="AR126">
        <f t="shared" si="642"/>
        <v>0</v>
      </c>
      <c r="AS126">
        <f t="shared" si="642"/>
        <v>0.33333333333333331</v>
      </c>
      <c r="AT126">
        <f t="shared" si="642"/>
        <v>0</v>
      </c>
      <c r="AU126" s="15">
        <f>SUM(AA126:AT126)</f>
        <v>4</v>
      </c>
      <c r="AW126">
        <f>(AA126/$AU126)*100</f>
        <v>25</v>
      </c>
      <c r="AX126">
        <f>(AB126/$AU126)*100</f>
        <v>0</v>
      </c>
      <c r="AY126">
        <f>(AC126/$AU126)*100</f>
        <v>8.3333333333333321</v>
      </c>
      <c r="AZ126">
        <f>(AD126/$AU126)*100</f>
        <v>0</v>
      </c>
      <c r="BA126">
        <f>(AE126/$AU126)*100</f>
        <v>0</v>
      </c>
      <c r="BB126">
        <f t="shared" ref="BB126" si="643">(AF126/$AU126)*100</f>
        <v>25</v>
      </c>
      <c r="BC126">
        <f t="shared" ref="BC126" si="644">(AG126/$AU126)*100</f>
        <v>8.3333333333333321</v>
      </c>
      <c r="BD126">
        <f t="shared" ref="BD126" si="645">(AH126/$AU126)*100</f>
        <v>0</v>
      </c>
      <c r="BE126">
        <f t="shared" ref="BE126" si="646">(AI126/$AU126)*100</f>
        <v>0</v>
      </c>
      <c r="BF126">
        <f t="shared" ref="BF126" si="647">(AJ126/$AU126)*100</f>
        <v>0</v>
      </c>
      <c r="BG126">
        <f t="shared" ref="BG126" si="648">(AK126/$AU126)*100</f>
        <v>8.3333333333333321</v>
      </c>
      <c r="BH126">
        <f t="shared" ref="BH126" si="649">(AL126/$AU126)*100</f>
        <v>0</v>
      </c>
      <c r="BI126">
        <f t="shared" ref="BI126" si="650">(AM126/$AU126)*100</f>
        <v>0</v>
      </c>
      <c r="BJ126">
        <f t="shared" ref="BJ126" si="651">(AN126/$AU126)*100</f>
        <v>0</v>
      </c>
      <c r="BK126">
        <f t="shared" ref="BK126" si="652">(AO126/$AU126)*100</f>
        <v>8.3333333333333321</v>
      </c>
      <c r="BL126">
        <f t="shared" ref="BL126" si="653">(AP126/$AU126)*100</f>
        <v>8.3333333333333321</v>
      </c>
      <c r="BM126">
        <f t="shared" ref="BM126" si="654">(AQ126/$AU126)*100</f>
        <v>0</v>
      </c>
      <c r="BN126">
        <f t="shared" ref="BN126" si="655">(AR126/$AU126)*100</f>
        <v>0</v>
      </c>
      <c r="BO126">
        <f t="shared" ref="BO126" si="656">(AS126/$AU126)*100</f>
        <v>8.3333333333333321</v>
      </c>
      <c r="BP126">
        <f t="shared" ref="BP126" si="657">(AT126/$AU126)*100</f>
        <v>0</v>
      </c>
      <c r="BQ126">
        <f>SUM(AW126:BP126)</f>
        <v>99.999999999999972</v>
      </c>
    </row>
    <row r="127" spans="1:69" x14ac:dyDescent="0.35">
      <c r="A127" s="1" t="s">
        <v>56</v>
      </c>
      <c r="B127" s="1">
        <v>125</v>
      </c>
      <c r="C127" s="1" t="s">
        <v>195</v>
      </c>
      <c r="D127" s="1" t="s">
        <v>194</v>
      </c>
      <c r="E127" s="6" t="s">
        <v>21</v>
      </c>
      <c r="F127" s="4">
        <v>35</v>
      </c>
      <c r="G127" s="4">
        <v>0</v>
      </c>
      <c r="H127" s="4">
        <v>0</v>
      </c>
      <c r="I127" s="4">
        <v>0</v>
      </c>
      <c r="J127" s="4">
        <v>0</v>
      </c>
      <c r="K127" s="4">
        <v>2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</row>
    <row r="128" spans="1:69" x14ac:dyDescent="0.35">
      <c r="A128" s="1" t="s">
        <v>56</v>
      </c>
      <c r="B128" s="1">
        <v>126</v>
      </c>
      <c r="C128" s="1" t="s">
        <v>196</v>
      </c>
      <c r="D128" s="1" t="s">
        <v>194</v>
      </c>
      <c r="E128" s="6" t="s">
        <v>21</v>
      </c>
      <c r="F128" s="4">
        <v>16</v>
      </c>
      <c r="G128" s="4">
        <v>0</v>
      </c>
      <c r="H128" s="4">
        <v>1</v>
      </c>
      <c r="I128" s="4">
        <v>0</v>
      </c>
      <c r="J128" s="4">
        <v>0</v>
      </c>
      <c r="K128" s="4">
        <v>4</v>
      </c>
      <c r="L128" s="4">
        <v>1</v>
      </c>
      <c r="M128" s="4">
        <v>0</v>
      </c>
      <c r="N128" s="4">
        <v>0</v>
      </c>
      <c r="O128" s="4">
        <v>0</v>
      </c>
      <c r="P128" s="4">
        <v>1</v>
      </c>
      <c r="Q128" s="4">
        <v>0</v>
      </c>
      <c r="R128" s="4">
        <v>0</v>
      </c>
      <c r="S128" s="4">
        <v>0</v>
      </c>
      <c r="T128" s="4">
        <v>1</v>
      </c>
      <c r="U128" s="4">
        <v>0</v>
      </c>
      <c r="V128" s="4">
        <v>0</v>
      </c>
      <c r="W128" s="4">
        <v>0</v>
      </c>
      <c r="X128" s="4">
        <v>2</v>
      </c>
      <c r="Y128" s="4">
        <v>0</v>
      </c>
    </row>
    <row r="129" spans="1:69" x14ac:dyDescent="0.35">
      <c r="A129" s="1" t="s">
        <v>18</v>
      </c>
      <c r="B129" s="1">
        <v>127</v>
      </c>
      <c r="C129" s="1" t="s">
        <v>197</v>
      </c>
      <c r="D129" s="1" t="s">
        <v>198</v>
      </c>
      <c r="E129" s="6" t="s">
        <v>21</v>
      </c>
      <c r="F129" s="4">
        <v>1</v>
      </c>
      <c r="G129" s="4">
        <v>0</v>
      </c>
      <c r="H129" s="4">
        <v>0</v>
      </c>
      <c r="I129" s="4">
        <v>0</v>
      </c>
      <c r="J129" s="4">
        <v>8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1</v>
      </c>
      <c r="U129" s="4">
        <v>23</v>
      </c>
      <c r="V129" s="4">
        <v>0</v>
      </c>
      <c r="W129" s="4">
        <v>0</v>
      </c>
      <c r="X129" s="4">
        <v>0</v>
      </c>
      <c r="Y129" s="4">
        <v>1</v>
      </c>
      <c r="AA129">
        <f t="shared" ref="AA129:AT129" si="658">(COUNTIF(F129:F131, "&gt;0"))/3</f>
        <v>0.66666666666666663</v>
      </c>
      <c r="AB129">
        <f t="shared" si="658"/>
        <v>0</v>
      </c>
      <c r="AC129">
        <f t="shared" si="658"/>
        <v>0</v>
      </c>
      <c r="AD129">
        <f t="shared" si="658"/>
        <v>0</v>
      </c>
      <c r="AE129">
        <f t="shared" si="658"/>
        <v>1</v>
      </c>
      <c r="AF129">
        <f t="shared" si="658"/>
        <v>0</v>
      </c>
      <c r="AG129">
        <f t="shared" si="658"/>
        <v>0.33333333333333331</v>
      </c>
      <c r="AH129">
        <f t="shared" si="658"/>
        <v>0.33333333333333331</v>
      </c>
      <c r="AI129">
        <f t="shared" si="658"/>
        <v>0</v>
      </c>
      <c r="AJ129">
        <f t="shared" si="658"/>
        <v>0</v>
      </c>
      <c r="AK129">
        <f t="shared" si="658"/>
        <v>0</v>
      </c>
      <c r="AL129">
        <f t="shared" si="658"/>
        <v>0</v>
      </c>
      <c r="AM129">
        <f t="shared" si="658"/>
        <v>0</v>
      </c>
      <c r="AN129">
        <f t="shared" si="658"/>
        <v>0.33333333333333331</v>
      </c>
      <c r="AO129">
        <f t="shared" si="658"/>
        <v>0.66666666666666663</v>
      </c>
      <c r="AP129">
        <f t="shared" si="658"/>
        <v>1</v>
      </c>
      <c r="AQ129">
        <f t="shared" si="658"/>
        <v>0</v>
      </c>
      <c r="AR129">
        <f t="shared" si="658"/>
        <v>0</v>
      </c>
      <c r="AS129">
        <f t="shared" si="658"/>
        <v>0</v>
      </c>
      <c r="AT129">
        <f t="shared" si="658"/>
        <v>0.66666666666666663</v>
      </c>
      <c r="AU129" s="15">
        <f>SUM(AA129:AT129)</f>
        <v>5</v>
      </c>
      <c r="AW129">
        <f>(AA129/$AU129)*100</f>
        <v>13.333333333333334</v>
      </c>
      <c r="AX129">
        <f>(AB129/$AU129)*100</f>
        <v>0</v>
      </c>
      <c r="AY129">
        <f>(AC129/$AU129)*100</f>
        <v>0</v>
      </c>
      <c r="AZ129">
        <f>(AD129/$AU129)*100</f>
        <v>0</v>
      </c>
      <c r="BA129">
        <f>(AE129/$AU129)*100</f>
        <v>20</v>
      </c>
      <c r="BB129">
        <f t="shared" ref="BB129" si="659">(AF129/$AU129)*100</f>
        <v>0</v>
      </c>
      <c r="BC129">
        <f t="shared" ref="BC129" si="660">(AG129/$AU129)*100</f>
        <v>6.666666666666667</v>
      </c>
      <c r="BD129">
        <f t="shared" ref="BD129" si="661">(AH129/$AU129)*100</f>
        <v>6.666666666666667</v>
      </c>
      <c r="BE129">
        <f t="shared" ref="BE129" si="662">(AI129/$AU129)*100</f>
        <v>0</v>
      </c>
      <c r="BF129">
        <f t="shared" ref="BF129" si="663">(AJ129/$AU129)*100</f>
        <v>0</v>
      </c>
      <c r="BG129">
        <f t="shared" ref="BG129" si="664">(AK129/$AU129)*100</f>
        <v>0</v>
      </c>
      <c r="BH129">
        <f t="shared" ref="BH129" si="665">(AL129/$AU129)*100</f>
        <v>0</v>
      </c>
      <c r="BI129">
        <f t="shared" ref="BI129" si="666">(AM129/$AU129)*100</f>
        <v>0</v>
      </c>
      <c r="BJ129">
        <f t="shared" ref="BJ129" si="667">(AN129/$AU129)*100</f>
        <v>6.666666666666667</v>
      </c>
      <c r="BK129">
        <f t="shared" ref="BK129" si="668">(AO129/$AU129)*100</f>
        <v>13.333333333333334</v>
      </c>
      <c r="BL129">
        <f t="shared" ref="BL129" si="669">(AP129/$AU129)*100</f>
        <v>20</v>
      </c>
      <c r="BM129">
        <f t="shared" ref="BM129" si="670">(AQ129/$AU129)*100</f>
        <v>0</v>
      </c>
      <c r="BN129">
        <f t="shared" ref="BN129" si="671">(AR129/$AU129)*100</f>
        <v>0</v>
      </c>
      <c r="BO129">
        <f t="shared" ref="BO129" si="672">(AS129/$AU129)*100</f>
        <v>0</v>
      </c>
      <c r="BP129">
        <f t="shared" ref="BP129" si="673">(AT129/$AU129)*100</f>
        <v>13.333333333333334</v>
      </c>
      <c r="BQ129">
        <f>SUM(AW129:BP129)</f>
        <v>99.999999999999986</v>
      </c>
    </row>
    <row r="130" spans="1:69" x14ac:dyDescent="0.35">
      <c r="A130" s="1" t="s">
        <v>18</v>
      </c>
      <c r="B130" s="1">
        <v>128</v>
      </c>
      <c r="C130" s="1" t="s">
        <v>199</v>
      </c>
      <c r="D130" s="1" t="s">
        <v>198</v>
      </c>
      <c r="E130" s="6" t="s">
        <v>21</v>
      </c>
      <c r="F130" s="4">
        <v>0</v>
      </c>
      <c r="G130" s="4">
        <v>0</v>
      </c>
      <c r="H130" s="4">
        <v>0</v>
      </c>
      <c r="I130" s="4">
        <v>0</v>
      </c>
      <c r="J130" s="4">
        <v>6</v>
      </c>
      <c r="K130" s="4">
        <v>0</v>
      </c>
      <c r="L130" s="4">
        <v>1</v>
      </c>
      <c r="M130" s="4">
        <v>1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21</v>
      </c>
      <c r="V130" s="4">
        <v>0</v>
      </c>
      <c r="W130" s="4">
        <v>0</v>
      </c>
      <c r="X130" s="4">
        <v>0</v>
      </c>
      <c r="Y130" s="4">
        <v>3</v>
      </c>
    </row>
    <row r="131" spans="1:69" x14ac:dyDescent="0.35">
      <c r="A131" s="1" t="s">
        <v>18</v>
      </c>
      <c r="B131" s="1">
        <v>129</v>
      </c>
      <c r="C131" s="1" t="s">
        <v>200</v>
      </c>
      <c r="D131" s="1" t="s">
        <v>198</v>
      </c>
      <c r="E131" s="6" t="s">
        <v>21</v>
      </c>
      <c r="F131" s="4">
        <v>3</v>
      </c>
      <c r="G131" s="4">
        <v>0</v>
      </c>
      <c r="H131" s="4">
        <v>0</v>
      </c>
      <c r="I131" s="4">
        <v>0</v>
      </c>
      <c r="J131" s="4">
        <v>9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2</v>
      </c>
      <c r="T131" s="4">
        <v>1</v>
      </c>
      <c r="U131" s="4">
        <v>15</v>
      </c>
      <c r="V131" s="4">
        <v>0</v>
      </c>
      <c r="W131" s="4">
        <v>0</v>
      </c>
      <c r="X131" s="4">
        <v>0</v>
      </c>
      <c r="Y131" s="4">
        <v>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13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8" sqref="H28"/>
    </sheetView>
  </sheetViews>
  <sheetFormatPr defaultRowHeight="14.5" x14ac:dyDescent="0.35"/>
  <cols>
    <col min="26" max="26" width="9.1796875" style="15"/>
  </cols>
  <sheetData>
    <row r="1" spans="1:69" x14ac:dyDescent="0.35">
      <c r="A1" s="1" t="s">
        <v>0</v>
      </c>
      <c r="B1" s="1"/>
      <c r="C1" s="1"/>
      <c r="D1" s="1"/>
      <c r="E1" s="1"/>
      <c r="AB1" s="15" t="s">
        <v>215</v>
      </c>
      <c r="AW1" t="s">
        <v>214</v>
      </c>
    </row>
    <row r="2" spans="1:69" x14ac:dyDescent="0.3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10" t="s">
        <v>202</v>
      </c>
      <c r="G2" s="7" t="s">
        <v>6</v>
      </c>
      <c r="H2" s="7" t="s">
        <v>7</v>
      </c>
      <c r="I2" s="7" t="s">
        <v>8</v>
      </c>
      <c r="J2" s="10" t="s">
        <v>203</v>
      </c>
      <c r="K2" s="7" t="s">
        <v>9</v>
      </c>
      <c r="L2" s="7" t="s">
        <v>204</v>
      </c>
      <c r="M2" s="10" t="s">
        <v>205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10" t="s">
        <v>206</v>
      </c>
      <c r="T2" s="10" t="s">
        <v>207</v>
      </c>
      <c r="U2" s="7" t="s">
        <v>208</v>
      </c>
      <c r="V2" s="7" t="s">
        <v>15</v>
      </c>
      <c r="W2" s="7" t="s">
        <v>16</v>
      </c>
      <c r="X2" s="7" t="s">
        <v>17</v>
      </c>
      <c r="Y2" s="10" t="s">
        <v>209</v>
      </c>
      <c r="Z2" s="17" t="s">
        <v>210</v>
      </c>
      <c r="AB2" s="10" t="s">
        <v>202</v>
      </c>
      <c r="AC2" s="7" t="s">
        <v>6</v>
      </c>
      <c r="AD2" s="7" t="s">
        <v>7</v>
      </c>
      <c r="AE2" s="7" t="s">
        <v>8</v>
      </c>
      <c r="AF2" s="10" t="s">
        <v>203</v>
      </c>
      <c r="AG2" s="7" t="s">
        <v>9</v>
      </c>
      <c r="AH2" s="7" t="s">
        <v>204</v>
      </c>
      <c r="AI2" s="10" t="s">
        <v>205</v>
      </c>
      <c r="AJ2" s="7" t="s">
        <v>10</v>
      </c>
      <c r="AK2" s="7" t="s">
        <v>11</v>
      </c>
      <c r="AL2" s="7" t="s">
        <v>12</v>
      </c>
      <c r="AM2" s="7" t="s">
        <v>13</v>
      </c>
      <c r="AN2" s="7" t="s">
        <v>14</v>
      </c>
      <c r="AO2" s="10" t="s">
        <v>206</v>
      </c>
      <c r="AP2" s="10" t="s">
        <v>207</v>
      </c>
      <c r="AQ2" s="7" t="s">
        <v>208</v>
      </c>
      <c r="AR2" s="7" t="s">
        <v>15</v>
      </c>
      <c r="AS2" s="7" t="s">
        <v>16</v>
      </c>
      <c r="AT2" s="7" t="s">
        <v>17</v>
      </c>
      <c r="AU2" s="10" t="s">
        <v>209</v>
      </c>
      <c r="AW2" s="10" t="s">
        <v>202</v>
      </c>
      <c r="AX2" s="7" t="s">
        <v>6</v>
      </c>
      <c r="AY2" s="7" t="s">
        <v>7</v>
      </c>
      <c r="AZ2" s="7" t="s">
        <v>8</v>
      </c>
      <c r="BA2" s="10" t="s">
        <v>203</v>
      </c>
      <c r="BB2" s="7" t="s">
        <v>9</v>
      </c>
      <c r="BC2" s="7" t="s">
        <v>204</v>
      </c>
      <c r="BD2" s="10" t="s">
        <v>205</v>
      </c>
      <c r="BE2" s="7" t="s">
        <v>10</v>
      </c>
      <c r="BF2" s="7" t="s">
        <v>11</v>
      </c>
      <c r="BG2" s="7" t="s">
        <v>12</v>
      </c>
      <c r="BH2" s="7" t="s">
        <v>13</v>
      </c>
      <c r="BI2" s="7" t="s">
        <v>14</v>
      </c>
      <c r="BJ2" s="10" t="s">
        <v>206</v>
      </c>
      <c r="BK2" s="10" t="s">
        <v>207</v>
      </c>
      <c r="BL2" s="7" t="s">
        <v>208</v>
      </c>
      <c r="BM2" s="7" t="s">
        <v>15</v>
      </c>
      <c r="BN2" s="7" t="s">
        <v>16</v>
      </c>
      <c r="BO2" s="7" t="s">
        <v>17</v>
      </c>
      <c r="BP2" s="10" t="s">
        <v>209</v>
      </c>
      <c r="BQ2" s="7" t="s">
        <v>216</v>
      </c>
    </row>
    <row r="3" spans="1:69" x14ac:dyDescent="0.35">
      <c r="A3" s="1" t="s">
        <v>18</v>
      </c>
      <c r="B3" s="1">
        <v>1</v>
      </c>
      <c r="C3" s="1" t="s">
        <v>19</v>
      </c>
      <c r="D3" s="1" t="s">
        <v>20</v>
      </c>
      <c r="E3" s="3" t="s">
        <v>21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23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2</v>
      </c>
      <c r="T3" s="4">
        <v>16</v>
      </c>
      <c r="U3" s="4">
        <v>19</v>
      </c>
      <c r="V3" s="4">
        <v>0</v>
      </c>
      <c r="W3" s="4">
        <v>0</v>
      </c>
      <c r="X3" s="4">
        <v>4</v>
      </c>
      <c r="Y3" s="4">
        <v>1</v>
      </c>
      <c r="Z3" s="15">
        <f>SUM(F3:Y3)</f>
        <v>65</v>
      </c>
      <c r="AB3" s="18">
        <f>F3/$Z3*100</f>
        <v>0</v>
      </c>
      <c r="AC3" s="18">
        <f t="shared" ref="AC3:AU15" si="0">G3/$Z3*100</f>
        <v>0</v>
      </c>
      <c r="AD3" s="18">
        <f t="shared" si="0"/>
        <v>0</v>
      </c>
      <c r="AE3" s="18">
        <f t="shared" si="0"/>
        <v>0</v>
      </c>
      <c r="AF3" s="18">
        <f t="shared" si="0"/>
        <v>0</v>
      </c>
      <c r="AG3" s="18">
        <f t="shared" si="0"/>
        <v>0</v>
      </c>
      <c r="AH3" s="18">
        <f t="shared" si="0"/>
        <v>35.384615384615387</v>
      </c>
      <c r="AI3" s="18">
        <f t="shared" si="0"/>
        <v>0</v>
      </c>
      <c r="AJ3" s="18">
        <f t="shared" si="0"/>
        <v>0</v>
      </c>
      <c r="AK3" s="18">
        <f t="shared" si="0"/>
        <v>0</v>
      </c>
      <c r="AL3" s="18">
        <f t="shared" si="0"/>
        <v>0</v>
      </c>
      <c r="AM3" s="18">
        <f t="shared" si="0"/>
        <v>0</v>
      </c>
      <c r="AN3" s="18">
        <f t="shared" si="0"/>
        <v>0</v>
      </c>
      <c r="AO3" s="18">
        <f t="shared" si="0"/>
        <v>3.0769230769230771</v>
      </c>
      <c r="AP3" s="18">
        <f t="shared" si="0"/>
        <v>24.615384615384617</v>
      </c>
      <c r="AQ3" s="18">
        <f t="shared" si="0"/>
        <v>29.230769230769234</v>
      </c>
      <c r="AR3" s="18">
        <f t="shared" si="0"/>
        <v>0</v>
      </c>
      <c r="AS3" s="18">
        <f t="shared" si="0"/>
        <v>0</v>
      </c>
      <c r="AT3" s="18">
        <f t="shared" si="0"/>
        <v>6.1538461538461542</v>
      </c>
      <c r="AU3" s="18">
        <f t="shared" si="0"/>
        <v>1.5384615384615385</v>
      </c>
      <c r="AW3" s="19">
        <f>AVERAGE(AB3:AB5)</f>
        <v>0</v>
      </c>
      <c r="AX3" s="19">
        <f t="shared" ref="AX3:BP3" si="1">AVERAGE(AC3:AC5)</f>
        <v>0</v>
      </c>
      <c r="AY3" s="19">
        <f t="shared" si="1"/>
        <v>0</v>
      </c>
      <c r="AZ3" s="19">
        <f t="shared" si="1"/>
        <v>0</v>
      </c>
      <c r="BA3" s="19">
        <f t="shared" si="1"/>
        <v>3.9215686274509802</v>
      </c>
      <c r="BB3" s="19">
        <f t="shared" si="1"/>
        <v>0</v>
      </c>
      <c r="BC3" s="19">
        <f t="shared" si="1"/>
        <v>46.645478704302228</v>
      </c>
      <c r="BD3" s="19">
        <f t="shared" si="1"/>
        <v>15.826330532212886</v>
      </c>
      <c r="BE3" s="19">
        <f t="shared" si="1"/>
        <v>0</v>
      </c>
      <c r="BF3" s="19">
        <f t="shared" si="1"/>
        <v>0</v>
      </c>
      <c r="BG3" s="19">
        <f t="shared" si="1"/>
        <v>0</v>
      </c>
      <c r="BH3" s="19">
        <f t="shared" si="1"/>
        <v>0</v>
      </c>
      <c r="BI3" s="19">
        <f t="shared" si="1"/>
        <v>0</v>
      </c>
      <c r="BJ3" s="19">
        <f t="shared" si="1"/>
        <v>1.0256410256410258</v>
      </c>
      <c r="BK3" s="19">
        <f t="shared" si="1"/>
        <v>9.395604395604396</v>
      </c>
      <c r="BL3" s="19">
        <f t="shared" si="1"/>
        <v>11.050779286073405</v>
      </c>
      <c r="BM3" s="19">
        <f t="shared" si="1"/>
        <v>0</v>
      </c>
      <c r="BN3" s="19">
        <f t="shared" si="1"/>
        <v>0</v>
      </c>
      <c r="BO3" s="19">
        <f t="shared" si="1"/>
        <v>6.6264454499748622</v>
      </c>
      <c r="BP3" s="19">
        <f t="shared" si="1"/>
        <v>5.5081519787402131</v>
      </c>
      <c r="BQ3" s="19">
        <f>SUM(AW3:BP3)</f>
        <v>100</v>
      </c>
    </row>
    <row r="4" spans="1:69" x14ac:dyDescent="0.35">
      <c r="A4" s="1" t="s">
        <v>18</v>
      </c>
      <c r="B4" s="1">
        <v>2</v>
      </c>
      <c r="C4" s="1" t="s">
        <v>22</v>
      </c>
      <c r="D4" s="1" t="s">
        <v>20</v>
      </c>
      <c r="E4" s="3" t="s">
        <v>21</v>
      </c>
      <c r="F4" s="4">
        <v>0</v>
      </c>
      <c r="G4" s="4">
        <v>0</v>
      </c>
      <c r="H4" s="4">
        <v>0</v>
      </c>
      <c r="I4" s="4">
        <v>0</v>
      </c>
      <c r="J4" s="4">
        <v>6</v>
      </c>
      <c r="K4" s="4">
        <v>0</v>
      </c>
      <c r="L4" s="4">
        <v>26</v>
      </c>
      <c r="M4" s="4">
        <v>6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2</v>
      </c>
      <c r="V4" s="4">
        <v>0</v>
      </c>
      <c r="W4" s="4">
        <v>0</v>
      </c>
      <c r="X4" s="4">
        <v>7</v>
      </c>
      <c r="Y4" s="4">
        <v>4</v>
      </c>
      <c r="Z4" s="15">
        <f t="shared" ref="Z4:Z67" si="2">SUM(F4:Y4)</f>
        <v>51</v>
      </c>
      <c r="AB4" s="18">
        <f t="shared" ref="AB4:AB67" si="3">F4/$Z4*100</f>
        <v>0</v>
      </c>
      <c r="AC4" s="18">
        <f t="shared" si="0"/>
        <v>0</v>
      </c>
      <c r="AD4" s="18">
        <f t="shared" si="0"/>
        <v>0</v>
      </c>
      <c r="AE4" s="18">
        <f t="shared" si="0"/>
        <v>0</v>
      </c>
      <c r="AF4" s="18">
        <f t="shared" si="0"/>
        <v>11.76470588235294</v>
      </c>
      <c r="AG4" s="18">
        <f t="shared" si="0"/>
        <v>0</v>
      </c>
      <c r="AH4" s="18">
        <f t="shared" si="0"/>
        <v>50.980392156862742</v>
      </c>
      <c r="AI4" s="18">
        <f t="shared" si="0"/>
        <v>11.76470588235294</v>
      </c>
      <c r="AJ4" s="18">
        <f t="shared" si="0"/>
        <v>0</v>
      </c>
      <c r="AK4" s="18">
        <f t="shared" si="0"/>
        <v>0</v>
      </c>
      <c r="AL4" s="18">
        <f t="shared" si="0"/>
        <v>0</v>
      </c>
      <c r="AM4" s="18">
        <f t="shared" si="0"/>
        <v>0</v>
      </c>
      <c r="AN4" s="18">
        <f t="shared" si="0"/>
        <v>0</v>
      </c>
      <c r="AO4" s="18">
        <f t="shared" si="0"/>
        <v>0</v>
      </c>
      <c r="AP4" s="18">
        <f t="shared" si="0"/>
        <v>0</v>
      </c>
      <c r="AQ4" s="18">
        <f t="shared" si="0"/>
        <v>3.9215686274509802</v>
      </c>
      <c r="AR4" s="18">
        <f t="shared" si="0"/>
        <v>0</v>
      </c>
      <c r="AS4" s="18">
        <f t="shared" si="0"/>
        <v>0</v>
      </c>
      <c r="AT4" s="18">
        <f t="shared" si="0"/>
        <v>13.725490196078432</v>
      </c>
      <c r="AU4" s="18">
        <f t="shared" si="0"/>
        <v>7.8431372549019605</v>
      </c>
    </row>
    <row r="5" spans="1:69" x14ac:dyDescent="0.35">
      <c r="A5" s="1" t="s">
        <v>18</v>
      </c>
      <c r="B5" s="1">
        <v>3</v>
      </c>
      <c r="C5" s="1" t="s">
        <v>23</v>
      </c>
      <c r="D5" s="1" t="s">
        <v>20</v>
      </c>
      <c r="E5" s="3" t="s">
        <v>21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15</v>
      </c>
      <c r="M5" s="4">
        <v>10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1</v>
      </c>
      <c r="U5" s="4">
        <v>0</v>
      </c>
      <c r="V5" s="4">
        <v>0</v>
      </c>
      <c r="W5" s="4">
        <v>0</v>
      </c>
      <c r="X5" s="4">
        <v>0</v>
      </c>
      <c r="Y5" s="4">
        <v>2</v>
      </c>
      <c r="Z5" s="15">
        <f t="shared" si="2"/>
        <v>28</v>
      </c>
      <c r="AB5" s="18">
        <f t="shared" si="3"/>
        <v>0</v>
      </c>
      <c r="AC5" s="18">
        <f t="shared" si="0"/>
        <v>0</v>
      </c>
      <c r="AD5" s="18">
        <f t="shared" si="0"/>
        <v>0</v>
      </c>
      <c r="AE5" s="18">
        <f t="shared" si="0"/>
        <v>0</v>
      </c>
      <c r="AF5" s="18">
        <f t="shared" si="0"/>
        <v>0</v>
      </c>
      <c r="AG5" s="18">
        <f t="shared" si="0"/>
        <v>0</v>
      </c>
      <c r="AH5" s="18">
        <f t="shared" si="0"/>
        <v>53.571428571428569</v>
      </c>
      <c r="AI5" s="18">
        <f t="shared" si="0"/>
        <v>35.714285714285715</v>
      </c>
      <c r="AJ5" s="18">
        <f t="shared" si="0"/>
        <v>0</v>
      </c>
      <c r="AK5" s="18">
        <f t="shared" si="0"/>
        <v>0</v>
      </c>
      <c r="AL5" s="18">
        <f t="shared" si="0"/>
        <v>0</v>
      </c>
      <c r="AM5" s="18">
        <f t="shared" si="0"/>
        <v>0</v>
      </c>
      <c r="AN5" s="18">
        <f t="shared" si="0"/>
        <v>0</v>
      </c>
      <c r="AO5" s="18">
        <f t="shared" si="0"/>
        <v>0</v>
      </c>
      <c r="AP5" s="18">
        <f t="shared" si="0"/>
        <v>3.5714285714285712</v>
      </c>
      <c r="AQ5" s="18">
        <f t="shared" si="0"/>
        <v>0</v>
      </c>
      <c r="AR5" s="18">
        <f t="shared" si="0"/>
        <v>0</v>
      </c>
      <c r="AS5" s="18">
        <f t="shared" si="0"/>
        <v>0</v>
      </c>
      <c r="AT5" s="18">
        <f t="shared" si="0"/>
        <v>0</v>
      </c>
      <c r="AU5" s="18">
        <f t="shared" si="0"/>
        <v>7.1428571428571423</v>
      </c>
    </row>
    <row r="6" spans="1:69" x14ac:dyDescent="0.35">
      <c r="A6" s="1" t="s">
        <v>24</v>
      </c>
      <c r="B6" s="1">
        <v>4</v>
      </c>
      <c r="C6" s="1" t="s">
        <v>25</v>
      </c>
      <c r="D6" s="1" t="s">
        <v>26</v>
      </c>
      <c r="E6" s="3" t="s">
        <v>27</v>
      </c>
      <c r="F6" s="4">
        <v>1</v>
      </c>
      <c r="G6" s="4">
        <v>0</v>
      </c>
      <c r="H6" s="4">
        <v>0</v>
      </c>
      <c r="I6" s="4">
        <v>0</v>
      </c>
      <c r="J6" s="4">
        <v>2</v>
      </c>
      <c r="K6" s="4">
        <v>0</v>
      </c>
      <c r="L6" s="4">
        <v>8</v>
      </c>
      <c r="M6" s="4">
        <v>1</v>
      </c>
      <c r="N6" s="4">
        <v>0</v>
      </c>
      <c r="O6" s="4">
        <v>0</v>
      </c>
      <c r="P6" s="4">
        <v>0</v>
      </c>
      <c r="Q6" s="4">
        <v>1</v>
      </c>
      <c r="R6" s="4">
        <v>0</v>
      </c>
      <c r="S6" s="4">
        <v>4</v>
      </c>
      <c r="T6" s="4">
        <v>3</v>
      </c>
      <c r="U6" s="4">
        <v>12</v>
      </c>
      <c r="V6" s="4">
        <v>0</v>
      </c>
      <c r="W6" s="4">
        <v>4</v>
      </c>
      <c r="X6" s="4">
        <v>0</v>
      </c>
      <c r="Y6" s="4">
        <v>5</v>
      </c>
      <c r="Z6" s="15">
        <f t="shared" si="2"/>
        <v>41</v>
      </c>
      <c r="AB6" s="18">
        <f t="shared" si="3"/>
        <v>2.4390243902439024</v>
      </c>
      <c r="AC6" s="18">
        <f t="shared" si="0"/>
        <v>0</v>
      </c>
      <c r="AD6" s="18">
        <f t="shared" si="0"/>
        <v>0</v>
      </c>
      <c r="AE6" s="18">
        <f t="shared" si="0"/>
        <v>0</v>
      </c>
      <c r="AF6" s="18">
        <f t="shared" si="0"/>
        <v>4.8780487804878048</v>
      </c>
      <c r="AG6" s="18">
        <f t="shared" si="0"/>
        <v>0</v>
      </c>
      <c r="AH6" s="18">
        <f t="shared" si="0"/>
        <v>19.512195121951219</v>
      </c>
      <c r="AI6" s="18">
        <f t="shared" si="0"/>
        <v>2.4390243902439024</v>
      </c>
      <c r="AJ6" s="18">
        <f t="shared" si="0"/>
        <v>0</v>
      </c>
      <c r="AK6" s="18">
        <f t="shared" si="0"/>
        <v>0</v>
      </c>
      <c r="AL6" s="18">
        <f t="shared" si="0"/>
        <v>0</v>
      </c>
      <c r="AM6" s="18">
        <f t="shared" si="0"/>
        <v>2.4390243902439024</v>
      </c>
      <c r="AN6" s="18">
        <f t="shared" si="0"/>
        <v>0</v>
      </c>
      <c r="AO6" s="18">
        <f t="shared" si="0"/>
        <v>9.7560975609756095</v>
      </c>
      <c r="AP6" s="18">
        <f t="shared" si="0"/>
        <v>7.3170731707317067</v>
      </c>
      <c r="AQ6" s="18">
        <f t="shared" si="0"/>
        <v>29.268292682926827</v>
      </c>
      <c r="AR6" s="18">
        <f t="shared" si="0"/>
        <v>0</v>
      </c>
      <c r="AS6" s="18">
        <f t="shared" si="0"/>
        <v>9.7560975609756095</v>
      </c>
      <c r="AT6" s="18">
        <f t="shared" si="0"/>
        <v>0</v>
      </c>
      <c r="AU6" s="18">
        <f t="shared" si="0"/>
        <v>12.195121951219512</v>
      </c>
      <c r="AW6" s="19">
        <f>AVERAGE(AB6:AB8)</f>
        <v>0.81300813008130079</v>
      </c>
      <c r="AX6" s="19">
        <f t="shared" ref="AX6:BP6" si="4">AVERAGE(AC6:AC8)</f>
        <v>0</v>
      </c>
      <c r="AY6" s="19">
        <f t="shared" si="4"/>
        <v>0</v>
      </c>
      <c r="AZ6" s="19">
        <f t="shared" si="4"/>
        <v>0</v>
      </c>
      <c r="BA6" s="19">
        <f t="shared" si="4"/>
        <v>3.8859032658123192</v>
      </c>
      <c r="BB6" s="19">
        <f t="shared" si="4"/>
        <v>0</v>
      </c>
      <c r="BC6" s="19">
        <f t="shared" si="4"/>
        <v>30.232878599972441</v>
      </c>
      <c r="BD6" s="19">
        <f t="shared" si="4"/>
        <v>0.81300813008130079</v>
      </c>
      <c r="BE6" s="19">
        <f t="shared" si="4"/>
        <v>0</v>
      </c>
      <c r="BF6" s="19">
        <f t="shared" si="4"/>
        <v>0</v>
      </c>
      <c r="BG6" s="19">
        <f t="shared" si="4"/>
        <v>0</v>
      </c>
      <c r="BH6" s="19">
        <f t="shared" si="4"/>
        <v>0.81300813008130079</v>
      </c>
      <c r="BI6" s="19">
        <f t="shared" si="4"/>
        <v>0</v>
      </c>
      <c r="BJ6" s="19">
        <f t="shared" si="4"/>
        <v>3.8170042717376327</v>
      </c>
      <c r="BK6" s="19">
        <f t="shared" si="4"/>
        <v>4.6989113958936199</v>
      </c>
      <c r="BL6" s="19">
        <f t="shared" si="4"/>
        <v>36.87474162877222</v>
      </c>
      <c r="BM6" s="19">
        <f t="shared" si="4"/>
        <v>0</v>
      </c>
      <c r="BN6" s="19">
        <f t="shared" si="4"/>
        <v>3.8170042717376327</v>
      </c>
      <c r="BO6" s="19">
        <f t="shared" si="4"/>
        <v>7.3446327683615813</v>
      </c>
      <c r="BP6" s="19">
        <f t="shared" si="4"/>
        <v>6.8898994074686515</v>
      </c>
      <c r="BQ6" s="19">
        <f>SUM(AW6:BP6)</f>
        <v>99.999999999999986</v>
      </c>
    </row>
    <row r="7" spans="1:69" x14ac:dyDescent="0.35">
      <c r="A7" s="1" t="s">
        <v>24</v>
      </c>
      <c r="B7" s="1">
        <v>5</v>
      </c>
      <c r="C7" s="1" t="s">
        <v>28</v>
      </c>
      <c r="D7" s="1" t="s">
        <v>26</v>
      </c>
      <c r="E7" s="3" t="s">
        <v>27</v>
      </c>
      <c r="F7" s="4">
        <v>0</v>
      </c>
      <c r="G7" s="4">
        <v>0</v>
      </c>
      <c r="H7" s="4">
        <v>0</v>
      </c>
      <c r="I7" s="4">
        <v>0</v>
      </c>
      <c r="J7" s="4">
        <v>3</v>
      </c>
      <c r="K7" s="4">
        <v>0</v>
      </c>
      <c r="L7" s="4">
        <v>12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4</v>
      </c>
      <c r="U7" s="4">
        <v>25</v>
      </c>
      <c r="V7" s="4">
        <v>0</v>
      </c>
      <c r="W7" s="4">
        <v>0</v>
      </c>
      <c r="X7" s="4">
        <v>13</v>
      </c>
      <c r="Y7" s="4">
        <v>2</v>
      </c>
      <c r="Z7" s="15">
        <f t="shared" si="2"/>
        <v>59</v>
      </c>
      <c r="AB7" s="18">
        <f t="shared" si="3"/>
        <v>0</v>
      </c>
      <c r="AC7" s="18">
        <f t="shared" si="0"/>
        <v>0</v>
      </c>
      <c r="AD7" s="18">
        <f t="shared" si="0"/>
        <v>0</v>
      </c>
      <c r="AE7" s="18">
        <f t="shared" si="0"/>
        <v>0</v>
      </c>
      <c r="AF7" s="18">
        <f t="shared" si="0"/>
        <v>5.0847457627118651</v>
      </c>
      <c r="AG7" s="18">
        <f t="shared" si="0"/>
        <v>0</v>
      </c>
      <c r="AH7" s="18">
        <f t="shared" si="0"/>
        <v>20.33898305084746</v>
      </c>
      <c r="AI7" s="18">
        <f t="shared" si="0"/>
        <v>0</v>
      </c>
      <c r="AJ7" s="18">
        <f t="shared" si="0"/>
        <v>0</v>
      </c>
      <c r="AK7" s="18">
        <f t="shared" si="0"/>
        <v>0</v>
      </c>
      <c r="AL7" s="18">
        <f t="shared" si="0"/>
        <v>0</v>
      </c>
      <c r="AM7" s="18">
        <f t="shared" si="0"/>
        <v>0</v>
      </c>
      <c r="AN7" s="18">
        <f t="shared" si="0"/>
        <v>0</v>
      </c>
      <c r="AO7" s="18">
        <f t="shared" si="0"/>
        <v>0</v>
      </c>
      <c r="AP7" s="18">
        <f t="shared" si="0"/>
        <v>6.7796610169491522</v>
      </c>
      <c r="AQ7" s="18">
        <f t="shared" si="0"/>
        <v>42.372881355932201</v>
      </c>
      <c r="AR7" s="18">
        <f t="shared" si="0"/>
        <v>0</v>
      </c>
      <c r="AS7" s="18">
        <f t="shared" si="0"/>
        <v>0</v>
      </c>
      <c r="AT7" s="18">
        <f t="shared" si="0"/>
        <v>22.033898305084744</v>
      </c>
      <c r="AU7" s="18">
        <f t="shared" si="0"/>
        <v>3.3898305084745761</v>
      </c>
    </row>
    <row r="8" spans="1:69" x14ac:dyDescent="0.35">
      <c r="A8" s="1" t="s">
        <v>24</v>
      </c>
      <c r="B8" s="1">
        <v>6</v>
      </c>
      <c r="C8" s="1" t="s">
        <v>29</v>
      </c>
      <c r="D8" s="1" t="s">
        <v>26</v>
      </c>
      <c r="E8" s="3" t="s">
        <v>27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0</v>
      </c>
      <c r="L8" s="4">
        <v>30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</v>
      </c>
      <c r="T8" s="4">
        <v>0</v>
      </c>
      <c r="U8" s="4">
        <v>23</v>
      </c>
      <c r="V8" s="4">
        <v>0</v>
      </c>
      <c r="W8" s="4">
        <v>1</v>
      </c>
      <c r="X8" s="4">
        <v>0</v>
      </c>
      <c r="Y8" s="4">
        <v>3</v>
      </c>
      <c r="Z8" s="15">
        <f t="shared" si="2"/>
        <v>59</v>
      </c>
      <c r="AB8" s="18">
        <f t="shared" si="3"/>
        <v>0</v>
      </c>
      <c r="AC8" s="18">
        <f t="shared" si="0"/>
        <v>0</v>
      </c>
      <c r="AD8" s="18">
        <f t="shared" si="0"/>
        <v>0</v>
      </c>
      <c r="AE8" s="18">
        <f t="shared" si="0"/>
        <v>0</v>
      </c>
      <c r="AF8" s="18">
        <f t="shared" si="0"/>
        <v>1.6949152542372881</v>
      </c>
      <c r="AG8" s="18">
        <f t="shared" si="0"/>
        <v>0</v>
      </c>
      <c r="AH8" s="18">
        <f t="shared" si="0"/>
        <v>50.847457627118644</v>
      </c>
      <c r="AI8" s="18">
        <f t="shared" si="0"/>
        <v>0</v>
      </c>
      <c r="AJ8" s="18">
        <f t="shared" si="0"/>
        <v>0</v>
      </c>
      <c r="AK8" s="18">
        <f t="shared" si="0"/>
        <v>0</v>
      </c>
      <c r="AL8" s="18">
        <f t="shared" si="0"/>
        <v>0</v>
      </c>
      <c r="AM8" s="18">
        <f t="shared" si="0"/>
        <v>0</v>
      </c>
      <c r="AN8" s="18">
        <f t="shared" si="0"/>
        <v>0</v>
      </c>
      <c r="AO8" s="18">
        <f t="shared" si="0"/>
        <v>1.6949152542372881</v>
      </c>
      <c r="AP8" s="18">
        <f t="shared" si="0"/>
        <v>0</v>
      </c>
      <c r="AQ8" s="18">
        <f t="shared" si="0"/>
        <v>38.983050847457626</v>
      </c>
      <c r="AR8" s="18">
        <f t="shared" si="0"/>
        <v>0</v>
      </c>
      <c r="AS8" s="18">
        <f t="shared" si="0"/>
        <v>1.6949152542372881</v>
      </c>
      <c r="AT8" s="18">
        <f t="shared" si="0"/>
        <v>0</v>
      </c>
      <c r="AU8" s="18">
        <f t="shared" si="0"/>
        <v>5.0847457627118651</v>
      </c>
    </row>
    <row r="9" spans="1:69" x14ac:dyDescent="0.35">
      <c r="A9" s="1" t="s">
        <v>18</v>
      </c>
      <c r="B9" s="1">
        <v>7</v>
      </c>
      <c r="C9" s="1" t="s">
        <v>30</v>
      </c>
      <c r="D9" s="1" t="s">
        <v>31</v>
      </c>
      <c r="E9" s="3" t="s">
        <v>21</v>
      </c>
      <c r="F9" s="4">
        <v>1</v>
      </c>
      <c r="G9" s="4">
        <v>0</v>
      </c>
      <c r="H9" s="4">
        <v>0</v>
      </c>
      <c r="I9" s="4">
        <v>0</v>
      </c>
      <c r="J9" s="4">
        <v>10</v>
      </c>
      <c r="K9" s="4">
        <v>0</v>
      </c>
      <c r="L9" s="4">
        <v>2</v>
      </c>
      <c r="M9" s="4">
        <v>0</v>
      </c>
      <c r="N9" s="4">
        <v>0</v>
      </c>
      <c r="O9" s="4">
        <v>0</v>
      </c>
      <c r="P9" s="4">
        <v>0</v>
      </c>
      <c r="Q9" s="4">
        <v>1</v>
      </c>
      <c r="R9" s="4">
        <v>0</v>
      </c>
      <c r="S9" s="4">
        <v>0</v>
      </c>
      <c r="T9" s="4">
        <v>1</v>
      </c>
      <c r="U9" s="4">
        <v>11</v>
      </c>
      <c r="V9" s="4">
        <v>0</v>
      </c>
      <c r="W9" s="4">
        <v>0</v>
      </c>
      <c r="X9" s="4">
        <v>3</v>
      </c>
      <c r="Y9" s="4">
        <v>0</v>
      </c>
      <c r="Z9" s="15">
        <f t="shared" si="2"/>
        <v>29</v>
      </c>
      <c r="AB9" s="18">
        <f t="shared" si="3"/>
        <v>3.4482758620689653</v>
      </c>
      <c r="AC9" s="18">
        <f t="shared" si="0"/>
        <v>0</v>
      </c>
      <c r="AD9" s="18">
        <f t="shared" si="0"/>
        <v>0</v>
      </c>
      <c r="AE9" s="18">
        <f t="shared" si="0"/>
        <v>0</v>
      </c>
      <c r="AF9" s="18">
        <f t="shared" si="0"/>
        <v>34.482758620689658</v>
      </c>
      <c r="AG9" s="18">
        <f t="shared" si="0"/>
        <v>0</v>
      </c>
      <c r="AH9" s="18">
        <f t="shared" si="0"/>
        <v>6.8965517241379306</v>
      </c>
      <c r="AI9" s="18">
        <f t="shared" si="0"/>
        <v>0</v>
      </c>
      <c r="AJ9" s="18">
        <f t="shared" si="0"/>
        <v>0</v>
      </c>
      <c r="AK9" s="18">
        <f t="shared" si="0"/>
        <v>0</v>
      </c>
      <c r="AL9" s="18">
        <f t="shared" si="0"/>
        <v>0</v>
      </c>
      <c r="AM9" s="18">
        <f t="shared" si="0"/>
        <v>3.4482758620689653</v>
      </c>
      <c r="AN9" s="18">
        <f t="shared" si="0"/>
        <v>0</v>
      </c>
      <c r="AO9" s="18">
        <f t="shared" si="0"/>
        <v>0</v>
      </c>
      <c r="AP9" s="18">
        <f t="shared" si="0"/>
        <v>3.4482758620689653</v>
      </c>
      <c r="AQ9" s="18">
        <f t="shared" si="0"/>
        <v>37.931034482758619</v>
      </c>
      <c r="AR9" s="18">
        <f t="shared" si="0"/>
        <v>0</v>
      </c>
      <c r="AS9" s="18">
        <f t="shared" si="0"/>
        <v>0</v>
      </c>
      <c r="AT9" s="18">
        <f t="shared" si="0"/>
        <v>10.344827586206897</v>
      </c>
      <c r="AU9" s="18">
        <f t="shared" si="0"/>
        <v>0</v>
      </c>
      <c r="AW9" s="19">
        <f>AVERAGE(AB9:AB11)</f>
        <v>2.2246941045606228</v>
      </c>
      <c r="AX9" s="19">
        <f t="shared" ref="AX9:BP9" si="5">AVERAGE(AC9:AC11)</f>
        <v>0</v>
      </c>
      <c r="AY9" s="19">
        <f t="shared" si="5"/>
        <v>0</v>
      </c>
      <c r="AZ9" s="19">
        <f t="shared" si="5"/>
        <v>0</v>
      </c>
      <c r="BA9" s="19">
        <f t="shared" si="5"/>
        <v>31.633747206605936</v>
      </c>
      <c r="BB9" s="19">
        <f t="shared" si="5"/>
        <v>4.301075268817204</v>
      </c>
      <c r="BC9" s="19">
        <f t="shared" si="5"/>
        <v>16.33546783713636</v>
      </c>
      <c r="BD9" s="19">
        <f t="shared" si="5"/>
        <v>0.90090090090090091</v>
      </c>
      <c r="BE9" s="19">
        <f t="shared" si="5"/>
        <v>0</v>
      </c>
      <c r="BF9" s="19">
        <f t="shared" si="5"/>
        <v>0</v>
      </c>
      <c r="BG9" s="19">
        <f t="shared" si="5"/>
        <v>0</v>
      </c>
      <c r="BH9" s="19">
        <f t="shared" si="5"/>
        <v>1.1494252873563218</v>
      </c>
      <c r="BI9" s="19">
        <f t="shared" si="5"/>
        <v>0</v>
      </c>
      <c r="BJ9" s="19">
        <f t="shared" si="5"/>
        <v>0</v>
      </c>
      <c r="BK9" s="19">
        <f t="shared" si="5"/>
        <v>2.2246941045606228</v>
      </c>
      <c r="BL9" s="19">
        <f t="shared" si="5"/>
        <v>35.979917626191259</v>
      </c>
      <c r="BM9" s="19">
        <f t="shared" si="5"/>
        <v>0</v>
      </c>
      <c r="BN9" s="19">
        <f t="shared" si="5"/>
        <v>0</v>
      </c>
      <c r="BO9" s="19">
        <f t="shared" si="5"/>
        <v>3.4482758620689657</v>
      </c>
      <c r="BP9" s="19">
        <f t="shared" si="5"/>
        <v>1.8018018018018018</v>
      </c>
      <c r="BQ9" s="19">
        <f>SUM(AW9:BP9)</f>
        <v>100</v>
      </c>
    </row>
    <row r="10" spans="1:69" x14ac:dyDescent="0.35">
      <c r="A10" s="1" t="s">
        <v>18</v>
      </c>
      <c r="B10" s="1">
        <v>8</v>
      </c>
      <c r="C10" s="1" t="s">
        <v>32</v>
      </c>
      <c r="D10" s="1" t="s">
        <v>31</v>
      </c>
      <c r="E10" s="3" t="s">
        <v>21</v>
      </c>
      <c r="F10" s="4">
        <v>0</v>
      </c>
      <c r="G10" s="4">
        <v>0</v>
      </c>
      <c r="H10" s="4">
        <v>0</v>
      </c>
      <c r="I10" s="4">
        <v>0</v>
      </c>
      <c r="J10" s="4">
        <v>14</v>
      </c>
      <c r="K10" s="4">
        <v>0</v>
      </c>
      <c r="L10" s="4">
        <v>12</v>
      </c>
      <c r="M10" s="4">
        <v>1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8</v>
      </c>
      <c r="V10" s="4">
        <v>0</v>
      </c>
      <c r="W10" s="4">
        <v>0</v>
      </c>
      <c r="X10" s="4">
        <v>0</v>
      </c>
      <c r="Y10" s="4">
        <v>2</v>
      </c>
      <c r="Z10" s="15">
        <f t="shared" si="2"/>
        <v>37</v>
      </c>
      <c r="AB10" s="18">
        <f t="shared" si="3"/>
        <v>0</v>
      </c>
      <c r="AC10" s="18">
        <f t="shared" si="0"/>
        <v>0</v>
      </c>
      <c r="AD10" s="18">
        <f t="shared" si="0"/>
        <v>0</v>
      </c>
      <c r="AE10" s="18">
        <f t="shared" si="0"/>
        <v>0</v>
      </c>
      <c r="AF10" s="18">
        <f t="shared" si="0"/>
        <v>37.837837837837839</v>
      </c>
      <c r="AG10" s="18">
        <f t="shared" si="0"/>
        <v>0</v>
      </c>
      <c r="AH10" s="18">
        <f t="shared" si="0"/>
        <v>32.432432432432435</v>
      </c>
      <c r="AI10" s="18">
        <f t="shared" si="0"/>
        <v>2.7027027027027026</v>
      </c>
      <c r="AJ10" s="18">
        <f t="shared" si="0"/>
        <v>0</v>
      </c>
      <c r="AK10" s="18">
        <f t="shared" si="0"/>
        <v>0</v>
      </c>
      <c r="AL10" s="18">
        <f t="shared" si="0"/>
        <v>0</v>
      </c>
      <c r="AM10" s="18">
        <f t="shared" si="0"/>
        <v>0</v>
      </c>
      <c r="AN10" s="18">
        <f t="shared" si="0"/>
        <v>0</v>
      </c>
      <c r="AO10" s="18">
        <f t="shared" si="0"/>
        <v>0</v>
      </c>
      <c r="AP10" s="18">
        <f t="shared" si="0"/>
        <v>0</v>
      </c>
      <c r="AQ10" s="18">
        <f t="shared" si="0"/>
        <v>21.621621621621621</v>
      </c>
      <c r="AR10" s="18">
        <f t="shared" si="0"/>
        <v>0</v>
      </c>
      <c r="AS10" s="18">
        <f t="shared" si="0"/>
        <v>0</v>
      </c>
      <c r="AT10" s="18">
        <f t="shared" si="0"/>
        <v>0</v>
      </c>
      <c r="AU10" s="18">
        <f t="shared" si="0"/>
        <v>5.4054054054054053</v>
      </c>
    </row>
    <row r="11" spans="1:69" x14ac:dyDescent="0.35">
      <c r="A11" s="1" t="s">
        <v>18</v>
      </c>
      <c r="B11" s="1">
        <v>9</v>
      </c>
      <c r="C11" s="1" t="s">
        <v>33</v>
      </c>
      <c r="D11" s="1" t="s">
        <v>31</v>
      </c>
      <c r="E11" s="3" t="s">
        <v>21</v>
      </c>
      <c r="F11" s="4">
        <v>1</v>
      </c>
      <c r="G11" s="4">
        <v>0</v>
      </c>
      <c r="H11" s="4">
        <v>0</v>
      </c>
      <c r="I11" s="4">
        <v>0</v>
      </c>
      <c r="J11" s="4">
        <v>7</v>
      </c>
      <c r="K11" s="4">
        <v>4</v>
      </c>
      <c r="L11" s="4">
        <v>3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1</v>
      </c>
      <c r="U11" s="4">
        <v>15</v>
      </c>
      <c r="V11" s="4">
        <v>0</v>
      </c>
      <c r="W11" s="4">
        <v>0</v>
      </c>
      <c r="X11" s="4">
        <v>0</v>
      </c>
      <c r="Y11" s="4">
        <v>0</v>
      </c>
      <c r="Z11" s="15">
        <f t="shared" si="2"/>
        <v>31</v>
      </c>
      <c r="AB11" s="18">
        <f t="shared" si="3"/>
        <v>3.225806451612903</v>
      </c>
      <c r="AC11" s="18">
        <f t="shared" si="0"/>
        <v>0</v>
      </c>
      <c r="AD11" s="18">
        <f t="shared" si="0"/>
        <v>0</v>
      </c>
      <c r="AE11" s="18">
        <f t="shared" si="0"/>
        <v>0</v>
      </c>
      <c r="AF11" s="18">
        <f t="shared" si="0"/>
        <v>22.58064516129032</v>
      </c>
      <c r="AG11" s="18">
        <f t="shared" si="0"/>
        <v>12.903225806451612</v>
      </c>
      <c r="AH11" s="18">
        <f t="shared" si="0"/>
        <v>9.67741935483871</v>
      </c>
      <c r="AI11" s="18">
        <f t="shared" si="0"/>
        <v>0</v>
      </c>
      <c r="AJ11" s="18">
        <f t="shared" si="0"/>
        <v>0</v>
      </c>
      <c r="AK11" s="18">
        <f t="shared" si="0"/>
        <v>0</v>
      </c>
      <c r="AL11" s="18">
        <f t="shared" si="0"/>
        <v>0</v>
      </c>
      <c r="AM11" s="18">
        <f t="shared" si="0"/>
        <v>0</v>
      </c>
      <c r="AN11" s="18">
        <f t="shared" si="0"/>
        <v>0</v>
      </c>
      <c r="AO11" s="18">
        <f t="shared" si="0"/>
        <v>0</v>
      </c>
      <c r="AP11" s="18">
        <f t="shared" si="0"/>
        <v>3.225806451612903</v>
      </c>
      <c r="AQ11" s="18">
        <f t="shared" si="0"/>
        <v>48.387096774193552</v>
      </c>
      <c r="AR11" s="18">
        <f t="shared" si="0"/>
        <v>0</v>
      </c>
      <c r="AS11" s="18">
        <f t="shared" si="0"/>
        <v>0</v>
      </c>
      <c r="AT11" s="18">
        <f t="shared" si="0"/>
        <v>0</v>
      </c>
      <c r="AU11" s="18">
        <f t="shared" si="0"/>
        <v>0</v>
      </c>
    </row>
    <row r="12" spans="1:69" x14ac:dyDescent="0.35">
      <c r="A12" s="1" t="s">
        <v>24</v>
      </c>
      <c r="B12" s="1">
        <v>10</v>
      </c>
      <c r="C12" s="1" t="s">
        <v>34</v>
      </c>
      <c r="D12" s="1" t="s">
        <v>35</v>
      </c>
      <c r="E12" s="3" t="s">
        <v>21</v>
      </c>
      <c r="F12" s="4">
        <v>0</v>
      </c>
      <c r="G12" s="4">
        <v>0</v>
      </c>
      <c r="H12" s="4">
        <v>0</v>
      </c>
      <c r="I12" s="4">
        <v>0</v>
      </c>
      <c r="J12" s="4">
        <v>4</v>
      </c>
      <c r="K12" s="4">
        <v>0</v>
      </c>
      <c r="L12" s="4">
        <v>7</v>
      </c>
      <c r="M12" s="4">
        <v>6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12</v>
      </c>
      <c r="T12" s="4">
        <v>6</v>
      </c>
      <c r="U12" s="4">
        <v>2</v>
      </c>
      <c r="V12" s="4">
        <v>0</v>
      </c>
      <c r="W12" s="4">
        <v>0</v>
      </c>
      <c r="X12" s="4">
        <v>21</v>
      </c>
      <c r="Y12" s="4">
        <v>6</v>
      </c>
      <c r="Z12" s="15">
        <f t="shared" si="2"/>
        <v>64</v>
      </c>
      <c r="AB12" s="18">
        <f t="shared" si="3"/>
        <v>0</v>
      </c>
      <c r="AC12" s="18">
        <f t="shared" si="0"/>
        <v>0</v>
      </c>
      <c r="AD12" s="18">
        <f t="shared" si="0"/>
        <v>0</v>
      </c>
      <c r="AE12" s="18">
        <f t="shared" si="0"/>
        <v>0</v>
      </c>
      <c r="AF12" s="18">
        <f t="shared" si="0"/>
        <v>6.25</v>
      </c>
      <c r="AG12" s="18">
        <f t="shared" si="0"/>
        <v>0</v>
      </c>
      <c r="AH12" s="18">
        <f t="shared" si="0"/>
        <v>10.9375</v>
      </c>
      <c r="AI12" s="18">
        <f t="shared" si="0"/>
        <v>9.375</v>
      </c>
      <c r="AJ12" s="18">
        <f t="shared" si="0"/>
        <v>0</v>
      </c>
      <c r="AK12" s="18">
        <f t="shared" si="0"/>
        <v>0</v>
      </c>
      <c r="AL12" s="18">
        <f t="shared" si="0"/>
        <v>0</v>
      </c>
      <c r="AM12" s="18">
        <f t="shared" si="0"/>
        <v>0</v>
      </c>
      <c r="AN12" s="18">
        <f t="shared" si="0"/>
        <v>0</v>
      </c>
      <c r="AO12" s="18">
        <f t="shared" si="0"/>
        <v>18.75</v>
      </c>
      <c r="AP12" s="18">
        <f t="shared" si="0"/>
        <v>9.375</v>
      </c>
      <c r="AQ12" s="18">
        <f t="shared" si="0"/>
        <v>3.125</v>
      </c>
      <c r="AR12" s="18">
        <f t="shared" si="0"/>
        <v>0</v>
      </c>
      <c r="AS12" s="18">
        <f t="shared" si="0"/>
        <v>0</v>
      </c>
      <c r="AT12" s="18">
        <f t="shared" si="0"/>
        <v>32.8125</v>
      </c>
      <c r="AU12" s="18">
        <f t="shared" si="0"/>
        <v>9.375</v>
      </c>
      <c r="AW12" s="19">
        <f>AVERAGE(AB12:AB14)</f>
        <v>4.1880341880341883</v>
      </c>
      <c r="AX12" s="19">
        <f t="shared" ref="AX12:BP12" si="6">AVERAGE(AC12:AC14)</f>
        <v>0.85470085470085466</v>
      </c>
      <c r="AY12" s="19">
        <f t="shared" si="6"/>
        <v>0</v>
      </c>
      <c r="AZ12" s="19">
        <f t="shared" si="6"/>
        <v>0</v>
      </c>
      <c r="BA12" s="19">
        <f t="shared" si="6"/>
        <v>7.6047008547008543</v>
      </c>
      <c r="BB12" s="19">
        <f t="shared" si="6"/>
        <v>0</v>
      </c>
      <c r="BC12" s="19">
        <f t="shared" si="6"/>
        <v>14.671474358974359</v>
      </c>
      <c r="BD12" s="19">
        <f t="shared" si="6"/>
        <v>3.7916666666666665</v>
      </c>
      <c r="BE12" s="19">
        <f t="shared" si="6"/>
        <v>0</v>
      </c>
      <c r="BF12" s="19">
        <f t="shared" si="6"/>
        <v>0</v>
      </c>
      <c r="BG12" s="19">
        <f t="shared" si="6"/>
        <v>2.5641025641025643</v>
      </c>
      <c r="BH12" s="19">
        <f t="shared" si="6"/>
        <v>1.3333333333333333</v>
      </c>
      <c r="BI12" s="19">
        <f t="shared" si="6"/>
        <v>0</v>
      </c>
      <c r="BJ12" s="19">
        <f t="shared" si="6"/>
        <v>6.25</v>
      </c>
      <c r="BK12" s="19">
        <f t="shared" si="6"/>
        <v>20.800213675213673</v>
      </c>
      <c r="BL12" s="19">
        <f t="shared" si="6"/>
        <v>6.2724358974358978</v>
      </c>
      <c r="BM12" s="19">
        <f t="shared" si="6"/>
        <v>0</v>
      </c>
      <c r="BN12" s="19">
        <f t="shared" si="6"/>
        <v>0.66666666666666663</v>
      </c>
      <c r="BO12" s="19">
        <f t="shared" si="6"/>
        <v>24.16826923076923</v>
      </c>
      <c r="BP12" s="19">
        <f t="shared" si="6"/>
        <v>6.8344017094017095</v>
      </c>
      <c r="BQ12" s="19">
        <f>SUM(AW12:BP12)</f>
        <v>100</v>
      </c>
    </row>
    <row r="13" spans="1:69" x14ac:dyDescent="0.35">
      <c r="A13" s="1" t="s">
        <v>24</v>
      </c>
      <c r="B13" s="1">
        <v>11</v>
      </c>
      <c r="C13" s="1" t="s">
        <v>36</v>
      </c>
      <c r="D13" s="1" t="s">
        <v>35</v>
      </c>
      <c r="E13" s="3" t="s">
        <v>21</v>
      </c>
      <c r="F13" s="4">
        <v>5</v>
      </c>
      <c r="G13" s="4">
        <v>0</v>
      </c>
      <c r="H13" s="4">
        <v>0</v>
      </c>
      <c r="I13" s="4">
        <v>0</v>
      </c>
      <c r="J13" s="4">
        <v>7</v>
      </c>
      <c r="K13" s="4">
        <v>0</v>
      </c>
      <c r="L13" s="4">
        <v>5</v>
      </c>
      <c r="M13" s="4">
        <v>1</v>
      </c>
      <c r="N13" s="4">
        <v>0</v>
      </c>
      <c r="O13" s="4">
        <v>0</v>
      </c>
      <c r="P13" s="4">
        <v>0</v>
      </c>
      <c r="Q13" s="4">
        <v>2</v>
      </c>
      <c r="R13" s="4">
        <v>0</v>
      </c>
      <c r="S13" s="4">
        <v>0</v>
      </c>
      <c r="T13" s="4">
        <v>6</v>
      </c>
      <c r="U13" s="4">
        <v>4</v>
      </c>
      <c r="V13" s="4">
        <v>0</v>
      </c>
      <c r="W13" s="4">
        <v>1</v>
      </c>
      <c r="X13" s="4">
        <v>16</v>
      </c>
      <c r="Y13" s="4">
        <v>3</v>
      </c>
      <c r="Z13" s="15">
        <f t="shared" si="2"/>
        <v>50</v>
      </c>
      <c r="AB13" s="18">
        <f t="shared" si="3"/>
        <v>10</v>
      </c>
      <c r="AC13" s="18">
        <f t="shared" si="0"/>
        <v>0</v>
      </c>
      <c r="AD13" s="18">
        <f t="shared" si="0"/>
        <v>0</v>
      </c>
      <c r="AE13" s="18">
        <f t="shared" si="0"/>
        <v>0</v>
      </c>
      <c r="AF13" s="18">
        <f t="shared" si="0"/>
        <v>14.000000000000002</v>
      </c>
      <c r="AG13" s="18">
        <f t="shared" si="0"/>
        <v>0</v>
      </c>
      <c r="AH13" s="18">
        <f t="shared" si="0"/>
        <v>10</v>
      </c>
      <c r="AI13" s="18">
        <f t="shared" si="0"/>
        <v>2</v>
      </c>
      <c r="AJ13" s="18">
        <f t="shared" si="0"/>
        <v>0</v>
      </c>
      <c r="AK13" s="18">
        <f t="shared" si="0"/>
        <v>0</v>
      </c>
      <c r="AL13" s="18">
        <f t="shared" si="0"/>
        <v>0</v>
      </c>
      <c r="AM13" s="18">
        <f t="shared" si="0"/>
        <v>4</v>
      </c>
      <c r="AN13" s="18">
        <f t="shared" si="0"/>
        <v>0</v>
      </c>
      <c r="AO13" s="18">
        <f t="shared" si="0"/>
        <v>0</v>
      </c>
      <c r="AP13" s="18">
        <f t="shared" si="0"/>
        <v>12</v>
      </c>
      <c r="AQ13" s="18">
        <f t="shared" si="0"/>
        <v>8</v>
      </c>
      <c r="AR13" s="18">
        <f t="shared" si="0"/>
        <v>0</v>
      </c>
      <c r="AS13" s="18">
        <f t="shared" si="0"/>
        <v>2</v>
      </c>
      <c r="AT13" s="18">
        <f t="shared" si="0"/>
        <v>32</v>
      </c>
      <c r="AU13" s="18">
        <f t="shared" si="0"/>
        <v>6</v>
      </c>
    </row>
    <row r="14" spans="1:69" x14ac:dyDescent="0.35">
      <c r="A14" s="1" t="s">
        <v>24</v>
      </c>
      <c r="B14" s="1">
        <v>12</v>
      </c>
      <c r="C14" s="1" t="s">
        <v>37</v>
      </c>
      <c r="D14" s="1" t="s">
        <v>35</v>
      </c>
      <c r="E14" s="3" t="s">
        <v>21</v>
      </c>
      <c r="F14" s="4">
        <v>1</v>
      </c>
      <c r="G14" s="4">
        <v>1</v>
      </c>
      <c r="H14" s="4">
        <v>0</v>
      </c>
      <c r="I14" s="4">
        <v>0</v>
      </c>
      <c r="J14" s="4">
        <v>1</v>
      </c>
      <c r="K14" s="4">
        <v>0</v>
      </c>
      <c r="L14" s="4">
        <v>9</v>
      </c>
      <c r="M14" s="4">
        <v>0</v>
      </c>
      <c r="N14" s="4">
        <v>0</v>
      </c>
      <c r="O14" s="4">
        <v>0</v>
      </c>
      <c r="P14" s="4">
        <v>3</v>
      </c>
      <c r="Q14" s="4">
        <v>0</v>
      </c>
      <c r="R14" s="4">
        <v>0</v>
      </c>
      <c r="S14" s="4">
        <v>0</v>
      </c>
      <c r="T14" s="4">
        <v>16</v>
      </c>
      <c r="U14" s="4">
        <v>3</v>
      </c>
      <c r="V14" s="4">
        <v>0</v>
      </c>
      <c r="W14" s="4">
        <v>0</v>
      </c>
      <c r="X14" s="4">
        <v>3</v>
      </c>
      <c r="Y14" s="4">
        <v>2</v>
      </c>
      <c r="Z14" s="15">
        <f t="shared" si="2"/>
        <v>39</v>
      </c>
      <c r="AB14" s="18">
        <f t="shared" si="3"/>
        <v>2.5641025641025639</v>
      </c>
      <c r="AC14" s="18">
        <f t="shared" si="0"/>
        <v>2.5641025641025639</v>
      </c>
      <c r="AD14" s="18">
        <f t="shared" si="0"/>
        <v>0</v>
      </c>
      <c r="AE14" s="18">
        <f t="shared" si="0"/>
        <v>0</v>
      </c>
      <c r="AF14" s="18">
        <f t="shared" si="0"/>
        <v>2.5641025641025639</v>
      </c>
      <c r="AG14" s="18">
        <f t="shared" si="0"/>
        <v>0</v>
      </c>
      <c r="AH14" s="18">
        <f t="shared" si="0"/>
        <v>23.076923076923077</v>
      </c>
      <c r="AI14" s="18">
        <f t="shared" si="0"/>
        <v>0</v>
      </c>
      <c r="AJ14" s="18">
        <f t="shared" si="0"/>
        <v>0</v>
      </c>
      <c r="AK14" s="18">
        <f t="shared" si="0"/>
        <v>0</v>
      </c>
      <c r="AL14" s="18">
        <f t="shared" si="0"/>
        <v>7.6923076923076925</v>
      </c>
      <c r="AM14" s="18">
        <f t="shared" si="0"/>
        <v>0</v>
      </c>
      <c r="AN14" s="18">
        <f t="shared" si="0"/>
        <v>0</v>
      </c>
      <c r="AO14" s="18">
        <f t="shared" si="0"/>
        <v>0</v>
      </c>
      <c r="AP14" s="18">
        <f t="shared" si="0"/>
        <v>41.025641025641022</v>
      </c>
      <c r="AQ14" s="18">
        <f t="shared" si="0"/>
        <v>7.6923076923076925</v>
      </c>
      <c r="AR14" s="18">
        <f t="shared" si="0"/>
        <v>0</v>
      </c>
      <c r="AS14" s="18">
        <f t="shared" si="0"/>
        <v>0</v>
      </c>
      <c r="AT14" s="18">
        <f t="shared" si="0"/>
        <v>7.6923076923076925</v>
      </c>
      <c r="AU14" s="18">
        <f t="shared" si="0"/>
        <v>5.1282051282051277</v>
      </c>
    </row>
    <row r="15" spans="1:69" x14ac:dyDescent="0.35">
      <c r="A15" s="1" t="s">
        <v>18</v>
      </c>
      <c r="B15" s="1">
        <v>13</v>
      </c>
      <c r="C15" s="1" t="s">
        <v>38</v>
      </c>
      <c r="D15" s="1" t="s">
        <v>39</v>
      </c>
      <c r="E15" s="3" t="s">
        <v>21</v>
      </c>
      <c r="F15" s="4">
        <v>3</v>
      </c>
      <c r="G15" s="4">
        <v>0</v>
      </c>
      <c r="H15" s="4">
        <v>0</v>
      </c>
      <c r="I15" s="4">
        <v>0</v>
      </c>
      <c r="J15" s="4">
        <v>3</v>
      </c>
      <c r="K15" s="4">
        <v>1</v>
      </c>
      <c r="L15" s="4">
        <v>2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2</v>
      </c>
      <c r="U15" s="4">
        <v>16</v>
      </c>
      <c r="V15" s="4">
        <v>0</v>
      </c>
      <c r="W15" s="4">
        <v>0</v>
      </c>
      <c r="X15" s="4">
        <v>2</v>
      </c>
      <c r="Y15" s="4">
        <v>0</v>
      </c>
      <c r="Z15" s="15">
        <f t="shared" si="2"/>
        <v>29</v>
      </c>
      <c r="AB15" s="18">
        <f t="shared" si="3"/>
        <v>10.344827586206897</v>
      </c>
      <c r="AC15" s="18">
        <f t="shared" si="0"/>
        <v>0</v>
      </c>
      <c r="AD15" s="18">
        <f t="shared" si="0"/>
        <v>0</v>
      </c>
      <c r="AE15" s="18">
        <f t="shared" si="0"/>
        <v>0</v>
      </c>
      <c r="AF15" s="18">
        <f t="shared" si="0"/>
        <v>10.344827586206897</v>
      </c>
      <c r="AG15" s="18">
        <f t="shared" si="0"/>
        <v>3.4482758620689653</v>
      </c>
      <c r="AH15" s="18">
        <f t="shared" si="0"/>
        <v>6.8965517241379306</v>
      </c>
      <c r="AI15" s="18">
        <f t="shared" si="0"/>
        <v>0</v>
      </c>
      <c r="AJ15" s="18">
        <f t="shared" si="0"/>
        <v>0</v>
      </c>
      <c r="AK15" s="18">
        <f t="shared" si="0"/>
        <v>0</v>
      </c>
      <c r="AL15" s="18">
        <f t="shared" si="0"/>
        <v>0</v>
      </c>
      <c r="AM15" s="18">
        <f t="shared" si="0"/>
        <v>0</v>
      </c>
      <c r="AN15" s="18">
        <f t="shared" si="0"/>
        <v>0</v>
      </c>
      <c r="AO15" s="18">
        <f t="shared" si="0"/>
        <v>0</v>
      </c>
      <c r="AP15" s="18">
        <f t="shared" si="0"/>
        <v>6.8965517241379306</v>
      </c>
      <c r="AQ15" s="18">
        <f t="shared" si="0"/>
        <v>55.172413793103445</v>
      </c>
      <c r="AR15" s="18">
        <f t="shared" ref="AR15:AR78" si="7">V15/$Z15*100</f>
        <v>0</v>
      </c>
      <c r="AS15" s="18">
        <f t="shared" ref="AS15:AS78" si="8">W15/$Z15*100</f>
        <v>0</v>
      </c>
      <c r="AT15" s="18">
        <f t="shared" ref="AT15:AT78" si="9">X15/$Z15*100</f>
        <v>6.8965517241379306</v>
      </c>
      <c r="AU15" s="18">
        <f t="shared" ref="AU15:AU78" si="10">Y15/$Z15*100</f>
        <v>0</v>
      </c>
      <c r="AW15" s="19">
        <f>AVERAGE(AB15:AB17)</f>
        <v>4.3029767167698205</v>
      </c>
      <c r="AX15" s="19">
        <f t="shared" ref="AX15:BP15" si="11">AVERAGE(AC15:AC17)</f>
        <v>0</v>
      </c>
      <c r="AY15" s="19">
        <f t="shared" si="11"/>
        <v>0</v>
      </c>
      <c r="AZ15" s="19">
        <f t="shared" si="11"/>
        <v>0.85470085470085466</v>
      </c>
      <c r="BA15" s="19">
        <f t="shared" si="11"/>
        <v>12.422634836427939</v>
      </c>
      <c r="BB15" s="19">
        <f t="shared" si="11"/>
        <v>1.1494252873563218</v>
      </c>
      <c r="BC15" s="19">
        <f t="shared" si="11"/>
        <v>12.555260831122901</v>
      </c>
      <c r="BD15" s="19">
        <f t="shared" si="11"/>
        <v>0.85470085470085466</v>
      </c>
      <c r="BE15" s="19">
        <f t="shared" si="11"/>
        <v>0</v>
      </c>
      <c r="BF15" s="19">
        <f t="shared" si="11"/>
        <v>0</v>
      </c>
      <c r="BG15" s="19">
        <f t="shared" si="11"/>
        <v>3.8461538461538463</v>
      </c>
      <c r="BH15" s="19">
        <f t="shared" si="11"/>
        <v>0</v>
      </c>
      <c r="BI15" s="19">
        <f t="shared" si="11"/>
        <v>0</v>
      </c>
      <c r="BJ15" s="19">
        <f t="shared" si="11"/>
        <v>0</v>
      </c>
      <c r="BK15" s="19">
        <f t="shared" si="11"/>
        <v>10.84585912172119</v>
      </c>
      <c r="BL15" s="19">
        <f t="shared" si="11"/>
        <v>47.877984084880637</v>
      </c>
      <c r="BM15" s="19">
        <f t="shared" si="11"/>
        <v>0</v>
      </c>
      <c r="BN15" s="19">
        <f t="shared" si="11"/>
        <v>0</v>
      </c>
      <c r="BO15" s="19">
        <f t="shared" si="11"/>
        <v>5.290303566165635</v>
      </c>
      <c r="BP15" s="19">
        <f t="shared" si="11"/>
        <v>0</v>
      </c>
      <c r="BQ15" s="19">
        <f>SUM(AW15:BP15)</f>
        <v>100</v>
      </c>
    </row>
    <row r="16" spans="1:69" x14ac:dyDescent="0.35">
      <c r="A16" s="1" t="s">
        <v>18</v>
      </c>
      <c r="B16" s="1">
        <v>14</v>
      </c>
      <c r="C16" s="1" t="s">
        <v>40</v>
      </c>
      <c r="D16" s="1" t="s">
        <v>39</v>
      </c>
      <c r="E16" s="3" t="s">
        <v>21</v>
      </c>
      <c r="F16" s="4">
        <v>1</v>
      </c>
      <c r="G16" s="4">
        <v>0</v>
      </c>
      <c r="H16" s="4">
        <v>0</v>
      </c>
      <c r="I16" s="4">
        <v>1</v>
      </c>
      <c r="J16" s="4">
        <v>9</v>
      </c>
      <c r="K16" s="4">
        <v>0</v>
      </c>
      <c r="L16" s="4">
        <v>6</v>
      </c>
      <c r="M16" s="4">
        <v>1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7</v>
      </c>
      <c r="U16" s="4">
        <v>12</v>
      </c>
      <c r="V16" s="4">
        <v>0</v>
      </c>
      <c r="W16" s="4">
        <v>0</v>
      </c>
      <c r="X16" s="4">
        <v>2</v>
      </c>
      <c r="Y16" s="4">
        <v>0</v>
      </c>
      <c r="Z16" s="15">
        <f t="shared" si="2"/>
        <v>39</v>
      </c>
      <c r="AB16" s="18">
        <f t="shared" si="3"/>
        <v>2.5641025641025639</v>
      </c>
      <c r="AC16" s="18">
        <f t="shared" ref="AC16:AC79" si="12">G16/$Z16*100</f>
        <v>0</v>
      </c>
      <c r="AD16" s="18">
        <f t="shared" ref="AD16:AD79" si="13">H16/$Z16*100</f>
        <v>0</v>
      </c>
      <c r="AE16" s="18">
        <f t="shared" ref="AE16:AE79" si="14">I16/$Z16*100</f>
        <v>2.5641025641025639</v>
      </c>
      <c r="AF16" s="18">
        <f t="shared" ref="AF16:AF79" si="15">J16/$Z16*100</f>
        <v>23.076923076923077</v>
      </c>
      <c r="AG16" s="18">
        <f t="shared" ref="AG16:AG79" si="16">K16/$Z16*100</f>
        <v>0</v>
      </c>
      <c r="AH16" s="18">
        <f t="shared" ref="AH16:AH79" si="17">L16/$Z16*100</f>
        <v>15.384615384615385</v>
      </c>
      <c r="AI16" s="18">
        <f t="shared" ref="AI16:AI79" si="18">M16/$Z16*100</f>
        <v>2.5641025641025639</v>
      </c>
      <c r="AJ16" s="18">
        <f t="shared" ref="AJ16:AJ79" si="19">N16/$Z16*100</f>
        <v>0</v>
      </c>
      <c r="AK16" s="18">
        <f t="shared" ref="AK16:AK79" si="20">O16/$Z16*100</f>
        <v>0</v>
      </c>
      <c r="AL16" s="18">
        <f t="shared" ref="AL16:AL79" si="21">P16/$Z16*100</f>
        <v>0</v>
      </c>
      <c r="AM16" s="18">
        <f t="shared" ref="AM16:AM79" si="22">Q16/$Z16*100</f>
        <v>0</v>
      </c>
      <c r="AN16" s="18">
        <f t="shared" ref="AN16:AN79" si="23">R16/$Z16*100</f>
        <v>0</v>
      </c>
      <c r="AO16" s="18">
        <f t="shared" ref="AO16:AO79" si="24">S16/$Z16*100</f>
        <v>0</v>
      </c>
      <c r="AP16" s="18">
        <f t="shared" ref="AP16:AP79" si="25">T16/$Z16*100</f>
        <v>17.948717948717949</v>
      </c>
      <c r="AQ16" s="18">
        <f t="shared" ref="AQ16:AQ79" si="26">U16/$Z16*100</f>
        <v>30.76923076923077</v>
      </c>
      <c r="AR16" s="18">
        <f t="shared" si="7"/>
        <v>0</v>
      </c>
      <c r="AS16" s="18">
        <f t="shared" si="8"/>
        <v>0</v>
      </c>
      <c r="AT16" s="18">
        <f t="shared" si="9"/>
        <v>5.1282051282051277</v>
      </c>
      <c r="AU16" s="18">
        <f t="shared" si="10"/>
        <v>0</v>
      </c>
    </row>
    <row r="17" spans="1:69" x14ac:dyDescent="0.35">
      <c r="A17" s="1" t="s">
        <v>18</v>
      </c>
      <c r="B17" s="1">
        <v>15</v>
      </c>
      <c r="C17" s="1" t="s">
        <v>41</v>
      </c>
      <c r="D17" s="1" t="s">
        <v>39</v>
      </c>
      <c r="E17" s="3" t="s">
        <v>21</v>
      </c>
      <c r="F17" s="4">
        <v>0</v>
      </c>
      <c r="G17" s="4">
        <v>0</v>
      </c>
      <c r="H17" s="4">
        <v>0</v>
      </c>
      <c r="I17" s="4">
        <v>0</v>
      </c>
      <c r="J17" s="4">
        <v>1</v>
      </c>
      <c r="K17" s="4">
        <v>0</v>
      </c>
      <c r="L17" s="4">
        <v>4</v>
      </c>
      <c r="M17" s="4">
        <v>0</v>
      </c>
      <c r="N17" s="4">
        <v>0</v>
      </c>
      <c r="O17" s="4">
        <v>0</v>
      </c>
      <c r="P17" s="4">
        <v>3</v>
      </c>
      <c r="Q17" s="4">
        <v>0</v>
      </c>
      <c r="R17" s="4">
        <v>0</v>
      </c>
      <c r="S17" s="4">
        <v>0</v>
      </c>
      <c r="T17" s="4">
        <v>2</v>
      </c>
      <c r="U17" s="4">
        <v>15</v>
      </c>
      <c r="V17" s="4">
        <v>0</v>
      </c>
      <c r="W17" s="4">
        <v>0</v>
      </c>
      <c r="X17" s="4">
        <v>1</v>
      </c>
      <c r="Y17" s="4">
        <v>0</v>
      </c>
      <c r="Z17" s="15">
        <f t="shared" si="2"/>
        <v>26</v>
      </c>
      <c r="AB17" s="18">
        <f t="shared" si="3"/>
        <v>0</v>
      </c>
      <c r="AC17" s="18">
        <f t="shared" si="12"/>
        <v>0</v>
      </c>
      <c r="AD17" s="18">
        <f t="shared" si="13"/>
        <v>0</v>
      </c>
      <c r="AE17" s="18">
        <f t="shared" si="14"/>
        <v>0</v>
      </c>
      <c r="AF17" s="18">
        <f t="shared" si="15"/>
        <v>3.8461538461538463</v>
      </c>
      <c r="AG17" s="18">
        <f t="shared" si="16"/>
        <v>0</v>
      </c>
      <c r="AH17" s="18">
        <f t="shared" si="17"/>
        <v>15.384615384615385</v>
      </c>
      <c r="AI17" s="18">
        <f t="shared" si="18"/>
        <v>0</v>
      </c>
      <c r="AJ17" s="18">
        <f t="shared" si="19"/>
        <v>0</v>
      </c>
      <c r="AK17" s="18">
        <f t="shared" si="20"/>
        <v>0</v>
      </c>
      <c r="AL17" s="18">
        <f t="shared" si="21"/>
        <v>11.538461538461538</v>
      </c>
      <c r="AM17" s="18">
        <f t="shared" si="22"/>
        <v>0</v>
      </c>
      <c r="AN17" s="18">
        <f t="shared" si="23"/>
        <v>0</v>
      </c>
      <c r="AO17" s="18">
        <f t="shared" si="24"/>
        <v>0</v>
      </c>
      <c r="AP17" s="18">
        <f t="shared" si="25"/>
        <v>7.6923076923076925</v>
      </c>
      <c r="AQ17" s="18">
        <f t="shared" si="26"/>
        <v>57.692307692307686</v>
      </c>
      <c r="AR17" s="18">
        <f t="shared" si="7"/>
        <v>0</v>
      </c>
      <c r="AS17" s="18">
        <f t="shared" si="8"/>
        <v>0</v>
      </c>
      <c r="AT17" s="18">
        <f t="shared" si="9"/>
        <v>3.8461538461538463</v>
      </c>
      <c r="AU17" s="18">
        <f t="shared" si="10"/>
        <v>0</v>
      </c>
    </row>
    <row r="18" spans="1:69" x14ac:dyDescent="0.35">
      <c r="A18" s="1" t="s">
        <v>42</v>
      </c>
      <c r="B18" s="1">
        <v>16</v>
      </c>
      <c r="C18" s="1" t="s">
        <v>43</v>
      </c>
      <c r="D18" s="1" t="s">
        <v>44</v>
      </c>
      <c r="E18" s="3" t="s">
        <v>27</v>
      </c>
      <c r="F18" s="4">
        <v>23</v>
      </c>
      <c r="G18" s="4">
        <v>0</v>
      </c>
      <c r="H18" s="4">
        <v>0</v>
      </c>
      <c r="I18" s="4">
        <v>0</v>
      </c>
      <c r="J18" s="4">
        <v>1</v>
      </c>
      <c r="K18" s="4">
        <v>1</v>
      </c>
      <c r="L18" s="4">
        <v>9</v>
      </c>
      <c r="M18" s="4">
        <v>0</v>
      </c>
      <c r="N18" s="4">
        <v>0</v>
      </c>
      <c r="O18" s="4">
        <v>0</v>
      </c>
      <c r="P18" s="4">
        <v>0</v>
      </c>
      <c r="Q18" s="4">
        <v>1</v>
      </c>
      <c r="R18" s="4">
        <v>0</v>
      </c>
      <c r="S18" s="4">
        <v>1</v>
      </c>
      <c r="T18" s="4">
        <v>0</v>
      </c>
      <c r="U18" s="4">
        <v>5</v>
      </c>
      <c r="V18" s="4">
        <v>0</v>
      </c>
      <c r="W18" s="4">
        <v>0</v>
      </c>
      <c r="X18" s="4">
        <v>8</v>
      </c>
      <c r="Y18" s="4">
        <v>0</v>
      </c>
      <c r="Z18" s="15">
        <f t="shared" si="2"/>
        <v>49</v>
      </c>
      <c r="AB18" s="18">
        <f t="shared" si="3"/>
        <v>46.938775510204081</v>
      </c>
      <c r="AC18" s="18">
        <f t="shared" si="12"/>
        <v>0</v>
      </c>
      <c r="AD18" s="18">
        <f t="shared" si="13"/>
        <v>0</v>
      </c>
      <c r="AE18" s="18">
        <f t="shared" si="14"/>
        <v>0</v>
      </c>
      <c r="AF18" s="18">
        <f t="shared" si="15"/>
        <v>2.0408163265306123</v>
      </c>
      <c r="AG18" s="18">
        <f t="shared" si="16"/>
        <v>2.0408163265306123</v>
      </c>
      <c r="AH18" s="18">
        <f t="shared" si="17"/>
        <v>18.367346938775512</v>
      </c>
      <c r="AI18" s="18">
        <f t="shared" si="18"/>
        <v>0</v>
      </c>
      <c r="AJ18" s="18">
        <f t="shared" si="19"/>
        <v>0</v>
      </c>
      <c r="AK18" s="18">
        <f t="shared" si="20"/>
        <v>0</v>
      </c>
      <c r="AL18" s="18">
        <f t="shared" si="21"/>
        <v>0</v>
      </c>
      <c r="AM18" s="18">
        <f t="shared" si="22"/>
        <v>2.0408163265306123</v>
      </c>
      <c r="AN18" s="18">
        <f t="shared" si="23"/>
        <v>0</v>
      </c>
      <c r="AO18" s="18">
        <f t="shared" si="24"/>
        <v>2.0408163265306123</v>
      </c>
      <c r="AP18" s="18">
        <f t="shared" si="25"/>
        <v>0</v>
      </c>
      <c r="AQ18" s="18">
        <f t="shared" si="26"/>
        <v>10.204081632653061</v>
      </c>
      <c r="AR18" s="18">
        <f t="shared" si="7"/>
        <v>0</v>
      </c>
      <c r="AS18" s="18">
        <f t="shared" si="8"/>
        <v>0</v>
      </c>
      <c r="AT18" s="18">
        <f t="shared" si="9"/>
        <v>16.326530612244898</v>
      </c>
      <c r="AU18" s="18">
        <f t="shared" si="10"/>
        <v>0</v>
      </c>
      <c r="AW18" s="19">
        <f>AVERAGE(AB18:AB20)</f>
        <v>28.828076685219543</v>
      </c>
      <c r="AX18" s="19">
        <f t="shared" ref="AX18:BP18" si="27">AVERAGE(AC18:AC20)</f>
        <v>0</v>
      </c>
      <c r="AY18" s="19">
        <f t="shared" si="27"/>
        <v>0</v>
      </c>
      <c r="AZ18" s="19">
        <f t="shared" si="27"/>
        <v>1.2121212121212122</v>
      </c>
      <c r="BA18" s="19">
        <f t="shared" si="27"/>
        <v>2.3279993815708102</v>
      </c>
      <c r="BB18" s="19">
        <f t="shared" si="27"/>
        <v>1.721938775510204</v>
      </c>
      <c r="BC18" s="19">
        <f t="shared" si="27"/>
        <v>34.815630797773657</v>
      </c>
      <c r="BD18" s="19">
        <f t="shared" si="27"/>
        <v>0</v>
      </c>
      <c r="BE18" s="19">
        <f t="shared" si="27"/>
        <v>0</v>
      </c>
      <c r="BF18" s="19">
        <f t="shared" si="27"/>
        <v>0</v>
      </c>
      <c r="BG18" s="19">
        <f t="shared" si="27"/>
        <v>0</v>
      </c>
      <c r="BH18" s="19">
        <f t="shared" si="27"/>
        <v>0.68027210884353739</v>
      </c>
      <c r="BI18" s="19">
        <f t="shared" si="27"/>
        <v>0</v>
      </c>
      <c r="BJ18" s="19">
        <f t="shared" si="27"/>
        <v>1.721938775510204</v>
      </c>
      <c r="BK18" s="19">
        <f t="shared" si="27"/>
        <v>0</v>
      </c>
      <c r="BL18" s="19">
        <f t="shared" si="27"/>
        <v>13.628633271490415</v>
      </c>
      <c r="BM18" s="19">
        <f t="shared" si="27"/>
        <v>0</v>
      </c>
      <c r="BN18" s="19">
        <f t="shared" si="27"/>
        <v>0</v>
      </c>
      <c r="BO18" s="19">
        <f t="shared" si="27"/>
        <v>15.063388991960421</v>
      </c>
      <c r="BP18" s="19">
        <f t="shared" si="27"/>
        <v>0</v>
      </c>
      <c r="BQ18" s="19">
        <f>SUM(AW18:BP18)</f>
        <v>100.00000000000001</v>
      </c>
    </row>
    <row r="19" spans="1:69" x14ac:dyDescent="0.35">
      <c r="A19" s="1" t="s">
        <v>42</v>
      </c>
      <c r="B19" s="1">
        <v>17</v>
      </c>
      <c r="C19" s="1" t="s">
        <v>45</v>
      </c>
      <c r="D19" s="1" t="s">
        <v>44</v>
      </c>
      <c r="E19" s="3" t="s">
        <v>27</v>
      </c>
      <c r="F19" s="4">
        <v>8</v>
      </c>
      <c r="G19" s="4">
        <v>0</v>
      </c>
      <c r="H19" s="4">
        <v>0</v>
      </c>
      <c r="I19" s="4">
        <v>0</v>
      </c>
      <c r="J19" s="4">
        <v>1</v>
      </c>
      <c r="K19" s="4">
        <v>1</v>
      </c>
      <c r="L19" s="4">
        <v>13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</v>
      </c>
      <c r="T19" s="4">
        <v>0</v>
      </c>
      <c r="U19" s="4">
        <v>4</v>
      </c>
      <c r="V19" s="4">
        <v>0</v>
      </c>
      <c r="W19" s="4">
        <v>0</v>
      </c>
      <c r="X19" s="4">
        <v>4</v>
      </c>
      <c r="Y19" s="4">
        <v>0</v>
      </c>
      <c r="Z19" s="15">
        <f t="shared" si="2"/>
        <v>32</v>
      </c>
      <c r="AB19" s="18">
        <f t="shared" si="3"/>
        <v>25</v>
      </c>
      <c r="AC19" s="18">
        <f t="shared" si="12"/>
        <v>0</v>
      </c>
      <c r="AD19" s="18">
        <f t="shared" si="13"/>
        <v>0</v>
      </c>
      <c r="AE19" s="18">
        <f t="shared" si="14"/>
        <v>0</v>
      </c>
      <c r="AF19" s="18">
        <f t="shared" si="15"/>
        <v>3.125</v>
      </c>
      <c r="AG19" s="18">
        <f t="shared" si="16"/>
        <v>3.125</v>
      </c>
      <c r="AH19" s="18">
        <f t="shared" si="17"/>
        <v>40.625</v>
      </c>
      <c r="AI19" s="18">
        <f t="shared" si="18"/>
        <v>0</v>
      </c>
      <c r="AJ19" s="18">
        <f t="shared" si="19"/>
        <v>0</v>
      </c>
      <c r="AK19" s="18">
        <f t="shared" si="20"/>
        <v>0</v>
      </c>
      <c r="AL19" s="18">
        <f t="shared" si="21"/>
        <v>0</v>
      </c>
      <c r="AM19" s="18">
        <f t="shared" si="22"/>
        <v>0</v>
      </c>
      <c r="AN19" s="18">
        <f t="shared" si="23"/>
        <v>0</v>
      </c>
      <c r="AO19" s="18">
        <f t="shared" si="24"/>
        <v>3.125</v>
      </c>
      <c r="AP19" s="18">
        <f t="shared" si="25"/>
        <v>0</v>
      </c>
      <c r="AQ19" s="18">
        <f t="shared" si="26"/>
        <v>12.5</v>
      </c>
      <c r="AR19" s="18">
        <f t="shared" si="7"/>
        <v>0</v>
      </c>
      <c r="AS19" s="18">
        <f t="shared" si="8"/>
        <v>0</v>
      </c>
      <c r="AT19" s="18">
        <f t="shared" si="9"/>
        <v>12.5</v>
      </c>
      <c r="AU19" s="18">
        <f t="shared" si="10"/>
        <v>0</v>
      </c>
    </row>
    <row r="20" spans="1:69" x14ac:dyDescent="0.35">
      <c r="A20" s="1" t="s">
        <v>42</v>
      </c>
      <c r="B20" s="1">
        <v>18</v>
      </c>
      <c r="C20" s="1" t="s">
        <v>46</v>
      </c>
      <c r="D20" s="1" t="s">
        <v>44</v>
      </c>
      <c r="E20" s="3" t="s">
        <v>27</v>
      </c>
      <c r="F20" s="4">
        <v>8</v>
      </c>
      <c r="G20" s="4">
        <v>0</v>
      </c>
      <c r="H20" s="4">
        <v>0</v>
      </c>
      <c r="I20" s="4">
        <v>2</v>
      </c>
      <c r="J20" s="4">
        <v>1</v>
      </c>
      <c r="K20" s="4">
        <v>0</v>
      </c>
      <c r="L20" s="4">
        <v>25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10</v>
      </c>
      <c r="V20" s="4">
        <v>0</v>
      </c>
      <c r="W20" s="4">
        <v>0</v>
      </c>
      <c r="X20" s="4">
        <v>9</v>
      </c>
      <c r="Y20" s="4">
        <v>0</v>
      </c>
      <c r="Z20" s="15">
        <f t="shared" si="2"/>
        <v>55</v>
      </c>
      <c r="AB20" s="18">
        <f t="shared" si="3"/>
        <v>14.545454545454545</v>
      </c>
      <c r="AC20" s="18">
        <f t="shared" si="12"/>
        <v>0</v>
      </c>
      <c r="AD20" s="18">
        <f t="shared" si="13"/>
        <v>0</v>
      </c>
      <c r="AE20" s="18">
        <f t="shared" si="14"/>
        <v>3.6363636363636362</v>
      </c>
      <c r="AF20" s="18">
        <f t="shared" si="15"/>
        <v>1.8181818181818181</v>
      </c>
      <c r="AG20" s="18">
        <f t="shared" si="16"/>
        <v>0</v>
      </c>
      <c r="AH20" s="18">
        <f t="shared" si="17"/>
        <v>45.454545454545453</v>
      </c>
      <c r="AI20" s="18">
        <f t="shared" si="18"/>
        <v>0</v>
      </c>
      <c r="AJ20" s="18">
        <f t="shared" si="19"/>
        <v>0</v>
      </c>
      <c r="AK20" s="18">
        <f t="shared" si="20"/>
        <v>0</v>
      </c>
      <c r="AL20" s="18">
        <f t="shared" si="21"/>
        <v>0</v>
      </c>
      <c r="AM20" s="18">
        <f t="shared" si="22"/>
        <v>0</v>
      </c>
      <c r="AN20" s="18">
        <f t="shared" si="23"/>
        <v>0</v>
      </c>
      <c r="AO20" s="18">
        <f t="shared" si="24"/>
        <v>0</v>
      </c>
      <c r="AP20" s="18">
        <f t="shared" si="25"/>
        <v>0</v>
      </c>
      <c r="AQ20" s="18">
        <f t="shared" si="26"/>
        <v>18.181818181818183</v>
      </c>
      <c r="AR20" s="18">
        <f t="shared" si="7"/>
        <v>0</v>
      </c>
      <c r="AS20" s="18">
        <f t="shared" si="8"/>
        <v>0</v>
      </c>
      <c r="AT20" s="18">
        <f t="shared" si="9"/>
        <v>16.363636363636363</v>
      </c>
      <c r="AU20" s="18">
        <f t="shared" si="10"/>
        <v>0</v>
      </c>
    </row>
    <row r="21" spans="1:69" x14ac:dyDescent="0.35">
      <c r="A21" s="1" t="s">
        <v>18</v>
      </c>
      <c r="B21" s="1">
        <v>19</v>
      </c>
      <c r="C21" s="1" t="s">
        <v>47</v>
      </c>
      <c r="D21" s="1" t="s">
        <v>48</v>
      </c>
      <c r="E21" s="3" t="s">
        <v>21</v>
      </c>
      <c r="F21" s="4">
        <v>5</v>
      </c>
      <c r="G21" s="4">
        <v>0</v>
      </c>
      <c r="H21" s="4">
        <v>0</v>
      </c>
      <c r="I21" s="4">
        <v>0</v>
      </c>
      <c r="J21" s="4">
        <v>3</v>
      </c>
      <c r="K21" s="4">
        <v>0</v>
      </c>
      <c r="L21" s="4">
        <v>7</v>
      </c>
      <c r="M21" s="4">
        <v>1</v>
      </c>
      <c r="N21" s="4">
        <v>0</v>
      </c>
      <c r="O21" s="4">
        <v>0</v>
      </c>
      <c r="P21" s="4">
        <v>0</v>
      </c>
      <c r="Q21" s="4">
        <v>1</v>
      </c>
      <c r="R21" s="4">
        <v>0</v>
      </c>
      <c r="S21" s="4">
        <v>0</v>
      </c>
      <c r="T21" s="4">
        <v>1</v>
      </c>
      <c r="U21" s="4">
        <v>15</v>
      </c>
      <c r="V21" s="4">
        <v>0</v>
      </c>
      <c r="W21" s="4">
        <v>6</v>
      </c>
      <c r="X21" s="4">
        <v>0</v>
      </c>
      <c r="Y21" s="4">
        <v>0</v>
      </c>
      <c r="Z21" s="15">
        <f t="shared" si="2"/>
        <v>39</v>
      </c>
      <c r="AB21" s="18">
        <f t="shared" si="3"/>
        <v>12.820512820512819</v>
      </c>
      <c r="AC21" s="18">
        <f t="shared" si="12"/>
        <v>0</v>
      </c>
      <c r="AD21" s="18">
        <f t="shared" si="13"/>
        <v>0</v>
      </c>
      <c r="AE21" s="18">
        <f t="shared" si="14"/>
        <v>0</v>
      </c>
      <c r="AF21" s="18">
        <f t="shared" si="15"/>
        <v>7.6923076923076925</v>
      </c>
      <c r="AG21" s="18">
        <f t="shared" si="16"/>
        <v>0</v>
      </c>
      <c r="AH21" s="18">
        <f t="shared" si="17"/>
        <v>17.948717948717949</v>
      </c>
      <c r="AI21" s="18">
        <f t="shared" si="18"/>
        <v>2.5641025641025639</v>
      </c>
      <c r="AJ21" s="18">
        <f t="shared" si="19"/>
        <v>0</v>
      </c>
      <c r="AK21" s="18">
        <f t="shared" si="20"/>
        <v>0</v>
      </c>
      <c r="AL21" s="18">
        <f t="shared" si="21"/>
        <v>0</v>
      </c>
      <c r="AM21" s="18">
        <f t="shared" si="22"/>
        <v>2.5641025641025639</v>
      </c>
      <c r="AN21" s="18">
        <f t="shared" si="23"/>
        <v>0</v>
      </c>
      <c r="AO21" s="18">
        <f t="shared" si="24"/>
        <v>0</v>
      </c>
      <c r="AP21" s="18">
        <f t="shared" si="25"/>
        <v>2.5641025641025639</v>
      </c>
      <c r="AQ21" s="18">
        <f t="shared" si="26"/>
        <v>38.461538461538467</v>
      </c>
      <c r="AR21" s="18">
        <f t="shared" si="7"/>
        <v>0</v>
      </c>
      <c r="AS21" s="18">
        <f t="shared" si="8"/>
        <v>15.384615384615385</v>
      </c>
      <c r="AT21" s="18">
        <f t="shared" si="9"/>
        <v>0</v>
      </c>
      <c r="AU21" s="18">
        <f t="shared" si="10"/>
        <v>0</v>
      </c>
      <c r="AW21" s="19">
        <f>AVERAGE(AB21:AB23)</f>
        <v>8.1950729009552532</v>
      </c>
      <c r="AX21" s="19">
        <f t="shared" ref="AX21:BP21" si="28">AVERAGE(AC21:AC23)</f>
        <v>0</v>
      </c>
      <c r="AY21" s="19">
        <f t="shared" si="28"/>
        <v>0</v>
      </c>
      <c r="AZ21" s="19">
        <f t="shared" si="28"/>
        <v>0</v>
      </c>
      <c r="BA21" s="19">
        <f t="shared" si="28"/>
        <v>13.139822213664516</v>
      </c>
      <c r="BB21" s="19">
        <f t="shared" si="28"/>
        <v>4.9019607843137258</v>
      </c>
      <c r="BC21" s="19">
        <f t="shared" si="28"/>
        <v>15.84940577431191</v>
      </c>
      <c r="BD21" s="19">
        <f t="shared" si="28"/>
        <v>0.85470085470085466</v>
      </c>
      <c r="BE21" s="19">
        <f t="shared" si="28"/>
        <v>0</v>
      </c>
      <c r="BF21" s="19">
        <f t="shared" si="28"/>
        <v>0</v>
      </c>
      <c r="BG21" s="19">
        <f t="shared" si="28"/>
        <v>0</v>
      </c>
      <c r="BH21" s="19">
        <f t="shared" si="28"/>
        <v>0.85470085470085466</v>
      </c>
      <c r="BI21" s="19">
        <f t="shared" si="28"/>
        <v>0</v>
      </c>
      <c r="BJ21" s="19">
        <f t="shared" si="28"/>
        <v>0</v>
      </c>
      <c r="BK21" s="19">
        <f t="shared" si="28"/>
        <v>9.6365114512799117</v>
      </c>
      <c r="BL21" s="19">
        <f t="shared" si="28"/>
        <v>32.386637142582082</v>
      </c>
      <c r="BM21" s="19">
        <f t="shared" si="28"/>
        <v>0</v>
      </c>
      <c r="BN21" s="19">
        <f t="shared" si="28"/>
        <v>9.9258688745547321</v>
      </c>
      <c r="BO21" s="19">
        <f t="shared" si="28"/>
        <v>0</v>
      </c>
      <c r="BP21" s="19">
        <f t="shared" si="28"/>
        <v>4.2553191489361701</v>
      </c>
      <c r="BQ21" s="19">
        <f>SUM(AW21:BP21)</f>
        <v>100</v>
      </c>
    </row>
    <row r="22" spans="1:69" x14ac:dyDescent="0.35">
      <c r="A22" s="1" t="s">
        <v>18</v>
      </c>
      <c r="B22" s="1">
        <v>20</v>
      </c>
      <c r="C22" s="1" t="s">
        <v>49</v>
      </c>
      <c r="D22" s="1" t="s">
        <v>48</v>
      </c>
      <c r="E22" s="3" t="s">
        <v>21</v>
      </c>
      <c r="F22" s="4">
        <v>0</v>
      </c>
      <c r="G22" s="4">
        <v>0</v>
      </c>
      <c r="H22" s="4">
        <v>0</v>
      </c>
      <c r="I22" s="4">
        <v>0</v>
      </c>
      <c r="J22" s="4">
        <v>8</v>
      </c>
      <c r="K22" s="4">
        <v>0</v>
      </c>
      <c r="L22" s="4">
        <v>7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11</v>
      </c>
      <c r="U22" s="4">
        <v>11</v>
      </c>
      <c r="V22" s="4">
        <v>0</v>
      </c>
      <c r="W22" s="4">
        <v>4</v>
      </c>
      <c r="X22" s="4">
        <v>0</v>
      </c>
      <c r="Y22" s="4">
        <v>6</v>
      </c>
      <c r="Z22" s="15">
        <f t="shared" si="2"/>
        <v>47</v>
      </c>
      <c r="AB22" s="18">
        <f t="shared" si="3"/>
        <v>0</v>
      </c>
      <c r="AC22" s="18">
        <f t="shared" si="12"/>
        <v>0</v>
      </c>
      <c r="AD22" s="18">
        <f t="shared" si="13"/>
        <v>0</v>
      </c>
      <c r="AE22" s="18">
        <f t="shared" si="14"/>
        <v>0</v>
      </c>
      <c r="AF22" s="18">
        <f t="shared" si="15"/>
        <v>17.021276595744681</v>
      </c>
      <c r="AG22" s="18">
        <f t="shared" si="16"/>
        <v>0</v>
      </c>
      <c r="AH22" s="18">
        <f t="shared" si="17"/>
        <v>14.893617021276595</v>
      </c>
      <c r="AI22" s="18">
        <f t="shared" si="18"/>
        <v>0</v>
      </c>
      <c r="AJ22" s="18">
        <f t="shared" si="19"/>
        <v>0</v>
      </c>
      <c r="AK22" s="18">
        <f t="shared" si="20"/>
        <v>0</v>
      </c>
      <c r="AL22" s="18">
        <f t="shared" si="21"/>
        <v>0</v>
      </c>
      <c r="AM22" s="18">
        <f t="shared" si="22"/>
        <v>0</v>
      </c>
      <c r="AN22" s="18">
        <f t="shared" si="23"/>
        <v>0</v>
      </c>
      <c r="AO22" s="18">
        <f t="shared" si="24"/>
        <v>0</v>
      </c>
      <c r="AP22" s="18">
        <f t="shared" si="25"/>
        <v>23.404255319148938</v>
      </c>
      <c r="AQ22" s="18">
        <f t="shared" si="26"/>
        <v>23.404255319148938</v>
      </c>
      <c r="AR22" s="18">
        <f t="shared" si="7"/>
        <v>0</v>
      </c>
      <c r="AS22" s="18">
        <f t="shared" si="8"/>
        <v>8.5106382978723403</v>
      </c>
      <c r="AT22" s="18">
        <f t="shared" si="9"/>
        <v>0</v>
      </c>
      <c r="AU22" s="18">
        <f t="shared" si="10"/>
        <v>12.76595744680851</v>
      </c>
    </row>
    <row r="23" spans="1:69" x14ac:dyDescent="0.35">
      <c r="A23" s="1" t="s">
        <v>18</v>
      </c>
      <c r="B23" s="1">
        <v>21</v>
      </c>
      <c r="C23" s="1" t="s">
        <v>50</v>
      </c>
      <c r="D23" s="1" t="s">
        <v>48</v>
      </c>
      <c r="E23" s="3" t="s">
        <v>21</v>
      </c>
      <c r="F23" s="4">
        <v>4</v>
      </c>
      <c r="G23" s="4">
        <v>0</v>
      </c>
      <c r="H23" s="4">
        <v>0</v>
      </c>
      <c r="I23" s="4">
        <v>0</v>
      </c>
      <c r="J23" s="4">
        <v>5</v>
      </c>
      <c r="K23" s="4">
        <v>5</v>
      </c>
      <c r="L23" s="4">
        <v>5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1</v>
      </c>
      <c r="U23" s="4">
        <v>12</v>
      </c>
      <c r="V23" s="4">
        <v>0</v>
      </c>
      <c r="W23" s="4">
        <v>2</v>
      </c>
      <c r="X23" s="4">
        <v>0</v>
      </c>
      <c r="Y23" s="4">
        <v>0</v>
      </c>
      <c r="Z23" s="15">
        <f t="shared" si="2"/>
        <v>34</v>
      </c>
      <c r="AB23" s="18">
        <f t="shared" si="3"/>
        <v>11.76470588235294</v>
      </c>
      <c r="AC23" s="18">
        <f t="shared" si="12"/>
        <v>0</v>
      </c>
      <c r="AD23" s="18">
        <f t="shared" si="13"/>
        <v>0</v>
      </c>
      <c r="AE23" s="18">
        <f t="shared" si="14"/>
        <v>0</v>
      </c>
      <c r="AF23" s="18">
        <f t="shared" si="15"/>
        <v>14.705882352941178</v>
      </c>
      <c r="AG23" s="18">
        <f t="shared" si="16"/>
        <v>14.705882352941178</v>
      </c>
      <c r="AH23" s="18">
        <f t="shared" si="17"/>
        <v>14.705882352941178</v>
      </c>
      <c r="AI23" s="18">
        <f t="shared" si="18"/>
        <v>0</v>
      </c>
      <c r="AJ23" s="18">
        <f t="shared" si="19"/>
        <v>0</v>
      </c>
      <c r="AK23" s="18">
        <f t="shared" si="20"/>
        <v>0</v>
      </c>
      <c r="AL23" s="18">
        <f t="shared" si="21"/>
        <v>0</v>
      </c>
      <c r="AM23" s="18">
        <f t="shared" si="22"/>
        <v>0</v>
      </c>
      <c r="AN23" s="18">
        <f t="shared" si="23"/>
        <v>0</v>
      </c>
      <c r="AO23" s="18">
        <f t="shared" si="24"/>
        <v>0</v>
      </c>
      <c r="AP23" s="18">
        <f t="shared" si="25"/>
        <v>2.9411764705882351</v>
      </c>
      <c r="AQ23" s="18">
        <f t="shared" si="26"/>
        <v>35.294117647058826</v>
      </c>
      <c r="AR23" s="18">
        <f t="shared" si="7"/>
        <v>0</v>
      </c>
      <c r="AS23" s="18">
        <f t="shared" si="8"/>
        <v>5.8823529411764701</v>
      </c>
      <c r="AT23" s="18">
        <f t="shared" si="9"/>
        <v>0</v>
      </c>
      <c r="AU23" s="18">
        <f t="shared" si="10"/>
        <v>0</v>
      </c>
    </row>
    <row r="24" spans="1:69" x14ac:dyDescent="0.35">
      <c r="A24" s="1" t="s">
        <v>42</v>
      </c>
      <c r="B24" s="1">
        <v>22</v>
      </c>
      <c r="C24" s="1" t="s">
        <v>51</v>
      </c>
      <c r="D24" s="1" t="s">
        <v>52</v>
      </c>
      <c r="E24" s="3" t="s">
        <v>53</v>
      </c>
      <c r="F24" s="4">
        <v>14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22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1</v>
      </c>
      <c r="T24" s="4">
        <v>0</v>
      </c>
      <c r="U24" s="4">
        <v>1</v>
      </c>
      <c r="V24" s="4">
        <v>0</v>
      </c>
      <c r="W24" s="4">
        <v>0</v>
      </c>
      <c r="X24" s="4">
        <v>11</v>
      </c>
      <c r="Y24" s="4">
        <v>0</v>
      </c>
      <c r="Z24" s="15">
        <f t="shared" si="2"/>
        <v>49</v>
      </c>
      <c r="AB24" s="18">
        <f t="shared" si="3"/>
        <v>28.571428571428569</v>
      </c>
      <c r="AC24" s="18">
        <f t="shared" si="12"/>
        <v>0</v>
      </c>
      <c r="AD24" s="18">
        <f t="shared" si="13"/>
        <v>0</v>
      </c>
      <c r="AE24" s="18">
        <f t="shared" si="14"/>
        <v>0</v>
      </c>
      <c r="AF24" s="18">
        <f t="shared" si="15"/>
        <v>0</v>
      </c>
      <c r="AG24" s="18">
        <f t="shared" si="16"/>
        <v>0</v>
      </c>
      <c r="AH24" s="18">
        <f t="shared" si="17"/>
        <v>44.897959183673471</v>
      </c>
      <c r="AI24" s="18">
        <f t="shared" si="18"/>
        <v>0</v>
      </c>
      <c r="AJ24" s="18">
        <f t="shared" si="19"/>
        <v>0</v>
      </c>
      <c r="AK24" s="18">
        <f t="shared" si="20"/>
        <v>0</v>
      </c>
      <c r="AL24" s="18">
        <f t="shared" si="21"/>
        <v>0</v>
      </c>
      <c r="AM24" s="18">
        <f t="shared" si="22"/>
        <v>0</v>
      </c>
      <c r="AN24" s="18">
        <f t="shared" si="23"/>
        <v>0</v>
      </c>
      <c r="AO24" s="18">
        <f t="shared" si="24"/>
        <v>2.0408163265306123</v>
      </c>
      <c r="AP24" s="18">
        <f t="shared" si="25"/>
        <v>0</v>
      </c>
      <c r="AQ24" s="18">
        <f t="shared" si="26"/>
        <v>2.0408163265306123</v>
      </c>
      <c r="AR24" s="18">
        <f t="shared" si="7"/>
        <v>0</v>
      </c>
      <c r="AS24" s="18">
        <f t="shared" si="8"/>
        <v>0</v>
      </c>
      <c r="AT24" s="18">
        <f t="shared" si="9"/>
        <v>22.448979591836736</v>
      </c>
      <c r="AU24" s="18">
        <f t="shared" si="10"/>
        <v>0</v>
      </c>
      <c r="AW24" s="19">
        <f>AVERAGE(AB24:AB26)</f>
        <v>38.220704948646123</v>
      </c>
      <c r="AX24" s="19">
        <f t="shared" ref="AX24:BP24" si="29">AVERAGE(AC24:AC26)</f>
        <v>0</v>
      </c>
      <c r="AY24" s="19">
        <f t="shared" si="29"/>
        <v>0</v>
      </c>
      <c r="AZ24" s="19">
        <f t="shared" si="29"/>
        <v>0</v>
      </c>
      <c r="BA24" s="19">
        <f t="shared" si="29"/>
        <v>1.0416666666666667</v>
      </c>
      <c r="BB24" s="19">
        <f t="shared" si="29"/>
        <v>0</v>
      </c>
      <c r="BC24" s="19">
        <f t="shared" si="29"/>
        <v>33.491313191943441</v>
      </c>
      <c r="BD24" s="19">
        <f t="shared" si="29"/>
        <v>0</v>
      </c>
      <c r="BE24" s="19">
        <f t="shared" si="29"/>
        <v>0</v>
      </c>
      <c r="BF24" s="19">
        <f t="shared" si="29"/>
        <v>0</v>
      </c>
      <c r="BG24" s="19">
        <f t="shared" si="29"/>
        <v>0</v>
      </c>
      <c r="BH24" s="19">
        <f t="shared" si="29"/>
        <v>0</v>
      </c>
      <c r="BI24" s="19">
        <f t="shared" si="29"/>
        <v>0</v>
      </c>
      <c r="BJ24" s="19">
        <f t="shared" si="29"/>
        <v>1.721938775510204</v>
      </c>
      <c r="BK24" s="19">
        <f t="shared" si="29"/>
        <v>0</v>
      </c>
      <c r="BL24" s="19">
        <f t="shared" si="29"/>
        <v>3.0291283179938642</v>
      </c>
      <c r="BM24" s="19">
        <f t="shared" si="29"/>
        <v>0</v>
      </c>
      <c r="BN24" s="19">
        <f t="shared" si="29"/>
        <v>0</v>
      </c>
      <c r="BO24" s="19">
        <f t="shared" si="29"/>
        <v>14.407012805122051</v>
      </c>
      <c r="BP24" s="19">
        <f t="shared" si="29"/>
        <v>8.0882352941176467</v>
      </c>
      <c r="BQ24" s="19">
        <f>SUM(AW24:BP24)</f>
        <v>100.00000000000001</v>
      </c>
    </row>
    <row r="25" spans="1:69" x14ac:dyDescent="0.35">
      <c r="A25" s="1" t="s">
        <v>42</v>
      </c>
      <c r="B25" s="1">
        <v>23</v>
      </c>
      <c r="C25" s="1" t="s">
        <v>54</v>
      </c>
      <c r="D25" s="1" t="s">
        <v>52</v>
      </c>
      <c r="E25" s="3" t="s">
        <v>53</v>
      </c>
      <c r="F25" s="4">
        <v>15</v>
      </c>
      <c r="G25" s="4">
        <v>0</v>
      </c>
      <c r="H25" s="4">
        <v>0</v>
      </c>
      <c r="I25" s="4">
        <v>0</v>
      </c>
      <c r="J25" s="4">
        <v>1</v>
      </c>
      <c r="K25" s="4">
        <v>0</v>
      </c>
      <c r="L25" s="4">
        <v>9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1</v>
      </c>
      <c r="T25" s="4">
        <v>0</v>
      </c>
      <c r="U25" s="4">
        <v>1</v>
      </c>
      <c r="V25" s="4">
        <v>0</v>
      </c>
      <c r="W25" s="4">
        <v>0</v>
      </c>
      <c r="X25" s="4">
        <v>1</v>
      </c>
      <c r="Y25" s="4">
        <v>4</v>
      </c>
      <c r="Z25" s="15">
        <f t="shared" si="2"/>
        <v>32</v>
      </c>
      <c r="AB25" s="18">
        <f t="shared" si="3"/>
        <v>46.875</v>
      </c>
      <c r="AC25" s="18">
        <f t="shared" si="12"/>
        <v>0</v>
      </c>
      <c r="AD25" s="18">
        <f t="shared" si="13"/>
        <v>0</v>
      </c>
      <c r="AE25" s="18">
        <f t="shared" si="14"/>
        <v>0</v>
      </c>
      <c r="AF25" s="18">
        <f t="shared" si="15"/>
        <v>3.125</v>
      </c>
      <c r="AG25" s="18">
        <f t="shared" si="16"/>
        <v>0</v>
      </c>
      <c r="AH25" s="18">
        <f t="shared" si="17"/>
        <v>28.125</v>
      </c>
      <c r="AI25" s="18">
        <f t="shared" si="18"/>
        <v>0</v>
      </c>
      <c r="AJ25" s="18">
        <f t="shared" si="19"/>
        <v>0</v>
      </c>
      <c r="AK25" s="18">
        <f t="shared" si="20"/>
        <v>0</v>
      </c>
      <c r="AL25" s="18">
        <f t="shared" si="21"/>
        <v>0</v>
      </c>
      <c r="AM25" s="18">
        <f t="shared" si="22"/>
        <v>0</v>
      </c>
      <c r="AN25" s="18">
        <f t="shared" si="23"/>
        <v>0</v>
      </c>
      <c r="AO25" s="18">
        <f t="shared" si="24"/>
        <v>3.125</v>
      </c>
      <c r="AP25" s="18">
        <f t="shared" si="25"/>
        <v>0</v>
      </c>
      <c r="AQ25" s="18">
        <f t="shared" si="26"/>
        <v>3.125</v>
      </c>
      <c r="AR25" s="18">
        <f t="shared" si="7"/>
        <v>0</v>
      </c>
      <c r="AS25" s="18">
        <f t="shared" si="8"/>
        <v>0</v>
      </c>
      <c r="AT25" s="18">
        <f t="shared" si="9"/>
        <v>3.125</v>
      </c>
      <c r="AU25" s="18">
        <f t="shared" si="10"/>
        <v>12.5</v>
      </c>
    </row>
    <row r="26" spans="1:69" x14ac:dyDescent="0.35">
      <c r="A26" s="1" t="s">
        <v>42</v>
      </c>
      <c r="B26" s="1">
        <v>24</v>
      </c>
      <c r="C26" s="1" t="s">
        <v>55</v>
      </c>
      <c r="D26" s="1" t="s">
        <v>52</v>
      </c>
      <c r="E26" s="3" t="s">
        <v>53</v>
      </c>
      <c r="F26" s="4">
        <v>20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14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2</v>
      </c>
      <c r="V26" s="4">
        <v>0</v>
      </c>
      <c r="W26" s="4">
        <v>0</v>
      </c>
      <c r="X26" s="4">
        <v>9</v>
      </c>
      <c r="Y26" s="4">
        <v>6</v>
      </c>
      <c r="Z26" s="15">
        <f t="shared" si="2"/>
        <v>51</v>
      </c>
      <c r="AB26" s="18">
        <f t="shared" si="3"/>
        <v>39.215686274509807</v>
      </c>
      <c r="AC26" s="18">
        <f t="shared" si="12"/>
        <v>0</v>
      </c>
      <c r="AD26" s="18">
        <f t="shared" si="13"/>
        <v>0</v>
      </c>
      <c r="AE26" s="18">
        <f t="shared" si="14"/>
        <v>0</v>
      </c>
      <c r="AF26" s="18">
        <f t="shared" si="15"/>
        <v>0</v>
      </c>
      <c r="AG26" s="18">
        <f t="shared" si="16"/>
        <v>0</v>
      </c>
      <c r="AH26" s="18">
        <f t="shared" si="17"/>
        <v>27.450980392156865</v>
      </c>
      <c r="AI26" s="18">
        <f t="shared" si="18"/>
        <v>0</v>
      </c>
      <c r="AJ26" s="18">
        <f t="shared" si="19"/>
        <v>0</v>
      </c>
      <c r="AK26" s="18">
        <f t="shared" si="20"/>
        <v>0</v>
      </c>
      <c r="AL26" s="18">
        <f t="shared" si="21"/>
        <v>0</v>
      </c>
      <c r="AM26" s="18">
        <f t="shared" si="22"/>
        <v>0</v>
      </c>
      <c r="AN26" s="18">
        <f t="shared" si="23"/>
        <v>0</v>
      </c>
      <c r="AO26" s="18">
        <f t="shared" si="24"/>
        <v>0</v>
      </c>
      <c r="AP26" s="18">
        <f t="shared" si="25"/>
        <v>0</v>
      </c>
      <c r="AQ26" s="18">
        <f t="shared" si="26"/>
        <v>3.9215686274509802</v>
      </c>
      <c r="AR26" s="18">
        <f t="shared" si="7"/>
        <v>0</v>
      </c>
      <c r="AS26" s="18">
        <f t="shared" si="8"/>
        <v>0</v>
      </c>
      <c r="AT26" s="18">
        <f t="shared" si="9"/>
        <v>17.647058823529413</v>
      </c>
      <c r="AU26" s="18">
        <f t="shared" si="10"/>
        <v>11.76470588235294</v>
      </c>
    </row>
    <row r="27" spans="1:69" x14ac:dyDescent="0.35">
      <c r="A27" s="1" t="s">
        <v>56</v>
      </c>
      <c r="B27" s="1">
        <v>25</v>
      </c>
      <c r="C27" s="1" t="s">
        <v>57</v>
      </c>
      <c r="D27" s="1" t="s">
        <v>58</v>
      </c>
      <c r="E27" s="3" t="s">
        <v>21</v>
      </c>
      <c r="F27" s="4">
        <v>2</v>
      </c>
      <c r="G27" s="4">
        <v>0</v>
      </c>
      <c r="H27" s="4">
        <v>0</v>
      </c>
      <c r="I27" s="4">
        <v>2</v>
      </c>
      <c r="J27" s="4">
        <v>1</v>
      </c>
      <c r="K27" s="4">
        <v>1</v>
      </c>
      <c r="L27" s="4">
        <v>10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2</v>
      </c>
      <c r="T27" s="4">
        <v>9</v>
      </c>
      <c r="U27" s="4">
        <v>15</v>
      </c>
      <c r="V27" s="4">
        <v>0</v>
      </c>
      <c r="W27" s="4">
        <v>0</v>
      </c>
      <c r="X27" s="4">
        <v>4</v>
      </c>
      <c r="Y27" s="4">
        <v>0</v>
      </c>
      <c r="Z27" s="15">
        <f t="shared" si="2"/>
        <v>46</v>
      </c>
      <c r="AB27" s="18">
        <f t="shared" si="3"/>
        <v>4.3478260869565215</v>
      </c>
      <c r="AC27" s="18">
        <f t="shared" si="12"/>
        <v>0</v>
      </c>
      <c r="AD27" s="18">
        <f t="shared" si="13"/>
        <v>0</v>
      </c>
      <c r="AE27" s="18">
        <f t="shared" si="14"/>
        <v>4.3478260869565215</v>
      </c>
      <c r="AF27" s="18">
        <f t="shared" si="15"/>
        <v>2.1739130434782608</v>
      </c>
      <c r="AG27" s="18">
        <f t="shared" si="16"/>
        <v>2.1739130434782608</v>
      </c>
      <c r="AH27" s="18">
        <f t="shared" si="17"/>
        <v>21.739130434782609</v>
      </c>
      <c r="AI27" s="18">
        <f t="shared" si="18"/>
        <v>0</v>
      </c>
      <c r="AJ27" s="18">
        <f t="shared" si="19"/>
        <v>0</v>
      </c>
      <c r="AK27" s="18">
        <f t="shared" si="20"/>
        <v>0</v>
      </c>
      <c r="AL27" s="18">
        <f t="shared" si="21"/>
        <v>0</v>
      </c>
      <c r="AM27" s="18">
        <f t="shared" si="22"/>
        <v>0</v>
      </c>
      <c r="AN27" s="18">
        <f t="shared" si="23"/>
        <v>0</v>
      </c>
      <c r="AO27" s="18">
        <f t="shared" si="24"/>
        <v>4.3478260869565215</v>
      </c>
      <c r="AP27" s="18">
        <f t="shared" si="25"/>
        <v>19.565217391304348</v>
      </c>
      <c r="AQ27" s="18">
        <f t="shared" si="26"/>
        <v>32.608695652173914</v>
      </c>
      <c r="AR27" s="18">
        <f t="shared" si="7"/>
        <v>0</v>
      </c>
      <c r="AS27" s="18">
        <f t="shared" si="8"/>
        <v>0</v>
      </c>
      <c r="AT27" s="18">
        <f t="shared" si="9"/>
        <v>8.695652173913043</v>
      </c>
      <c r="AU27" s="18">
        <f t="shared" si="10"/>
        <v>0</v>
      </c>
      <c r="AW27" s="19">
        <f>AVERAGE(AB27:AB29)</f>
        <v>6.7820631419151312</v>
      </c>
      <c r="AX27" s="19">
        <f t="shared" ref="AX27:BP27" si="30">AVERAGE(AC27:AC29)</f>
        <v>0.64102564102564108</v>
      </c>
      <c r="AY27" s="19">
        <f t="shared" si="30"/>
        <v>0</v>
      </c>
      <c r="AZ27" s="19">
        <f t="shared" si="30"/>
        <v>1.4492753623188406</v>
      </c>
      <c r="BA27" s="19">
        <f t="shared" si="30"/>
        <v>4.7071799615740408</v>
      </c>
      <c r="BB27" s="19">
        <f t="shared" si="30"/>
        <v>0.72463768115942029</v>
      </c>
      <c r="BC27" s="19">
        <f t="shared" si="30"/>
        <v>19.466780521359613</v>
      </c>
      <c r="BD27" s="19">
        <f t="shared" si="30"/>
        <v>0</v>
      </c>
      <c r="BE27" s="19">
        <f t="shared" si="30"/>
        <v>0</v>
      </c>
      <c r="BF27" s="19">
        <f t="shared" si="30"/>
        <v>0</v>
      </c>
      <c r="BG27" s="19">
        <f t="shared" si="30"/>
        <v>0</v>
      </c>
      <c r="BH27" s="19">
        <f t="shared" si="30"/>
        <v>0</v>
      </c>
      <c r="BI27" s="19">
        <f t="shared" si="30"/>
        <v>0</v>
      </c>
      <c r="BJ27" s="19">
        <f t="shared" si="30"/>
        <v>7.4912830000711592</v>
      </c>
      <c r="BK27" s="19">
        <f t="shared" si="30"/>
        <v>31.535377973860857</v>
      </c>
      <c r="BL27" s="19">
        <f t="shared" si="30"/>
        <v>22.312554851870299</v>
      </c>
      <c r="BM27" s="19">
        <f t="shared" si="30"/>
        <v>0</v>
      </c>
      <c r="BN27" s="19">
        <f t="shared" si="30"/>
        <v>0.64102564102564108</v>
      </c>
      <c r="BO27" s="19">
        <f t="shared" si="30"/>
        <v>3.6077705827937092</v>
      </c>
      <c r="BP27" s="19">
        <f t="shared" si="30"/>
        <v>0.64102564102564108</v>
      </c>
      <c r="BQ27" s="19">
        <f>SUM(AW27:BP27)</f>
        <v>99.999999999999986</v>
      </c>
    </row>
    <row r="28" spans="1:69" x14ac:dyDescent="0.35">
      <c r="A28" s="1" t="s">
        <v>56</v>
      </c>
      <c r="B28" s="1">
        <v>26</v>
      </c>
      <c r="C28" s="1" t="s">
        <v>59</v>
      </c>
      <c r="D28" s="1" t="s">
        <v>58</v>
      </c>
      <c r="E28" s="3" t="s">
        <v>21</v>
      </c>
      <c r="F28" s="4">
        <v>3</v>
      </c>
      <c r="G28" s="4">
        <v>0</v>
      </c>
      <c r="H28" s="4">
        <v>0</v>
      </c>
      <c r="I28" s="4">
        <v>0</v>
      </c>
      <c r="J28" s="4">
        <v>2</v>
      </c>
      <c r="K28" s="4">
        <v>0</v>
      </c>
      <c r="L28" s="4">
        <v>10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4</v>
      </c>
      <c r="T28" s="4">
        <v>19</v>
      </c>
      <c r="U28" s="4">
        <v>8</v>
      </c>
      <c r="V28" s="4">
        <v>0</v>
      </c>
      <c r="W28" s="4">
        <v>0</v>
      </c>
      <c r="X28" s="4">
        <v>1</v>
      </c>
      <c r="Y28" s="4">
        <v>0</v>
      </c>
      <c r="Z28" s="15">
        <f t="shared" si="2"/>
        <v>47</v>
      </c>
      <c r="AB28" s="18">
        <f t="shared" si="3"/>
        <v>6.3829787234042552</v>
      </c>
      <c r="AC28" s="18">
        <f t="shared" si="12"/>
        <v>0</v>
      </c>
      <c r="AD28" s="18">
        <f t="shared" si="13"/>
        <v>0</v>
      </c>
      <c r="AE28" s="18">
        <f t="shared" si="14"/>
        <v>0</v>
      </c>
      <c r="AF28" s="18">
        <f t="shared" si="15"/>
        <v>4.2553191489361701</v>
      </c>
      <c r="AG28" s="18">
        <f t="shared" si="16"/>
        <v>0</v>
      </c>
      <c r="AH28" s="18">
        <f t="shared" si="17"/>
        <v>21.276595744680851</v>
      </c>
      <c r="AI28" s="18">
        <f t="shared" si="18"/>
        <v>0</v>
      </c>
      <c r="AJ28" s="18">
        <f t="shared" si="19"/>
        <v>0</v>
      </c>
      <c r="AK28" s="18">
        <f t="shared" si="20"/>
        <v>0</v>
      </c>
      <c r="AL28" s="18">
        <f t="shared" si="21"/>
        <v>0</v>
      </c>
      <c r="AM28" s="18">
        <f t="shared" si="22"/>
        <v>0</v>
      </c>
      <c r="AN28" s="18">
        <f t="shared" si="23"/>
        <v>0</v>
      </c>
      <c r="AO28" s="18">
        <f t="shared" si="24"/>
        <v>8.5106382978723403</v>
      </c>
      <c r="AP28" s="18">
        <f t="shared" si="25"/>
        <v>40.425531914893611</v>
      </c>
      <c r="AQ28" s="18">
        <f t="shared" si="26"/>
        <v>17.021276595744681</v>
      </c>
      <c r="AR28" s="18">
        <f t="shared" si="7"/>
        <v>0</v>
      </c>
      <c r="AS28" s="18">
        <f t="shared" si="8"/>
        <v>0</v>
      </c>
      <c r="AT28" s="18">
        <f t="shared" si="9"/>
        <v>2.1276595744680851</v>
      </c>
      <c r="AU28" s="18">
        <f t="shared" si="10"/>
        <v>0</v>
      </c>
    </row>
    <row r="29" spans="1:69" x14ac:dyDescent="0.35">
      <c r="A29" s="1" t="s">
        <v>56</v>
      </c>
      <c r="B29" s="1">
        <v>27</v>
      </c>
      <c r="C29" s="1" t="s">
        <v>60</v>
      </c>
      <c r="D29" s="1" t="s">
        <v>58</v>
      </c>
      <c r="E29" s="3" t="s">
        <v>21</v>
      </c>
      <c r="F29" s="4">
        <v>5</v>
      </c>
      <c r="G29" s="4">
        <v>1</v>
      </c>
      <c r="H29" s="4">
        <v>0</v>
      </c>
      <c r="I29" s="4">
        <v>0</v>
      </c>
      <c r="J29" s="4">
        <v>4</v>
      </c>
      <c r="K29" s="4">
        <v>0</v>
      </c>
      <c r="L29" s="4">
        <v>8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5</v>
      </c>
      <c r="T29" s="4">
        <v>18</v>
      </c>
      <c r="U29" s="4">
        <v>9</v>
      </c>
      <c r="V29" s="4">
        <v>0</v>
      </c>
      <c r="W29" s="4">
        <v>1</v>
      </c>
      <c r="X29" s="4">
        <v>0</v>
      </c>
      <c r="Y29" s="4">
        <v>1</v>
      </c>
      <c r="Z29" s="15">
        <f t="shared" si="2"/>
        <v>52</v>
      </c>
      <c r="AB29" s="18">
        <f t="shared" si="3"/>
        <v>9.6153846153846168</v>
      </c>
      <c r="AC29" s="18">
        <f t="shared" si="12"/>
        <v>1.9230769230769231</v>
      </c>
      <c r="AD29" s="18">
        <f t="shared" si="13"/>
        <v>0</v>
      </c>
      <c r="AE29" s="18">
        <f t="shared" si="14"/>
        <v>0</v>
      </c>
      <c r="AF29" s="18">
        <f t="shared" si="15"/>
        <v>7.6923076923076925</v>
      </c>
      <c r="AG29" s="18">
        <f t="shared" si="16"/>
        <v>0</v>
      </c>
      <c r="AH29" s="18">
        <f t="shared" si="17"/>
        <v>15.384615384615385</v>
      </c>
      <c r="AI29" s="18">
        <f t="shared" si="18"/>
        <v>0</v>
      </c>
      <c r="AJ29" s="18">
        <f t="shared" si="19"/>
        <v>0</v>
      </c>
      <c r="AK29" s="18">
        <f t="shared" si="20"/>
        <v>0</v>
      </c>
      <c r="AL29" s="18">
        <f t="shared" si="21"/>
        <v>0</v>
      </c>
      <c r="AM29" s="18">
        <f t="shared" si="22"/>
        <v>0</v>
      </c>
      <c r="AN29" s="18">
        <f t="shared" si="23"/>
        <v>0</v>
      </c>
      <c r="AO29" s="18">
        <f t="shared" si="24"/>
        <v>9.6153846153846168</v>
      </c>
      <c r="AP29" s="18">
        <f t="shared" si="25"/>
        <v>34.615384615384613</v>
      </c>
      <c r="AQ29" s="18">
        <f t="shared" si="26"/>
        <v>17.307692307692307</v>
      </c>
      <c r="AR29" s="18">
        <f t="shared" si="7"/>
        <v>0</v>
      </c>
      <c r="AS29" s="18">
        <f t="shared" si="8"/>
        <v>1.9230769230769231</v>
      </c>
      <c r="AT29" s="18">
        <f t="shared" si="9"/>
        <v>0</v>
      </c>
      <c r="AU29" s="18">
        <f t="shared" si="10"/>
        <v>1.9230769230769231</v>
      </c>
    </row>
    <row r="30" spans="1:69" x14ac:dyDescent="0.35">
      <c r="A30" s="1" t="s">
        <v>61</v>
      </c>
      <c r="B30" s="1">
        <v>28</v>
      </c>
      <c r="C30" s="1" t="s">
        <v>62</v>
      </c>
      <c r="D30" s="5" t="s">
        <v>63</v>
      </c>
      <c r="E30" s="3" t="s">
        <v>21</v>
      </c>
      <c r="F30" s="4">
        <v>22</v>
      </c>
      <c r="G30" s="4">
        <v>0</v>
      </c>
      <c r="H30" s="4">
        <v>0</v>
      </c>
      <c r="I30" s="4">
        <v>0</v>
      </c>
      <c r="J30" s="4">
        <v>0</v>
      </c>
      <c r="K30" s="4">
        <v>3</v>
      </c>
      <c r="L30" s="4">
        <v>2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4</v>
      </c>
      <c r="V30" s="4">
        <v>0</v>
      </c>
      <c r="W30" s="4">
        <v>0</v>
      </c>
      <c r="X30" s="4">
        <v>0</v>
      </c>
      <c r="Y30" s="4">
        <v>0</v>
      </c>
      <c r="Z30" s="15">
        <f t="shared" si="2"/>
        <v>31</v>
      </c>
      <c r="AB30" s="18">
        <f t="shared" si="3"/>
        <v>70.967741935483872</v>
      </c>
      <c r="AC30" s="18">
        <f t="shared" si="12"/>
        <v>0</v>
      </c>
      <c r="AD30" s="18">
        <f t="shared" si="13"/>
        <v>0</v>
      </c>
      <c r="AE30" s="18">
        <f t="shared" si="14"/>
        <v>0</v>
      </c>
      <c r="AF30" s="18">
        <f t="shared" si="15"/>
        <v>0</v>
      </c>
      <c r="AG30" s="18">
        <f t="shared" si="16"/>
        <v>9.67741935483871</v>
      </c>
      <c r="AH30" s="18">
        <f t="shared" si="17"/>
        <v>6.4516129032258061</v>
      </c>
      <c r="AI30" s="18">
        <f t="shared" si="18"/>
        <v>0</v>
      </c>
      <c r="AJ30" s="18">
        <f t="shared" si="19"/>
        <v>0</v>
      </c>
      <c r="AK30" s="18">
        <f t="shared" si="20"/>
        <v>0</v>
      </c>
      <c r="AL30" s="18">
        <f t="shared" si="21"/>
        <v>0</v>
      </c>
      <c r="AM30" s="18">
        <f t="shared" si="22"/>
        <v>0</v>
      </c>
      <c r="AN30" s="18">
        <f t="shared" si="23"/>
        <v>0</v>
      </c>
      <c r="AO30" s="18">
        <f t="shared" si="24"/>
        <v>0</v>
      </c>
      <c r="AP30" s="18">
        <f t="shared" si="25"/>
        <v>0</v>
      </c>
      <c r="AQ30" s="18">
        <f t="shared" si="26"/>
        <v>12.903225806451612</v>
      </c>
      <c r="AR30" s="18">
        <f t="shared" si="7"/>
        <v>0</v>
      </c>
      <c r="AS30" s="18">
        <f t="shared" si="8"/>
        <v>0</v>
      </c>
      <c r="AT30" s="18">
        <f t="shared" si="9"/>
        <v>0</v>
      </c>
      <c r="AU30" s="18">
        <f t="shared" si="10"/>
        <v>0</v>
      </c>
      <c r="AW30" s="19">
        <f>AVERAGE(AB30:AB32)</f>
        <v>67.858812529219264</v>
      </c>
      <c r="AX30" s="19">
        <f t="shared" ref="AX30:BP30" si="31">AVERAGE(AC30:AC32)</f>
        <v>0</v>
      </c>
      <c r="AY30" s="19">
        <f t="shared" si="31"/>
        <v>0</v>
      </c>
      <c r="AZ30" s="19">
        <f t="shared" si="31"/>
        <v>0</v>
      </c>
      <c r="BA30" s="19">
        <f t="shared" si="31"/>
        <v>6.666666666666667</v>
      </c>
      <c r="BB30" s="19">
        <f t="shared" si="31"/>
        <v>5.7861929250428545</v>
      </c>
      <c r="BC30" s="19">
        <f t="shared" si="31"/>
        <v>9.8316970546984574</v>
      </c>
      <c r="BD30" s="19">
        <f t="shared" si="31"/>
        <v>0</v>
      </c>
      <c r="BE30" s="19">
        <f t="shared" si="31"/>
        <v>0</v>
      </c>
      <c r="BF30" s="19">
        <f t="shared" si="31"/>
        <v>0</v>
      </c>
      <c r="BG30" s="19">
        <f t="shared" si="31"/>
        <v>0</v>
      </c>
      <c r="BH30" s="19">
        <f t="shared" si="31"/>
        <v>0</v>
      </c>
      <c r="BI30" s="19">
        <f t="shared" si="31"/>
        <v>0</v>
      </c>
      <c r="BJ30" s="19">
        <f t="shared" si="31"/>
        <v>0</v>
      </c>
      <c r="BK30" s="19">
        <f t="shared" si="31"/>
        <v>0</v>
      </c>
      <c r="BL30" s="19">
        <f t="shared" si="31"/>
        <v>8.7455197132616487</v>
      </c>
      <c r="BM30" s="19">
        <f t="shared" si="31"/>
        <v>0</v>
      </c>
      <c r="BN30" s="19">
        <f t="shared" si="31"/>
        <v>0</v>
      </c>
      <c r="BO30" s="19">
        <f t="shared" si="31"/>
        <v>1.1111111111111112</v>
      </c>
      <c r="BP30" s="19">
        <f t="shared" si="31"/>
        <v>0</v>
      </c>
      <c r="BQ30" s="19">
        <f>SUM(AW30:BP30)</f>
        <v>100</v>
      </c>
    </row>
    <row r="31" spans="1:69" x14ac:dyDescent="0.35">
      <c r="A31" s="1" t="s">
        <v>61</v>
      </c>
      <c r="B31" s="1">
        <v>29</v>
      </c>
      <c r="C31" s="1" t="s">
        <v>64</v>
      </c>
      <c r="D31" s="1" t="s">
        <v>63</v>
      </c>
      <c r="E31" s="3" t="s">
        <v>21</v>
      </c>
      <c r="F31" s="4">
        <v>19</v>
      </c>
      <c r="G31" s="4">
        <v>0</v>
      </c>
      <c r="H31" s="4">
        <v>0</v>
      </c>
      <c r="I31" s="4">
        <v>0</v>
      </c>
      <c r="J31" s="4">
        <v>0</v>
      </c>
      <c r="K31" s="4">
        <v>1</v>
      </c>
      <c r="L31" s="4">
        <v>3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15">
        <f t="shared" si="2"/>
        <v>23</v>
      </c>
      <c r="AB31" s="18">
        <f t="shared" si="3"/>
        <v>82.608695652173907</v>
      </c>
      <c r="AC31" s="18">
        <f t="shared" si="12"/>
        <v>0</v>
      </c>
      <c r="AD31" s="18">
        <f t="shared" si="13"/>
        <v>0</v>
      </c>
      <c r="AE31" s="18">
        <f t="shared" si="14"/>
        <v>0</v>
      </c>
      <c r="AF31" s="18">
        <f t="shared" si="15"/>
        <v>0</v>
      </c>
      <c r="AG31" s="18">
        <f t="shared" si="16"/>
        <v>4.3478260869565215</v>
      </c>
      <c r="AH31" s="18">
        <f t="shared" si="17"/>
        <v>13.043478260869565</v>
      </c>
      <c r="AI31" s="18">
        <f t="shared" si="18"/>
        <v>0</v>
      </c>
      <c r="AJ31" s="18">
        <f t="shared" si="19"/>
        <v>0</v>
      </c>
      <c r="AK31" s="18">
        <f t="shared" si="20"/>
        <v>0</v>
      </c>
      <c r="AL31" s="18">
        <f t="shared" si="21"/>
        <v>0</v>
      </c>
      <c r="AM31" s="18">
        <f t="shared" si="22"/>
        <v>0</v>
      </c>
      <c r="AN31" s="18">
        <f t="shared" si="23"/>
        <v>0</v>
      </c>
      <c r="AO31" s="18">
        <f t="shared" si="24"/>
        <v>0</v>
      </c>
      <c r="AP31" s="18">
        <f t="shared" si="25"/>
        <v>0</v>
      </c>
      <c r="AQ31" s="18">
        <f t="shared" si="26"/>
        <v>0</v>
      </c>
      <c r="AR31" s="18">
        <f t="shared" si="7"/>
        <v>0</v>
      </c>
      <c r="AS31" s="18">
        <f t="shared" si="8"/>
        <v>0</v>
      </c>
      <c r="AT31" s="18">
        <f t="shared" si="9"/>
        <v>0</v>
      </c>
      <c r="AU31" s="18">
        <f t="shared" si="10"/>
        <v>0</v>
      </c>
    </row>
    <row r="32" spans="1:69" x14ac:dyDescent="0.35">
      <c r="A32" s="1" t="s">
        <v>61</v>
      </c>
      <c r="B32" s="1">
        <v>30</v>
      </c>
      <c r="C32" s="1" t="s">
        <v>65</v>
      </c>
      <c r="D32" s="1" t="s">
        <v>63</v>
      </c>
      <c r="E32" s="3" t="s">
        <v>21</v>
      </c>
      <c r="F32" s="4">
        <v>15</v>
      </c>
      <c r="G32" s="4">
        <v>0</v>
      </c>
      <c r="H32" s="4">
        <v>0</v>
      </c>
      <c r="I32" s="4">
        <v>0</v>
      </c>
      <c r="J32" s="4">
        <v>6</v>
      </c>
      <c r="K32" s="4">
        <v>1</v>
      </c>
      <c r="L32" s="4">
        <v>3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4</v>
      </c>
      <c r="V32" s="4">
        <v>0</v>
      </c>
      <c r="W32" s="4">
        <v>0</v>
      </c>
      <c r="X32" s="4">
        <v>1</v>
      </c>
      <c r="Y32" s="4">
        <v>0</v>
      </c>
      <c r="Z32" s="15">
        <f t="shared" si="2"/>
        <v>30</v>
      </c>
      <c r="AB32" s="18">
        <f t="shared" si="3"/>
        <v>50</v>
      </c>
      <c r="AC32" s="18">
        <f t="shared" si="12"/>
        <v>0</v>
      </c>
      <c r="AD32" s="18">
        <f t="shared" si="13"/>
        <v>0</v>
      </c>
      <c r="AE32" s="18">
        <f t="shared" si="14"/>
        <v>0</v>
      </c>
      <c r="AF32" s="18">
        <f t="shared" si="15"/>
        <v>20</v>
      </c>
      <c r="AG32" s="18">
        <f t="shared" si="16"/>
        <v>3.3333333333333335</v>
      </c>
      <c r="AH32" s="18">
        <f t="shared" si="17"/>
        <v>10</v>
      </c>
      <c r="AI32" s="18">
        <f t="shared" si="18"/>
        <v>0</v>
      </c>
      <c r="AJ32" s="18">
        <f t="shared" si="19"/>
        <v>0</v>
      </c>
      <c r="AK32" s="18">
        <f t="shared" si="20"/>
        <v>0</v>
      </c>
      <c r="AL32" s="18">
        <f t="shared" si="21"/>
        <v>0</v>
      </c>
      <c r="AM32" s="18">
        <f t="shared" si="22"/>
        <v>0</v>
      </c>
      <c r="AN32" s="18">
        <f t="shared" si="23"/>
        <v>0</v>
      </c>
      <c r="AO32" s="18">
        <f t="shared" si="24"/>
        <v>0</v>
      </c>
      <c r="AP32" s="18">
        <f t="shared" si="25"/>
        <v>0</v>
      </c>
      <c r="AQ32" s="18">
        <f t="shared" si="26"/>
        <v>13.333333333333334</v>
      </c>
      <c r="AR32" s="18">
        <f t="shared" si="7"/>
        <v>0</v>
      </c>
      <c r="AS32" s="18">
        <f t="shared" si="8"/>
        <v>0</v>
      </c>
      <c r="AT32" s="18">
        <f t="shared" si="9"/>
        <v>3.3333333333333335</v>
      </c>
      <c r="AU32" s="18">
        <f t="shared" si="10"/>
        <v>0</v>
      </c>
    </row>
    <row r="33" spans="1:69" x14ac:dyDescent="0.35">
      <c r="A33" s="1" t="s">
        <v>56</v>
      </c>
      <c r="B33" s="1">
        <v>31</v>
      </c>
      <c r="C33" s="1" t="s">
        <v>66</v>
      </c>
      <c r="D33" s="1" t="s">
        <v>67</v>
      </c>
      <c r="E33" s="3" t="s">
        <v>21</v>
      </c>
      <c r="F33" s="4">
        <v>4</v>
      </c>
      <c r="G33" s="4">
        <v>0</v>
      </c>
      <c r="H33" s="4">
        <v>0</v>
      </c>
      <c r="I33" s="4">
        <v>0</v>
      </c>
      <c r="J33" s="4">
        <v>2</v>
      </c>
      <c r="K33" s="4">
        <v>0</v>
      </c>
      <c r="L33" s="4">
        <v>7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1</v>
      </c>
      <c r="T33" s="4">
        <v>12</v>
      </c>
      <c r="U33" s="4">
        <v>13</v>
      </c>
      <c r="V33" s="4">
        <v>0</v>
      </c>
      <c r="W33" s="4">
        <v>0</v>
      </c>
      <c r="X33" s="4">
        <v>0</v>
      </c>
      <c r="Y33" s="4">
        <v>1</v>
      </c>
      <c r="Z33" s="15">
        <f t="shared" si="2"/>
        <v>40</v>
      </c>
      <c r="AB33" s="18">
        <f t="shared" si="3"/>
        <v>10</v>
      </c>
      <c r="AC33" s="18">
        <f t="shared" si="12"/>
        <v>0</v>
      </c>
      <c r="AD33" s="18">
        <f t="shared" si="13"/>
        <v>0</v>
      </c>
      <c r="AE33" s="18">
        <f t="shared" si="14"/>
        <v>0</v>
      </c>
      <c r="AF33" s="18">
        <f t="shared" si="15"/>
        <v>5</v>
      </c>
      <c r="AG33" s="18">
        <f t="shared" si="16"/>
        <v>0</v>
      </c>
      <c r="AH33" s="18">
        <f t="shared" si="17"/>
        <v>17.5</v>
      </c>
      <c r="AI33" s="18">
        <f t="shared" si="18"/>
        <v>0</v>
      </c>
      <c r="AJ33" s="18">
        <f t="shared" si="19"/>
        <v>0</v>
      </c>
      <c r="AK33" s="18">
        <f t="shared" si="20"/>
        <v>0</v>
      </c>
      <c r="AL33" s="18">
        <f t="shared" si="21"/>
        <v>0</v>
      </c>
      <c r="AM33" s="18">
        <f t="shared" si="22"/>
        <v>0</v>
      </c>
      <c r="AN33" s="18">
        <f t="shared" si="23"/>
        <v>0</v>
      </c>
      <c r="AO33" s="18">
        <f t="shared" si="24"/>
        <v>2.5</v>
      </c>
      <c r="AP33" s="18">
        <f t="shared" si="25"/>
        <v>30</v>
      </c>
      <c r="AQ33" s="18">
        <f t="shared" si="26"/>
        <v>32.5</v>
      </c>
      <c r="AR33" s="18">
        <f t="shared" si="7"/>
        <v>0</v>
      </c>
      <c r="AS33" s="18">
        <f t="shared" si="8"/>
        <v>0</v>
      </c>
      <c r="AT33" s="18">
        <f t="shared" si="9"/>
        <v>0</v>
      </c>
      <c r="AU33" s="18">
        <f t="shared" si="10"/>
        <v>2.5</v>
      </c>
      <c r="AW33" s="19">
        <f>AVERAGE(AB33:AB35)</f>
        <v>4.9049707602339181</v>
      </c>
      <c r="AX33" s="19">
        <f t="shared" ref="AX33:BP33" si="32">AVERAGE(AC33:AC35)</f>
        <v>0</v>
      </c>
      <c r="AY33" s="19">
        <f t="shared" si="32"/>
        <v>0</v>
      </c>
      <c r="AZ33" s="19">
        <f t="shared" si="32"/>
        <v>0</v>
      </c>
      <c r="BA33" s="19">
        <f t="shared" si="32"/>
        <v>3.75</v>
      </c>
      <c r="BB33" s="19">
        <f t="shared" si="32"/>
        <v>0</v>
      </c>
      <c r="BC33" s="19">
        <f t="shared" si="32"/>
        <v>13.143274853801168</v>
      </c>
      <c r="BD33" s="19">
        <f t="shared" si="32"/>
        <v>0.69444444444444431</v>
      </c>
      <c r="BE33" s="19">
        <f t="shared" si="32"/>
        <v>0.8771929824561403</v>
      </c>
      <c r="BF33" s="19">
        <f t="shared" si="32"/>
        <v>0</v>
      </c>
      <c r="BG33" s="19">
        <f t="shared" si="32"/>
        <v>0</v>
      </c>
      <c r="BH33" s="19">
        <f t="shared" si="32"/>
        <v>0</v>
      </c>
      <c r="BI33" s="19">
        <f t="shared" si="32"/>
        <v>0</v>
      </c>
      <c r="BJ33" s="19">
        <f t="shared" si="32"/>
        <v>0.83333333333333337</v>
      </c>
      <c r="BK33" s="19">
        <f t="shared" si="32"/>
        <v>35.804093567251464</v>
      </c>
      <c r="BL33" s="19">
        <f t="shared" si="32"/>
        <v>32.543859649122801</v>
      </c>
      <c r="BM33" s="19">
        <f t="shared" si="32"/>
        <v>0.8771929824561403</v>
      </c>
      <c r="BN33" s="19">
        <f t="shared" si="32"/>
        <v>0</v>
      </c>
      <c r="BO33" s="19">
        <f t="shared" si="32"/>
        <v>0.69444444444444431</v>
      </c>
      <c r="BP33" s="19">
        <f t="shared" si="32"/>
        <v>5.8771929824561404</v>
      </c>
      <c r="BQ33" s="19">
        <f>SUM(AW33:BP33)</f>
        <v>99.999999999999986</v>
      </c>
    </row>
    <row r="34" spans="1:69" x14ac:dyDescent="0.35">
      <c r="A34" s="1" t="s">
        <v>56</v>
      </c>
      <c r="B34" s="1">
        <v>32</v>
      </c>
      <c r="C34" s="1" t="s">
        <v>68</v>
      </c>
      <c r="D34" s="1" t="s">
        <v>67</v>
      </c>
      <c r="E34" s="3" t="s">
        <v>21</v>
      </c>
      <c r="F34" s="4">
        <v>1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2</v>
      </c>
      <c r="M34" s="4">
        <v>0</v>
      </c>
      <c r="N34" s="4">
        <v>1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12</v>
      </c>
      <c r="U34" s="4">
        <v>20</v>
      </c>
      <c r="V34" s="4">
        <v>1</v>
      </c>
      <c r="W34" s="4">
        <v>0</v>
      </c>
      <c r="X34" s="4">
        <v>0</v>
      </c>
      <c r="Y34" s="4">
        <v>1</v>
      </c>
      <c r="Z34" s="15">
        <f t="shared" si="2"/>
        <v>38</v>
      </c>
      <c r="AB34" s="18">
        <f t="shared" si="3"/>
        <v>2.6315789473684208</v>
      </c>
      <c r="AC34" s="18">
        <f t="shared" si="12"/>
        <v>0</v>
      </c>
      <c r="AD34" s="18">
        <f t="shared" si="13"/>
        <v>0</v>
      </c>
      <c r="AE34" s="18">
        <f t="shared" si="14"/>
        <v>0</v>
      </c>
      <c r="AF34" s="18">
        <f t="shared" si="15"/>
        <v>0</v>
      </c>
      <c r="AG34" s="18">
        <f t="shared" si="16"/>
        <v>0</v>
      </c>
      <c r="AH34" s="18">
        <f t="shared" si="17"/>
        <v>5.2631578947368416</v>
      </c>
      <c r="AI34" s="18">
        <f t="shared" si="18"/>
        <v>0</v>
      </c>
      <c r="AJ34" s="18">
        <f t="shared" si="19"/>
        <v>2.6315789473684208</v>
      </c>
      <c r="AK34" s="18">
        <f t="shared" si="20"/>
        <v>0</v>
      </c>
      <c r="AL34" s="18">
        <f t="shared" si="21"/>
        <v>0</v>
      </c>
      <c r="AM34" s="18">
        <f t="shared" si="22"/>
        <v>0</v>
      </c>
      <c r="AN34" s="18">
        <f t="shared" si="23"/>
        <v>0</v>
      </c>
      <c r="AO34" s="18">
        <f t="shared" si="24"/>
        <v>0</v>
      </c>
      <c r="AP34" s="18">
        <f t="shared" si="25"/>
        <v>31.578947368421051</v>
      </c>
      <c r="AQ34" s="18">
        <f t="shared" si="26"/>
        <v>52.631578947368418</v>
      </c>
      <c r="AR34" s="18">
        <f t="shared" si="7"/>
        <v>2.6315789473684208</v>
      </c>
      <c r="AS34" s="18">
        <f t="shared" si="8"/>
        <v>0</v>
      </c>
      <c r="AT34" s="18">
        <f t="shared" si="9"/>
        <v>0</v>
      </c>
      <c r="AU34" s="18">
        <f t="shared" si="10"/>
        <v>2.6315789473684208</v>
      </c>
    </row>
    <row r="35" spans="1:69" x14ac:dyDescent="0.35">
      <c r="A35" s="1" t="s">
        <v>56</v>
      </c>
      <c r="B35" s="1">
        <v>33</v>
      </c>
      <c r="C35" s="1" t="s">
        <v>69</v>
      </c>
      <c r="D35" s="1" t="s">
        <v>67</v>
      </c>
      <c r="E35" s="3" t="s">
        <v>21</v>
      </c>
      <c r="F35" s="4">
        <v>1</v>
      </c>
      <c r="G35" s="4">
        <v>0</v>
      </c>
      <c r="H35" s="4">
        <v>0</v>
      </c>
      <c r="I35" s="4">
        <v>0</v>
      </c>
      <c r="J35" s="4">
        <v>3</v>
      </c>
      <c r="K35" s="4">
        <v>0</v>
      </c>
      <c r="L35" s="4">
        <v>8</v>
      </c>
      <c r="M35" s="4">
        <v>1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22</v>
      </c>
      <c r="U35" s="4">
        <v>6</v>
      </c>
      <c r="V35" s="4">
        <v>0</v>
      </c>
      <c r="W35" s="4">
        <v>0</v>
      </c>
      <c r="X35" s="4">
        <v>1</v>
      </c>
      <c r="Y35" s="4">
        <v>6</v>
      </c>
      <c r="Z35" s="15">
        <f t="shared" si="2"/>
        <v>48</v>
      </c>
      <c r="AB35" s="18">
        <f t="shared" si="3"/>
        <v>2.083333333333333</v>
      </c>
      <c r="AC35" s="18">
        <f t="shared" si="12"/>
        <v>0</v>
      </c>
      <c r="AD35" s="18">
        <f t="shared" si="13"/>
        <v>0</v>
      </c>
      <c r="AE35" s="18">
        <f t="shared" si="14"/>
        <v>0</v>
      </c>
      <c r="AF35" s="18">
        <f t="shared" si="15"/>
        <v>6.25</v>
      </c>
      <c r="AG35" s="18">
        <f t="shared" si="16"/>
        <v>0</v>
      </c>
      <c r="AH35" s="18">
        <f t="shared" si="17"/>
        <v>16.666666666666664</v>
      </c>
      <c r="AI35" s="18">
        <f t="shared" si="18"/>
        <v>2.083333333333333</v>
      </c>
      <c r="AJ35" s="18">
        <f t="shared" si="19"/>
        <v>0</v>
      </c>
      <c r="AK35" s="18">
        <f t="shared" si="20"/>
        <v>0</v>
      </c>
      <c r="AL35" s="18">
        <f t="shared" si="21"/>
        <v>0</v>
      </c>
      <c r="AM35" s="18">
        <f t="shared" si="22"/>
        <v>0</v>
      </c>
      <c r="AN35" s="18">
        <f t="shared" si="23"/>
        <v>0</v>
      </c>
      <c r="AO35" s="18">
        <f t="shared" si="24"/>
        <v>0</v>
      </c>
      <c r="AP35" s="18">
        <f t="shared" si="25"/>
        <v>45.833333333333329</v>
      </c>
      <c r="AQ35" s="18">
        <f t="shared" si="26"/>
        <v>12.5</v>
      </c>
      <c r="AR35" s="18">
        <f t="shared" si="7"/>
        <v>0</v>
      </c>
      <c r="AS35" s="18">
        <f t="shared" si="8"/>
        <v>0</v>
      </c>
      <c r="AT35" s="18">
        <f t="shared" si="9"/>
        <v>2.083333333333333</v>
      </c>
      <c r="AU35" s="18">
        <f t="shared" si="10"/>
        <v>12.5</v>
      </c>
    </row>
    <row r="36" spans="1:69" x14ac:dyDescent="0.35">
      <c r="A36" s="1" t="s">
        <v>56</v>
      </c>
      <c r="B36" s="1">
        <v>34</v>
      </c>
      <c r="C36" s="1" t="s">
        <v>70</v>
      </c>
      <c r="D36" s="1" t="s">
        <v>71</v>
      </c>
      <c r="E36" s="3" t="s">
        <v>21</v>
      </c>
      <c r="F36" s="4">
        <v>30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11</v>
      </c>
      <c r="M36" s="4">
        <v>0</v>
      </c>
      <c r="N36" s="4">
        <v>0</v>
      </c>
      <c r="O36" s="4">
        <v>0</v>
      </c>
      <c r="P36" s="4">
        <v>1</v>
      </c>
      <c r="Q36" s="4">
        <v>0</v>
      </c>
      <c r="R36" s="4">
        <v>6</v>
      </c>
      <c r="S36" s="4">
        <v>6</v>
      </c>
      <c r="T36" s="4">
        <v>0</v>
      </c>
      <c r="U36" s="4">
        <v>3</v>
      </c>
      <c r="V36" s="4">
        <v>0</v>
      </c>
      <c r="W36" s="4">
        <v>0</v>
      </c>
      <c r="X36" s="4">
        <v>0</v>
      </c>
      <c r="Y36" s="4">
        <v>1</v>
      </c>
      <c r="Z36" s="15">
        <f t="shared" si="2"/>
        <v>58</v>
      </c>
      <c r="AB36" s="18">
        <f t="shared" si="3"/>
        <v>51.724137931034484</v>
      </c>
      <c r="AC36" s="18">
        <f t="shared" si="12"/>
        <v>0</v>
      </c>
      <c r="AD36" s="18">
        <f t="shared" si="13"/>
        <v>0</v>
      </c>
      <c r="AE36" s="18">
        <f t="shared" si="14"/>
        <v>0</v>
      </c>
      <c r="AF36" s="18">
        <f t="shared" si="15"/>
        <v>0</v>
      </c>
      <c r="AG36" s="18">
        <f t="shared" si="16"/>
        <v>0</v>
      </c>
      <c r="AH36" s="18">
        <f t="shared" si="17"/>
        <v>18.96551724137931</v>
      </c>
      <c r="AI36" s="18">
        <f t="shared" si="18"/>
        <v>0</v>
      </c>
      <c r="AJ36" s="18">
        <f t="shared" si="19"/>
        <v>0</v>
      </c>
      <c r="AK36" s="18">
        <f t="shared" si="20"/>
        <v>0</v>
      </c>
      <c r="AL36" s="18">
        <f t="shared" si="21"/>
        <v>1.7241379310344827</v>
      </c>
      <c r="AM36" s="18">
        <f t="shared" si="22"/>
        <v>0</v>
      </c>
      <c r="AN36" s="18">
        <f t="shared" si="23"/>
        <v>10.344827586206897</v>
      </c>
      <c r="AO36" s="18">
        <f t="shared" si="24"/>
        <v>10.344827586206897</v>
      </c>
      <c r="AP36" s="18">
        <f t="shared" si="25"/>
        <v>0</v>
      </c>
      <c r="AQ36" s="18">
        <f t="shared" si="26"/>
        <v>5.1724137931034484</v>
      </c>
      <c r="AR36" s="18">
        <f t="shared" si="7"/>
        <v>0</v>
      </c>
      <c r="AS36" s="18">
        <f t="shared" si="8"/>
        <v>0</v>
      </c>
      <c r="AT36" s="18">
        <f t="shared" si="9"/>
        <v>0</v>
      </c>
      <c r="AU36" s="18">
        <f t="shared" si="10"/>
        <v>1.7241379310344827</v>
      </c>
      <c r="AW36" s="19">
        <f>AVERAGE(AB36:AB38)</f>
        <v>35.323011963406053</v>
      </c>
      <c r="AX36" s="19">
        <f t="shared" ref="AX36:BP36" si="33">AVERAGE(AC36:AC38)</f>
        <v>0.68027210884353739</v>
      </c>
      <c r="AY36" s="19">
        <f t="shared" si="33"/>
        <v>0</v>
      </c>
      <c r="AZ36" s="19">
        <f t="shared" si="33"/>
        <v>0</v>
      </c>
      <c r="BA36" s="19">
        <f t="shared" si="33"/>
        <v>0</v>
      </c>
      <c r="BB36" s="19">
        <f t="shared" si="33"/>
        <v>0.68027210884353739</v>
      </c>
      <c r="BC36" s="19">
        <f t="shared" si="33"/>
        <v>15.042927515833918</v>
      </c>
      <c r="BD36" s="19">
        <f t="shared" si="33"/>
        <v>0</v>
      </c>
      <c r="BE36" s="19">
        <f t="shared" si="33"/>
        <v>0</v>
      </c>
      <c r="BF36" s="19">
        <f t="shared" si="33"/>
        <v>0</v>
      </c>
      <c r="BG36" s="19">
        <f t="shared" si="33"/>
        <v>1.2413793103448276</v>
      </c>
      <c r="BH36" s="19">
        <f t="shared" si="33"/>
        <v>0</v>
      </c>
      <c r="BI36" s="19">
        <f t="shared" si="33"/>
        <v>5.4482758620689653</v>
      </c>
      <c r="BJ36" s="19">
        <f t="shared" si="33"/>
        <v>3.4482758620689657</v>
      </c>
      <c r="BK36" s="19">
        <f t="shared" si="33"/>
        <v>6.0952380952380949</v>
      </c>
      <c r="BL36" s="19">
        <f t="shared" si="33"/>
        <v>21.343185550082101</v>
      </c>
      <c r="BM36" s="19">
        <f t="shared" si="33"/>
        <v>0</v>
      </c>
      <c r="BN36" s="19">
        <f t="shared" si="33"/>
        <v>4</v>
      </c>
      <c r="BO36" s="19">
        <f t="shared" si="33"/>
        <v>4.7619047619047619</v>
      </c>
      <c r="BP36" s="19">
        <f t="shared" si="33"/>
        <v>1.9352568613652359</v>
      </c>
      <c r="BQ36" s="19">
        <f>SUM(AW36:BP36)</f>
        <v>99.999999999999986</v>
      </c>
    </row>
    <row r="37" spans="1:69" x14ac:dyDescent="0.35">
      <c r="A37" s="1" t="s">
        <v>56</v>
      </c>
      <c r="B37" s="1">
        <v>35</v>
      </c>
      <c r="C37" s="1" t="s">
        <v>72</v>
      </c>
      <c r="D37" s="1" t="s">
        <v>71</v>
      </c>
      <c r="E37" s="3" t="s">
        <v>21</v>
      </c>
      <c r="F37" s="4">
        <v>21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9</v>
      </c>
      <c r="M37" s="4">
        <v>0</v>
      </c>
      <c r="N37" s="4">
        <v>0</v>
      </c>
      <c r="O37" s="4">
        <v>0</v>
      </c>
      <c r="P37" s="4">
        <v>1</v>
      </c>
      <c r="Q37" s="4">
        <v>0</v>
      </c>
      <c r="R37" s="4">
        <v>3</v>
      </c>
      <c r="S37" s="4">
        <v>0</v>
      </c>
      <c r="T37" s="4">
        <v>2</v>
      </c>
      <c r="U37" s="4">
        <v>8</v>
      </c>
      <c r="V37" s="4">
        <v>0</v>
      </c>
      <c r="W37" s="4">
        <v>6</v>
      </c>
      <c r="X37" s="4">
        <v>0</v>
      </c>
      <c r="Y37" s="4">
        <v>0</v>
      </c>
      <c r="Z37" s="15">
        <f t="shared" si="2"/>
        <v>50</v>
      </c>
      <c r="AB37" s="18">
        <f t="shared" si="3"/>
        <v>42</v>
      </c>
      <c r="AC37" s="18">
        <f t="shared" si="12"/>
        <v>0</v>
      </c>
      <c r="AD37" s="18">
        <f t="shared" si="13"/>
        <v>0</v>
      </c>
      <c r="AE37" s="18">
        <f t="shared" si="14"/>
        <v>0</v>
      </c>
      <c r="AF37" s="18">
        <f t="shared" si="15"/>
        <v>0</v>
      </c>
      <c r="AG37" s="18">
        <f t="shared" si="16"/>
        <v>0</v>
      </c>
      <c r="AH37" s="18">
        <f t="shared" si="17"/>
        <v>18</v>
      </c>
      <c r="AI37" s="18">
        <f t="shared" si="18"/>
        <v>0</v>
      </c>
      <c r="AJ37" s="18">
        <f t="shared" si="19"/>
        <v>0</v>
      </c>
      <c r="AK37" s="18">
        <f t="shared" si="20"/>
        <v>0</v>
      </c>
      <c r="AL37" s="18">
        <f t="shared" si="21"/>
        <v>2</v>
      </c>
      <c r="AM37" s="18">
        <f t="shared" si="22"/>
        <v>0</v>
      </c>
      <c r="AN37" s="18">
        <f t="shared" si="23"/>
        <v>6</v>
      </c>
      <c r="AO37" s="18">
        <f t="shared" si="24"/>
        <v>0</v>
      </c>
      <c r="AP37" s="18">
        <f t="shared" si="25"/>
        <v>4</v>
      </c>
      <c r="AQ37" s="18">
        <f t="shared" si="26"/>
        <v>16</v>
      </c>
      <c r="AR37" s="18">
        <f t="shared" si="7"/>
        <v>0</v>
      </c>
      <c r="AS37" s="18">
        <f t="shared" si="8"/>
        <v>12</v>
      </c>
      <c r="AT37" s="18">
        <f t="shared" si="9"/>
        <v>0</v>
      </c>
      <c r="AU37" s="18">
        <f t="shared" si="10"/>
        <v>0</v>
      </c>
    </row>
    <row r="38" spans="1:69" x14ac:dyDescent="0.35">
      <c r="A38" s="1" t="s">
        <v>56</v>
      </c>
      <c r="B38" s="1">
        <v>36</v>
      </c>
      <c r="C38" s="1" t="s">
        <v>73</v>
      </c>
      <c r="D38" s="1" t="s">
        <v>71</v>
      </c>
      <c r="E38" s="3" t="s">
        <v>21</v>
      </c>
      <c r="F38" s="4">
        <v>6</v>
      </c>
      <c r="G38" s="4">
        <v>1</v>
      </c>
      <c r="H38" s="4">
        <v>0</v>
      </c>
      <c r="I38" s="4">
        <v>0</v>
      </c>
      <c r="J38" s="4">
        <v>0</v>
      </c>
      <c r="K38" s="4">
        <v>1</v>
      </c>
      <c r="L38" s="4">
        <v>4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7</v>
      </c>
      <c r="U38" s="4">
        <v>21</v>
      </c>
      <c r="V38" s="4">
        <v>0</v>
      </c>
      <c r="W38" s="4">
        <v>0</v>
      </c>
      <c r="X38" s="4">
        <v>7</v>
      </c>
      <c r="Y38" s="4">
        <v>2</v>
      </c>
      <c r="Z38" s="15">
        <f t="shared" si="2"/>
        <v>49</v>
      </c>
      <c r="AB38" s="18">
        <f t="shared" si="3"/>
        <v>12.244897959183673</v>
      </c>
      <c r="AC38" s="18">
        <f t="shared" si="12"/>
        <v>2.0408163265306123</v>
      </c>
      <c r="AD38" s="18">
        <f t="shared" si="13"/>
        <v>0</v>
      </c>
      <c r="AE38" s="18">
        <f t="shared" si="14"/>
        <v>0</v>
      </c>
      <c r="AF38" s="18">
        <f t="shared" si="15"/>
        <v>0</v>
      </c>
      <c r="AG38" s="18">
        <f t="shared" si="16"/>
        <v>2.0408163265306123</v>
      </c>
      <c r="AH38" s="18">
        <f t="shared" si="17"/>
        <v>8.1632653061224492</v>
      </c>
      <c r="AI38" s="18">
        <f t="shared" si="18"/>
        <v>0</v>
      </c>
      <c r="AJ38" s="18">
        <f t="shared" si="19"/>
        <v>0</v>
      </c>
      <c r="AK38" s="18">
        <f t="shared" si="20"/>
        <v>0</v>
      </c>
      <c r="AL38" s="18">
        <f t="shared" si="21"/>
        <v>0</v>
      </c>
      <c r="AM38" s="18">
        <f t="shared" si="22"/>
        <v>0</v>
      </c>
      <c r="AN38" s="18">
        <f t="shared" si="23"/>
        <v>0</v>
      </c>
      <c r="AO38" s="18">
        <f t="shared" si="24"/>
        <v>0</v>
      </c>
      <c r="AP38" s="18">
        <f t="shared" si="25"/>
        <v>14.285714285714285</v>
      </c>
      <c r="AQ38" s="18">
        <f t="shared" si="26"/>
        <v>42.857142857142854</v>
      </c>
      <c r="AR38" s="18">
        <f t="shared" si="7"/>
        <v>0</v>
      </c>
      <c r="AS38" s="18">
        <f t="shared" si="8"/>
        <v>0</v>
      </c>
      <c r="AT38" s="18">
        <f t="shared" si="9"/>
        <v>14.285714285714285</v>
      </c>
      <c r="AU38" s="18">
        <f t="shared" si="10"/>
        <v>4.0816326530612246</v>
      </c>
    </row>
    <row r="39" spans="1:69" x14ac:dyDescent="0.35">
      <c r="A39" s="1" t="s">
        <v>56</v>
      </c>
      <c r="B39" s="1">
        <v>37</v>
      </c>
      <c r="C39" s="1" t="s">
        <v>74</v>
      </c>
      <c r="D39" s="1" t="s">
        <v>75</v>
      </c>
      <c r="E39" s="3" t="s">
        <v>53</v>
      </c>
      <c r="F39" s="4">
        <v>0</v>
      </c>
      <c r="G39" s="4">
        <v>0</v>
      </c>
      <c r="H39" s="4">
        <v>26</v>
      </c>
      <c r="I39" s="4">
        <v>0</v>
      </c>
      <c r="J39" s="4">
        <v>0</v>
      </c>
      <c r="K39" s="4">
        <v>0</v>
      </c>
      <c r="L39" s="4">
        <v>27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5</v>
      </c>
      <c r="Z39" s="15">
        <f t="shared" si="2"/>
        <v>58</v>
      </c>
      <c r="AB39" s="18">
        <f t="shared" si="3"/>
        <v>0</v>
      </c>
      <c r="AC39" s="18">
        <f t="shared" si="12"/>
        <v>0</v>
      </c>
      <c r="AD39" s="18">
        <f t="shared" si="13"/>
        <v>44.827586206896555</v>
      </c>
      <c r="AE39" s="18">
        <f t="shared" si="14"/>
        <v>0</v>
      </c>
      <c r="AF39" s="18">
        <f t="shared" si="15"/>
        <v>0</v>
      </c>
      <c r="AG39" s="18">
        <f t="shared" si="16"/>
        <v>0</v>
      </c>
      <c r="AH39" s="18">
        <f t="shared" si="17"/>
        <v>46.551724137931032</v>
      </c>
      <c r="AI39" s="18">
        <f t="shared" si="18"/>
        <v>0</v>
      </c>
      <c r="AJ39" s="18">
        <f t="shared" si="19"/>
        <v>0</v>
      </c>
      <c r="AK39" s="18">
        <f t="shared" si="20"/>
        <v>0</v>
      </c>
      <c r="AL39" s="18">
        <f t="shared" si="21"/>
        <v>0</v>
      </c>
      <c r="AM39" s="18">
        <f t="shared" si="22"/>
        <v>0</v>
      </c>
      <c r="AN39" s="18">
        <f t="shared" si="23"/>
        <v>0</v>
      </c>
      <c r="AO39" s="18">
        <f t="shared" si="24"/>
        <v>0</v>
      </c>
      <c r="AP39" s="18">
        <f t="shared" si="25"/>
        <v>0</v>
      </c>
      <c r="AQ39" s="18">
        <f t="shared" si="26"/>
        <v>0</v>
      </c>
      <c r="AR39" s="18">
        <f t="shared" si="7"/>
        <v>0</v>
      </c>
      <c r="AS39" s="18">
        <f t="shared" si="8"/>
        <v>0</v>
      </c>
      <c r="AT39" s="18">
        <f t="shared" si="9"/>
        <v>0</v>
      </c>
      <c r="AU39" s="18">
        <f t="shared" si="10"/>
        <v>8.6206896551724146</v>
      </c>
      <c r="AW39" s="19">
        <f>AVERAGE(AB39:AB41)</f>
        <v>4.003139717425432</v>
      </c>
      <c r="AX39" s="19">
        <f t="shared" ref="AX39:BP39" si="34">AVERAGE(AC39:AC41)</f>
        <v>0</v>
      </c>
      <c r="AY39" s="19">
        <f t="shared" si="34"/>
        <v>22.713329363575671</v>
      </c>
      <c r="AZ39" s="19">
        <f t="shared" si="34"/>
        <v>0</v>
      </c>
      <c r="BA39" s="19">
        <f t="shared" si="34"/>
        <v>0</v>
      </c>
      <c r="BB39" s="19">
        <f t="shared" si="34"/>
        <v>0</v>
      </c>
      <c r="BC39" s="19">
        <f t="shared" si="34"/>
        <v>45.671610819394068</v>
      </c>
      <c r="BD39" s="19">
        <f t="shared" si="34"/>
        <v>0</v>
      </c>
      <c r="BE39" s="19">
        <f t="shared" si="34"/>
        <v>0</v>
      </c>
      <c r="BF39" s="19">
        <f t="shared" si="34"/>
        <v>9.5238095238095237</v>
      </c>
      <c r="BG39" s="19">
        <f t="shared" si="34"/>
        <v>0</v>
      </c>
      <c r="BH39" s="19">
        <f t="shared" si="34"/>
        <v>0</v>
      </c>
      <c r="BI39" s="19">
        <f t="shared" si="34"/>
        <v>0</v>
      </c>
      <c r="BJ39" s="19">
        <f t="shared" si="34"/>
        <v>0</v>
      </c>
      <c r="BK39" s="19">
        <f t="shared" si="34"/>
        <v>0</v>
      </c>
      <c r="BL39" s="19">
        <f t="shared" si="34"/>
        <v>0.64102564102564108</v>
      </c>
      <c r="BM39" s="19">
        <f t="shared" si="34"/>
        <v>0</v>
      </c>
      <c r="BN39" s="19">
        <f t="shared" si="34"/>
        <v>0</v>
      </c>
      <c r="BO39" s="19">
        <f t="shared" si="34"/>
        <v>0.68027210884353739</v>
      </c>
      <c r="BP39" s="19">
        <f t="shared" si="34"/>
        <v>16.766812825926127</v>
      </c>
      <c r="BQ39" s="19">
        <f>SUM(AW39:BP39)</f>
        <v>99.999999999999986</v>
      </c>
    </row>
    <row r="40" spans="1:69" x14ac:dyDescent="0.35">
      <c r="A40" s="1" t="s">
        <v>56</v>
      </c>
      <c r="B40" s="1">
        <v>38</v>
      </c>
      <c r="C40" s="1" t="s">
        <v>76</v>
      </c>
      <c r="D40" s="1" t="s">
        <v>75</v>
      </c>
      <c r="E40" s="3" t="s">
        <v>53</v>
      </c>
      <c r="F40" s="4">
        <v>2</v>
      </c>
      <c r="G40" s="4">
        <v>0</v>
      </c>
      <c r="H40" s="4">
        <v>10</v>
      </c>
      <c r="I40" s="4">
        <v>0</v>
      </c>
      <c r="J40" s="4">
        <v>0</v>
      </c>
      <c r="K40" s="4">
        <v>0</v>
      </c>
      <c r="L40" s="4">
        <v>29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</v>
      </c>
      <c r="V40" s="4">
        <v>0</v>
      </c>
      <c r="W40" s="4">
        <v>0</v>
      </c>
      <c r="X40" s="4">
        <v>0</v>
      </c>
      <c r="Y40" s="4">
        <v>10</v>
      </c>
      <c r="Z40" s="15">
        <f t="shared" si="2"/>
        <v>52</v>
      </c>
      <c r="AB40" s="18">
        <f t="shared" si="3"/>
        <v>3.8461538461538463</v>
      </c>
      <c r="AC40" s="18">
        <f t="shared" si="12"/>
        <v>0</v>
      </c>
      <c r="AD40" s="18">
        <f t="shared" si="13"/>
        <v>19.230769230769234</v>
      </c>
      <c r="AE40" s="18">
        <f t="shared" si="14"/>
        <v>0</v>
      </c>
      <c r="AF40" s="18">
        <f t="shared" si="15"/>
        <v>0</v>
      </c>
      <c r="AG40" s="18">
        <f t="shared" si="16"/>
        <v>0</v>
      </c>
      <c r="AH40" s="18">
        <f t="shared" si="17"/>
        <v>55.769230769230774</v>
      </c>
      <c r="AI40" s="18">
        <f t="shared" si="18"/>
        <v>0</v>
      </c>
      <c r="AJ40" s="18">
        <f t="shared" si="19"/>
        <v>0</v>
      </c>
      <c r="AK40" s="18">
        <f t="shared" si="20"/>
        <v>0</v>
      </c>
      <c r="AL40" s="18">
        <f t="shared" si="21"/>
        <v>0</v>
      </c>
      <c r="AM40" s="18">
        <f t="shared" si="22"/>
        <v>0</v>
      </c>
      <c r="AN40" s="18">
        <f t="shared" si="23"/>
        <v>0</v>
      </c>
      <c r="AO40" s="18">
        <f t="shared" si="24"/>
        <v>0</v>
      </c>
      <c r="AP40" s="18">
        <f t="shared" si="25"/>
        <v>0</v>
      </c>
      <c r="AQ40" s="18">
        <f t="shared" si="26"/>
        <v>1.9230769230769231</v>
      </c>
      <c r="AR40" s="18">
        <f t="shared" si="7"/>
        <v>0</v>
      </c>
      <c r="AS40" s="18">
        <f t="shared" si="8"/>
        <v>0</v>
      </c>
      <c r="AT40" s="18">
        <f t="shared" si="9"/>
        <v>0</v>
      </c>
      <c r="AU40" s="18">
        <f t="shared" si="10"/>
        <v>19.230769230769234</v>
      </c>
    </row>
    <row r="41" spans="1:69" x14ac:dyDescent="0.35">
      <c r="A41" s="1" t="s">
        <v>56</v>
      </c>
      <c r="B41" s="1">
        <v>39</v>
      </c>
      <c r="C41" s="1" t="s">
        <v>77</v>
      </c>
      <c r="D41" s="1" t="s">
        <v>75</v>
      </c>
      <c r="E41" s="3" t="s">
        <v>53</v>
      </c>
      <c r="F41" s="4">
        <v>4</v>
      </c>
      <c r="G41" s="4">
        <v>0</v>
      </c>
      <c r="H41" s="4">
        <v>2</v>
      </c>
      <c r="I41" s="4">
        <v>0</v>
      </c>
      <c r="J41" s="4">
        <v>0</v>
      </c>
      <c r="K41" s="4">
        <v>0</v>
      </c>
      <c r="L41" s="4">
        <v>17</v>
      </c>
      <c r="M41" s="4">
        <v>0</v>
      </c>
      <c r="N41" s="4">
        <v>0</v>
      </c>
      <c r="O41" s="4">
        <v>14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1</v>
      </c>
      <c r="Y41" s="4">
        <v>11</v>
      </c>
      <c r="Z41" s="15">
        <f t="shared" si="2"/>
        <v>49</v>
      </c>
      <c r="AB41" s="18">
        <f t="shared" si="3"/>
        <v>8.1632653061224492</v>
      </c>
      <c r="AC41" s="18">
        <f t="shared" si="12"/>
        <v>0</v>
      </c>
      <c r="AD41" s="18">
        <f t="shared" si="13"/>
        <v>4.0816326530612246</v>
      </c>
      <c r="AE41" s="18">
        <f t="shared" si="14"/>
        <v>0</v>
      </c>
      <c r="AF41" s="18">
        <f t="shared" si="15"/>
        <v>0</v>
      </c>
      <c r="AG41" s="18">
        <f t="shared" si="16"/>
        <v>0</v>
      </c>
      <c r="AH41" s="18">
        <f t="shared" si="17"/>
        <v>34.693877551020407</v>
      </c>
      <c r="AI41" s="18">
        <f t="shared" si="18"/>
        <v>0</v>
      </c>
      <c r="AJ41" s="18">
        <f t="shared" si="19"/>
        <v>0</v>
      </c>
      <c r="AK41" s="18">
        <f t="shared" si="20"/>
        <v>28.571428571428569</v>
      </c>
      <c r="AL41" s="18">
        <f t="shared" si="21"/>
        <v>0</v>
      </c>
      <c r="AM41" s="18">
        <f t="shared" si="22"/>
        <v>0</v>
      </c>
      <c r="AN41" s="18">
        <f t="shared" si="23"/>
        <v>0</v>
      </c>
      <c r="AO41" s="18">
        <f t="shared" si="24"/>
        <v>0</v>
      </c>
      <c r="AP41" s="18">
        <f t="shared" si="25"/>
        <v>0</v>
      </c>
      <c r="AQ41" s="18">
        <f t="shared" si="26"/>
        <v>0</v>
      </c>
      <c r="AR41" s="18">
        <f t="shared" si="7"/>
        <v>0</v>
      </c>
      <c r="AS41" s="18">
        <f t="shared" si="8"/>
        <v>0</v>
      </c>
      <c r="AT41" s="18">
        <f t="shared" si="9"/>
        <v>2.0408163265306123</v>
      </c>
      <c r="AU41" s="18">
        <f t="shared" si="10"/>
        <v>22.448979591836736</v>
      </c>
    </row>
    <row r="42" spans="1:69" x14ac:dyDescent="0.35">
      <c r="A42" s="1" t="s">
        <v>18</v>
      </c>
      <c r="B42" s="1">
        <v>40</v>
      </c>
      <c r="C42" s="1" t="s">
        <v>78</v>
      </c>
      <c r="D42" s="1" t="s">
        <v>79</v>
      </c>
      <c r="E42" s="3" t="s">
        <v>53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9</v>
      </c>
      <c r="M42" s="4">
        <v>0</v>
      </c>
      <c r="N42" s="4">
        <v>0</v>
      </c>
      <c r="O42" s="4">
        <v>9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6</v>
      </c>
      <c r="V42" s="4">
        <v>0</v>
      </c>
      <c r="W42" s="4">
        <v>0</v>
      </c>
      <c r="X42" s="4">
        <v>4</v>
      </c>
      <c r="Y42" s="4">
        <v>2</v>
      </c>
      <c r="Z42" s="15">
        <f t="shared" si="2"/>
        <v>30</v>
      </c>
      <c r="AB42" s="18">
        <f t="shared" si="3"/>
        <v>0</v>
      </c>
      <c r="AC42" s="18">
        <f t="shared" si="12"/>
        <v>0</v>
      </c>
      <c r="AD42" s="18">
        <f t="shared" si="13"/>
        <v>0</v>
      </c>
      <c r="AE42" s="18">
        <f t="shared" si="14"/>
        <v>0</v>
      </c>
      <c r="AF42" s="18">
        <f t="shared" si="15"/>
        <v>0</v>
      </c>
      <c r="AG42" s="18">
        <f t="shared" si="16"/>
        <v>0</v>
      </c>
      <c r="AH42" s="18">
        <f t="shared" si="17"/>
        <v>30</v>
      </c>
      <c r="AI42" s="18">
        <f t="shared" si="18"/>
        <v>0</v>
      </c>
      <c r="AJ42" s="18">
        <f t="shared" si="19"/>
        <v>0</v>
      </c>
      <c r="AK42" s="18">
        <f t="shared" si="20"/>
        <v>30</v>
      </c>
      <c r="AL42" s="18">
        <f t="shared" si="21"/>
        <v>0</v>
      </c>
      <c r="AM42" s="18">
        <f t="shared" si="22"/>
        <v>0</v>
      </c>
      <c r="AN42" s="18">
        <f t="shared" si="23"/>
        <v>0</v>
      </c>
      <c r="AO42" s="18">
        <f t="shared" si="24"/>
        <v>0</v>
      </c>
      <c r="AP42" s="18">
        <f t="shared" si="25"/>
        <v>0</v>
      </c>
      <c r="AQ42" s="18">
        <f t="shared" si="26"/>
        <v>20</v>
      </c>
      <c r="AR42" s="18">
        <f t="shared" si="7"/>
        <v>0</v>
      </c>
      <c r="AS42" s="18">
        <f t="shared" si="8"/>
        <v>0</v>
      </c>
      <c r="AT42" s="18">
        <f t="shared" si="9"/>
        <v>13.333333333333334</v>
      </c>
      <c r="AU42" s="18">
        <f t="shared" si="10"/>
        <v>6.666666666666667</v>
      </c>
      <c r="AW42" s="19">
        <f>AVERAGE(AB42:AB44)</f>
        <v>1.9607843137254901</v>
      </c>
      <c r="AX42" s="19">
        <f t="shared" ref="AX42:BP42" si="35">AVERAGE(AC42:AC44)</f>
        <v>0</v>
      </c>
      <c r="AY42" s="19">
        <f t="shared" si="35"/>
        <v>1.9607843137254901</v>
      </c>
      <c r="AZ42" s="19">
        <f t="shared" si="35"/>
        <v>0</v>
      </c>
      <c r="BA42" s="19">
        <f t="shared" si="35"/>
        <v>0</v>
      </c>
      <c r="BB42" s="19">
        <f t="shared" si="35"/>
        <v>0</v>
      </c>
      <c r="BC42" s="19">
        <f t="shared" si="35"/>
        <v>30.211161387631979</v>
      </c>
      <c r="BD42" s="19">
        <f t="shared" si="35"/>
        <v>1.2820512820512822</v>
      </c>
      <c r="BE42" s="19">
        <f t="shared" si="35"/>
        <v>0</v>
      </c>
      <c r="BF42" s="19">
        <f t="shared" si="35"/>
        <v>19.125188536953242</v>
      </c>
      <c r="BG42" s="19">
        <f t="shared" si="35"/>
        <v>0</v>
      </c>
      <c r="BH42" s="19">
        <f t="shared" si="35"/>
        <v>0</v>
      </c>
      <c r="BI42" s="19">
        <f t="shared" si="35"/>
        <v>0</v>
      </c>
      <c r="BJ42" s="19">
        <f t="shared" si="35"/>
        <v>0</v>
      </c>
      <c r="BK42" s="19">
        <f t="shared" si="35"/>
        <v>0</v>
      </c>
      <c r="BL42" s="19">
        <f t="shared" si="35"/>
        <v>6.666666666666667</v>
      </c>
      <c r="BM42" s="19">
        <f t="shared" si="35"/>
        <v>0</v>
      </c>
      <c r="BN42" s="19">
        <f t="shared" si="35"/>
        <v>0</v>
      </c>
      <c r="BO42" s="19">
        <f t="shared" si="35"/>
        <v>27.52136752136752</v>
      </c>
      <c r="BP42" s="19">
        <f t="shared" si="35"/>
        <v>11.271995977878332</v>
      </c>
      <c r="BQ42" s="19">
        <f>SUM(AW42:BP42)</f>
        <v>100</v>
      </c>
    </row>
    <row r="43" spans="1:69" x14ac:dyDescent="0.35">
      <c r="A43" s="1" t="s">
        <v>18</v>
      </c>
      <c r="B43" s="1">
        <v>41</v>
      </c>
      <c r="C43" s="1" t="s">
        <v>80</v>
      </c>
      <c r="D43" s="1" t="s">
        <v>79</v>
      </c>
      <c r="E43" s="3" t="s">
        <v>53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2</v>
      </c>
      <c r="M43" s="4">
        <v>1</v>
      </c>
      <c r="N43" s="4">
        <v>0</v>
      </c>
      <c r="O43" s="4">
        <v>1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18</v>
      </c>
      <c r="Y43" s="4">
        <v>4</v>
      </c>
      <c r="Z43" s="15">
        <f t="shared" si="2"/>
        <v>26</v>
      </c>
      <c r="AB43" s="18">
        <f t="shared" si="3"/>
        <v>0</v>
      </c>
      <c r="AC43" s="18">
        <f t="shared" si="12"/>
        <v>0</v>
      </c>
      <c r="AD43" s="18">
        <f t="shared" si="13"/>
        <v>0</v>
      </c>
      <c r="AE43" s="18">
        <f t="shared" si="14"/>
        <v>0</v>
      </c>
      <c r="AF43" s="18">
        <f t="shared" si="15"/>
        <v>0</v>
      </c>
      <c r="AG43" s="18">
        <f t="shared" si="16"/>
        <v>0</v>
      </c>
      <c r="AH43" s="18">
        <f t="shared" si="17"/>
        <v>7.6923076923076925</v>
      </c>
      <c r="AI43" s="18">
        <f t="shared" si="18"/>
        <v>3.8461538461538463</v>
      </c>
      <c r="AJ43" s="18">
        <f t="shared" si="19"/>
        <v>0</v>
      </c>
      <c r="AK43" s="18">
        <f t="shared" si="20"/>
        <v>3.8461538461538463</v>
      </c>
      <c r="AL43" s="18">
        <f t="shared" si="21"/>
        <v>0</v>
      </c>
      <c r="AM43" s="18">
        <f t="shared" si="22"/>
        <v>0</v>
      </c>
      <c r="AN43" s="18">
        <f t="shared" si="23"/>
        <v>0</v>
      </c>
      <c r="AO43" s="18">
        <f t="shared" si="24"/>
        <v>0</v>
      </c>
      <c r="AP43" s="18">
        <f t="shared" si="25"/>
        <v>0</v>
      </c>
      <c r="AQ43" s="18">
        <f t="shared" si="26"/>
        <v>0</v>
      </c>
      <c r="AR43" s="18">
        <f t="shared" si="7"/>
        <v>0</v>
      </c>
      <c r="AS43" s="18">
        <f t="shared" si="8"/>
        <v>0</v>
      </c>
      <c r="AT43" s="18">
        <f t="shared" si="9"/>
        <v>69.230769230769226</v>
      </c>
      <c r="AU43" s="18">
        <f t="shared" si="10"/>
        <v>15.384615384615385</v>
      </c>
    </row>
    <row r="44" spans="1:69" x14ac:dyDescent="0.35">
      <c r="A44" s="1" t="s">
        <v>18</v>
      </c>
      <c r="B44" s="1">
        <v>42</v>
      </c>
      <c r="C44" s="1" t="s">
        <v>81</v>
      </c>
      <c r="D44" s="1" t="s">
        <v>79</v>
      </c>
      <c r="E44" s="3" t="s">
        <v>53</v>
      </c>
      <c r="F44" s="4">
        <v>1</v>
      </c>
      <c r="G44" s="4">
        <v>0</v>
      </c>
      <c r="H44" s="4">
        <v>1</v>
      </c>
      <c r="I44" s="4">
        <v>0</v>
      </c>
      <c r="J44" s="4">
        <v>0</v>
      </c>
      <c r="K44" s="4">
        <v>0</v>
      </c>
      <c r="L44" s="4">
        <v>9</v>
      </c>
      <c r="M44" s="4">
        <v>0</v>
      </c>
      <c r="N44" s="4">
        <v>0</v>
      </c>
      <c r="O44" s="4">
        <v>4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2</v>
      </c>
      <c r="Z44" s="15">
        <f t="shared" si="2"/>
        <v>17</v>
      </c>
      <c r="AB44" s="18">
        <f t="shared" si="3"/>
        <v>5.8823529411764701</v>
      </c>
      <c r="AC44" s="18">
        <f t="shared" si="12"/>
        <v>0</v>
      </c>
      <c r="AD44" s="18">
        <f t="shared" si="13"/>
        <v>5.8823529411764701</v>
      </c>
      <c r="AE44" s="18">
        <f t="shared" si="14"/>
        <v>0</v>
      </c>
      <c r="AF44" s="18">
        <f t="shared" si="15"/>
        <v>0</v>
      </c>
      <c r="AG44" s="18">
        <f t="shared" si="16"/>
        <v>0</v>
      </c>
      <c r="AH44" s="18">
        <f t="shared" si="17"/>
        <v>52.941176470588239</v>
      </c>
      <c r="AI44" s="18">
        <f t="shared" si="18"/>
        <v>0</v>
      </c>
      <c r="AJ44" s="18">
        <f t="shared" si="19"/>
        <v>0</v>
      </c>
      <c r="AK44" s="18">
        <f t="shared" si="20"/>
        <v>23.52941176470588</v>
      </c>
      <c r="AL44" s="18">
        <f t="shared" si="21"/>
        <v>0</v>
      </c>
      <c r="AM44" s="18">
        <f t="shared" si="22"/>
        <v>0</v>
      </c>
      <c r="AN44" s="18">
        <f t="shared" si="23"/>
        <v>0</v>
      </c>
      <c r="AO44" s="18">
        <f t="shared" si="24"/>
        <v>0</v>
      </c>
      <c r="AP44" s="18">
        <f t="shared" si="25"/>
        <v>0</v>
      </c>
      <c r="AQ44" s="18">
        <f t="shared" si="26"/>
        <v>0</v>
      </c>
      <c r="AR44" s="18">
        <f t="shared" si="7"/>
        <v>0</v>
      </c>
      <c r="AS44" s="18">
        <f t="shared" si="8"/>
        <v>0</v>
      </c>
      <c r="AT44" s="18">
        <f t="shared" si="9"/>
        <v>0</v>
      </c>
      <c r="AU44" s="18">
        <f t="shared" si="10"/>
        <v>11.76470588235294</v>
      </c>
    </row>
    <row r="45" spans="1:69" x14ac:dyDescent="0.35">
      <c r="A45" s="1" t="s">
        <v>18</v>
      </c>
      <c r="B45" s="1">
        <v>43</v>
      </c>
      <c r="C45" s="1" t="s">
        <v>82</v>
      </c>
      <c r="D45" s="1" t="s">
        <v>83</v>
      </c>
      <c r="E45" s="3" t="s">
        <v>53</v>
      </c>
      <c r="F45" s="4">
        <v>1</v>
      </c>
      <c r="G45" s="4">
        <v>0</v>
      </c>
      <c r="H45" s="4">
        <v>0</v>
      </c>
      <c r="I45" s="4">
        <v>0</v>
      </c>
      <c r="J45" s="4">
        <v>1</v>
      </c>
      <c r="K45" s="4">
        <v>0</v>
      </c>
      <c r="L45" s="4">
        <v>4</v>
      </c>
      <c r="M45" s="4">
        <v>0</v>
      </c>
      <c r="N45" s="4">
        <v>1</v>
      </c>
      <c r="O45" s="4">
        <v>17</v>
      </c>
      <c r="P45" s="4">
        <v>0</v>
      </c>
      <c r="Q45" s="4">
        <v>0</v>
      </c>
      <c r="R45" s="4">
        <v>0</v>
      </c>
      <c r="S45" s="4">
        <v>0</v>
      </c>
      <c r="T45" s="4">
        <v>2</v>
      </c>
      <c r="U45" s="4">
        <v>5</v>
      </c>
      <c r="V45" s="4">
        <v>0</v>
      </c>
      <c r="W45" s="4">
        <v>0</v>
      </c>
      <c r="X45" s="4">
        <v>10</v>
      </c>
      <c r="Y45" s="4">
        <v>4</v>
      </c>
      <c r="Z45" s="15">
        <f t="shared" si="2"/>
        <v>45</v>
      </c>
      <c r="AB45" s="18">
        <f t="shared" si="3"/>
        <v>2.2222222222222223</v>
      </c>
      <c r="AC45" s="18">
        <f t="shared" si="12"/>
        <v>0</v>
      </c>
      <c r="AD45" s="18">
        <f t="shared" si="13"/>
        <v>0</v>
      </c>
      <c r="AE45" s="18">
        <f t="shared" si="14"/>
        <v>0</v>
      </c>
      <c r="AF45" s="18">
        <f t="shared" si="15"/>
        <v>2.2222222222222223</v>
      </c>
      <c r="AG45" s="18">
        <f t="shared" si="16"/>
        <v>0</v>
      </c>
      <c r="AH45" s="18">
        <f t="shared" si="17"/>
        <v>8.8888888888888893</v>
      </c>
      <c r="AI45" s="18">
        <f t="shared" si="18"/>
        <v>0</v>
      </c>
      <c r="AJ45" s="18">
        <f t="shared" si="19"/>
        <v>2.2222222222222223</v>
      </c>
      <c r="AK45" s="18">
        <f t="shared" si="20"/>
        <v>37.777777777777779</v>
      </c>
      <c r="AL45" s="18">
        <f t="shared" si="21"/>
        <v>0</v>
      </c>
      <c r="AM45" s="18">
        <f t="shared" si="22"/>
        <v>0</v>
      </c>
      <c r="AN45" s="18">
        <f t="shared" si="23"/>
        <v>0</v>
      </c>
      <c r="AO45" s="18">
        <f t="shared" si="24"/>
        <v>0</v>
      </c>
      <c r="AP45" s="18">
        <f t="shared" si="25"/>
        <v>4.4444444444444446</v>
      </c>
      <c r="AQ45" s="18">
        <f t="shared" si="26"/>
        <v>11.111111111111111</v>
      </c>
      <c r="AR45" s="18">
        <f t="shared" si="7"/>
        <v>0</v>
      </c>
      <c r="AS45" s="18">
        <f t="shared" si="8"/>
        <v>0</v>
      </c>
      <c r="AT45" s="18">
        <f t="shared" si="9"/>
        <v>22.222222222222221</v>
      </c>
      <c r="AU45" s="18">
        <f t="shared" si="10"/>
        <v>8.8888888888888893</v>
      </c>
      <c r="AW45" s="19">
        <f>AVERAGE(AB45:AB47)</f>
        <v>3.9665471923536444</v>
      </c>
      <c r="AX45" s="19">
        <f t="shared" ref="AX45:BP45" si="36">AVERAGE(AC45:AC47)</f>
        <v>0</v>
      </c>
      <c r="AY45" s="19">
        <f t="shared" si="36"/>
        <v>2.150537634408602</v>
      </c>
      <c r="AZ45" s="19">
        <f t="shared" si="36"/>
        <v>0</v>
      </c>
      <c r="BA45" s="19">
        <f t="shared" si="36"/>
        <v>3.0395913154533845</v>
      </c>
      <c r="BB45" s="19">
        <f t="shared" si="36"/>
        <v>0</v>
      </c>
      <c r="BC45" s="19">
        <f t="shared" si="36"/>
        <v>24.987434598113129</v>
      </c>
      <c r="BD45" s="19">
        <f t="shared" si="36"/>
        <v>0</v>
      </c>
      <c r="BE45" s="19">
        <f t="shared" si="36"/>
        <v>1.8160095579450417</v>
      </c>
      <c r="BF45" s="19">
        <f t="shared" si="36"/>
        <v>20.341943723478764</v>
      </c>
      <c r="BG45" s="19">
        <f t="shared" si="36"/>
        <v>0</v>
      </c>
      <c r="BH45" s="19">
        <f t="shared" si="36"/>
        <v>0</v>
      </c>
      <c r="BI45" s="19">
        <f t="shared" si="36"/>
        <v>0</v>
      </c>
      <c r="BJ45" s="19">
        <f t="shared" si="36"/>
        <v>0</v>
      </c>
      <c r="BK45" s="19">
        <f t="shared" si="36"/>
        <v>1.4814814814814816</v>
      </c>
      <c r="BL45" s="19">
        <f t="shared" si="36"/>
        <v>14.048531289910599</v>
      </c>
      <c r="BM45" s="19">
        <f t="shared" si="36"/>
        <v>0</v>
      </c>
      <c r="BN45" s="19">
        <f t="shared" si="36"/>
        <v>0</v>
      </c>
      <c r="BO45" s="19">
        <f t="shared" si="36"/>
        <v>11.856795616528652</v>
      </c>
      <c r="BP45" s="19">
        <f t="shared" si="36"/>
        <v>16.311127590326702</v>
      </c>
      <c r="BQ45" s="19">
        <f>SUM(AW45:BP45)</f>
        <v>100</v>
      </c>
    </row>
    <row r="46" spans="1:69" x14ac:dyDescent="0.35">
      <c r="A46" s="1" t="s">
        <v>18</v>
      </c>
      <c r="B46" s="1">
        <v>44</v>
      </c>
      <c r="C46" s="1" t="s">
        <v>84</v>
      </c>
      <c r="D46" s="1" t="s">
        <v>83</v>
      </c>
      <c r="E46" s="3" t="s">
        <v>53</v>
      </c>
      <c r="F46" s="4">
        <v>0</v>
      </c>
      <c r="G46" s="4">
        <v>0</v>
      </c>
      <c r="H46" s="4">
        <v>0</v>
      </c>
      <c r="I46" s="4">
        <v>0</v>
      </c>
      <c r="J46" s="4">
        <v>2</v>
      </c>
      <c r="K46" s="4">
        <v>0</v>
      </c>
      <c r="L46" s="4">
        <v>7</v>
      </c>
      <c r="M46" s="4">
        <v>0</v>
      </c>
      <c r="N46" s="4">
        <v>0</v>
      </c>
      <c r="O46" s="4">
        <v>3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9</v>
      </c>
      <c r="V46" s="4">
        <v>0</v>
      </c>
      <c r="W46" s="4">
        <v>0</v>
      </c>
      <c r="X46" s="4">
        <v>2</v>
      </c>
      <c r="Y46" s="4">
        <v>6</v>
      </c>
      <c r="Z46" s="15">
        <f t="shared" si="2"/>
        <v>29</v>
      </c>
      <c r="AB46" s="18">
        <f t="shared" si="3"/>
        <v>0</v>
      </c>
      <c r="AC46" s="18">
        <f t="shared" si="12"/>
        <v>0</v>
      </c>
      <c r="AD46" s="18">
        <f t="shared" si="13"/>
        <v>0</v>
      </c>
      <c r="AE46" s="18">
        <f t="shared" si="14"/>
        <v>0</v>
      </c>
      <c r="AF46" s="18">
        <f t="shared" si="15"/>
        <v>6.8965517241379306</v>
      </c>
      <c r="AG46" s="18">
        <f t="shared" si="16"/>
        <v>0</v>
      </c>
      <c r="AH46" s="18">
        <f t="shared" si="17"/>
        <v>24.137931034482758</v>
      </c>
      <c r="AI46" s="18">
        <f t="shared" si="18"/>
        <v>0</v>
      </c>
      <c r="AJ46" s="18">
        <f t="shared" si="19"/>
        <v>0</v>
      </c>
      <c r="AK46" s="18">
        <f t="shared" si="20"/>
        <v>10.344827586206897</v>
      </c>
      <c r="AL46" s="18">
        <f t="shared" si="21"/>
        <v>0</v>
      </c>
      <c r="AM46" s="18">
        <f t="shared" si="22"/>
        <v>0</v>
      </c>
      <c r="AN46" s="18">
        <f t="shared" si="23"/>
        <v>0</v>
      </c>
      <c r="AO46" s="18">
        <f t="shared" si="24"/>
        <v>0</v>
      </c>
      <c r="AP46" s="18">
        <f t="shared" si="25"/>
        <v>0</v>
      </c>
      <c r="AQ46" s="18">
        <f t="shared" si="26"/>
        <v>31.03448275862069</v>
      </c>
      <c r="AR46" s="18">
        <f t="shared" si="7"/>
        <v>0</v>
      </c>
      <c r="AS46" s="18">
        <f t="shared" si="8"/>
        <v>0</v>
      </c>
      <c r="AT46" s="18">
        <f t="shared" si="9"/>
        <v>6.8965517241379306</v>
      </c>
      <c r="AU46" s="18">
        <f t="shared" si="10"/>
        <v>20.689655172413794</v>
      </c>
    </row>
    <row r="47" spans="1:69" x14ac:dyDescent="0.35">
      <c r="A47" s="1" t="s">
        <v>18</v>
      </c>
      <c r="B47" s="1">
        <v>45</v>
      </c>
      <c r="C47" s="1" t="s">
        <v>85</v>
      </c>
      <c r="D47" s="1" t="s">
        <v>83</v>
      </c>
      <c r="E47" s="3" t="s">
        <v>53</v>
      </c>
      <c r="F47" s="4">
        <v>3</v>
      </c>
      <c r="G47" s="4">
        <v>0</v>
      </c>
      <c r="H47" s="4">
        <v>2</v>
      </c>
      <c r="I47" s="4">
        <v>0</v>
      </c>
      <c r="J47" s="4">
        <v>0</v>
      </c>
      <c r="K47" s="4">
        <v>0</v>
      </c>
      <c r="L47" s="4">
        <v>13</v>
      </c>
      <c r="M47" s="4">
        <v>0</v>
      </c>
      <c r="N47" s="4">
        <v>1</v>
      </c>
      <c r="O47" s="4">
        <v>4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2</v>
      </c>
      <c r="Y47" s="4">
        <v>6</v>
      </c>
      <c r="Z47" s="15">
        <f t="shared" si="2"/>
        <v>31</v>
      </c>
      <c r="AB47" s="18">
        <f t="shared" si="3"/>
        <v>9.67741935483871</v>
      </c>
      <c r="AC47" s="18">
        <f t="shared" si="12"/>
        <v>0</v>
      </c>
      <c r="AD47" s="18">
        <f t="shared" si="13"/>
        <v>6.4516129032258061</v>
      </c>
      <c r="AE47" s="18">
        <f t="shared" si="14"/>
        <v>0</v>
      </c>
      <c r="AF47" s="18">
        <f t="shared" si="15"/>
        <v>0</v>
      </c>
      <c r="AG47" s="18">
        <f t="shared" si="16"/>
        <v>0</v>
      </c>
      <c r="AH47" s="18">
        <f t="shared" si="17"/>
        <v>41.935483870967744</v>
      </c>
      <c r="AI47" s="18">
        <f t="shared" si="18"/>
        <v>0</v>
      </c>
      <c r="AJ47" s="18">
        <f t="shared" si="19"/>
        <v>3.225806451612903</v>
      </c>
      <c r="AK47" s="18">
        <f t="shared" si="20"/>
        <v>12.903225806451612</v>
      </c>
      <c r="AL47" s="18">
        <f t="shared" si="21"/>
        <v>0</v>
      </c>
      <c r="AM47" s="18">
        <f t="shared" si="22"/>
        <v>0</v>
      </c>
      <c r="AN47" s="18">
        <f t="shared" si="23"/>
        <v>0</v>
      </c>
      <c r="AO47" s="18">
        <f t="shared" si="24"/>
        <v>0</v>
      </c>
      <c r="AP47" s="18">
        <f t="shared" si="25"/>
        <v>0</v>
      </c>
      <c r="AQ47" s="18">
        <f t="shared" si="26"/>
        <v>0</v>
      </c>
      <c r="AR47" s="18">
        <f t="shared" si="7"/>
        <v>0</v>
      </c>
      <c r="AS47" s="18">
        <f t="shared" si="8"/>
        <v>0</v>
      </c>
      <c r="AT47" s="18">
        <f t="shared" si="9"/>
        <v>6.4516129032258061</v>
      </c>
      <c r="AU47" s="18">
        <f t="shared" si="10"/>
        <v>19.35483870967742</v>
      </c>
    </row>
    <row r="48" spans="1:69" x14ac:dyDescent="0.35">
      <c r="A48" s="1" t="s">
        <v>86</v>
      </c>
      <c r="B48" s="1">
        <v>46</v>
      </c>
      <c r="C48" s="1" t="s">
        <v>87</v>
      </c>
      <c r="D48" s="1" t="s">
        <v>88</v>
      </c>
      <c r="E48" s="3" t="s">
        <v>21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4</v>
      </c>
      <c r="M48" s="4">
        <v>5</v>
      </c>
      <c r="N48" s="4">
        <v>0</v>
      </c>
      <c r="O48" s="4">
        <v>0</v>
      </c>
      <c r="P48" s="4">
        <v>0</v>
      </c>
      <c r="Q48" s="4">
        <v>0</v>
      </c>
      <c r="R48" s="4">
        <v>3</v>
      </c>
      <c r="S48" s="4">
        <v>0</v>
      </c>
      <c r="T48" s="4">
        <v>5</v>
      </c>
      <c r="U48" s="4">
        <v>0</v>
      </c>
      <c r="V48" s="4">
        <v>40</v>
      </c>
      <c r="W48" s="4">
        <v>0</v>
      </c>
      <c r="X48" s="4">
        <v>0</v>
      </c>
      <c r="Y48" s="4">
        <v>2</v>
      </c>
      <c r="Z48" s="15">
        <f t="shared" si="2"/>
        <v>59</v>
      </c>
      <c r="AB48" s="18">
        <f t="shared" si="3"/>
        <v>0</v>
      </c>
      <c r="AC48" s="18">
        <f t="shared" si="12"/>
        <v>0</v>
      </c>
      <c r="AD48" s="18">
        <f t="shared" si="13"/>
        <v>0</v>
      </c>
      <c r="AE48" s="18">
        <f t="shared" si="14"/>
        <v>0</v>
      </c>
      <c r="AF48" s="18">
        <f t="shared" si="15"/>
        <v>0</v>
      </c>
      <c r="AG48" s="18">
        <f t="shared" si="16"/>
        <v>0</v>
      </c>
      <c r="AH48" s="18">
        <f t="shared" si="17"/>
        <v>6.7796610169491522</v>
      </c>
      <c r="AI48" s="18">
        <f t="shared" si="18"/>
        <v>8.4745762711864394</v>
      </c>
      <c r="AJ48" s="18">
        <f t="shared" si="19"/>
        <v>0</v>
      </c>
      <c r="AK48" s="18">
        <f t="shared" si="20"/>
        <v>0</v>
      </c>
      <c r="AL48" s="18">
        <f t="shared" si="21"/>
        <v>0</v>
      </c>
      <c r="AM48" s="18">
        <f t="shared" si="22"/>
        <v>0</v>
      </c>
      <c r="AN48" s="18">
        <f t="shared" si="23"/>
        <v>5.0847457627118651</v>
      </c>
      <c r="AO48" s="18">
        <f t="shared" si="24"/>
        <v>0</v>
      </c>
      <c r="AP48" s="18">
        <f t="shared" si="25"/>
        <v>8.4745762711864394</v>
      </c>
      <c r="AQ48" s="18">
        <f t="shared" si="26"/>
        <v>0</v>
      </c>
      <c r="AR48" s="18">
        <f t="shared" si="7"/>
        <v>67.796610169491515</v>
      </c>
      <c r="AS48" s="18">
        <f t="shared" si="8"/>
        <v>0</v>
      </c>
      <c r="AT48" s="18">
        <f t="shared" si="9"/>
        <v>0</v>
      </c>
      <c r="AU48" s="18">
        <f t="shared" si="10"/>
        <v>3.3898305084745761</v>
      </c>
      <c r="AW48" s="19">
        <f>AVERAGE(AB48:AB50)</f>
        <v>7.1802935010482178</v>
      </c>
      <c r="AX48" s="19">
        <f t="shared" ref="AX48:BP48" si="37">AVERAGE(AC48:AC50)</f>
        <v>0</v>
      </c>
      <c r="AY48" s="19">
        <f t="shared" si="37"/>
        <v>0</v>
      </c>
      <c r="AZ48" s="19">
        <f t="shared" si="37"/>
        <v>0</v>
      </c>
      <c r="BA48" s="19">
        <f t="shared" si="37"/>
        <v>0</v>
      </c>
      <c r="BB48" s="19">
        <f t="shared" si="37"/>
        <v>0</v>
      </c>
      <c r="BC48" s="19">
        <f t="shared" si="37"/>
        <v>15.362612372526028</v>
      </c>
      <c r="BD48" s="19">
        <f t="shared" si="37"/>
        <v>7.85630529794265</v>
      </c>
      <c r="BE48" s="19">
        <f t="shared" si="37"/>
        <v>0</v>
      </c>
      <c r="BF48" s="19">
        <f t="shared" si="37"/>
        <v>0</v>
      </c>
      <c r="BG48" s="19">
        <f t="shared" si="37"/>
        <v>0</v>
      </c>
      <c r="BH48" s="19">
        <f t="shared" si="37"/>
        <v>0</v>
      </c>
      <c r="BI48" s="19">
        <f t="shared" si="37"/>
        <v>1.6949152542372883</v>
      </c>
      <c r="BJ48" s="19">
        <f t="shared" si="37"/>
        <v>0</v>
      </c>
      <c r="BK48" s="19">
        <f t="shared" si="37"/>
        <v>5.6026365348399239</v>
      </c>
      <c r="BL48" s="19">
        <f t="shared" si="37"/>
        <v>3.4067085953878404</v>
      </c>
      <c r="BM48" s="19">
        <f t="shared" si="37"/>
        <v>33.709981167608284</v>
      </c>
      <c r="BN48" s="19">
        <f t="shared" si="37"/>
        <v>1.2578616352201257</v>
      </c>
      <c r="BO48" s="19">
        <f t="shared" si="37"/>
        <v>9.433962264150944</v>
      </c>
      <c r="BP48" s="19">
        <f t="shared" si="37"/>
        <v>14.494723377038696</v>
      </c>
      <c r="BQ48" s="19">
        <f>SUM(AW48:BP48)</f>
        <v>100</v>
      </c>
    </row>
    <row r="49" spans="1:69" x14ac:dyDescent="0.35">
      <c r="A49" s="1" t="s">
        <v>86</v>
      </c>
      <c r="B49" s="1">
        <v>47</v>
      </c>
      <c r="C49" s="1" t="s">
        <v>89</v>
      </c>
      <c r="D49" s="1" t="s">
        <v>88</v>
      </c>
      <c r="E49" s="3" t="s">
        <v>21</v>
      </c>
      <c r="F49" s="4">
        <v>7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12</v>
      </c>
      <c r="M49" s="4">
        <v>8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1</v>
      </c>
      <c r="V49" s="4">
        <v>0</v>
      </c>
      <c r="W49" s="4">
        <v>2</v>
      </c>
      <c r="X49" s="4">
        <v>15</v>
      </c>
      <c r="Y49" s="4">
        <v>8</v>
      </c>
      <c r="Z49" s="15">
        <f t="shared" si="2"/>
        <v>53</v>
      </c>
      <c r="AB49" s="18">
        <f t="shared" si="3"/>
        <v>13.20754716981132</v>
      </c>
      <c r="AC49" s="18">
        <f t="shared" si="12"/>
        <v>0</v>
      </c>
      <c r="AD49" s="18">
        <f t="shared" si="13"/>
        <v>0</v>
      </c>
      <c r="AE49" s="18">
        <f t="shared" si="14"/>
        <v>0</v>
      </c>
      <c r="AF49" s="18">
        <f t="shared" si="15"/>
        <v>0</v>
      </c>
      <c r="AG49" s="18">
        <f t="shared" si="16"/>
        <v>0</v>
      </c>
      <c r="AH49" s="18">
        <f t="shared" si="17"/>
        <v>22.641509433962266</v>
      </c>
      <c r="AI49" s="18">
        <f t="shared" si="18"/>
        <v>15.09433962264151</v>
      </c>
      <c r="AJ49" s="18">
        <f t="shared" si="19"/>
        <v>0</v>
      </c>
      <c r="AK49" s="18">
        <f t="shared" si="20"/>
        <v>0</v>
      </c>
      <c r="AL49" s="18">
        <f t="shared" si="21"/>
        <v>0</v>
      </c>
      <c r="AM49" s="18">
        <f t="shared" si="22"/>
        <v>0</v>
      </c>
      <c r="AN49" s="18">
        <f t="shared" si="23"/>
        <v>0</v>
      </c>
      <c r="AO49" s="18">
        <f t="shared" si="24"/>
        <v>0</v>
      </c>
      <c r="AP49" s="18">
        <f t="shared" si="25"/>
        <v>0</v>
      </c>
      <c r="AQ49" s="18">
        <f t="shared" si="26"/>
        <v>1.8867924528301887</v>
      </c>
      <c r="AR49" s="18">
        <f t="shared" si="7"/>
        <v>0</v>
      </c>
      <c r="AS49" s="18">
        <f t="shared" si="8"/>
        <v>3.7735849056603774</v>
      </c>
      <c r="AT49" s="18">
        <f t="shared" si="9"/>
        <v>28.30188679245283</v>
      </c>
      <c r="AU49" s="18">
        <f t="shared" si="10"/>
        <v>15.09433962264151</v>
      </c>
    </row>
    <row r="50" spans="1:69" x14ac:dyDescent="0.35">
      <c r="A50" s="1" t="s">
        <v>86</v>
      </c>
      <c r="B50" s="1">
        <v>48</v>
      </c>
      <c r="C50" s="1" t="s">
        <v>90</v>
      </c>
      <c r="D50" s="5" t="s">
        <v>88</v>
      </c>
      <c r="E50" s="3" t="s">
        <v>21</v>
      </c>
      <c r="F50" s="4">
        <v>2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4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2</v>
      </c>
      <c r="U50" s="4">
        <v>2</v>
      </c>
      <c r="V50" s="4">
        <v>8</v>
      </c>
      <c r="W50" s="4">
        <v>0</v>
      </c>
      <c r="X50" s="4">
        <v>0</v>
      </c>
      <c r="Y50" s="4">
        <v>6</v>
      </c>
      <c r="Z50" s="15">
        <f t="shared" si="2"/>
        <v>24</v>
      </c>
      <c r="AB50" s="18">
        <f t="shared" si="3"/>
        <v>8.3333333333333321</v>
      </c>
      <c r="AC50" s="18">
        <f t="shared" si="12"/>
        <v>0</v>
      </c>
      <c r="AD50" s="18">
        <f t="shared" si="13"/>
        <v>0</v>
      </c>
      <c r="AE50" s="18">
        <f t="shared" si="14"/>
        <v>0</v>
      </c>
      <c r="AF50" s="18">
        <f t="shared" si="15"/>
        <v>0</v>
      </c>
      <c r="AG50" s="18">
        <f t="shared" si="16"/>
        <v>0</v>
      </c>
      <c r="AH50" s="18">
        <f t="shared" si="17"/>
        <v>16.666666666666664</v>
      </c>
      <c r="AI50" s="18">
        <f t="shared" si="18"/>
        <v>0</v>
      </c>
      <c r="AJ50" s="18">
        <f t="shared" si="19"/>
        <v>0</v>
      </c>
      <c r="AK50" s="18">
        <f t="shared" si="20"/>
        <v>0</v>
      </c>
      <c r="AL50" s="18">
        <f t="shared" si="21"/>
        <v>0</v>
      </c>
      <c r="AM50" s="18">
        <f t="shared" si="22"/>
        <v>0</v>
      </c>
      <c r="AN50" s="18">
        <f t="shared" si="23"/>
        <v>0</v>
      </c>
      <c r="AO50" s="18">
        <f t="shared" si="24"/>
        <v>0</v>
      </c>
      <c r="AP50" s="18">
        <f t="shared" si="25"/>
        <v>8.3333333333333321</v>
      </c>
      <c r="AQ50" s="18">
        <f t="shared" si="26"/>
        <v>8.3333333333333321</v>
      </c>
      <c r="AR50" s="18">
        <f t="shared" si="7"/>
        <v>33.333333333333329</v>
      </c>
      <c r="AS50" s="18">
        <f t="shared" si="8"/>
        <v>0</v>
      </c>
      <c r="AT50" s="18">
        <f t="shared" si="9"/>
        <v>0</v>
      </c>
      <c r="AU50" s="18">
        <f t="shared" si="10"/>
        <v>25</v>
      </c>
    </row>
    <row r="51" spans="1:69" x14ac:dyDescent="0.35">
      <c r="A51" s="1" t="s">
        <v>91</v>
      </c>
      <c r="B51" s="1">
        <v>49</v>
      </c>
      <c r="C51" s="1" t="s">
        <v>92</v>
      </c>
      <c r="D51" s="1" t="s">
        <v>93</v>
      </c>
      <c r="E51" s="3" t="s">
        <v>21</v>
      </c>
      <c r="F51" s="4">
        <v>12</v>
      </c>
      <c r="G51" s="4">
        <v>0</v>
      </c>
      <c r="H51" s="4">
        <v>0</v>
      </c>
      <c r="I51" s="4">
        <v>0</v>
      </c>
      <c r="J51" s="4">
        <v>2</v>
      </c>
      <c r="K51" s="4">
        <v>0</v>
      </c>
      <c r="L51" s="4">
        <v>12</v>
      </c>
      <c r="M51" s="4">
        <v>0</v>
      </c>
      <c r="N51" s="4">
        <v>0</v>
      </c>
      <c r="O51" s="4">
        <v>0</v>
      </c>
      <c r="P51" s="4">
        <v>0</v>
      </c>
      <c r="Q51" s="4">
        <v>1</v>
      </c>
      <c r="R51" s="4">
        <v>0</v>
      </c>
      <c r="S51" s="4">
        <v>0</v>
      </c>
      <c r="T51" s="4">
        <v>2</v>
      </c>
      <c r="U51" s="4">
        <v>20</v>
      </c>
      <c r="V51" s="4">
        <v>0</v>
      </c>
      <c r="W51" s="4">
        <v>2</v>
      </c>
      <c r="X51" s="4">
        <v>8</v>
      </c>
      <c r="Y51" s="4">
        <v>0</v>
      </c>
      <c r="Z51" s="15">
        <f t="shared" si="2"/>
        <v>59</v>
      </c>
      <c r="AB51" s="18">
        <f t="shared" si="3"/>
        <v>20.33898305084746</v>
      </c>
      <c r="AC51" s="18">
        <f t="shared" si="12"/>
        <v>0</v>
      </c>
      <c r="AD51" s="18">
        <f t="shared" si="13"/>
        <v>0</v>
      </c>
      <c r="AE51" s="18">
        <f t="shared" si="14"/>
        <v>0</v>
      </c>
      <c r="AF51" s="18">
        <f t="shared" si="15"/>
        <v>3.3898305084745761</v>
      </c>
      <c r="AG51" s="18">
        <f t="shared" si="16"/>
        <v>0</v>
      </c>
      <c r="AH51" s="18">
        <f t="shared" si="17"/>
        <v>20.33898305084746</v>
      </c>
      <c r="AI51" s="18">
        <f t="shared" si="18"/>
        <v>0</v>
      </c>
      <c r="AJ51" s="18">
        <f t="shared" si="19"/>
        <v>0</v>
      </c>
      <c r="AK51" s="18">
        <f t="shared" si="20"/>
        <v>0</v>
      </c>
      <c r="AL51" s="18">
        <f t="shared" si="21"/>
        <v>0</v>
      </c>
      <c r="AM51" s="18">
        <f t="shared" si="22"/>
        <v>1.6949152542372881</v>
      </c>
      <c r="AN51" s="18">
        <f t="shared" si="23"/>
        <v>0</v>
      </c>
      <c r="AO51" s="18">
        <f t="shared" si="24"/>
        <v>0</v>
      </c>
      <c r="AP51" s="18">
        <f t="shared" si="25"/>
        <v>3.3898305084745761</v>
      </c>
      <c r="AQ51" s="18">
        <f t="shared" si="26"/>
        <v>33.898305084745758</v>
      </c>
      <c r="AR51" s="18">
        <f t="shared" si="7"/>
        <v>0</v>
      </c>
      <c r="AS51" s="18">
        <f t="shared" si="8"/>
        <v>3.3898305084745761</v>
      </c>
      <c r="AT51" s="18">
        <f t="shared" si="9"/>
        <v>13.559322033898304</v>
      </c>
      <c r="AU51" s="18">
        <f t="shared" si="10"/>
        <v>0</v>
      </c>
      <c r="AW51" s="19">
        <f>AVERAGE(AB51:AB53)</f>
        <v>9.7962522688345235</v>
      </c>
      <c r="AX51" s="19">
        <f t="shared" ref="AX51:BP51" si="38">AVERAGE(AC51:AC53)</f>
        <v>0</v>
      </c>
      <c r="AY51" s="19">
        <f t="shared" si="38"/>
        <v>0</v>
      </c>
      <c r="AZ51" s="19">
        <f t="shared" si="38"/>
        <v>0</v>
      </c>
      <c r="BA51" s="19">
        <f t="shared" si="38"/>
        <v>3.7191843273598013</v>
      </c>
      <c r="BB51" s="19">
        <f t="shared" si="38"/>
        <v>0</v>
      </c>
      <c r="BC51" s="19">
        <f t="shared" si="38"/>
        <v>22.088861620267405</v>
      </c>
      <c r="BD51" s="19">
        <f t="shared" si="38"/>
        <v>0</v>
      </c>
      <c r="BE51" s="19">
        <f t="shared" si="38"/>
        <v>0</v>
      </c>
      <c r="BF51" s="19">
        <f t="shared" si="38"/>
        <v>0</v>
      </c>
      <c r="BG51" s="19">
        <f t="shared" si="38"/>
        <v>0</v>
      </c>
      <c r="BH51" s="19">
        <f t="shared" si="38"/>
        <v>0.99232217876285667</v>
      </c>
      <c r="BI51" s="19">
        <f t="shared" si="38"/>
        <v>0</v>
      </c>
      <c r="BJ51" s="19">
        <f t="shared" si="38"/>
        <v>0</v>
      </c>
      <c r="BK51" s="19">
        <f t="shared" si="38"/>
        <v>1.1299435028248588</v>
      </c>
      <c r="BL51" s="19">
        <f t="shared" si="38"/>
        <v>45.58802225801228</v>
      </c>
      <c r="BM51" s="19">
        <f t="shared" si="38"/>
        <v>0</v>
      </c>
      <c r="BN51" s="19">
        <f t="shared" si="38"/>
        <v>3.0907278165503485</v>
      </c>
      <c r="BO51" s="19">
        <f t="shared" si="38"/>
        <v>12.941091256146093</v>
      </c>
      <c r="BP51" s="19">
        <f t="shared" si="38"/>
        <v>0.65359477124183007</v>
      </c>
      <c r="BQ51" s="19">
        <f>SUM(AW51:BP51)</f>
        <v>100</v>
      </c>
    </row>
    <row r="52" spans="1:69" x14ac:dyDescent="0.35">
      <c r="A52" s="1" t="s">
        <v>91</v>
      </c>
      <c r="B52" s="1">
        <v>50</v>
      </c>
      <c r="C52" s="1" t="s">
        <v>94</v>
      </c>
      <c r="D52" s="1" t="s">
        <v>93</v>
      </c>
      <c r="E52" s="3" t="s">
        <v>21</v>
      </c>
      <c r="F52" s="4">
        <v>4</v>
      </c>
      <c r="G52" s="4">
        <v>0</v>
      </c>
      <c r="H52" s="4">
        <v>0</v>
      </c>
      <c r="I52" s="4">
        <v>0</v>
      </c>
      <c r="J52" s="4">
        <v>3</v>
      </c>
      <c r="K52" s="4">
        <v>0</v>
      </c>
      <c r="L52" s="4">
        <v>19</v>
      </c>
      <c r="M52" s="4">
        <v>0</v>
      </c>
      <c r="N52" s="4">
        <v>0</v>
      </c>
      <c r="O52" s="4">
        <v>0</v>
      </c>
      <c r="P52" s="4">
        <v>0</v>
      </c>
      <c r="Q52" s="4">
        <v>1</v>
      </c>
      <c r="R52" s="4">
        <v>0</v>
      </c>
      <c r="S52" s="4">
        <v>0</v>
      </c>
      <c r="T52" s="4">
        <v>0</v>
      </c>
      <c r="U52" s="4">
        <v>42</v>
      </c>
      <c r="V52" s="4">
        <v>0</v>
      </c>
      <c r="W52" s="4">
        <v>0</v>
      </c>
      <c r="X52" s="4">
        <v>9</v>
      </c>
      <c r="Y52" s="4">
        <v>0</v>
      </c>
      <c r="Z52" s="15">
        <f t="shared" si="2"/>
        <v>78</v>
      </c>
      <c r="AB52" s="18">
        <f t="shared" si="3"/>
        <v>5.1282051282051277</v>
      </c>
      <c r="AC52" s="18">
        <f t="shared" si="12"/>
        <v>0</v>
      </c>
      <c r="AD52" s="18">
        <f t="shared" si="13"/>
        <v>0</v>
      </c>
      <c r="AE52" s="18">
        <f t="shared" si="14"/>
        <v>0</v>
      </c>
      <c r="AF52" s="18">
        <f t="shared" si="15"/>
        <v>3.8461538461538463</v>
      </c>
      <c r="AG52" s="18">
        <f t="shared" si="16"/>
        <v>0</v>
      </c>
      <c r="AH52" s="18">
        <f t="shared" si="17"/>
        <v>24.358974358974358</v>
      </c>
      <c r="AI52" s="18">
        <f t="shared" si="18"/>
        <v>0</v>
      </c>
      <c r="AJ52" s="18">
        <f t="shared" si="19"/>
        <v>0</v>
      </c>
      <c r="AK52" s="18">
        <f t="shared" si="20"/>
        <v>0</v>
      </c>
      <c r="AL52" s="18">
        <f t="shared" si="21"/>
        <v>0</v>
      </c>
      <c r="AM52" s="18">
        <f t="shared" si="22"/>
        <v>1.2820512820512819</v>
      </c>
      <c r="AN52" s="18">
        <f t="shared" si="23"/>
        <v>0</v>
      </c>
      <c r="AO52" s="18">
        <f t="shared" si="24"/>
        <v>0</v>
      </c>
      <c r="AP52" s="18">
        <f t="shared" si="25"/>
        <v>0</v>
      </c>
      <c r="AQ52" s="18">
        <f t="shared" si="26"/>
        <v>53.846153846153847</v>
      </c>
      <c r="AR52" s="18">
        <f t="shared" si="7"/>
        <v>0</v>
      </c>
      <c r="AS52" s="18">
        <f t="shared" si="8"/>
        <v>0</v>
      </c>
      <c r="AT52" s="18">
        <f t="shared" si="9"/>
        <v>11.538461538461538</v>
      </c>
      <c r="AU52" s="18">
        <f t="shared" si="10"/>
        <v>0</v>
      </c>
    </row>
    <row r="53" spans="1:69" x14ac:dyDescent="0.35">
      <c r="A53" s="1" t="s">
        <v>91</v>
      </c>
      <c r="B53" s="1">
        <v>51</v>
      </c>
      <c r="C53" s="1" t="s">
        <v>95</v>
      </c>
      <c r="D53" s="1" t="s">
        <v>93</v>
      </c>
      <c r="E53" s="3" t="s">
        <v>21</v>
      </c>
      <c r="F53" s="4">
        <v>2</v>
      </c>
      <c r="G53" s="4">
        <v>0</v>
      </c>
      <c r="H53" s="4">
        <v>0</v>
      </c>
      <c r="I53" s="4">
        <v>0</v>
      </c>
      <c r="J53" s="4">
        <v>2</v>
      </c>
      <c r="K53" s="4">
        <v>0</v>
      </c>
      <c r="L53" s="4">
        <v>11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25</v>
      </c>
      <c r="V53" s="4">
        <v>0</v>
      </c>
      <c r="W53" s="4">
        <v>3</v>
      </c>
      <c r="X53" s="4">
        <v>7</v>
      </c>
      <c r="Y53" s="4">
        <v>1</v>
      </c>
      <c r="Z53" s="15">
        <f t="shared" si="2"/>
        <v>51</v>
      </c>
      <c r="AB53" s="18">
        <f t="shared" si="3"/>
        <v>3.9215686274509802</v>
      </c>
      <c r="AC53" s="18">
        <f t="shared" si="12"/>
        <v>0</v>
      </c>
      <c r="AD53" s="18">
        <f t="shared" si="13"/>
        <v>0</v>
      </c>
      <c r="AE53" s="18">
        <f t="shared" si="14"/>
        <v>0</v>
      </c>
      <c r="AF53" s="18">
        <f t="shared" si="15"/>
        <v>3.9215686274509802</v>
      </c>
      <c r="AG53" s="18">
        <f t="shared" si="16"/>
        <v>0</v>
      </c>
      <c r="AH53" s="18">
        <f t="shared" si="17"/>
        <v>21.568627450980394</v>
      </c>
      <c r="AI53" s="18">
        <f t="shared" si="18"/>
        <v>0</v>
      </c>
      <c r="AJ53" s="18">
        <f t="shared" si="19"/>
        <v>0</v>
      </c>
      <c r="AK53" s="18">
        <f t="shared" si="20"/>
        <v>0</v>
      </c>
      <c r="AL53" s="18">
        <f t="shared" si="21"/>
        <v>0</v>
      </c>
      <c r="AM53" s="18">
        <f t="shared" si="22"/>
        <v>0</v>
      </c>
      <c r="AN53" s="18">
        <f t="shared" si="23"/>
        <v>0</v>
      </c>
      <c r="AO53" s="18">
        <f t="shared" si="24"/>
        <v>0</v>
      </c>
      <c r="AP53" s="18">
        <f t="shared" si="25"/>
        <v>0</v>
      </c>
      <c r="AQ53" s="18">
        <f t="shared" si="26"/>
        <v>49.019607843137251</v>
      </c>
      <c r="AR53" s="18">
        <f t="shared" si="7"/>
        <v>0</v>
      </c>
      <c r="AS53" s="18">
        <f t="shared" si="8"/>
        <v>5.8823529411764701</v>
      </c>
      <c r="AT53" s="18">
        <f t="shared" si="9"/>
        <v>13.725490196078432</v>
      </c>
      <c r="AU53" s="18">
        <f t="shared" si="10"/>
        <v>1.9607843137254901</v>
      </c>
    </row>
    <row r="54" spans="1:69" x14ac:dyDescent="0.35">
      <c r="A54" s="1" t="s">
        <v>91</v>
      </c>
      <c r="B54" s="1">
        <v>52</v>
      </c>
      <c r="C54" s="1" t="s">
        <v>96</v>
      </c>
      <c r="D54" s="1" t="s">
        <v>97</v>
      </c>
      <c r="E54" s="3" t="s">
        <v>27</v>
      </c>
      <c r="F54" s="4">
        <v>0</v>
      </c>
      <c r="G54" s="4">
        <v>0</v>
      </c>
      <c r="H54" s="4">
        <v>0</v>
      </c>
      <c r="I54" s="4">
        <v>0</v>
      </c>
      <c r="J54" s="4">
        <v>5</v>
      </c>
      <c r="K54" s="4">
        <v>0</v>
      </c>
      <c r="L54" s="4">
        <v>12</v>
      </c>
      <c r="M54" s="4">
        <v>0</v>
      </c>
      <c r="N54" s="4">
        <v>0</v>
      </c>
      <c r="O54" s="4">
        <v>0</v>
      </c>
      <c r="P54" s="4">
        <v>0</v>
      </c>
      <c r="Q54" s="4">
        <v>2</v>
      </c>
      <c r="R54" s="4">
        <v>0</v>
      </c>
      <c r="S54" s="4">
        <v>0</v>
      </c>
      <c r="T54" s="4">
        <v>0</v>
      </c>
      <c r="U54" s="4">
        <v>17</v>
      </c>
      <c r="V54" s="4">
        <v>0</v>
      </c>
      <c r="W54" s="4">
        <v>0</v>
      </c>
      <c r="X54" s="4">
        <v>16</v>
      </c>
      <c r="Y54" s="4">
        <v>0</v>
      </c>
      <c r="Z54" s="15">
        <f t="shared" si="2"/>
        <v>52</v>
      </c>
      <c r="AB54" s="18">
        <f t="shared" si="3"/>
        <v>0</v>
      </c>
      <c r="AC54" s="18">
        <f t="shared" si="12"/>
        <v>0</v>
      </c>
      <c r="AD54" s="18">
        <f t="shared" si="13"/>
        <v>0</v>
      </c>
      <c r="AE54" s="18">
        <f t="shared" si="14"/>
        <v>0</v>
      </c>
      <c r="AF54" s="18">
        <f t="shared" si="15"/>
        <v>9.6153846153846168</v>
      </c>
      <c r="AG54" s="18">
        <f t="shared" si="16"/>
        <v>0</v>
      </c>
      <c r="AH54" s="18">
        <f t="shared" si="17"/>
        <v>23.076923076923077</v>
      </c>
      <c r="AI54" s="18">
        <f t="shared" si="18"/>
        <v>0</v>
      </c>
      <c r="AJ54" s="18">
        <f t="shared" si="19"/>
        <v>0</v>
      </c>
      <c r="AK54" s="18">
        <f t="shared" si="20"/>
        <v>0</v>
      </c>
      <c r="AL54" s="18">
        <f t="shared" si="21"/>
        <v>0</v>
      </c>
      <c r="AM54" s="18">
        <f t="shared" si="22"/>
        <v>3.8461538461538463</v>
      </c>
      <c r="AN54" s="18">
        <f t="shared" si="23"/>
        <v>0</v>
      </c>
      <c r="AO54" s="18">
        <f t="shared" si="24"/>
        <v>0</v>
      </c>
      <c r="AP54" s="18">
        <f t="shared" si="25"/>
        <v>0</v>
      </c>
      <c r="AQ54" s="18">
        <f t="shared" si="26"/>
        <v>32.692307692307693</v>
      </c>
      <c r="AR54" s="18">
        <f t="shared" si="7"/>
        <v>0</v>
      </c>
      <c r="AS54" s="18">
        <f t="shared" si="8"/>
        <v>0</v>
      </c>
      <c r="AT54" s="18">
        <f t="shared" si="9"/>
        <v>30.76923076923077</v>
      </c>
      <c r="AU54" s="18">
        <f t="shared" si="10"/>
        <v>0</v>
      </c>
      <c r="AW54" s="19">
        <f>AVERAGE(AB54:AB56)</f>
        <v>3.0158730158730158</v>
      </c>
      <c r="AX54" s="19">
        <f t="shared" ref="AX54:BP54" si="39">AVERAGE(AC54:AC56)</f>
        <v>0.74074074074074081</v>
      </c>
      <c r="AY54" s="19">
        <f t="shared" si="39"/>
        <v>0</v>
      </c>
      <c r="AZ54" s="19">
        <f t="shared" si="39"/>
        <v>0</v>
      </c>
      <c r="BA54" s="19">
        <f t="shared" si="39"/>
        <v>7.755392755392756</v>
      </c>
      <c r="BB54" s="19">
        <f t="shared" si="39"/>
        <v>0</v>
      </c>
      <c r="BC54" s="19">
        <f t="shared" si="39"/>
        <v>27.533577533577532</v>
      </c>
      <c r="BD54" s="19">
        <f t="shared" si="39"/>
        <v>5.2380952380952381</v>
      </c>
      <c r="BE54" s="19">
        <f t="shared" si="39"/>
        <v>0</v>
      </c>
      <c r="BF54" s="19">
        <f t="shared" si="39"/>
        <v>0</v>
      </c>
      <c r="BG54" s="19">
        <f t="shared" si="39"/>
        <v>1.5873015873015872</v>
      </c>
      <c r="BH54" s="19">
        <f t="shared" si="39"/>
        <v>1.2820512820512822</v>
      </c>
      <c r="BI54" s="19">
        <f t="shared" si="39"/>
        <v>0</v>
      </c>
      <c r="BJ54" s="19">
        <f t="shared" si="39"/>
        <v>3.1746031746031744</v>
      </c>
      <c r="BK54" s="19">
        <f t="shared" si="39"/>
        <v>4.4444444444444446</v>
      </c>
      <c r="BL54" s="19">
        <f t="shared" si="39"/>
        <v>30.368335368335369</v>
      </c>
      <c r="BM54" s="19">
        <f t="shared" si="39"/>
        <v>0</v>
      </c>
      <c r="BN54" s="19">
        <f t="shared" si="39"/>
        <v>0.74074074074074081</v>
      </c>
      <c r="BO54" s="19">
        <f t="shared" si="39"/>
        <v>11.790801790801792</v>
      </c>
      <c r="BP54" s="19">
        <f t="shared" si="39"/>
        <v>2.3280423280423279</v>
      </c>
      <c r="BQ54" s="19">
        <f>SUM(AW54:BP54)</f>
        <v>100.00000000000001</v>
      </c>
    </row>
    <row r="55" spans="1:69" x14ac:dyDescent="0.35">
      <c r="A55" s="1" t="s">
        <v>91</v>
      </c>
      <c r="B55" s="1">
        <v>53</v>
      </c>
      <c r="C55" s="1" t="s">
        <v>98</v>
      </c>
      <c r="D55" s="1" t="s">
        <v>97</v>
      </c>
      <c r="E55" s="3" t="s">
        <v>27</v>
      </c>
      <c r="F55" s="4">
        <v>3</v>
      </c>
      <c r="G55" s="4">
        <v>1</v>
      </c>
      <c r="H55" s="4">
        <v>0</v>
      </c>
      <c r="I55" s="4">
        <v>0</v>
      </c>
      <c r="J55" s="4">
        <v>4</v>
      </c>
      <c r="K55" s="4">
        <v>0</v>
      </c>
      <c r="L55" s="4">
        <v>15</v>
      </c>
      <c r="M55" s="4">
        <v>6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6</v>
      </c>
      <c r="U55" s="4">
        <v>7</v>
      </c>
      <c r="V55" s="4">
        <v>0</v>
      </c>
      <c r="W55" s="4">
        <v>1</v>
      </c>
      <c r="X55" s="4">
        <v>1</v>
      </c>
      <c r="Y55" s="4">
        <v>1</v>
      </c>
      <c r="Z55" s="15">
        <f t="shared" si="2"/>
        <v>45</v>
      </c>
      <c r="AB55" s="18">
        <f t="shared" si="3"/>
        <v>6.666666666666667</v>
      </c>
      <c r="AC55" s="18">
        <f t="shared" si="12"/>
        <v>2.2222222222222223</v>
      </c>
      <c r="AD55" s="18">
        <f t="shared" si="13"/>
        <v>0</v>
      </c>
      <c r="AE55" s="18">
        <f t="shared" si="14"/>
        <v>0</v>
      </c>
      <c r="AF55" s="18">
        <f t="shared" si="15"/>
        <v>8.8888888888888893</v>
      </c>
      <c r="AG55" s="18">
        <f t="shared" si="16"/>
        <v>0</v>
      </c>
      <c r="AH55" s="18">
        <f t="shared" si="17"/>
        <v>33.333333333333329</v>
      </c>
      <c r="AI55" s="18">
        <f t="shared" si="18"/>
        <v>13.333333333333334</v>
      </c>
      <c r="AJ55" s="18">
        <f t="shared" si="19"/>
        <v>0</v>
      </c>
      <c r="AK55" s="18">
        <f t="shared" si="20"/>
        <v>0</v>
      </c>
      <c r="AL55" s="18">
        <f t="shared" si="21"/>
        <v>0</v>
      </c>
      <c r="AM55" s="18">
        <f t="shared" si="22"/>
        <v>0</v>
      </c>
      <c r="AN55" s="18">
        <f t="shared" si="23"/>
        <v>0</v>
      </c>
      <c r="AO55" s="18">
        <f t="shared" si="24"/>
        <v>0</v>
      </c>
      <c r="AP55" s="18">
        <f t="shared" si="25"/>
        <v>13.333333333333334</v>
      </c>
      <c r="AQ55" s="18">
        <f t="shared" si="26"/>
        <v>15.555555555555555</v>
      </c>
      <c r="AR55" s="18">
        <f t="shared" si="7"/>
        <v>0</v>
      </c>
      <c r="AS55" s="18">
        <f t="shared" si="8"/>
        <v>2.2222222222222223</v>
      </c>
      <c r="AT55" s="18">
        <f t="shared" si="9"/>
        <v>2.2222222222222223</v>
      </c>
      <c r="AU55" s="18">
        <f t="shared" si="10"/>
        <v>2.2222222222222223</v>
      </c>
    </row>
    <row r="56" spans="1:69" x14ac:dyDescent="0.35">
      <c r="A56" s="1" t="s">
        <v>91</v>
      </c>
      <c r="B56" s="1">
        <v>54</v>
      </c>
      <c r="C56" s="1" t="s">
        <v>99</v>
      </c>
      <c r="D56" s="1" t="s">
        <v>97</v>
      </c>
      <c r="E56" s="3" t="s">
        <v>27</v>
      </c>
      <c r="F56" s="4">
        <v>1</v>
      </c>
      <c r="G56" s="4">
        <v>0</v>
      </c>
      <c r="H56" s="4">
        <v>0</v>
      </c>
      <c r="I56" s="4">
        <v>0</v>
      </c>
      <c r="J56" s="4">
        <v>2</v>
      </c>
      <c r="K56" s="4">
        <v>0</v>
      </c>
      <c r="L56" s="4">
        <v>11</v>
      </c>
      <c r="M56" s="4">
        <v>1</v>
      </c>
      <c r="N56" s="4">
        <v>0</v>
      </c>
      <c r="O56" s="4">
        <v>0</v>
      </c>
      <c r="P56" s="4">
        <v>2</v>
      </c>
      <c r="Q56" s="4">
        <v>0</v>
      </c>
      <c r="R56" s="4">
        <v>0</v>
      </c>
      <c r="S56" s="4">
        <v>4</v>
      </c>
      <c r="T56" s="4">
        <v>0</v>
      </c>
      <c r="U56" s="4">
        <v>18</v>
      </c>
      <c r="V56" s="4">
        <v>0</v>
      </c>
      <c r="W56" s="4">
        <v>0</v>
      </c>
      <c r="X56" s="4">
        <v>1</v>
      </c>
      <c r="Y56" s="4">
        <v>2</v>
      </c>
      <c r="Z56" s="15">
        <f t="shared" si="2"/>
        <v>42</v>
      </c>
      <c r="AB56" s="18">
        <f t="shared" si="3"/>
        <v>2.3809523809523809</v>
      </c>
      <c r="AC56" s="18">
        <f t="shared" si="12"/>
        <v>0</v>
      </c>
      <c r="AD56" s="18">
        <f t="shared" si="13"/>
        <v>0</v>
      </c>
      <c r="AE56" s="18">
        <f t="shared" si="14"/>
        <v>0</v>
      </c>
      <c r="AF56" s="18">
        <f t="shared" si="15"/>
        <v>4.7619047619047619</v>
      </c>
      <c r="AG56" s="18">
        <f t="shared" si="16"/>
        <v>0</v>
      </c>
      <c r="AH56" s="18">
        <f t="shared" si="17"/>
        <v>26.190476190476193</v>
      </c>
      <c r="AI56" s="18">
        <f t="shared" si="18"/>
        <v>2.3809523809523809</v>
      </c>
      <c r="AJ56" s="18">
        <f t="shared" si="19"/>
        <v>0</v>
      </c>
      <c r="AK56" s="18">
        <f t="shared" si="20"/>
        <v>0</v>
      </c>
      <c r="AL56" s="18">
        <f t="shared" si="21"/>
        <v>4.7619047619047619</v>
      </c>
      <c r="AM56" s="18">
        <f t="shared" si="22"/>
        <v>0</v>
      </c>
      <c r="AN56" s="18">
        <f t="shared" si="23"/>
        <v>0</v>
      </c>
      <c r="AO56" s="18">
        <f t="shared" si="24"/>
        <v>9.5238095238095237</v>
      </c>
      <c r="AP56" s="18">
        <f t="shared" si="25"/>
        <v>0</v>
      </c>
      <c r="AQ56" s="18">
        <f t="shared" si="26"/>
        <v>42.857142857142854</v>
      </c>
      <c r="AR56" s="18">
        <f t="shared" si="7"/>
        <v>0</v>
      </c>
      <c r="AS56" s="18">
        <f t="shared" si="8"/>
        <v>0</v>
      </c>
      <c r="AT56" s="18">
        <f t="shared" si="9"/>
        <v>2.3809523809523809</v>
      </c>
      <c r="AU56" s="18">
        <f t="shared" si="10"/>
        <v>4.7619047619047619</v>
      </c>
    </row>
    <row r="57" spans="1:69" x14ac:dyDescent="0.35">
      <c r="A57" s="1" t="s">
        <v>91</v>
      </c>
      <c r="B57" s="1">
        <v>55</v>
      </c>
      <c r="C57" s="1" t="s">
        <v>100</v>
      </c>
      <c r="D57" s="1" t="s">
        <v>101</v>
      </c>
      <c r="E57" s="3" t="s">
        <v>21</v>
      </c>
      <c r="F57" s="4">
        <v>5</v>
      </c>
      <c r="G57" s="4">
        <v>0</v>
      </c>
      <c r="H57" s="4">
        <v>0</v>
      </c>
      <c r="I57" s="4">
        <v>0</v>
      </c>
      <c r="J57" s="4">
        <v>5</v>
      </c>
      <c r="K57" s="4">
        <v>0</v>
      </c>
      <c r="L57" s="4">
        <v>7</v>
      </c>
      <c r="M57" s="4">
        <v>0</v>
      </c>
      <c r="N57" s="4">
        <v>0</v>
      </c>
      <c r="O57" s="4">
        <v>0</v>
      </c>
      <c r="P57" s="4">
        <v>0</v>
      </c>
      <c r="Q57" s="4">
        <v>2</v>
      </c>
      <c r="R57" s="4">
        <v>0</v>
      </c>
      <c r="S57" s="4">
        <v>1</v>
      </c>
      <c r="T57" s="4">
        <v>0</v>
      </c>
      <c r="U57" s="4">
        <v>11</v>
      </c>
      <c r="V57" s="4">
        <v>0</v>
      </c>
      <c r="W57" s="4">
        <v>0</v>
      </c>
      <c r="X57" s="4">
        <v>13</v>
      </c>
      <c r="Y57" s="4">
        <v>0</v>
      </c>
      <c r="Z57" s="15">
        <f t="shared" si="2"/>
        <v>44</v>
      </c>
      <c r="AB57" s="18">
        <f t="shared" si="3"/>
        <v>11.363636363636363</v>
      </c>
      <c r="AC57" s="18">
        <f t="shared" si="12"/>
        <v>0</v>
      </c>
      <c r="AD57" s="18">
        <f t="shared" si="13"/>
        <v>0</v>
      </c>
      <c r="AE57" s="18">
        <f t="shared" si="14"/>
        <v>0</v>
      </c>
      <c r="AF57" s="18">
        <f t="shared" si="15"/>
        <v>11.363636363636363</v>
      </c>
      <c r="AG57" s="18">
        <f t="shared" si="16"/>
        <v>0</v>
      </c>
      <c r="AH57" s="18">
        <f t="shared" si="17"/>
        <v>15.909090909090908</v>
      </c>
      <c r="AI57" s="18">
        <f t="shared" si="18"/>
        <v>0</v>
      </c>
      <c r="AJ57" s="18">
        <f t="shared" si="19"/>
        <v>0</v>
      </c>
      <c r="AK57" s="18">
        <f t="shared" si="20"/>
        <v>0</v>
      </c>
      <c r="AL57" s="18">
        <f t="shared" si="21"/>
        <v>0</v>
      </c>
      <c r="AM57" s="18">
        <f t="shared" si="22"/>
        <v>4.5454545454545459</v>
      </c>
      <c r="AN57" s="18">
        <f t="shared" si="23"/>
        <v>0</v>
      </c>
      <c r="AO57" s="18">
        <f t="shared" si="24"/>
        <v>2.2727272727272729</v>
      </c>
      <c r="AP57" s="18">
        <f t="shared" si="25"/>
        <v>0</v>
      </c>
      <c r="AQ57" s="18">
        <f t="shared" si="26"/>
        <v>25</v>
      </c>
      <c r="AR57" s="18">
        <f t="shared" si="7"/>
        <v>0</v>
      </c>
      <c r="AS57" s="18">
        <f t="shared" si="8"/>
        <v>0</v>
      </c>
      <c r="AT57" s="18">
        <f t="shared" si="9"/>
        <v>29.545454545454547</v>
      </c>
      <c r="AU57" s="18">
        <f t="shared" si="10"/>
        <v>0</v>
      </c>
      <c r="AW57" s="19">
        <f>AVERAGE(AB57:AB59)</f>
        <v>9.9927849927849923</v>
      </c>
      <c r="AX57" s="19">
        <f t="shared" ref="AX57:BP57" si="40">AVERAGE(AC57:AC59)</f>
        <v>0</v>
      </c>
      <c r="AY57" s="19">
        <f t="shared" si="40"/>
        <v>0</v>
      </c>
      <c r="AZ57" s="19">
        <f t="shared" si="40"/>
        <v>0</v>
      </c>
      <c r="BA57" s="19">
        <f t="shared" si="40"/>
        <v>5.5194805194805197</v>
      </c>
      <c r="BB57" s="19">
        <f t="shared" si="40"/>
        <v>0</v>
      </c>
      <c r="BC57" s="19">
        <f t="shared" si="40"/>
        <v>21.969696969696969</v>
      </c>
      <c r="BD57" s="19">
        <f t="shared" si="40"/>
        <v>0</v>
      </c>
      <c r="BE57" s="19">
        <f t="shared" si="40"/>
        <v>0</v>
      </c>
      <c r="BF57" s="19">
        <f t="shared" si="40"/>
        <v>0</v>
      </c>
      <c r="BG57" s="19">
        <f t="shared" si="40"/>
        <v>0</v>
      </c>
      <c r="BH57" s="19">
        <f t="shared" si="40"/>
        <v>2.5252525252525255</v>
      </c>
      <c r="BI57" s="19">
        <f t="shared" si="40"/>
        <v>0</v>
      </c>
      <c r="BJ57" s="19">
        <f t="shared" si="40"/>
        <v>0.75757575757575768</v>
      </c>
      <c r="BK57" s="19">
        <f t="shared" si="40"/>
        <v>0</v>
      </c>
      <c r="BL57" s="19">
        <f t="shared" si="40"/>
        <v>35.461760461760463</v>
      </c>
      <c r="BM57" s="19">
        <f t="shared" si="40"/>
        <v>0</v>
      </c>
      <c r="BN57" s="19">
        <f t="shared" si="40"/>
        <v>3.0303030303030307</v>
      </c>
      <c r="BO57" s="19">
        <f t="shared" si="40"/>
        <v>20.238095238095241</v>
      </c>
      <c r="BP57" s="19">
        <f t="shared" si="40"/>
        <v>0.50505050505050508</v>
      </c>
      <c r="BQ57" s="19">
        <f>SUM(AW57:BP57)</f>
        <v>100.00000000000001</v>
      </c>
    </row>
    <row r="58" spans="1:69" x14ac:dyDescent="0.35">
      <c r="A58" s="1" t="s">
        <v>91</v>
      </c>
      <c r="B58" s="1">
        <v>56</v>
      </c>
      <c r="C58" s="1" t="s">
        <v>102</v>
      </c>
      <c r="D58" s="1" t="s">
        <v>101</v>
      </c>
      <c r="E58" s="3" t="s">
        <v>21</v>
      </c>
      <c r="F58" s="4">
        <v>2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21</v>
      </c>
      <c r="M58" s="4">
        <v>0</v>
      </c>
      <c r="N58" s="4">
        <v>0</v>
      </c>
      <c r="O58" s="4">
        <v>0</v>
      </c>
      <c r="P58" s="4">
        <v>0</v>
      </c>
      <c r="Q58" s="4">
        <v>2</v>
      </c>
      <c r="R58" s="4">
        <v>0</v>
      </c>
      <c r="S58" s="4">
        <v>0</v>
      </c>
      <c r="T58" s="4">
        <v>0</v>
      </c>
      <c r="U58" s="4">
        <v>22</v>
      </c>
      <c r="V58" s="4">
        <v>0</v>
      </c>
      <c r="W58" s="4">
        <v>6</v>
      </c>
      <c r="X58" s="4">
        <v>12</v>
      </c>
      <c r="Y58" s="4">
        <v>1</v>
      </c>
      <c r="Z58" s="15">
        <f t="shared" si="2"/>
        <v>66</v>
      </c>
      <c r="AB58" s="18">
        <f t="shared" si="3"/>
        <v>3.0303030303030303</v>
      </c>
      <c r="AC58" s="18">
        <f t="shared" si="12"/>
        <v>0</v>
      </c>
      <c r="AD58" s="18">
        <f t="shared" si="13"/>
        <v>0</v>
      </c>
      <c r="AE58" s="18">
        <f t="shared" si="14"/>
        <v>0</v>
      </c>
      <c r="AF58" s="18">
        <f t="shared" si="15"/>
        <v>0</v>
      </c>
      <c r="AG58" s="18">
        <f t="shared" si="16"/>
        <v>0</v>
      </c>
      <c r="AH58" s="18">
        <f t="shared" si="17"/>
        <v>31.818181818181817</v>
      </c>
      <c r="AI58" s="18">
        <f t="shared" si="18"/>
        <v>0</v>
      </c>
      <c r="AJ58" s="18">
        <f t="shared" si="19"/>
        <v>0</v>
      </c>
      <c r="AK58" s="18">
        <f t="shared" si="20"/>
        <v>0</v>
      </c>
      <c r="AL58" s="18">
        <f t="shared" si="21"/>
        <v>0</v>
      </c>
      <c r="AM58" s="18">
        <f t="shared" si="22"/>
        <v>3.0303030303030303</v>
      </c>
      <c r="AN58" s="18">
        <f t="shared" si="23"/>
        <v>0</v>
      </c>
      <c r="AO58" s="18">
        <f t="shared" si="24"/>
        <v>0</v>
      </c>
      <c r="AP58" s="18">
        <f t="shared" si="25"/>
        <v>0</v>
      </c>
      <c r="AQ58" s="18">
        <f t="shared" si="26"/>
        <v>33.333333333333329</v>
      </c>
      <c r="AR58" s="18">
        <f t="shared" si="7"/>
        <v>0</v>
      </c>
      <c r="AS58" s="18">
        <f t="shared" si="8"/>
        <v>9.0909090909090917</v>
      </c>
      <c r="AT58" s="18">
        <f t="shared" si="9"/>
        <v>18.181818181818183</v>
      </c>
      <c r="AU58" s="18">
        <f t="shared" si="10"/>
        <v>1.5151515151515151</v>
      </c>
    </row>
    <row r="59" spans="1:69" x14ac:dyDescent="0.35">
      <c r="A59" s="1" t="s">
        <v>91</v>
      </c>
      <c r="B59" s="1">
        <v>57</v>
      </c>
      <c r="C59" s="1" t="s">
        <v>103</v>
      </c>
      <c r="D59" s="1" t="s">
        <v>101</v>
      </c>
      <c r="E59" s="3" t="s">
        <v>21</v>
      </c>
      <c r="F59" s="4">
        <v>12</v>
      </c>
      <c r="G59" s="4">
        <v>0</v>
      </c>
      <c r="H59" s="4">
        <v>0</v>
      </c>
      <c r="I59" s="4">
        <v>0</v>
      </c>
      <c r="J59" s="4">
        <v>4</v>
      </c>
      <c r="K59" s="4">
        <v>0</v>
      </c>
      <c r="L59" s="4">
        <v>14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37</v>
      </c>
      <c r="V59" s="4">
        <v>0</v>
      </c>
      <c r="W59" s="4">
        <v>0</v>
      </c>
      <c r="X59" s="4">
        <v>10</v>
      </c>
      <c r="Y59" s="4">
        <v>0</v>
      </c>
      <c r="Z59" s="15">
        <f t="shared" si="2"/>
        <v>77</v>
      </c>
      <c r="AB59" s="18">
        <f t="shared" si="3"/>
        <v>15.584415584415584</v>
      </c>
      <c r="AC59" s="18">
        <f t="shared" si="12"/>
        <v>0</v>
      </c>
      <c r="AD59" s="18">
        <f t="shared" si="13"/>
        <v>0</v>
      </c>
      <c r="AE59" s="18">
        <f t="shared" si="14"/>
        <v>0</v>
      </c>
      <c r="AF59" s="18">
        <f t="shared" si="15"/>
        <v>5.1948051948051948</v>
      </c>
      <c r="AG59" s="18">
        <f t="shared" si="16"/>
        <v>0</v>
      </c>
      <c r="AH59" s="18">
        <f t="shared" si="17"/>
        <v>18.181818181818183</v>
      </c>
      <c r="AI59" s="18">
        <f t="shared" si="18"/>
        <v>0</v>
      </c>
      <c r="AJ59" s="18">
        <f t="shared" si="19"/>
        <v>0</v>
      </c>
      <c r="AK59" s="18">
        <f t="shared" si="20"/>
        <v>0</v>
      </c>
      <c r="AL59" s="18">
        <f t="shared" si="21"/>
        <v>0</v>
      </c>
      <c r="AM59" s="18">
        <f t="shared" si="22"/>
        <v>0</v>
      </c>
      <c r="AN59" s="18">
        <f t="shared" si="23"/>
        <v>0</v>
      </c>
      <c r="AO59" s="18">
        <f t="shared" si="24"/>
        <v>0</v>
      </c>
      <c r="AP59" s="18">
        <f t="shared" si="25"/>
        <v>0</v>
      </c>
      <c r="AQ59" s="18">
        <f t="shared" si="26"/>
        <v>48.051948051948052</v>
      </c>
      <c r="AR59" s="18">
        <f t="shared" si="7"/>
        <v>0</v>
      </c>
      <c r="AS59" s="18">
        <f t="shared" si="8"/>
        <v>0</v>
      </c>
      <c r="AT59" s="18">
        <f t="shared" si="9"/>
        <v>12.987012987012985</v>
      </c>
      <c r="AU59" s="18">
        <f t="shared" si="10"/>
        <v>0</v>
      </c>
    </row>
    <row r="60" spans="1:69" x14ac:dyDescent="0.35">
      <c r="A60" s="1" t="s">
        <v>91</v>
      </c>
      <c r="B60" s="1">
        <v>58</v>
      </c>
      <c r="C60" s="1" t="s">
        <v>104</v>
      </c>
      <c r="D60" s="1" t="s">
        <v>105</v>
      </c>
      <c r="E60" s="3" t="s">
        <v>21</v>
      </c>
      <c r="F60" s="4">
        <v>6</v>
      </c>
      <c r="G60" s="4">
        <v>0</v>
      </c>
      <c r="H60" s="4">
        <v>0</v>
      </c>
      <c r="I60" s="4">
        <v>0</v>
      </c>
      <c r="J60" s="4">
        <v>1</v>
      </c>
      <c r="K60" s="4">
        <v>0</v>
      </c>
      <c r="L60" s="4">
        <v>13</v>
      </c>
      <c r="M60" s="4">
        <v>0</v>
      </c>
      <c r="N60" s="4">
        <v>0</v>
      </c>
      <c r="O60" s="4">
        <v>0</v>
      </c>
      <c r="P60" s="4">
        <v>0</v>
      </c>
      <c r="Q60" s="4">
        <v>1</v>
      </c>
      <c r="R60" s="4">
        <v>0</v>
      </c>
      <c r="S60" s="4">
        <v>0</v>
      </c>
      <c r="T60" s="4">
        <v>0</v>
      </c>
      <c r="U60" s="4">
        <v>26</v>
      </c>
      <c r="V60" s="4">
        <v>0</v>
      </c>
      <c r="W60" s="4">
        <v>2</v>
      </c>
      <c r="X60" s="4">
        <v>13</v>
      </c>
      <c r="Y60" s="4">
        <v>0</v>
      </c>
      <c r="Z60" s="15">
        <f t="shared" si="2"/>
        <v>62</v>
      </c>
      <c r="AB60" s="18">
        <f t="shared" si="3"/>
        <v>9.67741935483871</v>
      </c>
      <c r="AC60" s="18">
        <f t="shared" si="12"/>
        <v>0</v>
      </c>
      <c r="AD60" s="18">
        <f t="shared" si="13"/>
        <v>0</v>
      </c>
      <c r="AE60" s="18">
        <f t="shared" si="14"/>
        <v>0</v>
      </c>
      <c r="AF60" s="18">
        <f t="shared" si="15"/>
        <v>1.6129032258064515</v>
      </c>
      <c r="AG60" s="18">
        <f t="shared" si="16"/>
        <v>0</v>
      </c>
      <c r="AH60" s="18">
        <f t="shared" si="17"/>
        <v>20.967741935483872</v>
      </c>
      <c r="AI60" s="18">
        <f t="shared" si="18"/>
        <v>0</v>
      </c>
      <c r="AJ60" s="18">
        <f t="shared" si="19"/>
        <v>0</v>
      </c>
      <c r="AK60" s="18">
        <f t="shared" si="20"/>
        <v>0</v>
      </c>
      <c r="AL60" s="18">
        <f t="shared" si="21"/>
        <v>0</v>
      </c>
      <c r="AM60" s="18">
        <f t="shared" si="22"/>
        <v>1.6129032258064515</v>
      </c>
      <c r="AN60" s="18">
        <f t="shared" si="23"/>
        <v>0</v>
      </c>
      <c r="AO60" s="18">
        <f t="shared" si="24"/>
        <v>0</v>
      </c>
      <c r="AP60" s="18">
        <f t="shared" si="25"/>
        <v>0</v>
      </c>
      <c r="AQ60" s="18">
        <f t="shared" si="26"/>
        <v>41.935483870967744</v>
      </c>
      <c r="AR60" s="18">
        <f t="shared" si="7"/>
        <v>0</v>
      </c>
      <c r="AS60" s="18">
        <f t="shared" si="8"/>
        <v>3.225806451612903</v>
      </c>
      <c r="AT60" s="18">
        <f t="shared" si="9"/>
        <v>20.967741935483872</v>
      </c>
      <c r="AU60" s="18">
        <f t="shared" si="10"/>
        <v>0</v>
      </c>
      <c r="AW60" s="19">
        <f>AVERAGE(AB60:AB62)</f>
        <v>16.363061353573688</v>
      </c>
      <c r="AX60" s="19">
        <f t="shared" ref="AX60:BP60" si="41">AVERAGE(AC60:AC62)</f>
        <v>0</v>
      </c>
      <c r="AY60" s="19">
        <f t="shared" si="41"/>
        <v>0</v>
      </c>
      <c r="AZ60" s="19">
        <f t="shared" si="41"/>
        <v>0</v>
      </c>
      <c r="BA60" s="19">
        <f t="shared" si="41"/>
        <v>8.0670461733080323</v>
      </c>
      <c r="BB60" s="19">
        <f t="shared" si="41"/>
        <v>0</v>
      </c>
      <c r="BC60" s="19">
        <f t="shared" si="41"/>
        <v>17.969639468690701</v>
      </c>
      <c r="BD60" s="19">
        <f t="shared" si="41"/>
        <v>0</v>
      </c>
      <c r="BE60" s="19">
        <f t="shared" si="41"/>
        <v>0</v>
      </c>
      <c r="BF60" s="19">
        <f t="shared" si="41"/>
        <v>0</v>
      </c>
      <c r="BG60" s="19">
        <f t="shared" si="41"/>
        <v>0.66666666666666663</v>
      </c>
      <c r="BH60" s="19">
        <f t="shared" si="41"/>
        <v>0.5376344086021505</v>
      </c>
      <c r="BI60" s="19">
        <f t="shared" si="41"/>
        <v>0</v>
      </c>
      <c r="BJ60" s="19">
        <f t="shared" si="41"/>
        <v>5.6470588235294121</v>
      </c>
      <c r="BK60" s="19">
        <f t="shared" si="41"/>
        <v>0</v>
      </c>
      <c r="BL60" s="19">
        <f t="shared" si="41"/>
        <v>28.449082858950032</v>
      </c>
      <c r="BM60" s="19">
        <f t="shared" si="41"/>
        <v>0</v>
      </c>
      <c r="BN60" s="19">
        <f t="shared" si="41"/>
        <v>9.3105629348513599</v>
      </c>
      <c r="BO60" s="19">
        <f t="shared" si="41"/>
        <v>11.655913978494624</v>
      </c>
      <c r="BP60" s="19">
        <f t="shared" si="41"/>
        <v>1.3333333333333333</v>
      </c>
      <c r="BQ60" s="19">
        <f>SUM(AW60:BP60)</f>
        <v>100</v>
      </c>
    </row>
    <row r="61" spans="1:69" x14ac:dyDescent="0.35">
      <c r="A61" s="1" t="s">
        <v>91</v>
      </c>
      <c r="B61" s="1">
        <v>59</v>
      </c>
      <c r="C61" s="1" t="s">
        <v>106</v>
      </c>
      <c r="D61" s="1" t="s">
        <v>105</v>
      </c>
      <c r="E61" s="3" t="s">
        <v>21</v>
      </c>
      <c r="F61" s="4">
        <v>5</v>
      </c>
      <c r="G61" s="4">
        <v>0</v>
      </c>
      <c r="H61" s="4">
        <v>0</v>
      </c>
      <c r="I61" s="4">
        <v>0</v>
      </c>
      <c r="J61" s="4">
        <v>1</v>
      </c>
      <c r="K61" s="4">
        <v>0</v>
      </c>
      <c r="L61" s="4">
        <v>15</v>
      </c>
      <c r="M61" s="4">
        <v>0</v>
      </c>
      <c r="N61" s="4">
        <v>0</v>
      </c>
      <c r="O61" s="4">
        <v>0</v>
      </c>
      <c r="P61" s="4">
        <v>1</v>
      </c>
      <c r="Q61" s="4">
        <v>0</v>
      </c>
      <c r="R61" s="4">
        <v>0</v>
      </c>
      <c r="S61" s="4">
        <v>7</v>
      </c>
      <c r="T61" s="4">
        <v>0</v>
      </c>
      <c r="U61" s="4">
        <v>7</v>
      </c>
      <c r="V61" s="4">
        <v>0</v>
      </c>
      <c r="W61" s="4">
        <v>5</v>
      </c>
      <c r="X61" s="4">
        <v>7</v>
      </c>
      <c r="Y61" s="4">
        <v>2</v>
      </c>
      <c r="Z61" s="15">
        <f t="shared" si="2"/>
        <v>50</v>
      </c>
      <c r="AB61" s="18">
        <f t="shared" si="3"/>
        <v>10</v>
      </c>
      <c r="AC61" s="18">
        <f t="shared" si="12"/>
        <v>0</v>
      </c>
      <c r="AD61" s="18">
        <f t="shared" si="13"/>
        <v>0</v>
      </c>
      <c r="AE61" s="18">
        <f t="shared" si="14"/>
        <v>0</v>
      </c>
      <c r="AF61" s="18">
        <f t="shared" si="15"/>
        <v>2</v>
      </c>
      <c r="AG61" s="18">
        <f t="shared" si="16"/>
        <v>0</v>
      </c>
      <c r="AH61" s="18">
        <f t="shared" si="17"/>
        <v>30</v>
      </c>
      <c r="AI61" s="18">
        <f t="shared" si="18"/>
        <v>0</v>
      </c>
      <c r="AJ61" s="18">
        <f t="shared" si="19"/>
        <v>0</v>
      </c>
      <c r="AK61" s="18">
        <f t="shared" si="20"/>
        <v>0</v>
      </c>
      <c r="AL61" s="18">
        <f t="shared" si="21"/>
        <v>2</v>
      </c>
      <c r="AM61" s="18">
        <f t="shared" si="22"/>
        <v>0</v>
      </c>
      <c r="AN61" s="18">
        <f t="shared" si="23"/>
        <v>0</v>
      </c>
      <c r="AO61" s="18">
        <f t="shared" si="24"/>
        <v>14.000000000000002</v>
      </c>
      <c r="AP61" s="18">
        <f t="shared" si="25"/>
        <v>0</v>
      </c>
      <c r="AQ61" s="18">
        <f t="shared" si="26"/>
        <v>14.000000000000002</v>
      </c>
      <c r="AR61" s="18">
        <f t="shared" si="7"/>
        <v>0</v>
      </c>
      <c r="AS61" s="18">
        <f t="shared" si="8"/>
        <v>10</v>
      </c>
      <c r="AT61" s="18">
        <f t="shared" si="9"/>
        <v>14.000000000000002</v>
      </c>
      <c r="AU61" s="18">
        <f t="shared" si="10"/>
        <v>4</v>
      </c>
    </row>
    <row r="62" spans="1:69" x14ac:dyDescent="0.35">
      <c r="A62" s="1" t="s">
        <v>91</v>
      </c>
      <c r="B62" s="1">
        <v>60</v>
      </c>
      <c r="C62" s="1" t="s">
        <v>107</v>
      </c>
      <c r="D62" s="1" t="s">
        <v>105</v>
      </c>
      <c r="E62" s="3" t="s">
        <v>21</v>
      </c>
      <c r="F62" s="4">
        <v>10</v>
      </c>
      <c r="G62" s="4">
        <v>0</v>
      </c>
      <c r="H62" s="4">
        <v>0</v>
      </c>
      <c r="I62" s="4">
        <v>0</v>
      </c>
      <c r="J62" s="4">
        <v>7</v>
      </c>
      <c r="K62" s="4">
        <v>0</v>
      </c>
      <c r="L62" s="4">
        <v>1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1</v>
      </c>
      <c r="T62" s="4">
        <v>0</v>
      </c>
      <c r="U62" s="4">
        <v>10</v>
      </c>
      <c r="V62" s="4">
        <v>0</v>
      </c>
      <c r="W62" s="4">
        <v>5</v>
      </c>
      <c r="X62" s="4">
        <v>0</v>
      </c>
      <c r="Y62" s="4">
        <v>0</v>
      </c>
      <c r="Z62" s="15">
        <f t="shared" si="2"/>
        <v>34</v>
      </c>
      <c r="AB62" s="18">
        <f t="shared" si="3"/>
        <v>29.411764705882355</v>
      </c>
      <c r="AC62" s="18">
        <f t="shared" si="12"/>
        <v>0</v>
      </c>
      <c r="AD62" s="18">
        <f t="shared" si="13"/>
        <v>0</v>
      </c>
      <c r="AE62" s="18">
        <f t="shared" si="14"/>
        <v>0</v>
      </c>
      <c r="AF62" s="18">
        <f t="shared" si="15"/>
        <v>20.588235294117645</v>
      </c>
      <c r="AG62" s="18">
        <f t="shared" si="16"/>
        <v>0</v>
      </c>
      <c r="AH62" s="18">
        <f t="shared" si="17"/>
        <v>2.9411764705882351</v>
      </c>
      <c r="AI62" s="18">
        <f t="shared" si="18"/>
        <v>0</v>
      </c>
      <c r="AJ62" s="18">
        <f t="shared" si="19"/>
        <v>0</v>
      </c>
      <c r="AK62" s="18">
        <f t="shared" si="20"/>
        <v>0</v>
      </c>
      <c r="AL62" s="18">
        <f t="shared" si="21"/>
        <v>0</v>
      </c>
      <c r="AM62" s="18">
        <f t="shared" si="22"/>
        <v>0</v>
      </c>
      <c r="AN62" s="18">
        <f t="shared" si="23"/>
        <v>0</v>
      </c>
      <c r="AO62" s="18">
        <f t="shared" si="24"/>
        <v>2.9411764705882351</v>
      </c>
      <c r="AP62" s="18">
        <f t="shared" si="25"/>
        <v>0</v>
      </c>
      <c r="AQ62" s="18">
        <f t="shared" si="26"/>
        <v>29.411764705882355</v>
      </c>
      <c r="AR62" s="18">
        <f t="shared" si="7"/>
        <v>0</v>
      </c>
      <c r="AS62" s="18">
        <f t="shared" si="8"/>
        <v>14.705882352941178</v>
      </c>
      <c r="AT62" s="18">
        <f t="shared" si="9"/>
        <v>0</v>
      </c>
      <c r="AU62" s="18">
        <f t="shared" si="10"/>
        <v>0</v>
      </c>
    </row>
    <row r="63" spans="1:69" x14ac:dyDescent="0.35">
      <c r="A63" s="1" t="s">
        <v>42</v>
      </c>
      <c r="B63" s="1">
        <v>61</v>
      </c>
      <c r="C63" s="1" t="s">
        <v>108</v>
      </c>
      <c r="D63" s="1" t="s">
        <v>109</v>
      </c>
      <c r="E63" s="3" t="s">
        <v>53</v>
      </c>
      <c r="F63" s="4">
        <v>14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40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15">
        <f t="shared" si="2"/>
        <v>54</v>
      </c>
      <c r="AB63" s="18">
        <f t="shared" si="3"/>
        <v>25.925925925925924</v>
      </c>
      <c r="AC63" s="18">
        <f t="shared" si="12"/>
        <v>0</v>
      </c>
      <c r="AD63" s="18">
        <f t="shared" si="13"/>
        <v>0</v>
      </c>
      <c r="AE63" s="18">
        <f t="shared" si="14"/>
        <v>0</v>
      </c>
      <c r="AF63" s="18">
        <f t="shared" si="15"/>
        <v>0</v>
      </c>
      <c r="AG63" s="18">
        <f t="shared" si="16"/>
        <v>0</v>
      </c>
      <c r="AH63" s="18">
        <f t="shared" si="17"/>
        <v>74.074074074074076</v>
      </c>
      <c r="AI63" s="18">
        <f t="shared" si="18"/>
        <v>0</v>
      </c>
      <c r="AJ63" s="18">
        <f t="shared" si="19"/>
        <v>0</v>
      </c>
      <c r="AK63" s="18">
        <f t="shared" si="20"/>
        <v>0</v>
      </c>
      <c r="AL63" s="18">
        <f t="shared" si="21"/>
        <v>0</v>
      </c>
      <c r="AM63" s="18">
        <f t="shared" si="22"/>
        <v>0</v>
      </c>
      <c r="AN63" s="18">
        <f t="shared" si="23"/>
        <v>0</v>
      </c>
      <c r="AO63" s="18">
        <f t="shared" si="24"/>
        <v>0</v>
      </c>
      <c r="AP63" s="18">
        <f t="shared" si="25"/>
        <v>0</v>
      </c>
      <c r="AQ63" s="18">
        <f t="shared" si="26"/>
        <v>0</v>
      </c>
      <c r="AR63" s="18">
        <f t="shared" si="7"/>
        <v>0</v>
      </c>
      <c r="AS63" s="18">
        <f t="shared" si="8"/>
        <v>0</v>
      </c>
      <c r="AT63" s="18">
        <f t="shared" si="9"/>
        <v>0</v>
      </c>
      <c r="AU63" s="18">
        <f t="shared" si="10"/>
        <v>0</v>
      </c>
      <c r="AW63" s="19">
        <f>AVERAGE(AB63:AB65)</f>
        <v>38.084170540310886</v>
      </c>
      <c r="AX63" s="19">
        <f t="shared" ref="AX63:BP63" si="42">AVERAGE(AC63:AC65)</f>
        <v>0</v>
      </c>
      <c r="AY63" s="19">
        <f t="shared" si="42"/>
        <v>0</v>
      </c>
      <c r="AZ63" s="19">
        <f t="shared" si="42"/>
        <v>0</v>
      </c>
      <c r="BA63" s="19">
        <f t="shared" si="42"/>
        <v>0</v>
      </c>
      <c r="BB63" s="19">
        <f t="shared" si="42"/>
        <v>0</v>
      </c>
      <c r="BC63" s="19">
        <f t="shared" si="42"/>
        <v>53.233868146148858</v>
      </c>
      <c r="BD63" s="19">
        <f t="shared" si="42"/>
        <v>0</v>
      </c>
      <c r="BE63" s="19">
        <f t="shared" si="42"/>
        <v>0</v>
      </c>
      <c r="BF63" s="19">
        <f t="shared" si="42"/>
        <v>0</v>
      </c>
      <c r="BG63" s="19">
        <f t="shared" si="42"/>
        <v>0</v>
      </c>
      <c r="BH63" s="19">
        <f t="shared" si="42"/>
        <v>0</v>
      </c>
      <c r="BI63" s="19">
        <f t="shared" si="42"/>
        <v>0</v>
      </c>
      <c r="BJ63" s="19">
        <f t="shared" si="42"/>
        <v>1.2820512820512822</v>
      </c>
      <c r="BK63" s="19">
        <f t="shared" si="42"/>
        <v>1.1695906432748537</v>
      </c>
      <c r="BL63" s="19">
        <f t="shared" si="42"/>
        <v>2.3391812865497075</v>
      </c>
      <c r="BM63" s="19">
        <f t="shared" si="42"/>
        <v>0</v>
      </c>
      <c r="BN63" s="19">
        <f t="shared" si="42"/>
        <v>0</v>
      </c>
      <c r="BO63" s="19">
        <f t="shared" si="42"/>
        <v>0</v>
      </c>
      <c r="BP63" s="19">
        <f t="shared" si="42"/>
        <v>3.8911381016644171</v>
      </c>
      <c r="BQ63" s="19">
        <f>SUM(AW63:BP63)</f>
        <v>100</v>
      </c>
    </row>
    <row r="64" spans="1:69" x14ac:dyDescent="0.35">
      <c r="A64" s="1" t="s">
        <v>42</v>
      </c>
      <c r="B64" s="1">
        <v>62</v>
      </c>
      <c r="C64" s="1" t="s">
        <v>110</v>
      </c>
      <c r="D64" s="1" t="s">
        <v>109</v>
      </c>
      <c r="E64" s="3" t="s">
        <v>53</v>
      </c>
      <c r="F64" s="4">
        <v>16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32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2</v>
      </c>
      <c r="U64" s="4">
        <v>4</v>
      </c>
      <c r="V64" s="4">
        <v>0</v>
      </c>
      <c r="W64" s="4">
        <v>0</v>
      </c>
      <c r="X64" s="4">
        <v>0</v>
      </c>
      <c r="Y64" s="4">
        <v>3</v>
      </c>
      <c r="Z64" s="15">
        <f t="shared" si="2"/>
        <v>57</v>
      </c>
      <c r="AB64" s="18">
        <f t="shared" si="3"/>
        <v>28.07017543859649</v>
      </c>
      <c r="AC64" s="18">
        <f t="shared" si="12"/>
        <v>0</v>
      </c>
      <c r="AD64" s="18">
        <f t="shared" si="13"/>
        <v>0</v>
      </c>
      <c r="AE64" s="18">
        <f t="shared" si="14"/>
        <v>0</v>
      </c>
      <c r="AF64" s="18">
        <f t="shared" si="15"/>
        <v>0</v>
      </c>
      <c r="AG64" s="18">
        <f t="shared" si="16"/>
        <v>0</v>
      </c>
      <c r="AH64" s="18">
        <f t="shared" si="17"/>
        <v>56.140350877192979</v>
      </c>
      <c r="AI64" s="18">
        <f t="shared" si="18"/>
        <v>0</v>
      </c>
      <c r="AJ64" s="18">
        <f t="shared" si="19"/>
        <v>0</v>
      </c>
      <c r="AK64" s="18">
        <f t="shared" si="20"/>
        <v>0</v>
      </c>
      <c r="AL64" s="18">
        <f t="shared" si="21"/>
        <v>0</v>
      </c>
      <c r="AM64" s="18">
        <f t="shared" si="22"/>
        <v>0</v>
      </c>
      <c r="AN64" s="18">
        <f t="shared" si="23"/>
        <v>0</v>
      </c>
      <c r="AO64" s="18">
        <f t="shared" si="24"/>
        <v>0</v>
      </c>
      <c r="AP64" s="18">
        <f t="shared" si="25"/>
        <v>3.5087719298245612</v>
      </c>
      <c r="AQ64" s="18">
        <f t="shared" si="26"/>
        <v>7.0175438596491224</v>
      </c>
      <c r="AR64" s="18">
        <f t="shared" si="7"/>
        <v>0</v>
      </c>
      <c r="AS64" s="18">
        <f t="shared" si="8"/>
        <v>0</v>
      </c>
      <c r="AT64" s="18">
        <f t="shared" si="9"/>
        <v>0</v>
      </c>
      <c r="AU64" s="18">
        <f t="shared" si="10"/>
        <v>5.2631578947368416</v>
      </c>
    </row>
    <row r="65" spans="1:69" x14ac:dyDescent="0.35">
      <c r="A65" s="1" t="s">
        <v>42</v>
      </c>
      <c r="B65" s="1">
        <v>63</v>
      </c>
      <c r="C65" s="1" t="s">
        <v>111</v>
      </c>
      <c r="D65" s="1" t="s">
        <v>109</v>
      </c>
      <c r="E65" s="3" t="s">
        <v>53</v>
      </c>
      <c r="F65" s="4">
        <v>47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23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3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5</v>
      </c>
      <c r="Z65" s="15">
        <f t="shared" si="2"/>
        <v>78</v>
      </c>
      <c r="AB65" s="18">
        <f t="shared" si="3"/>
        <v>60.256410256410255</v>
      </c>
      <c r="AC65" s="18">
        <f t="shared" si="12"/>
        <v>0</v>
      </c>
      <c r="AD65" s="18">
        <f t="shared" si="13"/>
        <v>0</v>
      </c>
      <c r="AE65" s="18">
        <f t="shared" si="14"/>
        <v>0</v>
      </c>
      <c r="AF65" s="18">
        <f t="shared" si="15"/>
        <v>0</v>
      </c>
      <c r="AG65" s="18">
        <f t="shared" si="16"/>
        <v>0</v>
      </c>
      <c r="AH65" s="18">
        <f t="shared" si="17"/>
        <v>29.487179487179489</v>
      </c>
      <c r="AI65" s="18">
        <f t="shared" si="18"/>
        <v>0</v>
      </c>
      <c r="AJ65" s="18">
        <f t="shared" si="19"/>
        <v>0</v>
      </c>
      <c r="AK65" s="18">
        <f t="shared" si="20"/>
        <v>0</v>
      </c>
      <c r="AL65" s="18">
        <f t="shared" si="21"/>
        <v>0</v>
      </c>
      <c r="AM65" s="18">
        <f t="shared" si="22"/>
        <v>0</v>
      </c>
      <c r="AN65" s="18">
        <f t="shared" si="23"/>
        <v>0</v>
      </c>
      <c r="AO65" s="18">
        <f t="shared" si="24"/>
        <v>3.8461538461538463</v>
      </c>
      <c r="AP65" s="18">
        <f t="shared" si="25"/>
        <v>0</v>
      </c>
      <c r="AQ65" s="18">
        <f t="shared" si="26"/>
        <v>0</v>
      </c>
      <c r="AR65" s="18">
        <f t="shared" si="7"/>
        <v>0</v>
      </c>
      <c r="AS65" s="18">
        <f t="shared" si="8"/>
        <v>0</v>
      </c>
      <c r="AT65" s="18">
        <f t="shared" si="9"/>
        <v>0</v>
      </c>
      <c r="AU65" s="18">
        <f t="shared" si="10"/>
        <v>6.4102564102564097</v>
      </c>
    </row>
    <row r="66" spans="1:69" x14ac:dyDescent="0.35">
      <c r="A66" s="1" t="s">
        <v>42</v>
      </c>
      <c r="B66" s="1">
        <v>64</v>
      </c>
      <c r="C66" s="1" t="s">
        <v>112</v>
      </c>
      <c r="D66" s="1" t="s">
        <v>113</v>
      </c>
      <c r="E66" s="3" t="s">
        <v>53</v>
      </c>
      <c r="F66" s="4">
        <v>7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42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1</v>
      </c>
      <c r="T66" s="4">
        <v>0</v>
      </c>
      <c r="U66" s="4">
        <v>13</v>
      </c>
      <c r="V66" s="4">
        <v>0</v>
      </c>
      <c r="W66" s="4">
        <v>0</v>
      </c>
      <c r="X66" s="4">
        <v>10</v>
      </c>
      <c r="Y66" s="4">
        <v>0</v>
      </c>
      <c r="Z66" s="15">
        <f t="shared" si="2"/>
        <v>73</v>
      </c>
      <c r="AB66" s="18">
        <f t="shared" si="3"/>
        <v>9.5890410958904102</v>
      </c>
      <c r="AC66" s="18">
        <f t="shared" si="12"/>
        <v>0</v>
      </c>
      <c r="AD66" s="18">
        <f t="shared" si="13"/>
        <v>0</v>
      </c>
      <c r="AE66" s="18">
        <f t="shared" si="14"/>
        <v>0</v>
      </c>
      <c r="AF66" s="18">
        <f t="shared" si="15"/>
        <v>0</v>
      </c>
      <c r="AG66" s="18">
        <f t="shared" si="16"/>
        <v>0</v>
      </c>
      <c r="AH66" s="18">
        <f t="shared" si="17"/>
        <v>57.534246575342465</v>
      </c>
      <c r="AI66" s="18">
        <f t="shared" si="18"/>
        <v>0</v>
      </c>
      <c r="AJ66" s="18">
        <f t="shared" si="19"/>
        <v>0</v>
      </c>
      <c r="AK66" s="18">
        <f t="shared" si="20"/>
        <v>0</v>
      </c>
      <c r="AL66" s="18">
        <f t="shared" si="21"/>
        <v>0</v>
      </c>
      <c r="AM66" s="18">
        <f t="shared" si="22"/>
        <v>0</v>
      </c>
      <c r="AN66" s="18">
        <f t="shared" si="23"/>
        <v>0</v>
      </c>
      <c r="AO66" s="18">
        <f t="shared" si="24"/>
        <v>1.3698630136986301</v>
      </c>
      <c r="AP66" s="18">
        <f t="shared" si="25"/>
        <v>0</v>
      </c>
      <c r="AQ66" s="18">
        <f t="shared" si="26"/>
        <v>17.80821917808219</v>
      </c>
      <c r="AR66" s="18">
        <f t="shared" si="7"/>
        <v>0</v>
      </c>
      <c r="AS66" s="18">
        <f t="shared" si="8"/>
        <v>0</v>
      </c>
      <c r="AT66" s="18">
        <f t="shared" si="9"/>
        <v>13.698630136986301</v>
      </c>
      <c r="AU66" s="18">
        <f t="shared" si="10"/>
        <v>0</v>
      </c>
      <c r="AW66" s="19">
        <f>AVERAGE(AB66:AB68)</f>
        <v>22.776766612383053</v>
      </c>
      <c r="AX66" s="19">
        <f t="shared" ref="AX66:BP66" si="43">AVERAGE(AC66:AC68)</f>
        <v>0</v>
      </c>
      <c r="AY66" s="19">
        <f t="shared" si="43"/>
        <v>0</v>
      </c>
      <c r="AZ66" s="19">
        <f t="shared" si="43"/>
        <v>0.60606060606060608</v>
      </c>
      <c r="BA66" s="19">
        <f t="shared" si="43"/>
        <v>0</v>
      </c>
      <c r="BB66" s="19">
        <f t="shared" si="43"/>
        <v>0</v>
      </c>
      <c r="BC66" s="19">
        <f t="shared" si="43"/>
        <v>38.805121818820453</v>
      </c>
      <c r="BD66" s="19">
        <f t="shared" si="43"/>
        <v>0</v>
      </c>
      <c r="BE66" s="19">
        <f t="shared" si="43"/>
        <v>0</v>
      </c>
      <c r="BF66" s="19">
        <f t="shared" si="43"/>
        <v>0</v>
      </c>
      <c r="BG66" s="19">
        <f t="shared" si="43"/>
        <v>0</v>
      </c>
      <c r="BH66" s="19">
        <f t="shared" si="43"/>
        <v>0</v>
      </c>
      <c r="BI66" s="19">
        <f t="shared" si="43"/>
        <v>0</v>
      </c>
      <c r="BJ66" s="19">
        <f t="shared" si="43"/>
        <v>1.062681610626816</v>
      </c>
      <c r="BK66" s="19">
        <f t="shared" si="43"/>
        <v>1.2121212121212122</v>
      </c>
      <c r="BL66" s="19">
        <f t="shared" si="43"/>
        <v>20.854487977775648</v>
      </c>
      <c r="BM66" s="19">
        <f t="shared" si="43"/>
        <v>0</v>
      </c>
      <c r="BN66" s="19">
        <f t="shared" si="43"/>
        <v>0</v>
      </c>
      <c r="BO66" s="19">
        <f t="shared" si="43"/>
        <v>5.1722706517227062</v>
      </c>
      <c r="BP66" s="19">
        <f t="shared" si="43"/>
        <v>9.51048951048951</v>
      </c>
      <c r="BQ66" s="19">
        <f>SUM(AW66:BP66)</f>
        <v>100.00000000000001</v>
      </c>
    </row>
    <row r="67" spans="1:69" x14ac:dyDescent="0.35">
      <c r="A67" s="1" t="s">
        <v>42</v>
      </c>
      <c r="B67" s="1">
        <v>65</v>
      </c>
      <c r="C67" s="1" t="s">
        <v>114</v>
      </c>
      <c r="D67" s="1" t="s">
        <v>113</v>
      </c>
      <c r="E67" s="3" t="s">
        <v>53</v>
      </c>
      <c r="F67" s="4">
        <v>12</v>
      </c>
      <c r="G67" s="4">
        <v>0</v>
      </c>
      <c r="H67" s="4">
        <v>0</v>
      </c>
      <c r="I67" s="4">
        <v>1</v>
      </c>
      <c r="J67" s="4">
        <v>0</v>
      </c>
      <c r="K67" s="4">
        <v>0</v>
      </c>
      <c r="L67" s="4">
        <v>18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1</v>
      </c>
      <c r="T67" s="4">
        <v>2</v>
      </c>
      <c r="U67" s="4">
        <v>17</v>
      </c>
      <c r="V67" s="4">
        <v>0</v>
      </c>
      <c r="W67" s="4">
        <v>0</v>
      </c>
      <c r="X67" s="4">
        <v>1</v>
      </c>
      <c r="Y67" s="4">
        <v>3</v>
      </c>
      <c r="Z67" s="15">
        <f t="shared" si="2"/>
        <v>55</v>
      </c>
      <c r="AB67" s="18">
        <f t="shared" si="3"/>
        <v>21.818181818181817</v>
      </c>
      <c r="AC67" s="18">
        <f t="shared" si="12"/>
        <v>0</v>
      </c>
      <c r="AD67" s="18">
        <f t="shared" si="13"/>
        <v>0</v>
      </c>
      <c r="AE67" s="18">
        <f t="shared" si="14"/>
        <v>1.8181818181818181</v>
      </c>
      <c r="AF67" s="18">
        <f t="shared" si="15"/>
        <v>0</v>
      </c>
      <c r="AG67" s="18">
        <f t="shared" si="16"/>
        <v>0</v>
      </c>
      <c r="AH67" s="18">
        <f t="shared" si="17"/>
        <v>32.727272727272727</v>
      </c>
      <c r="AI67" s="18">
        <f t="shared" si="18"/>
        <v>0</v>
      </c>
      <c r="AJ67" s="18">
        <f t="shared" si="19"/>
        <v>0</v>
      </c>
      <c r="AK67" s="18">
        <f t="shared" si="20"/>
        <v>0</v>
      </c>
      <c r="AL67" s="18">
        <f t="shared" si="21"/>
        <v>0</v>
      </c>
      <c r="AM67" s="18">
        <f t="shared" si="22"/>
        <v>0</v>
      </c>
      <c r="AN67" s="18">
        <f t="shared" si="23"/>
        <v>0</v>
      </c>
      <c r="AO67" s="18">
        <f t="shared" si="24"/>
        <v>1.8181818181818181</v>
      </c>
      <c r="AP67" s="18">
        <f t="shared" si="25"/>
        <v>3.6363636363636362</v>
      </c>
      <c r="AQ67" s="18">
        <f t="shared" si="26"/>
        <v>30.909090909090907</v>
      </c>
      <c r="AR67" s="18">
        <f t="shared" si="7"/>
        <v>0</v>
      </c>
      <c r="AS67" s="18">
        <f t="shared" si="8"/>
        <v>0</v>
      </c>
      <c r="AT67" s="18">
        <f t="shared" si="9"/>
        <v>1.8181818181818181</v>
      </c>
      <c r="AU67" s="18">
        <f t="shared" si="10"/>
        <v>5.4545454545454541</v>
      </c>
    </row>
    <row r="68" spans="1:69" x14ac:dyDescent="0.35">
      <c r="A68" s="1" t="s">
        <v>42</v>
      </c>
      <c r="B68" s="1">
        <v>66</v>
      </c>
      <c r="C68" s="1" t="s">
        <v>115</v>
      </c>
      <c r="D68" s="1" t="s">
        <v>113</v>
      </c>
      <c r="E68" s="3" t="s">
        <v>53</v>
      </c>
      <c r="F68" s="4">
        <v>24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17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9</v>
      </c>
      <c r="V68" s="4">
        <v>0</v>
      </c>
      <c r="W68" s="4">
        <v>0</v>
      </c>
      <c r="X68" s="4">
        <v>0</v>
      </c>
      <c r="Y68" s="4">
        <v>15</v>
      </c>
      <c r="Z68" s="15">
        <f t="shared" ref="Z68:Z131" si="44">SUM(F68:Y68)</f>
        <v>65</v>
      </c>
      <c r="AB68" s="18">
        <f t="shared" ref="AB68:AB131" si="45">F68/$Z68*100</f>
        <v>36.923076923076927</v>
      </c>
      <c r="AC68" s="18">
        <f t="shared" si="12"/>
        <v>0</v>
      </c>
      <c r="AD68" s="18">
        <f t="shared" si="13"/>
        <v>0</v>
      </c>
      <c r="AE68" s="18">
        <f t="shared" si="14"/>
        <v>0</v>
      </c>
      <c r="AF68" s="18">
        <f t="shared" si="15"/>
        <v>0</v>
      </c>
      <c r="AG68" s="18">
        <f t="shared" si="16"/>
        <v>0</v>
      </c>
      <c r="AH68" s="18">
        <f t="shared" si="17"/>
        <v>26.153846153846157</v>
      </c>
      <c r="AI68" s="18">
        <f t="shared" si="18"/>
        <v>0</v>
      </c>
      <c r="AJ68" s="18">
        <f t="shared" si="19"/>
        <v>0</v>
      </c>
      <c r="AK68" s="18">
        <f t="shared" si="20"/>
        <v>0</v>
      </c>
      <c r="AL68" s="18">
        <f t="shared" si="21"/>
        <v>0</v>
      </c>
      <c r="AM68" s="18">
        <f t="shared" si="22"/>
        <v>0</v>
      </c>
      <c r="AN68" s="18">
        <f t="shared" si="23"/>
        <v>0</v>
      </c>
      <c r="AO68" s="18">
        <f t="shared" si="24"/>
        <v>0</v>
      </c>
      <c r="AP68" s="18">
        <f t="shared" si="25"/>
        <v>0</v>
      </c>
      <c r="AQ68" s="18">
        <f t="shared" si="26"/>
        <v>13.846153846153847</v>
      </c>
      <c r="AR68" s="18">
        <f t="shared" si="7"/>
        <v>0</v>
      </c>
      <c r="AS68" s="18">
        <f t="shared" si="8"/>
        <v>0</v>
      </c>
      <c r="AT68" s="18">
        <f t="shared" si="9"/>
        <v>0</v>
      </c>
      <c r="AU68" s="18">
        <f t="shared" si="10"/>
        <v>23.076923076923077</v>
      </c>
    </row>
    <row r="69" spans="1:69" x14ac:dyDescent="0.35">
      <c r="A69" s="1" t="s">
        <v>116</v>
      </c>
      <c r="B69" s="1">
        <v>67</v>
      </c>
      <c r="C69" s="1" t="s">
        <v>117</v>
      </c>
      <c r="D69" s="1" t="s">
        <v>118</v>
      </c>
      <c r="E69" s="3" t="s">
        <v>27</v>
      </c>
      <c r="F69" s="4">
        <v>19</v>
      </c>
      <c r="G69" s="4">
        <v>0</v>
      </c>
      <c r="H69" s="4">
        <v>0</v>
      </c>
      <c r="I69" s="4">
        <v>0</v>
      </c>
      <c r="J69" s="4">
        <v>0</v>
      </c>
      <c r="K69" s="4">
        <v>2</v>
      </c>
      <c r="L69" s="4">
        <v>16</v>
      </c>
      <c r="M69" s="4">
        <v>0</v>
      </c>
      <c r="N69" s="4">
        <v>0</v>
      </c>
      <c r="O69" s="4">
        <v>0</v>
      </c>
      <c r="P69" s="4">
        <v>0</v>
      </c>
      <c r="Q69" s="4">
        <v>1</v>
      </c>
      <c r="R69" s="4">
        <v>0</v>
      </c>
      <c r="S69" s="4">
        <v>0</v>
      </c>
      <c r="T69" s="4">
        <v>2</v>
      </c>
      <c r="U69" s="4">
        <v>9</v>
      </c>
      <c r="V69" s="4">
        <v>0</v>
      </c>
      <c r="W69" s="4">
        <v>0</v>
      </c>
      <c r="X69" s="4">
        <v>0</v>
      </c>
      <c r="Y69" s="4">
        <v>2</v>
      </c>
      <c r="Z69" s="15">
        <f t="shared" si="44"/>
        <v>51</v>
      </c>
      <c r="AB69" s="18">
        <f t="shared" si="45"/>
        <v>37.254901960784316</v>
      </c>
      <c r="AC69" s="18">
        <f t="shared" si="12"/>
        <v>0</v>
      </c>
      <c r="AD69" s="18">
        <f t="shared" si="13"/>
        <v>0</v>
      </c>
      <c r="AE69" s="18">
        <f t="shared" si="14"/>
        <v>0</v>
      </c>
      <c r="AF69" s="18">
        <f t="shared" si="15"/>
        <v>0</v>
      </c>
      <c r="AG69" s="18">
        <f t="shared" si="16"/>
        <v>3.9215686274509802</v>
      </c>
      <c r="AH69" s="18">
        <f t="shared" si="17"/>
        <v>31.372549019607842</v>
      </c>
      <c r="AI69" s="18">
        <f t="shared" si="18"/>
        <v>0</v>
      </c>
      <c r="AJ69" s="18">
        <f t="shared" si="19"/>
        <v>0</v>
      </c>
      <c r="AK69" s="18">
        <f t="shared" si="20"/>
        <v>0</v>
      </c>
      <c r="AL69" s="18">
        <f t="shared" si="21"/>
        <v>0</v>
      </c>
      <c r="AM69" s="18">
        <f t="shared" si="22"/>
        <v>1.9607843137254901</v>
      </c>
      <c r="AN69" s="18">
        <f t="shared" si="23"/>
        <v>0</v>
      </c>
      <c r="AO69" s="18">
        <f t="shared" si="24"/>
        <v>0</v>
      </c>
      <c r="AP69" s="18">
        <f t="shared" si="25"/>
        <v>3.9215686274509802</v>
      </c>
      <c r="AQ69" s="18">
        <f t="shared" si="26"/>
        <v>17.647058823529413</v>
      </c>
      <c r="AR69" s="18">
        <f t="shared" si="7"/>
        <v>0</v>
      </c>
      <c r="AS69" s="18">
        <f t="shared" si="8"/>
        <v>0</v>
      </c>
      <c r="AT69" s="18">
        <f t="shared" si="9"/>
        <v>0</v>
      </c>
      <c r="AU69" s="18">
        <f t="shared" si="10"/>
        <v>3.9215686274509802</v>
      </c>
      <c r="AW69" s="19">
        <f>AVERAGE(AB69:AB71)</f>
        <v>32.532563852964351</v>
      </c>
      <c r="AX69" s="19">
        <f t="shared" ref="AX69:BP69" si="46">AVERAGE(AC69:AC71)</f>
        <v>0</v>
      </c>
      <c r="AY69" s="19">
        <f t="shared" si="46"/>
        <v>0</v>
      </c>
      <c r="AZ69" s="19">
        <f t="shared" si="46"/>
        <v>0</v>
      </c>
      <c r="BA69" s="19">
        <f t="shared" si="46"/>
        <v>0</v>
      </c>
      <c r="BB69" s="19">
        <f t="shared" si="46"/>
        <v>2.233115468409586</v>
      </c>
      <c r="BC69" s="19">
        <f t="shared" si="46"/>
        <v>37.66397812079915</v>
      </c>
      <c r="BD69" s="19">
        <f t="shared" si="46"/>
        <v>0</v>
      </c>
      <c r="BE69" s="19">
        <f t="shared" si="46"/>
        <v>0</v>
      </c>
      <c r="BF69" s="19">
        <f t="shared" si="46"/>
        <v>0</v>
      </c>
      <c r="BG69" s="19">
        <f t="shared" si="46"/>
        <v>0</v>
      </c>
      <c r="BH69" s="19">
        <f t="shared" si="46"/>
        <v>0.65359477124183007</v>
      </c>
      <c r="BI69" s="19">
        <f t="shared" si="46"/>
        <v>0</v>
      </c>
      <c r="BJ69" s="19">
        <f t="shared" si="46"/>
        <v>0</v>
      </c>
      <c r="BK69" s="19">
        <f t="shared" si="46"/>
        <v>1.3071895424836601</v>
      </c>
      <c r="BL69" s="19">
        <f t="shared" si="46"/>
        <v>15.693227645668197</v>
      </c>
      <c r="BM69" s="19">
        <f t="shared" si="46"/>
        <v>0</v>
      </c>
      <c r="BN69" s="19">
        <f t="shared" si="46"/>
        <v>0</v>
      </c>
      <c r="BO69" s="19">
        <f t="shared" si="46"/>
        <v>6.0480693459416868</v>
      </c>
      <c r="BP69" s="19">
        <f t="shared" si="46"/>
        <v>3.8682612524915405</v>
      </c>
      <c r="BQ69" s="19">
        <f>SUM(AW69:BP69)</f>
        <v>100</v>
      </c>
    </row>
    <row r="70" spans="1:69" x14ac:dyDescent="0.35">
      <c r="A70" s="1" t="s">
        <v>116</v>
      </c>
      <c r="B70" s="1">
        <v>68</v>
      </c>
      <c r="C70" s="1" t="s">
        <v>119</v>
      </c>
      <c r="D70" s="1" t="s">
        <v>118</v>
      </c>
      <c r="E70" s="3" t="s">
        <v>27</v>
      </c>
      <c r="F70" s="4">
        <v>14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24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6</v>
      </c>
      <c r="V70" s="4">
        <v>0</v>
      </c>
      <c r="W70" s="4">
        <v>0</v>
      </c>
      <c r="X70" s="4">
        <v>2</v>
      </c>
      <c r="Y70" s="4">
        <v>1</v>
      </c>
      <c r="Z70" s="15">
        <f t="shared" si="44"/>
        <v>47</v>
      </c>
      <c r="AB70" s="18">
        <f t="shared" si="45"/>
        <v>29.787234042553191</v>
      </c>
      <c r="AC70" s="18">
        <f t="shared" si="12"/>
        <v>0</v>
      </c>
      <c r="AD70" s="18">
        <f t="shared" si="13"/>
        <v>0</v>
      </c>
      <c r="AE70" s="18">
        <f t="shared" si="14"/>
        <v>0</v>
      </c>
      <c r="AF70" s="18">
        <f t="shared" si="15"/>
        <v>0</v>
      </c>
      <c r="AG70" s="18">
        <f t="shared" si="16"/>
        <v>0</v>
      </c>
      <c r="AH70" s="18">
        <f t="shared" si="17"/>
        <v>51.063829787234042</v>
      </c>
      <c r="AI70" s="18">
        <f t="shared" si="18"/>
        <v>0</v>
      </c>
      <c r="AJ70" s="18">
        <f t="shared" si="19"/>
        <v>0</v>
      </c>
      <c r="AK70" s="18">
        <f t="shared" si="20"/>
        <v>0</v>
      </c>
      <c r="AL70" s="18">
        <f t="shared" si="21"/>
        <v>0</v>
      </c>
      <c r="AM70" s="18">
        <f t="shared" si="22"/>
        <v>0</v>
      </c>
      <c r="AN70" s="18">
        <f t="shared" si="23"/>
        <v>0</v>
      </c>
      <c r="AO70" s="18">
        <f t="shared" si="24"/>
        <v>0</v>
      </c>
      <c r="AP70" s="18">
        <f t="shared" si="25"/>
        <v>0</v>
      </c>
      <c r="AQ70" s="18">
        <f t="shared" si="26"/>
        <v>12.76595744680851</v>
      </c>
      <c r="AR70" s="18">
        <f t="shared" si="7"/>
        <v>0</v>
      </c>
      <c r="AS70" s="18">
        <f t="shared" si="8"/>
        <v>0</v>
      </c>
      <c r="AT70" s="18">
        <f t="shared" si="9"/>
        <v>4.2553191489361701</v>
      </c>
      <c r="AU70" s="18">
        <f t="shared" si="10"/>
        <v>2.1276595744680851</v>
      </c>
    </row>
    <row r="71" spans="1:69" x14ac:dyDescent="0.35">
      <c r="A71" s="1" t="s">
        <v>116</v>
      </c>
      <c r="B71" s="1">
        <v>69</v>
      </c>
      <c r="C71" s="1" t="s">
        <v>120</v>
      </c>
      <c r="D71" s="1" t="s">
        <v>118</v>
      </c>
      <c r="E71" s="3" t="s">
        <v>27</v>
      </c>
      <c r="F71" s="4">
        <v>11</v>
      </c>
      <c r="G71" s="4">
        <v>0</v>
      </c>
      <c r="H71" s="4">
        <v>0</v>
      </c>
      <c r="I71" s="4">
        <v>0</v>
      </c>
      <c r="J71" s="4">
        <v>0</v>
      </c>
      <c r="K71" s="4">
        <v>1</v>
      </c>
      <c r="L71" s="4">
        <v>11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6</v>
      </c>
      <c r="V71" s="4">
        <v>0</v>
      </c>
      <c r="W71" s="4">
        <v>0</v>
      </c>
      <c r="X71" s="4">
        <v>5</v>
      </c>
      <c r="Y71" s="4">
        <v>2</v>
      </c>
      <c r="Z71" s="15">
        <f t="shared" si="44"/>
        <v>36</v>
      </c>
      <c r="AB71" s="18">
        <f t="shared" si="45"/>
        <v>30.555555555555557</v>
      </c>
      <c r="AC71" s="18">
        <f t="shared" si="12"/>
        <v>0</v>
      </c>
      <c r="AD71" s="18">
        <f t="shared" si="13"/>
        <v>0</v>
      </c>
      <c r="AE71" s="18">
        <f t="shared" si="14"/>
        <v>0</v>
      </c>
      <c r="AF71" s="18">
        <f t="shared" si="15"/>
        <v>0</v>
      </c>
      <c r="AG71" s="18">
        <f t="shared" si="16"/>
        <v>2.7777777777777777</v>
      </c>
      <c r="AH71" s="18">
        <f t="shared" si="17"/>
        <v>30.555555555555557</v>
      </c>
      <c r="AI71" s="18">
        <f t="shared" si="18"/>
        <v>0</v>
      </c>
      <c r="AJ71" s="18">
        <f t="shared" si="19"/>
        <v>0</v>
      </c>
      <c r="AK71" s="18">
        <f t="shared" si="20"/>
        <v>0</v>
      </c>
      <c r="AL71" s="18">
        <f t="shared" si="21"/>
        <v>0</v>
      </c>
      <c r="AM71" s="18">
        <f t="shared" si="22"/>
        <v>0</v>
      </c>
      <c r="AN71" s="18">
        <f t="shared" si="23"/>
        <v>0</v>
      </c>
      <c r="AO71" s="18">
        <f t="shared" si="24"/>
        <v>0</v>
      </c>
      <c r="AP71" s="18">
        <f t="shared" si="25"/>
        <v>0</v>
      </c>
      <c r="AQ71" s="18">
        <f t="shared" si="26"/>
        <v>16.666666666666664</v>
      </c>
      <c r="AR71" s="18">
        <f t="shared" si="7"/>
        <v>0</v>
      </c>
      <c r="AS71" s="18">
        <f t="shared" si="8"/>
        <v>0</v>
      </c>
      <c r="AT71" s="18">
        <f t="shared" si="9"/>
        <v>13.888888888888889</v>
      </c>
      <c r="AU71" s="18">
        <f t="shared" si="10"/>
        <v>5.5555555555555554</v>
      </c>
    </row>
    <row r="72" spans="1:69" x14ac:dyDescent="0.35">
      <c r="A72" s="1" t="s">
        <v>116</v>
      </c>
      <c r="B72" s="1">
        <v>70</v>
      </c>
      <c r="C72" s="1" t="s">
        <v>121</v>
      </c>
      <c r="D72" s="1" t="s">
        <v>122</v>
      </c>
      <c r="E72" s="3" t="s">
        <v>53</v>
      </c>
      <c r="F72" s="4">
        <v>12</v>
      </c>
      <c r="G72" s="4">
        <v>0</v>
      </c>
      <c r="H72" s="4">
        <v>0</v>
      </c>
      <c r="I72" s="4">
        <v>0</v>
      </c>
      <c r="J72" s="4">
        <v>0</v>
      </c>
      <c r="K72" s="4">
        <v>2</v>
      </c>
      <c r="L72" s="4">
        <v>8</v>
      </c>
      <c r="M72" s="4">
        <v>0</v>
      </c>
      <c r="N72" s="4">
        <v>0</v>
      </c>
      <c r="O72" s="4">
        <v>2</v>
      </c>
      <c r="P72" s="4">
        <v>0</v>
      </c>
      <c r="Q72" s="4">
        <v>0</v>
      </c>
      <c r="R72" s="4">
        <v>0</v>
      </c>
      <c r="S72" s="4">
        <v>2</v>
      </c>
      <c r="T72" s="4">
        <v>0</v>
      </c>
      <c r="U72" s="4">
        <v>8</v>
      </c>
      <c r="V72" s="4">
        <v>0</v>
      </c>
      <c r="W72" s="4">
        <v>0</v>
      </c>
      <c r="X72" s="4">
        <v>4</v>
      </c>
      <c r="Y72" s="4">
        <v>2</v>
      </c>
      <c r="Z72" s="15">
        <f t="shared" si="44"/>
        <v>40</v>
      </c>
      <c r="AB72" s="18">
        <f t="shared" si="45"/>
        <v>30</v>
      </c>
      <c r="AC72" s="18">
        <f t="shared" si="12"/>
        <v>0</v>
      </c>
      <c r="AD72" s="18">
        <f t="shared" si="13"/>
        <v>0</v>
      </c>
      <c r="AE72" s="18">
        <f t="shared" si="14"/>
        <v>0</v>
      </c>
      <c r="AF72" s="18">
        <f t="shared" si="15"/>
        <v>0</v>
      </c>
      <c r="AG72" s="18">
        <f t="shared" si="16"/>
        <v>5</v>
      </c>
      <c r="AH72" s="18">
        <f t="shared" si="17"/>
        <v>20</v>
      </c>
      <c r="AI72" s="18">
        <f t="shared" si="18"/>
        <v>0</v>
      </c>
      <c r="AJ72" s="18">
        <f t="shared" si="19"/>
        <v>0</v>
      </c>
      <c r="AK72" s="18">
        <f t="shared" si="20"/>
        <v>5</v>
      </c>
      <c r="AL72" s="18">
        <f t="shared" si="21"/>
        <v>0</v>
      </c>
      <c r="AM72" s="18">
        <f t="shared" si="22"/>
        <v>0</v>
      </c>
      <c r="AN72" s="18">
        <f t="shared" si="23"/>
        <v>0</v>
      </c>
      <c r="AO72" s="18">
        <f t="shared" si="24"/>
        <v>5</v>
      </c>
      <c r="AP72" s="18">
        <f t="shared" si="25"/>
        <v>0</v>
      </c>
      <c r="AQ72" s="18">
        <f t="shared" si="26"/>
        <v>20</v>
      </c>
      <c r="AR72" s="18">
        <f t="shared" si="7"/>
        <v>0</v>
      </c>
      <c r="AS72" s="18">
        <f t="shared" si="8"/>
        <v>0</v>
      </c>
      <c r="AT72" s="18">
        <f t="shared" si="9"/>
        <v>10</v>
      </c>
      <c r="AU72" s="18">
        <f t="shared" si="10"/>
        <v>5</v>
      </c>
      <c r="AW72" s="19">
        <f>AVERAGE(AB72:AB74)</f>
        <v>31.444658944658944</v>
      </c>
      <c r="AX72" s="19">
        <f t="shared" ref="AX72:BP72" si="47">AVERAGE(AC72:AC74)</f>
        <v>0</v>
      </c>
      <c r="AY72" s="19">
        <f t="shared" si="47"/>
        <v>0</v>
      </c>
      <c r="AZ72" s="19">
        <f t="shared" si="47"/>
        <v>0</v>
      </c>
      <c r="BA72" s="19">
        <f t="shared" si="47"/>
        <v>0</v>
      </c>
      <c r="BB72" s="19">
        <f t="shared" si="47"/>
        <v>1.6666666666666667</v>
      </c>
      <c r="BC72" s="19">
        <f t="shared" si="47"/>
        <v>33.339768339768341</v>
      </c>
      <c r="BD72" s="19">
        <f t="shared" si="47"/>
        <v>0</v>
      </c>
      <c r="BE72" s="19">
        <f t="shared" si="47"/>
        <v>0</v>
      </c>
      <c r="BF72" s="19">
        <f t="shared" si="47"/>
        <v>7.9729729729729728</v>
      </c>
      <c r="BG72" s="19">
        <f t="shared" si="47"/>
        <v>0</v>
      </c>
      <c r="BH72" s="19">
        <f t="shared" si="47"/>
        <v>0</v>
      </c>
      <c r="BI72" s="19">
        <f t="shared" si="47"/>
        <v>0</v>
      </c>
      <c r="BJ72" s="19">
        <f t="shared" si="47"/>
        <v>1.6666666666666667</v>
      </c>
      <c r="BK72" s="19">
        <f t="shared" si="47"/>
        <v>0</v>
      </c>
      <c r="BL72" s="19">
        <f t="shared" si="47"/>
        <v>9.658944658944657</v>
      </c>
      <c r="BM72" s="19">
        <f t="shared" si="47"/>
        <v>0</v>
      </c>
      <c r="BN72" s="19">
        <f t="shared" si="47"/>
        <v>0</v>
      </c>
      <c r="BO72" s="19">
        <f t="shared" si="47"/>
        <v>5.1351351351351351</v>
      </c>
      <c r="BP72" s="19">
        <f t="shared" si="47"/>
        <v>9.1151866151866141</v>
      </c>
      <c r="BQ72" s="19">
        <f>SUM(AW72:BP72)</f>
        <v>100</v>
      </c>
    </row>
    <row r="73" spans="1:69" x14ac:dyDescent="0.35">
      <c r="A73" s="1" t="s">
        <v>116</v>
      </c>
      <c r="B73" s="1">
        <v>71</v>
      </c>
      <c r="C73" s="1" t="s">
        <v>123</v>
      </c>
      <c r="D73" s="1" t="s">
        <v>122</v>
      </c>
      <c r="E73" s="3" t="s">
        <v>53</v>
      </c>
      <c r="F73" s="4">
        <v>33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10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2</v>
      </c>
      <c r="V73" s="4">
        <v>0</v>
      </c>
      <c r="W73" s="4">
        <v>0</v>
      </c>
      <c r="X73" s="4">
        <v>0</v>
      </c>
      <c r="Y73" s="4">
        <v>11</v>
      </c>
      <c r="Z73" s="15">
        <f t="shared" si="44"/>
        <v>56</v>
      </c>
      <c r="AB73" s="18">
        <f t="shared" si="45"/>
        <v>58.928571428571431</v>
      </c>
      <c r="AC73" s="18">
        <f t="shared" si="12"/>
        <v>0</v>
      </c>
      <c r="AD73" s="18">
        <f t="shared" si="13"/>
        <v>0</v>
      </c>
      <c r="AE73" s="18">
        <f t="shared" si="14"/>
        <v>0</v>
      </c>
      <c r="AF73" s="18">
        <f t="shared" si="15"/>
        <v>0</v>
      </c>
      <c r="AG73" s="18">
        <f t="shared" si="16"/>
        <v>0</v>
      </c>
      <c r="AH73" s="18">
        <f t="shared" si="17"/>
        <v>17.857142857142858</v>
      </c>
      <c r="AI73" s="18">
        <f t="shared" si="18"/>
        <v>0</v>
      </c>
      <c r="AJ73" s="18">
        <f t="shared" si="19"/>
        <v>0</v>
      </c>
      <c r="AK73" s="18">
        <f t="shared" si="20"/>
        <v>0</v>
      </c>
      <c r="AL73" s="18">
        <f t="shared" si="21"/>
        <v>0</v>
      </c>
      <c r="AM73" s="18">
        <f t="shared" si="22"/>
        <v>0</v>
      </c>
      <c r="AN73" s="18">
        <f t="shared" si="23"/>
        <v>0</v>
      </c>
      <c r="AO73" s="18">
        <f t="shared" si="24"/>
        <v>0</v>
      </c>
      <c r="AP73" s="18">
        <f t="shared" si="25"/>
        <v>0</v>
      </c>
      <c r="AQ73" s="18">
        <f t="shared" si="26"/>
        <v>3.5714285714285712</v>
      </c>
      <c r="AR73" s="18">
        <f t="shared" si="7"/>
        <v>0</v>
      </c>
      <c r="AS73" s="18">
        <f t="shared" si="8"/>
        <v>0</v>
      </c>
      <c r="AT73" s="18">
        <f t="shared" si="9"/>
        <v>0</v>
      </c>
      <c r="AU73" s="18">
        <f t="shared" si="10"/>
        <v>19.642857142857142</v>
      </c>
    </row>
    <row r="74" spans="1:69" x14ac:dyDescent="0.35">
      <c r="A74" s="1" t="s">
        <v>116</v>
      </c>
      <c r="B74" s="1">
        <v>72</v>
      </c>
      <c r="C74" s="1" t="s">
        <v>124</v>
      </c>
      <c r="D74" s="1" t="s">
        <v>122</v>
      </c>
      <c r="E74" s="3" t="s">
        <v>53</v>
      </c>
      <c r="F74" s="4">
        <v>2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23</v>
      </c>
      <c r="M74" s="4">
        <v>0</v>
      </c>
      <c r="N74" s="4">
        <v>0</v>
      </c>
      <c r="O74" s="4">
        <v>7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2</v>
      </c>
      <c r="V74" s="4">
        <v>0</v>
      </c>
      <c r="W74" s="4">
        <v>0</v>
      </c>
      <c r="X74" s="4">
        <v>2</v>
      </c>
      <c r="Y74" s="4">
        <v>1</v>
      </c>
      <c r="Z74" s="15">
        <f t="shared" si="44"/>
        <v>37</v>
      </c>
      <c r="AB74" s="18">
        <f t="shared" si="45"/>
        <v>5.4054054054054053</v>
      </c>
      <c r="AC74" s="18">
        <f t="shared" si="12"/>
        <v>0</v>
      </c>
      <c r="AD74" s="18">
        <f t="shared" si="13"/>
        <v>0</v>
      </c>
      <c r="AE74" s="18">
        <f t="shared" si="14"/>
        <v>0</v>
      </c>
      <c r="AF74" s="18">
        <f t="shared" si="15"/>
        <v>0</v>
      </c>
      <c r="AG74" s="18">
        <f t="shared" si="16"/>
        <v>0</v>
      </c>
      <c r="AH74" s="18">
        <f t="shared" si="17"/>
        <v>62.162162162162161</v>
      </c>
      <c r="AI74" s="18">
        <f t="shared" si="18"/>
        <v>0</v>
      </c>
      <c r="AJ74" s="18">
        <f t="shared" si="19"/>
        <v>0</v>
      </c>
      <c r="AK74" s="18">
        <f t="shared" si="20"/>
        <v>18.918918918918919</v>
      </c>
      <c r="AL74" s="18">
        <f t="shared" si="21"/>
        <v>0</v>
      </c>
      <c r="AM74" s="18">
        <f t="shared" si="22"/>
        <v>0</v>
      </c>
      <c r="AN74" s="18">
        <f t="shared" si="23"/>
        <v>0</v>
      </c>
      <c r="AO74" s="18">
        <f t="shared" si="24"/>
        <v>0</v>
      </c>
      <c r="AP74" s="18">
        <f t="shared" si="25"/>
        <v>0</v>
      </c>
      <c r="AQ74" s="18">
        <f t="shared" si="26"/>
        <v>5.4054054054054053</v>
      </c>
      <c r="AR74" s="18">
        <f t="shared" si="7"/>
        <v>0</v>
      </c>
      <c r="AS74" s="18">
        <f t="shared" si="8"/>
        <v>0</v>
      </c>
      <c r="AT74" s="18">
        <f t="shared" si="9"/>
        <v>5.4054054054054053</v>
      </c>
      <c r="AU74" s="18">
        <f t="shared" si="10"/>
        <v>2.7027027027027026</v>
      </c>
    </row>
    <row r="75" spans="1:69" x14ac:dyDescent="0.35">
      <c r="A75" s="1" t="s">
        <v>116</v>
      </c>
      <c r="B75" s="1">
        <v>73</v>
      </c>
      <c r="C75" s="1" t="s">
        <v>125</v>
      </c>
      <c r="D75" s="1" t="s">
        <v>126</v>
      </c>
      <c r="E75" s="3" t="s">
        <v>21</v>
      </c>
      <c r="F75" s="4">
        <v>22</v>
      </c>
      <c r="G75" s="4">
        <v>0</v>
      </c>
      <c r="H75" s="4">
        <v>0</v>
      </c>
      <c r="I75" s="4">
        <v>0</v>
      </c>
      <c r="J75" s="4">
        <v>1</v>
      </c>
      <c r="K75" s="4">
        <v>1</v>
      </c>
      <c r="L75" s="4">
        <v>10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6</v>
      </c>
      <c r="U75" s="4">
        <v>2</v>
      </c>
      <c r="V75" s="4">
        <v>0</v>
      </c>
      <c r="W75" s="4">
        <v>0</v>
      </c>
      <c r="X75" s="4">
        <v>0</v>
      </c>
      <c r="Y75" s="4">
        <v>0</v>
      </c>
      <c r="Z75" s="15">
        <f t="shared" si="44"/>
        <v>42</v>
      </c>
      <c r="AB75" s="18">
        <f t="shared" si="45"/>
        <v>52.380952380952387</v>
      </c>
      <c r="AC75" s="18">
        <f t="shared" si="12"/>
        <v>0</v>
      </c>
      <c r="AD75" s="18">
        <f t="shared" si="13"/>
        <v>0</v>
      </c>
      <c r="AE75" s="18">
        <f t="shared" si="14"/>
        <v>0</v>
      </c>
      <c r="AF75" s="18">
        <f t="shared" si="15"/>
        <v>2.3809523809523809</v>
      </c>
      <c r="AG75" s="18">
        <f t="shared" si="16"/>
        <v>2.3809523809523809</v>
      </c>
      <c r="AH75" s="18">
        <f t="shared" si="17"/>
        <v>23.809523809523807</v>
      </c>
      <c r="AI75" s="18">
        <f t="shared" si="18"/>
        <v>0</v>
      </c>
      <c r="AJ75" s="18">
        <f t="shared" si="19"/>
        <v>0</v>
      </c>
      <c r="AK75" s="18">
        <f t="shared" si="20"/>
        <v>0</v>
      </c>
      <c r="AL75" s="18">
        <f t="shared" si="21"/>
        <v>0</v>
      </c>
      <c r="AM75" s="18">
        <f t="shared" si="22"/>
        <v>0</v>
      </c>
      <c r="AN75" s="18">
        <f t="shared" si="23"/>
        <v>0</v>
      </c>
      <c r="AO75" s="18">
        <f t="shared" si="24"/>
        <v>0</v>
      </c>
      <c r="AP75" s="18">
        <f t="shared" si="25"/>
        <v>14.285714285714285</v>
      </c>
      <c r="AQ75" s="18">
        <f t="shared" si="26"/>
        <v>4.7619047619047619</v>
      </c>
      <c r="AR75" s="18">
        <f t="shared" si="7"/>
        <v>0</v>
      </c>
      <c r="AS75" s="18">
        <f t="shared" si="8"/>
        <v>0</v>
      </c>
      <c r="AT75" s="18">
        <f t="shared" si="9"/>
        <v>0</v>
      </c>
      <c r="AU75" s="18">
        <f t="shared" si="10"/>
        <v>0</v>
      </c>
      <c r="AW75" s="19">
        <f>AVERAGE(AB75:AB77)</f>
        <v>37.157935489129329</v>
      </c>
      <c r="AX75" s="19">
        <f t="shared" ref="AX75:BP75" si="48">AVERAGE(AC75:AC77)</f>
        <v>0</v>
      </c>
      <c r="AY75" s="19">
        <f t="shared" si="48"/>
        <v>0</v>
      </c>
      <c r="AZ75" s="19">
        <f t="shared" si="48"/>
        <v>0.81300813008130079</v>
      </c>
      <c r="BA75" s="19">
        <f t="shared" si="48"/>
        <v>4.9870611488069763</v>
      </c>
      <c r="BB75" s="19">
        <f t="shared" si="48"/>
        <v>0.79365079365079361</v>
      </c>
      <c r="BC75" s="19">
        <f t="shared" si="48"/>
        <v>33.838661694887627</v>
      </c>
      <c r="BD75" s="19">
        <f t="shared" si="48"/>
        <v>0</v>
      </c>
      <c r="BE75" s="19">
        <f t="shared" si="48"/>
        <v>0</v>
      </c>
      <c r="BF75" s="19">
        <f t="shared" si="48"/>
        <v>0</v>
      </c>
      <c r="BG75" s="19">
        <f t="shared" si="48"/>
        <v>0</v>
      </c>
      <c r="BH75" s="19">
        <f t="shared" si="48"/>
        <v>0.81300813008130079</v>
      </c>
      <c r="BI75" s="19">
        <f t="shared" si="48"/>
        <v>0</v>
      </c>
      <c r="BJ75" s="19">
        <f t="shared" si="48"/>
        <v>0.58479532163742687</v>
      </c>
      <c r="BK75" s="19">
        <f t="shared" si="48"/>
        <v>8.3705197954235171</v>
      </c>
      <c r="BL75" s="19">
        <f t="shared" si="48"/>
        <v>7.2783584978706939</v>
      </c>
      <c r="BM75" s="19">
        <f t="shared" si="48"/>
        <v>0</v>
      </c>
      <c r="BN75" s="19">
        <f t="shared" si="48"/>
        <v>0</v>
      </c>
      <c r="BO75" s="19">
        <f t="shared" si="48"/>
        <v>0.58479532163742687</v>
      </c>
      <c r="BP75" s="19">
        <f t="shared" si="48"/>
        <v>4.7782056767936103</v>
      </c>
      <c r="BQ75" s="19">
        <f>SUM(AW75:BP75)</f>
        <v>100</v>
      </c>
    </row>
    <row r="76" spans="1:69" x14ac:dyDescent="0.35">
      <c r="A76" s="1" t="s">
        <v>116</v>
      </c>
      <c r="B76" s="1">
        <v>74</v>
      </c>
      <c r="C76" s="1" t="s">
        <v>127</v>
      </c>
      <c r="D76" s="1" t="s">
        <v>126</v>
      </c>
      <c r="E76" s="3" t="s">
        <v>21</v>
      </c>
      <c r="F76" s="4">
        <v>12</v>
      </c>
      <c r="G76" s="4">
        <v>0</v>
      </c>
      <c r="H76" s="4">
        <v>0</v>
      </c>
      <c r="I76" s="4">
        <v>1</v>
      </c>
      <c r="J76" s="4">
        <v>3</v>
      </c>
      <c r="K76" s="4">
        <v>0</v>
      </c>
      <c r="L76" s="4">
        <v>11</v>
      </c>
      <c r="M76" s="4">
        <v>0</v>
      </c>
      <c r="N76" s="4">
        <v>0</v>
      </c>
      <c r="O76" s="4">
        <v>0</v>
      </c>
      <c r="P76" s="4">
        <v>0</v>
      </c>
      <c r="Q76" s="4">
        <v>1</v>
      </c>
      <c r="R76" s="4">
        <v>0</v>
      </c>
      <c r="S76" s="4">
        <v>0</v>
      </c>
      <c r="T76" s="4">
        <v>3</v>
      </c>
      <c r="U76" s="4">
        <v>7</v>
      </c>
      <c r="V76" s="4">
        <v>0</v>
      </c>
      <c r="W76" s="4">
        <v>0</v>
      </c>
      <c r="X76" s="4">
        <v>0</v>
      </c>
      <c r="Y76" s="4">
        <v>3</v>
      </c>
      <c r="Z76" s="15">
        <f t="shared" si="44"/>
        <v>41</v>
      </c>
      <c r="AB76" s="18">
        <f t="shared" si="45"/>
        <v>29.268292682926827</v>
      </c>
      <c r="AC76" s="18">
        <f t="shared" si="12"/>
        <v>0</v>
      </c>
      <c r="AD76" s="18">
        <f t="shared" si="13"/>
        <v>0</v>
      </c>
      <c r="AE76" s="18">
        <f t="shared" si="14"/>
        <v>2.4390243902439024</v>
      </c>
      <c r="AF76" s="18">
        <f t="shared" si="15"/>
        <v>7.3170731707317067</v>
      </c>
      <c r="AG76" s="18">
        <f t="shared" si="16"/>
        <v>0</v>
      </c>
      <c r="AH76" s="18">
        <f t="shared" si="17"/>
        <v>26.829268292682929</v>
      </c>
      <c r="AI76" s="18">
        <f t="shared" si="18"/>
        <v>0</v>
      </c>
      <c r="AJ76" s="18">
        <f t="shared" si="19"/>
        <v>0</v>
      </c>
      <c r="AK76" s="18">
        <f t="shared" si="20"/>
        <v>0</v>
      </c>
      <c r="AL76" s="18">
        <f t="shared" si="21"/>
        <v>0</v>
      </c>
      <c r="AM76" s="18">
        <f t="shared" si="22"/>
        <v>2.4390243902439024</v>
      </c>
      <c r="AN76" s="18">
        <f t="shared" si="23"/>
        <v>0</v>
      </c>
      <c r="AO76" s="18">
        <f t="shared" si="24"/>
        <v>0</v>
      </c>
      <c r="AP76" s="18">
        <f t="shared" si="25"/>
        <v>7.3170731707317067</v>
      </c>
      <c r="AQ76" s="18">
        <f t="shared" si="26"/>
        <v>17.073170731707318</v>
      </c>
      <c r="AR76" s="18">
        <f t="shared" si="7"/>
        <v>0</v>
      </c>
      <c r="AS76" s="18">
        <f t="shared" si="8"/>
        <v>0</v>
      </c>
      <c r="AT76" s="18">
        <f t="shared" si="9"/>
        <v>0</v>
      </c>
      <c r="AU76" s="18">
        <f t="shared" si="10"/>
        <v>7.3170731707317067</v>
      </c>
    </row>
    <row r="77" spans="1:69" x14ac:dyDescent="0.35">
      <c r="A77" s="1" t="s">
        <v>116</v>
      </c>
      <c r="B77" s="1">
        <v>75</v>
      </c>
      <c r="C77" s="1" t="s">
        <v>128</v>
      </c>
      <c r="D77" s="1" t="s">
        <v>126</v>
      </c>
      <c r="E77" s="3" t="s">
        <v>21</v>
      </c>
      <c r="F77" s="4">
        <v>17</v>
      </c>
      <c r="G77" s="4">
        <v>0</v>
      </c>
      <c r="H77" s="4">
        <v>0</v>
      </c>
      <c r="I77" s="4">
        <v>0</v>
      </c>
      <c r="J77" s="4">
        <v>3</v>
      </c>
      <c r="K77" s="4">
        <v>0</v>
      </c>
      <c r="L77" s="4">
        <v>29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1</v>
      </c>
      <c r="T77" s="4">
        <v>2</v>
      </c>
      <c r="U77" s="4">
        <v>0</v>
      </c>
      <c r="V77" s="4">
        <v>0</v>
      </c>
      <c r="W77" s="4">
        <v>0</v>
      </c>
      <c r="X77" s="4">
        <v>1</v>
      </c>
      <c r="Y77" s="4">
        <v>4</v>
      </c>
      <c r="Z77" s="15">
        <f t="shared" si="44"/>
        <v>57</v>
      </c>
      <c r="AB77" s="18">
        <f t="shared" si="45"/>
        <v>29.82456140350877</v>
      </c>
      <c r="AC77" s="18">
        <f t="shared" si="12"/>
        <v>0</v>
      </c>
      <c r="AD77" s="18">
        <f t="shared" si="13"/>
        <v>0</v>
      </c>
      <c r="AE77" s="18">
        <f t="shared" si="14"/>
        <v>0</v>
      </c>
      <c r="AF77" s="18">
        <f t="shared" si="15"/>
        <v>5.2631578947368416</v>
      </c>
      <c r="AG77" s="18">
        <f t="shared" si="16"/>
        <v>0</v>
      </c>
      <c r="AH77" s="18">
        <f t="shared" si="17"/>
        <v>50.877192982456144</v>
      </c>
      <c r="AI77" s="18">
        <f t="shared" si="18"/>
        <v>0</v>
      </c>
      <c r="AJ77" s="18">
        <f t="shared" si="19"/>
        <v>0</v>
      </c>
      <c r="AK77" s="18">
        <f t="shared" si="20"/>
        <v>0</v>
      </c>
      <c r="AL77" s="18">
        <f t="shared" si="21"/>
        <v>0</v>
      </c>
      <c r="AM77" s="18">
        <f t="shared" si="22"/>
        <v>0</v>
      </c>
      <c r="AN77" s="18">
        <f t="shared" si="23"/>
        <v>0</v>
      </c>
      <c r="AO77" s="18">
        <f t="shared" si="24"/>
        <v>1.7543859649122806</v>
      </c>
      <c r="AP77" s="18">
        <f t="shared" si="25"/>
        <v>3.5087719298245612</v>
      </c>
      <c r="AQ77" s="18">
        <f t="shared" si="26"/>
        <v>0</v>
      </c>
      <c r="AR77" s="18">
        <f t="shared" si="7"/>
        <v>0</v>
      </c>
      <c r="AS77" s="18">
        <f t="shared" si="8"/>
        <v>0</v>
      </c>
      <c r="AT77" s="18">
        <f t="shared" si="9"/>
        <v>1.7543859649122806</v>
      </c>
      <c r="AU77" s="18">
        <f t="shared" si="10"/>
        <v>7.0175438596491224</v>
      </c>
    </row>
    <row r="78" spans="1:69" x14ac:dyDescent="0.35">
      <c r="A78" s="1" t="s">
        <v>116</v>
      </c>
      <c r="B78" s="1">
        <v>76</v>
      </c>
      <c r="C78" s="1" t="s">
        <v>129</v>
      </c>
      <c r="D78" s="1" t="s">
        <v>130</v>
      </c>
      <c r="E78" s="3" t="s">
        <v>53</v>
      </c>
      <c r="F78" s="4">
        <v>23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19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1</v>
      </c>
      <c r="V78" s="4">
        <v>0</v>
      </c>
      <c r="W78" s="4">
        <v>0</v>
      </c>
      <c r="X78" s="4">
        <v>8</v>
      </c>
      <c r="Y78" s="4">
        <v>1</v>
      </c>
      <c r="Z78" s="15">
        <f t="shared" si="44"/>
        <v>52</v>
      </c>
      <c r="AB78" s="18">
        <f t="shared" si="45"/>
        <v>44.230769230769226</v>
      </c>
      <c r="AC78" s="18">
        <f t="shared" si="12"/>
        <v>0</v>
      </c>
      <c r="AD78" s="18">
        <f t="shared" si="13"/>
        <v>0</v>
      </c>
      <c r="AE78" s="18">
        <f t="shared" si="14"/>
        <v>0</v>
      </c>
      <c r="AF78" s="18">
        <f t="shared" si="15"/>
        <v>0</v>
      </c>
      <c r="AG78" s="18">
        <f t="shared" si="16"/>
        <v>0</v>
      </c>
      <c r="AH78" s="18">
        <f t="shared" si="17"/>
        <v>36.538461538461533</v>
      </c>
      <c r="AI78" s="18">
        <f t="shared" si="18"/>
        <v>0</v>
      </c>
      <c r="AJ78" s="18">
        <f t="shared" si="19"/>
        <v>0</v>
      </c>
      <c r="AK78" s="18">
        <f t="shared" si="20"/>
        <v>0</v>
      </c>
      <c r="AL78" s="18">
        <f t="shared" si="21"/>
        <v>0</v>
      </c>
      <c r="AM78" s="18">
        <f t="shared" si="22"/>
        <v>0</v>
      </c>
      <c r="AN78" s="18">
        <f t="shared" si="23"/>
        <v>0</v>
      </c>
      <c r="AO78" s="18">
        <f t="shared" si="24"/>
        <v>0</v>
      </c>
      <c r="AP78" s="18">
        <f t="shared" si="25"/>
        <v>0</v>
      </c>
      <c r="AQ78" s="18">
        <f t="shared" si="26"/>
        <v>1.9230769230769231</v>
      </c>
      <c r="AR78" s="18">
        <f t="shared" si="7"/>
        <v>0</v>
      </c>
      <c r="AS78" s="18">
        <f t="shared" si="8"/>
        <v>0</v>
      </c>
      <c r="AT78" s="18">
        <f t="shared" si="9"/>
        <v>15.384615384615385</v>
      </c>
      <c r="AU78" s="18">
        <f t="shared" si="10"/>
        <v>1.9230769230769231</v>
      </c>
      <c r="AW78" s="19">
        <f>AVERAGE(AB78:AB80)</f>
        <v>36.157731157731156</v>
      </c>
      <c r="AX78" s="19">
        <f t="shared" ref="AX78:BP78" si="49">AVERAGE(AC78:AC80)</f>
        <v>0</v>
      </c>
      <c r="AY78" s="19">
        <f t="shared" si="49"/>
        <v>0</v>
      </c>
      <c r="AZ78" s="19">
        <f t="shared" si="49"/>
        <v>0</v>
      </c>
      <c r="BA78" s="19">
        <f t="shared" si="49"/>
        <v>0</v>
      </c>
      <c r="BB78" s="19">
        <f t="shared" si="49"/>
        <v>0</v>
      </c>
      <c r="BC78" s="19">
        <f t="shared" si="49"/>
        <v>42.280497280497279</v>
      </c>
      <c r="BD78" s="19">
        <f t="shared" si="49"/>
        <v>0</v>
      </c>
      <c r="BE78" s="19">
        <f t="shared" si="49"/>
        <v>0</v>
      </c>
      <c r="BF78" s="19">
        <f t="shared" si="49"/>
        <v>0</v>
      </c>
      <c r="BG78" s="19">
        <f t="shared" si="49"/>
        <v>0</v>
      </c>
      <c r="BH78" s="19">
        <f t="shared" si="49"/>
        <v>0</v>
      </c>
      <c r="BI78" s="19">
        <f t="shared" si="49"/>
        <v>0</v>
      </c>
      <c r="BJ78" s="19">
        <f t="shared" si="49"/>
        <v>0.60606060606060608</v>
      </c>
      <c r="BK78" s="19">
        <f t="shared" si="49"/>
        <v>0</v>
      </c>
      <c r="BL78" s="19">
        <f t="shared" si="49"/>
        <v>2.6612276612276613</v>
      </c>
      <c r="BM78" s="19">
        <f t="shared" si="49"/>
        <v>0</v>
      </c>
      <c r="BN78" s="19">
        <f t="shared" si="49"/>
        <v>0</v>
      </c>
      <c r="BO78" s="19">
        <f t="shared" si="49"/>
        <v>8.9665889665889669</v>
      </c>
      <c r="BP78" s="19">
        <f t="shared" si="49"/>
        <v>9.3278943278943274</v>
      </c>
      <c r="BQ78" s="19">
        <f>SUM(AW78:BP78)</f>
        <v>100</v>
      </c>
    </row>
    <row r="79" spans="1:69" x14ac:dyDescent="0.35">
      <c r="A79" s="1" t="s">
        <v>116</v>
      </c>
      <c r="B79" s="1">
        <v>77</v>
      </c>
      <c r="C79" s="1" t="s">
        <v>131</v>
      </c>
      <c r="D79" s="1" t="s">
        <v>130</v>
      </c>
      <c r="E79" s="3" t="s">
        <v>53</v>
      </c>
      <c r="F79" s="4">
        <v>8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16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2</v>
      </c>
      <c r="V79" s="4">
        <v>0</v>
      </c>
      <c r="W79" s="4">
        <v>0</v>
      </c>
      <c r="X79" s="4">
        <v>2</v>
      </c>
      <c r="Y79" s="4">
        <v>5</v>
      </c>
      <c r="Z79" s="15">
        <f t="shared" si="44"/>
        <v>33</v>
      </c>
      <c r="AB79" s="18">
        <f t="shared" si="45"/>
        <v>24.242424242424242</v>
      </c>
      <c r="AC79" s="18">
        <f t="shared" si="12"/>
        <v>0</v>
      </c>
      <c r="AD79" s="18">
        <f t="shared" si="13"/>
        <v>0</v>
      </c>
      <c r="AE79" s="18">
        <f t="shared" si="14"/>
        <v>0</v>
      </c>
      <c r="AF79" s="18">
        <f t="shared" si="15"/>
        <v>0</v>
      </c>
      <c r="AG79" s="18">
        <f t="shared" si="16"/>
        <v>0</v>
      </c>
      <c r="AH79" s="18">
        <f t="shared" si="17"/>
        <v>48.484848484848484</v>
      </c>
      <c r="AI79" s="18">
        <f t="shared" si="18"/>
        <v>0</v>
      </c>
      <c r="AJ79" s="18">
        <f t="shared" si="19"/>
        <v>0</v>
      </c>
      <c r="AK79" s="18">
        <f t="shared" si="20"/>
        <v>0</v>
      </c>
      <c r="AL79" s="18">
        <f t="shared" si="21"/>
        <v>0</v>
      </c>
      <c r="AM79" s="18">
        <f t="shared" si="22"/>
        <v>0</v>
      </c>
      <c r="AN79" s="18">
        <f t="shared" si="23"/>
        <v>0</v>
      </c>
      <c r="AO79" s="18">
        <f t="shared" si="24"/>
        <v>0</v>
      </c>
      <c r="AP79" s="18">
        <f t="shared" si="25"/>
        <v>0</v>
      </c>
      <c r="AQ79" s="18">
        <f t="shared" si="26"/>
        <v>6.0606060606060606</v>
      </c>
      <c r="AR79" s="18">
        <f t="shared" ref="AR79:AR131" si="50">V79/$Z79*100</f>
        <v>0</v>
      </c>
      <c r="AS79" s="18">
        <f t="shared" ref="AS79:AS131" si="51">W79/$Z79*100</f>
        <v>0</v>
      </c>
      <c r="AT79" s="18">
        <f t="shared" ref="AT79:AT131" si="52">X79/$Z79*100</f>
        <v>6.0606060606060606</v>
      </c>
      <c r="AU79" s="18">
        <f t="shared" ref="AU79:AU131" si="53">Y79/$Z79*100</f>
        <v>15.151515151515152</v>
      </c>
    </row>
    <row r="80" spans="1:69" x14ac:dyDescent="0.35">
      <c r="A80" s="1" t="s">
        <v>116</v>
      </c>
      <c r="B80" s="1">
        <v>78</v>
      </c>
      <c r="C80" s="1" t="s">
        <v>132</v>
      </c>
      <c r="D80" s="1" t="s">
        <v>130</v>
      </c>
      <c r="E80" s="3" t="s">
        <v>53</v>
      </c>
      <c r="F80" s="4">
        <v>22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23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1</v>
      </c>
      <c r="T80" s="4">
        <v>0</v>
      </c>
      <c r="U80" s="4">
        <v>0</v>
      </c>
      <c r="V80" s="4">
        <v>0</v>
      </c>
      <c r="W80" s="4">
        <v>0</v>
      </c>
      <c r="X80" s="4">
        <v>3</v>
      </c>
      <c r="Y80" s="4">
        <v>6</v>
      </c>
      <c r="Z80" s="15">
        <f t="shared" si="44"/>
        <v>55</v>
      </c>
      <c r="AB80" s="18">
        <f t="shared" si="45"/>
        <v>40</v>
      </c>
      <c r="AC80" s="18">
        <f t="shared" ref="AC80:AC131" si="54">G80/$Z80*100</f>
        <v>0</v>
      </c>
      <c r="AD80" s="18">
        <f t="shared" ref="AD80:AD131" si="55">H80/$Z80*100</f>
        <v>0</v>
      </c>
      <c r="AE80" s="18">
        <f t="shared" ref="AE80:AE131" si="56">I80/$Z80*100</f>
        <v>0</v>
      </c>
      <c r="AF80" s="18">
        <f t="shared" ref="AF80:AF131" si="57">J80/$Z80*100</f>
        <v>0</v>
      </c>
      <c r="AG80" s="18">
        <f t="shared" ref="AG80:AG131" si="58">K80/$Z80*100</f>
        <v>0</v>
      </c>
      <c r="AH80" s="18">
        <f t="shared" ref="AH80:AH131" si="59">L80/$Z80*100</f>
        <v>41.818181818181813</v>
      </c>
      <c r="AI80" s="18">
        <f t="shared" ref="AI80:AI131" si="60">M80/$Z80*100</f>
        <v>0</v>
      </c>
      <c r="AJ80" s="18">
        <f t="shared" ref="AJ80:AJ131" si="61">N80/$Z80*100</f>
        <v>0</v>
      </c>
      <c r="AK80" s="18">
        <f t="shared" ref="AK80:AK131" si="62">O80/$Z80*100</f>
        <v>0</v>
      </c>
      <c r="AL80" s="18">
        <f t="shared" ref="AL80:AL131" si="63">P80/$Z80*100</f>
        <v>0</v>
      </c>
      <c r="AM80" s="18">
        <f t="shared" ref="AM80:AM131" si="64">Q80/$Z80*100</f>
        <v>0</v>
      </c>
      <c r="AN80" s="18">
        <f t="shared" ref="AN80:AN131" si="65">R80/$Z80*100</f>
        <v>0</v>
      </c>
      <c r="AO80" s="18">
        <f t="shared" ref="AO80:AO131" si="66">S80/$Z80*100</f>
        <v>1.8181818181818181</v>
      </c>
      <c r="AP80" s="18">
        <f t="shared" ref="AP80:AP131" si="67">T80/$Z80*100</f>
        <v>0</v>
      </c>
      <c r="AQ80" s="18">
        <f t="shared" ref="AQ80:AQ131" si="68">U80/$Z80*100</f>
        <v>0</v>
      </c>
      <c r="AR80" s="18">
        <f t="shared" si="50"/>
        <v>0</v>
      </c>
      <c r="AS80" s="18">
        <f t="shared" si="51"/>
        <v>0</v>
      </c>
      <c r="AT80" s="18">
        <f t="shared" si="52"/>
        <v>5.4545454545454541</v>
      </c>
      <c r="AU80" s="18">
        <f t="shared" si="53"/>
        <v>10.909090909090908</v>
      </c>
    </row>
    <row r="81" spans="1:69" x14ac:dyDescent="0.35">
      <c r="A81" s="1" t="s">
        <v>116</v>
      </c>
      <c r="B81" s="1">
        <v>79</v>
      </c>
      <c r="C81" s="1" t="s">
        <v>133</v>
      </c>
      <c r="D81" s="1" t="s">
        <v>134</v>
      </c>
      <c r="E81" s="3" t="s">
        <v>27</v>
      </c>
      <c r="F81" s="4">
        <v>16</v>
      </c>
      <c r="G81" s="4">
        <v>0</v>
      </c>
      <c r="H81" s="4">
        <v>0</v>
      </c>
      <c r="I81" s="4">
        <v>0</v>
      </c>
      <c r="J81" s="4">
        <v>2</v>
      </c>
      <c r="K81" s="4">
        <v>0</v>
      </c>
      <c r="L81" s="4">
        <v>7</v>
      </c>
      <c r="M81" s="4">
        <v>0</v>
      </c>
      <c r="N81" s="4">
        <v>0</v>
      </c>
      <c r="O81" s="4">
        <v>0</v>
      </c>
      <c r="P81" s="4">
        <v>1</v>
      </c>
      <c r="Q81" s="4">
        <v>0</v>
      </c>
      <c r="R81" s="4">
        <v>0</v>
      </c>
      <c r="S81" s="4">
        <v>0</v>
      </c>
      <c r="T81" s="4">
        <v>0</v>
      </c>
      <c r="U81" s="4">
        <v>2</v>
      </c>
      <c r="V81" s="4">
        <v>0</v>
      </c>
      <c r="W81" s="4">
        <v>0</v>
      </c>
      <c r="X81" s="4">
        <v>11</v>
      </c>
      <c r="Y81" s="4">
        <v>0</v>
      </c>
      <c r="Z81" s="15">
        <f t="shared" si="44"/>
        <v>39</v>
      </c>
      <c r="AB81" s="18">
        <f t="shared" si="45"/>
        <v>41.025641025641022</v>
      </c>
      <c r="AC81" s="18">
        <f t="shared" si="54"/>
        <v>0</v>
      </c>
      <c r="AD81" s="18">
        <f t="shared" si="55"/>
        <v>0</v>
      </c>
      <c r="AE81" s="18">
        <f t="shared" si="56"/>
        <v>0</v>
      </c>
      <c r="AF81" s="18">
        <f t="shared" si="57"/>
        <v>5.1282051282051277</v>
      </c>
      <c r="AG81" s="18">
        <f t="shared" si="58"/>
        <v>0</v>
      </c>
      <c r="AH81" s="18">
        <f t="shared" si="59"/>
        <v>17.948717948717949</v>
      </c>
      <c r="AI81" s="18">
        <f t="shared" si="60"/>
        <v>0</v>
      </c>
      <c r="AJ81" s="18">
        <f t="shared" si="61"/>
        <v>0</v>
      </c>
      <c r="AK81" s="18">
        <f t="shared" si="62"/>
        <v>0</v>
      </c>
      <c r="AL81" s="18">
        <f t="shared" si="63"/>
        <v>2.5641025641025639</v>
      </c>
      <c r="AM81" s="18">
        <f t="shared" si="64"/>
        <v>0</v>
      </c>
      <c r="AN81" s="18">
        <f t="shared" si="65"/>
        <v>0</v>
      </c>
      <c r="AO81" s="18">
        <f t="shared" si="66"/>
        <v>0</v>
      </c>
      <c r="AP81" s="18">
        <f t="shared" si="67"/>
        <v>0</v>
      </c>
      <c r="AQ81" s="18">
        <f t="shared" si="68"/>
        <v>5.1282051282051277</v>
      </c>
      <c r="AR81" s="18">
        <f t="shared" si="50"/>
        <v>0</v>
      </c>
      <c r="AS81" s="18">
        <f t="shared" si="51"/>
        <v>0</v>
      </c>
      <c r="AT81" s="18">
        <f t="shared" si="52"/>
        <v>28.205128205128204</v>
      </c>
      <c r="AU81" s="18">
        <f t="shared" si="53"/>
        <v>0</v>
      </c>
      <c r="AW81" s="19">
        <f>AVERAGE(AB81:AB83)</f>
        <v>32.147435897435891</v>
      </c>
      <c r="AX81" s="19">
        <f t="shared" ref="AX81:BP81" si="69">AVERAGE(AC81:AC83)</f>
        <v>0</v>
      </c>
      <c r="AY81" s="19">
        <f t="shared" si="69"/>
        <v>0.69444444444444431</v>
      </c>
      <c r="AZ81" s="19">
        <f t="shared" si="69"/>
        <v>0.83333333333333337</v>
      </c>
      <c r="BA81" s="19">
        <f t="shared" si="69"/>
        <v>5.5982905982905988</v>
      </c>
      <c r="BB81" s="19">
        <f t="shared" si="69"/>
        <v>0</v>
      </c>
      <c r="BC81" s="19">
        <f t="shared" si="69"/>
        <v>15.149572649572649</v>
      </c>
      <c r="BD81" s="19">
        <f t="shared" si="69"/>
        <v>0.83333333333333337</v>
      </c>
      <c r="BE81" s="19">
        <f t="shared" si="69"/>
        <v>0</v>
      </c>
      <c r="BF81" s="19">
        <f t="shared" si="69"/>
        <v>0</v>
      </c>
      <c r="BG81" s="19">
        <f t="shared" si="69"/>
        <v>0.85470085470085466</v>
      </c>
      <c r="BH81" s="19">
        <f t="shared" si="69"/>
        <v>0</v>
      </c>
      <c r="BI81" s="19">
        <f t="shared" si="69"/>
        <v>0</v>
      </c>
      <c r="BJ81" s="19">
        <f t="shared" si="69"/>
        <v>0</v>
      </c>
      <c r="BK81" s="19">
        <f t="shared" si="69"/>
        <v>7.083333333333333</v>
      </c>
      <c r="BL81" s="19">
        <f t="shared" si="69"/>
        <v>17.542735042735043</v>
      </c>
      <c r="BM81" s="19">
        <f t="shared" si="69"/>
        <v>0</v>
      </c>
      <c r="BN81" s="19">
        <f t="shared" si="69"/>
        <v>0</v>
      </c>
      <c r="BO81" s="19">
        <f t="shared" si="69"/>
        <v>18.568376068376068</v>
      </c>
      <c r="BP81" s="19">
        <f t="shared" si="69"/>
        <v>0.69444444444444431</v>
      </c>
      <c r="BQ81" s="19">
        <f>SUM(AW81:BP81)</f>
        <v>99.999999999999986</v>
      </c>
    </row>
    <row r="82" spans="1:69" x14ac:dyDescent="0.35">
      <c r="A82" s="1" t="s">
        <v>116</v>
      </c>
      <c r="B82" s="1">
        <v>80</v>
      </c>
      <c r="C82" s="1" t="s">
        <v>135</v>
      </c>
      <c r="D82" s="1" t="s">
        <v>134</v>
      </c>
      <c r="E82" s="3" t="s">
        <v>27</v>
      </c>
      <c r="F82" s="4">
        <v>11</v>
      </c>
      <c r="G82" s="4">
        <v>0</v>
      </c>
      <c r="H82" s="4">
        <v>1</v>
      </c>
      <c r="I82" s="4">
        <v>0</v>
      </c>
      <c r="J82" s="4">
        <v>2</v>
      </c>
      <c r="K82" s="4">
        <v>0</v>
      </c>
      <c r="L82" s="4">
        <v>6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9</v>
      </c>
      <c r="U82" s="4">
        <v>18</v>
      </c>
      <c r="V82" s="4">
        <v>0</v>
      </c>
      <c r="W82" s="4">
        <v>0</v>
      </c>
      <c r="X82" s="4">
        <v>0</v>
      </c>
      <c r="Y82" s="4">
        <v>1</v>
      </c>
      <c r="Z82" s="15">
        <f t="shared" si="44"/>
        <v>48</v>
      </c>
      <c r="AB82" s="18">
        <f t="shared" si="45"/>
        <v>22.916666666666664</v>
      </c>
      <c r="AC82" s="18">
        <f t="shared" si="54"/>
        <v>0</v>
      </c>
      <c r="AD82" s="18">
        <f t="shared" si="55"/>
        <v>2.083333333333333</v>
      </c>
      <c r="AE82" s="18">
        <f t="shared" si="56"/>
        <v>0</v>
      </c>
      <c r="AF82" s="18">
        <f t="shared" si="57"/>
        <v>4.1666666666666661</v>
      </c>
      <c r="AG82" s="18">
        <f t="shared" si="58"/>
        <v>0</v>
      </c>
      <c r="AH82" s="18">
        <f t="shared" si="59"/>
        <v>12.5</v>
      </c>
      <c r="AI82" s="18">
        <f t="shared" si="60"/>
        <v>0</v>
      </c>
      <c r="AJ82" s="18">
        <f t="shared" si="61"/>
        <v>0</v>
      </c>
      <c r="AK82" s="18">
        <f t="shared" si="62"/>
        <v>0</v>
      </c>
      <c r="AL82" s="18">
        <f t="shared" si="63"/>
        <v>0</v>
      </c>
      <c r="AM82" s="18">
        <f t="shared" si="64"/>
        <v>0</v>
      </c>
      <c r="AN82" s="18">
        <f t="shared" si="65"/>
        <v>0</v>
      </c>
      <c r="AO82" s="18">
        <f t="shared" si="66"/>
        <v>0</v>
      </c>
      <c r="AP82" s="18">
        <f t="shared" si="67"/>
        <v>18.75</v>
      </c>
      <c r="AQ82" s="18">
        <f t="shared" si="68"/>
        <v>37.5</v>
      </c>
      <c r="AR82" s="18">
        <f t="shared" si="50"/>
        <v>0</v>
      </c>
      <c r="AS82" s="18">
        <f t="shared" si="51"/>
        <v>0</v>
      </c>
      <c r="AT82" s="18">
        <f t="shared" si="52"/>
        <v>0</v>
      </c>
      <c r="AU82" s="18">
        <f t="shared" si="53"/>
        <v>2.083333333333333</v>
      </c>
    </row>
    <row r="83" spans="1:69" x14ac:dyDescent="0.35">
      <c r="A83" s="1" t="s">
        <v>116</v>
      </c>
      <c r="B83" s="1">
        <v>81</v>
      </c>
      <c r="C83" s="1" t="s">
        <v>136</v>
      </c>
      <c r="D83" s="1" t="s">
        <v>134</v>
      </c>
      <c r="E83" s="3" t="s">
        <v>27</v>
      </c>
      <c r="F83" s="4">
        <v>13</v>
      </c>
      <c r="G83" s="4">
        <v>0</v>
      </c>
      <c r="H83" s="4">
        <v>0</v>
      </c>
      <c r="I83" s="4">
        <v>1</v>
      </c>
      <c r="J83" s="4">
        <v>3</v>
      </c>
      <c r="K83" s="4">
        <v>0</v>
      </c>
      <c r="L83" s="4">
        <v>6</v>
      </c>
      <c r="M83" s="4">
        <v>1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1</v>
      </c>
      <c r="U83" s="4">
        <v>4</v>
      </c>
      <c r="V83" s="4">
        <v>0</v>
      </c>
      <c r="W83" s="4">
        <v>0</v>
      </c>
      <c r="X83" s="4">
        <v>11</v>
      </c>
      <c r="Y83" s="4">
        <v>0</v>
      </c>
      <c r="Z83" s="15">
        <f t="shared" si="44"/>
        <v>40</v>
      </c>
      <c r="AB83" s="18">
        <f t="shared" si="45"/>
        <v>32.5</v>
      </c>
      <c r="AC83" s="18">
        <f t="shared" si="54"/>
        <v>0</v>
      </c>
      <c r="AD83" s="18">
        <f t="shared" si="55"/>
        <v>0</v>
      </c>
      <c r="AE83" s="18">
        <f t="shared" si="56"/>
        <v>2.5</v>
      </c>
      <c r="AF83" s="18">
        <f t="shared" si="57"/>
        <v>7.5</v>
      </c>
      <c r="AG83" s="18">
        <f t="shared" si="58"/>
        <v>0</v>
      </c>
      <c r="AH83" s="18">
        <f t="shared" si="59"/>
        <v>15</v>
      </c>
      <c r="AI83" s="18">
        <f t="shared" si="60"/>
        <v>2.5</v>
      </c>
      <c r="AJ83" s="18">
        <f t="shared" si="61"/>
        <v>0</v>
      </c>
      <c r="AK83" s="18">
        <f t="shared" si="62"/>
        <v>0</v>
      </c>
      <c r="AL83" s="18">
        <f t="shared" si="63"/>
        <v>0</v>
      </c>
      <c r="AM83" s="18">
        <f t="shared" si="64"/>
        <v>0</v>
      </c>
      <c r="AN83" s="18">
        <f t="shared" si="65"/>
        <v>0</v>
      </c>
      <c r="AO83" s="18">
        <f t="shared" si="66"/>
        <v>0</v>
      </c>
      <c r="AP83" s="18">
        <f t="shared" si="67"/>
        <v>2.5</v>
      </c>
      <c r="AQ83" s="18">
        <f t="shared" si="68"/>
        <v>10</v>
      </c>
      <c r="AR83" s="18">
        <f t="shared" si="50"/>
        <v>0</v>
      </c>
      <c r="AS83" s="18">
        <f t="shared" si="51"/>
        <v>0</v>
      </c>
      <c r="AT83" s="18">
        <f t="shared" si="52"/>
        <v>27.500000000000004</v>
      </c>
      <c r="AU83" s="18">
        <f t="shared" si="53"/>
        <v>0</v>
      </c>
    </row>
    <row r="84" spans="1:69" x14ac:dyDescent="0.35">
      <c r="A84" s="1" t="s">
        <v>61</v>
      </c>
      <c r="B84" s="1">
        <v>82</v>
      </c>
      <c r="C84" s="1" t="s">
        <v>137</v>
      </c>
      <c r="D84" s="1" t="s">
        <v>138</v>
      </c>
      <c r="E84" s="3" t="s">
        <v>21</v>
      </c>
      <c r="F84" s="4">
        <v>16</v>
      </c>
      <c r="G84" s="4">
        <v>0</v>
      </c>
      <c r="H84" s="4">
        <v>0</v>
      </c>
      <c r="I84" s="4">
        <v>0</v>
      </c>
      <c r="J84" s="4">
        <v>1</v>
      </c>
      <c r="K84" s="4">
        <v>0</v>
      </c>
      <c r="L84" s="4">
        <v>6</v>
      </c>
      <c r="M84" s="4">
        <v>0</v>
      </c>
      <c r="N84" s="4">
        <v>0</v>
      </c>
      <c r="O84" s="4">
        <v>0</v>
      </c>
      <c r="P84" s="4">
        <v>0</v>
      </c>
      <c r="Q84" s="4">
        <v>3</v>
      </c>
      <c r="R84" s="4">
        <v>0</v>
      </c>
      <c r="S84" s="4">
        <v>0</v>
      </c>
      <c r="T84" s="4">
        <v>0</v>
      </c>
      <c r="U84" s="4">
        <v>4</v>
      </c>
      <c r="V84" s="4">
        <v>0</v>
      </c>
      <c r="W84" s="4">
        <v>0</v>
      </c>
      <c r="X84" s="4">
        <v>6</v>
      </c>
      <c r="Y84" s="4">
        <v>0</v>
      </c>
      <c r="Z84" s="15">
        <f t="shared" si="44"/>
        <v>36</v>
      </c>
      <c r="AB84" s="18">
        <f t="shared" si="45"/>
        <v>44.444444444444443</v>
      </c>
      <c r="AC84" s="18">
        <f t="shared" si="54"/>
        <v>0</v>
      </c>
      <c r="AD84" s="18">
        <f t="shared" si="55"/>
        <v>0</v>
      </c>
      <c r="AE84" s="18">
        <f t="shared" si="56"/>
        <v>0</v>
      </c>
      <c r="AF84" s="18">
        <f t="shared" si="57"/>
        <v>2.7777777777777777</v>
      </c>
      <c r="AG84" s="18">
        <f t="shared" si="58"/>
        <v>0</v>
      </c>
      <c r="AH84" s="18">
        <f t="shared" si="59"/>
        <v>16.666666666666664</v>
      </c>
      <c r="AI84" s="18">
        <f t="shared" si="60"/>
        <v>0</v>
      </c>
      <c r="AJ84" s="18">
        <f t="shared" si="61"/>
        <v>0</v>
      </c>
      <c r="AK84" s="18">
        <f t="shared" si="62"/>
        <v>0</v>
      </c>
      <c r="AL84" s="18">
        <f t="shared" si="63"/>
        <v>0</v>
      </c>
      <c r="AM84" s="18">
        <f t="shared" si="64"/>
        <v>8.3333333333333321</v>
      </c>
      <c r="AN84" s="18">
        <f t="shared" si="65"/>
        <v>0</v>
      </c>
      <c r="AO84" s="18">
        <f t="shared" si="66"/>
        <v>0</v>
      </c>
      <c r="AP84" s="18">
        <f t="shared" si="67"/>
        <v>0</v>
      </c>
      <c r="AQ84" s="18">
        <f t="shared" si="68"/>
        <v>11.111111111111111</v>
      </c>
      <c r="AR84" s="18">
        <f t="shared" si="50"/>
        <v>0</v>
      </c>
      <c r="AS84" s="18">
        <f t="shared" si="51"/>
        <v>0</v>
      </c>
      <c r="AT84" s="18">
        <f t="shared" si="52"/>
        <v>16.666666666666664</v>
      </c>
      <c r="AU84" s="18">
        <f t="shared" si="53"/>
        <v>0</v>
      </c>
      <c r="AW84" s="19">
        <f>AVERAGE(AB84:AB86)</f>
        <v>38.904450669156546</v>
      </c>
      <c r="AX84" s="19">
        <f t="shared" ref="AX84:BP84" si="70">AVERAGE(AC84:AC86)</f>
        <v>0</v>
      </c>
      <c r="AY84" s="19">
        <f t="shared" si="70"/>
        <v>0</v>
      </c>
      <c r="AZ84" s="19">
        <f t="shared" si="70"/>
        <v>0</v>
      </c>
      <c r="BA84" s="19">
        <f t="shared" si="70"/>
        <v>5.8278867102396523</v>
      </c>
      <c r="BB84" s="19">
        <f t="shared" si="70"/>
        <v>0</v>
      </c>
      <c r="BC84" s="19">
        <f t="shared" si="70"/>
        <v>15.21942110177404</v>
      </c>
      <c r="BD84" s="19">
        <f t="shared" si="70"/>
        <v>0</v>
      </c>
      <c r="BE84" s="19">
        <f t="shared" si="70"/>
        <v>0</v>
      </c>
      <c r="BF84" s="19">
        <f t="shared" si="70"/>
        <v>0</v>
      </c>
      <c r="BG84" s="19">
        <f t="shared" si="70"/>
        <v>4.9019607843137258</v>
      </c>
      <c r="BH84" s="19">
        <f t="shared" si="70"/>
        <v>3.5714285714285712</v>
      </c>
      <c r="BI84" s="19">
        <f t="shared" si="70"/>
        <v>0</v>
      </c>
      <c r="BJ84" s="19">
        <f t="shared" si="70"/>
        <v>0</v>
      </c>
      <c r="BK84" s="19">
        <f t="shared" si="70"/>
        <v>0.79365079365079361</v>
      </c>
      <c r="BL84" s="19">
        <f t="shared" si="70"/>
        <v>21.677559912854026</v>
      </c>
      <c r="BM84" s="19">
        <f t="shared" si="70"/>
        <v>0</v>
      </c>
      <c r="BN84" s="19">
        <f t="shared" si="70"/>
        <v>0</v>
      </c>
      <c r="BO84" s="19">
        <f t="shared" si="70"/>
        <v>8.3099906629318383</v>
      </c>
      <c r="BP84" s="19">
        <f t="shared" si="70"/>
        <v>0.79365079365079361</v>
      </c>
      <c r="BQ84" s="19">
        <f>SUM(AW84:BP84)</f>
        <v>99.999999999999986</v>
      </c>
    </row>
    <row r="85" spans="1:69" x14ac:dyDescent="0.35">
      <c r="A85" s="1" t="s">
        <v>61</v>
      </c>
      <c r="B85" s="1">
        <v>83</v>
      </c>
      <c r="C85" s="1" t="s">
        <v>139</v>
      </c>
      <c r="D85" s="1" t="s">
        <v>138</v>
      </c>
      <c r="E85" s="3" t="s">
        <v>21</v>
      </c>
      <c r="F85" s="4">
        <v>18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6</v>
      </c>
      <c r="M85" s="4">
        <v>0</v>
      </c>
      <c r="N85" s="4">
        <v>0</v>
      </c>
      <c r="O85" s="4">
        <v>0</v>
      </c>
      <c r="P85" s="4">
        <v>0</v>
      </c>
      <c r="Q85" s="4">
        <v>1</v>
      </c>
      <c r="R85" s="4">
        <v>0</v>
      </c>
      <c r="S85" s="4">
        <v>0</v>
      </c>
      <c r="T85" s="4">
        <v>1</v>
      </c>
      <c r="U85" s="4">
        <v>14</v>
      </c>
      <c r="V85" s="4">
        <v>0</v>
      </c>
      <c r="W85" s="4">
        <v>0</v>
      </c>
      <c r="X85" s="4">
        <v>1</v>
      </c>
      <c r="Y85" s="4">
        <v>1</v>
      </c>
      <c r="Z85" s="15">
        <f t="shared" si="44"/>
        <v>42</v>
      </c>
      <c r="AB85" s="18">
        <f t="shared" si="45"/>
        <v>42.857142857142854</v>
      </c>
      <c r="AC85" s="18">
        <f t="shared" si="54"/>
        <v>0</v>
      </c>
      <c r="AD85" s="18">
        <f t="shared" si="55"/>
        <v>0</v>
      </c>
      <c r="AE85" s="18">
        <f t="shared" si="56"/>
        <v>0</v>
      </c>
      <c r="AF85" s="18">
        <f t="shared" si="57"/>
        <v>0</v>
      </c>
      <c r="AG85" s="18">
        <f t="shared" si="58"/>
        <v>0</v>
      </c>
      <c r="AH85" s="18">
        <f t="shared" si="59"/>
        <v>14.285714285714285</v>
      </c>
      <c r="AI85" s="18">
        <f t="shared" si="60"/>
        <v>0</v>
      </c>
      <c r="AJ85" s="18">
        <f t="shared" si="61"/>
        <v>0</v>
      </c>
      <c r="AK85" s="18">
        <f t="shared" si="62"/>
        <v>0</v>
      </c>
      <c r="AL85" s="18">
        <f t="shared" si="63"/>
        <v>0</v>
      </c>
      <c r="AM85" s="18">
        <f t="shared" si="64"/>
        <v>2.3809523809523809</v>
      </c>
      <c r="AN85" s="18">
        <f t="shared" si="65"/>
        <v>0</v>
      </c>
      <c r="AO85" s="18">
        <f t="shared" si="66"/>
        <v>0</v>
      </c>
      <c r="AP85" s="18">
        <f t="shared" si="67"/>
        <v>2.3809523809523809</v>
      </c>
      <c r="AQ85" s="18">
        <f t="shared" si="68"/>
        <v>33.333333333333329</v>
      </c>
      <c r="AR85" s="18">
        <f t="shared" si="50"/>
        <v>0</v>
      </c>
      <c r="AS85" s="18">
        <f t="shared" si="51"/>
        <v>0</v>
      </c>
      <c r="AT85" s="18">
        <f t="shared" si="52"/>
        <v>2.3809523809523809</v>
      </c>
      <c r="AU85" s="18">
        <f t="shared" si="53"/>
        <v>2.3809523809523809</v>
      </c>
    </row>
    <row r="86" spans="1:69" x14ac:dyDescent="0.35">
      <c r="A86" s="1" t="s">
        <v>61</v>
      </c>
      <c r="B86" s="1">
        <v>84</v>
      </c>
      <c r="C86" s="1" t="s">
        <v>140</v>
      </c>
      <c r="D86" s="1" t="s">
        <v>138</v>
      </c>
      <c r="E86" s="3" t="s">
        <v>21</v>
      </c>
      <c r="F86" s="4">
        <v>10</v>
      </c>
      <c r="G86" s="4">
        <v>0</v>
      </c>
      <c r="H86" s="4">
        <v>0</v>
      </c>
      <c r="I86" s="4">
        <v>0</v>
      </c>
      <c r="J86" s="4">
        <v>5</v>
      </c>
      <c r="K86" s="4">
        <v>0</v>
      </c>
      <c r="L86" s="4">
        <v>5</v>
      </c>
      <c r="M86" s="4">
        <v>0</v>
      </c>
      <c r="N86" s="4">
        <v>0</v>
      </c>
      <c r="O86" s="4">
        <v>0</v>
      </c>
      <c r="P86" s="4">
        <v>5</v>
      </c>
      <c r="Q86" s="4">
        <v>0</v>
      </c>
      <c r="R86" s="4">
        <v>0</v>
      </c>
      <c r="S86" s="4">
        <v>0</v>
      </c>
      <c r="T86" s="4">
        <v>0</v>
      </c>
      <c r="U86" s="4">
        <v>7</v>
      </c>
      <c r="V86" s="4">
        <v>0</v>
      </c>
      <c r="W86" s="4">
        <v>0</v>
      </c>
      <c r="X86" s="4">
        <v>2</v>
      </c>
      <c r="Y86" s="4">
        <v>0</v>
      </c>
      <c r="Z86" s="15">
        <f t="shared" si="44"/>
        <v>34</v>
      </c>
      <c r="AB86" s="18">
        <f t="shared" si="45"/>
        <v>29.411764705882355</v>
      </c>
      <c r="AC86" s="18">
        <f t="shared" si="54"/>
        <v>0</v>
      </c>
      <c r="AD86" s="18">
        <f t="shared" si="55"/>
        <v>0</v>
      </c>
      <c r="AE86" s="18">
        <f t="shared" si="56"/>
        <v>0</v>
      </c>
      <c r="AF86" s="18">
        <f t="shared" si="57"/>
        <v>14.705882352941178</v>
      </c>
      <c r="AG86" s="18">
        <f t="shared" si="58"/>
        <v>0</v>
      </c>
      <c r="AH86" s="18">
        <f t="shared" si="59"/>
        <v>14.705882352941178</v>
      </c>
      <c r="AI86" s="18">
        <f t="shared" si="60"/>
        <v>0</v>
      </c>
      <c r="AJ86" s="18">
        <f t="shared" si="61"/>
        <v>0</v>
      </c>
      <c r="AK86" s="18">
        <f t="shared" si="62"/>
        <v>0</v>
      </c>
      <c r="AL86" s="18">
        <f t="shared" si="63"/>
        <v>14.705882352941178</v>
      </c>
      <c r="AM86" s="18">
        <f t="shared" si="64"/>
        <v>0</v>
      </c>
      <c r="AN86" s="18">
        <f t="shared" si="65"/>
        <v>0</v>
      </c>
      <c r="AO86" s="18">
        <f t="shared" si="66"/>
        <v>0</v>
      </c>
      <c r="AP86" s="18">
        <f t="shared" si="67"/>
        <v>0</v>
      </c>
      <c r="AQ86" s="18">
        <f t="shared" si="68"/>
        <v>20.588235294117645</v>
      </c>
      <c r="AR86" s="18">
        <f t="shared" si="50"/>
        <v>0</v>
      </c>
      <c r="AS86" s="18">
        <f t="shared" si="51"/>
        <v>0</v>
      </c>
      <c r="AT86" s="18">
        <f t="shared" si="52"/>
        <v>5.8823529411764701</v>
      </c>
      <c r="AU86" s="18">
        <f t="shared" si="53"/>
        <v>0</v>
      </c>
    </row>
    <row r="87" spans="1:69" x14ac:dyDescent="0.35">
      <c r="A87" s="1" t="s">
        <v>61</v>
      </c>
      <c r="B87" s="1">
        <v>85</v>
      </c>
      <c r="C87" s="1" t="s">
        <v>141</v>
      </c>
      <c r="D87" s="1" t="s">
        <v>142</v>
      </c>
      <c r="E87" s="3" t="s">
        <v>27</v>
      </c>
      <c r="F87" s="4">
        <v>14</v>
      </c>
      <c r="G87" s="4">
        <v>3</v>
      </c>
      <c r="H87" s="4">
        <v>0</v>
      </c>
      <c r="I87" s="4">
        <v>0</v>
      </c>
      <c r="J87" s="4">
        <v>0</v>
      </c>
      <c r="K87" s="4">
        <v>0</v>
      </c>
      <c r="L87" s="4">
        <v>4</v>
      </c>
      <c r="M87" s="4">
        <v>0</v>
      </c>
      <c r="N87" s="4">
        <v>1</v>
      </c>
      <c r="O87" s="4">
        <v>0</v>
      </c>
      <c r="P87" s="4">
        <v>0</v>
      </c>
      <c r="Q87" s="4">
        <v>0</v>
      </c>
      <c r="R87" s="4">
        <v>0</v>
      </c>
      <c r="S87" s="4">
        <v>5</v>
      </c>
      <c r="T87" s="4">
        <v>11</v>
      </c>
      <c r="U87" s="4">
        <v>9</v>
      </c>
      <c r="V87" s="4">
        <v>0</v>
      </c>
      <c r="W87" s="4">
        <v>0</v>
      </c>
      <c r="X87" s="4">
        <v>0</v>
      </c>
      <c r="Y87" s="4">
        <v>2</v>
      </c>
      <c r="Z87" s="15">
        <f t="shared" si="44"/>
        <v>49</v>
      </c>
      <c r="AB87" s="18">
        <f t="shared" si="45"/>
        <v>28.571428571428569</v>
      </c>
      <c r="AC87" s="18">
        <f t="shared" si="54"/>
        <v>6.1224489795918364</v>
      </c>
      <c r="AD87" s="18">
        <f t="shared" si="55"/>
        <v>0</v>
      </c>
      <c r="AE87" s="18">
        <f t="shared" si="56"/>
        <v>0</v>
      </c>
      <c r="AF87" s="18">
        <f t="shared" si="57"/>
        <v>0</v>
      </c>
      <c r="AG87" s="18">
        <f t="shared" si="58"/>
        <v>0</v>
      </c>
      <c r="AH87" s="18">
        <f t="shared" si="59"/>
        <v>8.1632653061224492</v>
      </c>
      <c r="AI87" s="18">
        <f t="shared" si="60"/>
        <v>0</v>
      </c>
      <c r="AJ87" s="18">
        <f t="shared" si="61"/>
        <v>2.0408163265306123</v>
      </c>
      <c r="AK87" s="18">
        <f t="shared" si="62"/>
        <v>0</v>
      </c>
      <c r="AL87" s="18">
        <f t="shared" si="63"/>
        <v>0</v>
      </c>
      <c r="AM87" s="18">
        <f t="shared" si="64"/>
        <v>0</v>
      </c>
      <c r="AN87" s="18">
        <f t="shared" si="65"/>
        <v>0</v>
      </c>
      <c r="AO87" s="18">
        <f t="shared" si="66"/>
        <v>10.204081632653061</v>
      </c>
      <c r="AP87" s="18">
        <f t="shared" si="67"/>
        <v>22.448979591836736</v>
      </c>
      <c r="AQ87" s="18">
        <f t="shared" si="68"/>
        <v>18.367346938775512</v>
      </c>
      <c r="AR87" s="18">
        <f t="shared" si="50"/>
        <v>0</v>
      </c>
      <c r="AS87" s="18">
        <f t="shared" si="51"/>
        <v>0</v>
      </c>
      <c r="AT87" s="18">
        <f t="shared" si="52"/>
        <v>0</v>
      </c>
      <c r="AU87" s="18">
        <f t="shared" si="53"/>
        <v>4.0816326530612246</v>
      </c>
      <c r="AW87" s="19">
        <f>AVERAGE(AB87:AB89)</f>
        <v>16.005291005291003</v>
      </c>
      <c r="AX87" s="19">
        <f t="shared" ref="AX87:BP87" si="71">AVERAGE(AC87:AC89)</f>
        <v>2.0408163265306123</v>
      </c>
      <c r="AY87" s="19">
        <f t="shared" si="71"/>
        <v>0</v>
      </c>
      <c r="AZ87" s="19">
        <f t="shared" si="71"/>
        <v>0.61728395061728392</v>
      </c>
      <c r="BA87" s="19">
        <f t="shared" si="71"/>
        <v>2.4691358024691357</v>
      </c>
      <c r="BB87" s="19">
        <f t="shared" si="71"/>
        <v>0.61728395061728392</v>
      </c>
      <c r="BC87" s="19">
        <f t="shared" si="71"/>
        <v>20.005039052658102</v>
      </c>
      <c r="BD87" s="19">
        <f t="shared" si="71"/>
        <v>0.92592592592592593</v>
      </c>
      <c r="BE87" s="19">
        <f t="shared" si="71"/>
        <v>0.68027210884353739</v>
      </c>
      <c r="BF87" s="19">
        <f t="shared" si="71"/>
        <v>0</v>
      </c>
      <c r="BG87" s="19">
        <f t="shared" si="71"/>
        <v>1.2345679012345678</v>
      </c>
      <c r="BH87" s="19">
        <f t="shared" si="71"/>
        <v>0</v>
      </c>
      <c r="BI87" s="19">
        <f t="shared" si="71"/>
        <v>0</v>
      </c>
      <c r="BJ87" s="19">
        <f t="shared" si="71"/>
        <v>11.117409926933737</v>
      </c>
      <c r="BK87" s="19">
        <f t="shared" si="71"/>
        <v>14.89040060468632</v>
      </c>
      <c r="BL87" s="19">
        <f t="shared" si="71"/>
        <v>13.838498362307886</v>
      </c>
      <c r="BM87" s="19">
        <f t="shared" si="71"/>
        <v>0</v>
      </c>
      <c r="BN87" s="19">
        <f t="shared" si="71"/>
        <v>0</v>
      </c>
      <c r="BO87" s="19">
        <f t="shared" si="71"/>
        <v>14.197530864197532</v>
      </c>
      <c r="BP87" s="19">
        <f t="shared" si="71"/>
        <v>1.3605442176870748</v>
      </c>
      <c r="BQ87" s="19">
        <f>SUM(AW87:BP87)</f>
        <v>100.00000000000001</v>
      </c>
    </row>
    <row r="88" spans="1:69" x14ac:dyDescent="0.35">
      <c r="A88" s="1" t="s">
        <v>61</v>
      </c>
      <c r="B88" s="1">
        <v>86</v>
      </c>
      <c r="C88" s="1" t="s">
        <v>143</v>
      </c>
      <c r="D88" s="1" t="s">
        <v>142</v>
      </c>
      <c r="E88" s="3" t="s">
        <v>27</v>
      </c>
      <c r="F88" s="4">
        <v>5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10</v>
      </c>
      <c r="M88" s="4">
        <v>1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5</v>
      </c>
      <c r="T88" s="4">
        <v>6</v>
      </c>
      <c r="U88" s="4">
        <v>5</v>
      </c>
      <c r="V88" s="4">
        <v>0</v>
      </c>
      <c r="W88" s="4">
        <v>0</v>
      </c>
      <c r="X88" s="4">
        <v>4</v>
      </c>
      <c r="Y88" s="4">
        <v>0</v>
      </c>
      <c r="Z88" s="15">
        <f t="shared" si="44"/>
        <v>36</v>
      </c>
      <c r="AB88" s="18">
        <f t="shared" si="45"/>
        <v>13.888888888888889</v>
      </c>
      <c r="AC88" s="18">
        <f t="shared" si="54"/>
        <v>0</v>
      </c>
      <c r="AD88" s="18">
        <f t="shared" si="55"/>
        <v>0</v>
      </c>
      <c r="AE88" s="18">
        <f t="shared" si="56"/>
        <v>0</v>
      </c>
      <c r="AF88" s="18">
        <f t="shared" si="57"/>
        <v>0</v>
      </c>
      <c r="AG88" s="18">
        <f t="shared" si="58"/>
        <v>0</v>
      </c>
      <c r="AH88" s="18">
        <f t="shared" si="59"/>
        <v>27.777777777777779</v>
      </c>
      <c r="AI88" s="18">
        <f t="shared" si="60"/>
        <v>2.7777777777777777</v>
      </c>
      <c r="AJ88" s="18">
        <f t="shared" si="61"/>
        <v>0</v>
      </c>
      <c r="AK88" s="18">
        <f t="shared" si="62"/>
        <v>0</v>
      </c>
      <c r="AL88" s="18">
        <f t="shared" si="63"/>
        <v>0</v>
      </c>
      <c r="AM88" s="18">
        <f t="shared" si="64"/>
        <v>0</v>
      </c>
      <c r="AN88" s="18">
        <f t="shared" si="65"/>
        <v>0</v>
      </c>
      <c r="AO88" s="18">
        <f t="shared" si="66"/>
        <v>13.888888888888889</v>
      </c>
      <c r="AP88" s="18">
        <f t="shared" si="67"/>
        <v>16.666666666666664</v>
      </c>
      <c r="AQ88" s="18">
        <f t="shared" si="68"/>
        <v>13.888888888888889</v>
      </c>
      <c r="AR88" s="18">
        <f t="shared" si="50"/>
        <v>0</v>
      </c>
      <c r="AS88" s="18">
        <f t="shared" si="51"/>
        <v>0</v>
      </c>
      <c r="AT88" s="18">
        <f t="shared" si="52"/>
        <v>11.111111111111111</v>
      </c>
      <c r="AU88" s="18">
        <f t="shared" si="53"/>
        <v>0</v>
      </c>
    </row>
    <row r="89" spans="1:69" x14ac:dyDescent="0.35">
      <c r="A89" s="1" t="s">
        <v>61</v>
      </c>
      <c r="B89" s="1">
        <v>87</v>
      </c>
      <c r="C89" s="1" t="s">
        <v>144</v>
      </c>
      <c r="D89" s="1" t="s">
        <v>142</v>
      </c>
      <c r="E89" s="3" t="s">
        <v>27</v>
      </c>
      <c r="F89" s="4">
        <v>3</v>
      </c>
      <c r="G89" s="4">
        <v>0</v>
      </c>
      <c r="H89" s="4">
        <v>0</v>
      </c>
      <c r="I89" s="4">
        <v>1</v>
      </c>
      <c r="J89" s="4">
        <v>4</v>
      </c>
      <c r="K89" s="4">
        <v>1</v>
      </c>
      <c r="L89" s="4">
        <v>13</v>
      </c>
      <c r="M89" s="4">
        <v>0</v>
      </c>
      <c r="N89" s="4">
        <v>0</v>
      </c>
      <c r="O89" s="4">
        <v>0</v>
      </c>
      <c r="P89" s="4">
        <v>2</v>
      </c>
      <c r="Q89" s="4">
        <v>0</v>
      </c>
      <c r="R89" s="4">
        <v>0</v>
      </c>
      <c r="S89" s="4">
        <v>5</v>
      </c>
      <c r="T89" s="4">
        <v>3</v>
      </c>
      <c r="U89" s="4">
        <v>5</v>
      </c>
      <c r="V89" s="4">
        <v>0</v>
      </c>
      <c r="W89" s="4">
        <v>0</v>
      </c>
      <c r="X89" s="4">
        <v>17</v>
      </c>
      <c r="Y89" s="4">
        <v>0</v>
      </c>
      <c r="Z89" s="15">
        <f t="shared" si="44"/>
        <v>54</v>
      </c>
      <c r="AB89" s="18">
        <f t="shared" si="45"/>
        <v>5.5555555555555554</v>
      </c>
      <c r="AC89" s="18">
        <f t="shared" si="54"/>
        <v>0</v>
      </c>
      <c r="AD89" s="18">
        <f t="shared" si="55"/>
        <v>0</v>
      </c>
      <c r="AE89" s="18">
        <f t="shared" si="56"/>
        <v>1.8518518518518516</v>
      </c>
      <c r="AF89" s="18">
        <f t="shared" si="57"/>
        <v>7.4074074074074066</v>
      </c>
      <c r="AG89" s="18">
        <f t="shared" si="58"/>
        <v>1.8518518518518516</v>
      </c>
      <c r="AH89" s="18">
        <f t="shared" si="59"/>
        <v>24.074074074074073</v>
      </c>
      <c r="AI89" s="18">
        <f t="shared" si="60"/>
        <v>0</v>
      </c>
      <c r="AJ89" s="18">
        <f t="shared" si="61"/>
        <v>0</v>
      </c>
      <c r="AK89" s="18">
        <f t="shared" si="62"/>
        <v>0</v>
      </c>
      <c r="AL89" s="18">
        <f t="shared" si="63"/>
        <v>3.7037037037037033</v>
      </c>
      <c r="AM89" s="18">
        <f t="shared" si="64"/>
        <v>0</v>
      </c>
      <c r="AN89" s="18">
        <f t="shared" si="65"/>
        <v>0</v>
      </c>
      <c r="AO89" s="18">
        <f t="shared" si="66"/>
        <v>9.2592592592592595</v>
      </c>
      <c r="AP89" s="18">
        <f t="shared" si="67"/>
        <v>5.5555555555555554</v>
      </c>
      <c r="AQ89" s="18">
        <f t="shared" si="68"/>
        <v>9.2592592592592595</v>
      </c>
      <c r="AR89" s="18">
        <f t="shared" si="50"/>
        <v>0</v>
      </c>
      <c r="AS89" s="18">
        <f t="shared" si="51"/>
        <v>0</v>
      </c>
      <c r="AT89" s="18">
        <f t="shared" si="52"/>
        <v>31.481481481481481</v>
      </c>
      <c r="AU89" s="18">
        <f t="shared" si="53"/>
        <v>0</v>
      </c>
    </row>
    <row r="90" spans="1:69" x14ac:dyDescent="0.35">
      <c r="A90" s="1" t="s">
        <v>61</v>
      </c>
      <c r="B90" s="1">
        <v>88</v>
      </c>
      <c r="C90" s="1" t="s">
        <v>145</v>
      </c>
      <c r="D90" s="1" t="s">
        <v>146</v>
      </c>
      <c r="E90" s="3" t="s">
        <v>21</v>
      </c>
      <c r="F90" s="4">
        <v>6</v>
      </c>
      <c r="G90" s="4">
        <v>0</v>
      </c>
      <c r="H90" s="4">
        <v>0</v>
      </c>
      <c r="I90" s="4">
        <v>0</v>
      </c>
      <c r="J90" s="4">
        <v>0</v>
      </c>
      <c r="K90" s="4">
        <v>1</v>
      </c>
      <c r="L90" s="4">
        <v>4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2</v>
      </c>
      <c r="U90" s="4">
        <v>18</v>
      </c>
      <c r="V90" s="4">
        <v>0</v>
      </c>
      <c r="W90" s="4">
        <v>0</v>
      </c>
      <c r="X90" s="4">
        <v>0</v>
      </c>
      <c r="Y90" s="4">
        <v>0</v>
      </c>
      <c r="Z90" s="15">
        <f t="shared" si="44"/>
        <v>31</v>
      </c>
      <c r="AB90" s="18">
        <f t="shared" si="45"/>
        <v>19.35483870967742</v>
      </c>
      <c r="AC90" s="18">
        <f t="shared" si="54"/>
        <v>0</v>
      </c>
      <c r="AD90" s="18">
        <f t="shared" si="55"/>
        <v>0</v>
      </c>
      <c r="AE90" s="18">
        <f t="shared" si="56"/>
        <v>0</v>
      </c>
      <c r="AF90" s="18">
        <f t="shared" si="57"/>
        <v>0</v>
      </c>
      <c r="AG90" s="18">
        <f t="shared" si="58"/>
        <v>3.225806451612903</v>
      </c>
      <c r="AH90" s="18">
        <f t="shared" si="59"/>
        <v>12.903225806451612</v>
      </c>
      <c r="AI90" s="18">
        <f t="shared" si="60"/>
        <v>0</v>
      </c>
      <c r="AJ90" s="18">
        <f t="shared" si="61"/>
        <v>0</v>
      </c>
      <c r="AK90" s="18">
        <f t="shared" si="62"/>
        <v>0</v>
      </c>
      <c r="AL90" s="18">
        <f t="shared" si="63"/>
        <v>0</v>
      </c>
      <c r="AM90" s="18">
        <f t="shared" si="64"/>
        <v>0</v>
      </c>
      <c r="AN90" s="18">
        <f t="shared" si="65"/>
        <v>0</v>
      </c>
      <c r="AO90" s="18">
        <f t="shared" si="66"/>
        <v>0</v>
      </c>
      <c r="AP90" s="18">
        <f t="shared" si="67"/>
        <v>6.4516129032258061</v>
      </c>
      <c r="AQ90" s="18">
        <f t="shared" si="68"/>
        <v>58.064516129032263</v>
      </c>
      <c r="AR90" s="18">
        <f t="shared" si="50"/>
        <v>0</v>
      </c>
      <c r="AS90" s="18">
        <f t="shared" si="51"/>
        <v>0</v>
      </c>
      <c r="AT90" s="18">
        <f t="shared" si="52"/>
        <v>0</v>
      </c>
      <c r="AU90" s="18">
        <f t="shared" si="53"/>
        <v>0</v>
      </c>
      <c r="AW90" s="19">
        <f>AVERAGE(AB90:AB92)</f>
        <v>15.665848280251879</v>
      </c>
      <c r="AX90" s="19">
        <f t="shared" ref="AX90:BP90" si="72">AVERAGE(AC90:AC92)</f>
        <v>0</v>
      </c>
      <c r="AY90" s="19">
        <f t="shared" si="72"/>
        <v>0</v>
      </c>
      <c r="AZ90" s="19">
        <f t="shared" si="72"/>
        <v>0</v>
      </c>
      <c r="BA90" s="19">
        <f t="shared" si="72"/>
        <v>10.69415081042988</v>
      </c>
      <c r="BB90" s="19">
        <f t="shared" si="72"/>
        <v>4.1231898883811864</v>
      </c>
      <c r="BC90" s="19">
        <f t="shared" si="72"/>
        <v>17.320807474595924</v>
      </c>
      <c r="BD90" s="19">
        <f t="shared" si="72"/>
        <v>0</v>
      </c>
      <c r="BE90" s="19">
        <f t="shared" si="72"/>
        <v>0</v>
      </c>
      <c r="BF90" s="19">
        <f t="shared" si="72"/>
        <v>0</v>
      </c>
      <c r="BG90" s="19">
        <f t="shared" si="72"/>
        <v>0</v>
      </c>
      <c r="BH90" s="19">
        <f t="shared" si="72"/>
        <v>3.0303030303030307</v>
      </c>
      <c r="BI90" s="19">
        <f t="shared" si="72"/>
        <v>0</v>
      </c>
      <c r="BJ90" s="19">
        <f t="shared" si="72"/>
        <v>0</v>
      </c>
      <c r="BK90" s="19">
        <f t="shared" si="72"/>
        <v>5.9384164222873892</v>
      </c>
      <c r="BL90" s="19">
        <f t="shared" si="72"/>
        <v>39.351315101502649</v>
      </c>
      <c r="BM90" s="19">
        <f t="shared" si="72"/>
        <v>0</v>
      </c>
      <c r="BN90" s="19">
        <f t="shared" si="72"/>
        <v>3.1007751937984498</v>
      </c>
      <c r="BO90" s="19">
        <f t="shared" si="72"/>
        <v>0.77519379844961245</v>
      </c>
      <c r="BP90" s="19">
        <f t="shared" si="72"/>
        <v>0</v>
      </c>
      <c r="BQ90" s="19">
        <f>SUM(AW90:BP90)</f>
        <v>100</v>
      </c>
    </row>
    <row r="91" spans="1:69" x14ac:dyDescent="0.35">
      <c r="A91" s="1" t="s">
        <v>61</v>
      </c>
      <c r="B91" s="1">
        <v>89</v>
      </c>
      <c r="C91" s="1" t="s">
        <v>147</v>
      </c>
      <c r="D91" s="1" t="s">
        <v>146</v>
      </c>
      <c r="E91" s="3" t="s">
        <v>21</v>
      </c>
      <c r="F91" s="4">
        <v>7</v>
      </c>
      <c r="G91" s="4">
        <v>0</v>
      </c>
      <c r="H91" s="4">
        <v>0</v>
      </c>
      <c r="I91" s="4">
        <v>0</v>
      </c>
      <c r="J91" s="4">
        <v>5</v>
      </c>
      <c r="K91" s="4">
        <v>1</v>
      </c>
      <c r="L91" s="4">
        <v>8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17</v>
      </c>
      <c r="V91" s="4">
        <v>0</v>
      </c>
      <c r="W91" s="4">
        <v>4</v>
      </c>
      <c r="X91" s="4">
        <v>1</v>
      </c>
      <c r="Y91" s="4">
        <v>0</v>
      </c>
      <c r="Z91" s="15">
        <f t="shared" si="44"/>
        <v>43</v>
      </c>
      <c r="AB91" s="18">
        <f t="shared" si="45"/>
        <v>16.279069767441861</v>
      </c>
      <c r="AC91" s="18">
        <f t="shared" si="54"/>
        <v>0</v>
      </c>
      <c r="AD91" s="18">
        <f t="shared" si="55"/>
        <v>0</v>
      </c>
      <c r="AE91" s="18">
        <f t="shared" si="56"/>
        <v>0</v>
      </c>
      <c r="AF91" s="18">
        <f t="shared" si="57"/>
        <v>11.627906976744185</v>
      </c>
      <c r="AG91" s="18">
        <f t="shared" si="58"/>
        <v>2.3255813953488373</v>
      </c>
      <c r="AH91" s="18">
        <f t="shared" si="59"/>
        <v>18.604651162790699</v>
      </c>
      <c r="AI91" s="18">
        <f t="shared" si="60"/>
        <v>0</v>
      </c>
      <c r="AJ91" s="18">
        <f t="shared" si="61"/>
        <v>0</v>
      </c>
      <c r="AK91" s="18">
        <f t="shared" si="62"/>
        <v>0</v>
      </c>
      <c r="AL91" s="18">
        <f t="shared" si="63"/>
        <v>0</v>
      </c>
      <c r="AM91" s="18">
        <f t="shared" si="64"/>
        <v>0</v>
      </c>
      <c r="AN91" s="18">
        <f t="shared" si="65"/>
        <v>0</v>
      </c>
      <c r="AO91" s="18">
        <f t="shared" si="66"/>
        <v>0</v>
      </c>
      <c r="AP91" s="18">
        <f t="shared" si="67"/>
        <v>0</v>
      </c>
      <c r="AQ91" s="18">
        <f t="shared" si="68"/>
        <v>39.534883720930232</v>
      </c>
      <c r="AR91" s="18">
        <f t="shared" si="50"/>
        <v>0</v>
      </c>
      <c r="AS91" s="18">
        <f t="shared" si="51"/>
        <v>9.3023255813953494</v>
      </c>
      <c r="AT91" s="18">
        <f t="shared" si="52"/>
        <v>2.3255813953488373</v>
      </c>
      <c r="AU91" s="18">
        <f t="shared" si="53"/>
        <v>0</v>
      </c>
    </row>
    <row r="92" spans="1:69" x14ac:dyDescent="0.35">
      <c r="A92" s="1" t="s">
        <v>61</v>
      </c>
      <c r="B92" s="1">
        <v>90</v>
      </c>
      <c r="C92" s="1" t="s">
        <v>148</v>
      </c>
      <c r="D92" s="1" t="s">
        <v>146</v>
      </c>
      <c r="E92" s="3" t="s">
        <v>21</v>
      </c>
      <c r="F92" s="4">
        <v>5</v>
      </c>
      <c r="G92" s="4">
        <v>0</v>
      </c>
      <c r="H92" s="4">
        <v>0</v>
      </c>
      <c r="I92" s="4">
        <v>0</v>
      </c>
      <c r="J92" s="4">
        <v>9</v>
      </c>
      <c r="K92" s="4">
        <v>3</v>
      </c>
      <c r="L92" s="4">
        <v>9</v>
      </c>
      <c r="M92" s="4">
        <v>0</v>
      </c>
      <c r="N92" s="4">
        <v>0</v>
      </c>
      <c r="O92" s="4">
        <v>0</v>
      </c>
      <c r="P92" s="4">
        <v>0</v>
      </c>
      <c r="Q92" s="4">
        <v>4</v>
      </c>
      <c r="R92" s="4">
        <v>0</v>
      </c>
      <c r="S92" s="4">
        <v>0</v>
      </c>
      <c r="T92" s="4">
        <v>5</v>
      </c>
      <c r="U92" s="4">
        <v>9</v>
      </c>
      <c r="V92" s="4">
        <v>0</v>
      </c>
      <c r="W92" s="4">
        <v>0</v>
      </c>
      <c r="X92" s="4">
        <v>0</v>
      </c>
      <c r="Y92" s="4">
        <v>0</v>
      </c>
      <c r="Z92" s="15">
        <f t="shared" si="44"/>
        <v>44</v>
      </c>
      <c r="AB92" s="18">
        <f t="shared" si="45"/>
        <v>11.363636363636363</v>
      </c>
      <c r="AC92" s="18">
        <f t="shared" si="54"/>
        <v>0</v>
      </c>
      <c r="AD92" s="18">
        <f t="shared" si="55"/>
        <v>0</v>
      </c>
      <c r="AE92" s="18">
        <f t="shared" si="56"/>
        <v>0</v>
      </c>
      <c r="AF92" s="18">
        <f t="shared" si="57"/>
        <v>20.454545454545457</v>
      </c>
      <c r="AG92" s="18">
        <f t="shared" si="58"/>
        <v>6.8181818181818175</v>
      </c>
      <c r="AH92" s="18">
        <f t="shared" si="59"/>
        <v>20.454545454545457</v>
      </c>
      <c r="AI92" s="18">
        <f t="shared" si="60"/>
        <v>0</v>
      </c>
      <c r="AJ92" s="18">
        <f t="shared" si="61"/>
        <v>0</v>
      </c>
      <c r="AK92" s="18">
        <f t="shared" si="62"/>
        <v>0</v>
      </c>
      <c r="AL92" s="18">
        <f t="shared" si="63"/>
        <v>0</v>
      </c>
      <c r="AM92" s="18">
        <f t="shared" si="64"/>
        <v>9.0909090909090917</v>
      </c>
      <c r="AN92" s="18">
        <f t="shared" si="65"/>
        <v>0</v>
      </c>
      <c r="AO92" s="18">
        <f t="shared" si="66"/>
        <v>0</v>
      </c>
      <c r="AP92" s="18">
        <f t="shared" si="67"/>
        <v>11.363636363636363</v>
      </c>
      <c r="AQ92" s="18">
        <f t="shared" si="68"/>
        <v>20.454545454545457</v>
      </c>
      <c r="AR92" s="18">
        <f t="shared" si="50"/>
        <v>0</v>
      </c>
      <c r="AS92" s="18">
        <f t="shared" si="51"/>
        <v>0</v>
      </c>
      <c r="AT92" s="18">
        <f t="shared" si="52"/>
        <v>0</v>
      </c>
      <c r="AU92" s="18">
        <f t="shared" si="53"/>
        <v>0</v>
      </c>
    </row>
    <row r="93" spans="1:69" x14ac:dyDescent="0.35">
      <c r="A93" s="1" t="s">
        <v>24</v>
      </c>
      <c r="B93" s="1">
        <v>91</v>
      </c>
      <c r="C93" s="1" t="s">
        <v>149</v>
      </c>
      <c r="D93" s="1" t="s">
        <v>150</v>
      </c>
      <c r="E93" s="3" t="s">
        <v>21</v>
      </c>
      <c r="F93" s="4">
        <v>2</v>
      </c>
      <c r="G93" s="4">
        <v>0</v>
      </c>
      <c r="H93" s="4">
        <v>0</v>
      </c>
      <c r="I93" s="4">
        <v>0</v>
      </c>
      <c r="J93" s="4">
        <v>6</v>
      </c>
      <c r="K93" s="4">
        <v>0</v>
      </c>
      <c r="L93" s="4">
        <v>14</v>
      </c>
      <c r="M93" s="4">
        <v>1</v>
      </c>
      <c r="N93" s="4">
        <v>0</v>
      </c>
      <c r="O93" s="4">
        <v>0</v>
      </c>
      <c r="P93" s="4">
        <v>0</v>
      </c>
      <c r="Q93" s="4">
        <v>3</v>
      </c>
      <c r="R93" s="4">
        <v>0</v>
      </c>
      <c r="S93" s="4">
        <v>0</v>
      </c>
      <c r="T93" s="4">
        <v>1</v>
      </c>
      <c r="U93" s="4">
        <v>20</v>
      </c>
      <c r="V93" s="4">
        <v>0</v>
      </c>
      <c r="W93" s="4">
        <v>0</v>
      </c>
      <c r="X93" s="4">
        <v>0</v>
      </c>
      <c r="Y93" s="4">
        <v>0</v>
      </c>
      <c r="Z93" s="15">
        <f t="shared" si="44"/>
        <v>47</v>
      </c>
      <c r="AB93" s="18">
        <f t="shared" si="45"/>
        <v>4.2553191489361701</v>
      </c>
      <c r="AC93" s="18">
        <f t="shared" si="54"/>
        <v>0</v>
      </c>
      <c r="AD93" s="18">
        <f t="shared" si="55"/>
        <v>0</v>
      </c>
      <c r="AE93" s="18">
        <f t="shared" si="56"/>
        <v>0</v>
      </c>
      <c r="AF93" s="18">
        <f t="shared" si="57"/>
        <v>12.76595744680851</v>
      </c>
      <c r="AG93" s="18">
        <f t="shared" si="58"/>
        <v>0</v>
      </c>
      <c r="AH93" s="18">
        <f t="shared" si="59"/>
        <v>29.787234042553191</v>
      </c>
      <c r="AI93" s="18">
        <f t="shared" si="60"/>
        <v>2.1276595744680851</v>
      </c>
      <c r="AJ93" s="18">
        <f t="shared" si="61"/>
        <v>0</v>
      </c>
      <c r="AK93" s="18">
        <f t="shared" si="62"/>
        <v>0</v>
      </c>
      <c r="AL93" s="18">
        <f t="shared" si="63"/>
        <v>0</v>
      </c>
      <c r="AM93" s="18">
        <f t="shared" si="64"/>
        <v>6.3829787234042552</v>
      </c>
      <c r="AN93" s="18">
        <f t="shared" si="65"/>
        <v>0</v>
      </c>
      <c r="AO93" s="18">
        <f t="shared" si="66"/>
        <v>0</v>
      </c>
      <c r="AP93" s="18">
        <f t="shared" si="67"/>
        <v>2.1276595744680851</v>
      </c>
      <c r="AQ93" s="18">
        <f t="shared" si="68"/>
        <v>42.553191489361701</v>
      </c>
      <c r="AR93" s="18">
        <f t="shared" si="50"/>
        <v>0</v>
      </c>
      <c r="AS93" s="18">
        <f t="shared" si="51"/>
        <v>0</v>
      </c>
      <c r="AT93" s="18">
        <f t="shared" si="52"/>
        <v>0</v>
      </c>
      <c r="AU93" s="18">
        <f t="shared" si="53"/>
        <v>0</v>
      </c>
      <c r="AW93" s="19">
        <f>AVERAGE(AB93:AB95)</f>
        <v>1.4184397163120568</v>
      </c>
      <c r="AX93" s="19">
        <f t="shared" ref="AX93:BP93" si="73">AVERAGE(AC93:AC95)</f>
        <v>0</v>
      </c>
      <c r="AY93" s="19">
        <f t="shared" si="73"/>
        <v>0</v>
      </c>
      <c r="AZ93" s="19">
        <f t="shared" si="73"/>
        <v>0</v>
      </c>
      <c r="BA93" s="19">
        <f t="shared" si="73"/>
        <v>11.245663226183552</v>
      </c>
      <c r="BB93" s="19">
        <f t="shared" si="73"/>
        <v>0</v>
      </c>
      <c r="BC93" s="19">
        <f t="shared" si="73"/>
        <v>28.016933311342019</v>
      </c>
      <c r="BD93" s="19">
        <f t="shared" si="73"/>
        <v>4.979585695229332</v>
      </c>
      <c r="BE93" s="19">
        <f t="shared" si="73"/>
        <v>0</v>
      </c>
      <c r="BF93" s="19">
        <f t="shared" si="73"/>
        <v>0</v>
      </c>
      <c r="BG93" s="19">
        <f t="shared" si="73"/>
        <v>1.1695906432748537</v>
      </c>
      <c r="BH93" s="19">
        <f t="shared" si="73"/>
        <v>2.9028533729176975</v>
      </c>
      <c r="BI93" s="19">
        <f t="shared" si="73"/>
        <v>0</v>
      </c>
      <c r="BJ93" s="19">
        <f t="shared" si="73"/>
        <v>2.9239766081871341</v>
      </c>
      <c r="BK93" s="19">
        <f t="shared" si="73"/>
        <v>2.4636058230683089</v>
      </c>
      <c r="BL93" s="19">
        <f t="shared" si="73"/>
        <v>43.124965638572768</v>
      </c>
      <c r="BM93" s="19">
        <f t="shared" si="73"/>
        <v>0</v>
      </c>
      <c r="BN93" s="19">
        <f t="shared" si="73"/>
        <v>0</v>
      </c>
      <c r="BO93" s="19">
        <f t="shared" si="73"/>
        <v>1.7543859649122806</v>
      </c>
      <c r="BP93" s="19">
        <f t="shared" si="73"/>
        <v>0</v>
      </c>
      <c r="BQ93" s="19">
        <f>SUM(AW93:BP93)</f>
        <v>99.999999999999986</v>
      </c>
    </row>
    <row r="94" spans="1:69" x14ac:dyDescent="0.35">
      <c r="A94" s="1" t="s">
        <v>24</v>
      </c>
      <c r="B94" s="1">
        <v>92</v>
      </c>
      <c r="C94" s="1" t="s">
        <v>151</v>
      </c>
      <c r="D94" s="1" t="s">
        <v>150</v>
      </c>
      <c r="E94" s="3" t="s">
        <v>21</v>
      </c>
      <c r="F94" s="4">
        <v>0</v>
      </c>
      <c r="G94" s="4">
        <v>0</v>
      </c>
      <c r="H94" s="4">
        <v>0</v>
      </c>
      <c r="I94" s="4">
        <v>0</v>
      </c>
      <c r="J94" s="4">
        <v>6</v>
      </c>
      <c r="K94" s="4">
        <v>0</v>
      </c>
      <c r="L94" s="4">
        <v>9</v>
      </c>
      <c r="M94" s="4">
        <v>4</v>
      </c>
      <c r="N94" s="4">
        <v>0</v>
      </c>
      <c r="O94" s="4">
        <v>0</v>
      </c>
      <c r="P94" s="4">
        <v>0</v>
      </c>
      <c r="Q94" s="4">
        <v>1</v>
      </c>
      <c r="R94" s="4">
        <v>0</v>
      </c>
      <c r="S94" s="4">
        <v>0</v>
      </c>
      <c r="T94" s="4">
        <v>0</v>
      </c>
      <c r="U94" s="4">
        <v>23</v>
      </c>
      <c r="V94" s="4">
        <v>0</v>
      </c>
      <c r="W94" s="4">
        <v>0</v>
      </c>
      <c r="X94" s="4">
        <v>0</v>
      </c>
      <c r="Y94" s="4">
        <v>0</v>
      </c>
      <c r="Z94" s="15">
        <f t="shared" si="44"/>
        <v>43</v>
      </c>
      <c r="AB94" s="18">
        <f t="shared" si="45"/>
        <v>0</v>
      </c>
      <c r="AC94" s="18">
        <f t="shared" si="54"/>
        <v>0</v>
      </c>
      <c r="AD94" s="18">
        <f t="shared" si="55"/>
        <v>0</v>
      </c>
      <c r="AE94" s="18">
        <f t="shared" si="56"/>
        <v>0</v>
      </c>
      <c r="AF94" s="18">
        <f t="shared" si="57"/>
        <v>13.953488372093023</v>
      </c>
      <c r="AG94" s="18">
        <f t="shared" si="58"/>
        <v>0</v>
      </c>
      <c r="AH94" s="18">
        <f t="shared" si="59"/>
        <v>20.930232558139537</v>
      </c>
      <c r="AI94" s="18">
        <f t="shared" si="60"/>
        <v>9.3023255813953494</v>
      </c>
      <c r="AJ94" s="18">
        <f t="shared" si="61"/>
        <v>0</v>
      </c>
      <c r="AK94" s="18">
        <f t="shared" si="62"/>
        <v>0</v>
      </c>
      <c r="AL94" s="18">
        <f t="shared" si="63"/>
        <v>0</v>
      </c>
      <c r="AM94" s="18">
        <f t="shared" si="64"/>
        <v>2.3255813953488373</v>
      </c>
      <c r="AN94" s="18">
        <f t="shared" si="65"/>
        <v>0</v>
      </c>
      <c r="AO94" s="18">
        <f t="shared" si="66"/>
        <v>0</v>
      </c>
      <c r="AP94" s="18">
        <f t="shared" si="67"/>
        <v>0</v>
      </c>
      <c r="AQ94" s="18">
        <f t="shared" si="68"/>
        <v>53.488372093023251</v>
      </c>
      <c r="AR94" s="18">
        <f t="shared" si="50"/>
        <v>0</v>
      </c>
      <c r="AS94" s="18">
        <f t="shared" si="51"/>
        <v>0</v>
      </c>
      <c r="AT94" s="18">
        <f t="shared" si="52"/>
        <v>0</v>
      </c>
      <c r="AU94" s="18">
        <f t="shared" si="53"/>
        <v>0</v>
      </c>
    </row>
    <row r="95" spans="1:69" x14ac:dyDescent="0.35">
      <c r="A95" s="1" t="s">
        <v>24</v>
      </c>
      <c r="B95" s="1">
        <v>93</v>
      </c>
      <c r="C95" s="1" t="s">
        <v>152</v>
      </c>
      <c r="D95" s="1" t="s">
        <v>150</v>
      </c>
      <c r="E95" s="3" t="s">
        <v>21</v>
      </c>
      <c r="F95" s="4">
        <v>0</v>
      </c>
      <c r="G95" s="4">
        <v>0</v>
      </c>
      <c r="H95" s="4">
        <v>0</v>
      </c>
      <c r="I95" s="4">
        <v>0</v>
      </c>
      <c r="J95" s="4">
        <v>4</v>
      </c>
      <c r="K95" s="4">
        <v>0</v>
      </c>
      <c r="L95" s="4">
        <v>19</v>
      </c>
      <c r="M95" s="4">
        <v>2</v>
      </c>
      <c r="N95" s="4">
        <v>0</v>
      </c>
      <c r="O95" s="4">
        <v>0</v>
      </c>
      <c r="P95" s="4">
        <v>2</v>
      </c>
      <c r="Q95" s="4">
        <v>0</v>
      </c>
      <c r="R95" s="4">
        <v>0</v>
      </c>
      <c r="S95" s="4">
        <v>5</v>
      </c>
      <c r="T95" s="4">
        <v>3</v>
      </c>
      <c r="U95" s="4">
        <v>19</v>
      </c>
      <c r="V95" s="4">
        <v>0</v>
      </c>
      <c r="W95" s="4">
        <v>0</v>
      </c>
      <c r="X95" s="4">
        <v>3</v>
      </c>
      <c r="Y95" s="4">
        <v>0</v>
      </c>
      <c r="Z95" s="15">
        <f t="shared" si="44"/>
        <v>57</v>
      </c>
      <c r="AB95" s="18">
        <f t="shared" si="45"/>
        <v>0</v>
      </c>
      <c r="AC95" s="18">
        <f t="shared" si="54"/>
        <v>0</v>
      </c>
      <c r="AD95" s="18">
        <f t="shared" si="55"/>
        <v>0</v>
      </c>
      <c r="AE95" s="18">
        <f t="shared" si="56"/>
        <v>0</v>
      </c>
      <c r="AF95" s="18">
        <f t="shared" si="57"/>
        <v>7.0175438596491224</v>
      </c>
      <c r="AG95" s="18">
        <f t="shared" si="58"/>
        <v>0</v>
      </c>
      <c r="AH95" s="18">
        <f t="shared" si="59"/>
        <v>33.333333333333329</v>
      </c>
      <c r="AI95" s="18">
        <f t="shared" si="60"/>
        <v>3.5087719298245612</v>
      </c>
      <c r="AJ95" s="18">
        <f t="shared" si="61"/>
        <v>0</v>
      </c>
      <c r="AK95" s="18">
        <f t="shared" si="62"/>
        <v>0</v>
      </c>
      <c r="AL95" s="18">
        <f t="shared" si="63"/>
        <v>3.5087719298245612</v>
      </c>
      <c r="AM95" s="18">
        <f t="shared" si="64"/>
        <v>0</v>
      </c>
      <c r="AN95" s="18">
        <f t="shared" si="65"/>
        <v>0</v>
      </c>
      <c r="AO95" s="18">
        <f t="shared" si="66"/>
        <v>8.7719298245614024</v>
      </c>
      <c r="AP95" s="18">
        <f t="shared" si="67"/>
        <v>5.2631578947368416</v>
      </c>
      <c r="AQ95" s="18">
        <f t="shared" si="68"/>
        <v>33.333333333333329</v>
      </c>
      <c r="AR95" s="18">
        <f t="shared" si="50"/>
        <v>0</v>
      </c>
      <c r="AS95" s="18">
        <f t="shared" si="51"/>
        <v>0</v>
      </c>
      <c r="AT95" s="18">
        <f t="shared" si="52"/>
        <v>5.2631578947368416</v>
      </c>
      <c r="AU95" s="18">
        <f t="shared" si="53"/>
        <v>0</v>
      </c>
    </row>
    <row r="96" spans="1:69" x14ac:dyDescent="0.35">
      <c r="A96" s="1" t="s">
        <v>91</v>
      </c>
      <c r="B96" s="1">
        <v>94</v>
      </c>
      <c r="C96" s="1" t="s">
        <v>153</v>
      </c>
      <c r="D96" s="1" t="s">
        <v>154</v>
      </c>
      <c r="E96" s="3" t="s">
        <v>21</v>
      </c>
      <c r="F96" s="4">
        <v>11</v>
      </c>
      <c r="G96" s="4">
        <v>0</v>
      </c>
      <c r="H96" s="4">
        <v>0</v>
      </c>
      <c r="I96" s="4">
        <v>0</v>
      </c>
      <c r="J96" s="4">
        <v>7</v>
      </c>
      <c r="K96" s="4">
        <v>0</v>
      </c>
      <c r="L96" s="4">
        <v>7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15</v>
      </c>
      <c r="V96" s="4">
        <v>0</v>
      </c>
      <c r="W96" s="4">
        <v>1</v>
      </c>
      <c r="X96" s="4">
        <v>3</v>
      </c>
      <c r="Y96" s="4">
        <v>0</v>
      </c>
      <c r="Z96" s="15">
        <f t="shared" si="44"/>
        <v>44</v>
      </c>
      <c r="AB96" s="18">
        <f t="shared" si="45"/>
        <v>25</v>
      </c>
      <c r="AC96" s="18">
        <f t="shared" si="54"/>
        <v>0</v>
      </c>
      <c r="AD96" s="18">
        <f t="shared" si="55"/>
        <v>0</v>
      </c>
      <c r="AE96" s="18">
        <f t="shared" si="56"/>
        <v>0</v>
      </c>
      <c r="AF96" s="18">
        <f t="shared" si="57"/>
        <v>15.909090909090908</v>
      </c>
      <c r="AG96" s="18">
        <f t="shared" si="58"/>
        <v>0</v>
      </c>
      <c r="AH96" s="18">
        <f t="shared" si="59"/>
        <v>15.909090909090908</v>
      </c>
      <c r="AI96" s="18">
        <f t="shared" si="60"/>
        <v>0</v>
      </c>
      <c r="AJ96" s="18">
        <f t="shared" si="61"/>
        <v>0</v>
      </c>
      <c r="AK96" s="18">
        <f t="shared" si="62"/>
        <v>0</v>
      </c>
      <c r="AL96" s="18">
        <f t="shared" si="63"/>
        <v>0</v>
      </c>
      <c r="AM96" s="18">
        <f t="shared" si="64"/>
        <v>0</v>
      </c>
      <c r="AN96" s="18">
        <f t="shared" si="65"/>
        <v>0</v>
      </c>
      <c r="AO96" s="18">
        <f t="shared" si="66"/>
        <v>0</v>
      </c>
      <c r="AP96" s="18">
        <f t="shared" si="67"/>
        <v>0</v>
      </c>
      <c r="AQ96" s="18">
        <f t="shared" si="68"/>
        <v>34.090909090909086</v>
      </c>
      <c r="AR96" s="18">
        <f t="shared" si="50"/>
        <v>0</v>
      </c>
      <c r="AS96" s="18">
        <f t="shared" si="51"/>
        <v>2.2727272727272729</v>
      </c>
      <c r="AT96" s="18">
        <f t="shared" si="52"/>
        <v>6.8181818181818175</v>
      </c>
      <c r="AU96" s="18">
        <f t="shared" si="53"/>
        <v>0</v>
      </c>
      <c r="AW96" s="19">
        <f>AVERAGE(AB96:AB98)</f>
        <v>15.516927557335277</v>
      </c>
      <c r="AX96" s="19">
        <f t="shared" ref="AX96:BP96" si="74">AVERAGE(AC96:AC98)</f>
        <v>0</v>
      </c>
      <c r="AY96" s="19">
        <f t="shared" si="74"/>
        <v>0</v>
      </c>
      <c r="AZ96" s="19">
        <f t="shared" si="74"/>
        <v>0</v>
      </c>
      <c r="BA96" s="19">
        <f t="shared" si="74"/>
        <v>8.106088184355384</v>
      </c>
      <c r="BB96" s="19">
        <f t="shared" si="74"/>
        <v>0</v>
      </c>
      <c r="BC96" s="19">
        <f t="shared" si="74"/>
        <v>17.279732159601107</v>
      </c>
      <c r="BD96" s="19">
        <f t="shared" si="74"/>
        <v>0</v>
      </c>
      <c r="BE96" s="19">
        <f t="shared" si="74"/>
        <v>0</v>
      </c>
      <c r="BF96" s="19">
        <f t="shared" si="74"/>
        <v>0</v>
      </c>
      <c r="BG96" s="19">
        <f t="shared" si="74"/>
        <v>0</v>
      </c>
      <c r="BH96" s="19">
        <f t="shared" si="74"/>
        <v>0</v>
      </c>
      <c r="BI96" s="19">
        <f t="shared" si="74"/>
        <v>0</v>
      </c>
      <c r="BJ96" s="19">
        <f t="shared" si="74"/>
        <v>2.4875621890547261</v>
      </c>
      <c r="BK96" s="19">
        <f t="shared" si="74"/>
        <v>0</v>
      </c>
      <c r="BL96" s="19">
        <f t="shared" si="74"/>
        <v>33.01149463326383</v>
      </c>
      <c r="BM96" s="19">
        <f t="shared" si="74"/>
        <v>0</v>
      </c>
      <c r="BN96" s="19">
        <f t="shared" si="74"/>
        <v>6.3636915202259203</v>
      </c>
      <c r="BO96" s="19">
        <f t="shared" si="74"/>
        <v>15.923983188271501</v>
      </c>
      <c r="BP96" s="19">
        <f t="shared" si="74"/>
        <v>1.310520567892246</v>
      </c>
      <c r="BQ96" s="19">
        <f>SUM(AW96:BP96)</f>
        <v>100</v>
      </c>
    </row>
    <row r="97" spans="1:69" x14ac:dyDescent="0.35">
      <c r="A97" s="1" t="s">
        <v>91</v>
      </c>
      <c r="B97" s="1">
        <v>95</v>
      </c>
      <c r="C97" s="1" t="s">
        <v>155</v>
      </c>
      <c r="D97" s="1" t="s">
        <v>154</v>
      </c>
      <c r="E97" s="3" t="s">
        <v>21</v>
      </c>
      <c r="F97" s="4">
        <v>7</v>
      </c>
      <c r="G97" s="4">
        <v>0</v>
      </c>
      <c r="H97" s="4">
        <v>0</v>
      </c>
      <c r="I97" s="4">
        <v>0</v>
      </c>
      <c r="J97" s="4">
        <v>1</v>
      </c>
      <c r="K97" s="4">
        <v>0</v>
      </c>
      <c r="L97" s="4">
        <v>8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15</v>
      </c>
      <c r="V97" s="4">
        <v>0</v>
      </c>
      <c r="W97" s="4">
        <v>2</v>
      </c>
      <c r="X97" s="4">
        <v>7</v>
      </c>
      <c r="Y97" s="4">
        <v>1</v>
      </c>
      <c r="Z97" s="15">
        <f t="shared" si="44"/>
        <v>41</v>
      </c>
      <c r="AB97" s="18">
        <f t="shared" si="45"/>
        <v>17.073170731707318</v>
      </c>
      <c r="AC97" s="18">
        <f t="shared" si="54"/>
        <v>0</v>
      </c>
      <c r="AD97" s="18">
        <f t="shared" si="55"/>
        <v>0</v>
      </c>
      <c r="AE97" s="18">
        <f t="shared" si="56"/>
        <v>0</v>
      </c>
      <c r="AF97" s="18">
        <f t="shared" si="57"/>
        <v>2.4390243902439024</v>
      </c>
      <c r="AG97" s="18">
        <f t="shared" si="58"/>
        <v>0</v>
      </c>
      <c r="AH97" s="18">
        <f t="shared" si="59"/>
        <v>19.512195121951219</v>
      </c>
      <c r="AI97" s="18">
        <f t="shared" si="60"/>
        <v>0</v>
      </c>
      <c r="AJ97" s="18">
        <f t="shared" si="61"/>
        <v>0</v>
      </c>
      <c r="AK97" s="18">
        <f t="shared" si="62"/>
        <v>0</v>
      </c>
      <c r="AL97" s="18">
        <f t="shared" si="63"/>
        <v>0</v>
      </c>
      <c r="AM97" s="18">
        <f t="shared" si="64"/>
        <v>0</v>
      </c>
      <c r="AN97" s="18">
        <f t="shared" si="65"/>
        <v>0</v>
      </c>
      <c r="AO97" s="18">
        <f t="shared" si="66"/>
        <v>0</v>
      </c>
      <c r="AP97" s="18">
        <f t="shared" si="67"/>
        <v>0</v>
      </c>
      <c r="AQ97" s="18">
        <f t="shared" si="68"/>
        <v>36.585365853658537</v>
      </c>
      <c r="AR97" s="18">
        <f t="shared" si="50"/>
        <v>0</v>
      </c>
      <c r="AS97" s="18">
        <f t="shared" si="51"/>
        <v>4.8780487804878048</v>
      </c>
      <c r="AT97" s="18">
        <f t="shared" si="52"/>
        <v>17.073170731707318</v>
      </c>
      <c r="AU97" s="18">
        <f t="shared" si="53"/>
        <v>2.4390243902439024</v>
      </c>
    </row>
    <row r="98" spans="1:69" x14ac:dyDescent="0.35">
      <c r="A98" s="1" t="s">
        <v>91</v>
      </c>
      <c r="B98" s="1">
        <v>96</v>
      </c>
      <c r="C98" s="1" t="s">
        <v>156</v>
      </c>
      <c r="D98" s="1" t="s">
        <v>154</v>
      </c>
      <c r="E98" s="3" t="s">
        <v>21</v>
      </c>
      <c r="F98" s="4">
        <v>3</v>
      </c>
      <c r="G98" s="4">
        <v>0</v>
      </c>
      <c r="H98" s="4">
        <v>0</v>
      </c>
      <c r="I98" s="4">
        <v>0</v>
      </c>
      <c r="J98" s="4">
        <v>4</v>
      </c>
      <c r="K98" s="4">
        <v>0</v>
      </c>
      <c r="L98" s="4">
        <v>11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5</v>
      </c>
      <c r="T98" s="4">
        <v>0</v>
      </c>
      <c r="U98" s="4">
        <v>19</v>
      </c>
      <c r="V98" s="4">
        <v>0</v>
      </c>
      <c r="W98" s="4">
        <v>8</v>
      </c>
      <c r="X98" s="4">
        <v>16</v>
      </c>
      <c r="Y98" s="4">
        <v>1</v>
      </c>
      <c r="Z98" s="15">
        <f t="shared" si="44"/>
        <v>67</v>
      </c>
      <c r="AB98" s="18">
        <f t="shared" si="45"/>
        <v>4.4776119402985071</v>
      </c>
      <c r="AC98" s="18">
        <f t="shared" si="54"/>
        <v>0</v>
      </c>
      <c r="AD98" s="18">
        <f t="shared" si="55"/>
        <v>0</v>
      </c>
      <c r="AE98" s="18">
        <f t="shared" si="56"/>
        <v>0</v>
      </c>
      <c r="AF98" s="18">
        <f t="shared" si="57"/>
        <v>5.9701492537313428</v>
      </c>
      <c r="AG98" s="18">
        <f t="shared" si="58"/>
        <v>0</v>
      </c>
      <c r="AH98" s="18">
        <f t="shared" si="59"/>
        <v>16.417910447761194</v>
      </c>
      <c r="AI98" s="18">
        <f t="shared" si="60"/>
        <v>0</v>
      </c>
      <c r="AJ98" s="18">
        <f t="shared" si="61"/>
        <v>0</v>
      </c>
      <c r="AK98" s="18">
        <f t="shared" si="62"/>
        <v>0</v>
      </c>
      <c r="AL98" s="18">
        <f t="shared" si="63"/>
        <v>0</v>
      </c>
      <c r="AM98" s="18">
        <f t="shared" si="64"/>
        <v>0</v>
      </c>
      <c r="AN98" s="18">
        <f t="shared" si="65"/>
        <v>0</v>
      </c>
      <c r="AO98" s="18">
        <f t="shared" si="66"/>
        <v>7.4626865671641784</v>
      </c>
      <c r="AP98" s="18">
        <f t="shared" si="67"/>
        <v>0</v>
      </c>
      <c r="AQ98" s="18">
        <f t="shared" si="68"/>
        <v>28.35820895522388</v>
      </c>
      <c r="AR98" s="18">
        <f t="shared" si="50"/>
        <v>0</v>
      </c>
      <c r="AS98" s="18">
        <f t="shared" si="51"/>
        <v>11.940298507462686</v>
      </c>
      <c r="AT98" s="18">
        <f t="shared" si="52"/>
        <v>23.880597014925371</v>
      </c>
      <c r="AU98" s="18">
        <f t="shared" si="53"/>
        <v>1.4925373134328357</v>
      </c>
    </row>
    <row r="99" spans="1:69" x14ac:dyDescent="0.35">
      <c r="A99" s="1" t="s">
        <v>91</v>
      </c>
      <c r="B99" s="1">
        <v>97</v>
      </c>
      <c r="C99" s="1" t="s">
        <v>157</v>
      </c>
      <c r="D99" s="1" t="s">
        <v>158</v>
      </c>
      <c r="E99" s="6" t="s">
        <v>27</v>
      </c>
      <c r="F99" s="4">
        <v>3</v>
      </c>
      <c r="G99" s="4">
        <v>0</v>
      </c>
      <c r="H99" s="4">
        <v>0</v>
      </c>
      <c r="I99" s="4">
        <v>0</v>
      </c>
      <c r="J99" s="4">
        <v>3</v>
      </c>
      <c r="K99" s="4">
        <v>0</v>
      </c>
      <c r="L99" s="4">
        <v>13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2</v>
      </c>
      <c r="U99" s="4">
        <v>17</v>
      </c>
      <c r="V99" s="4">
        <v>0</v>
      </c>
      <c r="W99" s="4">
        <v>0</v>
      </c>
      <c r="X99" s="4">
        <v>8</v>
      </c>
      <c r="Y99" s="4">
        <v>2</v>
      </c>
      <c r="Z99" s="15">
        <f t="shared" si="44"/>
        <v>48</v>
      </c>
      <c r="AB99" s="18">
        <f t="shared" si="45"/>
        <v>6.25</v>
      </c>
      <c r="AC99" s="18">
        <f t="shared" si="54"/>
        <v>0</v>
      </c>
      <c r="AD99" s="18">
        <f t="shared" si="55"/>
        <v>0</v>
      </c>
      <c r="AE99" s="18">
        <f t="shared" si="56"/>
        <v>0</v>
      </c>
      <c r="AF99" s="18">
        <f t="shared" si="57"/>
        <v>6.25</v>
      </c>
      <c r="AG99" s="18">
        <f t="shared" si="58"/>
        <v>0</v>
      </c>
      <c r="AH99" s="18">
        <f t="shared" si="59"/>
        <v>27.083333333333332</v>
      </c>
      <c r="AI99" s="18">
        <f t="shared" si="60"/>
        <v>0</v>
      </c>
      <c r="AJ99" s="18">
        <f t="shared" si="61"/>
        <v>0</v>
      </c>
      <c r="AK99" s="18">
        <f t="shared" si="62"/>
        <v>0</v>
      </c>
      <c r="AL99" s="18">
        <f t="shared" si="63"/>
        <v>0</v>
      </c>
      <c r="AM99" s="18">
        <f t="shared" si="64"/>
        <v>0</v>
      </c>
      <c r="AN99" s="18">
        <f t="shared" si="65"/>
        <v>0</v>
      </c>
      <c r="AO99" s="18">
        <f t="shared" si="66"/>
        <v>0</v>
      </c>
      <c r="AP99" s="18">
        <f t="shared" si="67"/>
        <v>4.1666666666666661</v>
      </c>
      <c r="AQ99" s="18">
        <f t="shared" si="68"/>
        <v>35.416666666666671</v>
      </c>
      <c r="AR99" s="18">
        <f t="shared" si="50"/>
        <v>0</v>
      </c>
      <c r="AS99" s="18">
        <f t="shared" si="51"/>
        <v>0</v>
      </c>
      <c r="AT99" s="18">
        <f t="shared" si="52"/>
        <v>16.666666666666664</v>
      </c>
      <c r="AU99" s="18">
        <f t="shared" si="53"/>
        <v>4.1666666666666661</v>
      </c>
      <c r="AW99" s="19">
        <f>AVERAGE(AB99:AB101)</f>
        <v>14.622641509433961</v>
      </c>
      <c r="AX99" s="19">
        <f t="shared" ref="AX99:BP99" si="75">AVERAGE(AC99:AC101)</f>
        <v>0</v>
      </c>
      <c r="AY99" s="19">
        <f t="shared" si="75"/>
        <v>0</v>
      </c>
      <c r="AZ99" s="19">
        <f t="shared" si="75"/>
        <v>0</v>
      </c>
      <c r="BA99" s="19">
        <f t="shared" si="75"/>
        <v>3.3411949685534594</v>
      </c>
      <c r="BB99" s="19">
        <f t="shared" si="75"/>
        <v>0</v>
      </c>
      <c r="BC99" s="19">
        <f t="shared" si="75"/>
        <v>26.991614255765199</v>
      </c>
      <c r="BD99" s="19">
        <f t="shared" si="75"/>
        <v>0</v>
      </c>
      <c r="BE99" s="19">
        <f t="shared" si="75"/>
        <v>0</v>
      </c>
      <c r="BF99" s="19">
        <f t="shared" si="75"/>
        <v>0</v>
      </c>
      <c r="BG99" s="19">
        <f t="shared" si="75"/>
        <v>0</v>
      </c>
      <c r="BH99" s="19">
        <f t="shared" si="75"/>
        <v>1.2578616352201257</v>
      </c>
      <c r="BI99" s="19">
        <f t="shared" si="75"/>
        <v>0</v>
      </c>
      <c r="BJ99" s="19">
        <f t="shared" si="75"/>
        <v>0</v>
      </c>
      <c r="BK99" s="19">
        <f t="shared" si="75"/>
        <v>2.083333333333333</v>
      </c>
      <c r="BL99" s="19">
        <f t="shared" si="75"/>
        <v>30.332809224318662</v>
      </c>
      <c r="BM99" s="19">
        <f t="shared" si="75"/>
        <v>0</v>
      </c>
      <c r="BN99" s="19">
        <f t="shared" si="75"/>
        <v>0.69444444444444431</v>
      </c>
      <c r="BO99" s="19">
        <f t="shared" si="75"/>
        <v>19.287211740041929</v>
      </c>
      <c r="BP99" s="19">
        <f t="shared" si="75"/>
        <v>1.3888888888888886</v>
      </c>
      <c r="BQ99" s="19">
        <f>SUM(AW99:BP99)</f>
        <v>100</v>
      </c>
    </row>
    <row r="100" spans="1:69" x14ac:dyDescent="0.35">
      <c r="A100" s="1" t="s">
        <v>91</v>
      </c>
      <c r="B100" s="1">
        <v>98</v>
      </c>
      <c r="C100" s="1" t="s">
        <v>159</v>
      </c>
      <c r="D100" s="1" t="s">
        <v>158</v>
      </c>
      <c r="E100" s="6" t="s">
        <v>27</v>
      </c>
      <c r="F100" s="4">
        <v>10</v>
      </c>
      <c r="G100" s="4">
        <v>0</v>
      </c>
      <c r="H100" s="4">
        <v>0</v>
      </c>
      <c r="I100" s="4">
        <v>0</v>
      </c>
      <c r="J100" s="4">
        <v>2</v>
      </c>
      <c r="K100" s="4">
        <v>0</v>
      </c>
      <c r="L100" s="4">
        <v>12</v>
      </c>
      <c r="M100" s="4">
        <v>0</v>
      </c>
      <c r="N100" s="4">
        <v>0</v>
      </c>
      <c r="O100" s="4">
        <v>0</v>
      </c>
      <c r="P100" s="4">
        <v>0</v>
      </c>
      <c r="Q100" s="4">
        <v>2</v>
      </c>
      <c r="R100" s="4">
        <v>0</v>
      </c>
      <c r="S100" s="4">
        <v>0</v>
      </c>
      <c r="T100" s="4">
        <v>0</v>
      </c>
      <c r="U100" s="4">
        <v>14</v>
      </c>
      <c r="V100" s="4">
        <v>0</v>
      </c>
      <c r="W100" s="4">
        <v>0</v>
      </c>
      <c r="X100" s="4">
        <v>13</v>
      </c>
      <c r="Y100" s="4">
        <v>0</v>
      </c>
      <c r="Z100" s="15">
        <f t="shared" si="44"/>
        <v>53</v>
      </c>
      <c r="AB100" s="18">
        <f t="shared" si="45"/>
        <v>18.867924528301888</v>
      </c>
      <c r="AC100" s="18">
        <f t="shared" si="54"/>
        <v>0</v>
      </c>
      <c r="AD100" s="18">
        <f t="shared" si="55"/>
        <v>0</v>
      </c>
      <c r="AE100" s="18">
        <f t="shared" si="56"/>
        <v>0</v>
      </c>
      <c r="AF100" s="18">
        <f t="shared" si="57"/>
        <v>3.7735849056603774</v>
      </c>
      <c r="AG100" s="18">
        <f t="shared" si="58"/>
        <v>0</v>
      </c>
      <c r="AH100" s="18">
        <f t="shared" si="59"/>
        <v>22.641509433962266</v>
      </c>
      <c r="AI100" s="18">
        <f t="shared" si="60"/>
        <v>0</v>
      </c>
      <c r="AJ100" s="18">
        <f t="shared" si="61"/>
        <v>0</v>
      </c>
      <c r="AK100" s="18">
        <f t="shared" si="62"/>
        <v>0</v>
      </c>
      <c r="AL100" s="18">
        <f t="shared" si="63"/>
        <v>0</v>
      </c>
      <c r="AM100" s="18">
        <f t="shared" si="64"/>
        <v>3.7735849056603774</v>
      </c>
      <c r="AN100" s="18">
        <f t="shared" si="65"/>
        <v>0</v>
      </c>
      <c r="AO100" s="18">
        <f t="shared" si="66"/>
        <v>0</v>
      </c>
      <c r="AP100" s="18">
        <f t="shared" si="67"/>
        <v>0</v>
      </c>
      <c r="AQ100" s="18">
        <f t="shared" si="68"/>
        <v>26.415094339622641</v>
      </c>
      <c r="AR100" s="18">
        <f t="shared" si="50"/>
        <v>0</v>
      </c>
      <c r="AS100" s="18">
        <f t="shared" si="51"/>
        <v>0</v>
      </c>
      <c r="AT100" s="18">
        <f t="shared" si="52"/>
        <v>24.528301886792452</v>
      </c>
      <c r="AU100" s="18">
        <f t="shared" si="53"/>
        <v>0</v>
      </c>
    </row>
    <row r="101" spans="1:69" x14ac:dyDescent="0.35">
      <c r="A101" s="1" t="s">
        <v>91</v>
      </c>
      <c r="B101" s="1">
        <v>99</v>
      </c>
      <c r="C101" s="1" t="s">
        <v>160</v>
      </c>
      <c r="D101" s="1" t="s">
        <v>158</v>
      </c>
      <c r="E101" s="6" t="s">
        <v>27</v>
      </c>
      <c r="F101" s="4">
        <v>9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15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1</v>
      </c>
      <c r="U101" s="4">
        <v>14</v>
      </c>
      <c r="V101" s="4">
        <v>0</v>
      </c>
      <c r="W101" s="4">
        <v>1</v>
      </c>
      <c r="X101" s="4">
        <v>8</v>
      </c>
      <c r="Y101" s="4">
        <v>0</v>
      </c>
      <c r="Z101" s="15">
        <f t="shared" si="44"/>
        <v>48</v>
      </c>
      <c r="AB101" s="18">
        <f t="shared" si="45"/>
        <v>18.75</v>
      </c>
      <c r="AC101" s="18">
        <f t="shared" si="54"/>
        <v>0</v>
      </c>
      <c r="AD101" s="18">
        <f t="shared" si="55"/>
        <v>0</v>
      </c>
      <c r="AE101" s="18">
        <f t="shared" si="56"/>
        <v>0</v>
      </c>
      <c r="AF101" s="18">
        <f t="shared" si="57"/>
        <v>0</v>
      </c>
      <c r="AG101" s="18">
        <f t="shared" si="58"/>
        <v>0</v>
      </c>
      <c r="AH101" s="18">
        <f t="shared" si="59"/>
        <v>31.25</v>
      </c>
      <c r="AI101" s="18">
        <f t="shared" si="60"/>
        <v>0</v>
      </c>
      <c r="AJ101" s="18">
        <f t="shared" si="61"/>
        <v>0</v>
      </c>
      <c r="AK101" s="18">
        <f t="shared" si="62"/>
        <v>0</v>
      </c>
      <c r="AL101" s="18">
        <f t="shared" si="63"/>
        <v>0</v>
      </c>
      <c r="AM101" s="18">
        <f t="shared" si="64"/>
        <v>0</v>
      </c>
      <c r="AN101" s="18">
        <f t="shared" si="65"/>
        <v>0</v>
      </c>
      <c r="AO101" s="18">
        <f t="shared" si="66"/>
        <v>0</v>
      </c>
      <c r="AP101" s="18">
        <f t="shared" si="67"/>
        <v>2.083333333333333</v>
      </c>
      <c r="AQ101" s="18">
        <f t="shared" si="68"/>
        <v>29.166666666666668</v>
      </c>
      <c r="AR101" s="18">
        <f t="shared" si="50"/>
        <v>0</v>
      </c>
      <c r="AS101" s="18">
        <f t="shared" si="51"/>
        <v>2.083333333333333</v>
      </c>
      <c r="AT101" s="18">
        <f t="shared" si="52"/>
        <v>16.666666666666664</v>
      </c>
      <c r="AU101" s="18">
        <f t="shared" si="53"/>
        <v>0</v>
      </c>
    </row>
    <row r="102" spans="1:69" x14ac:dyDescent="0.35">
      <c r="A102" s="1" t="s">
        <v>91</v>
      </c>
      <c r="B102" s="1">
        <v>100</v>
      </c>
      <c r="C102" s="1" t="s">
        <v>161</v>
      </c>
      <c r="D102" s="1" t="s">
        <v>162</v>
      </c>
      <c r="E102" s="6" t="s">
        <v>21</v>
      </c>
      <c r="F102" s="4">
        <v>5</v>
      </c>
      <c r="G102" s="4">
        <v>0</v>
      </c>
      <c r="H102" s="4">
        <v>0</v>
      </c>
      <c r="I102" s="4">
        <v>0</v>
      </c>
      <c r="J102" s="4">
        <v>3</v>
      </c>
      <c r="K102" s="4">
        <v>0</v>
      </c>
      <c r="L102" s="4">
        <v>11</v>
      </c>
      <c r="M102" s="4">
        <v>0</v>
      </c>
      <c r="N102" s="4">
        <v>0</v>
      </c>
      <c r="O102" s="4">
        <v>0</v>
      </c>
      <c r="P102" s="4">
        <v>0</v>
      </c>
      <c r="Q102" s="4">
        <v>3</v>
      </c>
      <c r="R102" s="4">
        <v>0</v>
      </c>
      <c r="S102" s="4">
        <v>0</v>
      </c>
      <c r="T102" s="4">
        <v>0</v>
      </c>
      <c r="U102" s="4">
        <v>17</v>
      </c>
      <c r="V102" s="4">
        <v>0</v>
      </c>
      <c r="W102" s="4">
        <v>1</v>
      </c>
      <c r="X102" s="4">
        <v>2</v>
      </c>
      <c r="Y102" s="4">
        <v>0</v>
      </c>
      <c r="Z102" s="15">
        <f t="shared" si="44"/>
        <v>42</v>
      </c>
      <c r="AB102" s="18">
        <f t="shared" si="45"/>
        <v>11.904761904761903</v>
      </c>
      <c r="AC102" s="18">
        <f t="shared" si="54"/>
        <v>0</v>
      </c>
      <c r="AD102" s="18">
        <f t="shared" si="55"/>
        <v>0</v>
      </c>
      <c r="AE102" s="18">
        <f t="shared" si="56"/>
        <v>0</v>
      </c>
      <c r="AF102" s="18">
        <f t="shared" si="57"/>
        <v>7.1428571428571423</v>
      </c>
      <c r="AG102" s="18">
        <f t="shared" si="58"/>
        <v>0</v>
      </c>
      <c r="AH102" s="18">
        <f t="shared" si="59"/>
        <v>26.190476190476193</v>
      </c>
      <c r="AI102" s="18">
        <f t="shared" si="60"/>
        <v>0</v>
      </c>
      <c r="AJ102" s="18">
        <f t="shared" si="61"/>
        <v>0</v>
      </c>
      <c r="AK102" s="18">
        <f t="shared" si="62"/>
        <v>0</v>
      </c>
      <c r="AL102" s="18">
        <f t="shared" si="63"/>
        <v>0</v>
      </c>
      <c r="AM102" s="18">
        <f t="shared" si="64"/>
        <v>7.1428571428571423</v>
      </c>
      <c r="AN102" s="18">
        <f t="shared" si="65"/>
        <v>0</v>
      </c>
      <c r="AO102" s="18">
        <f t="shared" si="66"/>
        <v>0</v>
      </c>
      <c r="AP102" s="18">
        <f t="shared" si="67"/>
        <v>0</v>
      </c>
      <c r="AQ102" s="18">
        <f t="shared" si="68"/>
        <v>40.476190476190474</v>
      </c>
      <c r="AR102" s="18">
        <f t="shared" si="50"/>
        <v>0</v>
      </c>
      <c r="AS102" s="18">
        <f t="shared" si="51"/>
        <v>2.3809523809523809</v>
      </c>
      <c r="AT102" s="18">
        <f t="shared" si="52"/>
        <v>4.7619047619047619</v>
      </c>
      <c r="AU102" s="18">
        <f t="shared" si="53"/>
        <v>0</v>
      </c>
      <c r="AW102" s="19">
        <f>AVERAGE(AB102:AB104)</f>
        <v>14.627168696936138</v>
      </c>
      <c r="AX102" s="19">
        <f t="shared" ref="AX102:BP102" si="76">AVERAGE(AC102:AC104)</f>
        <v>0</v>
      </c>
      <c r="AY102" s="19">
        <f t="shared" si="76"/>
        <v>0</v>
      </c>
      <c r="AZ102" s="19">
        <f t="shared" si="76"/>
        <v>0</v>
      </c>
      <c r="BA102" s="19">
        <f t="shared" si="76"/>
        <v>12.696992929551067</v>
      </c>
      <c r="BB102" s="19">
        <f t="shared" si="76"/>
        <v>0</v>
      </c>
      <c r="BC102" s="19">
        <f t="shared" si="76"/>
        <v>19.016384132663202</v>
      </c>
      <c r="BD102" s="19">
        <f t="shared" si="76"/>
        <v>0</v>
      </c>
      <c r="BE102" s="19">
        <f t="shared" si="76"/>
        <v>0</v>
      </c>
      <c r="BF102" s="19">
        <f t="shared" si="76"/>
        <v>0</v>
      </c>
      <c r="BG102" s="19">
        <f t="shared" si="76"/>
        <v>0.77519379844961245</v>
      </c>
      <c r="BH102" s="19">
        <f t="shared" si="76"/>
        <v>2.3809523809523809</v>
      </c>
      <c r="BI102" s="19">
        <f t="shared" si="76"/>
        <v>0</v>
      </c>
      <c r="BJ102" s="19">
        <f t="shared" si="76"/>
        <v>1.5503875968992249</v>
      </c>
      <c r="BK102" s="19">
        <f t="shared" si="76"/>
        <v>0</v>
      </c>
      <c r="BL102" s="19">
        <f t="shared" si="76"/>
        <v>27.415736718062295</v>
      </c>
      <c r="BM102" s="19">
        <f t="shared" si="76"/>
        <v>0</v>
      </c>
      <c r="BN102" s="19">
        <f t="shared" si="76"/>
        <v>7.5020586648493621</v>
      </c>
      <c r="BO102" s="19">
        <f t="shared" si="76"/>
        <v>14.035125081636709</v>
      </c>
      <c r="BP102" s="19">
        <f t="shared" si="76"/>
        <v>0</v>
      </c>
      <c r="BQ102" s="19">
        <f>SUM(AW102:BP102)</f>
        <v>99.999999999999986</v>
      </c>
    </row>
    <row r="103" spans="1:69" x14ac:dyDescent="0.35">
      <c r="A103" s="1" t="s">
        <v>91</v>
      </c>
      <c r="B103" s="1">
        <v>101</v>
      </c>
      <c r="C103" s="1" t="s">
        <v>163</v>
      </c>
      <c r="D103" s="1" t="s">
        <v>162</v>
      </c>
      <c r="E103" s="6" t="s">
        <v>21</v>
      </c>
      <c r="F103" s="4">
        <v>3</v>
      </c>
      <c r="G103" s="4">
        <v>0</v>
      </c>
      <c r="H103" s="4">
        <v>0</v>
      </c>
      <c r="I103" s="4">
        <v>0</v>
      </c>
      <c r="J103" s="4">
        <v>10</v>
      </c>
      <c r="K103" s="4">
        <v>0</v>
      </c>
      <c r="L103" s="4">
        <v>5</v>
      </c>
      <c r="M103" s="4">
        <v>0</v>
      </c>
      <c r="N103" s="4">
        <v>0</v>
      </c>
      <c r="O103" s="4">
        <v>0</v>
      </c>
      <c r="P103" s="4">
        <v>1</v>
      </c>
      <c r="Q103" s="4">
        <v>0</v>
      </c>
      <c r="R103" s="4">
        <v>0</v>
      </c>
      <c r="S103" s="4">
        <v>2</v>
      </c>
      <c r="T103" s="4">
        <v>0</v>
      </c>
      <c r="U103" s="4">
        <v>13</v>
      </c>
      <c r="V103" s="4">
        <v>0</v>
      </c>
      <c r="W103" s="4">
        <v>7</v>
      </c>
      <c r="X103" s="4">
        <v>2</v>
      </c>
      <c r="Y103" s="4">
        <v>0</v>
      </c>
      <c r="Z103" s="15">
        <f t="shared" si="44"/>
        <v>43</v>
      </c>
      <c r="AB103" s="18">
        <f t="shared" si="45"/>
        <v>6.9767441860465116</v>
      </c>
      <c r="AC103" s="18">
        <f t="shared" si="54"/>
        <v>0</v>
      </c>
      <c r="AD103" s="18">
        <f t="shared" si="55"/>
        <v>0</v>
      </c>
      <c r="AE103" s="18">
        <f t="shared" si="56"/>
        <v>0</v>
      </c>
      <c r="AF103" s="18">
        <f t="shared" si="57"/>
        <v>23.255813953488371</v>
      </c>
      <c r="AG103" s="18">
        <f t="shared" si="58"/>
        <v>0</v>
      </c>
      <c r="AH103" s="18">
        <f t="shared" si="59"/>
        <v>11.627906976744185</v>
      </c>
      <c r="AI103" s="18">
        <f t="shared" si="60"/>
        <v>0</v>
      </c>
      <c r="AJ103" s="18">
        <f t="shared" si="61"/>
        <v>0</v>
      </c>
      <c r="AK103" s="18">
        <f t="shared" si="62"/>
        <v>0</v>
      </c>
      <c r="AL103" s="18">
        <f t="shared" si="63"/>
        <v>2.3255813953488373</v>
      </c>
      <c r="AM103" s="18">
        <f t="shared" si="64"/>
        <v>0</v>
      </c>
      <c r="AN103" s="18">
        <f t="shared" si="65"/>
        <v>0</v>
      </c>
      <c r="AO103" s="18">
        <f t="shared" si="66"/>
        <v>4.6511627906976747</v>
      </c>
      <c r="AP103" s="18">
        <f t="shared" si="67"/>
        <v>0</v>
      </c>
      <c r="AQ103" s="18">
        <f t="shared" si="68"/>
        <v>30.232558139534881</v>
      </c>
      <c r="AR103" s="18">
        <f t="shared" si="50"/>
        <v>0</v>
      </c>
      <c r="AS103" s="18">
        <f t="shared" si="51"/>
        <v>16.279069767441861</v>
      </c>
      <c r="AT103" s="18">
        <f t="shared" si="52"/>
        <v>4.6511627906976747</v>
      </c>
      <c r="AU103" s="18">
        <f t="shared" si="53"/>
        <v>0</v>
      </c>
    </row>
    <row r="104" spans="1:69" x14ac:dyDescent="0.35">
      <c r="A104" s="1" t="s">
        <v>91</v>
      </c>
      <c r="B104" s="1">
        <v>102</v>
      </c>
      <c r="C104" s="1" t="s">
        <v>164</v>
      </c>
      <c r="D104" s="1" t="s">
        <v>162</v>
      </c>
      <c r="E104" s="6" t="s">
        <v>21</v>
      </c>
      <c r="F104" s="4">
        <v>13</v>
      </c>
      <c r="G104" s="4">
        <v>0</v>
      </c>
      <c r="H104" s="4">
        <v>0</v>
      </c>
      <c r="I104" s="4">
        <v>0</v>
      </c>
      <c r="J104" s="4">
        <v>4</v>
      </c>
      <c r="K104" s="4">
        <v>0</v>
      </c>
      <c r="L104" s="4">
        <v>10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6</v>
      </c>
      <c r="V104" s="4">
        <v>0</v>
      </c>
      <c r="W104" s="4">
        <v>2</v>
      </c>
      <c r="X104" s="4">
        <v>17</v>
      </c>
      <c r="Y104" s="4">
        <v>0</v>
      </c>
      <c r="Z104" s="15">
        <f t="shared" si="44"/>
        <v>52</v>
      </c>
      <c r="AB104" s="18">
        <f t="shared" si="45"/>
        <v>25</v>
      </c>
      <c r="AC104" s="18">
        <f t="shared" si="54"/>
        <v>0</v>
      </c>
      <c r="AD104" s="18">
        <f t="shared" si="55"/>
        <v>0</v>
      </c>
      <c r="AE104" s="18">
        <f t="shared" si="56"/>
        <v>0</v>
      </c>
      <c r="AF104" s="18">
        <f t="shared" si="57"/>
        <v>7.6923076923076925</v>
      </c>
      <c r="AG104" s="18">
        <f t="shared" si="58"/>
        <v>0</v>
      </c>
      <c r="AH104" s="18">
        <f t="shared" si="59"/>
        <v>19.230769230769234</v>
      </c>
      <c r="AI104" s="18">
        <f t="shared" si="60"/>
        <v>0</v>
      </c>
      <c r="AJ104" s="18">
        <f t="shared" si="61"/>
        <v>0</v>
      </c>
      <c r="AK104" s="18">
        <f t="shared" si="62"/>
        <v>0</v>
      </c>
      <c r="AL104" s="18">
        <f t="shared" si="63"/>
        <v>0</v>
      </c>
      <c r="AM104" s="18">
        <f t="shared" si="64"/>
        <v>0</v>
      </c>
      <c r="AN104" s="18">
        <f t="shared" si="65"/>
        <v>0</v>
      </c>
      <c r="AO104" s="18">
        <f t="shared" si="66"/>
        <v>0</v>
      </c>
      <c r="AP104" s="18">
        <f t="shared" si="67"/>
        <v>0</v>
      </c>
      <c r="AQ104" s="18">
        <f t="shared" si="68"/>
        <v>11.538461538461538</v>
      </c>
      <c r="AR104" s="18">
        <f t="shared" si="50"/>
        <v>0</v>
      </c>
      <c r="AS104" s="18">
        <f t="shared" si="51"/>
        <v>3.8461538461538463</v>
      </c>
      <c r="AT104" s="18">
        <f t="shared" si="52"/>
        <v>32.692307692307693</v>
      </c>
      <c r="AU104" s="18">
        <f t="shared" si="53"/>
        <v>0</v>
      </c>
    </row>
    <row r="105" spans="1:69" x14ac:dyDescent="0.35">
      <c r="A105" s="1" t="s">
        <v>116</v>
      </c>
      <c r="B105" s="1">
        <v>103</v>
      </c>
      <c r="C105" s="1" t="s">
        <v>165</v>
      </c>
      <c r="D105" s="1" t="s">
        <v>166</v>
      </c>
      <c r="E105" s="6" t="s">
        <v>53</v>
      </c>
      <c r="F105" s="4">
        <v>15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27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3</v>
      </c>
      <c r="Y105" s="4">
        <v>4</v>
      </c>
      <c r="Z105" s="15">
        <f t="shared" si="44"/>
        <v>49</v>
      </c>
      <c r="AB105" s="18">
        <f t="shared" si="45"/>
        <v>30.612244897959183</v>
      </c>
      <c r="AC105" s="18">
        <f t="shared" si="54"/>
        <v>0</v>
      </c>
      <c r="AD105" s="18">
        <f t="shared" si="55"/>
        <v>0</v>
      </c>
      <c r="AE105" s="18">
        <f t="shared" si="56"/>
        <v>0</v>
      </c>
      <c r="AF105" s="18">
        <f t="shared" si="57"/>
        <v>0</v>
      </c>
      <c r="AG105" s="18">
        <f t="shared" si="58"/>
        <v>0</v>
      </c>
      <c r="AH105" s="18">
        <f t="shared" si="59"/>
        <v>55.102040816326522</v>
      </c>
      <c r="AI105" s="18">
        <f t="shared" si="60"/>
        <v>0</v>
      </c>
      <c r="AJ105" s="18">
        <f t="shared" si="61"/>
        <v>0</v>
      </c>
      <c r="AK105" s="18">
        <f t="shared" si="62"/>
        <v>0</v>
      </c>
      <c r="AL105" s="18">
        <f t="shared" si="63"/>
        <v>0</v>
      </c>
      <c r="AM105" s="18">
        <f t="shared" si="64"/>
        <v>0</v>
      </c>
      <c r="AN105" s="18">
        <f t="shared" si="65"/>
        <v>0</v>
      </c>
      <c r="AO105" s="18">
        <f t="shared" si="66"/>
        <v>0</v>
      </c>
      <c r="AP105" s="18">
        <f t="shared" si="67"/>
        <v>0</v>
      </c>
      <c r="AQ105" s="18">
        <f t="shared" si="68"/>
        <v>0</v>
      </c>
      <c r="AR105" s="18">
        <f t="shared" si="50"/>
        <v>0</v>
      </c>
      <c r="AS105" s="18">
        <f t="shared" si="51"/>
        <v>0</v>
      </c>
      <c r="AT105" s="18">
        <f t="shared" si="52"/>
        <v>6.1224489795918364</v>
      </c>
      <c r="AU105" s="18">
        <f t="shared" si="53"/>
        <v>8.1632653061224492</v>
      </c>
      <c r="AW105" s="19">
        <f>AVERAGE(AB105:AB107)</f>
        <v>27.853654282225715</v>
      </c>
      <c r="AX105" s="19">
        <f t="shared" ref="AX105:BP105" si="77">AVERAGE(AC105:AC107)</f>
        <v>0</v>
      </c>
      <c r="AY105" s="19">
        <f t="shared" si="77"/>
        <v>0</v>
      </c>
      <c r="AZ105" s="19">
        <f t="shared" si="77"/>
        <v>0</v>
      </c>
      <c r="BA105" s="19">
        <f t="shared" si="77"/>
        <v>0</v>
      </c>
      <c r="BB105" s="19">
        <f t="shared" si="77"/>
        <v>0</v>
      </c>
      <c r="BC105" s="19">
        <f t="shared" si="77"/>
        <v>38.581022152450721</v>
      </c>
      <c r="BD105" s="19">
        <f t="shared" si="77"/>
        <v>0</v>
      </c>
      <c r="BE105" s="19">
        <f t="shared" si="77"/>
        <v>0</v>
      </c>
      <c r="BF105" s="19">
        <f t="shared" si="77"/>
        <v>0</v>
      </c>
      <c r="BG105" s="19">
        <f t="shared" si="77"/>
        <v>0.83333333333333337</v>
      </c>
      <c r="BH105" s="19">
        <f t="shared" si="77"/>
        <v>0</v>
      </c>
      <c r="BI105" s="19">
        <f t="shared" si="77"/>
        <v>0</v>
      </c>
      <c r="BJ105" s="19">
        <f t="shared" si="77"/>
        <v>0</v>
      </c>
      <c r="BK105" s="19">
        <f t="shared" si="77"/>
        <v>0</v>
      </c>
      <c r="BL105" s="19">
        <f t="shared" si="77"/>
        <v>5.1068376068376065</v>
      </c>
      <c r="BM105" s="19">
        <f t="shared" si="77"/>
        <v>0</v>
      </c>
      <c r="BN105" s="19">
        <f t="shared" si="77"/>
        <v>0</v>
      </c>
      <c r="BO105" s="19">
        <f t="shared" si="77"/>
        <v>16.463893249607537</v>
      </c>
      <c r="BP105" s="19">
        <f t="shared" si="77"/>
        <v>11.161259375545088</v>
      </c>
      <c r="BQ105" s="19">
        <f>SUM(AW105:BP105)</f>
        <v>99.999999999999986</v>
      </c>
    </row>
    <row r="106" spans="1:69" x14ac:dyDescent="0.35">
      <c r="A106" s="1" t="s">
        <v>116</v>
      </c>
      <c r="B106" s="1">
        <v>104</v>
      </c>
      <c r="C106" s="1" t="s">
        <v>167</v>
      </c>
      <c r="D106" s="1" t="s">
        <v>166</v>
      </c>
      <c r="E106" s="6" t="s">
        <v>53</v>
      </c>
      <c r="F106" s="4">
        <v>14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14</v>
      </c>
      <c r="M106" s="4">
        <v>0</v>
      </c>
      <c r="N106" s="4">
        <v>0</v>
      </c>
      <c r="O106" s="4">
        <v>0</v>
      </c>
      <c r="P106" s="4">
        <v>1</v>
      </c>
      <c r="Q106" s="4">
        <v>0</v>
      </c>
      <c r="R106" s="4">
        <v>0</v>
      </c>
      <c r="S106" s="4">
        <v>0</v>
      </c>
      <c r="T106" s="4">
        <v>0</v>
      </c>
      <c r="U106" s="4">
        <v>1</v>
      </c>
      <c r="V106" s="4">
        <v>0</v>
      </c>
      <c r="W106" s="4">
        <v>0</v>
      </c>
      <c r="X106" s="4">
        <v>5</v>
      </c>
      <c r="Y106" s="4">
        <v>5</v>
      </c>
      <c r="Z106" s="15">
        <f t="shared" si="44"/>
        <v>40</v>
      </c>
      <c r="AB106" s="18">
        <f t="shared" si="45"/>
        <v>35</v>
      </c>
      <c r="AC106" s="18">
        <f t="shared" si="54"/>
        <v>0</v>
      </c>
      <c r="AD106" s="18">
        <f t="shared" si="55"/>
        <v>0</v>
      </c>
      <c r="AE106" s="18">
        <f t="shared" si="56"/>
        <v>0</v>
      </c>
      <c r="AF106" s="18">
        <f t="shared" si="57"/>
        <v>0</v>
      </c>
      <c r="AG106" s="18">
        <f t="shared" si="58"/>
        <v>0</v>
      </c>
      <c r="AH106" s="18">
        <f t="shared" si="59"/>
        <v>35</v>
      </c>
      <c r="AI106" s="18">
        <f t="shared" si="60"/>
        <v>0</v>
      </c>
      <c r="AJ106" s="18">
        <f t="shared" si="61"/>
        <v>0</v>
      </c>
      <c r="AK106" s="18">
        <f t="shared" si="62"/>
        <v>0</v>
      </c>
      <c r="AL106" s="18">
        <f t="shared" si="63"/>
        <v>2.5</v>
      </c>
      <c r="AM106" s="18">
        <f t="shared" si="64"/>
        <v>0</v>
      </c>
      <c r="AN106" s="18">
        <f t="shared" si="65"/>
        <v>0</v>
      </c>
      <c r="AO106" s="18">
        <f t="shared" si="66"/>
        <v>0</v>
      </c>
      <c r="AP106" s="18">
        <f t="shared" si="67"/>
        <v>0</v>
      </c>
      <c r="AQ106" s="18">
        <f t="shared" si="68"/>
        <v>2.5</v>
      </c>
      <c r="AR106" s="18">
        <f t="shared" si="50"/>
        <v>0</v>
      </c>
      <c r="AS106" s="18">
        <f t="shared" si="51"/>
        <v>0</v>
      </c>
      <c r="AT106" s="18">
        <f t="shared" si="52"/>
        <v>12.5</v>
      </c>
      <c r="AU106" s="18">
        <f t="shared" si="53"/>
        <v>12.5</v>
      </c>
    </row>
    <row r="107" spans="1:69" x14ac:dyDescent="0.35">
      <c r="A107" s="1" t="s">
        <v>116</v>
      </c>
      <c r="B107" s="1">
        <v>105</v>
      </c>
      <c r="C107" s="1" t="s">
        <v>168</v>
      </c>
      <c r="D107" s="1" t="s">
        <v>166</v>
      </c>
      <c r="E107" s="6" t="s">
        <v>53</v>
      </c>
      <c r="F107" s="4">
        <v>7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10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5</v>
      </c>
      <c r="V107" s="4">
        <v>0</v>
      </c>
      <c r="W107" s="4">
        <v>0</v>
      </c>
      <c r="X107" s="4">
        <v>12</v>
      </c>
      <c r="Y107" s="4">
        <v>5</v>
      </c>
      <c r="Z107" s="15">
        <f t="shared" si="44"/>
        <v>39</v>
      </c>
      <c r="AB107" s="18">
        <f t="shared" si="45"/>
        <v>17.948717948717949</v>
      </c>
      <c r="AC107" s="18">
        <f t="shared" si="54"/>
        <v>0</v>
      </c>
      <c r="AD107" s="18">
        <f t="shared" si="55"/>
        <v>0</v>
      </c>
      <c r="AE107" s="18">
        <f t="shared" si="56"/>
        <v>0</v>
      </c>
      <c r="AF107" s="18">
        <f t="shared" si="57"/>
        <v>0</v>
      </c>
      <c r="AG107" s="18">
        <f t="shared" si="58"/>
        <v>0</v>
      </c>
      <c r="AH107" s="18">
        <f t="shared" si="59"/>
        <v>25.641025641025639</v>
      </c>
      <c r="AI107" s="18">
        <f t="shared" si="60"/>
        <v>0</v>
      </c>
      <c r="AJ107" s="18">
        <f t="shared" si="61"/>
        <v>0</v>
      </c>
      <c r="AK107" s="18">
        <f t="shared" si="62"/>
        <v>0</v>
      </c>
      <c r="AL107" s="18">
        <f t="shared" si="63"/>
        <v>0</v>
      </c>
      <c r="AM107" s="18">
        <f t="shared" si="64"/>
        <v>0</v>
      </c>
      <c r="AN107" s="18">
        <f t="shared" si="65"/>
        <v>0</v>
      </c>
      <c r="AO107" s="18">
        <f t="shared" si="66"/>
        <v>0</v>
      </c>
      <c r="AP107" s="18">
        <f t="shared" si="67"/>
        <v>0</v>
      </c>
      <c r="AQ107" s="18">
        <f t="shared" si="68"/>
        <v>12.820512820512819</v>
      </c>
      <c r="AR107" s="18">
        <f t="shared" si="50"/>
        <v>0</v>
      </c>
      <c r="AS107" s="18">
        <f t="shared" si="51"/>
        <v>0</v>
      </c>
      <c r="AT107" s="18">
        <f t="shared" si="52"/>
        <v>30.76923076923077</v>
      </c>
      <c r="AU107" s="18">
        <f t="shared" si="53"/>
        <v>12.820512820512819</v>
      </c>
    </row>
    <row r="108" spans="1:69" x14ac:dyDescent="0.35">
      <c r="A108" s="1" t="s">
        <v>116</v>
      </c>
      <c r="B108" s="1">
        <v>106</v>
      </c>
      <c r="C108" s="1" t="s">
        <v>169</v>
      </c>
      <c r="D108" s="1" t="s">
        <v>170</v>
      </c>
      <c r="E108" s="6" t="s">
        <v>53</v>
      </c>
      <c r="F108" s="4">
        <v>15</v>
      </c>
      <c r="G108" s="4">
        <v>0</v>
      </c>
      <c r="H108" s="4">
        <v>0</v>
      </c>
      <c r="I108" s="4">
        <v>2</v>
      </c>
      <c r="J108" s="4">
        <v>0</v>
      </c>
      <c r="K108" s="4">
        <v>0</v>
      </c>
      <c r="L108" s="4">
        <v>15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1</v>
      </c>
      <c r="V108" s="4">
        <v>0</v>
      </c>
      <c r="W108" s="4">
        <v>0</v>
      </c>
      <c r="X108" s="4">
        <v>1</v>
      </c>
      <c r="Y108" s="4">
        <v>7</v>
      </c>
      <c r="Z108" s="15">
        <f t="shared" si="44"/>
        <v>41</v>
      </c>
      <c r="AB108" s="18">
        <f t="shared" si="45"/>
        <v>36.585365853658537</v>
      </c>
      <c r="AC108" s="18">
        <f t="shared" si="54"/>
        <v>0</v>
      </c>
      <c r="AD108" s="18">
        <f t="shared" si="55"/>
        <v>0</v>
      </c>
      <c r="AE108" s="18">
        <f t="shared" si="56"/>
        <v>4.8780487804878048</v>
      </c>
      <c r="AF108" s="18">
        <f t="shared" si="57"/>
        <v>0</v>
      </c>
      <c r="AG108" s="18">
        <f t="shared" si="58"/>
        <v>0</v>
      </c>
      <c r="AH108" s="18">
        <f t="shared" si="59"/>
        <v>36.585365853658537</v>
      </c>
      <c r="AI108" s="18">
        <f t="shared" si="60"/>
        <v>0</v>
      </c>
      <c r="AJ108" s="18">
        <f t="shared" si="61"/>
        <v>0</v>
      </c>
      <c r="AK108" s="18">
        <f t="shared" si="62"/>
        <v>0</v>
      </c>
      <c r="AL108" s="18">
        <f t="shared" si="63"/>
        <v>0</v>
      </c>
      <c r="AM108" s="18">
        <f t="shared" si="64"/>
        <v>0</v>
      </c>
      <c r="AN108" s="18">
        <f t="shared" si="65"/>
        <v>0</v>
      </c>
      <c r="AO108" s="18">
        <f t="shared" si="66"/>
        <v>0</v>
      </c>
      <c r="AP108" s="18">
        <f t="shared" si="67"/>
        <v>0</v>
      </c>
      <c r="AQ108" s="18">
        <f t="shared" si="68"/>
        <v>2.4390243902439024</v>
      </c>
      <c r="AR108" s="18">
        <f t="shared" si="50"/>
        <v>0</v>
      </c>
      <c r="AS108" s="18">
        <f t="shared" si="51"/>
        <v>0</v>
      </c>
      <c r="AT108" s="18">
        <f t="shared" si="52"/>
        <v>2.4390243902439024</v>
      </c>
      <c r="AU108" s="18">
        <f t="shared" si="53"/>
        <v>17.073170731707318</v>
      </c>
      <c r="AW108" s="19">
        <f>AVERAGE(AB108:AB110)</f>
        <v>45.20424049225295</v>
      </c>
      <c r="AX108" s="19">
        <f t="shared" ref="AX108:BP108" si="78">AVERAGE(AC108:AC110)</f>
        <v>0</v>
      </c>
      <c r="AY108" s="19">
        <f t="shared" si="78"/>
        <v>0</v>
      </c>
      <c r="AZ108" s="19">
        <f t="shared" si="78"/>
        <v>1.6260162601626016</v>
      </c>
      <c r="BA108" s="19">
        <f t="shared" si="78"/>
        <v>0</v>
      </c>
      <c r="BB108" s="19">
        <f t="shared" si="78"/>
        <v>0</v>
      </c>
      <c r="BC108" s="19">
        <f t="shared" si="78"/>
        <v>29.520349914745349</v>
      </c>
      <c r="BD108" s="19">
        <f t="shared" si="78"/>
        <v>0</v>
      </c>
      <c r="BE108" s="19">
        <f t="shared" si="78"/>
        <v>0</v>
      </c>
      <c r="BF108" s="19">
        <f t="shared" si="78"/>
        <v>0</v>
      </c>
      <c r="BG108" s="19">
        <f t="shared" si="78"/>
        <v>0</v>
      </c>
      <c r="BH108" s="19">
        <f t="shared" si="78"/>
        <v>0</v>
      </c>
      <c r="BI108" s="19">
        <f t="shared" si="78"/>
        <v>0</v>
      </c>
      <c r="BJ108" s="19">
        <f t="shared" si="78"/>
        <v>0.70921985815602839</v>
      </c>
      <c r="BK108" s="19">
        <f t="shared" si="78"/>
        <v>0</v>
      </c>
      <c r="BL108" s="19">
        <f t="shared" si="78"/>
        <v>1.7653890824622531</v>
      </c>
      <c r="BM108" s="19">
        <f t="shared" si="78"/>
        <v>0</v>
      </c>
      <c r="BN108" s="19">
        <f t="shared" si="78"/>
        <v>0</v>
      </c>
      <c r="BO108" s="19">
        <f t="shared" si="78"/>
        <v>7.43914794771048</v>
      </c>
      <c r="BP108" s="19">
        <f t="shared" si="78"/>
        <v>13.735636444510343</v>
      </c>
      <c r="BQ108" s="19">
        <f>SUM(AW108:BP108)</f>
        <v>100.00000000000001</v>
      </c>
    </row>
    <row r="109" spans="1:69" x14ac:dyDescent="0.35">
      <c r="A109" s="1" t="s">
        <v>116</v>
      </c>
      <c r="B109" s="1">
        <v>107</v>
      </c>
      <c r="C109" s="1" t="s">
        <v>171</v>
      </c>
      <c r="D109" s="1" t="s">
        <v>170</v>
      </c>
      <c r="E109" s="6" t="s">
        <v>53</v>
      </c>
      <c r="F109" s="4">
        <v>22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10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1</v>
      </c>
      <c r="V109" s="4">
        <v>0</v>
      </c>
      <c r="W109" s="4">
        <v>0</v>
      </c>
      <c r="X109" s="4">
        <v>1</v>
      </c>
      <c r="Y109" s="4">
        <v>1</v>
      </c>
      <c r="Z109" s="15">
        <f t="shared" si="44"/>
        <v>35</v>
      </c>
      <c r="AB109" s="18">
        <f t="shared" si="45"/>
        <v>62.857142857142854</v>
      </c>
      <c r="AC109" s="18">
        <f t="shared" si="54"/>
        <v>0</v>
      </c>
      <c r="AD109" s="18">
        <f t="shared" si="55"/>
        <v>0</v>
      </c>
      <c r="AE109" s="18">
        <f t="shared" si="56"/>
        <v>0</v>
      </c>
      <c r="AF109" s="18">
        <f t="shared" si="57"/>
        <v>0</v>
      </c>
      <c r="AG109" s="18">
        <f t="shared" si="58"/>
        <v>0</v>
      </c>
      <c r="AH109" s="18">
        <f t="shared" si="59"/>
        <v>28.571428571428569</v>
      </c>
      <c r="AI109" s="18">
        <f t="shared" si="60"/>
        <v>0</v>
      </c>
      <c r="AJ109" s="18">
        <f t="shared" si="61"/>
        <v>0</v>
      </c>
      <c r="AK109" s="18">
        <f t="shared" si="62"/>
        <v>0</v>
      </c>
      <c r="AL109" s="18">
        <f t="shared" si="63"/>
        <v>0</v>
      </c>
      <c r="AM109" s="18">
        <f t="shared" si="64"/>
        <v>0</v>
      </c>
      <c r="AN109" s="18">
        <f t="shared" si="65"/>
        <v>0</v>
      </c>
      <c r="AO109" s="18">
        <f t="shared" si="66"/>
        <v>0</v>
      </c>
      <c r="AP109" s="18">
        <f t="shared" si="67"/>
        <v>0</v>
      </c>
      <c r="AQ109" s="18">
        <f t="shared" si="68"/>
        <v>2.8571428571428572</v>
      </c>
      <c r="AR109" s="18">
        <f t="shared" si="50"/>
        <v>0</v>
      </c>
      <c r="AS109" s="18">
        <f t="shared" si="51"/>
        <v>0</v>
      </c>
      <c r="AT109" s="18">
        <f t="shared" si="52"/>
        <v>2.8571428571428572</v>
      </c>
      <c r="AU109" s="18">
        <f t="shared" si="53"/>
        <v>2.8571428571428572</v>
      </c>
    </row>
    <row r="110" spans="1:69" x14ac:dyDescent="0.35">
      <c r="A110" s="1" t="s">
        <v>116</v>
      </c>
      <c r="B110" s="1">
        <v>108</v>
      </c>
      <c r="C110" s="1" t="s">
        <v>172</v>
      </c>
      <c r="D110" s="1" t="s">
        <v>170</v>
      </c>
      <c r="E110" s="6" t="s">
        <v>53</v>
      </c>
      <c r="F110" s="4">
        <v>17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11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1</v>
      </c>
      <c r="T110" s="4">
        <v>0</v>
      </c>
      <c r="U110" s="4">
        <v>0</v>
      </c>
      <c r="V110" s="4">
        <v>0</v>
      </c>
      <c r="W110" s="4">
        <v>0</v>
      </c>
      <c r="X110" s="4">
        <v>8</v>
      </c>
      <c r="Y110" s="4">
        <v>10</v>
      </c>
      <c r="Z110" s="15">
        <f t="shared" si="44"/>
        <v>47</v>
      </c>
      <c r="AB110" s="18">
        <f t="shared" si="45"/>
        <v>36.170212765957451</v>
      </c>
      <c r="AC110" s="18">
        <f t="shared" si="54"/>
        <v>0</v>
      </c>
      <c r="AD110" s="18">
        <f t="shared" si="55"/>
        <v>0</v>
      </c>
      <c r="AE110" s="18">
        <f t="shared" si="56"/>
        <v>0</v>
      </c>
      <c r="AF110" s="18">
        <f t="shared" si="57"/>
        <v>0</v>
      </c>
      <c r="AG110" s="18">
        <f t="shared" si="58"/>
        <v>0</v>
      </c>
      <c r="AH110" s="18">
        <f t="shared" si="59"/>
        <v>23.404255319148938</v>
      </c>
      <c r="AI110" s="18">
        <f t="shared" si="60"/>
        <v>0</v>
      </c>
      <c r="AJ110" s="18">
        <f t="shared" si="61"/>
        <v>0</v>
      </c>
      <c r="AK110" s="18">
        <f t="shared" si="62"/>
        <v>0</v>
      </c>
      <c r="AL110" s="18">
        <f t="shared" si="63"/>
        <v>0</v>
      </c>
      <c r="AM110" s="18">
        <f t="shared" si="64"/>
        <v>0</v>
      </c>
      <c r="AN110" s="18">
        <f t="shared" si="65"/>
        <v>0</v>
      </c>
      <c r="AO110" s="18">
        <f t="shared" si="66"/>
        <v>2.1276595744680851</v>
      </c>
      <c r="AP110" s="18">
        <f t="shared" si="67"/>
        <v>0</v>
      </c>
      <c r="AQ110" s="18">
        <f t="shared" si="68"/>
        <v>0</v>
      </c>
      <c r="AR110" s="18">
        <f t="shared" si="50"/>
        <v>0</v>
      </c>
      <c r="AS110" s="18">
        <f t="shared" si="51"/>
        <v>0</v>
      </c>
      <c r="AT110" s="18">
        <f t="shared" si="52"/>
        <v>17.021276595744681</v>
      </c>
      <c r="AU110" s="18">
        <f t="shared" si="53"/>
        <v>21.276595744680851</v>
      </c>
    </row>
    <row r="111" spans="1:69" x14ac:dyDescent="0.35">
      <c r="A111" s="1" t="s">
        <v>116</v>
      </c>
      <c r="B111" s="1">
        <v>109</v>
      </c>
      <c r="C111" s="1" t="s">
        <v>173</v>
      </c>
      <c r="D111" s="1" t="s">
        <v>174</v>
      </c>
      <c r="E111" s="6" t="s">
        <v>27</v>
      </c>
      <c r="F111" s="4">
        <v>13</v>
      </c>
      <c r="G111" s="4">
        <v>0</v>
      </c>
      <c r="H111" s="4">
        <v>0</v>
      </c>
      <c r="I111" s="4">
        <v>0</v>
      </c>
      <c r="J111" s="4">
        <v>0</v>
      </c>
      <c r="K111" s="4">
        <v>2</v>
      </c>
      <c r="L111" s="4">
        <v>6</v>
      </c>
      <c r="M111" s="4">
        <v>0</v>
      </c>
      <c r="N111" s="4">
        <v>0</v>
      </c>
      <c r="O111" s="4">
        <v>0</v>
      </c>
      <c r="P111" s="4">
        <v>0</v>
      </c>
      <c r="Q111" s="4">
        <v>1</v>
      </c>
      <c r="R111" s="4">
        <v>0</v>
      </c>
      <c r="S111" s="4">
        <v>0</v>
      </c>
      <c r="T111" s="4">
        <v>2</v>
      </c>
      <c r="U111" s="4">
        <v>4</v>
      </c>
      <c r="V111" s="4">
        <v>0</v>
      </c>
      <c r="W111" s="4">
        <v>0</v>
      </c>
      <c r="X111" s="4">
        <v>2</v>
      </c>
      <c r="Y111" s="4">
        <v>1</v>
      </c>
      <c r="Z111" s="15">
        <f t="shared" si="44"/>
        <v>31</v>
      </c>
      <c r="AB111" s="18">
        <f t="shared" si="45"/>
        <v>41.935483870967744</v>
      </c>
      <c r="AC111" s="18">
        <f t="shared" si="54"/>
        <v>0</v>
      </c>
      <c r="AD111" s="18">
        <f t="shared" si="55"/>
        <v>0</v>
      </c>
      <c r="AE111" s="18">
        <f t="shared" si="56"/>
        <v>0</v>
      </c>
      <c r="AF111" s="18">
        <f t="shared" si="57"/>
        <v>0</v>
      </c>
      <c r="AG111" s="18">
        <f t="shared" si="58"/>
        <v>6.4516129032258061</v>
      </c>
      <c r="AH111" s="18">
        <f t="shared" si="59"/>
        <v>19.35483870967742</v>
      </c>
      <c r="AI111" s="18">
        <f t="shared" si="60"/>
        <v>0</v>
      </c>
      <c r="AJ111" s="18">
        <f t="shared" si="61"/>
        <v>0</v>
      </c>
      <c r="AK111" s="18">
        <f t="shared" si="62"/>
        <v>0</v>
      </c>
      <c r="AL111" s="18">
        <f t="shared" si="63"/>
        <v>0</v>
      </c>
      <c r="AM111" s="18">
        <f t="shared" si="64"/>
        <v>3.225806451612903</v>
      </c>
      <c r="AN111" s="18">
        <f t="shared" si="65"/>
        <v>0</v>
      </c>
      <c r="AO111" s="18">
        <f t="shared" si="66"/>
        <v>0</v>
      </c>
      <c r="AP111" s="18">
        <f t="shared" si="67"/>
        <v>6.4516129032258061</v>
      </c>
      <c r="AQ111" s="18">
        <f t="shared" si="68"/>
        <v>12.903225806451612</v>
      </c>
      <c r="AR111" s="18">
        <f t="shared" si="50"/>
        <v>0</v>
      </c>
      <c r="AS111" s="18">
        <f t="shared" si="51"/>
        <v>0</v>
      </c>
      <c r="AT111" s="18">
        <f t="shared" si="52"/>
        <v>6.4516129032258061</v>
      </c>
      <c r="AU111" s="18">
        <f t="shared" si="53"/>
        <v>3.225806451612903</v>
      </c>
      <c r="AW111" s="19">
        <f>AVERAGE(AB111:AB113)</f>
        <v>38.978494623655912</v>
      </c>
      <c r="AX111" s="19">
        <f t="shared" ref="AX111:BP111" si="79">AVERAGE(AC111:AC113)</f>
        <v>0</v>
      </c>
      <c r="AY111" s="19">
        <f t="shared" si="79"/>
        <v>0</v>
      </c>
      <c r="AZ111" s="19">
        <f t="shared" si="79"/>
        <v>0</v>
      </c>
      <c r="BA111" s="19">
        <f t="shared" si="79"/>
        <v>1.7857142857142858</v>
      </c>
      <c r="BB111" s="19">
        <f t="shared" si="79"/>
        <v>2.150537634408602</v>
      </c>
      <c r="BC111" s="19">
        <f t="shared" si="79"/>
        <v>28.118279569892476</v>
      </c>
      <c r="BD111" s="19">
        <f t="shared" si="79"/>
        <v>0</v>
      </c>
      <c r="BE111" s="19">
        <f t="shared" si="79"/>
        <v>0</v>
      </c>
      <c r="BF111" s="19">
        <f t="shared" si="79"/>
        <v>0</v>
      </c>
      <c r="BG111" s="19">
        <f t="shared" si="79"/>
        <v>0</v>
      </c>
      <c r="BH111" s="19">
        <f t="shared" si="79"/>
        <v>1.075268817204301</v>
      </c>
      <c r="BI111" s="19">
        <f t="shared" si="79"/>
        <v>0</v>
      </c>
      <c r="BJ111" s="19">
        <f t="shared" si="79"/>
        <v>0</v>
      </c>
      <c r="BK111" s="19">
        <f t="shared" si="79"/>
        <v>2.150537634408602</v>
      </c>
      <c r="BL111" s="19">
        <f t="shared" si="79"/>
        <v>11.324884792626728</v>
      </c>
      <c r="BM111" s="19">
        <f t="shared" si="79"/>
        <v>0</v>
      </c>
      <c r="BN111" s="19">
        <f t="shared" si="79"/>
        <v>0</v>
      </c>
      <c r="BO111" s="19">
        <f t="shared" si="79"/>
        <v>12.50768049155146</v>
      </c>
      <c r="BP111" s="19">
        <f t="shared" si="79"/>
        <v>1.9086021505376343</v>
      </c>
      <c r="BQ111" s="19">
        <f>SUM(AW111:BP111)</f>
        <v>100</v>
      </c>
    </row>
    <row r="112" spans="1:69" x14ac:dyDescent="0.35">
      <c r="A112" s="1" t="s">
        <v>116</v>
      </c>
      <c r="B112" s="1">
        <v>110</v>
      </c>
      <c r="C112" s="1" t="s">
        <v>175</v>
      </c>
      <c r="D112" s="1" t="s">
        <v>174</v>
      </c>
      <c r="E112" s="6" t="s">
        <v>27</v>
      </c>
      <c r="F112" s="4">
        <v>14</v>
      </c>
      <c r="G112" s="4">
        <v>0</v>
      </c>
      <c r="H112" s="4">
        <v>0</v>
      </c>
      <c r="I112" s="4">
        <v>0</v>
      </c>
      <c r="J112" s="4">
        <v>1</v>
      </c>
      <c r="K112" s="4">
        <v>0</v>
      </c>
      <c r="L112" s="4">
        <v>18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5</v>
      </c>
      <c r="V112" s="4">
        <v>0</v>
      </c>
      <c r="W112" s="4">
        <v>0</v>
      </c>
      <c r="X112" s="4">
        <v>1</v>
      </c>
      <c r="Y112" s="4">
        <v>1</v>
      </c>
      <c r="Z112" s="15">
        <f t="shared" si="44"/>
        <v>40</v>
      </c>
      <c r="AB112" s="18">
        <f t="shared" si="45"/>
        <v>35</v>
      </c>
      <c r="AC112" s="18">
        <f t="shared" si="54"/>
        <v>0</v>
      </c>
      <c r="AD112" s="18">
        <f t="shared" si="55"/>
        <v>0</v>
      </c>
      <c r="AE112" s="18">
        <f t="shared" si="56"/>
        <v>0</v>
      </c>
      <c r="AF112" s="18">
        <f t="shared" si="57"/>
        <v>2.5</v>
      </c>
      <c r="AG112" s="18">
        <f t="shared" si="58"/>
        <v>0</v>
      </c>
      <c r="AH112" s="18">
        <f t="shared" si="59"/>
        <v>45</v>
      </c>
      <c r="AI112" s="18">
        <f t="shared" si="60"/>
        <v>0</v>
      </c>
      <c r="AJ112" s="18">
        <f t="shared" si="61"/>
        <v>0</v>
      </c>
      <c r="AK112" s="18">
        <f t="shared" si="62"/>
        <v>0</v>
      </c>
      <c r="AL112" s="18">
        <f t="shared" si="63"/>
        <v>0</v>
      </c>
      <c r="AM112" s="18">
        <f t="shared" si="64"/>
        <v>0</v>
      </c>
      <c r="AN112" s="18">
        <f t="shared" si="65"/>
        <v>0</v>
      </c>
      <c r="AO112" s="18">
        <f t="shared" si="66"/>
        <v>0</v>
      </c>
      <c r="AP112" s="18">
        <f t="shared" si="67"/>
        <v>0</v>
      </c>
      <c r="AQ112" s="18">
        <f t="shared" si="68"/>
        <v>12.5</v>
      </c>
      <c r="AR112" s="18">
        <f t="shared" si="50"/>
        <v>0</v>
      </c>
      <c r="AS112" s="18">
        <f t="shared" si="51"/>
        <v>0</v>
      </c>
      <c r="AT112" s="18">
        <f t="shared" si="52"/>
        <v>2.5</v>
      </c>
      <c r="AU112" s="18">
        <f t="shared" si="53"/>
        <v>2.5</v>
      </c>
    </row>
    <row r="113" spans="1:69" x14ac:dyDescent="0.35">
      <c r="A113" s="1" t="s">
        <v>116</v>
      </c>
      <c r="B113" s="1">
        <v>111</v>
      </c>
      <c r="C113" s="1" t="s">
        <v>176</v>
      </c>
      <c r="D113" s="1" t="s">
        <v>174</v>
      </c>
      <c r="E113" s="6" t="s">
        <v>27</v>
      </c>
      <c r="F113" s="4">
        <v>14</v>
      </c>
      <c r="G113" s="4">
        <v>0</v>
      </c>
      <c r="H113" s="4">
        <v>0</v>
      </c>
      <c r="I113" s="4">
        <v>0</v>
      </c>
      <c r="J113" s="4">
        <v>1</v>
      </c>
      <c r="K113" s="4">
        <v>0</v>
      </c>
      <c r="L113" s="4">
        <v>7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3</v>
      </c>
      <c r="V113" s="4">
        <v>0</v>
      </c>
      <c r="W113" s="4">
        <v>0</v>
      </c>
      <c r="X113" s="4">
        <v>10</v>
      </c>
      <c r="Y113" s="4">
        <v>0</v>
      </c>
      <c r="Z113" s="15">
        <f t="shared" si="44"/>
        <v>35</v>
      </c>
      <c r="AB113" s="18">
        <f t="shared" si="45"/>
        <v>40</v>
      </c>
      <c r="AC113" s="18">
        <f t="shared" si="54"/>
        <v>0</v>
      </c>
      <c r="AD113" s="18">
        <f t="shared" si="55"/>
        <v>0</v>
      </c>
      <c r="AE113" s="18">
        <f t="shared" si="56"/>
        <v>0</v>
      </c>
      <c r="AF113" s="18">
        <f t="shared" si="57"/>
        <v>2.8571428571428572</v>
      </c>
      <c r="AG113" s="18">
        <f t="shared" si="58"/>
        <v>0</v>
      </c>
      <c r="AH113" s="18">
        <f t="shared" si="59"/>
        <v>20</v>
      </c>
      <c r="AI113" s="18">
        <f t="shared" si="60"/>
        <v>0</v>
      </c>
      <c r="AJ113" s="18">
        <f t="shared" si="61"/>
        <v>0</v>
      </c>
      <c r="AK113" s="18">
        <f t="shared" si="62"/>
        <v>0</v>
      </c>
      <c r="AL113" s="18">
        <f t="shared" si="63"/>
        <v>0</v>
      </c>
      <c r="AM113" s="18">
        <f t="shared" si="64"/>
        <v>0</v>
      </c>
      <c r="AN113" s="18">
        <f t="shared" si="65"/>
        <v>0</v>
      </c>
      <c r="AO113" s="18">
        <f t="shared" si="66"/>
        <v>0</v>
      </c>
      <c r="AP113" s="18">
        <f t="shared" si="67"/>
        <v>0</v>
      </c>
      <c r="AQ113" s="18">
        <f t="shared" si="68"/>
        <v>8.5714285714285712</v>
      </c>
      <c r="AR113" s="18">
        <f t="shared" si="50"/>
        <v>0</v>
      </c>
      <c r="AS113" s="18">
        <f t="shared" si="51"/>
        <v>0</v>
      </c>
      <c r="AT113" s="18">
        <f t="shared" si="52"/>
        <v>28.571428571428569</v>
      </c>
      <c r="AU113" s="18">
        <f t="shared" si="53"/>
        <v>0</v>
      </c>
    </row>
    <row r="114" spans="1:69" x14ac:dyDescent="0.35">
      <c r="A114" s="1" t="s">
        <v>18</v>
      </c>
      <c r="B114" s="1">
        <v>112</v>
      </c>
      <c r="C114" s="1" t="s">
        <v>177</v>
      </c>
      <c r="D114" s="1" t="s">
        <v>178</v>
      </c>
      <c r="E114" s="6" t="s">
        <v>21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4</v>
      </c>
      <c r="M114" s="4">
        <v>8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16</v>
      </c>
      <c r="Z114" s="15">
        <f t="shared" si="44"/>
        <v>28</v>
      </c>
      <c r="AB114" s="18">
        <f t="shared" si="45"/>
        <v>0</v>
      </c>
      <c r="AC114" s="18">
        <f t="shared" si="54"/>
        <v>0</v>
      </c>
      <c r="AD114" s="18">
        <f t="shared" si="55"/>
        <v>0</v>
      </c>
      <c r="AE114" s="18">
        <f t="shared" si="56"/>
        <v>0</v>
      </c>
      <c r="AF114" s="18">
        <f t="shared" si="57"/>
        <v>0</v>
      </c>
      <c r="AG114" s="18">
        <f t="shared" si="58"/>
        <v>0</v>
      </c>
      <c r="AH114" s="18">
        <f t="shared" si="59"/>
        <v>14.285714285714285</v>
      </c>
      <c r="AI114" s="18">
        <f t="shared" si="60"/>
        <v>28.571428571428569</v>
      </c>
      <c r="AJ114" s="18">
        <f t="shared" si="61"/>
        <v>0</v>
      </c>
      <c r="AK114" s="18">
        <f t="shared" si="62"/>
        <v>0</v>
      </c>
      <c r="AL114" s="18">
        <f t="shared" si="63"/>
        <v>0</v>
      </c>
      <c r="AM114" s="18">
        <f t="shared" si="64"/>
        <v>0</v>
      </c>
      <c r="AN114" s="18">
        <f t="shared" si="65"/>
        <v>0</v>
      </c>
      <c r="AO114" s="18">
        <f t="shared" si="66"/>
        <v>0</v>
      </c>
      <c r="AP114" s="18">
        <f t="shared" si="67"/>
        <v>0</v>
      </c>
      <c r="AQ114" s="18">
        <f t="shared" si="68"/>
        <v>0</v>
      </c>
      <c r="AR114" s="18">
        <f t="shared" si="50"/>
        <v>0</v>
      </c>
      <c r="AS114" s="18">
        <f t="shared" si="51"/>
        <v>0</v>
      </c>
      <c r="AT114" s="18">
        <f t="shared" si="52"/>
        <v>0</v>
      </c>
      <c r="AU114" s="18">
        <f t="shared" si="53"/>
        <v>57.142857142857139</v>
      </c>
      <c r="AW114" s="19">
        <f>AVERAGE(AB114:AB116)</f>
        <v>0</v>
      </c>
      <c r="AX114" s="19">
        <f t="shared" ref="AX114:BP114" si="80">AVERAGE(AC114:AC116)</f>
        <v>0</v>
      </c>
      <c r="AY114" s="19">
        <f t="shared" si="80"/>
        <v>0</v>
      </c>
      <c r="AZ114" s="19">
        <f t="shared" si="80"/>
        <v>0</v>
      </c>
      <c r="BA114" s="19">
        <f t="shared" si="80"/>
        <v>0</v>
      </c>
      <c r="BB114" s="19">
        <f t="shared" si="80"/>
        <v>0</v>
      </c>
      <c r="BC114" s="19">
        <f t="shared" si="80"/>
        <v>23.057644110275689</v>
      </c>
      <c r="BD114" s="19">
        <f t="shared" si="80"/>
        <v>21.679197994987465</v>
      </c>
      <c r="BE114" s="19">
        <f t="shared" si="80"/>
        <v>0</v>
      </c>
      <c r="BF114" s="19">
        <f t="shared" si="80"/>
        <v>0</v>
      </c>
      <c r="BG114" s="19">
        <f t="shared" si="80"/>
        <v>0</v>
      </c>
      <c r="BH114" s="19">
        <f t="shared" si="80"/>
        <v>0</v>
      </c>
      <c r="BI114" s="19">
        <f t="shared" si="80"/>
        <v>0</v>
      </c>
      <c r="BJ114" s="19">
        <f t="shared" si="80"/>
        <v>0</v>
      </c>
      <c r="BK114" s="19">
        <f t="shared" si="80"/>
        <v>10.902255639097744</v>
      </c>
      <c r="BL114" s="19">
        <f t="shared" si="80"/>
        <v>1.7543859649122806</v>
      </c>
      <c r="BM114" s="19">
        <f t="shared" si="80"/>
        <v>0</v>
      </c>
      <c r="BN114" s="19">
        <f t="shared" si="80"/>
        <v>0</v>
      </c>
      <c r="BO114" s="19">
        <f t="shared" si="80"/>
        <v>0</v>
      </c>
      <c r="BP114" s="19">
        <f t="shared" si="80"/>
        <v>42.606516290726809</v>
      </c>
      <c r="BQ114" s="19">
        <f>SUM(AW114:BP114)</f>
        <v>99.999999999999986</v>
      </c>
    </row>
    <row r="115" spans="1:69" x14ac:dyDescent="0.35">
      <c r="A115" s="1" t="s">
        <v>18</v>
      </c>
      <c r="B115" s="1">
        <v>113</v>
      </c>
      <c r="C115" s="1" t="s">
        <v>179</v>
      </c>
      <c r="D115" s="1" t="s">
        <v>178</v>
      </c>
      <c r="E115" s="6" t="s">
        <v>21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10</v>
      </c>
      <c r="M115" s="4">
        <v>10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5</v>
      </c>
      <c r="U115" s="4">
        <v>0</v>
      </c>
      <c r="V115" s="4">
        <v>0</v>
      </c>
      <c r="W115" s="4">
        <v>0</v>
      </c>
      <c r="X115" s="4">
        <v>0</v>
      </c>
      <c r="Y115" s="4">
        <v>10</v>
      </c>
      <c r="Z115" s="15">
        <f t="shared" si="44"/>
        <v>35</v>
      </c>
      <c r="AB115" s="18">
        <f t="shared" si="45"/>
        <v>0</v>
      </c>
      <c r="AC115" s="18">
        <f t="shared" si="54"/>
        <v>0</v>
      </c>
      <c r="AD115" s="18">
        <f t="shared" si="55"/>
        <v>0</v>
      </c>
      <c r="AE115" s="18">
        <f t="shared" si="56"/>
        <v>0</v>
      </c>
      <c r="AF115" s="18">
        <f t="shared" si="57"/>
        <v>0</v>
      </c>
      <c r="AG115" s="18">
        <f t="shared" si="58"/>
        <v>0</v>
      </c>
      <c r="AH115" s="18">
        <f t="shared" si="59"/>
        <v>28.571428571428569</v>
      </c>
      <c r="AI115" s="18">
        <f t="shared" si="60"/>
        <v>28.571428571428569</v>
      </c>
      <c r="AJ115" s="18">
        <f t="shared" si="61"/>
        <v>0</v>
      </c>
      <c r="AK115" s="18">
        <f t="shared" si="62"/>
        <v>0</v>
      </c>
      <c r="AL115" s="18">
        <f t="shared" si="63"/>
        <v>0</v>
      </c>
      <c r="AM115" s="18">
        <f t="shared" si="64"/>
        <v>0</v>
      </c>
      <c r="AN115" s="18">
        <f t="shared" si="65"/>
        <v>0</v>
      </c>
      <c r="AO115" s="18">
        <f t="shared" si="66"/>
        <v>0</v>
      </c>
      <c r="AP115" s="18">
        <f t="shared" si="67"/>
        <v>14.285714285714285</v>
      </c>
      <c r="AQ115" s="18">
        <f t="shared" si="68"/>
        <v>0</v>
      </c>
      <c r="AR115" s="18">
        <f t="shared" si="50"/>
        <v>0</v>
      </c>
      <c r="AS115" s="18">
        <f t="shared" si="51"/>
        <v>0</v>
      </c>
      <c r="AT115" s="18">
        <f t="shared" si="52"/>
        <v>0</v>
      </c>
      <c r="AU115" s="18">
        <f t="shared" si="53"/>
        <v>28.571428571428569</v>
      </c>
    </row>
    <row r="116" spans="1:69" x14ac:dyDescent="0.35">
      <c r="A116" s="1" t="s">
        <v>18</v>
      </c>
      <c r="B116" s="1">
        <v>114</v>
      </c>
      <c r="C116" s="1" t="s">
        <v>180</v>
      </c>
      <c r="D116" s="1" t="s">
        <v>178</v>
      </c>
      <c r="E116" s="6" t="s">
        <v>21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10</v>
      </c>
      <c r="M116" s="4">
        <v>3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7</v>
      </c>
      <c r="U116" s="4">
        <v>2</v>
      </c>
      <c r="V116" s="4">
        <v>0</v>
      </c>
      <c r="W116" s="4">
        <v>0</v>
      </c>
      <c r="X116" s="4">
        <v>0</v>
      </c>
      <c r="Y116" s="4">
        <v>16</v>
      </c>
      <c r="Z116" s="15">
        <f t="shared" si="44"/>
        <v>38</v>
      </c>
      <c r="AB116" s="18">
        <f t="shared" si="45"/>
        <v>0</v>
      </c>
      <c r="AC116" s="18">
        <f t="shared" si="54"/>
        <v>0</v>
      </c>
      <c r="AD116" s="18">
        <f t="shared" si="55"/>
        <v>0</v>
      </c>
      <c r="AE116" s="18">
        <f t="shared" si="56"/>
        <v>0</v>
      </c>
      <c r="AF116" s="18">
        <f t="shared" si="57"/>
        <v>0</v>
      </c>
      <c r="AG116" s="18">
        <f t="shared" si="58"/>
        <v>0</v>
      </c>
      <c r="AH116" s="18">
        <f t="shared" si="59"/>
        <v>26.315789473684209</v>
      </c>
      <c r="AI116" s="18">
        <f t="shared" si="60"/>
        <v>7.8947368421052628</v>
      </c>
      <c r="AJ116" s="18">
        <f t="shared" si="61"/>
        <v>0</v>
      </c>
      <c r="AK116" s="18">
        <f t="shared" si="62"/>
        <v>0</v>
      </c>
      <c r="AL116" s="18">
        <f t="shared" si="63"/>
        <v>0</v>
      </c>
      <c r="AM116" s="18">
        <f t="shared" si="64"/>
        <v>0</v>
      </c>
      <c r="AN116" s="18">
        <f t="shared" si="65"/>
        <v>0</v>
      </c>
      <c r="AO116" s="18">
        <f t="shared" si="66"/>
        <v>0</v>
      </c>
      <c r="AP116" s="18">
        <f t="shared" si="67"/>
        <v>18.421052631578945</v>
      </c>
      <c r="AQ116" s="18">
        <f t="shared" si="68"/>
        <v>5.2631578947368416</v>
      </c>
      <c r="AR116" s="18">
        <f t="shared" si="50"/>
        <v>0</v>
      </c>
      <c r="AS116" s="18">
        <f t="shared" si="51"/>
        <v>0</v>
      </c>
      <c r="AT116" s="18">
        <f t="shared" si="52"/>
        <v>0</v>
      </c>
      <c r="AU116" s="18">
        <f t="shared" si="53"/>
        <v>42.105263157894733</v>
      </c>
    </row>
    <row r="117" spans="1:69" x14ac:dyDescent="0.35">
      <c r="A117" s="1" t="s">
        <v>61</v>
      </c>
      <c r="B117" s="1">
        <v>115</v>
      </c>
      <c r="C117" s="1" t="s">
        <v>181</v>
      </c>
      <c r="D117" s="1" t="s">
        <v>182</v>
      </c>
      <c r="E117" s="6" t="s">
        <v>21</v>
      </c>
      <c r="F117" s="4">
        <v>4</v>
      </c>
      <c r="G117" s="4">
        <v>0</v>
      </c>
      <c r="H117" s="4">
        <v>0</v>
      </c>
      <c r="I117" s="4">
        <v>0</v>
      </c>
      <c r="J117" s="4">
        <v>11</v>
      </c>
      <c r="K117" s="4">
        <v>1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3</v>
      </c>
      <c r="R117" s="4">
        <v>0</v>
      </c>
      <c r="S117" s="4">
        <v>0</v>
      </c>
      <c r="T117" s="4">
        <v>0</v>
      </c>
      <c r="U117" s="4">
        <v>12</v>
      </c>
      <c r="V117" s="4">
        <v>0</v>
      </c>
      <c r="W117" s="4">
        <v>0</v>
      </c>
      <c r="X117" s="4">
        <v>0</v>
      </c>
      <c r="Y117" s="4">
        <v>0</v>
      </c>
      <c r="Z117" s="15">
        <f t="shared" si="44"/>
        <v>31</v>
      </c>
      <c r="AB117" s="18">
        <f t="shared" si="45"/>
        <v>12.903225806451612</v>
      </c>
      <c r="AC117" s="18">
        <f t="shared" si="54"/>
        <v>0</v>
      </c>
      <c r="AD117" s="18">
        <f t="shared" si="55"/>
        <v>0</v>
      </c>
      <c r="AE117" s="18">
        <f t="shared" si="56"/>
        <v>0</v>
      </c>
      <c r="AF117" s="18">
        <f t="shared" si="57"/>
        <v>35.483870967741936</v>
      </c>
      <c r="AG117" s="18">
        <f t="shared" si="58"/>
        <v>3.225806451612903</v>
      </c>
      <c r="AH117" s="18">
        <f t="shared" si="59"/>
        <v>0</v>
      </c>
      <c r="AI117" s="18">
        <f t="shared" si="60"/>
        <v>0</v>
      </c>
      <c r="AJ117" s="18">
        <f t="shared" si="61"/>
        <v>0</v>
      </c>
      <c r="AK117" s="18">
        <f t="shared" si="62"/>
        <v>0</v>
      </c>
      <c r="AL117" s="18">
        <f t="shared" si="63"/>
        <v>0</v>
      </c>
      <c r="AM117" s="18">
        <f t="shared" si="64"/>
        <v>9.67741935483871</v>
      </c>
      <c r="AN117" s="18">
        <f t="shared" si="65"/>
        <v>0</v>
      </c>
      <c r="AO117" s="18">
        <f t="shared" si="66"/>
        <v>0</v>
      </c>
      <c r="AP117" s="18">
        <f t="shared" si="67"/>
        <v>0</v>
      </c>
      <c r="AQ117" s="18">
        <f t="shared" si="68"/>
        <v>38.70967741935484</v>
      </c>
      <c r="AR117" s="18">
        <f t="shared" si="50"/>
        <v>0</v>
      </c>
      <c r="AS117" s="18">
        <f t="shared" si="51"/>
        <v>0</v>
      </c>
      <c r="AT117" s="18">
        <f t="shared" si="52"/>
        <v>0</v>
      </c>
      <c r="AU117" s="18">
        <f t="shared" si="53"/>
        <v>0</v>
      </c>
      <c r="AW117" s="19">
        <f>AVERAGE(AB117:AB119)</f>
        <v>16.780946444340554</v>
      </c>
      <c r="AX117" s="19">
        <f t="shared" ref="AX117:BP117" si="81">AVERAGE(AC117:AC119)</f>
        <v>1.4492753623188406</v>
      </c>
      <c r="AY117" s="19">
        <f t="shared" si="81"/>
        <v>0</v>
      </c>
      <c r="AZ117" s="19">
        <f t="shared" si="81"/>
        <v>0</v>
      </c>
      <c r="BA117" s="19">
        <f t="shared" si="81"/>
        <v>22.1339151212924</v>
      </c>
      <c r="BB117" s="19">
        <f t="shared" si="81"/>
        <v>13.555139992727652</v>
      </c>
      <c r="BC117" s="19">
        <f t="shared" si="81"/>
        <v>0</v>
      </c>
      <c r="BD117" s="19">
        <f t="shared" si="81"/>
        <v>0</v>
      </c>
      <c r="BE117" s="19">
        <f t="shared" si="81"/>
        <v>0</v>
      </c>
      <c r="BF117" s="19">
        <f t="shared" si="81"/>
        <v>0</v>
      </c>
      <c r="BG117" s="19">
        <f t="shared" si="81"/>
        <v>0</v>
      </c>
      <c r="BH117" s="19">
        <f t="shared" si="81"/>
        <v>6.3256454210170894</v>
      </c>
      <c r="BI117" s="19">
        <f t="shared" si="81"/>
        <v>0</v>
      </c>
      <c r="BJ117" s="19">
        <f t="shared" si="81"/>
        <v>0</v>
      </c>
      <c r="BK117" s="19">
        <f t="shared" si="81"/>
        <v>0.72463768115942029</v>
      </c>
      <c r="BL117" s="19">
        <f t="shared" si="81"/>
        <v>36.131889252506362</v>
      </c>
      <c r="BM117" s="19">
        <f t="shared" si="81"/>
        <v>0</v>
      </c>
      <c r="BN117" s="19">
        <f t="shared" si="81"/>
        <v>2.8985507246376812</v>
      </c>
      <c r="BO117" s="19">
        <f t="shared" si="81"/>
        <v>0</v>
      </c>
      <c r="BP117" s="19">
        <f t="shared" si="81"/>
        <v>0</v>
      </c>
      <c r="BQ117" s="19">
        <f>SUM(AW117:BP117)</f>
        <v>100</v>
      </c>
    </row>
    <row r="118" spans="1:69" x14ac:dyDescent="0.35">
      <c r="A118" s="1" t="s">
        <v>61</v>
      </c>
      <c r="B118" s="1">
        <v>116</v>
      </c>
      <c r="C118" s="1" t="s">
        <v>183</v>
      </c>
      <c r="D118" s="1" t="s">
        <v>182</v>
      </c>
      <c r="E118" s="6" t="s">
        <v>21</v>
      </c>
      <c r="F118" s="4">
        <v>8</v>
      </c>
      <c r="G118" s="4">
        <v>0</v>
      </c>
      <c r="H118" s="4">
        <v>0</v>
      </c>
      <c r="I118" s="4">
        <v>0</v>
      </c>
      <c r="J118" s="4">
        <v>8</v>
      </c>
      <c r="K118" s="4">
        <v>8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1</v>
      </c>
      <c r="R118" s="4">
        <v>0</v>
      </c>
      <c r="S118" s="4">
        <v>0</v>
      </c>
      <c r="T118" s="4">
        <v>0</v>
      </c>
      <c r="U118" s="4">
        <v>11</v>
      </c>
      <c r="V118" s="4">
        <v>0</v>
      </c>
      <c r="W118" s="4">
        <v>0</v>
      </c>
      <c r="X118" s="4">
        <v>0</v>
      </c>
      <c r="Y118" s="4">
        <v>0</v>
      </c>
      <c r="Z118" s="15">
        <f t="shared" si="44"/>
        <v>36</v>
      </c>
      <c r="AB118" s="18">
        <f t="shared" si="45"/>
        <v>22.222222222222221</v>
      </c>
      <c r="AC118" s="18">
        <f t="shared" si="54"/>
        <v>0</v>
      </c>
      <c r="AD118" s="18">
        <f t="shared" si="55"/>
        <v>0</v>
      </c>
      <c r="AE118" s="18">
        <f t="shared" si="56"/>
        <v>0</v>
      </c>
      <c r="AF118" s="18">
        <f t="shared" si="57"/>
        <v>22.222222222222221</v>
      </c>
      <c r="AG118" s="18">
        <f t="shared" si="58"/>
        <v>22.222222222222221</v>
      </c>
      <c r="AH118" s="18">
        <f t="shared" si="59"/>
        <v>0</v>
      </c>
      <c r="AI118" s="18">
        <f t="shared" si="60"/>
        <v>0</v>
      </c>
      <c r="AJ118" s="18">
        <f t="shared" si="61"/>
        <v>0</v>
      </c>
      <c r="AK118" s="18">
        <f t="shared" si="62"/>
        <v>0</v>
      </c>
      <c r="AL118" s="18">
        <f t="shared" si="63"/>
        <v>0</v>
      </c>
      <c r="AM118" s="18">
        <f t="shared" si="64"/>
        <v>2.7777777777777777</v>
      </c>
      <c r="AN118" s="18">
        <f t="shared" si="65"/>
        <v>0</v>
      </c>
      <c r="AO118" s="18">
        <f t="shared" si="66"/>
        <v>0</v>
      </c>
      <c r="AP118" s="18">
        <f t="shared" si="67"/>
        <v>0</v>
      </c>
      <c r="AQ118" s="18">
        <f t="shared" si="68"/>
        <v>30.555555555555557</v>
      </c>
      <c r="AR118" s="18">
        <f t="shared" si="50"/>
        <v>0</v>
      </c>
      <c r="AS118" s="18">
        <f t="shared" si="51"/>
        <v>0</v>
      </c>
      <c r="AT118" s="18">
        <f t="shared" si="52"/>
        <v>0</v>
      </c>
      <c r="AU118" s="18">
        <f t="shared" si="53"/>
        <v>0</v>
      </c>
    </row>
    <row r="119" spans="1:69" x14ac:dyDescent="0.35">
      <c r="A119" s="1" t="s">
        <v>61</v>
      </c>
      <c r="B119" s="1">
        <v>117</v>
      </c>
      <c r="C119" s="1" t="s">
        <v>184</v>
      </c>
      <c r="D119" s="1" t="s">
        <v>182</v>
      </c>
      <c r="E119" s="6" t="s">
        <v>21</v>
      </c>
      <c r="F119" s="4">
        <v>7</v>
      </c>
      <c r="G119" s="4">
        <v>2</v>
      </c>
      <c r="H119" s="4">
        <v>0</v>
      </c>
      <c r="I119" s="4">
        <v>0</v>
      </c>
      <c r="J119" s="4">
        <v>4</v>
      </c>
      <c r="K119" s="4">
        <v>7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3</v>
      </c>
      <c r="R119" s="4">
        <v>0</v>
      </c>
      <c r="S119" s="4">
        <v>0</v>
      </c>
      <c r="T119" s="4">
        <v>1</v>
      </c>
      <c r="U119" s="4">
        <v>18</v>
      </c>
      <c r="V119" s="4">
        <v>0</v>
      </c>
      <c r="W119" s="4">
        <v>4</v>
      </c>
      <c r="X119" s="4">
        <v>0</v>
      </c>
      <c r="Y119" s="4">
        <v>0</v>
      </c>
      <c r="Z119" s="15">
        <f t="shared" si="44"/>
        <v>46</v>
      </c>
      <c r="AB119" s="18">
        <f t="shared" si="45"/>
        <v>15.217391304347828</v>
      </c>
      <c r="AC119" s="18">
        <f t="shared" si="54"/>
        <v>4.3478260869565215</v>
      </c>
      <c r="AD119" s="18">
        <f t="shared" si="55"/>
        <v>0</v>
      </c>
      <c r="AE119" s="18">
        <f t="shared" si="56"/>
        <v>0</v>
      </c>
      <c r="AF119" s="18">
        <f t="shared" si="57"/>
        <v>8.695652173913043</v>
      </c>
      <c r="AG119" s="18">
        <f t="shared" si="58"/>
        <v>15.217391304347828</v>
      </c>
      <c r="AH119" s="18">
        <f t="shared" si="59"/>
        <v>0</v>
      </c>
      <c r="AI119" s="18">
        <f t="shared" si="60"/>
        <v>0</v>
      </c>
      <c r="AJ119" s="18">
        <f t="shared" si="61"/>
        <v>0</v>
      </c>
      <c r="AK119" s="18">
        <f t="shared" si="62"/>
        <v>0</v>
      </c>
      <c r="AL119" s="18">
        <f t="shared" si="63"/>
        <v>0</v>
      </c>
      <c r="AM119" s="18">
        <f t="shared" si="64"/>
        <v>6.5217391304347823</v>
      </c>
      <c r="AN119" s="18">
        <f t="shared" si="65"/>
        <v>0</v>
      </c>
      <c r="AO119" s="18">
        <f t="shared" si="66"/>
        <v>0</v>
      </c>
      <c r="AP119" s="18">
        <f t="shared" si="67"/>
        <v>2.1739130434782608</v>
      </c>
      <c r="AQ119" s="18">
        <f t="shared" si="68"/>
        <v>39.130434782608695</v>
      </c>
      <c r="AR119" s="18">
        <f t="shared" si="50"/>
        <v>0</v>
      </c>
      <c r="AS119" s="18">
        <f t="shared" si="51"/>
        <v>8.695652173913043</v>
      </c>
      <c r="AT119" s="18">
        <f t="shared" si="52"/>
        <v>0</v>
      </c>
      <c r="AU119" s="18">
        <f t="shared" si="53"/>
        <v>0</v>
      </c>
    </row>
    <row r="120" spans="1:69" x14ac:dyDescent="0.35">
      <c r="A120" s="1" t="s">
        <v>61</v>
      </c>
      <c r="B120" s="1">
        <v>118</v>
      </c>
      <c r="C120" s="1" t="s">
        <v>185</v>
      </c>
      <c r="D120" s="1" t="s">
        <v>186</v>
      </c>
      <c r="E120" s="6" t="s">
        <v>21</v>
      </c>
      <c r="F120" s="4">
        <v>5</v>
      </c>
      <c r="G120" s="4">
        <v>0</v>
      </c>
      <c r="H120" s="4">
        <v>0</v>
      </c>
      <c r="I120" s="4">
        <v>0</v>
      </c>
      <c r="J120" s="4">
        <v>12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3</v>
      </c>
      <c r="R120" s="4">
        <v>0</v>
      </c>
      <c r="S120" s="4">
        <v>0</v>
      </c>
      <c r="T120" s="4">
        <v>0</v>
      </c>
      <c r="U120" s="4">
        <v>12</v>
      </c>
      <c r="V120" s="4">
        <v>0</v>
      </c>
      <c r="W120" s="4">
        <v>0</v>
      </c>
      <c r="X120" s="4">
        <v>2</v>
      </c>
      <c r="Y120" s="4">
        <v>0</v>
      </c>
      <c r="Z120" s="15">
        <f t="shared" si="44"/>
        <v>34</v>
      </c>
      <c r="AB120" s="18">
        <f t="shared" si="45"/>
        <v>14.705882352941178</v>
      </c>
      <c r="AC120" s="18">
        <f t="shared" si="54"/>
        <v>0</v>
      </c>
      <c r="AD120" s="18">
        <f t="shared" si="55"/>
        <v>0</v>
      </c>
      <c r="AE120" s="18">
        <f t="shared" si="56"/>
        <v>0</v>
      </c>
      <c r="AF120" s="18">
        <f t="shared" si="57"/>
        <v>35.294117647058826</v>
      </c>
      <c r="AG120" s="18">
        <f t="shared" si="58"/>
        <v>0</v>
      </c>
      <c r="AH120" s="18">
        <f t="shared" si="59"/>
        <v>0</v>
      </c>
      <c r="AI120" s="18">
        <f t="shared" si="60"/>
        <v>0</v>
      </c>
      <c r="AJ120" s="18">
        <f t="shared" si="61"/>
        <v>0</v>
      </c>
      <c r="AK120" s="18">
        <f t="shared" si="62"/>
        <v>0</v>
      </c>
      <c r="AL120" s="18">
        <f t="shared" si="63"/>
        <v>0</v>
      </c>
      <c r="AM120" s="18">
        <f t="shared" si="64"/>
        <v>8.8235294117647065</v>
      </c>
      <c r="AN120" s="18">
        <f t="shared" si="65"/>
        <v>0</v>
      </c>
      <c r="AO120" s="18">
        <f t="shared" si="66"/>
        <v>0</v>
      </c>
      <c r="AP120" s="18">
        <f t="shared" si="67"/>
        <v>0</v>
      </c>
      <c r="AQ120" s="18">
        <f t="shared" si="68"/>
        <v>35.294117647058826</v>
      </c>
      <c r="AR120" s="18">
        <f t="shared" si="50"/>
        <v>0</v>
      </c>
      <c r="AS120" s="18">
        <f t="shared" si="51"/>
        <v>0</v>
      </c>
      <c r="AT120" s="18">
        <f t="shared" si="52"/>
        <v>5.8823529411764701</v>
      </c>
      <c r="AU120" s="18">
        <f t="shared" si="53"/>
        <v>0</v>
      </c>
      <c r="AW120" s="19">
        <f>AVERAGE(AB120:AB122)</f>
        <v>21.895424836601308</v>
      </c>
      <c r="AX120" s="19">
        <f t="shared" ref="AX120:BP120" si="82">AVERAGE(AC120:AC122)</f>
        <v>0</v>
      </c>
      <c r="AY120" s="19">
        <f t="shared" si="82"/>
        <v>0</v>
      </c>
      <c r="AZ120" s="19">
        <f t="shared" si="82"/>
        <v>0</v>
      </c>
      <c r="BA120" s="19">
        <f t="shared" si="82"/>
        <v>17.683369644153956</v>
      </c>
      <c r="BB120" s="19">
        <f t="shared" si="82"/>
        <v>13.253449527959331</v>
      </c>
      <c r="BC120" s="19">
        <f t="shared" si="82"/>
        <v>0</v>
      </c>
      <c r="BD120" s="19">
        <f t="shared" si="82"/>
        <v>0</v>
      </c>
      <c r="BE120" s="19">
        <f t="shared" si="82"/>
        <v>0</v>
      </c>
      <c r="BF120" s="19">
        <f t="shared" si="82"/>
        <v>0</v>
      </c>
      <c r="BG120" s="19">
        <f t="shared" si="82"/>
        <v>0</v>
      </c>
      <c r="BH120" s="19">
        <f t="shared" si="82"/>
        <v>7.8431372549019613</v>
      </c>
      <c r="BI120" s="19">
        <f t="shared" si="82"/>
        <v>0</v>
      </c>
      <c r="BJ120" s="19">
        <f t="shared" si="82"/>
        <v>0</v>
      </c>
      <c r="BK120" s="19">
        <f t="shared" si="82"/>
        <v>0</v>
      </c>
      <c r="BL120" s="19">
        <f t="shared" si="82"/>
        <v>36.383442265795203</v>
      </c>
      <c r="BM120" s="19">
        <f t="shared" si="82"/>
        <v>0</v>
      </c>
      <c r="BN120" s="19">
        <f t="shared" si="82"/>
        <v>0</v>
      </c>
      <c r="BO120" s="19">
        <f t="shared" si="82"/>
        <v>2.9411764705882351</v>
      </c>
      <c r="BP120" s="19">
        <f t="shared" si="82"/>
        <v>0</v>
      </c>
      <c r="BQ120" s="19">
        <f>SUM(AW120:BP120)</f>
        <v>100</v>
      </c>
    </row>
    <row r="121" spans="1:69" x14ac:dyDescent="0.35">
      <c r="A121" s="1" t="s">
        <v>61</v>
      </c>
      <c r="B121" s="1">
        <v>119</v>
      </c>
      <c r="C121" s="1" t="s">
        <v>187</v>
      </c>
      <c r="D121" s="1" t="s">
        <v>186</v>
      </c>
      <c r="E121" s="6" t="s">
        <v>21</v>
      </c>
      <c r="F121" s="4">
        <v>9</v>
      </c>
      <c r="G121" s="4">
        <v>0</v>
      </c>
      <c r="H121" s="4">
        <v>0</v>
      </c>
      <c r="I121" s="4">
        <v>0</v>
      </c>
      <c r="J121" s="4">
        <v>4</v>
      </c>
      <c r="K121" s="4">
        <v>2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12</v>
      </c>
      <c r="V121" s="4">
        <v>0</v>
      </c>
      <c r="W121" s="4">
        <v>0</v>
      </c>
      <c r="X121" s="4">
        <v>0</v>
      </c>
      <c r="Y121" s="4">
        <v>0</v>
      </c>
      <c r="Z121" s="15">
        <f t="shared" si="44"/>
        <v>27</v>
      </c>
      <c r="AB121" s="18">
        <f t="shared" si="45"/>
        <v>33.333333333333329</v>
      </c>
      <c r="AC121" s="18">
        <f t="shared" si="54"/>
        <v>0</v>
      </c>
      <c r="AD121" s="18">
        <f t="shared" si="55"/>
        <v>0</v>
      </c>
      <c r="AE121" s="18">
        <f t="shared" si="56"/>
        <v>0</v>
      </c>
      <c r="AF121" s="18">
        <f t="shared" si="57"/>
        <v>14.814814814814813</v>
      </c>
      <c r="AG121" s="18">
        <f t="shared" si="58"/>
        <v>7.4074074074074066</v>
      </c>
      <c r="AH121" s="18">
        <f t="shared" si="59"/>
        <v>0</v>
      </c>
      <c r="AI121" s="18">
        <f t="shared" si="60"/>
        <v>0</v>
      </c>
      <c r="AJ121" s="18">
        <f t="shared" si="61"/>
        <v>0</v>
      </c>
      <c r="AK121" s="18">
        <f t="shared" si="62"/>
        <v>0</v>
      </c>
      <c r="AL121" s="18">
        <f t="shared" si="63"/>
        <v>0</v>
      </c>
      <c r="AM121" s="18">
        <f t="shared" si="64"/>
        <v>0</v>
      </c>
      <c r="AN121" s="18">
        <f t="shared" si="65"/>
        <v>0</v>
      </c>
      <c r="AO121" s="18">
        <f t="shared" si="66"/>
        <v>0</v>
      </c>
      <c r="AP121" s="18">
        <f t="shared" si="67"/>
        <v>0</v>
      </c>
      <c r="AQ121" s="18">
        <f t="shared" si="68"/>
        <v>44.444444444444443</v>
      </c>
      <c r="AR121" s="18">
        <f t="shared" si="50"/>
        <v>0</v>
      </c>
      <c r="AS121" s="18">
        <f t="shared" si="51"/>
        <v>0</v>
      </c>
      <c r="AT121" s="18">
        <f t="shared" si="52"/>
        <v>0</v>
      </c>
      <c r="AU121" s="18">
        <f t="shared" si="53"/>
        <v>0</v>
      </c>
    </row>
    <row r="122" spans="1:69" x14ac:dyDescent="0.35">
      <c r="A122" s="1" t="s">
        <v>61</v>
      </c>
      <c r="B122" s="1">
        <v>120</v>
      </c>
      <c r="C122" s="1" t="s">
        <v>188</v>
      </c>
      <c r="D122" s="1" t="s">
        <v>186</v>
      </c>
      <c r="E122" s="6" t="s">
        <v>21</v>
      </c>
      <c r="F122" s="4">
        <v>6</v>
      </c>
      <c r="G122" s="4">
        <v>0</v>
      </c>
      <c r="H122" s="4">
        <v>0</v>
      </c>
      <c r="I122" s="4">
        <v>0</v>
      </c>
      <c r="J122" s="4">
        <v>1</v>
      </c>
      <c r="K122" s="4">
        <v>11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5</v>
      </c>
      <c r="R122" s="4">
        <v>0</v>
      </c>
      <c r="S122" s="4">
        <v>0</v>
      </c>
      <c r="T122" s="4">
        <v>0</v>
      </c>
      <c r="U122" s="4">
        <v>10</v>
      </c>
      <c r="V122" s="4">
        <v>0</v>
      </c>
      <c r="W122" s="4">
        <v>0</v>
      </c>
      <c r="X122" s="4">
        <v>1</v>
      </c>
      <c r="Y122" s="4">
        <v>0</v>
      </c>
      <c r="Z122" s="15">
        <f t="shared" si="44"/>
        <v>34</v>
      </c>
      <c r="AB122" s="18">
        <f t="shared" si="45"/>
        <v>17.647058823529413</v>
      </c>
      <c r="AC122" s="18">
        <f t="shared" si="54"/>
        <v>0</v>
      </c>
      <c r="AD122" s="18">
        <f t="shared" si="55"/>
        <v>0</v>
      </c>
      <c r="AE122" s="18">
        <f t="shared" si="56"/>
        <v>0</v>
      </c>
      <c r="AF122" s="18">
        <f t="shared" si="57"/>
        <v>2.9411764705882351</v>
      </c>
      <c r="AG122" s="18">
        <f t="shared" si="58"/>
        <v>32.352941176470587</v>
      </c>
      <c r="AH122" s="18">
        <f t="shared" si="59"/>
        <v>0</v>
      </c>
      <c r="AI122" s="18">
        <f t="shared" si="60"/>
        <v>0</v>
      </c>
      <c r="AJ122" s="18">
        <f t="shared" si="61"/>
        <v>0</v>
      </c>
      <c r="AK122" s="18">
        <f t="shared" si="62"/>
        <v>0</v>
      </c>
      <c r="AL122" s="18">
        <f t="shared" si="63"/>
        <v>0</v>
      </c>
      <c r="AM122" s="18">
        <f t="shared" si="64"/>
        <v>14.705882352941178</v>
      </c>
      <c r="AN122" s="18">
        <f t="shared" si="65"/>
        <v>0</v>
      </c>
      <c r="AO122" s="18">
        <f t="shared" si="66"/>
        <v>0</v>
      </c>
      <c r="AP122" s="18">
        <f t="shared" si="67"/>
        <v>0</v>
      </c>
      <c r="AQ122" s="18">
        <f t="shared" si="68"/>
        <v>29.411764705882355</v>
      </c>
      <c r="AR122" s="18">
        <f t="shared" si="50"/>
        <v>0</v>
      </c>
      <c r="AS122" s="18">
        <f t="shared" si="51"/>
        <v>0</v>
      </c>
      <c r="AT122" s="18">
        <f t="shared" si="52"/>
        <v>2.9411764705882351</v>
      </c>
      <c r="AU122" s="18">
        <f t="shared" si="53"/>
        <v>0</v>
      </c>
    </row>
    <row r="123" spans="1:69" x14ac:dyDescent="0.35">
      <c r="A123" s="1" t="s">
        <v>91</v>
      </c>
      <c r="B123" s="1">
        <v>121</v>
      </c>
      <c r="C123" s="1" t="s">
        <v>189</v>
      </c>
      <c r="D123" s="1" t="s">
        <v>190</v>
      </c>
      <c r="E123" s="6" t="s">
        <v>21</v>
      </c>
      <c r="F123" s="4">
        <v>15</v>
      </c>
      <c r="G123" s="4">
        <v>0</v>
      </c>
      <c r="H123" s="4">
        <v>0</v>
      </c>
      <c r="I123" s="4">
        <v>0</v>
      </c>
      <c r="J123" s="4">
        <v>2</v>
      </c>
      <c r="K123" s="4">
        <v>0</v>
      </c>
      <c r="L123" s="4">
        <v>1</v>
      </c>
      <c r="M123" s="4">
        <v>0</v>
      </c>
      <c r="N123" s="4">
        <v>0</v>
      </c>
      <c r="O123" s="4">
        <v>0</v>
      </c>
      <c r="P123" s="4">
        <v>4</v>
      </c>
      <c r="Q123" s="4">
        <v>0</v>
      </c>
      <c r="R123" s="4">
        <v>0</v>
      </c>
      <c r="S123" s="4">
        <v>0</v>
      </c>
      <c r="T123" s="4">
        <v>0</v>
      </c>
      <c r="U123" s="4">
        <v>9</v>
      </c>
      <c r="V123" s="4">
        <v>0</v>
      </c>
      <c r="W123" s="4">
        <v>4</v>
      </c>
      <c r="X123" s="4">
        <v>0</v>
      </c>
      <c r="Y123" s="4">
        <v>0</v>
      </c>
      <c r="Z123" s="15">
        <f t="shared" si="44"/>
        <v>35</v>
      </c>
      <c r="AB123" s="18">
        <f t="shared" si="45"/>
        <v>42.857142857142854</v>
      </c>
      <c r="AC123" s="18">
        <f t="shared" si="54"/>
        <v>0</v>
      </c>
      <c r="AD123" s="18">
        <f t="shared" si="55"/>
        <v>0</v>
      </c>
      <c r="AE123" s="18">
        <f t="shared" si="56"/>
        <v>0</v>
      </c>
      <c r="AF123" s="18">
        <f t="shared" si="57"/>
        <v>5.7142857142857144</v>
      </c>
      <c r="AG123" s="18">
        <f t="shared" si="58"/>
        <v>0</v>
      </c>
      <c r="AH123" s="18">
        <f t="shared" si="59"/>
        <v>2.8571428571428572</v>
      </c>
      <c r="AI123" s="18">
        <f t="shared" si="60"/>
        <v>0</v>
      </c>
      <c r="AJ123" s="18">
        <f t="shared" si="61"/>
        <v>0</v>
      </c>
      <c r="AK123" s="18">
        <f t="shared" si="62"/>
        <v>0</v>
      </c>
      <c r="AL123" s="18">
        <f t="shared" si="63"/>
        <v>11.428571428571429</v>
      </c>
      <c r="AM123" s="18">
        <f t="shared" si="64"/>
        <v>0</v>
      </c>
      <c r="AN123" s="18">
        <f t="shared" si="65"/>
        <v>0</v>
      </c>
      <c r="AO123" s="18">
        <f t="shared" si="66"/>
        <v>0</v>
      </c>
      <c r="AP123" s="18">
        <f t="shared" si="67"/>
        <v>0</v>
      </c>
      <c r="AQ123" s="18">
        <f t="shared" si="68"/>
        <v>25.714285714285712</v>
      </c>
      <c r="AR123" s="18">
        <f t="shared" si="50"/>
        <v>0</v>
      </c>
      <c r="AS123" s="18">
        <f t="shared" si="51"/>
        <v>11.428571428571429</v>
      </c>
      <c r="AT123" s="18">
        <f t="shared" si="52"/>
        <v>0</v>
      </c>
      <c r="AU123" s="18">
        <f t="shared" si="53"/>
        <v>0</v>
      </c>
      <c r="AW123" s="19">
        <f>AVERAGE(AB123:AB125)</f>
        <v>43.015873015873012</v>
      </c>
      <c r="AX123" s="19">
        <f t="shared" ref="AX123:BP123" si="83">AVERAGE(AC123:AC125)</f>
        <v>0</v>
      </c>
      <c r="AY123" s="19">
        <f t="shared" si="83"/>
        <v>0</v>
      </c>
      <c r="AZ123" s="19">
        <f t="shared" si="83"/>
        <v>0</v>
      </c>
      <c r="BA123" s="19">
        <f t="shared" si="83"/>
        <v>8.8095238095238084</v>
      </c>
      <c r="BB123" s="19">
        <f t="shared" si="83"/>
        <v>0</v>
      </c>
      <c r="BC123" s="19">
        <f t="shared" si="83"/>
        <v>3.1746031746031744</v>
      </c>
      <c r="BD123" s="19">
        <f t="shared" si="83"/>
        <v>0</v>
      </c>
      <c r="BE123" s="19">
        <f t="shared" si="83"/>
        <v>0</v>
      </c>
      <c r="BF123" s="19">
        <f t="shared" si="83"/>
        <v>0</v>
      </c>
      <c r="BG123" s="19">
        <f t="shared" si="83"/>
        <v>7.3809523809523805</v>
      </c>
      <c r="BH123" s="19">
        <f t="shared" si="83"/>
        <v>0</v>
      </c>
      <c r="BI123" s="19">
        <f t="shared" si="83"/>
        <v>0</v>
      </c>
      <c r="BJ123" s="19">
        <f t="shared" si="83"/>
        <v>1.1111111111111112</v>
      </c>
      <c r="BK123" s="19">
        <f t="shared" si="83"/>
        <v>0</v>
      </c>
      <c r="BL123" s="19">
        <f t="shared" si="83"/>
        <v>22.222222222222225</v>
      </c>
      <c r="BM123" s="19">
        <f t="shared" si="83"/>
        <v>0</v>
      </c>
      <c r="BN123" s="19">
        <f t="shared" si="83"/>
        <v>12.063492063492063</v>
      </c>
      <c r="BO123" s="19">
        <f t="shared" si="83"/>
        <v>1.1111111111111112</v>
      </c>
      <c r="BP123" s="19">
        <f t="shared" si="83"/>
        <v>1.1111111111111112</v>
      </c>
      <c r="BQ123" s="19">
        <f>SUM(AW123:BP123)</f>
        <v>100.00000000000001</v>
      </c>
    </row>
    <row r="124" spans="1:69" x14ac:dyDescent="0.35">
      <c r="A124" s="1" t="s">
        <v>91</v>
      </c>
      <c r="B124" s="1">
        <v>122</v>
      </c>
      <c r="C124" s="1" t="s">
        <v>191</v>
      </c>
      <c r="D124" s="1" t="s">
        <v>190</v>
      </c>
      <c r="E124" s="6" t="s">
        <v>21</v>
      </c>
      <c r="F124" s="4">
        <v>12</v>
      </c>
      <c r="G124" s="4">
        <v>0</v>
      </c>
      <c r="H124" s="4">
        <v>0</v>
      </c>
      <c r="I124" s="4">
        <v>0</v>
      </c>
      <c r="J124" s="4">
        <v>3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3</v>
      </c>
      <c r="Q124" s="4">
        <v>0</v>
      </c>
      <c r="R124" s="4">
        <v>0</v>
      </c>
      <c r="S124" s="4">
        <v>0</v>
      </c>
      <c r="T124" s="4">
        <v>0</v>
      </c>
      <c r="U124" s="4">
        <v>4</v>
      </c>
      <c r="V124" s="4">
        <v>0</v>
      </c>
      <c r="W124" s="4">
        <v>6</v>
      </c>
      <c r="X124" s="4">
        <v>0</v>
      </c>
      <c r="Y124" s="4">
        <v>0</v>
      </c>
      <c r="Z124" s="15">
        <f t="shared" si="44"/>
        <v>28</v>
      </c>
      <c r="AB124" s="18">
        <f t="shared" si="45"/>
        <v>42.857142857142854</v>
      </c>
      <c r="AC124" s="18">
        <f t="shared" si="54"/>
        <v>0</v>
      </c>
      <c r="AD124" s="18">
        <f t="shared" si="55"/>
        <v>0</v>
      </c>
      <c r="AE124" s="18">
        <f t="shared" si="56"/>
        <v>0</v>
      </c>
      <c r="AF124" s="18">
        <f t="shared" si="57"/>
        <v>10.714285714285714</v>
      </c>
      <c r="AG124" s="18">
        <f t="shared" si="58"/>
        <v>0</v>
      </c>
      <c r="AH124" s="18">
        <f t="shared" si="59"/>
        <v>0</v>
      </c>
      <c r="AI124" s="18">
        <f t="shared" si="60"/>
        <v>0</v>
      </c>
      <c r="AJ124" s="18">
        <f t="shared" si="61"/>
        <v>0</v>
      </c>
      <c r="AK124" s="18">
        <f t="shared" si="62"/>
        <v>0</v>
      </c>
      <c r="AL124" s="18">
        <f t="shared" si="63"/>
        <v>10.714285714285714</v>
      </c>
      <c r="AM124" s="18">
        <f t="shared" si="64"/>
        <v>0</v>
      </c>
      <c r="AN124" s="18">
        <f t="shared" si="65"/>
        <v>0</v>
      </c>
      <c r="AO124" s="18">
        <f t="shared" si="66"/>
        <v>0</v>
      </c>
      <c r="AP124" s="18">
        <f t="shared" si="67"/>
        <v>0</v>
      </c>
      <c r="AQ124" s="18">
        <f t="shared" si="68"/>
        <v>14.285714285714285</v>
      </c>
      <c r="AR124" s="18">
        <f t="shared" si="50"/>
        <v>0</v>
      </c>
      <c r="AS124" s="18">
        <f t="shared" si="51"/>
        <v>21.428571428571427</v>
      </c>
      <c r="AT124" s="18">
        <f t="shared" si="52"/>
        <v>0</v>
      </c>
      <c r="AU124" s="18">
        <f t="shared" si="53"/>
        <v>0</v>
      </c>
    </row>
    <row r="125" spans="1:69" x14ac:dyDescent="0.35">
      <c r="A125" s="1" t="s">
        <v>91</v>
      </c>
      <c r="B125" s="1">
        <v>123</v>
      </c>
      <c r="C125" s="1" t="s">
        <v>192</v>
      </c>
      <c r="D125" s="1" t="s">
        <v>190</v>
      </c>
      <c r="E125" s="6" t="s">
        <v>21</v>
      </c>
      <c r="F125" s="4">
        <v>13</v>
      </c>
      <c r="G125" s="4">
        <v>0</v>
      </c>
      <c r="H125" s="4">
        <v>0</v>
      </c>
      <c r="I125" s="4">
        <v>0</v>
      </c>
      <c r="J125" s="4">
        <v>3</v>
      </c>
      <c r="K125" s="4">
        <v>0</v>
      </c>
      <c r="L125" s="4">
        <v>2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1</v>
      </c>
      <c r="T125" s="4">
        <v>0</v>
      </c>
      <c r="U125" s="4">
        <v>8</v>
      </c>
      <c r="V125" s="4">
        <v>0</v>
      </c>
      <c r="W125" s="4">
        <v>1</v>
      </c>
      <c r="X125" s="4">
        <v>1</v>
      </c>
      <c r="Y125" s="4">
        <v>1</v>
      </c>
      <c r="Z125" s="15">
        <f t="shared" si="44"/>
        <v>30</v>
      </c>
      <c r="AB125" s="18">
        <f t="shared" si="45"/>
        <v>43.333333333333336</v>
      </c>
      <c r="AC125" s="18">
        <f t="shared" si="54"/>
        <v>0</v>
      </c>
      <c r="AD125" s="18">
        <f t="shared" si="55"/>
        <v>0</v>
      </c>
      <c r="AE125" s="18">
        <f t="shared" si="56"/>
        <v>0</v>
      </c>
      <c r="AF125" s="18">
        <f t="shared" si="57"/>
        <v>10</v>
      </c>
      <c r="AG125" s="18">
        <f t="shared" si="58"/>
        <v>0</v>
      </c>
      <c r="AH125" s="18">
        <f t="shared" si="59"/>
        <v>6.666666666666667</v>
      </c>
      <c r="AI125" s="18">
        <f t="shared" si="60"/>
        <v>0</v>
      </c>
      <c r="AJ125" s="18">
        <f t="shared" si="61"/>
        <v>0</v>
      </c>
      <c r="AK125" s="18">
        <f t="shared" si="62"/>
        <v>0</v>
      </c>
      <c r="AL125" s="18">
        <f t="shared" si="63"/>
        <v>0</v>
      </c>
      <c r="AM125" s="18">
        <f t="shared" si="64"/>
        <v>0</v>
      </c>
      <c r="AN125" s="18">
        <f t="shared" si="65"/>
        <v>0</v>
      </c>
      <c r="AO125" s="18">
        <f t="shared" si="66"/>
        <v>3.3333333333333335</v>
      </c>
      <c r="AP125" s="18">
        <f t="shared" si="67"/>
        <v>0</v>
      </c>
      <c r="AQ125" s="18">
        <f t="shared" si="68"/>
        <v>26.666666666666668</v>
      </c>
      <c r="AR125" s="18">
        <f t="shared" si="50"/>
        <v>0</v>
      </c>
      <c r="AS125" s="18">
        <f t="shared" si="51"/>
        <v>3.3333333333333335</v>
      </c>
      <c r="AT125" s="18">
        <f t="shared" si="52"/>
        <v>3.3333333333333335</v>
      </c>
      <c r="AU125" s="18">
        <f t="shared" si="53"/>
        <v>3.3333333333333335</v>
      </c>
    </row>
    <row r="126" spans="1:69" x14ac:dyDescent="0.35">
      <c r="A126" s="1" t="s">
        <v>56</v>
      </c>
      <c r="B126" s="1">
        <v>124</v>
      </c>
      <c r="C126" s="1" t="s">
        <v>193</v>
      </c>
      <c r="D126" s="1" t="s">
        <v>194</v>
      </c>
      <c r="E126" s="6" t="s">
        <v>21</v>
      </c>
      <c r="F126" s="4">
        <v>27</v>
      </c>
      <c r="G126" s="4">
        <v>0</v>
      </c>
      <c r="H126" s="4">
        <v>0</v>
      </c>
      <c r="I126" s="4">
        <v>0</v>
      </c>
      <c r="J126" s="4">
        <v>0</v>
      </c>
      <c r="K126" s="4">
        <v>4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1</v>
      </c>
      <c r="V126" s="4">
        <v>0</v>
      </c>
      <c r="W126" s="4">
        <v>0</v>
      </c>
      <c r="X126" s="4">
        <v>0</v>
      </c>
      <c r="Y126" s="4">
        <v>0</v>
      </c>
      <c r="Z126" s="15">
        <f t="shared" si="44"/>
        <v>32</v>
      </c>
      <c r="AB126" s="18">
        <f t="shared" si="45"/>
        <v>84.375</v>
      </c>
      <c r="AC126" s="18">
        <f t="shared" si="54"/>
        <v>0</v>
      </c>
      <c r="AD126" s="18">
        <f t="shared" si="55"/>
        <v>0</v>
      </c>
      <c r="AE126" s="18">
        <f t="shared" si="56"/>
        <v>0</v>
      </c>
      <c r="AF126" s="18">
        <f t="shared" si="57"/>
        <v>0</v>
      </c>
      <c r="AG126" s="18">
        <f t="shared" si="58"/>
        <v>12.5</v>
      </c>
      <c r="AH126" s="18">
        <f t="shared" si="59"/>
        <v>0</v>
      </c>
      <c r="AI126" s="18">
        <f t="shared" si="60"/>
        <v>0</v>
      </c>
      <c r="AJ126" s="18">
        <f t="shared" si="61"/>
        <v>0</v>
      </c>
      <c r="AK126" s="18">
        <f t="shared" si="62"/>
        <v>0</v>
      </c>
      <c r="AL126" s="18">
        <f t="shared" si="63"/>
        <v>0</v>
      </c>
      <c r="AM126" s="18">
        <f t="shared" si="64"/>
        <v>0</v>
      </c>
      <c r="AN126" s="18">
        <f t="shared" si="65"/>
        <v>0</v>
      </c>
      <c r="AO126" s="18">
        <f t="shared" si="66"/>
        <v>0</v>
      </c>
      <c r="AP126" s="18">
        <f t="shared" si="67"/>
        <v>0</v>
      </c>
      <c r="AQ126" s="18">
        <f t="shared" si="68"/>
        <v>3.125</v>
      </c>
      <c r="AR126" s="18">
        <f t="shared" si="50"/>
        <v>0</v>
      </c>
      <c r="AS126" s="18">
        <f t="shared" si="51"/>
        <v>0</v>
      </c>
      <c r="AT126" s="18">
        <f t="shared" si="52"/>
        <v>0</v>
      </c>
      <c r="AU126" s="18">
        <f t="shared" si="53"/>
        <v>0</v>
      </c>
      <c r="AW126" s="19">
        <f>AVERAGE(AB126:AB128)</f>
        <v>80.169352044352038</v>
      </c>
      <c r="AX126" s="19">
        <f t="shared" ref="AX126:BP126" si="84">AVERAGE(AC126:AC128)</f>
        <v>0</v>
      </c>
      <c r="AY126" s="19">
        <f t="shared" si="84"/>
        <v>1.2820512820512822</v>
      </c>
      <c r="AZ126" s="19">
        <f t="shared" si="84"/>
        <v>0</v>
      </c>
      <c r="BA126" s="19">
        <f t="shared" si="84"/>
        <v>0</v>
      </c>
      <c r="BB126" s="19">
        <f t="shared" si="84"/>
        <v>11.096673596673597</v>
      </c>
      <c r="BC126" s="19">
        <f t="shared" si="84"/>
        <v>1.2820512820512822</v>
      </c>
      <c r="BD126" s="19">
        <f t="shared" si="84"/>
        <v>0</v>
      </c>
      <c r="BE126" s="19">
        <f t="shared" si="84"/>
        <v>0</v>
      </c>
      <c r="BF126" s="19">
        <f t="shared" si="84"/>
        <v>0</v>
      </c>
      <c r="BG126" s="19">
        <f t="shared" si="84"/>
        <v>1.2820512820512822</v>
      </c>
      <c r="BH126" s="19">
        <f t="shared" si="84"/>
        <v>0</v>
      </c>
      <c r="BI126" s="19">
        <f t="shared" si="84"/>
        <v>0</v>
      </c>
      <c r="BJ126" s="19">
        <f t="shared" si="84"/>
        <v>0</v>
      </c>
      <c r="BK126" s="19">
        <f t="shared" si="84"/>
        <v>1.2820512820512822</v>
      </c>
      <c r="BL126" s="19">
        <f t="shared" si="84"/>
        <v>1.0416666666666667</v>
      </c>
      <c r="BM126" s="19">
        <f t="shared" si="84"/>
        <v>0</v>
      </c>
      <c r="BN126" s="19">
        <f t="shared" si="84"/>
        <v>0</v>
      </c>
      <c r="BO126" s="19">
        <f t="shared" si="84"/>
        <v>2.5641025641025643</v>
      </c>
      <c r="BP126" s="19">
        <f t="shared" si="84"/>
        <v>0</v>
      </c>
      <c r="BQ126" s="19">
        <f>SUM(AW126:BP126)</f>
        <v>100.00000000000001</v>
      </c>
    </row>
    <row r="127" spans="1:69" x14ac:dyDescent="0.35">
      <c r="A127" s="1" t="s">
        <v>56</v>
      </c>
      <c r="B127" s="1">
        <v>125</v>
      </c>
      <c r="C127" s="1" t="s">
        <v>195</v>
      </c>
      <c r="D127" s="1" t="s">
        <v>194</v>
      </c>
      <c r="E127" s="6" t="s">
        <v>21</v>
      </c>
      <c r="F127" s="4">
        <v>35</v>
      </c>
      <c r="G127" s="4">
        <v>0</v>
      </c>
      <c r="H127" s="4">
        <v>0</v>
      </c>
      <c r="I127" s="4">
        <v>0</v>
      </c>
      <c r="J127" s="4">
        <v>0</v>
      </c>
      <c r="K127" s="4">
        <v>2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15">
        <f t="shared" si="44"/>
        <v>37</v>
      </c>
      <c r="AB127" s="18">
        <f t="shared" si="45"/>
        <v>94.594594594594597</v>
      </c>
      <c r="AC127" s="18">
        <f t="shared" si="54"/>
        <v>0</v>
      </c>
      <c r="AD127" s="18">
        <f t="shared" si="55"/>
        <v>0</v>
      </c>
      <c r="AE127" s="18">
        <f t="shared" si="56"/>
        <v>0</v>
      </c>
      <c r="AF127" s="18">
        <f t="shared" si="57"/>
        <v>0</v>
      </c>
      <c r="AG127" s="18">
        <f t="shared" si="58"/>
        <v>5.4054054054054053</v>
      </c>
      <c r="AH127" s="18">
        <f t="shared" si="59"/>
        <v>0</v>
      </c>
      <c r="AI127" s="18">
        <f t="shared" si="60"/>
        <v>0</v>
      </c>
      <c r="AJ127" s="18">
        <f t="shared" si="61"/>
        <v>0</v>
      </c>
      <c r="AK127" s="18">
        <f t="shared" si="62"/>
        <v>0</v>
      </c>
      <c r="AL127" s="18">
        <f t="shared" si="63"/>
        <v>0</v>
      </c>
      <c r="AM127" s="18">
        <f t="shared" si="64"/>
        <v>0</v>
      </c>
      <c r="AN127" s="18">
        <f t="shared" si="65"/>
        <v>0</v>
      </c>
      <c r="AO127" s="18">
        <f t="shared" si="66"/>
        <v>0</v>
      </c>
      <c r="AP127" s="18">
        <f t="shared" si="67"/>
        <v>0</v>
      </c>
      <c r="AQ127" s="18">
        <f t="shared" si="68"/>
        <v>0</v>
      </c>
      <c r="AR127" s="18">
        <f t="shared" si="50"/>
        <v>0</v>
      </c>
      <c r="AS127" s="18">
        <f t="shared" si="51"/>
        <v>0</v>
      </c>
      <c r="AT127" s="18">
        <f t="shared" si="52"/>
        <v>0</v>
      </c>
      <c r="AU127" s="18">
        <f t="shared" si="53"/>
        <v>0</v>
      </c>
    </row>
    <row r="128" spans="1:69" x14ac:dyDescent="0.35">
      <c r="A128" s="1" t="s">
        <v>56</v>
      </c>
      <c r="B128" s="1">
        <v>126</v>
      </c>
      <c r="C128" s="1" t="s">
        <v>196</v>
      </c>
      <c r="D128" s="1" t="s">
        <v>194</v>
      </c>
      <c r="E128" s="6" t="s">
        <v>21</v>
      </c>
      <c r="F128" s="4">
        <v>16</v>
      </c>
      <c r="G128" s="4">
        <v>0</v>
      </c>
      <c r="H128" s="4">
        <v>1</v>
      </c>
      <c r="I128" s="4">
        <v>0</v>
      </c>
      <c r="J128" s="4">
        <v>0</v>
      </c>
      <c r="K128" s="4">
        <v>4</v>
      </c>
      <c r="L128" s="4">
        <v>1</v>
      </c>
      <c r="M128" s="4">
        <v>0</v>
      </c>
      <c r="N128" s="4">
        <v>0</v>
      </c>
      <c r="O128" s="4">
        <v>0</v>
      </c>
      <c r="P128" s="4">
        <v>1</v>
      </c>
      <c r="Q128" s="4">
        <v>0</v>
      </c>
      <c r="R128" s="4">
        <v>0</v>
      </c>
      <c r="S128" s="4">
        <v>0</v>
      </c>
      <c r="T128" s="4">
        <v>1</v>
      </c>
      <c r="U128" s="4">
        <v>0</v>
      </c>
      <c r="V128" s="4">
        <v>0</v>
      </c>
      <c r="W128" s="4">
        <v>0</v>
      </c>
      <c r="X128" s="4">
        <v>2</v>
      </c>
      <c r="Y128" s="4">
        <v>0</v>
      </c>
      <c r="Z128" s="15">
        <f t="shared" si="44"/>
        <v>26</v>
      </c>
      <c r="AB128" s="18">
        <f t="shared" si="45"/>
        <v>61.53846153846154</v>
      </c>
      <c r="AC128" s="18">
        <f t="shared" si="54"/>
        <v>0</v>
      </c>
      <c r="AD128" s="18">
        <f t="shared" si="55"/>
        <v>3.8461538461538463</v>
      </c>
      <c r="AE128" s="18">
        <f t="shared" si="56"/>
        <v>0</v>
      </c>
      <c r="AF128" s="18">
        <f t="shared" si="57"/>
        <v>0</v>
      </c>
      <c r="AG128" s="18">
        <f t="shared" si="58"/>
        <v>15.384615384615385</v>
      </c>
      <c r="AH128" s="18">
        <f t="shared" si="59"/>
        <v>3.8461538461538463</v>
      </c>
      <c r="AI128" s="18">
        <f t="shared" si="60"/>
        <v>0</v>
      </c>
      <c r="AJ128" s="18">
        <f t="shared" si="61"/>
        <v>0</v>
      </c>
      <c r="AK128" s="18">
        <f t="shared" si="62"/>
        <v>0</v>
      </c>
      <c r="AL128" s="18">
        <f t="shared" si="63"/>
        <v>3.8461538461538463</v>
      </c>
      <c r="AM128" s="18">
        <f t="shared" si="64"/>
        <v>0</v>
      </c>
      <c r="AN128" s="18">
        <f t="shared" si="65"/>
        <v>0</v>
      </c>
      <c r="AO128" s="18">
        <f t="shared" si="66"/>
        <v>0</v>
      </c>
      <c r="AP128" s="18">
        <f t="shared" si="67"/>
        <v>3.8461538461538463</v>
      </c>
      <c r="AQ128" s="18">
        <f t="shared" si="68"/>
        <v>0</v>
      </c>
      <c r="AR128" s="18">
        <f t="shared" si="50"/>
        <v>0</v>
      </c>
      <c r="AS128" s="18">
        <f t="shared" si="51"/>
        <v>0</v>
      </c>
      <c r="AT128" s="18">
        <f t="shared" si="52"/>
        <v>7.6923076923076925</v>
      </c>
      <c r="AU128" s="18">
        <f t="shared" si="53"/>
        <v>0</v>
      </c>
    </row>
    <row r="129" spans="1:69" x14ac:dyDescent="0.35">
      <c r="A129" s="1" t="s">
        <v>18</v>
      </c>
      <c r="B129" s="1">
        <v>127</v>
      </c>
      <c r="C129" s="1" t="s">
        <v>197</v>
      </c>
      <c r="D129" s="1" t="s">
        <v>198</v>
      </c>
      <c r="E129" s="6" t="s">
        <v>21</v>
      </c>
      <c r="F129" s="4">
        <v>1</v>
      </c>
      <c r="G129" s="4">
        <v>0</v>
      </c>
      <c r="H129" s="4">
        <v>0</v>
      </c>
      <c r="I129" s="4">
        <v>0</v>
      </c>
      <c r="J129" s="4">
        <v>8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1</v>
      </c>
      <c r="U129" s="4">
        <v>23</v>
      </c>
      <c r="V129" s="4">
        <v>0</v>
      </c>
      <c r="W129" s="4">
        <v>0</v>
      </c>
      <c r="X129" s="4">
        <v>0</v>
      </c>
      <c r="Y129" s="4">
        <v>1</v>
      </c>
      <c r="Z129" s="15">
        <f t="shared" si="44"/>
        <v>34</v>
      </c>
      <c r="AB129" s="18">
        <f t="shared" si="45"/>
        <v>2.9411764705882351</v>
      </c>
      <c r="AC129" s="18">
        <f t="shared" si="54"/>
        <v>0</v>
      </c>
      <c r="AD129" s="18">
        <f t="shared" si="55"/>
        <v>0</v>
      </c>
      <c r="AE129" s="18">
        <f t="shared" si="56"/>
        <v>0</v>
      </c>
      <c r="AF129" s="18">
        <f t="shared" si="57"/>
        <v>23.52941176470588</v>
      </c>
      <c r="AG129" s="18">
        <f t="shared" si="58"/>
        <v>0</v>
      </c>
      <c r="AH129" s="18">
        <f t="shared" si="59"/>
        <v>0</v>
      </c>
      <c r="AI129" s="18">
        <f t="shared" si="60"/>
        <v>0</v>
      </c>
      <c r="AJ129" s="18">
        <f t="shared" si="61"/>
        <v>0</v>
      </c>
      <c r="AK129" s="18">
        <f t="shared" si="62"/>
        <v>0</v>
      </c>
      <c r="AL129" s="18">
        <f t="shared" si="63"/>
        <v>0</v>
      </c>
      <c r="AM129" s="18">
        <f t="shared" si="64"/>
        <v>0</v>
      </c>
      <c r="AN129" s="18">
        <f t="shared" si="65"/>
        <v>0</v>
      </c>
      <c r="AO129" s="18">
        <f t="shared" si="66"/>
        <v>0</v>
      </c>
      <c r="AP129" s="18">
        <f t="shared" si="67"/>
        <v>2.9411764705882351</v>
      </c>
      <c r="AQ129" s="18">
        <f t="shared" si="68"/>
        <v>67.64705882352942</v>
      </c>
      <c r="AR129" s="18">
        <f t="shared" si="50"/>
        <v>0</v>
      </c>
      <c r="AS129" s="18">
        <f t="shared" si="51"/>
        <v>0</v>
      </c>
      <c r="AT129" s="18">
        <f t="shared" si="52"/>
        <v>0</v>
      </c>
      <c r="AU129" s="18">
        <f t="shared" si="53"/>
        <v>2.9411764705882351</v>
      </c>
      <c r="AW129" s="19">
        <f>AVERAGE(AB129:AB131)</f>
        <v>4.3137254901960782</v>
      </c>
      <c r="AX129" s="19">
        <f t="shared" ref="AX129:BP129" si="85">AVERAGE(AC129:AC131)</f>
        <v>0</v>
      </c>
      <c r="AY129" s="19">
        <f t="shared" si="85"/>
        <v>0</v>
      </c>
      <c r="AZ129" s="19">
        <f t="shared" si="85"/>
        <v>0</v>
      </c>
      <c r="BA129" s="19">
        <f t="shared" si="85"/>
        <v>24.093137254901961</v>
      </c>
      <c r="BB129" s="19">
        <f t="shared" si="85"/>
        <v>0</v>
      </c>
      <c r="BC129" s="19">
        <f t="shared" si="85"/>
        <v>1.0416666666666667</v>
      </c>
      <c r="BD129" s="19">
        <f t="shared" si="85"/>
        <v>1.0416666666666667</v>
      </c>
      <c r="BE129" s="19">
        <f t="shared" si="85"/>
        <v>0</v>
      </c>
      <c r="BF129" s="19">
        <f t="shared" si="85"/>
        <v>0</v>
      </c>
      <c r="BG129" s="19">
        <f t="shared" si="85"/>
        <v>0</v>
      </c>
      <c r="BH129" s="19">
        <f t="shared" si="85"/>
        <v>0</v>
      </c>
      <c r="BI129" s="19">
        <f t="shared" si="85"/>
        <v>0</v>
      </c>
      <c r="BJ129" s="19">
        <f t="shared" si="85"/>
        <v>2.2222222222222223</v>
      </c>
      <c r="BK129" s="19">
        <f t="shared" si="85"/>
        <v>2.0915032679738563</v>
      </c>
      <c r="BL129" s="19">
        <f t="shared" si="85"/>
        <v>61.090686274509807</v>
      </c>
      <c r="BM129" s="19">
        <f t="shared" si="85"/>
        <v>0</v>
      </c>
      <c r="BN129" s="19">
        <f t="shared" si="85"/>
        <v>0</v>
      </c>
      <c r="BO129" s="19">
        <f t="shared" si="85"/>
        <v>0</v>
      </c>
      <c r="BP129" s="19">
        <f t="shared" si="85"/>
        <v>4.1053921568627452</v>
      </c>
      <c r="BQ129" s="19">
        <f>SUM(AW129:BP129)</f>
        <v>100.00000000000001</v>
      </c>
    </row>
    <row r="130" spans="1:69" x14ac:dyDescent="0.35">
      <c r="A130" s="1" t="s">
        <v>18</v>
      </c>
      <c r="B130" s="1">
        <v>128</v>
      </c>
      <c r="C130" s="1" t="s">
        <v>199</v>
      </c>
      <c r="D130" s="1" t="s">
        <v>198</v>
      </c>
      <c r="E130" s="6" t="s">
        <v>21</v>
      </c>
      <c r="F130" s="4">
        <v>0</v>
      </c>
      <c r="G130" s="4">
        <v>0</v>
      </c>
      <c r="H130" s="4">
        <v>0</v>
      </c>
      <c r="I130" s="4">
        <v>0</v>
      </c>
      <c r="J130" s="4">
        <v>6</v>
      </c>
      <c r="K130" s="4">
        <v>0</v>
      </c>
      <c r="L130" s="4">
        <v>1</v>
      </c>
      <c r="M130" s="4">
        <v>1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21</v>
      </c>
      <c r="V130" s="4">
        <v>0</v>
      </c>
      <c r="W130" s="4">
        <v>0</v>
      </c>
      <c r="X130" s="4">
        <v>0</v>
      </c>
      <c r="Y130" s="4">
        <v>3</v>
      </c>
      <c r="Z130" s="15">
        <f t="shared" si="44"/>
        <v>32</v>
      </c>
      <c r="AB130" s="18">
        <f t="shared" si="45"/>
        <v>0</v>
      </c>
      <c r="AC130" s="18">
        <f t="shared" si="54"/>
        <v>0</v>
      </c>
      <c r="AD130" s="18">
        <f t="shared" si="55"/>
        <v>0</v>
      </c>
      <c r="AE130" s="18">
        <f t="shared" si="56"/>
        <v>0</v>
      </c>
      <c r="AF130" s="18">
        <f t="shared" si="57"/>
        <v>18.75</v>
      </c>
      <c r="AG130" s="18">
        <f t="shared" si="58"/>
        <v>0</v>
      </c>
      <c r="AH130" s="18">
        <f t="shared" si="59"/>
        <v>3.125</v>
      </c>
      <c r="AI130" s="18">
        <f t="shared" si="60"/>
        <v>3.125</v>
      </c>
      <c r="AJ130" s="18">
        <f t="shared" si="61"/>
        <v>0</v>
      </c>
      <c r="AK130" s="18">
        <f t="shared" si="62"/>
        <v>0</v>
      </c>
      <c r="AL130" s="18">
        <f t="shared" si="63"/>
        <v>0</v>
      </c>
      <c r="AM130" s="18">
        <f t="shared" si="64"/>
        <v>0</v>
      </c>
      <c r="AN130" s="18">
        <f t="shared" si="65"/>
        <v>0</v>
      </c>
      <c r="AO130" s="18">
        <f t="shared" si="66"/>
        <v>0</v>
      </c>
      <c r="AP130" s="18">
        <f t="shared" si="67"/>
        <v>0</v>
      </c>
      <c r="AQ130" s="18">
        <f t="shared" si="68"/>
        <v>65.625</v>
      </c>
      <c r="AR130" s="18">
        <f t="shared" si="50"/>
        <v>0</v>
      </c>
      <c r="AS130" s="18">
        <f t="shared" si="51"/>
        <v>0</v>
      </c>
      <c r="AT130" s="18">
        <f t="shared" si="52"/>
        <v>0</v>
      </c>
      <c r="AU130" s="18">
        <f t="shared" si="53"/>
        <v>9.375</v>
      </c>
    </row>
    <row r="131" spans="1:69" x14ac:dyDescent="0.35">
      <c r="A131" s="1" t="s">
        <v>18</v>
      </c>
      <c r="B131" s="1">
        <v>129</v>
      </c>
      <c r="C131" s="1" t="s">
        <v>200</v>
      </c>
      <c r="D131" s="1" t="s">
        <v>198</v>
      </c>
      <c r="E131" s="6" t="s">
        <v>21</v>
      </c>
      <c r="F131" s="4">
        <v>3</v>
      </c>
      <c r="G131" s="4">
        <v>0</v>
      </c>
      <c r="H131" s="4">
        <v>0</v>
      </c>
      <c r="I131" s="4">
        <v>0</v>
      </c>
      <c r="J131" s="4">
        <v>9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2</v>
      </c>
      <c r="T131" s="4">
        <v>1</v>
      </c>
      <c r="U131" s="4">
        <v>15</v>
      </c>
      <c r="V131" s="4">
        <v>0</v>
      </c>
      <c r="W131" s="4">
        <v>0</v>
      </c>
      <c r="X131" s="4">
        <v>0</v>
      </c>
      <c r="Y131" s="4">
        <v>0</v>
      </c>
      <c r="Z131" s="15">
        <f t="shared" si="44"/>
        <v>30</v>
      </c>
      <c r="AB131" s="18">
        <f t="shared" si="45"/>
        <v>10</v>
      </c>
      <c r="AC131" s="18">
        <f t="shared" si="54"/>
        <v>0</v>
      </c>
      <c r="AD131" s="18">
        <f t="shared" si="55"/>
        <v>0</v>
      </c>
      <c r="AE131" s="18">
        <f t="shared" si="56"/>
        <v>0</v>
      </c>
      <c r="AF131" s="18">
        <f t="shared" si="57"/>
        <v>30</v>
      </c>
      <c r="AG131" s="18">
        <f t="shared" si="58"/>
        <v>0</v>
      </c>
      <c r="AH131" s="18">
        <f t="shared" si="59"/>
        <v>0</v>
      </c>
      <c r="AI131" s="18">
        <f t="shared" si="60"/>
        <v>0</v>
      </c>
      <c r="AJ131" s="18">
        <f t="shared" si="61"/>
        <v>0</v>
      </c>
      <c r="AK131" s="18">
        <f t="shared" si="62"/>
        <v>0</v>
      </c>
      <c r="AL131" s="18">
        <f t="shared" si="63"/>
        <v>0</v>
      </c>
      <c r="AM131" s="18">
        <f t="shared" si="64"/>
        <v>0</v>
      </c>
      <c r="AN131" s="18">
        <f t="shared" si="65"/>
        <v>0</v>
      </c>
      <c r="AO131" s="18">
        <f t="shared" si="66"/>
        <v>6.666666666666667</v>
      </c>
      <c r="AP131" s="18">
        <f t="shared" si="67"/>
        <v>3.3333333333333335</v>
      </c>
      <c r="AQ131" s="18">
        <f t="shared" si="68"/>
        <v>50</v>
      </c>
      <c r="AR131" s="18">
        <f t="shared" si="50"/>
        <v>0</v>
      </c>
      <c r="AS131" s="18">
        <f t="shared" si="51"/>
        <v>0</v>
      </c>
      <c r="AT131" s="18">
        <f t="shared" si="52"/>
        <v>0</v>
      </c>
      <c r="AU131" s="18">
        <f t="shared" si="53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13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20" sqref="L20"/>
    </sheetView>
  </sheetViews>
  <sheetFormatPr defaultRowHeight="14.5" x14ac:dyDescent="0.35"/>
  <cols>
    <col min="5" max="5" width="10.54296875" style="1" customWidth="1"/>
    <col min="26" max="26" width="9.1796875" style="13"/>
  </cols>
  <sheetData>
    <row r="1" spans="1:68" x14ac:dyDescent="0.35">
      <c r="A1" s="1" t="s">
        <v>201</v>
      </c>
      <c r="B1" s="1"/>
      <c r="C1" s="1"/>
      <c r="D1" s="1"/>
      <c r="U1" s="1"/>
      <c r="V1" s="1"/>
      <c r="W1" s="1"/>
      <c r="X1" s="1"/>
      <c r="Y1" s="1"/>
      <c r="AB1" s="15" t="s">
        <v>225</v>
      </c>
      <c r="AW1" s="15" t="s">
        <v>211</v>
      </c>
    </row>
    <row r="2" spans="1:68" s="9" customFormat="1" x14ac:dyDescent="0.35">
      <c r="A2" s="8" t="s">
        <v>1</v>
      </c>
      <c r="B2" s="8" t="s">
        <v>2</v>
      </c>
      <c r="C2" s="8" t="s">
        <v>3</v>
      </c>
      <c r="D2" s="8" t="s">
        <v>4</v>
      </c>
      <c r="E2" s="2" t="s">
        <v>5</v>
      </c>
      <c r="F2" s="11" t="s">
        <v>202</v>
      </c>
      <c r="G2" s="7" t="s">
        <v>6</v>
      </c>
      <c r="H2" s="7" t="s">
        <v>7</v>
      </c>
      <c r="I2" s="7" t="s">
        <v>8</v>
      </c>
      <c r="J2" s="11" t="s">
        <v>203</v>
      </c>
      <c r="K2" s="7" t="s">
        <v>9</v>
      </c>
      <c r="L2" s="11" t="s">
        <v>204</v>
      </c>
      <c r="M2" s="11" t="s">
        <v>205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11" t="s">
        <v>206</v>
      </c>
      <c r="T2" s="11" t="s">
        <v>207</v>
      </c>
      <c r="U2" s="11" t="s">
        <v>208</v>
      </c>
      <c r="V2" s="7" t="s">
        <v>15</v>
      </c>
      <c r="W2" s="7" t="s">
        <v>16</v>
      </c>
      <c r="X2" s="7" t="s">
        <v>17</v>
      </c>
      <c r="Y2" s="11" t="s">
        <v>209</v>
      </c>
      <c r="Z2" s="12" t="s">
        <v>210</v>
      </c>
      <c r="AA2" s="10"/>
      <c r="AB2" s="11" t="s">
        <v>202</v>
      </c>
      <c r="AC2" s="7" t="s">
        <v>6</v>
      </c>
      <c r="AD2" s="7" t="s">
        <v>7</v>
      </c>
      <c r="AE2" s="7" t="s">
        <v>8</v>
      </c>
      <c r="AF2" s="11" t="s">
        <v>203</v>
      </c>
      <c r="AG2" s="7" t="s">
        <v>9</v>
      </c>
      <c r="AH2" s="11" t="s">
        <v>204</v>
      </c>
      <c r="AI2" s="11" t="s">
        <v>205</v>
      </c>
      <c r="AJ2" s="7" t="s">
        <v>10</v>
      </c>
      <c r="AK2" s="7" t="s">
        <v>11</v>
      </c>
      <c r="AL2" s="7" t="s">
        <v>12</v>
      </c>
      <c r="AM2" s="7" t="s">
        <v>13</v>
      </c>
      <c r="AN2" s="7" t="s">
        <v>14</v>
      </c>
      <c r="AO2" s="11" t="s">
        <v>206</v>
      </c>
      <c r="AP2" s="11" t="s">
        <v>207</v>
      </c>
      <c r="AQ2" s="11" t="s">
        <v>208</v>
      </c>
      <c r="AR2" s="7" t="s">
        <v>15</v>
      </c>
      <c r="AS2" s="7" t="s">
        <v>16</v>
      </c>
      <c r="AT2" s="7" t="s">
        <v>17</v>
      </c>
      <c r="AU2" s="11" t="s">
        <v>209</v>
      </c>
      <c r="AW2" s="11" t="s">
        <v>202</v>
      </c>
      <c r="AX2" s="7" t="s">
        <v>6</v>
      </c>
      <c r="AY2" s="7" t="s">
        <v>7</v>
      </c>
      <c r="AZ2" s="7" t="s">
        <v>8</v>
      </c>
      <c r="BA2" s="11" t="s">
        <v>203</v>
      </c>
      <c r="BB2" s="7" t="s">
        <v>9</v>
      </c>
      <c r="BC2" s="11" t="s">
        <v>204</v>
      </c>
      <c r="BD2" s="11" t="s">
        <v>205</v>
      </c>
      <c r="BE2" s="7" t="s">
        <v>10</v>
      </c>
      <c r="BF2" s="7" t="s">
        <v>11</v>
      </c>
      <c r="BG2" s="7" t="s">
        <v>12</v>
      </c>
      <c r="BH2" s="7" t="s">
        <v>13</v>
      </c>
      <c r="BI2" s="7" t="s">
        <v>14</v>
      </c>
      <c r="BJ2" s="11" t="s">
        <v>206</v>
      </c>
      <c r="BK2" s="11" t="s">
        <v>207</v>
      </c>
      <c r="BL2" s="11" t="s">
        <v>208</v>
      </c>
      <c r="BM2" s="7" t="s">
        <v>15</v>
      </c>
      <c r="BN2" s="7" t="s">
        <v>16</v>
      </c>
      <c r="BO2" s="7" t="s">
        <v>17</v>
      </c>
      <c r="BP2" s="11" t="s">
        <v>209</v>
      </c>
    </row>
    <row r="3" spans="1:68" x14ac:dyDescent="0.35">
      <c r="A3" s="1" t="s">
        <v>18</v>
      </c>
      <c r="B3" s="1">
        <v>1</v>
      </c>
      <c r="C3" s="1" t="s">
        <v>19</v>
      </c>
      <c r="D3" s="1" t="s">
        <v>20</v>
      </c>
      <c r="E3" s="3" t="s">
        <v>21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0.87003548940000008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0.19286989260000001</v>
      </c>
      <c r="T3" s="4">
        <v>0.85499507940000008</v>
      </c>
      <c r="U3" s="4">
        <v>0.83224596839999998</v>
      </c>
      <c r="V3" s="4">
        <v>0</v>
      </c>
      <c r="W3" s="4">
        <v>0</v>
      </c>
      <c r="X3" s="4">
        <v>0.18883215119999999</v>
      </c>
      <c r="Y3" s="4">
        <v>1.3684809599999999E-2</v>
      </c>
      <c r="Z3" s="14">
        <f t="shared" ref="Z3:Z34" si="0">SUM(F3:Y3)</f>
        <v>2.9526633906000002</v>
      </c>
      <c r="AB3">
        <f t="shared" ref="AB3:AB34" si="1">F3/$Z3*100</f>
        <v>0</v>
      </c>
      <c r="AC3">
        <f t="shared" ref="AC3:AC34" si="2">G3/$Z3*100</f>
        <v>0</v>
      </c>
      <c r="AD3">
        <f t="shared" ref="AD3:AD34" si="3">H3/$Z3*100</f>
        <v>0</v>
      </c>
      <c r="AE3">
        <f t="shared" ref="AE3:AE34" si="4">I3/$Z3*100</f>
        <v>0</v>
      </c>
      <c r="AF3">
        <f t="shared" ref="AF3:AF34" si="5">J3/$Z3*100</f>
        <v>0</v>
      </c>
      <c r="AG3">
        <f t="shared" ref="AG3:AG34" si="6">K3/$Z3*100</f>
        <v>0</v>
      </c>
      <c r="AH3">
        <f t="shared" ref="AH3:AH34" si="7">L3/$Z3*100</f>
        <v>29.466125131967829</v>
      </c>
      <c r="AI3">
        <f t="shared" ref="AI3:AI34" si="8">M3/$Z3*100</f>
        <v>0</v>
      </c>
      <c r="AJ3">
        <f t="shared" ref="AJ3:AJ34" si="9">N3/$Z3*100</f>
        <v>0</v>
      </c>
      <c r="AK3">
        <f t="shared" ref="AK3:AK34" si="10">O3/$Z3*100</f>
        <v>0</v>
      </c>
      <c r="AL3">
        <f t="shared" ref="AL3:AL34" si="11">P3/$Z3*100</f>
        <v>0</v>
      </c>
      <c r="AM3">
        <f t="shared" ref="AM3:AM34" si="12">Q3/$Z3*100</f>
        <v>0</v>
      </c>
      <c r="AN3">
        <f t="shared" ref="AN3:AN34" si="13">R3/$Z3*100</f>
        <v>0</v>
      </c>
      <c r="AO3">
        <f t="shared" ref="AO3:AO34" si="14">S3/$Z3*100</f>
        <v>6.5320650235314357</v>
      </c>
      <c r="AP3">
        <f t="shared" ref="AP3:AP34" si="15">T3/$Z3*100</f>
        <v>28.956740620076559</v>
      </c>
      <c r="AQ3">
        <f t="shared" ref="AQ3:AQ34" si="16">U3/$Z3*100</f>
        <v>28.18627992102013</v>
      </c>
      <c r="AR3">
        <f t="shared" ref="AR3:AR34" si="17">V3/$Z3*100</f>
        <v>0</v>
      </c>
      <c r="AS3">
        <f t="shared" ref="AS3:AS34" si="18">W3/$Z3*100</f>
        <v>0</v>
      </c>
      <c r="AT3">
        <f t="shared" ref="AT3:AT34" si="19">X3/$Z3*100</f>
        <v>6.3953158968665269</v>
      </c>
      <c r="AU3">
        <f t="shared" ref="AU3:AU34" si="20">Y3/$Z3*100</f>
        <v>0.4634734065375179</v>
      </c>
      <c r="AW3" s="16">
        <f>AVERAGE(AB3:AB5)</f>
        <v>0</v>
      </c>
      <c r="AX3" s="16">
        <f>AVERAGE(AC3:AC5)</f>
        <v>0</v>
      </c>
      <c r="AY3" s="16">
        <f>AVERAGE(AD3:AD5)</f>
        <v>0</v>
      </c>
      <c r="AZ3" s="16">
        <f>AVERAGE(AE3:AE5)</f>
        <v>0</v>
      </c>
      <c r="BA3" s="16">
        <f>AVERAGE(AF3:AF5)</f>
        <v>3.6572187906134541</v>
      </c>
      <c r="BB3" s="16">
        <f t="shared" ref="BB3:BP3" si="21">AVERAGE(AG3:AG5)</f>
        <v>0</v>
      </c>
      <c r="BC3" s="16">
        <f t="shared" si="21"/>
        <v>36.803652905200416</v>
      </c>
      <c r="BD3" s="16">
        <f t="shared" si="21"/>
        <v>24.42119433246776</v>
      </c>
      <c r="BE3" s="16">
        <f t="shared" si="21"/>
        <v>0</v>
      </c>
      <c r="BF3" s="16">
        <f t="shared" si="21"/>
        <v>0</v>
      </c>
      <c r="BG3" s="16">
        <f t="shared" si="21"/>
        <v>0</v>
      </c>
      <c r="BH3" s="16">
        <f t="shared" si="21"/>
        <v>0</v>
      </c>
      <c r="BI3" s="16">
        <f t="shared" si="21"/>
        <v>0</v>
      </c>
      <c r="BJ3" s="16">
        <f t="shared" si="21"/>
        <v>2.1773550078438118</v>
      </c>
      <c r="BK3" s="16">
        <f t="shared" si="21"/>
        <v>10.72629223163689</v>
      </c>
      <c r="BL3" s="16">
        <f t="shared" si="21"/>
        <v>10.447173822699833</v>
      </c>
      <c r="BM3" s="16">
        <f t="shared" si="21"/>
        <v>0</v>
      </c>
      <c r="BN3" s="16">
        <f t="shared" si="21"/>
        <v>0</v>
      </c>
      <c r="BO3" s="16">
        <f t="shared" si="21"/>
        <v>7.3103167840512784</v>
      </c>
      <c r="BP3" s="16">
        <f t="shared" si="21"/>
        <v>4.4567961254865507</v>
      </c>
    </row>
    <row r="4" spans="1:68" x14ac:dyDescent="0.35">
      <c r="A4" s="1" t="s">
        <v>18</v>
      </c>
      <c r="B4" s="1">
        <v>2</v>
      </c>
      <c r="C4" s="1" t="s">
        <v>22</v>
      </c>
      <c r="D4" s="1" t="s">
        <v>20</v>
      </c>
      <c r="E4" s="3" t="s">
        <v>21</v>
      </c>
      <c r="F4" s="4">
        <v>0</v>
      </c>
      <c r="G4" s="4">
        <v>0</v>
      </c>
      <c r="H4" s="4">
        <v>0</v>
      </c>
      <c r="I4" s="4">
        <v>0</v>
      </c>
      <c r="J4" s="4">
        <v>0.32652769379999996</v>
      </c>
      <c r="K4" s="4">
        <v>0</v>
      </c>
      <c r="L4" s="4">
        <v>1.1581045014</v>
      </c>
      <c r="M4" s="4">
        <v>0.78649563299999992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9.3903209400000007E-2</v>
      </c>
      <c r="V4" s="4">
        <v>0</v>
      </c>
      <c r="W4" s="4">
        <v>0</v>
      </c>
      <c r="X4" s="4">
        <v>0.46235634060000008</v>
      </c>
      <c r="Y4" s="4">
        <v>0.1487147046</v>
      </c>
      <c r="Z4" s="14">
        <f t="shared" si="0"/>
        <v>2.9761020828000002</v>
      </c>
      <c r="AB4">
        <f t="shared" si="1"/>
        <v>0</v>
      </c>
      <c r="AC4">
        <f t="shared" si="2"/>
        <v>0</v>
      </c>
      <c r="AD4">
        <f t="shared" si="3"/>
        <v>0</v>
      </c>
      <c r="AE4">
        <f t="shared" si="4"/>
        <v>0</v>
      </c>
      <c r="AF4">
        <f t="shared" si="5"/>
        <v>10.971656371840362</v>
      </c>
      <c r="AG4">
        <f t="shared" si="6"/>
        <v>0</v>
      </c>
      <c r="AH4">
        <f t="shared" si="7"/>
        <v>38.913466983982715</v>
      </c>
      <c r="AI4">
        <f t="shared" si="8"/>
        <v>26.427038156568972</v>
      </c>
      <c r="AJ4">
        <f t="shared" si="9"/>
        <v>0</v>
      </c>
      <c r="AK4">
        <f t="shared" si="10"/>
        <v>0</v>
      </c>
      <c r="AL4">
        <f t="shared" si="11"/>
        <v>0</v>
      </c>
      <c r="AM4">
        <f t="shared" si="12"/>
        <v>0</v>
      </c>
      <c r="AN4">
        <f t="shared" si="13"/>
        <v>0</v>
      </c>
      <c r="AO4">
        <f t="shared" si="14"/>
        <v>0</v>
      </c>
      <c r="AP4">
        <f t="shared" si="15"/>
        <v>0</v>
      </c>
      <c r="AQ4">
        <f t="shared" si="16"/>
        <v>3.1552415470793673</v>
      </c>
      <c r="AR4">
        <f t="shared" si="17"/>
        <v>0</v>
      </c>
      <c r="AS4">
        <f t="shared" si="18"/>
        <v>0</v>
      </c>
      <c r="AT4">
        <f t="shared" si="19"/>
        <v>15.535634455287308</v>
      </c>
      <c r="AU4">
        <f t="shared" si="20"/>
        <v>4.9969624852412666</v>
      </c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</row>
    <row r="5" spans="1:68" x14ac:dyDescent="0.35">
      <c r="A5" s="1" t="s">
        <v>18</v>
      </c>
      <c r="B5" s="1">
        <v>3</v>
      </c>
      <c r="C5" s="1" t="s">
        <v>23</v>
      </c>
      <c r="D5" s="1" t="s">
        <v>20</v>
      </c>
      <c r="E5" s="3" t="s">
        <v>21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0.5901236418000001</v>
      </c>
      <c r="M5" s="4">
        <v>0.65758871640000005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4.5239040000000001E-2</v>
      </c>
      <c r="U5" s="4">
        <v>0</v>
      </c>
      <c r="V5" s="4">
        <v>0</v>
      </c>
      <c r="W5" s="4">
        <v>0</v>
      </c>
      <c r="X5" s="4">
        <v>0</v>
      </c>
      <c r="Y5" s="4">
        <v>0.11105634540000001</v>
      </c>
      <c r="Z5" s="14">
        <f t="shared" si="0"/>
        <v>1.4040077436000002</v>
      </c>
      <c r="AB5">
        <f t="shared" si="1"/>
        <v>0</v>
      </c>
      <c r="AC5">
        <f t="shared" si="2"/>
        <v>0</v>
      </c>
      <c r="AD5">
        <f t="shared" si="3"/>
        <v>0</v>
      </c>
      <c r="AE5">
        <f t="shared" si="4"/>
        <v>0</v>
      </c>
      <c r="AF5">
        <f t="shared" si="5"/>
        <v>0</v>
      </c>
      <c r="AG5">
        <f t="shared" si="6"/>
        <v>0</v>
      </c>
      <c r="AH5">
        <f t="shared" si="7"/>
        <v>42.03136659965071</v>
      </c>
      <c r="AI5">
        <f t="shared" si="8"/>
        <v>46.836544840834307</v>
      </c>
      <c r="AJ5">
        <f t="shared" si="9"/>
        <v>0</v>
      </c>
      <c r="AK5">
        <f t="shared" si="10"/>
        <v>0</v>
      </c>
      <c r="AL5">
        <f t="shared" si="11"/>
        <v>0</v>
      </c>
      <c r="AM5">
        <f t="shared" si="12"/>
        <v>0</v>
      </c>
      <c r="AN5">
        <f t="shared" si="13"/>
        <v>0</v>
      </c>
      <c r="AO5">
        <f t="shared" si="14"/>
        <v>0</v>
      </c>
      <c r="AP5">
        <f t="shared" si="15"/>
        <v>3.2221360748341104</v>
      </c>
      <c r="AQ5">
        <f t="shared" si="16"/>
        <v>0</v>
      </c>
      <c r="AR5">
        <f t="shared" si="17"/>
        <v>0</v>
      </c>
      <c r="AS5">
        <f t="shared" si="18"/>
        <v>0</v>
      </c>
      <c r="AT5">
        <f t="shared" si="19"/>
        <v>0</v>
      </c>
      <c r="AU5">
        <f t="shared" si="20"/>
        <v>7.9099524846808684</v>
      </c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</row>
    <row r="6" spans="1:68" x14ac:dyDescent="0.35">
      <c r="A6" s="1" t="s">
        <v>24</v>
      </c>
      <c r="B6" s="1">
        <v>4</v>
      </c>
      <c r="C6" s="1" t="s">
        <v>25</v>
      </c>
      <c r="D6" s="1" t="s">
        <v>26</v>
      </c>
      <c r="E6" s="3" t="s">
        <v>27</v>
      </c>
      <c r="F6" s="4">
        <v>4.8305241600000007E-2</v>
      </c>
      <c r="G6" s="4">
        <v>0</v>
      </c>
      <c r="H6" s="4">
        <v>0</v>
      </c>
      <c r="I6" s="4">
        <v>0</v>
      </c>
      <c r="J6" s="4">
        <v>8.485225980000001E-2</v>
      </c>
      <c r="K6" s="4">
        <v>0</v>
      </c>
      <c r="L6" s="4">
        <v>0.54909120420000002</v>
      </c>
      <c r="M6" s="4">
        <v>6.6052140000000009E-2</v>
      </c>
      <c r="N6" s="4">
        <v>0</v>
      </c>
      <c r="O6" s="4">
        <v>0</v>
      </c>
      <c r="P6" s="4">
        <v>0</v>
      </c>
      <c r="Q6" s="4">
        <v>1.327326E-2</v>
      </c>
      <c r="R6" s="4">
        <v>0</v>
      </c>
      <c r="S6" s="4">
        <v>0.32968578720000008</v>
      </c>
      <c r="T6" s="4">
        <v>0.238624155</v>
      </c>
      <c r="U6" s="4">
        <v>1.6277085132</v>
      </c>
      <c r="V6" s="4">
        <v>0</v>
      </c>
      <c r="W6" s="4">
        <v>0.156078615</v>
      </c>
      <c r="X6" s="4">
        <v>0</v>
      </c>
      <c r="Y6" s="4">
        <v>0.1654225188</v>
      </c>
      <c r="Z6" s="14">
        <f t="shared" si="0"/>
        <v>3.2790936948000002</v>
      </c>
      <c r="AB6">
        <f t="shared" si="1"/>
        <v>1.4731278242095569</v>
      </c>
      <c r="AC6">
        <f t="shared" si="2"/>
        <v>0</v>
      </c>
      <c r="AD6">
        <f t="shared" si="3"/>
        <v>0</v>
      </c>
      <c r="AE6">
        <f t="shared" si="4"/>
        <v>0</v>
      </c>
      <c r="AF6">
        <f t="shared" si="5"/>
        <v>2.5876741471144622</v>
      </c>
      <c r="AG6">
        <f t="shared" si="6"/>
        <v>0</v>
      </c>
      <c r="AH6">
        <f t="shared" si="7"/>
        <v>16.745212406426539</v>
      </c>
      <c r="AI6">
        <f t="shared" si="8"/>
        <v>2.0143413439129767</v>
      </c>
      <c r="AJ6">
        <f t="shared" si="9"/>
        <v>0</v>
      </c>
      <c r="AK6">
        <f t="shared" si="10"/>
        <v>0</v>
      </c>
      <c r="AL6">
        <f t="shared" si="11"/>
        <v>0</v>
      </c>
      <c r="AM6">
        <f t="shared" si="12"/>
        <v>0.40478440799202503</v>
      </c>
      <c r="AN6">
        <f t="shared" si="13"/>
        <v>0</v>
      </c>
      <c r="AO6">
        <f t="shared" si="14"/>
        <v>10.054174045798604</v>
      </c>
      <c r="AP6">
        <f t="shared" si="15"/>
        <v>7.2771374413122478</v>
      </c>
      <c r="AQ6">
        <f t="shared" si="16"/>
        <v>49.638975421203327</v>
      </c>
      <c r="AR6">
        <f t="shared" si="17"/>
        <v>0</v>
      </c>
      <c r="AS6">
        <f t="shared" si="18"/>
        <v>4.7598095549239741</v>
      </c>
      <c r="AT6">
        <f t="shared" si="19"/>
        <v>0</v>
      </c>
      <c r="AU6">
        <f t="shared" si="20"/>
        <v>5.0447634071062897</v>
      </c>
      <c r="AW6" s="16">
        <f>AVERAGE(AB6:AB8)</f>
        <v>0.49104260806985228</v>
      </c>
      <c r="AX6" s="16">
        <f>AVERAGE(AC6:AC8)</f>
        <v>0</v>
      </c>
      <c r="AY6" s="16">
        <f>AVERAGE(AD6:AD8)</f>
        <v>0</v>
      </c>
      <c r="AZ6" s="16">
        <f>AVERAGE(AE6:AE8)</f>
        <v>0</v>
      </c>
      <c r="BA6" s="16">
        <f>AVERAGE(AF6:AF8)</f>
        <v>3.4325114851186243</v>
      </c>
      <c r="BB6" s="16">
        <f t="shared" ref="BB6" si="22">AVERAGE(AG6:AG8)</f>
        <v>0</v>
      </c>
      <c r="BC6" s="16">
        <f t="shared" ref="BC6" si="23">AVERAGE(AH6:AH8)</f>
        <v>24.721040379828171</v>
      </c>
      <c r="BD6" s="16">
        <f t="shared" ref="BD6" si="24">AVERAGE(AI6:AI8)</f>
        <v>0.67144711463765894</v>
      </c>
      <c r="BE6" s="16">
        <f t="shared" ref="BE6" si="25">AVERAGE(AJ6:AJ8)</f>
        <v>0</v>
      </c>
      <c r="BF6" s="16">
        <f t="shared" ref="BF6" si="26">AVERAGE(AK6:AK8)</f>
        <v>0</v>
      </c>
      <c r="BG6" s="16">
        <f t="shared" ref="BG6" si="27">AVERAGE(AL6:AL8)</f>
        <v>0</v>
      </c>
      <c r="BH6" s="16">
        <f t="shared" ref="BH6" si="28">AVERAGE(AM6:AM8)</f>
        <v>0.13492813599734169</v>
      </c>
      <c r="BI6" s="16">
        <f t="shared" ref="BI6" si="29">AVERAGE(AN6:AN8)</f>
        <v>0</v>
      </c>
      <c r="BJ6" s="16">
        <f t="shared" ref="BJ6" si="30">AVERAGE(AO6:AO8)</f>
        <v>4.5844547256262516</v>
      </c>
      <c r="BK6" s="16">
        <f t="shared" ref="BK6" si="31">AVERAGE(AP6:AP8)</f>
        <v>3.0803199224251365</v>
      </c>
      <c r="BL6" s="16">
        <f t="shared" ref="BL6" si="32">AVERAGE(AQ6:AQ8)</f>
        <v>50.735580134942353</v>
      </c>
      <c r="BM6" s="16">
        <f t="shared" ref="BM6" si="33">AVERAGE(AR6:AR8)</f>
        <v>0</v>
      </c>
      <c r="BN6" s="16">
        <f t="shared" ref="BN6" si="34">AVERAGE(AS6:AS8)</f>
        <v>2.1161494455998522</v>
      </c>
      <c r="BO6" s="16">
        <f t="shared" ref="BO6" si="35">AVERAGE(AT6:AT8)</f>
        <v>7.1422154521496912</v>
      </c>
      <c r="BP6" s="16">
        <f t="shared" ref="BP6" si="36">AVERAGE(AU6:AU8)</f>
        <v>2.8903105956050723</v>
      </c>
    </row>
    <row r="7" spans="1:68" x14ac:dyDescent="0.35">
      <c r="A7" s="1" t="s">
        <v>24</v>
      </c>
      <c r="B7" s="1">
        <v>5</v>
      </c>
      <c r="C7" s="1" t="s">
        <v>28</v>
      </c>
      <c r="D7" s="1" t="s">
        <v>26</v>
      </c>
      <c r="E7" s="3" t="s">
        <v>27</v>
      </c>
      <c r="F7" s="4">
        <v>0</v>
      </c>
      <c r="G7" s="4">
        <v>0</v>
      </c>
      <c r="H7" s="4">
        <v>0</v>
      </c>
      <c r="I7" s="4">
        <v>0</v>
      </c>
      <c r="J7" s="4">
        <v>0.1766160396</v>
      </c>
      <c r="K7" s="4">
        <v>0</v>
      </c>
      <c r="L7" s="4">
        <v>0.65577915480000004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7.794623760000001E-2</v>
      </c>
      <c r="U7" s="4">
        <v>2.1234773406</v>
      </c>
      <c r="V7" s="4">
        <v>0</v>
      </c>
      <c r="W7" s="4">
        <v>0</v>
      </c>
      <c r="X7" s="4">
        <v>0.85044682800000015</v>
      </c>
      <c r="Y7" s="4">
        <v>8.4842835000000005E-2</v>
      </c>
      <c r="Z7" s="14">
        <f t="shared" si="0"/>
        <v>3.9691084355999999</v>
      </c>
      <c r="AB7">
        <f t="shared" si="1"/>
        <v>0</v>
      </c>
      <c r="AC7">
        <f t="shared" si="2"/>
        <v>0</v>
      </c>
      <c r="AD7">
        <f t="shared" si="3"/>
        <v>0</v>
      </c>
      <c r="AE7">
        <f t="shared" si="4"/>
        <v>0</v>
      </c>
      <c r="AF7">
        <f t="shared" si="5"/>
        <v>4.449766048613923</v>
      </c>
      <c r="AG7">
        <f t="shared" si="6"/>
        <v>0</v>
      </c>
      <c r="AH7">
        <f t="shared" si="7"/>
        <v>16.522077071972653</v>
      </c>
      <c r="AI7">
        <f t="shared" si="8"/>
        <v>0</v>
      </c>
      <c r="AJ7">
        <f t="shared" si="9"/>
        <v>0</v>
      </c>
      <c r="AK7">
        <f t="shared" si="10"/>
        <v>0</v>
      </c>
      <c r="AL7">
        <f t="shared" si="11"/>
        <v>0</v>
      </c>
      <c r="AM7">
        <f t="shared" si="12"/>
        <v>0</v>
      </c>
      <c r="AN7">
        <f t="shared" si="13"/>
        <v>0</v>
      </c>
      <c r="AO7">
        <f t="shared" si="14"/>
        <v>0</v>
      </c>
      <c r="AP7">
        <f t="shared" si="15"/>
        <v>1.9638223259631624</v>
      </c>
      <c r="AQ7">
        <f t="shared" si="16"/>
        <v>53.50010903088365</v>
      </c>
      <c r="AR7">
        <f t="shared" si="17"/>
        <v>0</v>
      </c>
      <c r="AS7">
        <f t="shared" si="18"/>
        <v>0</v>
      </c>
      <c r="AT7">
        <f t="shared" si="19"/>
        <v>21.426646356449073</v>
      </c>
      <c r="AU7">
        <f t="shared" si="20"/>
        <v>2.1375791661175549</v>
      </c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</row>
    <row r="8" spans="1:68" x14ac:dyDescent="0.35">
      <c r="A8" s="1" t="s">
        <v>24</v>
      </c>
      <c r="B8" s="1">
        <v>6</v>
      </c>
      <c r="C8" s="1" t="s">
        <v>29</v>
      </c>
      <c r="D8" s="1" t="s">
        <v>26</v>
      </c>
      <c r="E8" s="3" t="s">
        <v>27</v>
      </c>
      <c r="F8" s="4">
        <v>0</v>
      </c>
      <c r="G8" s="4">
        <v>0</v>
      </c>
      <c r="H8" s="4">
        <v>0</v>
      </c>
      <c r="I8" s="4">
        <v>0</v>
      </c>
      <c r="J8" s="4">
        <v>0.13461441839999999</v>
      </c>
      <c r="K8" s="4">
        <v>0</v>
      </c>
      <c r="L8" s="4">
        <v>1.6886531970000003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0.15274537740000002</v>
      </c>
      <c r="T8" s="4">
        <v>0</v>
      </c>
      <c r="U8" s="4">
        <v>2.026080672</v>
      </c>
      <c r="V8" s="4">
        <v>0</v>
      </c>
      <c r="W8" s="4">
        <v>6.5597393399999995E-2</v>
      </c>
      <c r="X8" s="4">
        <v>0</v>
      </c>
      <c r="Y8" s="4">
        <v>6.1466189399999996E-2</v>
      </c>
      <c r="Z8" s="14">
        <f t="shared" si="0"/>
        <v>4.1291572476000002</v>
      </c>
      <c r="AB8">
        <f t="shared" si="1"/>
        <v>0</v>
      </c>
      <c r="AC8">
        <f t="shared" si="2"/>
        <v>0</v>
      </c>
      <c r="AD8">
        <f t="shared" si="3"/>
        <v>0</v>
      </c>
      <c r="AE8">
        <f t="shared" si="4"/>
        <v>0</v>
      </c>
      <c r="AF8">
        <f t="shared" si="5"/>
        <v>3.2600942596274876</v>
      </c>
      <c r="AG8">
        <f t="shared" si="6"/>
        <v>0</v>
      </c>
      <c r="AH8">
        <f t="shared" si="7"/>
        <v>40.895831661085325</v>
      </c>
      <c r="AI8">
        <f t="shared" si="8"/>
        <v>0</v>
      </c>
      <c r="AJ8">
        <f t="shared" si="9"/>
        <v>0</v>
      </c>
      <c r="AK8">
        <f t="shared" si="10"/>
        <v>0</v>
      </c>
      <c r="AL8">
        <f t="shared" si="11"/>
        <v>0</v>
      </c>
      <c r="AM8">
        <f t="shared" si="12"/>
        <v>0</v>
      </c>
      <c r="AN8">
        <f t="shared" si="13"/>
        <v>0</v>
      </c>
      <c r="AO8">
        <f t="shared" si="14"/>
        <v>3.6991901310801518</v>
      </c>
      <c r="AP8">
        <f t="shared" si="15"/>
        <v>0</v>
      </c>
      <c r="AQ8">
        <f t="shared" si="16"/>
        <v>49.067655952740083</v>
      </c>
      <c r="AR8">
        <f t="shared" si="17"/>
        <v>0</v>
      </c>
      <c r="AS8">
        <f t="shared" si="18"/>
        <v>1.5886387818755829</v>
      </c>
      <c r="AT8">
        <f t="shared" si="19"/>
        <v>0</v>
      </c>
      <c r="AU8">
        <f t="shared" si="20"/>
        <v>1.4885892135913723</v>
      </c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</row>
    <row r="9" spans="1:68" x14ac:dyDescent="0.35">
      <c r="A9" s="1" t="s">
        <v>18</v>
      </c>
      <c r="B9" s="1">
        <v>7</v>
      </c>
      <c r="C9" s="1" t="s">
        <v>30</v>
      </c>
      <c r="D9" s="1" t="s">
        <v>31</v>
      </c>
      <c r="E9" s="3" t="s">
        <v>21</v>
      </c>
      <c r="F9" s="4">
        <v>2.6302260600000005E-2</v>
      </c>
      <c r="G9" s="4">
        <v>0</v>
      </c>
      <c r="H9" s="4">
        <v>0</v>
      </c>
      <c r="I9" s="4">
        <v>0</v>
      </c>
      <c r="J9" s="4">
        <v>0.29820459899999996</v>
      </c>
      <c r="K9" s="4">
        <v>0</v>
      </c>
      <c r="L9" s="4">
        <v>0.1745535792</v>
      </c>
      <c r="M9" s="4">
        <v>0</v>
      </c>
      <c r="N9" s="4">
        <v>0</v>
      </c>
      <c r="O9" s="4">
        <v>0</v>
      </c>
      <c r="P9" s="4">
        <v>0</v>
      </c>
      <c r="Q9" s="4">
        <v>2.1124118399999999E-2</v>
      </c>
      <c r="R9" s="4">
        <v>0</v>
      </c>
      <c r="S9" s="4">
        <v>0</v>
      </c>
      <c r="T9" s="4">
        <v>2.4884613600000004E-2</v>
      </c>
      <c r="U9" s="4">
        <v>2.2830454877999999</v>
      </c>
      <c r="V9" s="4">
        <v>0</v>
      </c>
      <c r="W9" s="4">
        <v>0</v>
      </c>
      <c r="X9" s="4">
        <v>0.12187287420000001</v>
      </c>
      <c r="Y9" s="4">
        <v>0</v>
      </c>
      <c r="Z9" s="14">
        <f t="shared" si="0"/>
        <v>2.9499875327999998</v>
      </c>
      <c r="AB9">
        <f t="shared" si="1"/>
        <v>0.89160582231461305</v>
      </c>
      <c r="AC9">
        <f t="shared" si="2"/>
        <v>0</v>
      </c>
      <c r="AD9">
        <f t="shared" si="3"/>
        <v>0</v>
      </c>
      <c r="AE9">
        <f t="shared" si="4"/>
        <v>0</v>
      </c>
      <c r="AF9">
        <f t="shared" si="5"/>
        <v>10.108673195542529</v>
      </c>
      <c r="AG9">
        <f t="shared" si="6"/>
        <v>0</v>
      </c>
      <c r="AH9">
        <f t="shared" si="7"/>
        <v>5.9170954880043629</v>
      </c>
      <c r="AI9">
        <f t="shared" si="8"/>
        <v>0</v>
      </c>
      <c r="AJ9">
        <f t="shared" si="9"/>
        <v>0</v>
      </c>
      <c r="AK9">
        <f t="shared" si="10"/>
        <v>0</v>
      </c>
      <c r="AL9">
        <f t="shared" si="11"/>
        <v>0</v>
      </c>
      <c r="AM9">
        <f t="shared" si="12"/>
        <v>0.71607483642311898</v>
      </c>
      <c r="AN9">
        <f t="shared" si="13"/>
        <v>0</v>
      </c>
      <c r="AO9">
        <f t="shared" si="14"/>
        <v>0</v>
      </c>
      <c r="AP9">
        <f t="shared" si="15"/>
        <v>0.84354978871319553</v>
      </c>
      <c r="AQ9">
        <f t="shared" si="16"/>
        <v>77.391699538236097</v>
      </c>
      <c r="AR9">
        <f t="shared" si="17"/>
        <v>0</v>
      </c>
      <c r="AS9">
        <f t="shared" si="18"/>
        <v>0</v>
      </c>
      <c r="AT9">
        <f t="shared" si="19"/>
        <v>4.1313013307660862</v>
      </c>
      <c r="AU9">
        <f t="shared" si="20"/>
        <v>0</v>
      </c>
      <c r="AW9" s="16">
        <f>AVERAGE(AB9:AB11)</f>
        <v>0.53699300348342438</v>
      </c>
      <c r="AX9" s="16">
        <f>AVERAGE(AC9:AC11)</f>
        <v>0</v>
      </c>
      <c r="AY9" s="16">
        <f>AVERAGE(AD9:AD11)</f>
        <v>0</v>
      </c>
      <c r="AZ9" s="16">
        <f>AVERAGE(AE9:AE11)</f>
        <v>0</v>
      </c>
      <c r="BA9" s="16">
        <f>AVERAGE(AF9:AF11)</f>
        <v>14.934304508217727</v>
      </c>
      <c r="BB9" s="16">
        <f t="shared" ref="BB9" si="37">AVERAGE(AG9:AG11)</f>
        <v>2.2519564114596817</v>
      </c>
      <c r="BC9" s="16">
        <f t="shared" ref="BC9" si="38">AVERAGE(AH9:AH11)</f>
        <v>12.299072149001454</v>
      </c>
      <c r="BD9" s="16">
        <f t="shared" ref="BD9" si="39">AVERAGE(AI9:AI11)</f>
        <v>0.26629418046362191</v>
      </c>
      <c r="BE9" s="16">
        <f t="shared" ref="BE9" si="40">AVERAGE(AJ9:AJ11)</f>
        <v>0</v>
      </c>
      <c r="BF9" s="16">
        <f t="shared" ref="BF9" si="41">AVERAGE(AK9:AK11)</f>
        <v>0</v>
      </c>
      <c r="BG9" s="16">
        <f t="shared" ref="BG9" si="42">AVERAGE(AL9:AL11)</f>
        <v>0</v>
      </c>
      <c r="BH9" s="16">
        <f t="shared" ref="BH9" si="43">AVERAGE(AM9:AM11)</f>
        <v>0.23869161214103965</v>
      </c>
      <c r="BI9" s="16">
        <f t="shared" ref="BI9" si="44">AVERAGE(AN9:AN11)</f>
        <v>0</v>
      </c>
      <c r="BJ9" s="16">
        <f t="shared" ref="BJ9" si="45">AVERAGE(AO9:AO11)</f>
        <v>0</v>
      </c>
      <c r="BK9" s="16">
        <f t="shared" ref="BK9" si="46">AVERAGE(AP9:AP11)</f>
        <v>0.48403349089047526</v>
      </c>
      <c r="BL9" s="16">
        <f t="shared" ref="BL9" si="47">AVERAGE(AQ9:AQ11)</f>
        <v>66.615884984588931</v>
      </c>
      <c r="BM9" s="16">
        <f t="shared" ref="BM9" si="48">AVERAGE(AR9:AR11)</f>
        <v>0</v>
      </c>
      <c r="BN9" s="16">
        <f t="shared" ref="BN9" si="49">AVERAGE(AS9:AS11)</f>
        <v>0</v>
      </c>
      <c r="BO9" s="16">
        <f t="shared" ref="BO9" si="50">AVERAGE(AT9:AT11)</f>
        <v>1.3771004435886953</v>
      </c>
      <c r="BP9" s="16">
        <f t="shared" ref="BP9" si="51">AVERAGE(AU9:AU11)</f>
        <v>0.99566921616496173</v>
      </c>
    </row>
    <row r="10" spans="1:68" x14ac:dyDescent="0.35">
      <c r="A10" s="1" t="s">
        <v>18</v>
      </c>
      <c r="B10" s="1">
        <v>8</v>
      </c>
      <c r="C10" s="1" t="s">
        <v>32</v>
      </c>
      <c r="D10" s="1" t="s">
        <v>31</v>
      </c>
      <c r="E10" s="3" t="s">
        <v>21</v>
      </c>
      <c r="F10" s="4">
        <v>0</v>
      </c>
      <c r="G10" s="4">
        <v>0</v>
      </c>
      <c r="H10" s="4">
        <v>0</v>
      </c>
      <c r="I10" s="4">
        <v>0</v>
      </c>
      <c r="J10" s="4">
        <v>0.57393262079999996</v>
      </c>
      <c r="K10" s="4">
        <v>0</v>
      </c>
      <c r="L10" s="4">
        <v>0.67983045899999994</v>
      </c>
      <c r="M10" s="4">
        <v>2.3506236600000004E-2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1.5772308552000001</v>
      </c>
      <c r="V10" s="4">
        <v>0</v>
      </c>
      <c r="W10" s="4">
        <v>0</v>
      </c>
      <c r="X10" s="4">
        <v>0</v>
      </c>
      <c r="Y10" s="4">
        <v>8.78894016E-2</v>
      </c>
      <c r="Z10" s="14">
        <f t="shared" si="0"/>
        <v>2.9423895731999998</v>
      </c>
      <c r="AB10">
        <f t="shared" si="1"/>
        <v>0</v>
      </c>
      <c r="AC10">
        <f t="shared" si="2"/>
        <v>0</v>
      </c>
      <c r="AD10">
        <f t="shared" si="3"/>
        <v>0</v>
      </c>
      <c r="AE10">
        <f t="shared" si="4"/>
        <v>0</v>
      </c>
      <c r="AF10">
        <f t="shared" si="5"/>
        <v>19.505663900780437</v>
      </c>
      <c r="AG10">
        <f t="shared" si="6"/>
        <v>0</v>
      </c>
      <c r="AH10">
        <f t="shared" si="7"/>
        <v>23.104705957092193</v>
      </c>
      <c r="AI10">
        <f t="shared" si="8"/>
        <v>0.79888254139086567</v>
      </c>
      <c r="AJ10">
        <f t="shared" si="9"/>
        <v>0</v>
      </c>
      <c r="AK10">
        <f t="shared" si="10"/>
        <v>0</v>
      </c>
      <c r="AL10">
        <f t="shared" si="11"/>
        <v>0</v>
      </c>
      <c r="AM10">
        <f t="shared" si="12"/>
        <v>0</v>
      </c>
      <c r="AN10">
        <f t="shared" si="13"/>
        <v>0</v>
      </c>
      <c r="AO10">
        <f t="shared" si="14"/>
        <v>0</v>
      </c>
      <c r="AP10">
        <f t="shared" si="15"/>
        <v>0</v>
      </c>
      <c r="AQ10">
        <f t="shared" si="16"/>
        <v>53.603739952241625</v>
      </c>
      <c r="AR10">
        <f t="shared" si="17"/>
        <v>0</v>
      </c>
      <c r="AS10">
        <f t="shared" si="18"/>
        <v>0</v>
      </c>
      <c r="AT10">
        <f t="shared" si="19"/>
        <v>0</v>
      </c>
      <c r="AU10">
        <f t="shared" si="20"/>
        <v>2.9870076484948851</v>
      </c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</row>
    <row r="11" spans="1:68" x14ac:dyDescent="0.35">
      <c r="A11" s="1" t="s">
        <v>18</v>
      </c>
      <c r="B11" s="1">
        <v>9</v>
      </c>
      <c r="C11" s="1" t="s">
        <v>33</v>
      </c>
      <c r="D11" s="1" t="s">
        <v>31</v>
      </c>
      <c r="E11" s="3" t="s">
        <v>21</v>
      </c>
      <c r="F11" s="4">
        <v>2.0612037600000001E-2</v>
      </c>
      <c r="G11" s="4">
        <v>0</v>
      </c>
      <c r="H11" s="4">
        <v>0</v>
      </c>
      <c r="I11" s="4">
        <v>0</v>
      </c>
      <c r="J11" s="4">
        <v>0.4351948524</v>
      </c>
      <c r="K11" s="4">
        <v>0.19357439640000002</v>
      </c>
      <c r="L11" s="4">
        <v>0.22565248860000003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1.7436665400000002E-2</v>
      </c>
      <c r="U11" s="4">
        <v>1.97280699</v>
      </c>
      <c r="V11" s="4">
        <v>0</v>
      </c>
      <c r="W11" s="4">
        <v>0</v>
      </c>
      <c r="X11" s="4">
        <v>0</v>
      </c>
      <c r="Y11" s="4">
        <v>0</v>
      </c>
      <c r="Z11" s="14">
        <f t="shared" si="0"/>
        <v>2.8652774303999999</v>
      </c>
      <c r="AB11">
        <f t="shared" si="1"/>
        <v>0.7193731881356602</v>
      </c>
      <c r="AC11">
        <f t="shared" si="2"/>
        <v>0</v>
      </c>
      <c r="AD11">
        <f t="shared" si="3"/>
        <v>0</v>
      </c>
      <c r="AE11">
        <f t="shared" si="4"/>
        <v>0</v>
      </c>
      <c r="AF11">
        <f t="shared" si="5"/>
        <v>15.188576428330212</v>
      </c>
      <c r="AG11">
        <f t="shared" si="6"/>
        <v>6.7558692343790447</v>
      </c>
      <c r="AH11">
        <f t="shared" si="7"/>
        <v>7.875415001907804</v>
      </c>
      <c r="AI11">
        <f t="shared" si="8"/>
        <v>0</v>
      </c>
      <c r="AJ11">
        <f t="shared" si="9"/>
        <v>0</v>
      </c>
      <c r="AK11">
        <f t="shared" si="10"/>
        <v>0</v>
      </c>
      <c r="AL11">
        <f t="shared" si="11"/>
        <v>0</v>
      </c>
      <c r="AM11">
        <f t="shared" si="12"/>
        <v>0</v>
      </c>
      <c r="AN11">
        <f t="shared" si="13"/>
        <v>0</v>
      </c>
      <c r="AO11">
        <f t="shared" si="14"/>
        <v>0</v>
      </c>
      <c r="AP11">
        <f t="shared" si="15"/>
        <v>0.6085506839582302</v>
      </c>
      <c r="AQ11">
        <f t="shared" si="16"/>
        <v>68.852215463289056</v>
      </c>
      <c r="AR11">
        <f t="shared" si="17"/>
        <v>0</v>
      </c>
      <c r="AS11">
        <f t="shared" si="18"/>
        <v>0</v>
      </c>
      <c r="AT11">
        <f t="shared" si="19"/>
        <v>0</v>
      </c>
      <c r="AU11">
        <f t="shared" si="20"/>
        <v>0</v>
      </c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</row>
    <row r="12" spans="1:68" x14ac:dyDescent="0.35">
      <c r="A12" s="1" t="s">
        <v>24</v>
      </c>
      <c r="B12" s="1">
        <v>10</v>
      </c>
      <c r="C12" s="1" t="s">
        <v>34</v>
      </c>
      <c r="D12" s="1" t="s">
        <v>35</v>
      </c>
      <c r="E12" s="3" t="s">
        <v>21</v>
      </c>
      <c r="F12" s="4">
        <v>0</v>
      </c>
      <c r="G12" s="4">
        <v>0</v>
      </c>
      <c r="H12" s="4">
        <v>0</v>
      </c>
      <c r="I12" s="4">
        <v>0</v>
      </c>
      <c r="J12" s="4">
        <v>0.1314783162</v>
      </c>
      <c r="K12" s="4">
        <v>0</v>
      </c>
      <c r="L12" s="4">
        <v>0.3022549068</v>
      </c>
      <c r="M12" s="4">
        <v>0.36993675180000007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0.81426973319999996</v>
      </c>
      <c r="T12" s="4">
        <v>0.29317960980000002</v>
      </c>
      <c r="U12" s="4">
        <v>8.8483949400000012E-2</v>
      </c>
      <c r="V12" s="4">
        <v>0</v>
      </c>
      <c r="W12" s="4">
        <v>0</v>
      </c>
      <c r="X12" s="4">
        <v>0.56094053399999999</v>
      </c>
      <c r="Y12" s="4">
        <v>0.14274409380000003</v>
      </c>
      <c r="Z12" s="14">
        <f t="shared" si="0"/>
        <v>2.7032878949999999</v>
      </c>
      <c r="AB12">
        <f t="shared" si="1"/>
        <v>0</v>
      </c>
      <c r="AC12">
        <f t="shared" si="2"/>
        <v>0</v>
      </c>
      <c r="AD12">
        <f t="shared" si="3"/>
        <v>0</v>
      </c>
      <c r="AE12">
        <f t="shared" si="4"/>
        <v>0</v>
      </c>
      <c r="AF12">
        <f t="shared" si="5"/>
        <v>4.8636446174742334</v>
      </c>
      <c r="AG12">
        <f t="shared" si="6"/>
        <v>0</v>
      </c>
      <c r="AH12">
        <f t="shared" si="7"/>
        <v>11.181010626321028</v>
      </c>
      <c r="AI12">
        <f t="shared" si="8"/>
        <v>13.684696790313563</v>
      </c>
      <c r="AJ12">
        <f t="shared" si="9"/>
        <v>0</v>
      </c>
      <c r="AK12">
        <f t="shared" si="10"/>
        <v>0</v>
      </c>
      <c r="AL12">
        <f t="shared" si="11"/>
        <v>0</v>
      </c>
      <c r="AM12">
        <f t="shared" si="12"/>
        <v>0</v>
      </c>
      <c r="AN12">
        <f t="shared" si="13"/>
        <v>0</v>
      </c>
      <c r="AO12">
        <f t="shared" si="14"/>
        <v>30.121458195631806</v>
      </c>
      <c r="AP12">
        <f t="shared" si="15"/>
        <v>10.845297326350806</v>
      </c>
      <c r="AQ12">
        <f t="shared" si="16"/>
        <v>3.2731974113323217</v>
      </c>
      <c r="AR12">
        <f t="shared" si="17"/>
        <v>0</v>
      </c>
      <c r="AS12">
        <f t="shared" si="18"/>
        <v>0</v>
      </c>
      <c r="AT12">
        <f t="shared" si="19"/>
        <v>20.75030687769199</v>
      </c>
      <c r="AU12">
        <f t="shared" si="20"/>
        <v>5.2803881548842595</v>
      </c>
      <c r="AW12" s="16">
        <f>AVERAGE(AB12:AB14)</f>
        <v>6.2428192276810464</v>
      </c>
      <c r="AX12" s="16">
        <f>AVERAGE(AC12:AC14)</f>
        <v>0.18552982401410897</v>
      </c>
      <c r="AY12" s="16">
        <f>AVERAGE(AD12:AD14)</f>
        <v>0</v>
      </c>
      <c r="AZ12" s="16">
        <f>AVERAGE(AE12:AE14)</f>
        <v>0</v>
      </c>
      <c r="BA12" s="16">
        <f>AVERAGE(AF12:AF14)</f>
        <v>6.3054997006643667</v>
      </c>
      <c r="BB12" s="16">
        <f t="shared" ref="BB12" si="52">AVERAGE(AG12:AG14)</f>
        <v>0</v>
      </c>
      <c r="BC12" s="16">
        <f t="shared" ref="BC12" si="53">AVERAGE(AH12:AH14)</f>
        <v>15.210602703583286</v>
      </c>
      <c r="BD12" s="16">
        <f t="shared" ref="BD12" si="54">AVERAGE(AI12:AI14)</f>
        <v>4.7521606824473261</v>
      </c>
      <c r="BE12" s="16">
        <f t="shared" ref="BE12" si="55">AVERAGE(AJ12:AJ14)</f>
        <v>0</v>
      </c>
      <c r="BF12" s="16">
        <f t="shared" ref="BF12" si="56">AVERAGE(AK12:AK14)</f>
        <v>0</v>
      </c>
      <c r="BG12" s="16">
        <f t="shared" ref="BG12" si="57">AVERAGE(AL12:AL14)</f>
        <v>0.6546514566489533</v>
      </c>
      <c r="BH12" s="16">
        <f t="shared" ref="BH12" si="58">AVERAGE(AM12:AM14)</f>
        <v>0.45787169953573531</v>
      </c>
      <c r="BI12" s="16">
        <f t="shared" ref="BI12" si="59">AVERAGE(AN12:AN14)</f>
        <v>0</v>
      </c>
      <c r="BJ12" s="16">
        <f t="shared" ref="BJ12" si="60">AVERAGE(AO12:AO14)</f>
        <v>10.040486065210603</v>
      </c>
      <c r="BK12" s="16">
        <f t="shared" ref="BK12" si="61">AVERAGE(AP12:AP14)</f>
        <v>16.560431828764944</v>
      </c>
      <c r="BL12" s="16">
        <f t="shared" ref="BL12" si="62">AVERAGE(AQ12:AQ14)</f>
        <v>21.285218473146077</v>
      </c>
      <c r="BM12" s="16">
        <f t="shared" ref="BM12" si="63">AVERAGE(AR12:AR14)</f>
        <v>0</v>
      </c>
      <c r="BN12" s="16">
        <f t="shared" ref="BN12" si="64">AVERAGE(AS12:AS14)</f>
        <v>0.2346583518711107</v>
      </c>
      <c r="BO12" s="16">
        <f t="shared" ref="BO12" si="65">AVERAGE(AT12:AT14)</f>
        <v>14.09370607574291</v>
      </c>
      <c r="BP12" s="16">
        <f t="shared" ref="BP12" si="66">AVERAGE(AU12:AU14)</f>
        <v>3.9763639106895341</v>
      </c>
    </row>
    <row r="13" spans="1:68" x14ac:dyDescent="0.35">
      <c r="A13" s="1" t="s">
        <v>24</v>
      </c>
      <c r="B13" s="1">
        <v>11</v>
      </c>
      <c r="C13" s="1" t="s">
        <v>36</v>
      </c>
      <c r="D13" s="1" t="s">
        <v>35</v>
      </c>
      <c r="E13" s="3" t="s">
        <v>21</v>
      </c>
      <c r="F13" s="4">
        <v>0.52532185860000002</v>
      </c>
      <c r="G13" s="4">
        <v>0</v>
      </c>
      <c r="H13" s="4">
        <v>0</v>
      </c>
      <c r="I13" s="4">
        <v>0</v>
      </c>
      <c r="J13" s="4">
        <v>0.28412551860000002</v>
      </c>
      <c r="K13" s="4">
        <v>0</v>
      </c>
      <c r="L13" s="4">
        <v>0.69395901960000006</v>
      </c>
      <c r="M13" s="4">
        <v>1.6741586400000001E-2</v>
      </c>
      <c r="N13" s="4">
        <v>0</v>
      </c>
      <c r="O13" s="4">
        <v>0</v>
      </c>
      <c r="P13" s="4">
        <v>0</v>
      </c>
      <c r="Q13" s="4">
        <v>4.0218763200000007E-2</v>
      </c>
      <c r="R13" s="4">
        <v>0</v>
      </c>
      <c r="S13" s="4">
        <v>0</v>
      </c>
      <c r="T13" s="4">
        <v>0.29485958039999999</v>
      </c>
      <c r="U13" s="4">
        <v>0.37753392600000002</v>
      </c>
      <c r="V13" s="4">
        <v>0</v>
      </c>
      <c r="W13" s="4">
        <v>2.0612037600000001E-2</v>
      </c>
      <c r="X13" s="4">
        <v>0.52717932960000002</v>
      </c>
      <c r="Y13" s="4">
        <v>0.14739837420000002</v>
      </c>
      <c r="Z13" s="14">
        <f t="shared" si="0"/>
        <v>2.9279499941999996</v>
      </c>
      <c r="AB13">
        <f t="shared" si="1"/>
        <v>17.941626723154918</v>
      </c>
      <c r="AC13">
        <f t="shared" si="2"/>
        <v>0</v>
      </c>
      <c r="AD13">
        <f t="shared" si="3"/>
        <v>0</v>
      </c>
      <c r="AE13">
        <f t="shared" si="4"/>
        <v>0</v>
      </c>
      <c r="AF13">
        <f t="shared" si="5"/>
        <v>9.7039061173458094</v>
      </c>
      <c r="AG13">
        <f t="shared" si="6"/>
        <v>0</v>
      </c>
      <c r="AH13">
        <f t="shared" si="7"/>
        <v>23.701190968926014</v>
      </c>
      <c r="AI13">
        <f t="shared" si="8"/>
        <v>0.57178525702841743</v>
      </c>
      <c r="AJ13">
        <f t="shared" si="9"/>
        <v>0</v>
      </c>
      <c r="AK13">
        <f t="shared" si="10"/>
        <v>0</v>
      </c>
      <c r="AL13">
        <f t="shared" si="11"/>
        <v>0</v>
      </c>
      <c r="AM13">
        <f t="shared" si="12"/>
        <v>1.373615098607206</v>
      </c>
      <c r="AN13">
        <f t="shared" si="13"/>
        <v>0</v>
      </c>
      <c r="AO13">
        <f t="shared" si="14"/>
        <v>0</v>
      </c>
      <c r="AP13">
        <f t="shared" si="15"/>
        <v>10.070512849744352</v>
      </c>
      <c r="AQ13">
        <f t="shared" si="16"/>
        <v>12.89413845003706</v>
      </c>
      <c r="AR13">
        <f t="shared" si="17"/>
        <v>0</v>
      </c>
      <c r="AS13">
        <f t="shared" si="18"/>
        <v>0.70397505561333207</v>
      </c>
      <c r="AT13">
        <f t="shared" si="19"/>
        <v>18.00506602381509</v>
      </c>
      <c r="AU13">
        <f t="shared" si="20"/>
        <v>5.0341834557278187</v>
      </c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</row>
    <row r="14" spans="1:68" x14ac:dyDescent="0.35">
      <c r="A14" s="1" t="s">
        <v>24</v>
      </c>
      <c r="B14" s="1">
        <v>12</v>
      </c>
      <c r="C14" s="1" t="s">
        <v>37</v>
      </c>
      <c r="D14" s="1" t="s">
        <v>35</v>
      </c>
      <c r="E14" s="3" t="s">
        <v>21</v>
      </c>
      <c r="F14" s="4">
        <v>1.79079054E-2</v>
      </c>
      <c r="G14" s="4">
        <v>1.26677166E-2</v>
      </c>
      <c r="H14" s="4">
        <v>0</v>
      </c>
      <c r="I14" s="4">
        <v>0</v>
      </c>
      <c r="J14" s="4">
        <v>9.8980035000000008E-2</v>
      </c>
      <c r="K14" s="4">
        <v>0</v>
      </c>
      <c r="L14" s="4">
        <v>0.244656027</v>
      </c>
      <c r="M14" s="4">
        <v>0</v>
      </c>
      <c r="N14" s="4">
        <v>0</v>
      </c>
      <c r="O14" s="4">
        <v>0</v>
      </c>
      <c r="P14" s="4">
        <v>4.4698684799999999E-2</v>
      </c>
      <c r="Q14" s="4">
        <v>0</v>
      </c>
      <c r="R14" s="4">
        <v>0</v>
      </c>
      <c r="S14" s="4">
        <v>0</v>
      </c>
      <c r="T14" s="4">
        <v>0.65468901960000003</v>
      </c>
      <c r="U14" s="4">
        <v>1.085363895</v>
      </c>
      <c r="V14" s="4">
        <v>0</v>
      </c>
      <c r="W14" s="4">
        <v>0</v>
      </c>
      <c r="X14" s="4">
        <v>8.0244318000000009E-2</v>
      </c>
      <c r="Y14" s="4">
        <v>3.6745724399999999E-2</v>
      </c>
      <c r="Z14" s="14">
        <f t="shared" si="0"/>
        <v>2.2759533258000002</v>
      </c>
      <c r="AB14">
        <f t="shared" si="1"/>
        <v>0.78683095988821961</v>
      </c>
      <c r="AC14">
        <f t="shared" si="2"/>
        <v>0.55658947204232689</v>
      </c>
      <c r="AD14">
        <f t="shared" si="3"/>
        <v>0</v>
      </c>
      <c r="AE14">
        <f t="shared" si="4"/>
        <v>0</v>
      </c>
      <c r="AF14">
        <f t="shared" si="5"/>
        <v>4.3489483671730573</v>
      </c>
      <c r="AG14">
        <f t="shared" si="6"/>
        <v>0</v>
      </c>
      <c r="AH14">
        <f t="shared" si="7"/>
        <v>10.749606515502823</v>
      </c>
      <c r="AI14">
        <f t="shared" si="8"/>
        <v>0</v>
      </c>
      <c r="AJ14">
        <f t="shared" si="9"/>
        <v>0</v>
      </c>
      <c r="AK14">
        <f t="shared" si="10"/>
        <v>0</v>
      </c>
      <c r="AL14">
        <f t="shared" si="11"/>
        <v>1.96395436994686</v>
      </c>
      <c r="AM14">
        <f t="shared" si="12"/>
        <v>0</v>
      </c>
      <c r="AN14">
        <f t="shared" si="13"/>
        <v>0</v>
      </c>
      <c r="AO14">
        <f t="shared" si="14"/>
        <v>0</v>
      </c>
      <c r="AP14">
        <f t="shared" si="15"/>
        <v>28.765485310199679</v>
      </c>
      <c r="AQ14">
        <f t="shared" si="16"/>
        <v>47.688319558068855</v>
      </c>
      <c r="AR14">
        <f t="shared" si="17"/>
        <v>0</v>
      </c>
      <c r="AS14">
        <f t="shared" si="18"/>
        <v>0</v>
      </c>
      <c r="AT14">
        <f t="shared" si="19"/>
        <v>3.5257453257216529</v>
      </c>
      <c r="AU14">
        <f t="shared" si="20"/>
        <v>1.6145201214565257</v>
      </c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</row>
    <row r="15" spans="1:68" x14ac:dyDescent="0.35">
      <c r="A15" s="1" t="s">
        <v>18</v>
      </c>
      <c r="B15" s="1">
        <v>13</v>
      </c>
      <c r="C15" s="1" t="s">
        <v>38</v>
      </c>
      <c r="D15" s="1" t="s">
        <v>39</v>
      </c>
      <c r="E15" s="3" t="s">
        <v>21</v>
      </c>
      <c r="F15" s="4">
        <v>0.33744711000000005</v>
      </c>
      <c r="G15" s="4">
        <v>0</v>
      </c>
      <c r="H15" s="4">
        <v>0</v>
      </c>
      <c r="I15" s="4">
        <v>0</v>
      </c>
      <c r="J15" s="4">
        <v>7.9590865199999999E-2</v>
      </c>
      <c r="K15" s="4">
        <v>5.3912997599999998E-2</v>
      </c>
      <c r="L15" s="4">
        <v>0.45855814620000007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0.1855750974</v>
      </c>
      <c r="U15" s="4">
        <v>2.4982607958000003</v>
      </c>
      <c r="V15" s="4">
        <v>0</v>
      </c>
      <c r="W15" s="4">
        <v>0</v>
      </c>
      <c r="X15" s="4">
        <v>6.4101206399999999E-2</v>
      </c>
      <c r="Y15" s="4">
        <v>0</v>
      </c>
      <c r="Z15" s="14">
        <f t="shared" si="0"/>
        <v>3.6774462186000005</v>
      </c>
      <c r="AB15">
        <f t="shared" si="1"/>
        <v>9.1761263099713197</v>
      </c>
      <c r="AC15">
        <f t="shared" si="2"/>
        <v>0</v>
      </c>
      <c r="AD15">
        <f t="shared" si="3"/>
        <v>0</v>
      </c>
      <c r="AE15">
        <f t="shared" si="4"/>
        <v>0</v>
      </c>
      <c r="AF15">
        <f t="shared" si="5"/>
        <v>2.1642971907363515</v>
      </c>
      <c r="AG15">
        <f t="shared" si="6"/>
        <v>1.4660444883548729</v>
      </c>
      <c r="AH15">
        <f t="shared" si="7"/>
        <v>12.469472534518061</v>
      </c>
      <c r="AI15">
        <f t="shared" si="8"/>
        <v>0</v>
      </c>
      <c r="AJ15">
        <f t="shared" si="9"/>
        <v>0</v>
      </c>
      <c r="AK15">
        <f t="shared" si="10"/>
        <v>0</v>
      </c>
      <c r="AL15">
        <f t="shared" si="11"/>
        <v>0</v>
      </c>
      <c r="AM15">
        <f t="shared" si="12"/>
        <v>0</v>
      </c>
      <c r="AN15">
        <f t="shared" si="13"/>
        <v>0</v>
      </c>
      <c r="AO15">
        <f t="shared" si="14"/>
        <v>0</v>
      </c>
      <c r="AP15">
        <f t="shared" si="15"/>
        <v>5.0463035043554827</v>
      </c>
      <c r="AQ15">
        <f t="shared" si="16"/>
        <v>67.934665724386463</v>
      </c>
      <c r="AR15">
        <f t="shared" si="17"/>
        <v>0</v>
      </c>
      <c r="AS15">
        <f t="shared" si="18"/>
        <v>0</v>
      </c>
      <c r="AT15">
        <f t="shared" si="19"/>
        <v>1.7430902476774564</v>
      </c>
      <c r="AU15">
        <f t="shared" si="20"/>
        <v>0</v>
      </c>
      <c r="AW15" s="16">
        <f>AVERAGE(AB15:AB17)</f>
        <v>3.4265324973145361</v>
      </c>
      <c r="AX15" s="16">
        <f>AVERAGE(AC15:AC17)</f>
        <v>0</v>
      </c>
      <c r="AY15" s="16">
        <f>AVERAGE(AD15:AD17)</f>
        <v>0</v>
      </c>
      <c r="AZ15" s="16">
        <f>AVERAGE(AE15:AE17)</f>
        <v>0.82760338647921616</v>
      </c>
      <c r="BA15" s="16">
        <f>AVERAGE(AF15:AF17)</f>
        <v>3.7407684886765078</v>
      </c>
      <c r="BB15" s="16">
        <f t="shared" ref="BB15" si="67">AVERAGE(AG15:AG17)</f>
        <v>0.48868149611829098</v>
      </c>
      <c r="BC15" s="16">
        <f t="shared" ref="BC15" si="68">AVERAGE(AH15:AH17)</f>
        <v>9.1914181133385515</v>
      </c>
      <c r="BD15" s="16">
        <f t="shared" ref="BD15" si="69">AVERAGE(AI15:AI17)</f>
        <v>0.35883448513018718</v>
      </c>
      <c r="BE15" s="16">
        <f t="shared" ref="BE15" si="70">AVERAGE(AJ15:AJ17)</f>
        <v>0</v>
      </c>
      <c r="BF15" s="16">
        <f t="shared" ref="BF15" si="71">AVERAGE(AK15:AK17)</f>
        <v>0</v>
      </c>
      <c r="BG15" s="16">
        <f t="shared" ref="BG15" si="72">AVERAGE(AL15:AL17)</f>
        <v>0.39460166141276348</v>
      </c>
      <c r="BH15" s="16">
        <f t="shared" ref="BH15" si="73">AVERAGE(AM15:AM17)</f>
        <v>0</v>
      </c>
      <c r="BI15" s="16">
        <f t="shared" ref="BI15" si="74">AVERAGE(AN15:AN17)</f>
        <v>0</v>
      </c>
      <c r="BJ15" s="16">
        <f t="shared" ref="BJ15" si="75">AVERAGE(AO15:AO17)</f>
        <v>0</v>
      </c>
      <c r="BK15" s="16">
        <f t="shared" ref="BK15" si="76">AVERAGE(AP15:AP17)</f>
        <v>10.624857206741867</v>
      </c>
      <c r="BL15" s="16">
        <f t="shared" ref="BL15" si="77">AVERAGE(AQ15:AQ17)</f>
        <v>69.48423633897913</v>
      </c>
      <c r="BM15" s="16">
        <f t="shared" ref="BM15" si="78">AVERAGE(AR15:AR17)</f>
        <v>0</v>
      </c>
      <c r="BN15" s="16">
        <f t="shared" ref="BN15" si="79">AVERAGE(AS15:AS17)</f>
        <v>0</v>
      </c>
      <c r="BO15" s="16">
        <f t="shared" ref="BO15" si="80">AVERAGE(AT15:AT17)</f>
        <v>1.4624663258089619</v>
      </c>
      <c r="BP15" s="16">
        <f t="shared" ref="BP15" si="81">AVERAGE(AU15:AU17)</f>
        <v>0</v>
      </c>
    </row>
    <row r="16" spans="1:68" x14ac:dyDescent="0.35">
      <c r="A16" s="1" t="s">
        <v>18</v>
      </c>
      <c r="B16" s="1">
        <v>14</v>
      </c>
      <c r="C16" s="1" t="s">
        <v>40</v>
      </c>
      <c r="D16" s="1" t="s">
        <v>39</v>
      </c>
      <c r="E16" s="3" t="s">
        <v>21</v>
      </c>
      <c r="F16" s="4">
        <v>4.6759574399999997E-2</v>
      </c>
      <c r="G16" s="4">
        <v>0</v>
      </c>
      <c r="H16" s="4">
        <v>0</v>
      </c>
      <c r="I16" s="4">
        <v>0.10520904240000002</v>
      </c>
      <c r="J16" s="4">
        <v>0.31736129040000005</v>
      </c>
      <c r="K16" s="4">
        <v>0</v>
      </c>
      <c r="L16" s="4">
        <v>0.50151167219999992</v>
      </c>
      <c r="M16" s="4">
        <v>4.5616817400000009E-2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0.73116577379999992</v>
      </c>
      <c r="U16" s="4">
        <v>2.4087228396000002</v>
      </c>
      <c r="V16" s="4">
        <v>0</v>
      </c>
      <c r="W16" s="4">
        <v>0</v>
      </c>
      <c r="X16" s="4">
        <v>8.1151454999999997E-2</v>
      </c>
      <c r="Y16" s="4">
        <v>0</v>
      </c>
      <c r="Z16" s="14">
        <f t="shared" si="0"/>
        <v>4.2374984651999998</v>
      </c>
      <c r="AB16">
        <f t="shared" si="1"/>
        <v>1.103471181972288</v>
      </c>
      <c r="AC16">
        <f t="shared" si="2"/>
        <v>0</v>
      </c>
      <c r="AD16">
        <f t="shared" si="3"/>
        <v>0</v>
      </c>
      <c r="AE16">
        <f t="shared" si="4"/>
        <v>2.4828101594376486</v>
      </c>
      <c r="AF16">
        <f t="shared" si="5"/>
        <v>7.4893546984452151</v>
      </c>
      <c r="AG16">
        <f t="shared" si="6"/>
        <v>0</v>
      </c>
      <c r="AH16">
        <f t="shared" si="7"/>
        <v>11.835087996340544</v>
      </c>
      <c r="AI16">
        <f t="shared" si="8"/>
        <v>1.0765034553905615</v>
      </c>
      <c r="AJ16">
        <f t="shared" si="9"/>
        <v>0</v>
      </c>
      <c r="AK16">
        <f t="shared" si="10"/>
        <v>0</v>
      </c>
      <c r="AL16">
        <f t="shared" si="11"/>
        <v>0</v>
      </c>
      <c r="AM16">
        <f t="shared" si="12"/>
        <v>0</v>
      </c>
      <c r="AN16">
        <f t="shared" si="13"/>
        <v>0</v>
      </c>
      <c r="AO16">
        <f t="shared" si="14"/>
        <v>0</v>
      </c>
      <c r="AP16">
        <f t="shared" si="15"/>
        <v>17.254655778748244</v>
      </c>
      <c r="AQ16">
        <f t="shared" si="16"/>
        <v>56.843037451963163</v>
      </c>
      <c r="AR16">
        <f t="shared" si="17"/>
        <v>0</v>
      </c>
      <c r="AS16">
        <f t="shared" si="18"/>
        <v>0</v>
      </c>
      <c r="AT16">
        <f t="shared" si="19"/>
        <v>1.9150792777023424</v>
      </c>
      <c r="AU16">
        <f t="shared" si="20"/>
        <v>0</v>
      </c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</row>
    <row r="17" spans="1:68" x14ac:dyDescent="0.35">
      <c r="A17" s="1" t="s">
        <v>18</v>
      </c>
      <c r="B17" s="1">
        <v>15</v>
      </c>
      <c r="C17" s="1" t="s">
        <v>41</v>
      </c>
      <c r="D17" s="1" t="s">
        <v>39</v>
      </c>
      <c r="E17" s="3" t="s">
        <v>21</v>
      </c>
      <c r="F17" s="4">
        <v>0</v>
      </c>
      <c r="G17" s="4">
        <v>0</v>
      </c>
      <c r="H17" s="4">
        <v>0</v>
      </c>
      <c r="I17" s="4">
        <v>0</v>
      </c>
      <c r="J17" s="4">
        <v>5.4739238399999994E-2</v>
      </c>
      <c r="K17" s="4">
        <v>0</v>
      </c>
      <c r="L17" s="4">
        <v>0.11409819960000001</v>
      </c>
      <c r="M17" s="4">
        <v>0</v>
      </c>
      <c r="N17" s="4">
        <v>0</v>
      </c>
      <c r="O17" s="4">
        <v>0</v>
      </c>
      <c r="P17" s="4">
        <v>4.1309683799999997E-2</v>
      </c>
      <c r="Q17" s="4">
        <v>0</v>
      </c>
      <c r="R17" s="4">
        <v>0</v>
      </c>
      <c r="S17" s="4">
        <v>0</v>
      </c>
      <c r="T17" s="4">
        <v>0.33407774400000001</v>
      </c>
      <c r="U17" s="4">
        <v>2.9198965025999999</v>
      </c>
      <c r="V17" s="4">
        <v>0</v>
      </c>
      <c r="W17" s="4">
        <v>0</v>
      </c>
      <c r="X17" s="4">
        <v>2.5446960000000001E-2</v>
      </c>
      <c r="Y17" s="4">
        <v>0</v>
      </c>
      <c r="Z17" s="14">
        <f t="shared" si="0"/>
        <v>3.4895683283999999</v>
      </c>
      <c r="AB17">
        <f t="shared" si="1"/>
        <v>0</v>
      </c>
      <c r="AC17">
        <f t="shared" si="2"/>
        <v>0</v>
      </c>
      <c r="AD17">
        <f t="shared" si="3"/>
        <v>0</v>
      </c>
      <c r="AE17">
        <f t="shared" si="4"/>
        <v>0</v>
      </c>
      <c r="AF17">
        <f t="shared" si="5"/>
        <v>1.5686535768479553</v>
      </c>
      <c r="AG17">
        <f t="shared" si="6"/>
        <v>0</v>
      </c>
      <c r="AH17">
        <f t="shared" si="7"/>
        <v>3.2696938091570518</v>
      </c>
      <c r="AI17">
        <f t="shared" si="8"/>
        <v>0</v>
      </c>
      <c r="AJ17">
        <f t="shared" si="9"/>
        <v>0</v>
      </c>
      <c r="AK17">
        <f t="shared" si="10"/>
        <v>0</v>
      </c>
      <c r="AL17">
        <f t="shared" si="11"/>
        <v>1.1838049842382905</v>
      </c>
      <c r="AM17">
        <f t="shared" si="12"/>
        <v>0</v>
      </c>
      <c r="AN17">
        <f t="shared" si="13"/>
        <v>0</v>
      </c>
      <c r="AO17">
        <f t="shared" si="14"/>
        <v>0</v>
      </c>
      <c r="AP17">
        <f t="shared" si="15"/>
        <v>9.573612337121876</v>
      </c>
      <c r="AQ17">
        <f t="shared" si="16"/>
        <v>83.675005840587744</v>
      </c>
      <c r="AR17">
        <f t="shared" si="17"/>
        <v>0</v>
      </c>
      <c r="AS17">
        <f t="shared" si="18"/>
        <v>0</v>
      </c>
      <c r="AT17">
        <f t="shared" si="19"/>
        <v>0.72922945204708667</v>
      </c>
      <c r="AU17">
        <f t="shared" si="20"/>
        <v>0</v>
      </c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</row>
    <row r="18" spans="1:68" x14ac:dyDescent="0.35">
      <c r="A18" s="1" t="s">
        <v>42</v>
      </c>
      <c r="B18" s="1">
        <v>16</v>
      </c>
      <c r="C18" s="1" t="s">
        <v>43</v>
      </c>
      <c r="D18" s="1" t="s">
        <v>44</v>
      </c>
      <c r="E18" s="3" t="s">
        <v>27</v>
      </c>
      <c r="F18" s="4">
        <v>1.059610629</v>
      </c>
      <c r="G18" s="4">
        <v>0</v>
      </c>
      <c r="H18" s="4">
        <v>0</v>
      </c>
      <c r="I18" s="4">
        <v>0</v>
      </c>
      <c r="J18" s="4">
        <v>0.1372282296</v>
      </c>
      <c r="K18" s="4">
        <v>0.13854456000000001</v>
      </c>
      <c r="L18" s="4">
        <v>0.42313660620000004</v>
      </c>
      <c r="M18" s="4">
        <v>0</v>
      </c>
      <c r="N18" s="4">
        <v>0</v>
      </c>
      <c r="O18" s="4">
        <v>0</v>
      </c>
      <c r="P18" s="4">
        <v>0</v>
      </c>
      <c r="Q18" s="4">
        <v>3.8013360000000003E-2</v>
      </c>
      <c r="R18" s="4">
        <v>0</v>
      </c>
      <c r="S18" s="4">
        <v>0.30876351660000007</v>
      </c>
      <c r="T18" s="4">
        <v>0</v>
      </c>
      <c r="U18" s="4">
        <v>0.29087289000000005</v>
      </c>
      <c r="V18" s="4">
        <v>0</v>
      </c>
      <c r="W18" s="4">
        <v>0</v>
      </c>
      <c r="X18" s="4">
        <v>0.41630441160000003</v>
      </c>
      <c r="Y18" s="4">
        <v>0</v>
      </c>
      <c r="Z18" s="14">
        <f t="shared" si="0"/>
        <v>2.8124742030000007</v>
      </c>
      <c r="AB18">
        <f t="shared" si="1"/>
        <v>37.675390155391938</v>
      </c>
      <c r="AC18">
        <f t="shared" si="2"/>
        <v>0</v>
      </c>
      <c r="AD18">
        <f t="shared" si="3"/>
        <v>0</v>
      </c>
      <c r="AE18">
        <f t="shared" si="4"/>
        <v>0</v>
      </c>
      <c r="AF18">
        <f t="shared" si="5"/>
        <v>4.8792706953052889</v>
      </c>
      <c r="AG18">
        <f t="shared" si="6"/>
        <v>4.9260739832641933</v>
      </c>
      <c r="AH18">
        <f t="shared" si="7"/>
        <v>15.044995106040442</v>
      </c>
      <c r="AI18">
        <f t="shared" si="8"/>
        <v>0</v>
      </c>
      <c r="AJ18">
        <f t="shared" si="9"/>
        <v>0</v>
      </c>
      <c r="AK18">
        <f t="shared" si="10"/>
        <v>0</v>
      </c>
      <c r="AL18">
        <f t="shared" si="11"/>
        <v>0</v>
      </c>
      <c r="AM18">
        <f t="shared" si="12"/>
        <v>1.3515985305554816</v>
      </c>
      <c r="AN18">
        <f t="shared" si="13"/>
        <v>0</v>
      </c>
      <c r="AO18">
        <f t="shared" si="14"/>
        <v>10.9783590644369</v>
      </c>
      <c r="AP18">
        <f t="shared" si="15"/>
        <v>0</v>
      </c>
      <c r="AQ18">
        <f t="shared" si="16"/>
        <v>10.342242061802121</v>
      </c>
      <c r="AR18">
        <f t="shared" si="17"/>
        <v>0</v>
      </c>
      <c r="AS18">
        <f t="shared" si="18"/>
        <v>0</v>
      </c>
      <c r="AT18">
        <f t="shared" si="19"/>
        <v>14.80207040320362</v>
      </c>
      <c r="AU18">
        <f t="shared" si="20"/>
        <v>0</v>
      </c>
      <c r="AW18" s="16">
        <f>AVERAGE(AB18:AB20)</f>
        <v>24.312664201238999</v>
      </c>
      <c r="AX18" s="16">
        <f>AVERAGE(AC18:AC20)</f>
        <v>0</v>
      </c>
      <c r="AY18" s="16">
        <f>AVERAGE(AD18:AD20)</f>
        <v>0</v>
      </c>
      <c r="AZ18" s="16">
        <f>AVERAGE(AE18:AE20)</f>
        <v>0.94526947299583453</v>
      </c>
      <c r="BA18" s="16">
        <f>AVERAGE(AF18:AF20)</f>
        <v>1.9455045560107509</v>
      </c>
      <c r="BB18" s="16">
        <f t="shared" ref="BB18" si="82">AVERAGE(AG18:AG20)</f>
        <v>2.1887438350572284</v>
      </c>
      <c r="BC18" s="16">
        <f t="shared" ref="BC18" si="83">AVERAGE(AH18:AH20)</f>
        <v>27.261111596319552</v>
      </c>
      <c r="BD18" s="16">
        <f t="shared" ref="BD18" si="84">AVERAGE(AI18:AI20)</f>
        <v>0</v>
      </c>
      <c r="BE18" s="16">
        <f t="shared" ref="BE18" si="85">AVERAGE(AJ18:AJ20)</f>
        <v>0</v>
      </c>
      <c r="BF18" s="16">
        <f t="shared" ref="BF18" si="86">AVERAGE(AK18:AK20)</f>
        <v>0</v>
      </c>
      <c r="BG18" s="16">
        <f t="shared" ref="BG18" si="87">AVERAGE(AL18:AL20)</f>
        <v>0</v>
      </c>
      <c r="BH18" s="16">
        <f t="shared" ref="BH18" si="88">AVERAGE(AM18:AM20)</f>
        <v>0.45053284351849388</v>
      </c>
      <c r="BI18" s="16">
        <f t="shared" ref="BI18" si="89">AVERAGE(AN18:AN20)</f>
        <v>0</v>
      </c>
      <c r="BJ18" s="16">
        <f t="shared" ref="BJ18" si="90">AVERAGE(AO18:AO20)</f>
        <v>10.127594458253805</v>
      </c>
      <c r="BK18" s="16">
        <f t="shared" ref="BK18" si="91">AVERAGE(AP18:AP20)</f>
        <v>0</v>
      </c>
      <c r="BL18" s="16">
        <f t="shared" ref="BL18" si="92">AVERAGE(AQ18:AQ20)</f>
        <v>21.743827196760908</v>
      </c>
      <c r="BM18" s="16">
        <f t="shared" ref="BM18" si="93">AVERAGE(AR18:AR20)</f>
        <v>0</v>
      </c>
      <c r="BN18" s="16">
        <f t="shared" ref="BN18" si="94">AVERAGE(AS18:AS20)</f>
        <v>0</v>
      </c>
      <c r="BO18" s="16">
        <f t="shared" ref="BO18" si="95">AVERAGE(AT18:AT20)</f>
        <v>11.024751839844427</v>
      </c>
      <c r="BP18" s="16">
        <f t="shared" ref="BP18" si="96">AVERAGE(AU18:AU20)</f>
        <v>0</v>
      </c>
    </row>
    <row r="19" spans="1:68" x14ac:dyDescent="0.35">
      <c r="A19" s="1" t="s">
        <v>42</v>
      </c>
      <c r="B19" s="1">
        <v>17</v>
      </c>
      <c r="C19" s="1" t="s">
        <v>45</v>
      </c>
      <c r="D19" s="1" t="s">
        <v>44</v>
      </c>
      <c r="E19" s="3" t="s">
        <v>27</v>
      </c>
      <c r="F19" s="4">
        <v>0.58269689939999991</v>
      </c>
      <c r="G19" s="4">
        <v>0</v>
      </c>
      <c r="H19" s="4">
        <v>0</v>
      </c>
      <c r="I19" s="4">
        <v>0</v>
      </c>
      <c r="J19" s="4">
        <v>1.76715E-2</v>
      </c>
      <c r="K19" s="4">
        <v>6.9746661600000009E-2</v>
      </c>
      <c r="L19" s="4">
        <v>0.81916120440000006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0.82516087500000002</v>
      </c>
      <c r="T19" s="4">
        <v>0</v>
      </c>
      <c r="U19" s="4">
        <v>1.6391659284</v>
      </c>
      <c r="V19" s="4">
        <v>0</v>
      </c>
      <c r="W19" s="4">
        <v>0</v>
      </c>
      <c r="X19" s="4">
        <v>0.29883370440000001</v>
      </c>
      <c r="Y19" s="4">
        <v>0</v>
      </c>
      <c r="Z19" s="14">
        <f t="shared" si="0"/>
        <v>4.2524367731999995</v>
      </c>
      <c r="AB19">
        <f t="shared" si="1"/>
        <v>13.70265874550593</v>
      </c>
      <c r="AC19">
        <f t="shared" si="2"/>
        <v>0</v>
      </c>
      <c r="AD19">
        <f t="shared" si="3"/>
        <v>0</v>
      </c>
      <c r="AE19">
        <f t="shared" si="4"/>
        <v>0</v>
      </c>
      <c r="AF19">
        <f t="shared" si="5"/>
        <v>0.41556173418898423</v>
      </c>
      <c r="AG19">
        <f t="shared" si="6"/>
        <v>1.6401575219074915</v>
      </c>
      <c r="AH19">
        <f t="shared" si="7"/>
        <v>19.263336484214751</v>
      </c>
      <c r="AI19">
        <f t="shared" si="8"/>
        <v>0</v>
      </c>
      <c r="AJ19">
        <f t="shared" si="9"/>
        <v>0</v>
      </c>
      <c r="AK19">
        <f t="shared" si="10"/>
        <v>0</v>
      </c>
      <c r="AL19">
        <f t="shared" si="11"/>
        <v>0</v>
      </c>
      <c r="AM19">
        <f t="shared" si="12"/>
        <v>0</v>
      </c>
      <c r="AN19">
        <f t="shared" si="13"/>
        <v>0</v>
      </c>
      <c r="AO19">
        <f t="shared" si="14"/>
        <v>19.404424310324515</v>
      </c>
      <c r="AP19">
        <f t="shared" si="15"/>
        <v>0</v>
      </c>
      <c r="AQ19">
        <f t="shared" si="16"/>
        <v>38.546509115208124</v>
      </c>
      <c r="AR19">
        <f t="shared" si="17"/>
        <v>0</v>
      </c>
      <c r="AS19">
        <f t="shared" si="18"/>
        <v>0</v>
      </c>
      <c r="AT19">
        <f t="shared" si="19"/>
        <v>7.0273520886502157</v>
      </c>
      <c r="AU19">
        <f t="shared" si="20"/>
        <v>0</v>
      </c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</row>
    <row r="20" spans="1:68" x14ac:dyDescent="0.35">
      <c r="A20" s="1" t="s">
        <v>42</v>
      </c>
      <c r="B20" s="1">
        <v>18</v>
      </c>
      <c r="C20" s="1" t="s">
        <v>46</v>
      </c>
      <c r="D20" s="1" t="s">
        <v>44</v>
      </c>
      <c r="E20" s="3" t="s">
        <v>27</v>
      </c>
      <c r="F20" s="4">
        <v>0.49629033299999997</v>
      </c>
      <c r="G20" s="4">
        <v>0</v>
      </c>
      <c r="H20" s="4">
        <v>0</v>
      </c>
      <c r="I20" s="4">
        <v>6.5277735599999998E-2</v>
      </c>
      <c r="J20" s="4">
        <v>1.2469010399999999E-2</v>
      </c>
      <c r="K20" s="4">
        <v>0</v>
      </c>
      <c r="L20" s="4">
        <v>1.0928314781999999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0.37619481900000001</v>
      </c>
      <c r="V20" s="4">
        <v>0</v>
      </c>
      <c r="W20" s="4">
        <v>0</v>
      </c>
      <c r="X20" s="4">
        <v>0.2588458488</v>
      </c>
      <c r="Y20" s="4">
        <v>0</v>
      </c>
      <c r="Z20" s="14">
        <f t="shared" si="0"/>
        <v>2.3019092250000002</v>
      </c>
      <c r="AB20">
        <f t="shared" si="1"/>
        <v>21.559943702819119</v>
      </c>
      <c r="AC20">
        <f t="shared" si="2"/>
        <v>0</v>
      </c>
      <c r="AD20">
        <f t="shared" si="3"/>
        <v>0</v>
      </c>
      <c r="AE20">
        <f t="shared" si="4"/>
        <v>2.8358084189875035</v>
      </c>
      <c r="AF20">
        <f t="shared" si="5"/>
        <v>0.54168123853797923</v>
      </c>
      <c r="AG20">
        <f t="shared" si="6"/>
        <v>0</v>
      </c>
      <c r="AH20">
        <f t="shared" si="7"/>
        <v>47.475003198703455</v>
      </c>
      <c r="AI20">
        <f t="shared" si="8"/>
        <v>0</v>
      </c>
      <c r="AJ20">
        <f t="shared" si="9"/>
        <v>0</v>
      </c>
      <c r="AK20">
        <f t="shared" si="10"/>
        <v>0</v>
      </c>
      <c r="AL20">
        <f t="shared" si="11"/>
        <v>0</v>
      </c>
      <c r="AM20">
        <f t="shared" si="12"/>
        <v>0</v>
      </c>
      <c r="AN20">
        <f t="shared" si="13"/>
        <v>0</v>
      </c>
      <c r="AO20">
        <f t="shared" si="14"/>
        <v>0</v>
      </c>
      <c r="AP20">
        <f t="shared" si="15"/>
        <v>0</v>
      </c>
      <c r="AQ20">
        <f t="shared" si="16"/>
        <v>16.342730413272484</v>
      </c>
      <c r="AR20">
        <f t="shared" si="17"/>
        <v>0</v>
      </c>
      <c r="AS20">
        <f t="shared" si="18"/>
        <v>0</v>
      </c>
      <c r="AT20">
        <f t="shared" si="19"/>
        <v>11.244833027679446</v>
      </c>
      <c r="AU20">
        <f t="shared" si="20"/>
        <v>0</v>
      </c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</row>
    <row r="21" spans="1:68" x14ac:dyDescent="0.35">
      <c r="A21" s="1" t="s">
        <v>18</v>
      </c>
      <c r="B21" s="1">
        <v>19</v>
      </c>
      <c r="C21" s="1" t="s">
        <v>47</v>
      </c>
      <c r="D21" s="1" t="s">
        <v>48</v>
      </c>
      <c r="E21" s="3" t="s">
        <v>21</v>
      </c>
      <c r="F21" s="4">
        <v>0.14911997100000002</v>
      </c>
      <c r="G21" s="4">
        <v>0</v>
      </c>
      <c r="H21" s="4">
        <v>0</v>
      </c>
      <c r="I21" s="4">
        <v>0</v>
      </c>
      <c r="J21" s="4">
        <v>6.642991740000001E-2</v>
      </c>
      <c r="K21" s="4">
        <v>0</v>
      </c>
      <c r="L21" s="4">
        <v>0.61637877839999999</v>
      </c>
      <c r="M21" s="4">
        <v>2.1904020600000001E-2</v>
      </c>
      <c r="N21" s="4">
        <v>0</v>
      </c>
      <c r="O21" s="4">
        <v>0</v>
      </c>
      <c r="P21" s="4">
        <v>0</v>
      </c>
      <c r="Q21" s="4">
        <v>1.6741586400000001E-2</v>
      </c>
      <c r="R21" s="4">
        <v>0</v>
      </c>
      <c r="S21" s="4">
        <v>0</v>
      </c>
      <c r="T21" s="4">
        <v>4.4862833399999996E-2</v>
      </c>
      <c r="U21" s="4">
        <v>2.2817055954000001</v>
      </c>
      <c r="V21" s="4">
        <v>0</v>
      </c>
      <c r="W21" s="4">
        <v>0.22530848340000001</v>
      </c>
      <c r="X21" s="4">
        <v>0</v>
      </c>
      <c r="Y21" s="4">
        <v>0</v>
      </c>
      <c r="Z21" s="14">
        <f t="shared" si="0"/>
        <v>3.422451186</v>
      </c>
      <c r="AB21">
        <f t="shared" si="1"/>
        <v>4.3571102375395574</v>
      </c>
      <c r="AC21">
        <f t="shared" si="2"/>
        <v>0</v>
      </c>
      <c r="AD21">
        <f t="shared" si="3"/>
        <v>0</v>
      </c>
      <c r="AE21">
        <f t="shared" si="4"/>
        <v>0</v>
      </c>
      <c r="AF21">
        <f t="shared" si="5"/>
        <v>1.9410040871215513</v>
      </c>
      <c r="AG21">
        <f t="shared" si="6"/>
        <v>0</v>
      </c>
      <c r="AH21">
        <f t="shared" si="7"/>
        <v>18.009863250099254</v>
      </c>
      <c r="AI21">
        <f t="shared" si="8"/>
        <v>0.64000973014900442</v>
      </c>
      <c r="AJ21">
        <f t="shared" si="9"/>
        <v>0</v>
      </c>
      <c r="AK21">
        <f t="shared" si="10"/>
        <v>0</v>
      </c>
      <c r="AL21">
        <f t="shared" si="11"/>
        <v>0</v>
      </c>
      <c r="AM21">
        <f t="shared" si="12"/>
        <v>0.48916947211646811</v>
      </c>
      <c r="AN21">
        <f t="shared" si="13"/>
        <v>0</v>
      </c>
      <c r="AO21">
        <f t="shared" si="14"/>
        <v>0</v>
      </c>
      <c r="AP21">
        <f t="shared" si="15"/>
        <v>1.3108392483000924</v>
      </c>
      <c r="AQ21">
        <f t="shared" si="16"/>
        <v>66.668754976948279</v>
      </c>
      <c r="AR21">
        <f t="shared" si="17"/>
        <v>0</v>
      </c>
      <c r="AS21">
        <f t="shared" si="18"/>
        <v>6.5832489977258071</v>
      </c>
      <c r="AT21">
        <f t="shared" si="19"/>
        <v>0</v>
      </c>
      <c r="AU21">
        <f t="shared" si="20"/>
        <v>0</v>
      </c>
      <c r="AW21" s="16">
        <f>AVERAGE(AB21:AB23)</f>
        <v>2.341660655435017</v>
      </c>
      <c r="AX21" s="16">
        <f>AVERAGE(AC21:AC23)</f>
        <v>0</v>
      </c>
      <c r="AY21" s="16">
        <f>AVERAGE(AD21:AD23)</f>
        <v>0</v>
      </c>
      <c r="AZ21" s="16">
        <f>AVERAGE(AE21:AE23)</f>
        <v>0</v>
      </c>
      <c r="BA21" s="16">
        <f>AVERAGE(AF21:AF23)</f>
        <v>5.5661980817509678</v>
      </c>
      <c r="BB21" s="16">
        <f t="shared" ref="BB21" si="97">AVERAGE(AG21:AG23)</f>
        <v>1.4948971318600233</v>
      </c>
      <c r="BC21" s="16">
        <f t="shared" ref="BC21" si="98">AVERAGE(AH21:AH23)</f>
        <v>23.177393747879119</v>
      </c>
      <c r="BD21" s="16">
        <f t="shared" ref="BD21" si="99">AVERAGE(AI21:AI23)</f>
        <v>0.2133365767163348</v>
      </c>
      <c r="BE21" s="16">
        <f t="shared" ref="BE21" si="100">AVERAGE(AJ21:AJ23)</f>
        <v>0</v>
      </c>
      <c r="BF21" s="16">
        <f t="shared" ref="BF21" si="101">AVERAGE(AK21:AK23)</f>
        <v>0</v>
      </c>
      <c r="BG21" s="16">
        <f t="shared" ref="BG21" si="102">AVERAGE(AL21:AL23)</f>
        <v>0</v>
      </c>
      <c r="BH21" s="16">
        <f t="shared" ref="BH21" si="103">AVERAGE(AM21:AM23)</f>
        <v>0.16305649070548936</v>
      </c>
      <c r="BI21" s="16">
        <f t="shared" ref="BI21" si="104">AVERAGE(AN21:AN23)</f>
        <v>0</v>
      </c>
      <c r="BJ21" s="16">
        <f t="shared" ref="BJ21" si="105">AVERAGE(AO21:AO23)</f>
        <v>0</v>
      </c>
      <c r="BK21" s="16">
        <f t="shared" ref="BK21" si="106">AVERAGE(AP21:AP23)</f>
        <v>7.2454766844762561</v>
      </c>
      <c r="BL21" s="16">
        <f t="shared" ref="BL21" si="107">AVERAGE(AQ21:AQ23)</f>
        <v>53.442718058831012</v>
      </c>
      <c r="BM21" s="16">
        <f t="shared" ref="BM21" si="108">AVERAGE(AR21:AR23)</f>
        <v>0</v>
      </c>
      <c r="BN21" s="16">
        <f t="shared" ref="BN21" si="109">AVERAGE(AS21:AS23)</f>
        <v>5.4729285704889064</v>
      </c>
      <c r="BO21" s="16">
        <f t="shared" ref="BO21" si="110">AVERAGE(AT21:AT23)</f>
        <v>0</v>
      </c>
      <c r="BP21" s="16">
        <f t="shared" ref="BP21" si="111">AVERAGE(AU21:AU23)</f>
        <v>0.88233400185687982</v>
      </c>
    </row>
    <row r="22" spans="1:68" x14ac:dyDescent="0.35">
      <c r="A22" s="1" t="s">
        <v>18</v>
      </c>
      <c r="B22" s="1">
        <v>20</v>
      </c>
      <c r="C22" s="1" t="s">
        <v>49</v>
      </c>
      <c r="D22" s="1" t="s">
        <v>48</v>
      </c>
      <c r="E22" s="3" t="s">
        <v>21</v>
      </c>
      <c r="F22" s="4">
        <v>0</v>
      </c>
      <c r="G22" s="4">
        <v>0</v>
      </c>
      <c r="H22" s="4">
        <v>0</v>
      </c>
      <c r="I22" s="4">
        <v>0</v>
      </c>
      <c r="J22" s="4">
        <v>0.39202926840000002</v>
      </c>
      <c r="K22" s="4">
        <v>0</v>
      </c>
      <c r="L22" s="4">
        <v>1.0352278859999999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0.73447544940000009</v>
      </c>
      <c r="U22" s="4">
        <v>1.905745611</v>
      </c>
      <c r="V22" s="4">
        <v>0</v>
      </c>
      <c r="W22" s="4">
        <v>0.28632071160000006</v>
      </c>
      <c r="X22" s="4">
        <v>0</v>
      </c>
      <c r="Y22" s="4">
        <v>0.11837862960000001</v>
      </c>
      <c r="Z22" s="14">
        <f t="shared" si="0"/>
        <v>4.4721775560000001</v>
      </c>
      <c r="AB22">
        <f t="shared" si="1"/>
        <v>0</v>
      </c>
      <c r="AC22">
        <f t="shared" si="2"/>
        <v>0</v>
      </c>
      <c r="AD22">
        <f t="shared" si="3"/>
        <v>0</v>
      </c>
      <c r="AE22">
        <f t="shared" si="4"/>
        <v>0</v>
      </c>
      <c r="AF22">
        <f t="shared" si="5"/>
        <v>8.7659593898288417</v>
      </c>
      <c r="AG22">
        <f t="shared" si="6"/>
        <v>0</v>
      </c>
      <c r="AH22">
        <f t="shared" si="7"/>
        <v>23.148183922418482</v>
      </c>
      <c r="AI22">
        <f t="shared" si="8"/>
        <v>0</v>
      </c>
      <c r="AJ22">
        <f t="shared" si="9"/>
        <v>0</v>
      </c>
      <c r="AK22">
        <f t="shared" si="10"/>
        <v>0</v>
      </c>
      <c r="AL22">
        <f t="shared" si="11"/>
        <v>0</v>
      </c>
      <c r="AM22">
        <f t="shared" si="12"/>
        <v>0</v>
      </c>
      <c r="AN22">
        <f t="shared" si="13"/>
        <v>0</v>
      </c>
      <c r="AO22">
        <f t="shared" si="14"/>
        <v>0</v>
      </c>
      <c r="AP22">
        <f t="shared" si="15"/>
        <v>16.423217553484811</v>
      </c>
      <c r="AQ22">
        <f t="shared" si="16"/>
        <v>42.613370939246309</v>
      </c>
      <c r="AR22">
        <f t="shared" si="17"/>
        <v>0</v>
      </c>
      <c r="AS22">
        <f t="shared" si="18"/>
        <v>6.4022661894509101</v>
      </c>
      <c r="AT22">
        <f t="shared" si="19"/>
        <v>0</v>
      </c>
      <c r="AU22">
        <f t="shared" si="20"/>
        <v>2.6470020055706396</v>
      </c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</row>
    <row r="23" spans="1:68" x14ac:dyDescent="0.35">
      <c r="A23" s="1" t="s">
        <v>18</v>
      </c>
      <c r="B23" s="1">
        <v>21</v>
      </c>
      <c r="C23" s="1" t="s">
        <v>50</v>
      </c>
      <c r="D23" s="1" t="s">
        <v>48</v>
      </c>
      <c r="E23" s="3" t="s">
        <v>21</v>
      </c>
      <c r="F23" s="4">
        <v>8.3345862600000015E-2</v>
      </c>
      <c r="G23" s="4">
        <v>0</v>
      </c>
      <c r="H23" s="4">
        <v>0</v>
      </c>
      <c r="I23" s="4">
        <v>0</v>
      </c>
      <c r="J23" s="4">
        <v>0.18718202580000004</v>
      </c>
      <c r="K23" s="4">
        <v>0.14010436440000001</v>
      </c>
      <c r="L23" s="4">
        <v>0.88642443120000003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0.12503646540000002</v>
      </c>
      <c r="U23" s="4">
        <v>1.5947075760000002</v>
      </c>
      <c r="V23" s="4">
        <v>0</v>
      </c>
      <c r="W23" s="4">
        <v>0.10725736560000002</v>
      </c>
      <c r="X23" s="4">
        <v>0</v>
      </c>
      <c r="Y23" s="4">
        <v>0</v>
      </c>
      <c r="Z23" s="14">
        <f t="shared" si="0"/>
        <v>3.1240580910000006</v>
      </c>
      <c r="AB23">
        <f t="shared" si="1"/>
        <v>2.6678717287654941</v>
      </c>
      <c r="AC23">
        <f t="shared" si="2"/>
        <v>0</v>
      </c>
      <c r="AD23">
        <f t="shared" si="3"/>
        <v>0</v>
      </c>
      <c r="AE23">
        <f t="shared" si="4"/>
        <v>0</v>
      </c>
      <c r="AF23">
        <f t="shared" si="5"/>
        <v>5.9916307683025094</v>
      </c>
      <c r="AG23">
        <f t="shared" si="6"/>
        <v>4.4846913955800698</v>
      </c>
      <c r="AH23">
        <f t="shared" si="7"/>
        <v>28.37413407111961</v>
      </c>
      <c r="AI23">
        <f t="shared" si="8"/>
        <v>0</v>
      </c>
      <c r="AJ23">
        <f t="shared" si="9"/>
        <v>0</v>
      </c>
      <c r="AK23">
        <f t="shared" si="10"/>
        <v>0</v>
      </c>
      <c r="AL23">
        <f t="shared" si="11"/>
        <v>0</v>
      </c>
      <c r="AM23">
        <f t="shared" si="12"/>
        <v>0</v>
      </c>
      <c r="AN23">
        <f t="shared" si="13"/>
        <v>0</v>
      </c>
      <c r="AO23">
        <f t="shared" si="14"/>
        <v>0</v>
      </c>
      <c r="AP23">
        <f t="shared" si="15"/>
        <v>4.0023732516438661</v>
      </c>
      <c r="AQ23">
        <f t="shared" si="16"/>
        <v>51.046028260298435</v>
      </c>
      <c r="AR23">
        <f t="shared" si="17"/>
        <v>0</v>
      </c>
      <c r="AS23">
        <f t="shared" si="18"/>
        <v>3.4332705242900037</v>
      </c>
      <c r="AT23">
        <f t="shared" si="19"/>
        <v>0</v>
      </c>
      <c r="AU23">
        <f t="shared" si="20"/>
        <v>0</v>
      </c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</row>
    <row r="24" spans="1:68" x14ac:dyDescent="0.35">
      <c r="A24" s="1" t="s">
        <v>42</v>
      </c>
      <c r="B24" s="1">
        <v>22</v>
      </c>
      <c r="C24" s="1" t="s">
        <v>51</v>
      </c>
      <c r="D24" s="1" t="s">
        <v>52</v>
      </c>
      <c r="E24" s="3" t="s">
        <v>53</v>
      </c>
      <c r="F24" s="4">
        <v>1.8939465468000003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0.82769771700000005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0.35890895039999998</v>
      </c>
      <c r="T24" s="4">
        <v>0</v>
      </c>
      <c r="U24" s="4">
        <v>0.40151611500000001</v>
      </c>
      <c r="V24" s="4">
        <v>0</v>
      </c>
      <c r="W24" s="4">
        <v>0</v>
      </c>
      <c r="X24" s="4">
        <v>0.35271842760000005</v>
      </c>
      <c r="Y24" s="4">
        <v>0</v>
      </c>
      <c r="Z24" s="14">
        <f t="shared" si="0"/>
        <v>3.8347877568000008</v>
      </c>
      <c r="AB24">
        <f t="shared" si="1"/>
        <v>49.388562468459376</v>
      </c>
      <c r="AC24">
        <f t="shared" si="2"/>
        <v>0</v>
      </c>
      <c r="AD24">
        <f t="shared" si="3"/>
        <v>0</v>
      </c>
      <c r="AE24">
        <f t="shared" si="4"/>
        <v>0</v>
      </c>
      <c r="AF24">
        <f t="shared" si="5"/>
        <v>0</v>
      </c>
      <c r="AG24">
        <f t="shared" si="6"/>
        <v>0</v>
      </c>
      <c r="AH24">
        <f t="shared" si="7"/>
        <v>21.583925095523028</v>
      </c>
      <c r="AI24">
        <f t="shared" si="8"/>
        <v>0</v>
      </c>
      <c r="AJ24">
        <f t="shared" si="9"/>
        <v>0</v>
      </c>
      <c r="AK24">
        <f t="shared" si="10"/>
        <v>0</v>
      </c>
      <c r="AL24">
        <f t="shared" si="11"/>
        <v>0</v>
      </c>
      <c r="AM24">
        <f t="shared" si="12"/>
        <v>0</v>
      </c>
      <c r="AN24">
        <f t="shared" si="13"/>
        <v>0</v>
      </c>
      <c r="AO24">
        <f t="shared" si="14"/>
        <v>9.3592911306125899</v>
      </c>
      <c r="AP24">
        <f t="shared" si="15"/>
        <v>0</v>
      </c>
      <c r="AQ24">
        <f t="shared" si="16"/>
        <v>10.470360824742265</v>
      </c>
      <c r="AR24">
        <f t="shared" si="17"/>
        <v>0</v>
      </c>
      <c r="AS24">
        <f t="shared" si="18"/>
        <v>0</v>
      </c>
      <c r="AT24">
        <f t="shared" si="19"/>
        <v>9.1978604806627295</v>
      </c>
      <c r="AU24">
        <f t="shared" si="20"/>
        <v>0</v>
      </c>
      <c r="AW24" s="16">
        <f>AVERAGE(AB24:AB26)</f>
        <v>61.290993726549409</v>
      </c>
      <c r="AX24" s="16">
        <f>AVERAGE(AC24:AC26)</f>
        <v>0</v>
      </c>
      <c r="AY24" s="16">
        <f>AVERAGE(AD24:AD26)</f>
        <v>0</v>
      </c>
      <c r="AZ24" s="16">
        <f>AVERAGE(AE24:AE26)</f>
        <v>0</v>
      </c>
      <c r="BA24" s="16">
        <f>AVERAGE(AF24:AF26)</f>
        <v>0.54928597613223673</v>
      </c>
      <c r="BB24" s="16">
        <f t="shared" ref="BB24" si="112">AVERAGE(AG24:AG26)</f>
        <v>0</v>
      </c>
      <c r="BC24" s="16">
        <f t="shared" ref="BC24" si="113">AVERAGE(AH24:AH26)</f>
        <v>13.377294351379108</v>
      </c>
      <c r="BD24" s="16">
        <f t="shared" ref="BD24" si="114">AVERAGE(AI24:AI26)</f>
        <v>0</v>
      </c>
      <c r="BE24" s="16">
        <f t="shared" ref="BE24" si="115">AVERAGE(AJ24:AJ26)</f>
        <v>0</v>
      </c>
      <c r="BF24" s="16">
        <f t="shared" ref="BF24" si="116">AVERAGE(AK24:AK26)</f>
        <v>0</v>
      </c>
      <c r="BG24" s="16">
        <f t="shared" ref="BG24" si="117">AVERAGE(AL24:AL26)</f>
        <v>0</v>
      </c>
      <c r="BH24" s="16">
        <f t="shared" ref="BH24" si="118">AVERAGE(AM24:AM26)</f>
        <v>0</v>
      </c>
      <c r="BI24" s="16">
        <f t="shared" ref="BI24" si="119">AVERAGE(AN24:AN26)</f>
        <v>0</v>
      </c>
      <c r="BJ24" s="16">
        <f t="shared" ref="BJ24" si="120">AVERAGE(AO24:AO26)</f>
        <v>10.910491407518904</v>
      </c>
      <c r="BK24" s="16">
        <f t="shared" ref="BK24" si="121">AVERAGE(AP24:AP26)</f>
        <v>0</v>
      </c>
      <c r="BL24" s="16">
        <f t="shared" ref="BL24" si="122">AVERAGE(AQ24:AQ26)</f>
        <v>6.5170865877981194</v>
      </c>
      <c r="BM24" s="16">
        <f t="shared" ref="BM24" si="123">AVERAGE(AR24:AR26)</f>
        <v>0</v>
      </c>
      <c r="BN24" s="16">
        <f t="shared" ref="BN24" si="124">AVERAGE(AS24:AS26)</f>
        <v>0</v>
      </c>
      <c r="BO24" s="16">
        <f t="shared" ref="BO24" si="125">AVERAGE(AT24:AT26)</f>
        <v>5.0786307329257623</v>
      </c>
      <c r="BP24" s="16">
        <f t="shared" ref="BP24" si="126">AVERAGE(AU24:AU26)</f>
        <v>2.2762172176964559</v>
      </c>
    </row>
    <row r="25" spans="1:68" x14ac:dyDescent="0.35">
      <c r="A25" s="1" t="s">
        <v>42</v>
      </c>
      <c r="B25" s="1">
        <v>23</v>
      </c>
      <c r="C25" s="1" t="s">
        <v>54</v>
      </c>
      <c r="D25" s="1" t="s">
        <v>52</v>
      </c>
      <c r="E25" s="3" t="s">
        <v>53</v>
      </c>
      <c r="F25" s="4">
        <v>3.3009458790000004</v>
      </c>
      <c r="G25" s="4">
        <v>0</v>
      </c>
      <c r="H25" s="4">
        <v>0</v>
      </c>
      <c r="I25" s="4">
        <v>0</v>
      </c>
      <c r="J25" s="4">
        <v>9.1863525600000009E-2</v>
      </c>
      <c r="K25" s="4">
        <v>0</v>
      </c>
      <c r="L25" s="4">
        <v>0.63985595519999994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1.3029346176000003</v>
      </c>
      <c r="T25" s="4">
        <v>0</v>
      </c>
      <c r="U25" s="4">
        <v>0.13986717360000001</v>
      </c>
      <c r="V25" s="4">
        <v>0</v>
      </c>
      <c r="W25" s="4">
        <v>0</v>
      </c>
      <c r="X25" s="4">
        <v>2.0612037600000001E-2</v>
      </c>
      <c r="Y25" s="4">
        <v>7.8644458200000003E-2</v>
      </c>
      <c r="Z25" s="14">
        <f t="shared" si="0"/>
        <v>5.5747236468000008</v>
      </c>
      <c r="AB25">
        <f t="shared" si="1"/>
        <v>59.212726731213074</v>
      </c>
      <c r="AC25">
        <f t="shared" si="2"/>
        <v>0</v>
      </c>
      <c r="AD25">
        <f t="shared" si="3"/>
        <v>0</v>
      </c>
      <c r="AE25">
        <f t="shared" si="4"/>
        <v>0</v>
      </c>
      <c r="AF25">
        <f t="shared" si="5"/>
        <v>1.6478579283967101</v>
      </c>
      <c r="AG25">
        <f t="shared" si="6"/>
        <v>0</v>
      </c>
      <c r="AH25">
        <f t="shared" si="7"/>
        <v>11.477805820334961</v>
      </c>
      <c r="AI25">
        <f t="shared" si="8"/>
        <v>0</v>
      </c>
      <c r="AJ25">
        <f t="shared" si="9"/>
        <v>0</v>
      </c>
      <c r="AK25">
        <f t="shared" si="10"/>
        <v>0</v>
      </c>
      <c r="AL25">
        <f t="shared" si="11"/>
        <v>0</v>
      </c>
      <c r="AM25">
        <f t="shared" si="12"/>
        <v>0</v>
      </c>
      <c r="AN25">
        <f t="shared" si="13"/>
        <v>0</v>
      </c>
      <c r="AO25">
        <f t="shared" si="14"/>
        <v>23.37218309194412</v>
      </c>
      <c r="AP25">
        <f t="shared" si="15"/>
        <v>0</v>
      </c>
      <c r="AQ25">
        <f t="shared" si="16"/>
        <v>2.5089525949916185</v>
      </c>
      <c r="AR25">
        <f t="shared" si="17"/>
        <v>0</v>
      </c>
      <c r="AS25">
        <f t="shared" si="18"/>
        <v>0</v>
      </c>
      <c r="AT25">
        <f t="shared" si="19"/>
        <v>0.3697409756236385</v>
      </c>
      <c r="AU25">
        <f t="shared" si="20"/>
        <v>1.4107328574958768</v>
      </c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</row>
    <row r="26" spans="1:68" x14ac:dyDescent="0.35">
      <c r="A26" s="1" t="s">
        <v>42</v>
      </c>
      <c r="B26" s="1">
        <v>24</v>
      </c>
      <c r="C26" s="1" t="s">
        <v>55</v>
      </c>
      <c r="D26" s="1" t="s">
        <v>52</v>
      </c>
      <c r="E26" s="3" t="s">
        <v>53</v>
      </c>
      <c r="F26" s="4">
        <v>2.5621625106000003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0.24065991180000001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0.223701555</v>
      </c>
      <c r="V26" s="4">
        <v>0</v>
      </c>
      <c r="W26" s="4">
        <v>0</v>
      </c>
      <c r="X26" s="4">
        <v>0.19294214940000001</v>
      </c>
      <c r="Y26" s="4">
        <v>0.18441977400000004</v>
      </c>
      <c r="Z26" s="14">
        <f t="shared" si="0"/>
        <v>3.4038859008000002</v>
      </c>
      <c r="AB26">
        <f t="shared" si="1"/>
        <v>75.271691979975785</v>
      </c>
      <c r="AC26">
        <f t="shared" si="2"/>
        <v>0</v>
      </c>
      <c r="AD26">
        <f t="shared" si="3"/>
        <v>0</v>
      </c>
      <c r="AE26">
        <f t="shared" si="4"/>
        <v>0</v>
      </c>
      <c r="AF26">
        <f t="shared" si="5"/>
        <v>0</v>
      </c>
      <c r="AG26">
        <f t="shared" si="6"/>
        <v>0</v>
      </c>
      <c r="AH26">
        <f t="shared" si="7"/>
        <v>7.0701521382793358</v>
      </c>
      <c r="AI26">
        <f t="shared" si="8"/>
        <v>0</v>
      </c>
      <c r="AJ26">
        <f t="shared" si="9"/>
        <v>0</v>
      </c>
      <c r="AK26">
        <f t="shared" si="10"/>
        <v>0</v>
      </c>
      <c r="AL26">
        <f t="shared" si="11"/>
        <v>0</v>
      </c>
      <c r="AM26">
        <f t="shared" si="12"/>
        <v>0</v>
      </c>
      <c r="AN26">
        <f t="shared" si="13"/>
        <v>0</v>
      </c>
      <c r="AO26">
        <f t="shared" si="14"/>
        <v>0</v>
      </c>
      <c r="AP26">
        <f t="shared" si="15"/>
        <v>0</v>
      </c>
      <c r="AQ26">
        <f t="shared" si="16"/>
        <v>6.5719463436604748</v>
      </c>
      <c r="AR26">
        <f t="shared" si="17"/>
        <v>0</v>
      </c>
      <c r="AS26">
        <f t="shared" si="18"/>
        <v>0</v>
      </c>
      <c r="AT26">
        <f t="shared" si="19"/>
        <v>5.6682907424909184</v>
      </c>
      <c r="AU26">
        <f t="shared" si="20"/>
        <v>5.4179187955934909</v>
      </c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</row>
    <row r="27" spans="1:68" x14ac:dyDescent="0.35">
      <c r="A27" s="1" t="s">
        <v>56</v>
      </c>
      <c r="B27" s="1">
        <v>25</v>
      </c>
      <c r="C27" s="1" t="s">
        <v>57</v>
      </c>
      <c r="D27" s="1" t="s">
        <v>58</v>
      </c>
      <c r="E27" s="3" t="s">
        <v>21</v>
      </c>
      <c r="F27" s="4">
        <v>4.0444958400000001E-2</v>
      </c>
      <c r="G27" s="4">
        <v>0</v>
      </c>
      <c r="H27" s="4">
        <v>0</v>
      </c>
      <c r="I27" s="4">
        <v>5.79326748E-2</v>
      </c>
      <c r="J27" s="4">
        <v>1.41026424E-2</v>
      </c>
      <c r="K27" s="4">
        <v>2.5446960000000001E-2</v>
      </c>
      <c r="L27" s="4">
        <v>0.32345677980000004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0.1393684446</v>
      </c>
      <c r="T27" s="4">
        <v>0.68963539260000006</v>
      </c>
      <c r="U27" s="4">
        <v>0.88837536480000001</v>
      </c>
      <c r="V27" s="4">
        <v>0</v>
      </c>
      <c r="W27" s="4">
        <v>0</v>
      </c>
      <c r="X27" s="4">
        <v>0.24099920460000004</v>
      </c>
      <c r="Y27" s="4">
        <v>0</v>
      </c>
      <c r="Z27" s="14">
        <f t="shared" si="0"/>
        <v>2.4197624220000002</v>
      </c>
      <c r="AB27">
        <f t="shared" si="1"/>
        <v>1.6714433628806886</v>
      </c>
      <c r="AC27">
        <f t="shared" si="2"/>
        <v>0</v>
      </c>
      <c r="AD27">
        <f t="shared" si="3"/>
        <v>0</v>
      </c>
      <c r="AE27">
        <f t="shared" si="4"/>
        <v>2.3941472217804365</v>
      </c>
      <c r="AF27">
        <f t="shared" si="5"/>
        <v>0.58281103433054304</v>
      </c>
      <c r="AG27">
        <f t="shared" si="6"/>
        <v>1.0516305141629312</v>
      </c>
      <c r="AH27">
        <f t="shared" si="7"/>
        <v>13.36729494016417</v>
      </c>
      <c r="AI27">
        <f t="shared" si="8"/>
        <v>0</v>
      </c>
      <c r="AJ27">
        <f t="shared" si="9"/>
        <v>0</v>
      </c>
      <c r="AK27">
        <f t="shared" si="10"/>
        <v>0</v>
      </c>
      <c r="AL27">
        <f t="shared" si="11"/>
        <v>0</v>
      </c>
      <c r="AM27">
        <f t="shared" si="12"/>
        <v>0</v>
      </c>
      <c r="AN27">
        <f t="shared" si="13"/>
        <v>0</v>
      </c>
      <c r="AO27">
        <f t="shared" si="14"/>
        <v>5.7595920712252466</v>
      </c>
      <c r="AP27">
        <f t="shared" si="15"/>
        <v>28.500128208041076</v>
      </c>
      <c r="AQ27">
        <f t="shared" si="16"/>
        <v>36.713330065921653</v>
      </c>
      <c r="AR27">
        <f t="shared" si="17"/>
        <v>0</v>
      </c>
      <c r="AS27">
        <f t="shared" si="18"/>
        <v>0</v>
      </c>
      <c r="AT27">
        <f t="shared" si="19"/>
        <v>9.9596225814932513</v>
      </c>
      <c r="AU27">
        <f t="shared" si="20"/>
        <v>0</v>
      </c>
      <c r="AW27" s="16">
        <f>AVERAGE(AB27:AB29)</f>
        <v>6.9810093785843641</v>
      </c>
      <c r="AX27" s="16">
        <f>AVERAGE(AC27:AC29)</f>
        <v>0.23623298223662806</v>
      </c>
      <c r="AY27" s="16">
        <f>AVERAGE(AD27:AD29)</f>
        <v>0</v>
      </c>
      <c r="AZ27" s="16">
        <f>AVERAGE(AE27:AE29)</f>
        <v>0.79804907392681212</v>
      </c>
      <c r="BA27" s="16">
        <f>AVERAGE(AF27:AF29)</f>
        <v>2.3874180941618484</v>
      </c>
      <c r="BB27" s="16">
        <f t="shared" ref="BB27" si="127">AVERAGE(AG27:AG29)</f>
        <v>0.35054350472097706</v>
      </c>
      <c r="BC27" s="16">
        <f t="shared" ref="BC27" si="128">AVERAGE(AH27:AH29)</f>
        <v>12.618129467785964</v>
      </c>
      <c r="BD27" s="16">
        <f t="shared" ref="BD27" si="129">AVERAGE(AI27:AI29)</f>
        <v>0</v>
      </c>
      <c r="BE27" s="16">
        <f t="shared" ref="BE27" si="130">AVERAGE(AJ27:AJ29)</f>
        <v>0</v>
      </c>
      <c r="BF27" s="16">
        <f t="shared" ref="BF27" si="131">AVERAGE(AK27:AK29)</f>
        <v>0</v>
      </c>
      <c r="BG27" s="16">
        <f t="shared" ref="BG27" si="132">AVERAGE(AL27:AL29)</f>
        <v>0</v>
      </c>
      <c r="BH27" s="16">
        <f t="shared" ref="BH27" si="133">AVERAGE(AM27:AM29)</f>
        <v>0</v>
      </c>
      <c r="BI27" s="16">
        <f t="shared" ref="BI27" si="134">AVERAGE(AN27:AN29)</f>
        <v>0</v>
      </c>
      <c r="BJ27" s="16">
        <f t="shared" ref="BJ27" si="135">AVERAGE(AO27:AO29)</f>
        <v>5.7496885162901714</v>
      </c>
      <c r="BK27" s="16">
        <f t="shared" ref="BK27" si="136">AVERAGE(AP27:AP29)</f>
        <v>37.179063879750636</v>
      </c>
      <c r="BL27" s="16">
        <f t="shared" ref="BL27" si="137">AVERAGE(AQ27:AQ29)</f>
        <v>29.151370070954727</v>
      </c>
      <c r="BM27" s="16">
        <f t="shared" ref="BM27" si="138">AVERAGE(AR27:AR29)</f>
        <v>0</v>
      </c>
      <c r="BN27" s="16">
        <f t="shared" ref="BN27" si="139">AVERAGE(AS27:AS29)</f>
        <v>0.47218506913171437</v>
      </c>
      <c r="BO27" s="16">
        <f t="shared" ref="BO27" si="140">AVERAGE(AT27:AT29)</f>
        <v>3.7958191102062031</v>
      </c>
      <c r="BP27" s="16">
        <f t="shared" ref="BP27" si="141">AVERAGE(AU27:AU29)</f>
        <v>0.2804908522499493</v>
      </c>
    </row>
    <row r="28" spans="1:68" x14ac:dyDescent="0.35">
      <c r="A28" s="1" t="s">
        <v>56</v>
      </c>
      <c r="B28" s="1">
        <v>26</v>
      </c>
      <c r="C28" s="1" t="s">
        <v>59</v>
      </c>
      <c r="D28" s="1" t="s">
        <v>58</v>
      </c>
      <c r="E28" s="3" t="s">
        <v>21</v>
      </c>
      <c r="F28" s="4">
        <v>0.1963350774</v>
      </c>
      <c r="G28" s="4">
        <v>0</v>
      </c>
      <c r="H28" s="4">
        <v>0</v>
      </c>
      <c r="I28" s="4">
        <v>0</v>
      </c>
      <c r="J28" s="4">
        <v>4.4199955800000003E-2</v>
      </c>
      <c r="K28" s="4">
        <v>0</v>
      </c>
      <c r="L28" s="4">
        <v>0.2806689732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0.15852592139999999</v>
      </c>
      <c r="T28" s="4">
        <v>1.0319802570000001</v>
      </c>
      <c r="U28" s="4">
        <v>0.54474951300000007</v>
      </c>
      <c r="V28" s="4">
        <v>0</v>
      </c>
      <c r="W28" s="4">
        <v>0</v>
      </c>
      <c r="X28" s="4">
        <v>3.26852064E-2</v>
      </c>
      <c r="Y28" s="4">
        <v>0</v>
      </c>
      <c r="Z28" s="14">
        <f t="shared" si="0"/>
        <v>2.2891449042000001</v>
      </c>
      <c r="AB28">
        <f t="shared" si="1"/>
        <v>8.5767867748247362</v>
      </c>
      <c r="AC28">
        <f t="shared" si="2"/>
        <v>0</v>
      </c>
      <c r="AD28">
        <f t="shared" si="3"/>
        <v>0</v>
      </c>
      <c r="AE28">
        <f t="shared" si="4"/>
        <v>0</v>
      </c>
      <c r="AF28">
        <f t="shared" si="5"/>
        <v>1.9308500619119522</v>
      </c>
      <c r="AG28">
        <f t="shared" si="6"/>
        <v>0</v>
      </c>
      <c r="AH28">
        <f t="shared" si="7"/>
        <v>12.260865298873988</v>
      </c>
      <c r="AI28">
        <f t="shared" si="8"/>
        <v>0</v>
      </c>
      <c r="AJ28">
        <f t="shared" si="9"/>
        <v>0</v>
      </c>
      <c r="AK28">
        <f t="shared" si="10"/>
        <v>0</v>
      </c>
      <c r="AL28">
        <f t="shared" si="11"/>
        <v>0</v>
      </c>
      <c r="AM28">
        <f t="shared" si="12"/>
        <v>0</v>
      </c>
      <c r="AN28">
        <f t="shared" si="13"/>
        <v>0</v>
      </c>
      <c r="AO28">
        <f t="shared" si="14"/>
        <v>6.9251151864237661</v>
      </c>
      <c r="AP28">
        <f t="shared" si="15"/>
        <v>45.081473658857426</v>
      </c>
      <c r="AQ28">
        <f t="shared" si="16"/>
        <v>23.797074269982776</v>
      </c>
      <c r="AR28">
        <f t="shared" si="17"/>
        <v>0</v>
      </c>
      <c r="AS28">
        <f t="shared" si="18"/>
        <v>0</v>
      </c>
      <c r="AT28">
        <f t="shared" si="19"/>
        <v>1.4278347491253585</v>
      </c>
      <c r="AU28">
        <f t="shared" si="20"/>
        <v>0</v>
      </c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</row>
    <row r="29" spans="1:68" x14ac:dyDescent="0.35">
      <c r="A29" s="1" t="s">
        <v>56</v>
      </c>
      <c r="B29" s="1">
        <v>27</v>
      </c>
      <c r="C29" s="1" t="s">
        <v>60</v>
      </c>
      <c r="D29" s="1" t="s">
        <v>58</v>
      </c>
      <c r="E29" s="3" t="s">
        <v>21</v>
      </c>
      <c r="F29" s="4">
        <v>0.24919406820000004</v>
      </c>
      <c r="G29" s="4">
        <v>1.6513035000000002E-2</v>
      </c>
      <c r="H29" s="4">
        <v>0</v>
      </c>
      <c r="I29" s="4">
        <v>0</v>
      </c>
      <c r="J29" s="4">
        <v>0.108314514</v>
      </c>
      <c r="K29" s="4">
        <v>0</v>
      </c>
      <c r="L29" s="4">
        <v>0.28487714640000006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0.10635179939999999</v>
      </c>
      <c r="T29" s="4">
        <v>0.88438396199999991</v>
      </c>
      <c r="U29" s="4">
        <v>0.62780163599999994</v>
      </c>
      <c r="V29" s="4">
        <v>0</v>
      </c>
      <c r="W29" s="4">
        <v>3.3006435000000001E-2</v>
      </c>
      <c r="X29" s="4">
        <v>0</v>
      </c>
      <c r="Y29" s="4">
        <v>1.9606725600000003E-2</v>
      </c>
      <c r="Z29" s="14">
        <f t="shared" si="0"/>
        <v>2.3300493215999998</v>
      </c>
      <c r="AB29">
        <f t="shared" si="1"/>
        <v>10.694797998047667</v>
      </c>
      <c r="AC29">
        <f t="shared" si="2"/>
        <v>0.7086989467098842</v>
      </c>
      <c r="AD29">
        <f t="shared" si="3"/>
        <v>0</v>
      </c>
      <c r="AE29">
        <f t="shared" si="4"/>
        <v>0</v>
      </c>
      <c r="AF29">
        <f t="shared" si="5"/>
        <v>4.6485931862430503</v>
      </c>
      <c r="AG29">
        <f t="shared" si="6"/>
        <v>0</v>
      </c>
      <c r="AH29">
        <f t="shared" si="7"/>
        <v>12.226228164319734</v>
      </c>
      <c r="AI29">
        <f t="shared" si="8"/>
        <v>0</v>
      </c>
      <c r="AJ29">
        <f t="shared" si="9"/>
        <v>0</v>
      </c>
      <c r="AK29">
        <f t="shared" si="10"/>
        <v>0</v>
      </c>
      <c r="AL29">
        <f t="shared" si="11"/>
        <v>0</v>
      </c>
      <c r="AM29">
        <f t="shared" si="12"/>
        <v>0</v>
      </c>
      <c r="AN29">
        <f t="shared" si="13"/>
        <v>0</v>
      </c>
      <c r="AO29">
        <f t="shared" si="14"/>
        <v>4.5643582912215033</v>
      </c>
      <c r="AP29">
        <f t="shared" si="15"/>
        <v>37.955589772353427</v>
      </c>
      <c r="AQ29">
        <f t="shared" si="16"/>
        <v>26.943705876959751</v>
      </c>
      <c r="AR29">
        <f t="shared" si="17"/>
        <v>0</v>
      </c>
      <c r="AS29">
        <f t="shared" si="18"/>
        <v>1.4165552073951431</v>
      </c>
      <c r="AT29">
        <f t="shared" si="19"/>
        <v>0</v>
      </c>
      <c r="AU29">
        <f t="shared" si="20"/>
        <v>0.84147255674984789</v>
      </c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</row>
    <row r="30" spans="1:68" x14ac:dyDescent="0.35">
      <c r="A30" s="1" t="s">
        <v>61</v>
      </c>
      <c r="B30" s="1">
        <v>28</v>
      </c>
      <c r="C30" s="1" t="s">
        <v>62</v>
      </c>
      <c r="D30" s="5" t="s">
        <v>63</v>
      </c>
      <c r="E30" s="3" t="s">
        <v>21</v>
      </c>
      <c r="F30" s="4">
        <v>1.6097990369999999</v>
      </c>
      <c r="G30" s="4">
        <v>0</v>
      </c>
      <c r="H30" s="4">
        <v>0</v>
      </c>
      <c r="I30" s="4">
        <v>0</v>
      </c>
      <c r="J30" s="4">
        <v>0</v>
      </c>
      <c r="K30" s="4">
        <v>8.4804350400000006E-2</v>
      </c>
      <c r="L30" s="4">
        <v>0.40085873520000004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1.0297583604</v>
      </c>
      <c r="V30" s="4">
        <v>0</v>
      </c>
      <c r="W30" s="4">
        <v>0</v>
      </c>
      <c r="X30" s="4">
        <v>0</v>
      </c>
      <c r="Y30" s="4">
        <v>0</v>
      </c>
      <c r="Z30" s="14">
        <f t="shared" si="0"/>
        <v>3.1252204829999997</v>
      </c>
      <c r="AB30">
        <f t="shared" si="1"/>
        <v>51.509934923205869</v>
      </c>
      <c r="AC30">
        <f t="shared" si="2"/>
        <v>0</v>
      </c>
      <c r="AD30">
        <f t="shared" si="3"/>
        <v>0</v>
      </c>
      <c r="AE30">
        <f t="shared" si="4"/>
        <v>0</v>
      </c>
      <c r="AF30">
        <f t="shared" si="5"/>
        <v>0</v>
      </c>
      <c r="AG30">
        <f t="shared" si="6"/>
        <v>2.7135477596317807</v>
      </c>
      <c r="AH30">
        <f t="shared" si="7"/>
        <v>12.826574553076103</v>
      </c>
      <c r="AI30">
        <f t="shared" si="8"/>
        <v>0</v>
      </c>
      <c r="AJ30">
        <f t="shared" si="9"/>
        <v>0</v>
      </c>
      <c r="AK30">
        <f t="shared" si="10"/>
        <v>0</v>
      </c>
      <c r="AL30">
        <f t="shared" si="11"/>
        <v>0</v>
      </c>
      <c r="AM30">
        <f t="shared" si="12"/>
        <v>0</v>
      </c>
      <c r="AN30">
        <f t="shared" si="13"/>
        <v>0</v>
      </c>
      <c r="AO30">
        <f t="shared" si="14"/>
        <v>0</v>
      </c>
      <c r="AP30">
        <f t="shared" si="15"/>
        <v>0</v>
      </c>
      <c r="AQ30">
        <f t="shared" si="16"/>
        <v>32.949942764086259</v>
      </c>
      <c r="AR30">
        <f t="shared" si="17"/>
        <v>0</v>
      </c>
      <c r="AS30">
        <f t="shared" si="18"/>
        <v>0</v>
      </c>
      <c r="AT30">
        <f t="shared" si="19"/>
        <v>0</v>
      </c>
      <c r="AU30">
        <f t="shared" si="20"/>
        <v>0</v>
      </c>
      <c r="AW30" s="16">
        <f>AVERAGE(AB30:AB32)</f>
        <v>49.578876191424307</v>
      </c>
      <c r="AX30" s="16">
        <f>AVERAGE(AC30:AC32)</f>
        <v>0</v>
      </c>
      <c r="AY30" s="16">
        <f>AVERAGE(AD30:AD32)</f>
        <v>0</v>
      </c>
      <c r="AZ30" s="16">
        <f>AVERAGE(AE30:AE32)</f>
        <v>0</v>
      </c>
      <c r="BA30" s="16">
        <f>AVERAGE(AF30:AF32)</f>
        <v>6.4089659572140478</v>
      </c>
      <c r="BB30" s="16">
        <f t="shared" ref="BB30" si="142">AVERAGE(AG30:AG32)</f>
        <v>4.2249846660289139</v>
      </c>
      <c r="BC30" s="16">
        <f t="shared" ref="BC30" si="143">AVERAGE(AH30:AH32)</f>
        <v>17.284858146292461</v>
      </c>
      <c r="BD30" s="16">
        <f t="shared" ref="BD30" si="144">AVERAGE(AI30:AI32)</f>
        <v>0</v>
      </c>
      <c r="BE30" s="16">
        <f t="shared" ref="BE30" si="145">AVERAGE(AJ30:AJ32)</f>
        <v>0</v>
      </c>
      <c r="BF30" s="16">
        <f t="shared" ref="BF30" si="146">AVERAGE(AK30:AK32)</f>
        <v>0</v>
      </c>
      <c r="BG30" s="16">
        <f t="shared" ref="BG30" si="147">AVERAGE(AL30:AL32)</f>
        <v>0</v>
      </c>
      <c r="BH30" s="16">
        <f t="shared" ref="BH30" si="148">AVERAGE(AM30:AM32)</f>
        <v>0</v>
      </c>
      <c r="BI30" s="16">
        <f t="shared" ref="BI30" si="149">AVERAGE(AN30:AN32)</f>
        <v>0</v>
      </c>
      <c r="BJ30" s="16">
        <f t="shared" ref="BJ30" si="150">AVERAGE(AO30:AO32)</f>
        <v>0</v>
      </c>
      <c r="BK30" s="16">
        <f t="shared" ref="BK30" si="151">AVERAGE(AP30:AP32)</f>
        <v>0</v>
      </c>
      <c r="BL30" s="16">
        <f t="shared" ref="BL30" si="152">AVERAGE(AQ30:AQ32)</f>
        <v>17.800876438049169</v>
      </c>
      <c r="BM30" s="16">
        <f t="shared" ref="BM30" si="153">AVERAGE(AR30:AR32)</f>
        <v>0</v>
      </c>
      <c r="BN30" s="16">
        <f t="shared" ref="BN30" si="154">AVERAGE(AS30:AS32)</f>
        <v>0</v>
      </c>
      <c r="BO30" s="16">
        <f t="shared" ref="BO30" si="155">AVERAGE(AT30:AT32)</f>
        <v>4.7014386009911036</v>
      </c>
      <c r="BP30" s="16">
        <f t="shared" ref="BP30" si="156">AVERAGE(AU30:AU32)</f>
        <v>0</v>
      </c>
    </row>
    <row r="31" spans="1:68" x14ac:dyDescent="0.35">
      <c r="A31" s="1" t="s">
        <v>61</v>
      </c>
      <c r="B31" s="1">
        <v>29</v>
      </c>
      <c r="C31" s="1" t="s">
        <v>64</v>
      </c>
      <c r="D31" s="1" t="s">
        <v>63</v>
      </c>
      <c r="E31" s="3" t="s">
        <v>21</v>
      </c>
      <c r="F31" s="4">
        <v>1.9914013349999999</v>
      </c>
      <c r="G31" s="4">
        <v>0</v>
      </c>
      <c r="H31" s="4">
        <v>0</v>
      </c>
      <c r="I31" s="4">
        <v>0</v>
      </c>
      <c r="J31" s="4">
        <v>0</v>
      </c>
      <c r="K31" s="4">
        <v>0.10178784</v>
      </c>
      <c r="L31" s="4">
        <v>0.80972226719999996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14">
        <f t="shared" si="0"/>
        <v>2.9029114421999997</v>
      </c>
      <c r="AB31">
        <f t="shared" si="1"/>
        <v>68.600140743211824</v>
      </c>
      <c r="AC31">
        <f t="shared" si="2"/>
        <v>0</v>
      </c>
      <c r="AD31">
        <f t="shared" si="3"/>
        <v>0</v>
      </c>
      <c r="AE31">
        <f t="shared" si="4"/>
        <v>0</v>
      </c>
      <c r="AF31">
        <f t="shared" si="5"/>
        <v>0</v>
      </c>
      <c r="AG31">
        <f t="shared" si="6"/>
        <v>3.506405277139943</v>
      </c>
      <c r="AH31">
        <f t="shared" si="7"/>
        <v>27.893453979648243</v>
      </c>
      <c r="AI31">
        <f t="shared" si="8"/>
        <v>0</v>
      </c>
      <c r="AJ31">
        <f t="shared" si="9"/>
        <v>0</v>
      </c>
      <c r="AK31">
        <f t="shared" si="10"/>
        <v>0</v>
      </c>
      <c r="AL31">
        <f t="shared" si="11"/>
        <v>0</v>
      </c>
      <c r="AM31">
        <f t="shared" si="12"/>
        <v>0</v>
      </c>
      <c r="AN31">
        <f t="shared" si="13"/>
        <v>0</v>
      </c>
      <c r="AO31">
        <f t="shared" si="14"/>
        <v>0</v>
      </c>
      <c r="AP31">
        <f t="shared" si="15"/>
        <v>0</v>
      </c>
      <c r="AQ31">
        <f t="shared" si="16"/>
        <v>0</v>
      </c>
      <c r="AR31">
        <f t="shared" si="17"/>
        <v>0</v>
      </c>
      <c r="AS31">
        <f t="shared" si="18"/>
        <v>0</v>
      </c>
      <c r="AT31">
        <f t="shared" si="19"/>
        <v>0</v>
      </c>
      <c r="AU31">
        <f t="shared" si="20"/>
        <v>0</v>
      </c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</row>
    <row r="32" spans="1:68" x14ac:dyDescent="0.35">
      <c r="A32" s="1" t="s">
        <v>61</v>
      </c>
      <c r="B32" s="1">
        <v>30</v>
      </c>
      <c r="C32" s="1" t="s">
        <v>65</v>
      </c>
      <c r="D32" s="1" t="s">
        <v>63</v>
      </c>
      <c r="E32" s="3" t="s">
        <v>21</v>
      </c>
      <c r="F32" s="4">
        <v>1.0536321641999999</v>
      </c>
      <c r="G32" s="4">
        <v>0</v>
      </c>
      <c r="H32" s="4">
        <v>0</v>
      </c>
      <c r="I32" s="4">
        <v>0</v>
      </c>
      <c r="J32" s="4">
        <v>0.7076673912</v>
      </c>
      <c r="K32" s="4">
        <v>0.2375835</v>
      </c>
      <c r="L32" s="4">
        <v>0.40981936380000006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0.75278390880000001</v>
      </c>
      <c r="V32" s="4">
        <v>0</v>
      </c>
      <c r="W32" s="4">
        <v>0</v>
      </c>
      <c r="X32" s="4">
        <v>0.51912505259999997</v>
      </c>
      <c r="Y32" s="4">
        <v>0</v>
      </c>
      <c r="Z32" s="14">
        <f t="shared" si="0"/>
        <v>3.6806113806000003</v>
      </c>
      <c r="AB32">
        <f t="shared" si="1"/>
        <v>28.626552907855228</v>
      </c>
      <c r="AC32">
        <f t="shared" si="2"/>
        <v>0</v>
      </c>
      <c r="AD32">
        <f t="shared" si="3"/>
        <v>0</v>
      </c>
      <c r="AE32">
        <f t="shared" si="4"/>
        <v>0</v>
      </c>
      <c r="AF32">
        <f t="shared" si="5"/>
        <v>19.226897871642144</v>
      </c>
      <c r="AG32">
        <f t="shared" si="6"/>
        <v>6.4550009613150188</v>
      </c>
      <c r="AH32">
        <f t="shared" si="7"/>
        <v>11.134545906153036</v>
      </c>
      <c r="AI32">
        <f t="shared" si="8"/>
        <v>0</v>
      </c>
      <c r="AJ32">
        <f t="shared" si="9"/>
        <v>0</v>
      </c>
      <c r="AK32">
        <f t="shared" si="10"/>
        <v>0</v>
      </c>
      <c r="AL32">
        <f t="shared" si="11"/>
        <v>0</v>
      </c>
      <c r="AM32">
        <f t="shared" si="12"/>
        <v>0</v>
      </c>
      <c r="AN32">
        <f t="shared" si="13"/>
        <v>0</v>
      </c>
      <c r="AO32">
        <f t="shared" si="14"/>
        <v>0</v>
      </c>
      <c r="AP32">
        <f t="shared" si="15"/>
        <v>0</v>
      </c>
      <c r="AQ32">
        <f t="shared" si="16"/>
        <v>20.452686550061252</v>
      </c>
      <c r="AR32">
        <f t="shared" si="17"/>
        <v>0</v>
      </c>
      <c r="AS32">
        <f t="shared" si="18"/>
        <v>0</v>
      </c>
      <c r="AT32">
        <f t="shared" si="19"/>
        <v>14.104315802973311</v>
      </c>
      <c r="AU32">
        <f t="shared" si="20"/>
        <v>0</v>
      </c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</row>
    <row r="33" spans="1:68" x14ac:dyDescent="0.35">
      <c r="A33" s="1" t="s">
        <v>56</v>
      </c>
      <c r="B33" s="1">
        <v>31</v>
      </c>
      <c r="C33" s="1" t="s">
        <v>66</v>
      </c>
      <c r="D33" s="1" t="s">
        <v>67</v>
      </c>
      <c r="E33" s="3" t="s">
        <v>21</v>
      </c>
      <c r="F33" s="4">
        <v>0.1579816392</v>
      </c>
      <c r="G33" s="4">
        <v>0</v>
      </c>
      <c r="H33" s="4">
        <v>0</v>
      </c>
      <c r="I33" s="4">
        <v>0</v>
      </c>
      <c r="J33" s="4">
        <v>4.4046017400000005E-2</v>
      </c>
      <c r="K33" s="4">
        <v>0</v>
      </c>
      <c r="L33" s="4">
        <v>0.3184899102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4.7529266400000006E-2</v>
      </c>
      <c r="T33" s="4">
        <v>0.58846723320000005</v>
      </c>
      <c r="U33" s="4">
        <v>3.0048045258</v>
      </c>
      <c r="V33" s="4">
        <v>0</v>
      </c>
      <c r="W33" s="4">
        <v>0</v>
      </c>
      <c r="X33" s="4">
        <v>0</v>
      </c>
      <c r="Y33" s="4">
        <v>2.4052875000000001E-2</v>
      </c>
      <c r="Z33" s="14">
        <f t="shared" si="0"/>
        <v>4.1853714671999995</v>
      </c>
      <c r="AB33">
        <f t="shared" si="1"/>
        <v>3.7746145219862464</v>
      </c>
      <c r="AC33">
        <f t="shared" si="2"/>
        <v>0</v>
      </c>
      <c r="AD33">
        <f t="shared" si="3"/>
        <v>0</v>
      </c>
      <c r="AE33">
        <f t="shared" si="4"/>
        <v>0</v>
      </c>
      <c r="AF33">
        <f t="shared" si="5"/>
        <v>1.0523801231307828</v>
      </c>
      <c r="AG33">
        <f t="shared" si="6"/>
        <v>0</v>
      </c>
      <c r="AH33">
        <f t="shared" si="7"/>
        <v>7.6095972053125491</v>
      </c>
      <c r="AI33">
        <f t="shared" si="8"/>
        <v>0</v>
      </c>
      <c r="AJ33">
        <f t="shared" si="9"/>
        <v>0</v>
      </c>
      <c r="AK33">
        <f t="shared" si="10"/>
        <v>0</v>
      </c>
      <c r="AL33">
        <f t="shared" si="11"/>
        <v>0</v>
      </c>
      <c r="AM33">
        <f t="shared" si="12"/>
        <v>0</v>
      </c>
      <c r="AN33">
        <f t="shared" si="13"/>
        <v>0</v>
      </c>
      <c r="AO33">
        <f t="shared" si="14"/>
        <v>1.1356044922769288</v>
      </c>
      <c r="AP33">
        <f t="shared" si="15"/>
        <v>14.060095688320892</v>
      </c>
      <c r="AQ33">
        <f t="shared" si="16"/>
        <v>71.793018835917209</v>
      </c>
      <c r="AR33">
        <f t="shared" si="17"/>
        <v>0</v>
      </c>
      <c r="AS33">
        <f t="shared" si="18"/>
        <v>0</v>
      </c>
      <c r="AT33">
        <f t="shared" si="19"/>
        <v>0</v>
      </c>
      <c r="AU33">
        <f t="shared" si="20"/>
        <v>0.57468913305540592</v>
      </c>
      <c r="AW33" s="16">
        <f>AVERAGE(AB33:AB35)</f>
        <v>2.8095723575432863</v>
      </c>
      <c r="AX33" s="16">
        <f>AVERAGE(AC33:AC35)</f>
        <v>0</v>
      </c>
      <c r="AY33" s="16">
        <f>AVERAGE(AD33:AD35)</f>
        <v>0</v>
      </c>
      <c r="AZ33" s="16">
        <f>AVERAGE(AE33:AE35)</f>
        <v>0</v>
      </c>
      <c r="BA33" s="16">
        <f>AVERAGE(AF33:AF35)</f>
        <v>1.842601825802167</v>
      </c>
      <c r="BB33" s="16">
        <f t="shared" ref="BB33" si="157">AVERAGE(AG33:AG35)</f>
        <v>0</v>
      </c>
      <c r="BC33" s="16">
        <f t="shared" ref="BC33" si="158">AVERAGE(AH33:AH35)</f>
        <v>15.16844172749847</v>
      </c>
      <c r="BD33" s="16">
        <f t="shared" ref="BD33" si="159">AVERAGE(AI33:AI35)</f>
        <v>1.4299008761666459</v>
      </c>
      <c r="BE33" s="16">
        <f t="shared" ref="BE33" si="160">AVERAGE(AJ33:AJ35)</f>
        <v>1.1305714588377886</v>
      </c>
      <c r="BF33" s="16">
        <f t="shared" ref="BF33" si="161">AVERAGE(AK33:AK35)</f>
        <v>0</v>
      </c>
      <c r="BG33" s="16">
        <f t="shared" ref="BG33" si="162">AVERAGE(AL33:AL35)</f>
        <v>0</v>
      </c>
      <c r="BH33" s="16">
        <f t="shared" ref="BH33" si="163">AVERAGE(AM33:AM35)</f>
        <v>0</v>
      </c>
      <c r="BI33" s="16">
        <f t="shared" ref="BI33" si="164">AVERAGE(AN33:AN35)</f>
        <v>0</v>
      </c>
      <c r="BJ33" s="16">
        <f t="shared" ref="BJ33" si="165">AVERAGE(AO33:AO35)</f>
        <v>0.37853483075897626</v>
      </c>
      <c r="BK33" s="16">
        <f t="shared" ref="BK33" si="166">AVERAGE(AP33:AP35)</f>
        <v>26.6840401383736</v>
      </c>
      <c r="BL33" s="16">
        <f t="shared" ref="BL33" si="167">AVERAGE(AQ33:AQ35)</f>
        <v>46.212354047297481</v>
      </c>
      <c r="BM33" s="16">
        <f t="shared" ref="BM33" si="168">AVERAGE(AR33:AR35)</f>
        <v>0.25973568556724042</v>
      </c>
      <c r="BN33" s="16">
        <f t="shared" ref="BN33" si="169">AVERAGE(AS33:AS35)</f>
        <v>0</v>
      </c>
      <c r="BO33" s="16">
        <f t="shared" ref="BO33" si="170">AVERAGE(AT33:AT35)</f>
        <v>0.37092139544556635</v>
      </c>
      <c r="BP33" s="16">
        <f t="shared" ref="BP33" si="171">AVERAGE(AU33:AU35)</f>
        <v>3.7133256567087893</v>
      </c>
    </row>
    <row r="34" spans="1:68" x14ac:dyDescent="0.35">
      <c r="A34" s="1" t="s">
        <v>56</v>
      </c>
      <c r="B34" s="1">
        <v>32</v>
      </c>
      <c r="C34" s="1" t="s">
        <v>68</v>
      </c>
      <c r="D34" s="1" t="s">
        <v>67</v>
      </c>
      <c r="E34" s="3" t="s">
        <v>21</v>
      </c>
      <c r="F34" s="4">
        <v>4.2273369599999999E-2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0.28724041500000003</v>
      </c>
      <c r="M34" s="4">
        <v>0</v>
      </c>
      <c r="N34" s="4">
        <v>6.6052140000000009E-2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0.65379444899999994</v>
      </c>
      <c r="U34" s="4">
        <v>0.86730622440000005</v>
      </c>
      <c r="V34" s="4">
        <v>1.5174713400000001E-2</v>
      </c>
      <c r="W34" s="4">
        <v>0</v>
      </c>
      <c r="X34" s="4">
        <v>0</v>
      </c>
      <c r="Y34" s="4">
        <v>1.5614537400000001E-2</v>
      </c>
      <c r="Z34" s="14">
        <f t="shared" si="0"/>
        <v>1.9474558488</v>
      </c>
      <c r="AB34">
        <f t="shared" si="1"/>
        <v>2.1706972009685543</v>
      </c>
      <c r="AC34">
        <f t="shared" si="2"/>
        <v>0</v>
      </c>
      <c r="AD34">
        <f t="shared" si="3"/>
        <v>0</v>
      </c>
      <c r="AE34">
        <f t="shared" si="4"/>
        <v>0</v>
      </c>
      <c r="AF34">
        <f t="shared" si="5"/>
        <v>0</v>
      </c>
      <c r="AG34">
        <f t="shared" si="6"/>
        <v>0</v>
      </c>
      <c r="AH34">
        <f t="shared" si="7"/>
        <v>14.749521288351378</v>
      </c>
      <c r="AI34">
        <f t="shared" si="8"/>
        <v>0</v>
      </c>
      <c r="AJ34">
        <f t="shared" si="9"/>
        <v>3.3917143765133662</v>
      </c>
      <c r="AK34">
        <f t="shared" si="10"/>
        <v>0</v>
      </c>
      <c r="AL34">
        <f t="shared" si="11"/>
        <v>0</v>
      </c>
      <c r="AM34">
        <f t="shared" si="12"/>
        <v>0</v>
      </c>
      <c r="AN34">
        <f t="shared" si="13"/>
        <v>0</v>
      </c>
      <c r="AO34">
        <f t="shared" si="14"/>
        <v>0</v>
      </c>
      <c r="AP34">
        <f t="shared" si="15"/>
        <v>33.57172124866711</v>
      </c>
      <c r="AQ34">
        <f t="shared" si="16"/>
        <v>44.535347229279893</v>
      </c>
      <c r="AR34">
        <f t="shared" si="17"/>
        <v>0.77920705670172119</v>
      </c>
      <c r="AS34">
        <f t="shared" si="18"/>
        <v>0</v>
      </c>
      <c r="AT34">
        <f t="shared" si="19"/>
        <v>0</v>
      </c>
      <c r="AU34">
        <f t="shared" si="20"/>
        <v>0.8017915995179814</v>
      </c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</row>
    <row r="35" spans="1:68" x14ac:dyDescent="0.35">
      <c r="A35" s="1" t="s">
        <v>56</v>
      </c>
      <c r="B35" s="1">
        <v>33</v>
      </c>
      <c r="C35" s="1" t="s">
        <v>69</v>
      </c>
      <c r="D35" s="1" t="s">
        <v>67</v>
      </c>
      <c r="E35" s="3" t="s">
        <v>21</v>
      </c>
      <c r="F35" s="4">
        <v>4.7143635000000003E-2</v>
      </c>
      <c r="G35" s="4">
        <v>0</v>
      </c>
      <c r="H35" s="4">
        <v>0</v>
      </c>
      <c r="I35" s="4">
        <v>0</v>
      </c>
      <c r="J35" s="4">
        <v>8.4959074199999998E-2</v>
      </c>
      <c r="K35" s="4">
        <v>0</v>
      </c>
      <c r="L35" s="4">
        <v>0.43939517159999997</v>
      </c>
      <c r="M35" s="4">
        <v>8.1433413600000018E-2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0.61544965019999998</v>
      </c>
      <c r="U35" s="4">
        <v>0.42349631939999999</v>
      </c>
      <c r="V35" s="4">
        <v>0</v>
      </c>
      <c r="W35" s="4">
        <v>0</v>
      </c>
      <c r="X35" s="4">
        <v>2.1124118399999999E-2</v>
      </c>
      <c r="Y35" s="4">
        <v>0.18534497520000001</v>
      </c>
      <c r="Z35" s="14">
        <f t="shared" ref="Z35:Z66" si="172">SUM(F35:Y35)</f>
        <v>1.8983463575999999</v>
      </c>
      <c r="AB35">
        <f t="shared" ref="AB35:AB66" si="173">F35/$Z35*100</f>
        <v>2.4834053496750581</v>
      </c>
      <c r="AC35">
        <f t="shared" ref="AC35:AC66" si="174">G35/$Z35*100</f>
        <v>0</v>
      </c>
      <c r="AD35">
        <f t="shared" ref="AD35:AD66" si="175">H35/$Z35*100</f>
        <v>0</v>
      </c>
      <c r="AE35">
        <f t="shared" ref="AE35:AE66" si="176">I35/$Z35*100</f>
        <v>0</v>
      </c>
      <c r="AF35">
        <f t="shared" ref="AF35:AF66" si="177">J35/$Z35*100</f>
        <v>4.4754253542757185</v>
      </c>
      <c r="AG35">
        <f t="shared" ref="AG35:AG66" si="178">K35/$Z35*100</f>
        <v>0</v>
      </c>
      <c r="AH35">
        <f t="shared" ref="AH35:AH66" si="179">L35/$Z35*100</f>
        <v>23.14620668883148</v>
      </c>
      <c r="AI35">
        <f t="shared" ref="AI35:AI66" si="180">M35/$Z35*100</f>
        <v>4.2897026284999376</v>
      </c>
      <c r="AJ35">
        <f t="shared" ref="AJ35:AJ66" si="181">N35/$Z35*100</f>
        <v>0</v>
      </c>
      <c r="AK35">
        <f t="shared" ref="AK35:AK66" si="182">O35/$Z35*100</f>
        <v>0</v>
      </c>
      <c r="AL35">
        <f t="shared" ref="AL35:AL66" si="183">P35/$Z35*100</f>
        <v>0</v>
      </c>
      <c r="AM35">
        <f t="shared" ref="AM35:AM66" si="184">Q35/$Z35*100</f>
        <v>0</v>
      </c>
      <c r="AN35">
        <f t="shared" ref="AN35:AN66" si="185">R35/$Z35*100</f>
        <v>0</v>
      </c>
      <c r="AO35">
        <f t="shared" ref="AO35:AO66" si="186">S35/$Z35*100</f>
        <v>0</v>
      </c>
      <c r="AP35">
        <f t="shared" ref="AP35:AP66" si="187">T35/$Z35*100</f>
        <v>32.420303478132794</v>
      </c>
      <c r="AQ35">
        <f t="shared" ref="AQ35:AQ66" si="188">U35/$Z35*100</f>
        <v>22.308696076695337</v>
      </c>
      <c r="AR35">
        <f t="shared" ref="AR35:AR66" si="189">V35/$Z35*100</f>
        <v>0</v>
      </c>
      <c r="AS35">
        <f t="shared" ref="AS35:AS66" si="190">W35/$Z35*100</f>
        <v>0</v>
      </c>
      <c r="AT35">
        <f t="shared" ref="AT35:AT66" si="191">X35/$Z35*100</f>
        <v>1.112764186336699</v>
      </c>
      <c r="AU35">
        <f t="shared" ref="AU35:AU66" si="192">Y35/$Z35*100</f>
        <v>9.7634962375529799</v>
      </c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</row>
    <row r="36" spans="1:68" x14ac:dyDescent="0.35">
      <c r="A36" s="1" t="s">
        <v>56</v>
      </c>
      <c r="B36" s="1">
        <v>34</v>
      </c>
      <c r="C36" s="1" t="s">
        <v>70</v>
      </c>
      <c r="D36" s="1" t="s">
        <v>71</v>
      </c>
      <c r="E36" s="3" t="s">
        <v>21</v>
      </c>
      <c r="F36" s="4">
        <v>1.0360714056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0.40027439760000005</v>
      </c>
      <c r="M36" s="4">
        <v>0</v>
      </c>
      <c r="N36" s="4">
        <v>0</v>
      </c>
      <c r="O36" s="4">
        <v>0</v>
      </c>
      <c r="P36" s="4">
        <v>1.9359324599999998E-2</v>
      </c>
      <c r="Q36" s="4">
        <v>0</v>
      </c>
      <c r="R36" s="4">
        <v>0.84488541060000011</v>
      </c>
      <c r="S36" s="4">
        <v>0.49663198200000003</v>
      </c>
      <c r="T36" s="4">
        <v>0</v>
      </c>
      <c r="U36" s="4">
        <v>6.6345879600000005E-2</v>
      </c>
      <c r="V36" s="4">
        <v>0</v>
      </c>
      <c r="W36" s="4">
        <v>0</v>
      </c>
      <c r="X36" s="4">
        <v>0</v>
      </c>
      <c r="Y36" s="4">
        <v>3.8013360000000003E-2</v>
      </c>
      <c r="Z36" s="14">
        <f t="shared" si="172"/>
        <v>2.90158176</v>
      </c>
      <c r="AB36">
        <f t="shared" si="173"/>
        <v>35.707124296232138</v>
      </c>
      <c r="AC36">
        <f t="shared" si="174"/>
        <v>0</v>
      </c>
      <c r="AD36">
        <f t="shared" si="175"/>
        <v>0</v>
      </c>
      <c r="AE36">
        <f t="shared" si="176"/>
        <v>0</v>
      </c>
      <c r="AF36">
        <f t="shared" si="177"/>
        <v>0</v>
      </c>
      <c r="AG36">
        <f t="shared" si="178"/>
        <v>0</v>
      </c>
      <c r="AH36">
        <f t="shared" si="179"/>
        <v>13.795041143352101</v>
      </c>
      <c r="AI36">
        <f t="shared" si="180"/>
        <v>0</v>
      </c>
      <c r="AJ36">
        <f t="shared" si="181"/>
        <v>0</v>
      </c>
      <c r="AK36">
        <f t="shared" si="182"/>
        <v>0</v>
      </c>
      <c r="AL36">
        <f t="shared" si="183"/>
        <v>0.66719900389779119</v>
      </c>
      <c r="AM36">
        <f t="shared" si="184"/>
        <v>0</v>
      </c>
      <c r="AN36">
        <f t="shared" si="185"/>
        <v>29.118097661325255</v>
      </c>
      <c r="AO36">
        <f t="shared" si="186"/>
        <v>17.115905153746212</v>
      </c>
      <c r="AP36">
        <f t="shared" si="187"/>
        <v>0</v>
      </c>
      <c r="AQ36">
        <f t="shared" si="188"/>
        <v>2.286541792983976</v>
      </c>
      <c r="AR36">
        <f t="shared" si="189"/>
        <v>0</v>
      </c>
      <c r="AS36">
        <f t="shared" si="190"/>
        <v>0</v>
      </c>
      <c r="AT36">
        <f t="shared" si="191"/>
        <v>0</v>
      </c>
      <c r="AU36">
        <f t="shared" si="192"/>
        <v>1.310090948462538</v>
      </c>
      <c r="AW36" s="16">
        <f>AVERAGE(AB36:AB38)</f>
        <v>29.753941865413847</v>
      </c>
      <c r="AX36" s="16">
        <f>AVERAGE(AC36:AC38)</f>
        <v>0.31634714426983923</v>
      </c>
      <c r="AY36" s="16">
        <f>AVERAGE(AD36:AD38)</f>
        <v>0</v>
      </c>
      <c r="AZ36" s="16">
        <f>AVERAGE(AE36:AE38)</f>
        <v>0</v>
      </c>
      <c r="BA36" s="16">
        <f>AVERAGE(AF36:AF38)</f>
        <v>0</v>
      </c>
      <c r="BB36" s="16">
        <f t="shared" ref="BB36" si="193">AVERAGE(AG36:AG38)</f>
        <v>0.14273708384320952</v>
      </c>
      <c r="BC36" s="16">
        <f t="shared" ref="BC36" si="194">AVERAGE(AH36:AH38)</f>
        <v>10.730486617149403</v>
      </c>
      <c r="BD36" s="16">
        <f t="shared" ref="BD36" si="195">AVERAGE(AI36:AI38)</f>
        <v>0</v>
      </c>
      <c r="BE36" s="16">
        <f t="shared" ref="BE36" si="196">AVERAGE(AJ36:AJ38)</f>
        <v>0</v>
      </c>
      <c r="BF36" s="16">
        <f t="shared" ref="BF36" si="197">AVERAGE(AK36:AK38)</f>
        <v>0</v>
      </c>
      <c r="BG36" s="16">
        <f t="shared" ref="BG36" si="198">AVERAGE(AL36:AL38)</f>
        <v>0.374383388418906</v>
      </c>
      <c r="BH36" s="16">
        <f t="shared" ref="BH36" si="199">AVERAGE(AM36:AM38)</f>
        <v>0</v>
      </c>
      <c r="BI36" s="16">
        <f t="shared" ref="BI36" si="200">AVERAGE(AN36:AN38)</f>
        <v>11.055218005605854</v>
      </c>
      <c r="BJ36" s="16">
        <f t="shared" ref="BJ36" si="201">AVERAGE(AO36:AO38)</f>
        <v>5.705301717915404</v>
      </c>
      <c r="BK36" s="16">
        <f t="shared" ref="BK36" si="202">AVERAGE(AP36:AP38)</f>
        <v>3.5073010514399123</v>
      </c>
      <c r="BL36" s="16">
        <f t="shared" ref="BL36" si="203">AVERAGE(AQ36:AQ38)</f>
        <v>32.334363294754574</v>
      </c>
      <c r="BM36" s="16">
        <f t="shared" ref="BM36" si="204">AVERAGE(AR36:AR38)</f>
        <v>0</v>
      </c>
      <c r="BN36" s="16">
        <f t="shared" ref="BN36" si="205">AVERAGE(AS36:AS38)</f>
        <v>2.6297266128782577</v>
      </c>
      <c r="BO36" s="16">
        <f t="shared" ref="BO36" si="206">AVERAGE(AT36:AT38)</f>
        <v>2.6600950639145662</v>
      </c>
      <c r="BP36" s="16">
        <f t="shared" ref="BP36" si="207">AVERAGE(AU36:AU38)</f>
        <v>0.79009815439624331</v>
      </c>
    </row>
    <row r="37" spans="1:68" x14ac:dyDescent="0.35">
      <c r="A37" s="1" t="s">
        <v>56</v>
      </c>
      <c r="B37" s="1">
        <v>35</v>
      </c>
      <c r="C37" s="1" t="s">
        <v>72</v>
      </c>
      <c r="D37" s="1" t="s">
        <v>71</v>
      </c>
      <c r="E37" s="3" t="s">
        <v>21</v>
      </c>
      <c r="F37" s="4">
        <v>1.1343163062000001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0.31908995579999999</v>
      </c>
      <c r="M37" s="4">
        <v>0</v>
      </c>
      <c r="N37" s="4">
        <v>0</v>
      </c>
      <c r="O37" s="4">
        <v>0</v>
      </c>
      <c r="P37" s="4">
        <v>1.3069841400000001E-2</v>
      </c>
      <c r="Q37" s="4">
        <v>0</v>
      </c>
      <c r="R37" s="4">
        <v>0.11602321500000001</v>
      </c>
      <c r="S37" s="4">
        <v>0</v>
      </c>
      <c r="T37" s="4">
        <v>6.6989122200000001E-2</v>
      </c>
      <c r="U37" s="4">
        <v>0.99086849400000021</v>
      </c>
      <c r="V37" s="4">
        <v>0</v>
      </c>
      <c r="W37" s="4">
        <v>0.22614336360000004</v>
      </c>
      <c r="X37" s="4">
        <v>0</v>
      </c>
      <c r="Y37" s="4">
        <v>0</v>
      </c>
      <c r="Z37" s="14">
        <f t="shared" si="172"/>
        <v>2.8665002982000001</v>
      </c>
      <c r="AB37">
        <f t="shared" si="173"/>
        <v>39.571470022601659</v>
      </c>
      <c r="AC37">
        <f t="shared" si="174"/>
        <v>0</v>
      </c>
      <c r="AD37">
        <f t="shared" si="175"/>
        <v>0</v>
      </c>
      <c r="AE37">
        <f t="shared" si="176"/>
        <v>0</v>
      </c>
      <c r="AF37">
        <f t="shared" si="177"/>
        <v>0</v>
      </c>
      <c r="AG37">
        <f t="shared" si="178"/>
        <v>0</v>
      </c>
      <c r="AH37">
        <f t="shared" si="179"/>
        <v>11.131691003150094</v>
      </c>
      <c r="AI37">
        <f t="shared" si="180"/>
        <v>0</v>
      </c>
      <c r="AJ37">
        <f t="shared" si="181"/>
        <v>0</v>
      </c>
      <c r="AK37">
        <f t="shared" si="182"/>
        <v>0</v>
      </c>
      <c r="AL37">
        <f t="shared" si="183"/>
        <v>0.45595116135892683</v>
      </c>
      <c r="AM37">
        <f t="shared" si="184"/>
        <v>0</v>
      </c>
      <c r="AN37">
        <f t="shared" si="185"/>
        <v>4.0475563554923069</v>
      </c>
      <c r="AO37">
        <f t="shared" si="186"/>
        <v>0</v>
      </c>
      <c r="AP37">
        <f t="shared" si="187"/>
        <v>2.3369654711728227</v>
      </c>
      <c r="AQ37">
        <f t="shared" si="188"/>
        <v>34.567186147589432</v>
      </c>
      <c r="AR37">
        <f t="shared" si="189"/>
        <v>0</v>
      </c>
      <c r="AS37">
        <f t="shared" si="190"/>
        <v>7.8891798386347727</v>
      </c>
      <c r="AT37">
        <f t="shared" si="191"/>
        <v>0</v>
      </c>
      <c r="AU37">
        <f t="shared" si="192"/>
        <v>0</v>
      </c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</row>
    <row r="38" spans="1:68" x14ac:dyDescent="0.35">
      <c r="A38" s="1" t="s">
        <v>56</v>
      </c>
      <c r="B38" s="1">
        <v>36</v>
      </c>
      <c r="C38" s="1" t="s">
        <v>73</v>
      </c>
      <c r="D38" s="1" t="s">
        <v>71</v>
      </c>
      <c r="E38" s="3" t="s">
        <v>21</v>
      </c>
      <c r="F38" s="4">
        <v>0.45367374360000001</v>
      </c>
      <c r="G38" s="4">
        <v>3.0790821600000004E-2</v>
      </c>
      <c r="H38" s="4">
        <v>0</v>
      </c>
      <c r="I38" s="4">
        <v>0</v>
      </c>
      <c r="J38" s="4">
        <v>0</v>
      </c>
      <c r="K38" s="4">
        <v>1.3892940600000002E-2</v>
      </c>
      <c r="L38" s="4">
        <v>0.23569775459999998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0.26555316480000002</v>
      </c>
      <c r="U38" s="4">
        <v>1.9514935901999999</v>
      </c>
      <c r="V38" s="4">
        <v>0</v>
      </c>
      <c r="W38" s="4">
        <v>0</v>
      </c>
      <c r="X38" s="4">
        <v>0.25891339320000001</v>
      </c>
      <c r="Y38" s="4">
        <v>3.4397378399999998E-2</v>
      </c>
      <c r="Z38" s="14">
        <f t="shared" si="172"/>
        <v>3.2444127869999999</v>
      </c>
      <c r="AB38">
        <f t="shared" si="173"/>
        <v>13.983231277407738</v>
      </c>
      <c r="AC38">
        <f t="shared" si="174"/>
        <v>0.94904143280951769</v>
      </c>
      <c r="AD38">
        <f t="shared" si="175"/>
        <v>0</v>
      </c>
      <c r="AE38">
        <f t="shared" si="176"/>
        <v>0</v>
      </c>
      <c r="AF38">
        <f t="shared" si="177"/>
        <v>0</v>
      </c>
      <c r="AG38">
        <f t="shared" si="178"/>
        <v>0.42821125152962858</v>
      </c>
      <c r="AH38">
        <f t="shared" si="179"/>
        <v>7.2647277049460097</v>
      </c>
      <c r="AI38">
        <f t="shared" si="180"/>
        <v>0</v>
      </c>
      <c r="AJ38">
        <f t="shared" si="181"/>
        <v>0</v>
      </c>
      <c r="AK38">
        <f t="shared" si="182"/>
        <v>0</v>
      </c>
      <c r="AL38">
        <f t="shared" si="183"/>
        <v>0</v>
      </c>
      <c r="AM38">
        <f t="shared" si="184"/>
        <v>0</v>
      </c>
      <c r="AN38">
        <f t="shared" si="185"/>
        <v>0</v>
      </c>
      <c r="AO38">
        <f t="shared" si="186"/>
        <v>0</v>
      </c>
      <c r="AP38">
        <f t="shared" si="187"/>
        <v>8.1849376831469147</v>
      </c>
      <c r="AQ38">
        <f t="shared" si="188"/>
        <v>60.149361943690302</v>
      </c>
      <c r="AR38">
        <f t="shared" si="189"/>
        <v>0</v>
      </c>
      <c r="AS38">
        <f t="shared" si="190"/>
        <v>0</v>
      </c>
      <c r="AT38">
        <f t="shared" si="191"/>
        <v>7.9802851917436985</v>
      </c>
      <c r="AU38">
        <f t="shared" si="192"/>
        <v>1.0602035147261919</v>
      </c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</row>
    <row r="39" spans="1:68" x14ac:dyDescent="0.35">
      <c r="A39" s="1" t="s">
        <v>56</v>
      </c>
      <c r="B39" s="1">
        <v>37</v>
      </c>
      <c r="C39" s="1" t="s">
        <v>74</v>
      </c>
      <c r="D39" s="1" t="s">
        <v>75</v>
      </c>
      <c r="E39" s="3" t="s">
        <v>53</v>
      </c>
      <c r="F39" s="4">
        <v>0</v>
      </c>
      <c r="G39" s="4">
        <v>0</v>
      </c>
      <c r="H39" s="4">
        <v>0.74411623439999997</v>
      </c>
      <c r="I39" s="4">
        <v>0</v>
      </c>
      <c r="J39" s="4">
        <v>0</v>
      </c>
      <c r="K39" s="4">
        <v>0</v>
      </c>
      <c r="L39" s="4">
        <v>0.74367955200000002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0.15928618859999999</v>
      </c>
      <c r="Z39" s="14">
        <f t="shared" si="172"/>
        <v>1.6470819749999999</v>
      </c>
      <c r="AB39">
        <f t="shared" si="173"/>
        <v>0</v>
      </c>
      <c r="AC39">
        <f t="shared" si="174"/>
        <v>0</v>
      </c>
      <c r="AD39">
        <f t="shared" si="175"/>
        <v>45.177850628837099</v>
      </c>
      <c r="AE39">
        <f t="shared" si="176"/>
        <v>0</v>
      </c>
      <c r="AF39">
        <f t="shared" si="177"/>
        <v>0</v>
      </c>
      <c r="AG39">
        <f t="shared" si="178"/>
        <v>0</v>
      </c>
      <c r="AH39">
        <f t="shared" si="179"/>
        <v>45.151338141503253</v>
      </c>
      <c r="AI39">
        <f t="shared" si="180"/>
        <v>0</v>
      </c>
      <c r="AJ39">
        <f t="shared" si="181"/>
        <v>0</v>
      </c>
      <c r="AK39">
        <f t="shared" si="182"/>
        <v>0</v>
      </c>
      <c r="AL39">
        <f t="shared" si="183"/>
        <v>0</v>
      </c>
      <c r="AM39">
        <f t="shared" si="184"/>
        <v>0</v>
      </c>
      <c r="AN39">
        <f t="shared" si="185"/>
        <v>0</v>
      </c>
      <c r="AO39">
        <f t="shared" si="186"/>
        <v>0</v>
      </c>
      <c r="AP39">
        <f t="shared" si="187"/>
        <v>0</v>
      </c>
      <c r="AQ39">
        <f t="shared" si="188"/>
        <v>0</v>
      </c>
      <c r="AR39">
        <f t="shared" si="189"/>
        <v>0</v>
      </c>
      <c r="AS39">
        <f t="shared" si="190"/>
        <v>0</v>
      </c>
      <c r="AT39">
        <f t="shared" si="191"/>
        <v>0</v>
      </c>
      <c r="AU39">
        <f t="shared" si="192"/>
        <v>9.6708112296596536</v>
      </c>
      <c r="AW39" s="16">
        <f>AVERAGE(AB39:AB41)</f>
        <v>3.0813140185042602</v>
      </c>
      <c r="AX39" s="16">
        <f>AVERAGE(AC39:AC41)</f>
        <v>0</v>
      </c>
      <c r="AY39" s="16">
        <f>AVERAGE(AD39:AD41)</f>
        <v>24.87551573969931</v>
      </c>
      <c r="AZ39" s="16">
        <f>AVERAGE(AE39:AE41)</f>
        <v>0</v>
      </c>
      <c r="BA39" s="16">
        <f>AVERAGE(AF39:AF41)</f>
        <v>0</v>
      </c>
      <c r="BB39" s="16">
        <f t="shared" ref="BB39" si="208">AVERAGE(AG39:AG41)</f>
        <v>0</v>
      </c>
      <c r="BC39" s="16">
        <f t="shared" ref="BC39" si="209">AVERAGE(AH39:AH41)</f>
        <v>42.141276495856765</v>
      </c>
      <c r="BD39" s="16">
        <f t="shared" ref="BD39" si="210">AVERAGE(AI39:AI41)</f>
        <v>0</v>
      </c>
      <c r="BE39" s="16">
        <f t="shared" ref="BE39" si="211">AVERAGE(AJ39:AJ41)</f>
        <v>0</v>
      </c>
      <c r="BF39" s="16">
        <f t="shared" ref="BF39" si="212">AVERAGE(AK39:AK41)</f>
        <v>10.002034784201975</v>
      </c>
      <c r="BG39" s="16">
        <f t="shared" ref="BG39" si="213">AVERAGE(AL39:AL41)</f>
        <v>0</v>
      </c>
      <c r="BH39" s="16">
        <f t="shared" ref="BH39" si="214">AVERAGE(AM39:AM41)</f>
        <v>0</v>
      </c>
      <c r="BI39" s="16">
        <f t="shared" ref="BI39" si="215">AVERAGE(AN39:AN41)</f>
        <v>0</v>
      </c>
      <c r="BJ39" s="16">
        <f t="shared" ref="BJ39" si="216">AVERAGE(AO39:AO41)</f>
        <v>0</v>
      </c>
      <c r="BK39" s="16">
        <f t="shared" ref="BK39" si="217">AVERAGE(AP39:AP41)</f>
        <v>0</v>
      </c>
      <c r="BL39" s="16">
        <f t="shared" ref="BL39" si="218">AVERAGE(AQ39:AQ41)</f>
        <v>0.37767927582913147</v>
      </c>
      <c r="BM39" s="16">
        <f t="shared" ref="BM39" si="219">AVERAGE(AR39:AR41)</f>
        <v>0</v>
      </c>
      <c r="BN39" s="16">
        <f t="shared" ref="BN39" si="220">AVERAGE(AS39:AS41)</f>
        <v>0</v>
      </c>
      <c r="BO39" s="16">
        <f t="shared" ref="BO39" si="221">AVERAGE(AT39:AT41)</f>
        <v>0.37802625932408523</v>
      </c>
      <c r="BP39" s="16">
        <f t="shared" ref="BP39" si="222">AVERAGE(AU39:AU41)</f>
        <v>19.144153426584477</v>
      </c>
    </row>
    <row r="40" spans="1:68" x14ac:dyDescent="0.35">
      <c r="A40" s="1" t="s">
        <v>56</v>
      </c>
      <c r="B40" s="1">
        <v>38</v>
      </c>
      <c r="C40" s="1" t="s">
        <v>76</v>
      </c>
      <c r="D40" s="1" t="s">
        <v>75</v>
      </c>
      <c r="E40" s="3" t="s">
        <v>53</v>
      </c>
      <c r="F40" s="4">
        <v>4.6184661600000003E-2</v>
      </c>
      <c r="G40" s="4">
        <v>0</v>
      </c>
      <c r="H40" s="4">
        <v>0.38200520820000006</v>
      </c>
      <c r="I40" s="4">
        <v>0</v>
      </c>
      <c r="J40" s="4">
        <v>0</v>
      </c>
      <c r="K40" s="4">
        <v>0</v>
      </c>
      <c r="L40" s="4">
        <v>0.74791050180000007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1.8626546400000003E-2</v>
      </c>
      <c r="V40" s="4">
        <v>0</v>
      </c>
      <c r="W40" s="4">
        <v>0</v>
      </c>
      <c r="X40" s="4">
        <v>0</v>
      </c>
      <c r="Y40" s="4">
        <v>0.44922052560000003</v>
      </c>
      <c r="Z40" s="14">
        <f t="shared" si="172"/>
        <v>1.6439474436000001</v>
      </c>
      <c r="AB40">
        <f t="shared" si="173"/>
        <v>2.8093757972494831</v>
      </c>
      <c r="AC40">
        <f t="shared" si="174"/>
        <v>0</v>
      </c>
      <c r="AD40">
        <f t="shared" si="175"/>
        <v>23.237069389728514</v>
      </c>
      <c r="AE40">
        <f t="shared" si="176"/>
        <v>0</v>
      </c>
      <c r="AF40">
        <f t="shared" si="177"/>
        <v>0</v>
      </c>
      <c r="AG40">
        <f t="shared" si="178"/>
        <v>0</v>
      </c>
      <c r="AH40">
        <f t="shared" si="179"/>
        <v>45.494793931014449</v>
      </c>
      <c r="AI40">
        <f t="shared" si="180"/>
        <v>0</v>
      </c>
      <c r="AJ40">
        <f t="shared" si="181"/>
        <v>0</v>
      </c>
      <c r="AK40">
        <f t="shared" si="182"/>
        <v>0</v>
      </c>
      <c r="AL40">
        <f t="shared" si="183"/>
        <v>0</v>
      </c>
      <c r="AM40">
        <f t="shared" si="184"/>
        <v>0</v>
      </c>
      <c r="AN40">
        <f t="shared" si="185"/>
        <v>0</v>
      </c>
      <c r="AO40">
        <f t="shared" si="186"/>
        <v>0</v>
      </c>
      <c r="AP40">
        <f t="shared" si="187"/>
        <v>0</v>
      </c>
      <c r="AQ40">
        <f t="shared" si="188"/>
        <v>1.1330378274873945</v>
      </c>
      <c r="AR40">
        <f t="shared" si="189"/>
        <v>0</v>
      </c>
      <c r="AS40">
        <f t="shared" si="190"/>
        <v>0</v>
      </c>
      <c r="AT40">
        <f t="shared" si="191"/>
        <v>0</v>
      </c>
      <c r="AU40">
        <f t="shared" si="192"/>
        <v>27.325723054520161</v>
      </c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</row>
    <row r="41" spans="1:68" x14ac:dyDescent="0.35">
      <c r="A41" s="1" t="s">
        <v>56</v>
      </c>
      <c r="B41" s="1">
        <v>39</v>
      </c>
      <c r="C41" s="1" t="s">
        <v>77</v>
      </c>
      <c r="D41" s="1" t="s">
        <v>75</v>
      </c>
      <c r="E41" s="3" t="s">
        <v>53</v>
      </c>
      <c r="F41" s="4">
        <v>8.7341977799999998E-2</v>
      </c>
      <c r="G41" s="4">
        <v>0</v>
      </c>
      <c r="H41" s="4">
        <v>8.4315831600000002E-2</v>
      </c>
      <c r="I41" s="4">
        <v>0</v>
      </c>
      <c r="J41" s="4">
        <v>0</v>
      </c>
      <c r="K41" s="4">
        <v>0</v>
      </c>
      <c r="L41" s="4">
        <v>0.48564187980000001</v>
      </c>
      <c r="M41" s="4">
        <v>0</v>
      </c>
      <c r="N41" s="4">
        <v>0</v>
      </c>
      <c r="O41" s="4">
        <v>0.40729901520000006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1.5393840000000001E-2</v>
      </c>
      <c r="Y41" s="4">
        <v>0.27739464060000002</v>
      </c>
      <c r="Z41" s="14">
        <f t="shared" si="172"/>
        <v>1.3573871850000001</v>
      </c>
      <c r="AB41">
        <f t="shared" si="173"/>
        <v>6.4345662582632972</v>
      </c>
      <c r="AC41">
        <f t="shared" si="174"/>
        <v>0</v>
      </c>
      <c r="AD41">
        <f t="shared" si="175"/>
        <v>6.2116272005323223</v>
      </c>
      <c r="AE41">
        <f t="shared" si="176"/>
        <v>0</v>
      </c>
      <c r="AF41">
        <f t="shared" si="177"/>
        <v>0</v>
      </c>
      <c r="AG41">
        <f t="shared" si="178"/>
        <v>0</v>
      </c>
      <c r="AH41">
        <f t="shared" si="179"/>
        <v>35.777697415052579</v>
      </c>
      <c r="AI41">
        <f t="shared" si="180"/>
        <v>0</v>
      </c>
      <c r="AJ41">
        <f t="shared" si="181"/>
        <v>0</v>
      </c>
      <c r="AK41">
        <f t="shared" si="182"/>
        <v>30.006104352605924</v>
      </c>
      <c r="AL41">
        <f t="shared" si="183"/>
        <v>0</v>
      </c>
      <c r="AM41">
        <f t="shared" si="184"/>
        <v>0</v>
      </c>
      <c r="AN41">
        <f t="shared" si="185"/>
        <v>0</v>
      </c>
      <c r="AO41">
        <f t="shared" si="186"/>
        <v>0</v>
      </c>
      <c r="AP41">
        <f t="shared" si="187"/>
        <v>0</v>
      </c>
      <c r="AQ41">
        <f t="shared" si="188"/>
        <v>0</v>
      </c>
      <c r="AR41">
        <f t="shared" si="189"/>
        <v>0</v>
      </c>
      <c r="AS41">
        <f t="shared" si="190"/>
        <v>0</v>
      </c>
      <c r="AT41">
        <f t="shared" si="191"/>
        <v>1.1340787779722556</v>
      </c>
      <c r="AU41">
        <f t="shared" si="192"/>
        <v>20.435925995573619</v>
      </c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</row>
    <row r="42" spans="1:68" x14ac:dyDescent="0.35">
      <c r="A42" s="1" t="s">
        <v>18</v>
      </c>
      <c r="B42" s="1">
        <v>40</v>
      </c>
      <c r="C42" s="1" t="s">
        <v>78</v>
      </c>
      <c r="D42" s="1" t="s">
        <v>79</v>
      </c>
      <c r="E42" s="3" t="s">
        <v>53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0.23951244240000005</v>
      </c>
      <c r="M42" s="4">
        <v>0</v>
      </c>
      <c r="N42" s="4">
        <v>0</v>
      </c>
      <c r="O42" s="4">
        <v>0.26684750400000001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0.35501179559999996</v>
      </c>
      <c r="V42" s="4">
        <v>0</v>
      </c>
      <c r="W42" s="4">
        <v>0</v>
      </c>
      <c r="X42" s="4">
        <v>0.15232833000000001</v>
      </c>
      <c r="Y42" s="4">
        <v>5.1618058800000005E-2</v>
      </c>
      <c r="Z42" s="14">
        <f t="shared" si="172"/>
        <v>1.0653181307999999</v>
      </c>
      <c r="AB42">
        <f t="shared" si="173"/>
        <v>0</v>
      </c>
      <c r="AC42">
        <f t="shared" si="174"/>
        <v>0</v>
      </c>
      <c r="AD42">
        <f t="shared" si="175"/>
        <v>0</v>
      </c>
      <c r="AE42">
        <f t="shared" si="176"/>
        <v>0</v>
      </c>
      <c r="AF42">
        <f t="shared" si="177"/>
        <v>0</v>
      </c>
      <c r="AG42">
        <f t="shared" si="178"/>
        <v>0</v>
      </c>
      <c r="AH42">
        <f t="shared" si="179"/>
        <v>22.482715301216018</v>
      </c>
      <c r="AI42">
        <f t="shared" si="180"/>
        <v>0</v>
      </c>
      <c r="AJ42">
        <f t="shared" si="181"/>
        <v>0</v>
      </c>
      <c r="AK42">
        <f t="shared" si="182"/>
        <v>25.048621278942377</v>
      </c>
      <c r="AL42">
        <f t="shared" si="183"/>
        <v>0</v>
      </c>
      <c r="AM42">
        <f t="shared" si="184"/>
        <v>0</v>
      </c>
      <c r="AN42">
        <f t="shared" si="185"/>
        <v>0</v>
      </c>
      <c r="AO42">
        <f t="shared" si="186"/>
        <v>0</v>
      </c>
      <c r="AP42">
        <f t="shared" si="187"/>
        <v>0</v>
      </c>
      <c r="AQ42">
        <f t="shared" si="188"/>
        <v>33.324486398575054</v>
      </c>
      <c r="AR42">
        <f t="shared" si="189"/>
        <v>0</v>
      </c>
      <c r="AS42">
        <f t="shared" si="190"/>
        <v>0</v>
      </c>
      <c r="AT42">
        <f t="shared" si="191"/>
        <v>14.298858303069444</v>
      </c>
      <c r="AU42">
        <f t="shared" si="192"/>
        <v>4.8453187181971131</v>
      </c>
      <c r="AW42" s="16">
        <f>AVERAGE(AB42:AB44)</f>
        <v>0.88299584525730923</v>
      </c>
      <c r="AX42" s="16">
        <f>AVERAGE(AC42:AC44)</f>
        <v>0</v>
      </c>
      <c r="AY42" s="16">
        <f>AVERAGE(AD42:AD44)</f>
        <v>2.9894707337031456</v>
      </c>
      <c r="AZ42" s="16">
        <f>AVERAGE(AE42:AE44)</f>
        <v>0</v>
      </c>
      <c r="BA42" s="16">
        <f>AVERAGE(AF42:AF44)</f>
        <v>0</v>
      </c>
      <c r="BB42" s="16">
        <f t="shared" ref="BB42" si="223">AVERAGE(AG42:AG44)</f>
        <v>0</v>
      </c>
      <c r="BC42" s="16">
        <f t="shared" ref="BC42" si="224">AVERAGE(AH42:AH44)</f>
        <v>29.881189316190383</v>
      </c>
      <c r="BD42" s="16">
        <f t="shared" ref="BD42" si="225">AVERAGE(AI42:AI44)</f>
        <v>1.0687428716057723</v>
      </c>
      <c r="BE42" s="16">
        <f t="shared" ref="BE42" si="226">AVERAGE(AJ42:AJ44)</f>
        <v>0</v>
      </c>
      <c r="BF42" s="16">
        <f t="shared" ref="BF42" si="227">AVERAGE(AK42:AK44)</f>
        <v>16.875868582519828</v>
      </c>
      <c r="BG42" s="16">
        <f t="shared" ref="BG42" si="228">AVERAGE(AL42:AL44)</f>
        <v>0</v>
      </c>
      <c r="BH42" s="16">
        <f t="shared" ref="BH42" si="229">AVERAGE(AM42:AM44)</f>
        <v>0</v>
      </c>
      <c r="BI42" s="16">
        <f t="shared" ref="BI42" si="230">AVERAGE(AN42:AN44)</f>
        <v>0</v>
      </c>
      <c r="BJ42" s="16">
        <f t="shared" ref="BJ42" si="231">AVERAGE(AO42:AO44)</f>
        <v>0</v>
      </c>
      <c r="BK42" s="16">
        <f t="shared" ref="BK42" si="232">AVERAGE(AP42:AP44)</f>
        <v>0</v>
      </c>
      <c r="BL42" s="16">
        <f t="shared" ref="BL42" si="233">AVERAGE(AQ42:AQ44)</f>
        <v>11.108162132858352</v>
      </c>
      <c r="BM42" s="16">
        <f t="shared" ref="BM42" si="234">AVERAGE(AR42:AR44)</f>
        <v>0</v>
      </c>
      <c r="BN42" s="16">
        <f t="shared" ref="BN42" si="235">AVERAGE(AS42:AS44)</f>
        <v>0</v>
      </c>
      <c r="BO42" s="16">
        <f t="shared" ref="BO42" si="236">AVERAGE(AT42:AT44)</f>
        <v>24.589249529161702</v>
      </c>
      <c r="BP42" s="16">
        <f t="shared" ref="BP42" si="237">AVERAGE(AU42:AU44)</f>
        <v>12.604320988703511</v>
      </c>
    </row>
    <row r="43" spans="1:68" x14ac:dyDescent="0.35">
      <c r="A43" s="1" t="s">
        <v>18</v>
      </c>
      <c r="B43" s="1">
        <v>41</v>
      </c>
      <c r="C43" s="1" t="s">
        <v>80</v>
      </c>
      <c r="D43" s="1" t="s">
        <v>79</v>
      </c>
      <c r="E43" s="3" t="s">
        <v>53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6.7822431599999997E-2</v>
      </c>
      <c r="M43" s="4">
        <v>2.3778770399999996E-2</v>
      </c>
      <c r="N43" s="4">
        <v>0</v>
      </c>
      <c r="O43" s="4">
        <v>2.5730489400000008E-2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0.44104686780000002</v>
      </c>
      <c r="Y43" s="4">
        <v>0.18326445060000002</v>
      </c>
      <c r="Z43" s="14">
        <f t="shared" si="172"/>
        <v>0.74164300979999997</v>
      </c>
      <c r="AB43">
        <f t="shared" si="173"/>
        <v>0</v>
      </c>
      <c r="AC43">
        <f t="shared" si="174"/>
        <v>0</v>
      </c>
      <c r="AD43">
        <f t="shared" si="175"/>
        <v>0</v>
      </c>
      <c r="AE43">
        <f t="shared" si="176"/>
        <v>0</v>
      </c>
      <c r="AF43">
        <f t="shared" si="177"/>
        <v>0</v>
      </c>
      <c r="AG43">
        <f t="shared" si="178"/>
        <v>0</v>
      </c>
      <c r="AH43">
        <f t="shared" si="179"/>
        <v>9.1448892127075769</v>
      </c>
      <c r="AI43">
        <f t="shared" si="180"/>
        <v>3.2062286148173169</v>
      </c>
      <c r="AJ43">
        <f t="shared" si="181"/>
        <v>0</v>
      </c>
      <c r="AK43">
        <f t="shared" si="182"/>
        <v>3.4693901324491399</v>
      </c>
      <c r="AL43">
        <f t="shared" si="183"/>
        <v>0</v>
      </c>
      <c r="AM43">
        <f t="shared" si="184"/>
        <v>0</v>
      </c>
      <c r="AN43">
        <f t="shared" si="185"/>
        <v>0</v>
      </c>
      <c r="AO43">
        <f t="shared" si="186"/>
        <v>0</v>
      </c>
      <c r="AP43">
        <f t="shared" si="187"/>
        <v>0</v>
      </c>
      <c r="AQ43">
        <f t="shared" si="188"/>
        <v>0</v>
      </c>
      <c r="AR43">
        <f t="shared" si="189"/>
        <v>0</v>
      </c>
      <c r="AS43">
        <f t="shared" si="190"/>
        <v>0</v>
      </c>
      <c r="AT43">
        <f t="shared" si="191"/>
        <v>59.468890284415657</v>
      </c>
      <c r="AU43">
        <f t="shared" si="192"/>
        <v>24.71060175561032</v>
      </c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</row>
    <row r="44" spans="1:68" x14ac:dyDescent="0.35">
      <c r="A44" s="1" t="s">
        <v>18</v>
      </c>
      <c r="B44" s="1">
        <v>42</v>
      </c>
      <c r="C44" s="1" t="s">
        <v>81</v>
      </c>
      <c r="D44" s="1" t="s">
        <v>79</v>
      </c>
      <c r="E44" s="3" t="s">
        <v>53</v>
      </c>
      <c r="F44" s="4">
        <v>1.2271875E-2</v>
      </c>
      <c r="G44" s="4">
        <v>0</v>
      </c>
      <c r="H44" s="4">
        <v>4.154766E-2</v>
      </c>
      <c r="I44" s="4">
        <v>0</v>
      </c>
      <c r="J44" s="4">
        <v>0</v>
      </c>
      <c r="K44" s="4">
        <v>0</v>
      </c>
      <c r="L44" s="4">
        <v>0.26876859239999995</v>
      </c>
      <c r="M44" s="4">
        <v>0</v>
      </c>
      <c r="N44" s="4">
        <v>0</v>
      </c>
      <c r="O44" s="4">
        <v>0.10242637020000002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3.8252121600000001E-2</v>
      </c>
      <c r="Z44" s="14">
        <f t="shared" si="172"/>
        <v>0.46326661920000001</v>
      </c>
      <c r="AB44">
        <f t="shared" si="173"/>
        <v>2.6489875357719277</v>
      </c>
      <c r="AC44">
        <f t="shared" si="174"/>
        <v>0</v>
      </c>
      <c r="AD44">
        <f t="shared" si="175"/>
        <v>8.9684122011094374</v>
      </c>
      <c r="AE44">
        <f t="shared" si="176"/>
        <v>0</v>
      </c>
      <c r="AF44">
        <f t="shared" si="177"/>
        <v>0</v>
      </c>
      <c r="AG44">
        <f t="shared" si="178"/>
        <v>0</v>
      </c>
      <c r="AH44">
        <f t="shared" si="179"/>
        <v>58.015963434647553</v>
      </c>
      <c r="AI44">
        <f t="shared" si="180"/>
        <v>0</v>
      </c>
      <c r="AJ44">
        <f t="shared" si="181"/>
        <v>0</v>
      </c>
      <c r="AK44">
        <f t="shared" si="182"/>
        <v>22.109594336167966</v>
      </c>
      <c r="AL44">
        <f t="shared" si="183"/>
        <v>0</v>
      </c>
      <c r="AM44">
        <f t="shared" si="184"/>
        <v>0</v>
      </c>
      <c r="AN44">
        <f t="shared" si="185"/>
        <v>0</v>
      </c>
      <c r="AO44">
        <f t="shared" si="186"/>
        <v>0</v>
      </c>
      <c r="AP44">
        <f t="shared" si="187"/>
        <v>0</v>
      </c>
      <c r="AQ44">
        <f t="shared" si="188"/>
        <v>0</v>
      </c>
      <c r="AR44">
        <f t="shared" si="189"/>
        <v>0</v>
      </c>
      <c r="AS44">
        <f t="shared" si="190"/>
        <v>0</v>
      </c>
      <c r="AT44">
        <f t="shared" si="191"/>
        <v>0</v>
      </c>
      <c r="AU44">
        <f t="shared" si="192"/>
        <v>8.2570424923031016</v>
      </c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</row>
    <row r="45" spans="1:68" x14ac:dyDescent="0.35">
      <c r="A45" s="1" t="s">
        <v>18</v>
      </c>
      <c r="B45" s="1">
        <v>43</v>
      </c>
      <c r="C45" s="1" t="s">
        <v>82</v>
      </c>
      <c r="D45" s="1" t="s">
        <v>83</v>
      </c>
      <c r="E45" s="3" t="s">
        <v>53</v>
      </c>
      <c r="F45" s="4">
        <v>1.7203401600000001E-2</v>
      </c>
      <c r="G45" s="4">
        <v>0</v>
      </c>
      <c r="H45" s="4">
        <v>0</v>
      </c>
      <c r="I45" s="4">
        <v>0</v>
      </c>
      <c r="J45" s="4">
        <v>8.9727237599999995E-2</v>
      </c>
      <c r="K45" s="4">
        <v>0</v>
      </c>
      <c r="L45" s="4">
        <v>0.219601767</v>
      </c>
      <c r="M45" s="4">
        <v>0</v>
      </c>
      <c r="N45" s="4">
        <v>1.34782494E-2</v>
      </c>
      <c r="O45" s="4">
        <v>0.66697424640000003</v>
      </c>
      <c r="P45" s="4">
        <v>0</v>
      </c>
      <c r="Q45" s="4">
        <v>0</v>
      </c>
      <c r="R45" s="4">
        <v>0</v>
      </c>
      <c r="S45" s="4">
        <v>0</v>
      </c>
      <c r="T45" s="4">
        <v>0.1239942396</v>
      </c>
      <c r="U45" s="4">
        <v>0.55955508840000001</v>
      </c>
      <c r="V45" s="4">
        <v>0</v>
      </c>
      <c r="W45" s="4">
        <v>0</v>
      </c>
      <c r="X45" s="4">
        <v>0.19626674760000001</v>
      </c>
      <c r="Y45" s="4">
        <v>7.1476897800000008E-2</v>
      </c>
      <c r="Z45" s="14">
        <f t="shared" si="172"/>
        <v>1.9582778754000001</v>
      </c>
      <c r="AB45">
        <f t="shared" si="173"/>
        <v>0.87849644915617575</v>
      </c>
      <c r="AC45">
        <f t="shared" si="174"/>
        <v>0</v>
      </c>
      <c r="AD45">
        <f t="shared" si="175"/>
        <v>0</v>
      </c>
      <c r="AE45">
        <f t="shared" si="176"/>
        <v>0</v>
      </c>
      <c r="AF45">
        <f t="shared" si="177"/>
        <v>4.5819461439644877</v>
      </c>
      <c r="AG45">
        <f t="shared" si="178"/>
        <v>0</v>
      </c>
      <c r="AH45">
        <f t="shared" si="179"/>
        <v>11.214024820412369</v>
      </c>
      <c r="AI45">
        <f t="shared" si="180"/>
        <v>0</v>
      </c>
      <c r="AJ45">
        <f t="shared" si="181"/>
        <v>0.68827052428639202</v>
      </c>
      <c r="AK45">
        <f t="shared" si="182"/>
        <v>34.059223911916128</v>
      </c>
      <c r="AL45">
        <f t="shared" si="183"/>
        <v>0</v>
      </c>
      <c r="AM45">
        <f t="shared" si="184"/>
        <v>0</v>
      </c>
      <c r="AN45">
        <f t="shared" si="185"/>
        <v>0</v>
      </c>
      <c r="AO45">
        <f t="shared" si="186"/>
        <v>0</v>
      </c>
      <c r="AP45">
        <f t="shared" si="187"/>
        <v>6.3318000554274141</v>
      </c>
      <c r="AQ45">
        <f t="shared" si="188"/>
        <v>28.573834971490175</v>
      </c>
      <c r="AR45">
        <f t="shared" si="189"/>
        <v>0</v>
      </c>
      <c r="AS45">
        <f t="shared" si="190"/>
        <v>0</v>
      </c>
      <c r="AT45">
        <f t="shared" si="191"/>
        <v>10.02241561657384</v>
      </c>
      <c r="AU45">
        <f t="shared" si="192"/>
        <v>3.6499875067730136</v>
      </c>
      <c r="AW45" s="16">
        <f>AVERAGE(AB45:AB47)</f>
        <v>3.0241945706580631</v>
      </c>
      <c r="AX45" s="16">
        <f>AVERAGE(AC45:AC47)</f>
        <v>0</v>
      </c>
      <c r="AY45" s="16">
        <f>AVERAGE(AD45:AD47)</f>
        <v>2.5723283666224179</v>
      </c>
      <c r="AZ45" s="16">
        <f>AVERAGE(AE45:AE47)</f>
        <v>0</v>
      </c>
      <c r="BA45" s="16">
        <f>AVERAGE(AF45:AF47)</f>
        <v>3.6197353599468172</v>
      </c>
      <c r="BB45" s="16">
        <f t="shared" ref="BB45" si="238">AVERAGE(AG45:AG47)</f>
        <v>0</v>
      </c>
      <c r="BC45" s="16">
        <f t="shared" ref="BC45" si="239">AVERAGE(AH45:AH47)</f>
        <v>24.127955565989868</v>
      </c>
      <c r="BD45" s="16">
        <f t="shared" ref="BD45" si="240">AVERAGE(AI45:AI47)</f>
        <v>0</v>
      </c>
      <c r="BE45" s="16">
        <f t="shared" ref="BE45" si="241">AVERAGE(AJ45:AJ47)</f>
        <v>0.94500373413119332</v>
      </c>
      <c r="BF45" s="16">
        <f t="shared" ref="BF45" si="242">AVERAGE(AK45:AK47)</f>
        <v>17.017543295477928</v>
      </c>
      <c r="BG45" s="16">
        <f t="shared" ref="BG45" si="243">AVERAGE(AL45:AL47)</f>
        <v>0</v>
      </c>
      <c r="BH45" s="16">
        <f t="shared" ref="BH45" si="244">AVERAGE(AM45:AM47)</f>
        <v>0</v>
      </c>
      <c r="BI45" s="16">
        <f t="shared" ref="BI45" si="245">AVERAGE(AN45:AN47)</f>
        <v>0</v>
      </c>
      <c r="BJ45" s="16">
        <f t="shared" ref="BJ45" si="246">AVERAGE(AO45:AO47)</f>
        <v>0</v>
      </c>
      <c r="BK45" s="16">
        <f t="shared" ref="BK45" si="247">AVERAGE(AP45:AP47)</f>
        <v>2.1106000184758047</v>
      </c>
      <c r="BL45" s="16">
        <f t="shared" ref="BL45" si="248">AVERAGE(AQ45:AQ47)</f>
        <v>28.795131624787942</v>
      </c>
      <c r="BM45" s="16">
        <f t="shared" ref="BM45" si="249">AVERAGE(AR45:AR47)</f>
        <v>0</v>
      </c>
      <c r="BN45" s="16">
        <f t="shared" ref="BN45" si="250">AVERAGE(AS45:AS47)</f>
        <v>0</v>
      </c>
      <c r="BO45" s="16">
        <f t="shared" ref="BO45" si="251">AVERAGE(AT45:AT47)</f>
        <v>5.6231469760913226</v>
      </c>
      <c r="BP45" s="16">
        <f t="shared" ref="BP45" si="252">AVERAGE(AU45:AU47)</f>
        <v>12.164360487818636</v>
      </c>
    </row>
    <row r="46" spans="1:68" x14ac:dyDescent="0.35">
      <c r="A46" s="1" t="s">
        <v>18</v>
      </c>
      <c r="B46" s="1">
        <v>44</v>
      </c>
      <c r="C46" s="1" t="s">
        <v>84</v>
      </c>
      <c r="D46" s="1" t="s">
        <v>83</v>
      </c>
      <c r="E46" s="3" t="s">
        <v>53</v>
      </c>
      <c r="F46" s="4">
        <v>0</v>
      </c>
      <c r="G46" s="4">
        <v>0</v>
      </c>
      <c r="H46" s="4">
        <v>0</v>
      </c>
      <c r="I46" s="4">
        <v>0</v>
      </c>
      <c r="J46" s="4">
        <v>8.0221541399999999E-2</v>
      </c>
      <c r="K46" s="4">
        <v>0</v>
      </c>
      <c r="L46" s="4">
        <v>0.18990422220000003</v>
      </c>
      <c r="M46" s="4">
        <v>0</v>
      </c>
      <c r="N46" s="4">
        <v>0</v>
      </c>
      <c r="O46" s="4">
        <v>6.9035874599999991E-2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0.73881478440000015</v>
      </c>
      <c r="V46" s="4">
        <v>0</v>
      </c>
      <c r="W46" s="4">
        <v>0</v>
      </c>
      <c r="X46" s="4">
        <v>2.80144326E-2</v>
      </c>
      <c r="Y46" s="4">
        <v>0.17197982340000001</v>
      </c>
      <c r="Z46" s="14">
        <f t="shared" si="172"/>
        <v>1.2779706786000002</v>
      </c>
      <c r="AB46">
        <f t="shared" si="173"/>
        <v>0</v>
      </c>
      <c r="AC46">
        <f t="shared" si="174"/>
        <v>0</v>
      </c>
      <c r="AD46">
        <f t="shared" si="175"/>
        <v>0</v>
      </c>
      <c r="AE46">
        <f t="shared" si="176"/>
        <v>0</v>
      </c>
      <c r="AF46">
        <f t="shared" si="177"/>
        <v>6.2772599358759642</v>
      </c>
      <c r="AG46">
        <f t="shared" si="178"/>
        <v>0</v>
      </c>
      <c r="AH46">
        <f t="shared" si="179"/>
        <v>14.859826237018018</v>
      </c>
      <c r="AI46">
        <f t="shared" si="180"/>
        <v>0</v>
      </c>
      <c r="AJ46">
        <f t="shared" si="181"/>
        <v>0</v>
      </c>
      <c r="AK46">
        <f t="shared" si="182"/>
        <v>5.4019920610094019</v>
      </c>
      <c r="AL46">
        <f t="shared" si="183"/>
        <v>0</v>
      </c>
      <c r="AM46">
        <f t="shared" si="184"/>
        <v>0</v>
      </c>
      <c r="AN46">
        <f t="shared" si="185"/>
        <v>0</v>
      </c>
      <c r="AO46">
        <f t="shared" si="186"/>
        <v>0</v>
      </c>
      <c r="AP46">
        <f t="shared" si="187"/>
        <v>0</v>
      </c>
      <c r="AQ46">
        <f t="shared" si="188"/>
        <v>57.811559902873654</v>
      </c>
      <c r="AR46">
        <f t="shared" si="189"/>
        <v>0</v>
      </c>
      <c r="AS46">
        <f t="shared" si="190"/>
        <v>0</v>
      </c>
      <c r="AT46">
        <f t="shared" si="191"/>
        <v>2.1921029229472961</v>
      </c>
      <c r="AU46">
        <f t="shared" si="192"/>
        <v>13.457258940275658</v>
      </c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</row>
    <row r="47" spans="1:68" x14ac:dyDescent="0.35">
      <c r="A47" s="1" t="s">
        <v>18</v>
      </c>
      <c r="B47" s="1">
        <v>45</v>
      </c>
      <c r="C47" s="1" t="s">
        <v>85</v>
      </c>
      <c r="D47" s="1" t="s">
        <v>83</v>
      </c>
      <c r="E47" s="3" t="s">
        <v>53</v>
      </c>
      <c r="F47" s="4">
        <v>5.8758130200000008E-2</v>
      </c>
      <c r="G47" s="4">
        <v>0</v>
      </c>
      <c r="H47" s="4">
        <v>5.5336927800000005E-2</v>
      </c>
      <c r="I47" s="4">
        <v>0</v>
      </c>
      <c r="J47" s="4">
        <v>0</v>
      </c>
      <c r="K47" s="4">
        <v>0</v>
      </c>
      <c r="L47" s="4">
        <v>0.33207968639999996</v>
      </c>
      <c r="M47" s="4">
        <v>0</v>
      </c>
      <c r="N47" s="4">
        <v>1.5393840000000001E-2</v>
      </c>
      <c r="O47" s="4">
        <v>8.31196674E-2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3.3379499999999999E-2</v>
      </c>
      <c r="Y47" s="4">
        <v>0.13901187300000001</v>
      </c>
      <c r="Z47" s="14">
        <f t="shared" si="172"/>
        <v>0.71707962479999998</v>
      </c>
      <c r="AB47">
        <f t="shared" si="173"/>
        <v>8.1940872628180141</v>
      </c>
      <c r="AC47">
        <f t="shared" si="174"/>
        <v>0</v>
      </c>
      <c r="AD47">
        <f t="shared" si="175"/>
        <v>7.7169850998672533</v>
      </c>
      <c r="AE47">
        <f t="shared" si="176"/>
        <v>0</v>
      </c>
      <c r="AF47">
        <f t="shared" si="177"/>
        <v>0</v>
      </c>
      <c r="AG47">
        <f t="shared" si="178"/>
        <v>0</v>
      </c>
      <c r="AH47">
        <f t="shared" si="179"/>
        <v>46.31001564053922</v>
      </c>
      <c r="AI47">
        <f t="shared" si="180"/>
        <v>0</v>
      </c>
      <c r="AJ47">
        <f t="shared" si="181"/>
        <v>2.146740678107188</v>
      </c>
      <c r="AK47">
        <f t="shared" si="182"/>
        <v>11.591413913508257</v>
      </c>
      <c r="AL47">
        <f t="shared" si="183"/>
        <v>0</v>
      </c>
      <c r="AM47">
        <f t="shared" si="184"/>
        <v>0</v>
      </c>
      <c r="AN47">
        <f t="shared" si="185"/>
        <v>0</v>
      </c>
      <c r="AO47">
        <f t="shared" si="186"/>
        <v>0</v>
      </c>
      <c r="AP47">
        <f t="shared" si="187"/>
        <v>0</v>
      </c>
      <c r="AQ47">
        <f t="shared" si="188"/>
        <v>0</v>
      </c>
      <c r="AR47">
        <f t="shared" si="189"/>
        <v>0</v>
      </c>
      <c r="AS47">
        <f t="shared" si="190"/>
        <v>0</v>
      </c>
      <c r="AT47">
        <f t="shared" si="191"/>
        <v>4.6549223887528317</v>
      </c>
      <c r="AU47">
        <f t="shared" si="192"/>
        <v>19.385835016407235</v>
      </c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</row>
    <row r="48" spans="1:68" x14ac:dyDescent="0.35">
      <c r="A48" s="1" t="s">
        <v>86</v>
      </c>
      <c r="B48" s="1">
        <v>46</v>
      </c>
      <c r="C48" s="1" t="s">
        <v>87</v>
      </c>
      <c r="D48" s="1" t="s">
        <v>88</v>
      </c>
      <c r="E48" s="3" t="s">
        <v>21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0.40411893060000004</v>
      </c>
      <c r="M48" s="4">
        <v>0.47051664659999998</v>
      </c>
      <c r="N48" s="4">
        <v>0</v>
      </c>
      <c r="O48" s="4">
        <v>0</v>
      </c>
      <c r="P48" s="4">
        <v>0</v>
      </c>
      <c r="Q48" s="4">
        <v>0</v>
      </c>
      <c r="R48" s="4">
        <v>4.1746366199999996E-2</v>
      </c>
      <c r="S48" s="4">
        <v>0</v>
      </c>
      <c r="T48" s="4">
        <v>0.15824160660000003</v>
      </c>
      <c r="U48" s="4">
        <v>0</v>
      </c>
      <c r="V48" s="4">
        <v>1.2953829966000001</v>
      </c>
      <c r="W48" s="4">
        <v>0</v>
      </c>
      <c r="X48" s="4">
        <v>0</v>
      </c>
      <c r="Y48" s="4">
        <v>4.6472118000000007E-2</v>
      </c>
      <c r="Z48" s="14">
        <f t="shared" si="172"/>
        <v>2.4164786646</v>
      </c>
      <c r="AB48">
        <f t="shared" si="173"/>
        <v>0</v>
      </c>
      <c r="AC48">
        <f t="shared" si="174"/>
        <v>0</v>
      </c>
      <c r="AD48">
        <f t="shared" si="175"/>
        <v>0</v>
      </c>
      <c r="AE48">
        <f t="shared" si="176"/>
        <v>0</v>
      </c>
      <c r="AF48">
        <f t="shared" si="177"/>
        <v>0</v>
      </c>
      <c r="AG48">
        <f t="shared" si="178"/>
        <v>0</v>
      </c>
      <c r="AH48">
        <f t="shared" si="179"/>
        <v>16.723463629954864</v>
      </c>
      <c r="AI48">
        <f t="shared" si="180"/>
        <v>19.47116908139078</v>
      </c>
      <c r="AJ48">
        <f t="shared" si="181"/>
        <v>0</v>
      </c>
      <c r="AK48">
        <f t="shared" si="182"/>
        <v>0</v>
      </c>
      <c r="AL48">
        <f t="shared" si="183"/>
        <v>0</v>
      </c>
      <c r="AM48">
        <f t="shared" si="184"/>
        <v>0</v>
      </c>
      <c r="AN48">
        <f t="shared" si="185"/>
        <v>1.7275702372861741</v>
      </c>
      <c r="AO48">
        <f t="shared" si="186"/>
        <v>0</v>
      </c>
      <c r="AP48">
        <f t="shared" si="187"/>
        <v>6.5484379778785993</v>
      </c>
      <c r="AQ48">
        <f t="shared" si="188"/>
        <v>0</v>
      </c>
      <c r="AR48">
        <f t="shared" si="189"/>
        <v>53.606225272194777</v>
      </c>
      <c r="AS48">
        <f t="shared" si="190"/>
        <v>0</v>
      </c>
      <c r="AT48">
        <f t="shared" si="191"/>
        <v>0</v>
      </c>
      <c r="AU48">
        <f t="shared" si="192"/>
        <v>1.9231338012948085</v>
      </c>
      <c r="AW48" s="16">
        <f>AVERAGE(AB48:AB50)</f>
        <v>10.900214251282547</v>
      </c>
      <c r="AX48" s="16">
        <f>AVERAGE(AC48:AC50)</f>
        <v>0</v>
      </c>
      <c r="AY48" s="16">
        <f>AVERAGE(AD48:AD50)</f>
        <v>0</v>
      </c>
      <c r="AZ48" s="16">
        <f>AVERAGE(AE48:AE50)</f>
        <v>0</v>
      </c>
      <c r="BA48" s="16">
        <f>AVERAGE(AF48:AF50)</f>
        <v>0</v>
      </c>
      <c r="BB48" s="16">
        <f t="shared" ref="BB48" si="253">AVERAGE(AG48:AG50)</f>
        <v>0</v>
      </c>
      <c r="BC48" s="16">
        <f t="shared" ref="BC48" si="254">AVERAGE(AH48:AH50)</f>
        <v>31.395993735873322</v>
      </c>
      <c r="BD48" s="16">
        <f t="shared" ref="BD48" si="255">AVERAGE(AI48:AI50)</f>
        <v>14.444613689192744</v>
      </c>
      <c r="BE48" s="16">
        <f t="shared" ref="BE48" si="256">AVERAGE(AJ48:AJ50)</f>
        <v>0</v>
      </c>
      <c r="BF48" s="16">
        <f t="shared" ref="BF48" si="257">AVERAGE(AK48:AK50)</f>
        <v>0</v>
      </c>
      <c r="BG48" s="16">
        <f t="shared" ref="BG48" si="258">AVERAGE(AL48:AL50)</f>
        <v>0</v>
      </c>
      <c r="BH48" s="16">
        <f t="shared" ref="BH48" si="259">AVERAGE(AM48:AM50)</f>
        <v>0</v>
      </c>
      <c r="BI48" s="16">
        <f t="shared" ref="BI48" si="260">AVERAGE(AN48:AN50)</f>
        <v>0.57585674576205803</v>
      </c>
      <c r="BJ48" s="16">
        <f t="shared" ref="BJ48" si="261">AVERAGE(AO48:AO50)</f>
        <v>0</v>
      </c>
      <c r="BK48" s="16">
        <f t="shared" ref="BK48" si="262">AVERAGE(AP48:AP50)</f>
        <v>5.514385251267055</v>
      </c>
      <c r="BL48" s="16">
        <f t="shared" ref="BL48" si="263">AVERAGE(AQ48:AQ50)</f>
        <v>3.650568026883958</v>
      </c>
      <c r="BM48" s="16">
        <f t="shared" ref="BM48" si="264">AVERAGE(AR48:AR50)</f>
        <v>22.223753632918086</v>
      </c>
      <c r="BN48" s="16">
        <f t="shared" ref="BN48" si="265">AVERAGE(AS48:AS50)</f>
        <v>0.53777436907914744</v>
      </c>
      <c r="BO48" s="16">
        <f t="shared" ref="BO48" si="266">AVERAGE(AT48:AT50)</f>
        <v>5.3290010616280803</v>
      </c>
      <c r="BP48" s="16">
        <f t="shared" ref="BP48" si="267">AVERAGE(AU48:AU50)</f>
        <v>5.4278392361130114</v>
      </c>
    </row>
    <row r="49" spans="1:68" x14ac:dyDescent="0.35">
      <c r="A49" s="1" t="s">
        <v>86</v>
      </c>
      <c r="B49" s="1">
        <v>47</v>
      </c>
      <c r="C49" s="1" t="s">
        <v>89</v>
      </c>
      <c r="D49" s="1" t="s">
        <v>88</v>
      </c>
      <c r="E49" s="3" t="s">
        <v>21</v>
      </c>
      <c r="F49" s="4">
        <v>0.67806959219999996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0.5979124536</v>
      </c>
      <c r="M49" s="4">
        <v>0.6148221156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9.8423186399999987E-2</v>
      </c>
      <c r="V49" s="4">
        <v>0</v>
      </c>
      <c r="W49" s="4">
        <v>4.1567295000000004E-2</v>
      </c>
      <c r="X49" s="4">
        <v>0.41190538620000006</v>
      </c>
      <c r="Y49" s="4">
        <v>0.13380152940000001</v>
      </c>
      <c r="Z49" s="14">
        <f t="shared" si="172"/>
        <v>2.5765015583999999</v>
      </c>
      <c r="AB49">
        <f t="shared" si="173"/>
        <v>26.317453214391968</v>
      </c>
      <c r="AC49">
        <f t="shared" si="174"/>
        <v>0</v>
      </c>
      <c r="AD49">
        <f t="shared" si="175"/>
        <v>0</v>
      </c>
      <c r="AE49">
        <f t="shared" si="176"/>
        <v>0</v>
      </c>
      <c r="AF49">
        <f t="shared" si="177"/>
        <v>0</v>
      </c>
      <c r="AG49">
        <f t="shared" si="178"/>
        <v>0</v>
      </c>
      <c r="AH49">
        <f t="shared" si="179"/>
        <v>23.206368793011791</v>
      </c>
      <c r="AI49">
        <f t="shared" si="180"/>
        <v>23.862671986187458</v>
      </c>
      <c r="AJ49">
        <f t="shared" si="181"/>
        <v>0</v>
      </c>
      <c r="AK49">
        <f t="shared" si="182"/>
        <v>0</v>
      </c>
      <c r="AL49">
        <f t="shared" si="183"/>
        <v>0</v>
      </c>
      <c r="AM49">
        <f t="shared" si="184"/>
        <v>0</v>
      </c>
      <c r="AN49">
        <f t="shared" si="185"/>
        <v>0</v>
      </c>
      <c r="AO49">
        <f t="shared" si="186"/>
        <v>0</v>
      </c>
      <c r="AP49">
        <f t="shared" si="187"/>
        <v>0</v>
      </c>
      <c r="AQ49">
        <f t="shared" si="188"/>
        <v>3.8200320927079319</v>
      </c>
      <c r="AR49">
        <f t="shared" si="189"/>
        <v>0</v>
      </c>
      <c r="AS49">
        <f t="shared" si="190"/>
        <v>1.6133231072374423</v>
      </c>
      <c r="AT49">
        <f t="shared" si="191"/>
        <v>15.987003184884241</v>
      </c>
      <c r="AU49">
        <f t="shared" si="192"/>
        <v>5.1931476215791763</v>
      </c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</row>
    <row r="50" spans="1:68" x14ac:dyDescent="0.35">
      <c r="A50" s="1" t="s">
        <v>86</v>
      </c>
      <c r="B50" s="1">
        <v>48</v>
      </c>
      <c r="C50" s="1" t="s">
        <v>90</v>
      </c>
      <c r="D50" s="5" t="s">
        <v>88</v>
      </c>
      <c r="E50" s="3" t="s">
        <v>21</v>
      </c>
      <c r="F50" s="4">
        <v>7.4883963000000012E-2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0.63652585920000004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0.11725236600000002</v>
      </c>
      <c r="U50" s="4">
        <v>8.366473499999999E-2</v>
      </c>
      <c r="V50" s="4">
        <v>0.15327159539999999</v>
      </c>
      <c r="W50" s="4">
        <v>0</v>
      </c>
      <c r="X50" s="4">
        <v>0</v>
      </c>
      <c r="Y50" s="4">
        <v>0.10754482200000001</v>
      </c>
      <c r="Z50" s="14">
        <f t="shared" si="172"/>
        <v>1.1731433405999998</v>
      </c>
      <c r="AB50">
        <f t="shared" si="173"/>
        <v>6.3831895394556719</v>
      </c>
      <c r="AC50">
        <f t="shared" si="174"/>
        <v>0</v>
      </c>
      <c r="AD50">
        <f t="shared" si="175"/>
        <v>0</v>
      </c>
      <c r="AE50">
        <f t="shared" si="176"/>
        <v>0</v>
      </c>
      <c r="AF50">
        <f t="shared" si="177"/>
        <v>0</v>
      </c>
      <c r="AG50">
        <f t="shared" si="178"/>
        <v>0</v>
      </c>
      <c r="AH50">
        <f t="shared" si="179"/>
        <v>54.258148784653315</v>
      </c>
      <c r="AI50">
        <f t="shared" si="180"/>
        <v>0</v>
      </c>
      <c r="AJ50">
        <f t="shared" si="181"/>
        <v>0</v>
      </c>
      <c r="AK50">
        <f t="shared" si="182"/>
        <v>0</v>
      </c>
      <c r="AL50">
        <f t="shared" si="183"/>
        <v>0</v>
      </c>
      <c r="AM50">
        <f t="shared" si="184"/>
        <v>0</v>
      </c>
      <c r="AN50">
        <f t="shared" si="185"/>
        <v>0</v>
      </c>
      <c r="AO50">
        <f t="shared" si="186"/>
        <v>0</v>
      </c>
      <c r="AP50">
        <f t="shared" si="187"/>
        <v>9.9947177759225685</v>
      </c>
      <c r="AQ50">
        <f t="shared" si="188"/>
        <v>7.1316719879439425</v>
      </c>
      <c r="AR50">
        <f t="shared" si="189"/>
        <v>13.06503562655948</v>
      </c>
      <c r="AS50">
        <f t="shared" si="190"/>
        <v>0</v>
      </c>
      <c r="AT50">
        <f t="shared" si="191"/>
        <v>0</v>
      </c>
      <c r="AU50">
        <f t="shared" si="192"/>
        <v>9.1672362854650498</v>
      </c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</row>
    <row r="51" spans="1:68" x14ac:dyDescent="0.35">
      <c r="A51" s="1" t="s">
        <v>91</v>
      </c>
      <c r="B51" s="1">
        <v>49</v>
      </c>
      <c r="C51" s="1" t="s">
        <v>92</v>
      </c>
      <c r="D51" s="1" t="s">
        <v>93</v>
      </c>
      <c r="E51" s="3" t="s">
        <v>21</v>
      </c>
      <c r="F51" s="4">
        <v>0.2623165314</v>
      </c>
      <c r="G51" s="4">
        <v>0</v>
      </c>
      <c r="H51" s="4">
        <v>0</v>
      </c>
      <c r="I51" s="4">
        <v>0</v>
      </c>
      <c r="J51" s="4">
        <v>9.6711014400000003E-2</v>
      </c>
      <c r="K51" s="4">
        <v>0</v>
      </c>
      <c r="L51" s="4">
        <v>0.40678379279999999</v>
      </c>
      <c r="M51" s="4">
        <v>0</v>
      </c>
      <c r="N51" s="4">
        <v>0</v>
      </c>
      <c r="O51" s="4">
        <v>0</v>
      </c>
      <c r="P51" s="4">
        <v>0</v>
      </c>
      <c r="Q51" s="4">
        <v>2.2167129600000002E-2</v>
      </c>
      <c r="R51" s="4">
        <v>0</v>
      </c>
      <c r="S51" s="4">
        <v>0</v>
      </c>
      <c r="T51" s="4">
        <v>3.41696124E-2</v>
      </c>
      <c r="U51" s="4">
        <v>1.5511775663999998</v>
      </c>
      <c r="V51" s="4">
        <v>0</v>
      </c>
      <c r="W51" s="4">
        <v>7.549657500000001E-2</v>
      </c>
      <c r="X51" s="4">
        <v>0.41785714740000002</v>
      </c>
      <c r="Y51" s="4">
        <v>0</v>
      </c>
      <c r="Z51" s="14">
        <f t="shared" si="172"/>
        <v>2.8666793693999995</v>
      </c>
      <c r="AB51">
        <f t="shared" si="173"/>
        <v>9.1505361290161744</v>
      </c>
      <c r="AC51">
        <f t="shared" si="174"/>
        <v>0</v>
      </c>
      <c r="AD51">
        <f t="shared" si="175"/>
        <v>0</v>
      </c>
      <c r="AE51">
        <f t="shared" si="176"/>
        <v>0</v>
      </c>
      <c r="AF51">
        <f t="shared" si="177"/>
        <v>3.3736250880488865</v>
      </c>
      <c r="AG51">
        <f t="shared" si="178"/>
        <v>0</v>
      </c>
      <c r="AH51">
        <f t="shared" si="179"/>
        <v>14.190069428139099</v>
      </c>
      <c r="AI51">
        <f t="shared" si="180"/>
        <v>0</v>
      </c>
      <c r="AJ51">
        <f t="shared" si="181"/>
        <v>0</v>
      </c>
      <c r="AK51">
        <f t="shared" si="182"/>
        <v>0</v>
      </c>
      <c r="AL51">
        <f t="shared" si="183"/>
        <v>0</v>
      </c>
      <c r="AM51">
        <f t="shared" si="184"/>
        <v>0.77326853629394965</v>
      </c>
      <c r="AN51">
        <f t="shared" si="185"/>
        <v>0</v>
      </c>
      <c r="AO51">
        <f t="shared" si="186"/>
        <v>0</v>
      </c>
      <c r="AP51">
        <f t="shared" si="187"/>
        <v>1.191957941468416</v>
      </c>
      <c r="AQ51">
        <f t="shared" si="188"/>
        <v>54.110605565374534</v>
      </c>
      <c r="AR51">
        <f t="shared" si="189"/>
        <v>0</v>
      </c>
      <c r="AS51">
        <f t="shared" si="190"/>
        <v>2.6335897835620719</v>
      </c>
      <c r="AT51">
        <f t="shared" si="191"/>
        <v>14.576347528096878</v>
      </c>
      <c r="AU51">
        <f t="shared" si="192"/>
        <v>0</v>
      </c>
      <c r="AW51" s="16">
        <f>AVERAGE(AB51:AB53)</f>
        <v>4.9835580396096519</v>
      </c>
      <c r="AX51" s="16">
        <f>AVERAGE(AC51:AC53)</f>
        <v>0</v>
      </c>
      <c r="AY51" s="16">
        <f>AVERAGE(AD51:AD53)</f>
        <v>0</v>
      </c>
      <c r="AZ51" s="16">
        <f>AVERAGE(AE51:AE53)</f>
        <v>0</v>
      </c>
      <c r="BA51" s="16">
        <f>AVERAGE(AF51:AF53)</f>
        <v>3.282921287808851</v>
      </c>
      <c r="BB51" s="16">
        <f t="shared" ref="BB51" si="268">AVERAGE(AG51:AG53)</f>
        <v>0</v>
      </c>
      <c r="BC51" s="16">
        <f t="shared" ref="BC51" si="269">AVERAGE(AH51:AH53)</f>
        <v>16.415549967987772</v>
      </c>
      <c r="BD51" s="16">
        <f t="shared" ref="BD51" si="270">AVERAGE(AI51:AI53)</f>
        <v>0</v>
      </c>
      <c r="BE51" s="16">
        <f t="shared" ref="BE51" si="271">AVERAGE(AJ51:AJ53)</f>
        <v>0</v>
      </c>
      <c r="BF51" s="16">
        <f t="shared" ref="BF51" si="272">AVERAGE(AK51:AK53)</f>
        <v>0</v>
      </c>
      <c r="BG51" s="16">
        <f t="shared" ref="BG51" si="273">AVERAGE(AL51:AL53)</f>
        <v>0</v>
      </c>
      <c r="BH51" s="16">
        <f t="shared" ref="BH51" si="274">AVERAGE(AM51:AM53)</f>
        <v>0.5448668425875689</v>
      </c>
      <c r="BI51" s="16">
        <f t="shared" ref="BI51" si="275">AVERAGE(AN51:AN53)</f>
        <v>0</v>
      </c>
      <c r="BJ51" s="16">
        <f t="shared" ref="BJ51" si="276">AVERAGE(AO51:AO53)</f>
        <v>0</v>
      </c>
      <c r="BK51" s="16">
        <f t="shared" ref="BK51" si="277">AVERAGE(AP51:AP53)</f>
        <v>0.39731931382280533</v>
      </c>
      <c r="BL51" s="16">
        <f t="shared" ref="BL51" si="278">AVERAGE(AQ51:AQ53)</f>
        <v>61.403583942362353</v>
      </c>
      <c r="BM51" s="16">
        <f t="shared" ref="BM51" si="279">AVERAGE(AR51:AR53)</f>
        <v>0</v>
      </c>
      <c r="BN51" s="16">
        <f t="shared" ref="BN51" si="280">AVERAGE(AS51:AS53)</f>
        <v>1.6970149173319078</v>
      </c>
      <c r="BO51" s="16">
        <f t="shared" ref="BO51" si="281">AVERAGE(AT51:AT53)</f>
        <v>11.072807044029856</v>
      </c>
      <c r="BP51" s="16">
        <f t="shared" ref="BP51" si="282">AVERAGE(AU51:AU53)</f>
        <v>0.20237864445924189</v>
      </c>
    </row>
    <row r="52" spans="1:68" x14ac:dyDescent="0.35">
      <c r="A52" s="1" t="s">
        <v>91</v>
      </c>
      <c r="B52" s="1">
        <v>50</v>
      </c>
      <c r="C52" s="1" t="s">
        <v>94</v>
      </c>
      <c r="D52" s="1" t="s">
        <v>93</v>
      </c>
      <c r="E52" s="3" t="s">
        <v>21</v>
      </c>
      <c r="F52" s="4">
        <v>0.13557496260000002</v>
      </c>
      <c r="G52" s="4">
        <v>0</v>
      </c>
      <c r="H52" s="4">
        <v>0</v>
      </c>
      <c r="I52" s="4">
        <v>0</v>
      </c>
      <c r="J52" s="4">
        <v>6.8640032999999989E-2</v>
      </c>
      <c r="K52" s="4">
        <v>0</v>
      </c>
      <c r="L52" s="4">
        <v>0.62316384899999999</v>
      </c>
      <c r="M52" s="4">
        <v>0</v>
      </c>
      <c r="N52" s="4">
        <v>0</v>
      </c>
      <c r="O52" s="4">
        <v>0</v>
      </c>
      <c r="P52" s="4">
        <v>0</v>
      </c>
      <c r="Q52" s="4">
        <v>2.835294E-2</v>
      </c>
      <c r="R52" s="4">
        <v>0</v>
      </c>
      <c r="S52" s="4">
        <v>0</v>
      </c>
      <c r="T52" s="4">
        <v>0</v>
      </c>
      <c r="U52" s="4">
        <v>2.1623554259999995</v>
      </c>
      <c r="V52" s="4">
        <v>0</v>
      </c>
      <c r="W52" s="4">
        <v>0</v>
      </c>
      <c r="X52" s="4">
        <v>0.27366791760000003</v>
      </c>
      <c r="Y52" s="4">
        <v>0</v>
      </c>
      <c r="Z52" s="14">
        <f t="shared" si="172"/>
        <v>3.2917551281999997</v>
      </c>
      <c r="AB52">
        <f t="shared" si="173"/>
        <v>4.1186223555497348</v>
      </c>
      <c r="AC52">
        <f t="shared" si="174"/>
        <v>0</v>
      </c>
      <c r="AD52">
        <f t="shared" si="175"/>
        <v>0</v>
      </c>
      <c r="AE52">
        <f t="shared" si="176"/>
        <v>0</v>
      </c>
      <c r="AF52">
        <f t="shared" si="177"/>
        <v>2.0852107865488096</v>
      </c>
      <c r="AG52">
        <f t="shared" si="178"/>
        <v>0</v>
      </c>
      <c r="AH52">
        <f t="shared" si="179"/>
        <v>18.931051209169343</v>
      </c>
      <c r="AI52">
        <f t="shared" si="180"/>
        <v>0</v>
      </c>
      <c r="AJ52">
        <f t="shared" si="181"/>
        <v>0</v>
      </c>
      <c r="AK52">
        <f t="shared" si="182"/>
        <v>0</v>
      </c>
      <c r="AL52">
        <f t="shared" si="183"/>
        <v>0</v>
      </c>
      <c r="AM52">
        <f t="shared" si="184"/>
        <v>0.86133199146875716</v>
      </c>
      <c r="AN52">
        <f t="shared" si="185"/>
        <v>0</v>
      </c>
      <c r="AO52">
        <f t="shared" si="186"/>
        <v>0</v>
      </c>
      <c r="AP52">
        <f t="shared" si="187"/>
        <v>0</v>
      </c>
      <c r="AQ52">
        <f t="shared" si="188"/>
        <v>65.690045030245628</v>
      </c>
      <c r="AR52">
        <f t="shared" si="189"/>
        <v>0</v>
      </c>
      <c r="AS52">
        <f t="shared" si="190"/>
        <v>0</v>
      </c>
      <c r="AT52">
        <f t="shared" si="191"/>
        <v>8.3137386270177203</v>
      </c>
      <c r="AU52">
        <f t="shared" si="192"/>
        <v>0</v>
      </c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</row>
    <row r="53" spans="1:68" x14ac:dyDescent="0.35">
      <c r="A53" s="1" t="s">
        <v>91</v>
      </c>
      <c r="B53" s="1">
        <v>51</v>
      </c>
      <c r="C53" s="1" t="s">
        <v>95</v>
      </c>
      <c r="D53" s="1" t="s">
        <v>93</v>
      </c>
      <c r="E53" s="3" t="s">
        <v>21</v>
      </c>
      <c r="F53" s="4">
        <v>4.70046192E-2</v>
      </c>
      <c r="G53" s="4">
        <v>0</v>
      </c>
      <c r="H53" s="4">
        <v>0</v>
      </c>
      <c r="I53" s="4">
        <v>0</v>
      </c>
      <c r="J53" s="4">
        <v>0.12271482300000001</v>
      </c>
      <c r="K53" s="4">
        <v>0</v>
      </c>
      <c r="L53" s="4">
        <v>0.45076854900000007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1.8005020110000001</v>
      </c>
      <c r="V53" s="4">
        <v>0</v>
      </c>
      <c r="W53" s="4">
        <v>6.8695011E-2</v>
      </c>
      <c r="X53" s="4">
        <v>0.28871539620000003</v>
      </c>
      <c r="Y53" s="4">
        <v>1.69717086E-2</v>
      </c>
      <c r="Z53" s="14">
        <f t="shared" si="172"/>
        <v>2.795372118</v>
      </c>
      <c r="AB53">
        <f t="shared" si="173"/>
        <v>1.6815156342630446</v>
      </c>
      <c r="AC53">
        <f t="shared" si="174"/>
        <v>0</v>
      </c>
      <c r="AD53">
        <f t="shared" si="175"/>
        <v>0</v>
      </c>
      <c r="AE53">
        <f t="shared" si="176"/>
        <v>0</v>
      </c>
      <c r="AF53">
        <f t="shared" si="177"/>
        <v>4.3899279888288572</v>
      </c>
      <c r="AG53">
        <f t="shared" si="178"/>
        <v>0</v>
      </c>
      <c r="AH53">
        <f t="shared" si="179"/>
        <v>16.125529266654869</v>
      </c>
      <c r="AI53">
        <f t="shared" si="180"/>
        <v>0</v>
      </c>
      <c r="AJ53">
        <f t="shared" si="181"/>
        <v>0</v>
      </c>
      <c r="AK53">
        <f t="shared" si="182"/>
        <v>0</v>
      </c>
      <c r="AL53">
        <f t="shared" si="183"/>
        <v>0</v>
      </c>
      <c r="AM53">
        <f t="shared" si="184"/>
        <v>0</v>
      </c>
      <c r="AN53">
        <f t="shared" si="185"/>
        <v>0</v>
      </c>
      <c r="AO53">
        <f t="shared" si="186"/>
        <v>0</v>
      </c>
      <c r="AP53">
        <f t="shared" si="187"/>
        <v>0</v>
      </c>
      <c r="AQ53">
        <f t="shared" si="188"/>
        <v>64.410101231466882</v>
      </c>
      <c r="AR53">
        <f t="shared" si="189"/>
        <v>0</v>
      </c>
      <c r="AS53">
        <f t="shared" si="190"/>
        <v>2.4574549684336517</v>
      </c>
      <c r="AT53">
        <f t="shared" si="191"/>
        <v>10.32833497697497</v>
      </c>
      <c r="AU53">
        <f t="shared" si="192"/>
        <v>0.60713593337772565</v>
      </c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</row>
    <row r="54" spans="1:68" x14ac:dyDescent="0.35">
      <c r="A54" s="1" t="s">
        <v>91</v>
      </c>
      <c r="B54" s="1">
        <v>52</v>
      </c>
      <c r="C54" s="1" t="s">
        <v>96</v>
      </c>
      <c r="D54" s="1" t="s">
        <v>97</v>
      </c>
      <c r="E54" s="3" t="s">
        <v>27</v>
      </c>
      <c r="F54" s="4">
        <v>0</v>
      </c>
      <c r="G54" s="4">
        <v>0</v>
      </c>
      <c r="H54" s="4">
        <v>0</v>
      </c>
      <c r="I54" s="4">
        <v>0</v>
      </c>
      <c r="J54" s="4">
        <v>0.71021994119999998</v>
      </c>
      <c r="K54" s="4">
        <v>0</v>
      </c>
      <c r="L54" s="4">
        <v>0.4829770176</v>
      </c>
      <c r="M54" s="4">
        <v>0</v>
      </c>
      <c r="N54" s="4">
        <v>0</v>
      </c>
      <c r="O54" s="4">
        <v>0</v>
      </c>
      <c r="P54" s="4">
        <v>0</v>
      </c>
      <c r="Q54" s="4">
        <v>3.5975247000000002E-2</v>
      </c>
      <c r="R54" s="4">
        <v>0</v>
      </c>
      <c r="S54" s="4">
        <v>0</v>
      </c>
      <c r="T54" s="4">
        <v>0</v>
      </c>
      <c r="U54" s="4">
        <v>1.2615848783999999</v>
      </c>
      <c r="V54" s="4">
        <v>0</v>
      </c>
      <c r="W54" s="4">
        <v>0</v>
      </c>
      <c r="X54" s="4">
        <v>0.52728692939999999</v>
      </c>
      <c r="Y54" s="4">
        <v>0</v>
      </c>
      <c r="Z54" s="14">
        <f t="shared" si="172"/>
        <v>3.0180440136</v>
      </c>
      <c r="AB54">
        <f t="shared" si="173"/>
        <v>0</v>
      </c>
      <c r="AC54">
        <f t="shared" si="174"/>
        <v>0</v>
      </c>
      <c r="AD54">
        <f t="shared" si="175"/>
        <v>0</v>
      </c>
      <c r="AE54">
        <f t="shared" si="176"/>
        <v>0</v>
      </c>
      <c r="AF54">
        <f t="shared" si="177"/>
        <v>23.532458042347486</v>
      </c>
      <c r="AG54">
        <f t="shared" si="178"/>
        <v>0</v>
      </c>
      <c r="AH54">
        <f t="shared" si="179"/>
        <v>16.002981249564108</v>
      </c>
      <c r="AI54">
        <f t="shared" si="180"/>
        <v>0</v>
      </c>
      <c r="AJ54">
        <f t="shared" si="181"/>
        <v>0</v>
      </c>
      <c r="AK54">
        <f t="shared" si="182"/>
        <v>0</v>
      </c>
      <c r="AL54">
        <f t="shared" si="183"/>
        <v>0</v>
      </c>
      <c r="AM54">
        <f t="shared" si="184"/>
        <v>1.1920053795732359</v>
      </c>
      <c r="AN54">
        <f t="shared" si="185"/>
        <v>0</v>
      </c>
      <c r="AO54">
        <f t="shared" si="186"/>
        <v>0</v>
      </c>
      <c r="AP54">
        <f t="shared" si="187"/>
        <v>0</v>
      </c>
      <c r="AQ54">
        <f t="shared" si="188"/>
        <v>41.801407557842381</v>
      </c>
      <c r="AR54">
        <f t="shared" si="189"/>
        <v>0</v>
      </c>
      <c r="AS54">
        <f t="shared" si="190"/>
        <v>0</v>
      </c>
      <c r="AT54">
        <f t="shared" si="191"/>
        <v>17.47114777067279</v>
      </c>
      <c r="AU54">
        <f t="shared" si="192"/>
        <v>0</v>
      </c>
      <c r="AW54" s="16">
        <f>AVERAGE(AB54:AB56)</f>
        <v>2.7019920363430034</v>
      </c>
      <c r="AX54" s="16">
        <f>AVERAGE(AC54:AC56)</f>
        <v>0.19969085943854989</v>
      </c>
      <c r="AY54" s="16">
        <f>AVERAGE(AD54:AD56)</f>
        <v>0</v>
      </c>
      <c r="AZ54" s="16">
        <f>AVERAGE(AE54:AE56)</f>
        <v>0</v>
      </c>
      <c r="BA54" s="16">
        <f>AVERAGE(AF54:AF56)</f>
        <v>13.676028507197648</v>
      </c>
      <c r="BB54" s="16">
        <f t="shared" ref="BB54" si="283">AVERAGE(AG54:AG56)</f>
        <v>0</v>
      </c>
      <c r="BC54" s="16">
        <f t="shared" ref="BC54" si="284">AVERAGE(AH54:AH56)</f>
        <v>23.170615886260645</v>
      </c>
      <c r="BD54" s="16">
        <f t="shared" ref="BD54" si="285">AVERAGE(AI54:AI56)</f>
        <v>4.6830946896261194</v>
      </c>
      <c r="BE54" s="16">
        <f t="shared" ref="BE54" si="286">AVERAGE(AJ54:AJ56)</f>
        <v>0</v>
      </c>
      <c r="BF54" s="16">
        <f t="shared" ref="BF54" si="287">AVERAGE(AK54:AK56)</f>
        <v>0</v>
      </c>
      <c r="BG54" s="16">
        <f t="shared" ref="BG54" si="288">AVERAGE(AL54:AL56)</f>
        <v>0.3698066843928447</v>
      </c>
      <c r="BH54" s="16">
        <f t="shared" ref="BH54" si="289">AVERAGE(AM54:AM56)</f>
        <v>0.397335126524412</v>
      </c>
      <c r="BI54" s="16">
        <f t="shared" ref="BI54" si="290">AVERAGE(AN54:AN56)</f>
        <v>0</v>
      </c>
      <c r="BJ54" s="16">
        <f t="shared" ref="BJ54" si="291">AVERAGE(AO54:AO56)</f>
        <v>3.8367092760887775</v>
      </c>
      <c r="BK54" s="16">
        <f t="shared" ref="BK54" si="292">AVERAGE(AP54:AP56)</f>
        <v>3.2234765466839548</v>
      </c>
      <c r="BL54" s="16">
        <f t="shared" ref="BL54" si="293">AVERAGE(AQ54:AQ56)</f>
        <v>40.596832792022241</v>
      </c>
      <c r="BM54" s="16">
        <f t="shared" ref="BM54" si="294">AVERAGE(AR54:AR56)</f>
        <v>0</v>
      </c>
      <c r="BN54" s="16">
        <f t="shared" ref="BN54" si="295">AVERAGE(AS54:AS56)</f>
        <v>0.25625612302829048</v>
      </c>
      <c r="BO54" s="16">
        <f t="shared" ref="BO54" si="296">AVERAGE(AT54:AT56)</f>
        <v>6.3194755486381773</v>
      </c>
      <c r="BP54" s="16">
        <f t="shared" ref="BP54" si="297">AVERAGE(AU54:AU56)</f>
        <v>0.56868592375533977</v>
      </c>
    </row>
    <row r="55" spans="1:68" x14ac:dyDescent="0.35">
      <c r="A55" s="1" t="s">
        <v>91</v>
      </c>
      <c r="B55" s="1">
        <v>53</v>
      </c>
      <c r="C55" s="1" t="s">
        <v>98</v>
      </c>
      <c r="D55" s="1" t="s">
        <v>97</v>
      </c>
      <c r="E55" s="3" t="s">
        <v>27</v>
      </c>
      <c r="F55" s="4">
        <v>0.1619620464</v>
      </c>
      <c r="G55" s="4">
        <v>1.2867993600000002E-2</v>
      </c>
      <c r="H55" s="4">
        <v>0</v>
      </c>
      <c r="I55" s="4">
        <v>0</v>
      </c>
      <c r="J55" s="4">
        <v>0.26329278360000002</v>
      </c>
      <c r="K55" s="4">
        <v>0</v>
      </c>
      <c r="L55" s="4">
        <v>0.70448730660000003</v>
      </c>
      <c r="M55" s="4">
        <v>0.27468815220000004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0.20771945040000001</v>
      </c>
      <c r="U55" s="4">
        <v>0.4743847416000001</v>
      </c>
      <c r="V55" s="4">
        <v>0</v>
      </c>
      <c r="W55" s="4">
        <v>1.6513035000000002E-2</v>
      </c>
      <c r="X55" s="4">
        <v>1.8385428600000003E-2</v>
      </c>
      <c r="Y55" s="4">
        <v>1.3684809599999999E-2</v>
      </c>
      <c r="Z55" s="14">
        <f t="shared" si="172"/>
        <v>2.1479857475999999</v>
      </c>
      <c r="AB55">
        <f t="shared" si="173"/>
        <v>7.5401825445520014</v>
      </c>
      <c r="AC55">
        <f t="shared" si="174"/>
        <v>0.59907257831564964</v>
      </c>
      <c r="AD55">
        <f t="shared" si="175"/>
        <v>0</v>
      </c>
      <c r="AE55">
        <f t="shared" si="176"/>
        <v>0</v>
      </c>
      <c r="AF55">
        <f t="shared" si="177"/>
        <v>12.257659711857206</v>
      </c>
      <c r="AG55">
        <f t="shared" si="178"/>
        <v>0</v>
      </c>
      <c r="AH55">
        <f t="shared" si="179"/>
        <v>32.797578260802794</v>
      </c>
      <c r="AI55">
        <f t="shared" si="180"/>
        <v>12.788173874380506</v>
      </c>
      <c r="AJ55">
        <f t="shared" si="181"/>
        <v>0</v>
      </c>
      <c r="AK55">
        <f t="shared" si="182"/>
        <v>0</v>
      </c>
      <c r="AL55">
        <f t="shared" si="183"/>
        <v>0</v>
      </c>
      <c r="AM55">
        <f t="shared" si="184"/>
        <v>0</v>
      </c>
      <c r="AN55">
        <f t="shared" si="185"/>
        <v>0</v>
      </c>
      <c r="AO55">
        <f t="shared" si="186"/>
        <v>0</v>
      </c>
      <c r="AP55">
        <f t="shared" si="187"/>
        <v>9.6704296400518643</v>
      </c>
      <c r="AQ55">
        <f t="shared" si="188"/>
        <v>22.085097265195657</v>
      </c>
      <c r="AR55">
        <f t="shared" si="189"/>
        <v>0</v>
      </c>
      <c r="AS55">
        <f t="shared" si="190"/>
        <v>0.76876836908487145</v>
      </c>
      <c r="AT55">
        <f t="shared" si="191"/>
        <v>0.85593810948431659</v>
      </c>
      <c r="AU55">
        <f t="shared" si="192"/>
        <v>0.63709964627513893</v>
      </c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</row>
    <row r="56" spans="1:68" x14ac:dyDescent="0.35">
      <c r="A56" s="1" t="s">
        <v>91</v>
      </c>
      <c r="B56" s="1">
        <v>54</v>
      </c>
      <c r="C56" s="1" t="s">
        <v>99</v>
      </c>
      <c r="D56" s="1" t="s">
        <v>97</v>
      </c>
      <c r="E56" s="3" t="s">
        <v>27</v>
      </c>
      <c r="F56" s="4">
        <v>1.58368056E-2</v>
      </c>
      <c r="G56" s="4">
        <v>0</v>
      </c>
      <c r="H56" s="4">
        <v>0</v>
      </c>
      <c r="I56" s="4">
        <v>0</v>
      </c>
      <c r="J56" s="4">
        <v>0.14661297420000002</v>
      </c>
      <c r="K56" s="4">
        <v>0</v>
      </c>
      <c r="L56" s="4">
        <v>0.57971787720000001</v>
      </c>
      <c r="M56" s="4">
        <v>3.5299017600000003E-2</v>
      </c>
      <c r="N56" s="4">
        <v>0</v>
      </c>
      <c r="O56" s="4">
        <v>0</v>
      </c>
      <c r="P56" s="4">
        <v>3.1053145200000003E-2</v>
      </c>
      <c r="Q56" s="4">
        <v>0</v>
      </c>
      <c r="R56" s="4">
        <v>0</v>
      </c>
      <c r="S56" s="4">
        <v>0.32217343620000005</v>
      </c>
      <c r="T56" s="4">
        <v>0</v>
      </c>
      <c r="U56" s="4">
        <v>1.6207577232000001</v>
      </c>
      <c r="V56" s="4">
        <v>0</v>
      </c>
      <c r="W56" s="4">
        <v>0</v>
      </c>
      <c r="X56" s="4">
        <v>1.76715E-2</v>
      </c>
      <c r="Y56" s="4">
        <v>2.9920598399999998E-2</v>
      </c>
      <c r="Z56" s="14">
        <f t="shared" si="172"/>
        <v>2.7990430776000004</v>
      </c>
      <c r="AB56">
        <f t="shared" si="173"/>
        <v>0.56579356447700846</v>
      </c>
      <c r="AC56">
        <f t="shared" si="174"/>
        <v>0</v>
      </c>
      <c r="AD56">
        <f t="shared" si="175"/>
        <v>0</v>
      </c>
      <c r="AE56">
        <f t="shared" si="176"/>
        <v>0</v>
      </c>
      <c r="AF56">
        <f t="shared" si="177"/>
        <v>5.2379677673882474</v>
      </c>
      <c r="AG56">
        <f t="shared" si="178"/>
        <v>0</v>
      </c>
      <c r="AH56">
        <f t="shared" si="179"/>
        <v>20.711288148415026</v>
      </c>
      <c r="AI56">
        <f t="shared" si="180"/>
        <v>1.2611101944978511</v>
      </c>
      <c r="AJ56">
        <f t="shared" si="181"/>
        <v>0</v>
      </c>
      <c r="AK56">
        <f t="shared" si="182"/>
        <v>0</v>
      </c>
      <c r="AL56">
        <f t="shared" si="183"/>
        <v>1.1094200531785341</v>
      </c>
      <c r="AM56">
        <f t="shared" si="184"/>
        <v>0</v>
      </c>
      <c r="AN56">
        <f t="shared" si="185"/>
        <v>0</v>
      </c>
      <c r="AO56">
        <f t="shared" si="186"/>
        <v>11.510127828266333</v>
      </c>
      <c r="AP56">
        <f t="shared" si="187"/>
        <v>0</v>
      </c>
      <c r="AQ56">
        <f t="shared" si="188"/>
        <v>57.903993553028684</v>
      </c>
      <c r="AR56">
        <f t="shared" si="189"/>
        <v>0</v>
      </c>
      <c r="AS56">
        <f t="shared" si="190"/>
        <v>0</v>
      </c>
      <c r="AT56">
        <f t="shared" si="191"/>
        <v>0.63134076575742359</v>
      </c>
      <c r="AU56">
        <f t="shared" si="192"/>
        <v>1.0689581249908804</v>
      </c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</row>
    <row r="57" spans="1:68" x14ac:dyDescent="0.35">
      <c r="A57" s="1" t="s">
        <v>91</v>
      </c>
      <c r="B57" s="1">
        <v>55</v>
      </c>
      <c r="C57" s="1" t="s">
        <v>100</v>
      </c>
      <c r="D57" s="1" t="s">
        <v>101</v>
      </c>
      <c r="E57" s="3" t="s">
        <v>21</v>
      </c>
      <c r="F57" s="4">
        <v>0.1336287414</v>
      </c>
      <c r="G57" s="4">
        <v>0</v>
      </c>
      <c r="H57" s="4">
        <v>0</v>
      </c>
      <c r="I57" s="4">
        <v>0</v>
      </c>
      <c r="J57" s="4">
        <v>0.28966808640000002</v>
      </c>
      <c r="K57" s="4">
        <v>0</v>
      </c>
      <c r="L57" s="4">
        <v>0.17903035919999999</v>
      </c>
      <c r="M57" s="4">
        <v>0</v>
      </c>
      <c r="N57" s="4">
        <v>0</v>
      </c>
      <c r="O57" s="4">
        <v>0</v>
      </c>
      <c r="P57" s="4">
        <v>0</v>
      </c>
      <c r="Q57" s="4">
        <v>4.2513702E-2</v>
      </c>
      <c r="R57" s="4">
        <v>0</v>
      </c>
      <c r="S57" s="4">
        <v>2.1904020600000001E-2</v>
      </c>
      <c r="T57" s="4">
        <v>0</v>
      </c>
      <c r="U57" s="4">
        <v>0.92732020920000013</v>
      </c>
      <c r="V57" s="4">
        <v>0</v>
      </c>
      <c r="W57" s="4">
        <v>0</v>
      </c>
      <c r="X57" s="4">
        <v>0.33856709039999999</v>
      </c>
      <c r="Y57" s="4">
        <v>0</v>
      </c>
      <c r="Z57" s="14">
        <f t="shared" si="172"/>
        <v>1.9326322092000001</v>
      </c>
      <c r="AB57">
        <f t="shared" si="173"/>
        <v>6.9143389396016897</v>
      </c>
      <c r="AC57">
        <f t="shared" si="174"/>
        <v>0</v>
      </c>
      <c r="AD57">
        <f t="shared" si="175"/>
        <v>0</v>
      </c>
      <c r="AE57">
        <f t="shared" si="176"/>
        <v>0</v>
      </c>
      <c r="AF57">
        <f t="shared" si="177"/>
        <v>14.988267556603857</v>
      </c>
      <c r="AG57">
        <f t="shared" si="178"/>
        <v>0</v>
      </c>
      <c r="AH57">
        <f t="shared" si="179"/>
        <v>9.2635504234977208</v>
      </c>
      <c r="AI57">
        <f t="shared" si="180"/>
        <v>0</v>
      </c>
      <c r="AJ57">
        <f t="shared" si="181"/>
        <v>0</v>
      </c>
      <c r="AK57">
        <f t="shared" si="182"/>
        <v>0</v>
      </c>
      <c r="AL57">
        <f t="shared" si="183"/>
        <v>0</v>
      </c>
      <c r="AM57">
        <f t="shared" si="184"/>
        <v>2.1997823381820929</v>
      </c>
      <c r="AN57">
        <f t="shared" si="185"/>
        <v>0</v>
      </c>
      <c r="AO57">
        <f t="shared" si="186"/>
        <v>1.1333776026151929</v>
      </c>
      <c r="AP57">
        <f t="shared" si="187"/>
        <v>0</v>
      </c>
      <c r="AQ57">
        <f t="shared" si="188"/>
        <v>47.982239185792004</v>
      </c>
      <c r="AR57">
        <f t="shared" si="189"/>
        <v>0</v>
      </c>
      <c r="AS57">
        <f t="shared" si="190"/>
        <v>0</v>
      </c>
      <c r="AT57">
        <f t="shared" si="191"/>
        <v>17.518443953707443</v>
      </c>
      <c r="AU57">
        <f t="shared" si="192"/>
        <v>0</v>
      </c>
      <c r="AW57" s="16">
        <f>AVERAGE(AB57:AB59)</f>
        <v>6.0829280508151689</v>
      </c>
      <c r="AX57" s="16">
        <f>AVERAGE(AC57:AC59)</f>
        <v>0</v>
      </c>
      <c r="AY57" s="16">
        <f>AVERAGE(AD57:AD59)</f>
        <v>0</v>
      </c>
      <c r="AZ57" s="16">
        <f>AVERAGE(AE57:AE59)</f>
        <v>0</v>
      </c>
      <c r="BA57" s="16">
        <f>AVERAGE(AF57:AF59)</f>
        <v>6.3424242716869017</v>
      </c>
      <c r="BB57" s="16">
        <f t="shared" ref="BB57" si="298">AVERAGE(AG57:AG59)</f>
        <v>0</v>
      </c>
      <c r="BC57" s="16">
        <f t="shared" ref="BC57" si="299">AVERAGE(AH57:AH59)</f>
        <v>14.862713486909101</v>
      </c>
      <c r="BD57" s="16">
        <f t="shared" ref="BD57" si="300">AVERAGE(AI57:AI59)</f>
        <v>0</v>
      </c>
      <c r="BE57" s="16">
        <f t="shared" ref="BE57" si="301">AVERAGE(AJ57:AJ59)</f>
        <v>0</v>
      </c>
      <c r="BF57" s="16">
        <f t="shared" ref="BF57" si="302">AVERAGE(AK57:AK59)</f>
        <v>0</v>
      </c>
      <c r="BG57" s="16">
        <f t="shared" ref="BG57" si="303">AVERAGE(AL57:AL59)</f>
        <v>0</v>
      </c>
      <c r="BH57" s="16">
        <f t="shared" ref="BH57" si="304">AVERAGE(AM57:AM59)</f>
        <v>1.1832398740438608</v>
      </c>
      <c r="BI57" s="16">
        <f t="shared" ref="BI57" si="305">AVERAGE(AN57:AN59)</f>
        <v>0</v>
      </c>
      <c r="BJ57" s="16">
        <f t="shared" ref="BJ57" si="306">AVERAGE(AO57:AO59)</f>
        <v>0.37779253420506431</v>
      </c>
      <c r="BK57" s="16">
        <f t="shared" ref="BK57" si="307">AVERAGE(AP57:AP59)</f>
        <v>0</v>
      </c>
      <c r="BL57" s="16">
        <f t="shared" ref="BL57" si="308">AVERAGE(AQ57:AQ59)</f>
        <v>57.567827658157306</v>
      </c>
      <c r="BM57" s="16">
        <f t="shared" ref="BM57" si="309">AVERAGE(AR57:AR59)</f>
        <v>0</v>
      </c>
      <c r="BN57" s="16">
        <f t="shared" ref="BN57" si="310">AVERAGE(AS57:AS59)</f>
        <v>1.2132623693796405</v>
      </c>
      <c r="BO57" s="16">
        <f t="shared" ref="BO57" si="311">AVERAGE(AT57:AT59)</f>
        <v>12.110636819289679</v>
      </c>
      <c r="BP57" s="16">
        <f t="shared" ref="BP57" si="312">AVERAGE(AU57:AU59)</f>
        <v>0.25917493551327775</v>
      </c>
    </row>
    <row r="58" spans="1:68" x14ac:dyDescent="0.35">
      <c r="A58" s="1" t="s">
        <v>91</v>
      </c>
      <c r="B58" s="1">
        <v>56</v>
      </c>
      <c r="C58" s="1" t="s">
        <v>102</v>
      </c>
      <c r="D58" s="1" t="s">
        <v>101</v>
      </c>
      <c r="E58" s="3" t="s">
        <v>21</v>
      </c>
      <c r="F58" s="4">
        <v>3.5796961200000005E-2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0.56637550199999986</v>
      </c>
      <c r="M58" s="4">
        <v>0</v>
      </c>
      <c r="N58" s="4">
        <v>0</v>
      </c>
      <c r="O58" s="4">
        <v>0</v>
      </c>
      <c r="P58" s="4">
        <v>0</v>
      </c>
      <c r="Q58" s="4">
        <v>3.7124287200000008E-2</v>
      </c>
      <c r="R58" s="4">
        <v>0</v>
      </c>
      <c r="S58" s="4">
        <v>0</v>
      </c>
      <c r="T58" s="4">
        <v>0</v>
      </c>
      <c r="U58" s="4">
        <v>1.6285159043999999</v>
      </c>
      <c r="V58" s="4">
        <v>0</v>
      </c>
      <c r="W58" s="4">
        <v>0.1000968738</v>
      </c>
      <c r="X58" s="4">
        <v>0.36078291480000002</v>
      </c>
      <c r="Y58" s="4">
        <v>2.1382515000000001E-2</v>
      </c>
      <c r="Z58" s="14">
        <f t="shared" si="172"/>
        <v>2.7500749583999999</v>
      </c>
      <c r="AB58">
        <f t="shared" si="173"/>
        <v>1.3016721995398539</v>
      </c>
      <c r="AC58">
        <f t="shared" si="174"/>
        <v>0</v>
      </c>
      <c r="AD58">
        <f t="shared" si="175"/>
        <v>0</v>
      </c>
      <c r="AE58">
        <f t="shared" si="176"/>
        <v>0</v>
      </c>
      <c r="AF58">
        <f t="shared" si="177"/>
        <v>0</v>
      </c>
      <c r="AG58">
        <f t="shared" si="178"/>
        <v>0</v>
      </c>
      <c r="AH58">
        <f t="shared" si="179"/>
        <v>20.594911432142144</v>
      </c>
      <c r="AI58">
        <f t="shared" si="180"/>
        <v>0</v>
      </c>
      <c r="AJ58">
        <f t="shared" si="181"/>
        <v>0</v>
      </c>
      <c r="AK58">
        <f t="shared" si="182"/>
        <v>0</v>
      </c>
      <c r="AL58">
        <f t="shared" si="183"/>
        <v>0</v>
      </c>
      <c r="AM58">
        <f t="shared" si="184"/>
        <v>1.3499372839494892</v>
      </c>
      <c r="AN58">
        <f t="shared" si="185"/>
        <v>0</v>
      </c>
      <c r="AO58">
        <f t="shared" si="186"/>
        <v>0</v>
      </c>
      <c r="AP58">
        <f t="shared" si="187"/>
        <v>0</v>
      </c>
      <c r="AQ58">
        <f t="shared" si="188"/>
        <v>59.217146042720024</v>
      </c>
      <c r="AR58">
        <f t="shared" si="189"/>
        <v>0</v>
      </c>
      <c r="AS58">
        <f t="shared" si="190"/>
        <v>3.6397871081389215</v>
      </c>
      <c r="AT58">
        <f t="shared" si="191"/>
        <v>13.119021126969729</v>
      </c>
      <c r="AU58">
        <f t="shared" si="192"/>
        <v>0.77752480653983325</v>
      </c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</row>
    <row r="59" spans="1:68" x14ac:dyDescent="0.35">
      <c r="A59" s="1" t="s">
        <v>91</v>
      </c>
      <c r="B59" s="1">
        <v>57</v>
      </c>
      <c r="C59" s="1" t="s">
        <v>103</v>
      </c>
      <c r="D59" s="1" t="s">
        <v>101</v>
      </c>
      <c r="E59" s="3" t="s">
        <v>21</v>
      </c>
      <c r="F59" s="4">
        <v>0.35199507419999998</v>
      </c>
      <c r="G59" s="4">
        <v>0</v>
      </c>
      <c r="H59" s="4">
        <v>0</v>
      </c>
      <c r="I59" s="4">
        <v>0</v>
      </c>
      <c r="J59" s="4">
        <v>0.1417065804</v>
      </c>
      <c r="K59" s="4">
        <v>0</v>
      </c>
      <c r="L59" s="4">
        <v>0.51678377520000007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2.2981801458</v>
      </c>
      <c r="V59" s="4">
        <v>0</v>
      </c>
      <c r="W59" s="4">
        <v>0</v>
      </c>
      <c r="X59" s="4">
        <v>0.19978691040000002</v>
      </c>
      <c r="Y59" s="4">
        <v>0</v>
      </c>
      <c r="Z59" s="14">
        <f t="shared" si="172"/>
        <v>3.5084524859999999</v>
      </c>
      <c r="AB59">
        <f t="shared" si="173"/>
        <v>10.032773013303963</v>
      </c>
      <c r="AC59">
        <f t="shared" si="174"/>
        <v>0</v>
      </c>
      <c r="AD59">
        <f t="shared" si="175"/>
        <v>0</v>
      </c>
      <c r="AE59">
        <f t="shared" si="176"/>
        <v>0</v>
      </c>
      <c r="AF59">
        <f t="shared" si="177"/>
        <v>4.0390052584568483</v>
      </c>
      <c r="AG59">
        <f t="shared" si="178"/>
        <v>0</v>
      </c>
      <c r="AH59">
        <f t="shared" si="179"/>
        <v>14.729678605087432</v>
      </c>
      <c r="AI59">
        <f t="shared" si="180"/>
        <v>0</v>
      </c>
      <c r="AJ59">
        <f t="shared" si="181"/>
        <v>0</v>
      </c>
      <c r="AK59">
        <f t="shared" si="182"/>
        <v>0</v>
      </c>
      <c r="AL59">
        <f t="shared" si="183"/>
        <v>0</v>
      </c>
      <c r="AM59">
        <f t="shared" si="184"/>
        <v>0</v>
      </c>
      <c r="AN59">
        <f t="shared" si="185"/>
        <v>0</v>
      </c>
      <c r="AO59">
        <f t="shared" si="186"/>
        <v>0</v>
      </c>
      <c r="AP59">
        <f t="shared" si="187"/>
        <v>0</v>
      </c>
      <c r="AQ59">
        <f t="shared" si="188"/>
        <v>65.504097745959896</v>
      </c>
      <c r="AR59">
        <f t="shared" si="189"/>
        <v>0</v>
      </c>
      <c r="AS59">
        <f t="shared" si="190"/>
        <v>0</v>
      </c>
      <c r="AT59">
        <f t="shared" si="191"/>
        <v>5.6944453771918635</v>
      </c>
      <c r="AU59">
        <f t="shared" si="192"/>
        <v>0</v>
      </c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</row>
    <row r="60" spans="1:68" x14ac:dyDescent="0.35">
      <c r="A60" s="1" t="s">
        <v>91</v>
      </c>
      <c r="B60" s="1">
        <v>58</v>
      </c>
      <c r="C60" s="1" t="s">
        <v>104</v>
      </c>
      <c r="D60" s="1" t="s">
        <v>105</v>
      </c>
      <c r="E60" s="3" t="s">
        <v>21</v>
      </c>
      <c r="F60" s="4">
        <v>9.5599673400000001E-2</v>
      </c>
      <c r="G60" s="4">
        <v>0</v>
      </c>
      <c r="H60" s="4">
        <v>0</v>
      </c>
      <c r="I60" s="4">
        <v>0</v>
      </c>
      <c r="J60" s="4">
        <v>2.7759177600000004E-2</v>
      </c>
      <c r="K60" s="4">
        <v>0</v>
      </c>
      <c r="L60" s="4">
        <v>0.49670816579999999</v>
      </c>
      <c r="M60" s="4">
        <v>0</v>
      </c>
      <c r="N60" s="4">
        <v>0</v>
      </c>
      <c r="O60" s="4">
        <v>0</v>
      </c>
      <c r="P60" s="4">
        <v>0</v>
      </c>
      <c r="Q60" s="4">
        <v>1.91134944E-2</v>
      </c>
      <c r="R60" s="4">
        <v>0</v>
      </c>
      <c r="S60" s="4">
        <v>0</v>
      </c>
      <c r="T60" s="4">
        <v>0</v>
      </c>
      <c r="U60" s="4">
        <v>1.6335196878</v>
      </c>
      <c r="V60" s="4">
        <v>0</v>
      </c>
      <c r="W60" s="4">
        <v>0.13444163040000001</v>
      </c>
      <c r="X60" s="4">
        <v>0.28859758620000003</v>
      </c>
      <c r="Y60" s="4">
        <v>0</v>
      </c>
      <c r="Z60" s="14">
        <f t="shared" si="172"/>
        <v>2.6957394155999999</v>
      </c>
      <c r="AB60">
        <f t="shared" si="173"/>
        <v>3.5463247243696241</v>
      </c>
      <c r="AC60">
        <f t="shared" si="174"/>
        <v>0</v>
      </c>
      <c r="AD60">
        <f t="shared" si="175"/>
        <v>0</v>
      </c>
      <c r="AE60">
        <f t="shared" si="176"/>
        <v>0</v>
      </c>
      <c r="AF60">
        <f t="shared" si="177"/>
        <v>1.0297426167885573</v>
      </c>
      <c r="AG60">
        <f t="shared" si="178"/>
        <v>0</v>
      </c>
      <c r="AH60">
        <f t="shared" si="179"/>
        <v>18.425674340983957</v>
      </c>
      <c r="AI60">
        <f t="shared" si="180"/>
        <v>0</v>
      </c>
      <c r="AJ60">
        <f t="shared" si="181"/>
        <v>0</v>
      </c>
      <c r="AK60">
        <f t="shared" si="182"/>
        <v>0</v>
      </c>
      <c r="AL60">
        <f t="shared" si="183"/>
        <v>0</v>
      </c>
      <c r="AM60">
        <f t="shared" si="184"/>
        <v>0.70902603899293593</v>
      </c>
      <c r="AN60">
        <f t="shared" si="185"/>
        <v>0</v>
      </c>
      <c r="AO60">
        <f t="shared" si="186"/>
        <v>0</v>
      </c>
      <c r="AP60">
        <f t="shared" si="187"/>
        <v>0</v>
      </c>
      <c r="AQ60">
        <f t="shared" si="188"/>
        <v>60.596349867756857</v>
      </c>
      <c r="AR60">
        <f t="shared" si="189"/>
        <v>0</v>
      </c>
      <c r="AS60">
        <f t="shared" si="190"/>
        <v>4.987189400503568</v>
      </c>
      <c r="AT60">
        <f t="shared" si="191"/>
        <v>10.705693010604509</v>
      </c>
      <c r="AU60">
        <f t="shared" si="192"/>
        <v>0</v>
      </c>
      <c r="AW60" s="16">
        <f>AVERAGE(AB60:AB62)</f>
        <v>4.9702019343168411</v>
      </c>
      <c r="AX60" s="16">
        <f>AVERAGE(AC60:AC62)</f>
        <v>0</v>
      </c>
      <c r="AY60" s="16">
        <f>AVERAGE(AD60:AD62)</f>
        <v>0</v>
      </c>
      <c r="AZ60" s="16">
        <f>AVERAGE(AE60:AE62)</f>
        <v>0</v>
      </c>
      <c r="BA60" s="16">
        <f>AVERAGE(AF60:AF62)</f>
        <v>13.165394632808626</v>
      </c>
      <c r="BB60" s="16">
        <f t="shared" ref="BB60" si="313">AVERAGE(AG60:AG62)</f>
        <v>0</v>
      </c>
      <c r="BC60" s="16">
        <f t="shared" ref="BC60" si="314">AVERAGE(AH60:AH62)</f>
        <v>14.459156906288186</v>
      </c>
      <c r="BD60" s="16">
        <f t="shared" ref="BD60" si="315">AVERAGE(AI60:AI62)</f>
        <v>0</v>
      </c>
      <c r="BE60" s="16">
        <f t="shared" ref="BE60" si="316">AVERAGE(AJ60:AJ62)</f>
        <v>0</v>
      </c>
      <c r="BF60" s="16">
        <f t="shared" ref="BF60" si="317">AVERAGE(AK60:AK62)</f>
        <v>0</v>
      </c>
      <c r="BG60" s="16">
        <f t="shared" ref="BG60" si="318">AVERAGE(AL60:AL62)</f>
        <v>2.9682258461603515</v>
      </c>
      <c r="BH60" s="16">
        <f t="shared" ref="BH60" si="319">AVERAGE(AM60:AM62)</f>
        <v>0.23634201299764532</v>
      </c>
      <c r="BI60" s="16">
        <f t="shared" ref="BI60" si="320">AVERAGE(AN60:AN62)</f>
        <v>0</v>
      </c>
      <c r="BJ60" s="16">
        <f t="shared" ref="BJ60" si="321">AVERAGE(AO60:AO62)</f>
        <v>6.7854817205267368</v>
      </c>
      <c r="BK60" s="16">
        <f t="shared" ref="BK60" si="322">AVERAGE(AP60:AP62)</f>
        <v>0</v>
      </c>
      <c r="BL60" s="16">
        <f t="shared" ref="BL60" si="323">AVERAGE(AQ60:AQ62)</f>
        <v>45.145037478745145</v>
      </c>
      <c r="BM60" s="16">
        <f t="shared" ref="BM60" si="324">AVERAGE(AR60:AR62)</f>
        <v>0</v>
      </c>
      <c r="BN60" s="16">
        <f t="shared" ref="BN60" si="325">AVERAGE(AS60:AS62)</f>
        <v>3.8251022514178294</v>
      </c>
      <c r="BO60" s="16">
        <f t="shared" ref="BO60" si="326">AVERAGE(AT60:AT62)</f>
        <v>8.1304510781251889</v>
      </c>
      <c r="BP60" s="16">
        <f t="shared" ref="BP60" si="327">AVERAGE(AU60:AU62)</f>
        <v>0.31460613861345671</v>
      </c>
    </row>
    <row r="61" spans="1:68" x14ac:dyDescent="0.35">
      <c r="A61" s="1" t="s">
        <v>91</v>
      </c>
      <c r="B61" s="1">
        <v>59</v>
      </c>
      <c r="C61" s="1" t="s">
        <v>106</v>
      </c>
      <c r="D61" s="1" t="s">
        <v>105</v>
      </c>
      <c r="E61" s="3" t="s">
        <v>21</v>
      </c>
      <c r="F61" s="4">
        <v>0.12652165679999999</v>
      </c>
      <c r="G61" s="4">
        <v>0</v>
      </c>
      <c r="H61" s="4">
        <v>0</v>
      </c>
      <c r="I61" s="4">
        <v>0</v>
      </c>
      <c r="J61" s="4">
        <v>6.2901900600000005E-2</v>
      </c>
      <c r="K61" s="4">
        <v>0</v>
      </c>
      <c r="L61" s="4">
        <v>0.69640239900000012</v>
      </c>
      <c r="M61" s="4">
        <v>0</v>
      </c>
      <c r="N61" s="4">
        <v>0</v>
      </c>
      <c r="O61" s="4">
        <v>0</v>
      </c>
      <c r="P61" s="4">
        <v>0.26238957359999998</v>
      </c>
      <c r="Q61" s="4">
        <v>0</v>
      </c>
      <c r="R61" s="4">
        <v>0</v>
      </c>
      <c r="S61" s="4">
        <v>0.56811594840000001</v>
      </c>
      <c r="T61" s="4">
        <v>0</v>
      </c>
      <c r="U61" s="4">
        <v>0.69889997100000012</v>
      </c>
      <c r="V61" s="4">
        <v>0</v>
      </c>
      <c r="W61" s="4">
        <v>0.10033799160000001</v>
      </c>
      <c r="X61" s="4">
        <v>0.40326834240000003</v>
      </c>
      <c r="Y61" s="4">
        <v>2.7811013999999998E-2</v>
      </c>
      <c r="Z61" s="14">
        <f t="shared" si="172"/>
        <v>2.9466487974000004</v>
      </c>
      <c r="AB61">
        <f t="shared" si="173"/>
        <v>4.2937474228906209</v>
      </c>
      <c r="AC61">
        <f t="shared" si="174"/>
        <v>0</v>
      </c>
      <c r="AD61">
        <f t="shared" si="175"/>
        <v>0</v>
      </c>
      <c r="AE61">
        <f t="shared" si="176"/>
        <v>0</v>
      </c>
      <c r="AF61">
        <f t="shared" si="177"/>
        <v>2.134692829885326</v>
      </c>
      <c r="AG61">
        <f t="shared" si="178"/>
        <v>0</v>
      </c>
      <c r="AH61">
        <f t="shared" si="179"/>
        <v>23.633708897187763</v>
      </c>
      <c r="AI61">
        <f t="shared" si="180"/>
        <v>0</v>
      </c>
      <c r="AJ61">
        <f t="shared" si="181"/>
        <v>0</v>
      </c>
      <c r="AK61">
        <f t="shared" si="182"/>
        <v>0</v>
      </c>
      <c r="AL61">
        <f t="shared" si="183"/>
        <v>8.9046775384810548</v>
      </c>
      <c r="AM61">
        <f t="shared" si="184"/>
        <v>0</v>
      </c>
      <c r="AN61">
        <f t="shared" si="185"/>
        <v>0</v>
      </c>
      <c r="AO61">
        <f t="shared" si="186"/>
        <v>19.280069918793235</v>
      </c>
      <c r="AP61">
        <f t="shared" si="187"/>
        <v>0</v>
      </c>
      <c r="AQ61">
        <f t="shared" si="188"/>
        <v>23.718468641959646</v>
      </c>
      <c r="AR61">
        <f t="shared" si="189"/>
        <v>0</v>
      </c>
      <c r="AS61">
        <f t="shared" si="190"/>
        <v>3.4051561111909248</v>
      </c>
      <c r="AT61">
        <f t="shared" si="191"/>
        <v>13.685660223771057</v>
      </c>
      <c r="AU61">
        <f t="shared" si="192"/>
        <v>0.94381841584037007</v>
      </c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</row>
    <row r="62" spans="1:68" x14ac:dyDescent="0.35">
      <c r="A62" s="1" t="s">
        <v>91</v>
      </c>
      <c r="B62" s="1">
        <v>60</v>
      </c>
      <c r="C62" s="1" t="s">
        <v>107</v>
      </c>
      <c r="D62" s="1" t="s">
        <v>105</v>
      </c>
      <c r="E62" s="3" t="s">
        <v>21</v>
      </c>
      <c r="F62" s="4">
        <v>0.20022202200000003</v>
      </c>
      <c r="G62" s="4">
        <v>0</v>
      </c>
      <c r="H62" s="4">
        <v>0</v>
      </c>
      <c r="I62" s="4">
        <v>0</v>
      </c>
      <c r="J62" s="4">
        <v>1.0288355154</v>
      </c>
      <c r="K62" s="4">
        <v>0</v>
      </c>
      <c r="L62" s="4">
        <v>3.7325349600000002E-2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3.0480588600000001E-2</v>
      </c>
      <c r="T62" s="4">
        <v>0</v>
      </c>
      <c r="U62" s="4">
        <v>1.4476147224</v>
      </c>
      <c r="V62" s="4">
        <v>0</v>
      </c>
      <c r="W62" s="4">
        <v>8.730270779999999E-2</v>
      </c>
      <c r="X62" s="4">
        <v>0</v>
      </c>
      <c r="Y62" s="4">
        <v>0</v>
      </c>
      <c r="Z62" s="14">
        <f t="shared" si="172"/>
        <v>2.8317809057999996</v>
      </c>
      <c r="AB62">
        <f t="shared" si="173"/>
        <v>7.0705336556902791</v>
      </c>
      <c r="AC62">
        <f t="shared" si="174"/>
        <v>0</v>
      </c>
      <c r="AD62">
        <f t="shared" si="175"/>
        <v>0</v>
      </c>
      <c r="AE62">
        <f t="shared" si="176"/>
        <v>0</v>
      </c>
      <c r="AF62">
        <f t="shared" si="177"/>
        <v>36.331748451751992</v>
      </c>
      <c r="AG62">
        <f t="shared" si="178"/>
        <v>0</v>
      </c>
      <c r="AH62">
        <f t="shared" si="179"/>
        <v>1.3180874806928364</v>
      </c>
      <c r="AI62">
        <f t="shared" si="180"/>
        <v>0</v>
      </c>
      <c r="AJ62">
        <f t="shared" si="181"/>
        <v>0</v>
      </c>
      <c r="AK62">
        <f t="shared" si="182"/>
        <v>0</v>
      </c>
      <c r="AL62">
        <f t="shared" si="183"/>
        <v>0</v>
      </c>
      <c r="AM62">
        <f t="shared" si="184"/>
        <v>0</v>
      </c>
      <c r="AN62">
        <f t="shared" si="185"/>
        <v>0</v>
      </c>
      <c r="AO62">
        <f t="shared" si="186"/>
        <v>1.0763752427869768</v>
      </c>
      <c r="AP62">
        <f t="shared" si="187"/>
        <v>0</v>
      </c>
      <c r="AQ62">
        <f t="shared" si="188"/>
        <v>51.120293926518933</v>
      </c>
      <c r="AR62">
        <f t="shared" si="189"/>
        <v>0</v>
      </c>
      <c r="AS62">
        <f t="shared" si="190"/>
        <v>3.0829612425589934</v>
      </c>
      <c r="AT62">
        <f t="shared" si="191"/>
        <v>0</v>
      </c>
      <c r="AU62">
        <f t="shared" si="192"/>
        <v>0</v>
      </c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</row>
    <row r="63" spans="1:68" x14ac:dyDescent="0.35">
      <c r="A63" s="1" t="s">
        <v>42</v>
      </c>
      <c r="B63" s="1">
        <v>61</v>
      </c>
      <c r="C63" s="1" t="s">
        <v>108</v>
      </c>
      <c r="D63" s="1" t="s">
        <v>109</v>
      </c>
      <c r="E63" s="3" t="s">
        <v>53</v>
      </c>
      <c r="F63" s="4">
        <v>0.55270247340000001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1.3737125094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14">
        <f t="shared" si="172"/>
        <v>1.9264149827999999</v>
      </c>
      <c r="AB63">
        <f t="shared" si="173"/>
        <v>28.690727508600439</v>
      </c>
      <c r="AC63">
        <f t="shared" si="174"/>
        <v>0</v>
      </c>
      <c r="AD63">
        <f t="shared" si="175"/>
        <v>0</v>
      </c>
      <c r="AE63">
        <f t="shared" si="176"/>
        <v>0</v>
      </c>
      <c r="AF63">
        <f t="shared" si="177"/>
        <v>0</v>
      </c>
      <c r="AG63">
        <f t="shared" si="178"/>
        <v>0</v>
      </c>
      <c r="AH63">
        <f t="shared" si="179"/>
        <v>71.309272491399568</v>
      </c>
      <c r="AI63">
        <f t="shared" si="180"/>
        <v>0</v>
      </c>
      <c r="AJ63">
        <f t="shared" si="181"/>
        <v>0</v>
      </c>
      <c r="AK63">
        <f t="shared" si="182"/>
        <v>0</v>
      </c>
      <c r="AL63">
        <f t="shared" si="183"/>
        <v>0</v>
      </c>
      <c r="AM63">
        <f t="shared" si="184"/>
        <v>0</v>
      </c>
      <c r="AN63">
        <f t="shared" si="185"/>
        <v>0</v>
      </c>
      <c r="AO63">
        <f t="shared" si="186"/>
        <v>0</v>
      </c>
      <c r="AP63">
        <f t="shared" si="187"/>
        <v>0</v>
      </c>
      <c r="AQ63">
        <f t="shared" si="188"/>
        <v>0</v>
      </c>
      <c r="AR63">
        <f t="shared" si="189"/>
        <v>0</v>
      </c>
      <c r="AS63">
        <f t="shared" si="190"/>
        <v>0</v>
      </c>
      <c r="AT63">
        <f t="shared" si="191"/>
        <v>0</v>
      </c>
      <c r="AU63">
        <f t="shared" si="192"/>
        <v>0</v>
      </c>
      <c r="AW63" s="16">
        <f>AVERAGE(AB63:AB65)</f>
        <v>37.656104094597133</v>
      </c>
      <c r="AX63" s="16">
        <f>AVERAGE(AC63:AC65)</f>
        <v>0</v>
      </c>
      <c r="AY63" s="16">
        <f>AVERAGE(AD63:AD65)</f>
        <v>0</v>
      </c>
      <c r="AZ63" s="16">
        <f>AVERAGE(AE63:AE65)</f>
        <v>0</v>
      </c>
      <c r="BA63" s="16">
        <f>AVERAGE(AF63:AF65)</f>
        <v>0</v>
      </c>
      <c r="BB63" s="16">
        <f t="shared" ref="BB63" si="328">AVERAGE(AG63:AG65)</f>
        <v>0</v>
      </c>
      <c r="BC63" s="16">
        <f t="shared" ref="BC63" si="329">AVERAGE(AH63:AH65)</f>
        <v>51.520755447524522</v>
      </c>
      <c r="BD63" s="16">
        <f t="shared" ref="BD63" si="330">AVERAGE(AI63:AI65)</f>
        <v>0</v>
      </c>
      <c r="BE63" s="16">
        <f t="shared" ref="BE63" si="331">AVERAGE(AJ63:AJ65)</f>
        <v>0</v>
      </c>
      <c r="BF63" s="16">
        <f t="shared" ref="BF63" si="332">AVERAGE(AK63:AK65)</f>
        <v>0</v>
      </c>
      <c r="BG63" s="16">
        <f t="shared" ref="BG63" si="333">AVERAGE(AL63:AL65)</f>
        <v>0</v>
      </c>
      <c r="BH63" s="16">
        <f t="shared" ref="BH63" si="334">AVERAGE(AM63:AM65)</f>
        <v>0</v>
      </c>
      <c r="BI63" s="16">
        <f t="shared" ref="BI63" si="335">AVERAGE(AN63:AN65)</f>
        <v>0</v>
      </c>
      <c r="BJ63" s="16">
        <f t="shared" ref="BJ63" si="336">AVERAGE(AO63:AO65)</f>
        <v>1.93919445952601</v>
      </c>
      <c r="BK63" s="16">
        <f t="shared" ref="BK63" si="337">AVERAGE(AP63:AP65)</f>
        <v>2.0813135950333517</v>
      </c>
      <c r="BL63" s="16">
        <f t="shared" ref="BL63" si="338">AVERAGE(AQ63:AQ65)</f>
        <v>4.2956277159244758</v>
      </c>
      <c r="BM63" s="16">
        <f t="shared" ref="BM63" si="339">AVERAGE(AR63:AR65)</f>
        <v>0</v>
      </c>
      <c r="BN63" s="16">
        <f t="shared" ref="BN63" si="340">AVERAGE(AS63:AS65)</f>
        <v>0</v>
      </c>
      <c r="BO63" s="16">
        <f t="shared" ref="BO63" si="341">AVERAGE(AT63:AT65)</f>
        <v>0</v>
      </c>
      <c r="BP63" s="16">
        <f t="shared" ref="BP63" si="342">AVERAGE(AU63:AU65)</f>
        <v>2.507004687394522</v>
      </c>
    </row>
    <row r="64" spans="1:68" x14ac:dyDescent="0.35">
      <c r="A64" s="1" t="s">
        <v>42</v>
      </c>
      <c r="B64" s="1">
        <v>62</v>
      </c>
      <c r="C64" s="1" t="s">
        <v>110</v>
      </c>
      <c r="D64" s="1" t="s">
        <v>109</v>
      </c>
      <c r="E64" s="3" t="s">
        <v>53</v>
      </c>
      <c r="F64" s="4">
        <v>0.50638507919999998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1.3856702244000001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0.154837683</v>
      </c>
      <c r="U64" s="4">
        <v>0.31956983520000004</v>
      </c>
      <c r="V64" s="4">
        <v>0</v>
      </c>
      <c r="W64" s="4">
        <v>0</v>
      </c>
      <c r="X64" s="4">
        <v>0</v>
      </c>
      <c r="Y64" s="4">
        <v>0.11334421560000001</v>
      </c>
      <c r="Z64" s="14">
        <f t="shared" si="172"/>
        <v>2.4798070374000001</v>
      </c>
      <c r="AB64">
        <f t="shared" si="173"/>
        <v>20.420342049312389</v>
      </c>
      <c r="AC64">
        <f t="shared" si="174"/>
        <v>0</v>
      </c>
      <c r="AD64">
        <f t="shared" si="175"/>
        <v>0</v>
      </c>
      <c r="AE64">
        <f t="shared" si="176"/>
        <v>0</v>
      </c>
      <c r="AF64">
        <f t="shared" si="177"/>
        <v>0</v>
      </c>
      <c r="AG64">
        <f t="shared" si="178"/>
        <v>0</v>
      </c>
      <c r="AH64">
        <f t="shared" si="179"/>
        <v>55.878147109899004</v>
      </c>
      <c r="AI64">
        <f t="shared" si="180"/>
        <v>0</v>
      </c>
      <c r="AJ64">
        <f t="shared" si="181"/>
        <v>0</v>
      </c>
      <c r="AK64">
        <f t="shared" si="182"/>
        <v>0</v>
      </c>
      <c r="AL64">
        <f t="shared" si="183"/>
        <v>0</v>
      </c>
      <c r="AM64">
        <f t="shared" si="184"/>
        <v>0</v>
      </c>
      <c r="AN64">
        <f t="shared" si="185"/>
        <v>0</v>
      </c>
      <c r="AO64">
        <f t="shared" si="186"/>
        <v>0</v>
      </c>
      <c r="AP64">
        <f t="shared" si="187"/>
        <v>6.2439407851000555</v>
      </c>
      <c r="AQ64">
        <f t="shared" si="188"/>
        <v>12.886883147773426</v>
      </c>
      <c r="AR64">
        <f t="shared" si="189"/>
        <v>0</v>
      </c>
      <c r="AS64">
        <f t="shared" si="190"/>
        <v>0</v>
      </c>
      <c r="AT64">
        <f t="shared" si="191"/>
        <v>0</v>
      </c>
      <c r="AU64">
        <f t="shared" si="192"/>
        <v>4.5706869079151362</v>
      </c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</row>
    <row r="65" spans="1:68" x14ac:dyDescent="0.35">
      <c r="A65" s="1" t="s">
        <v>42</v>
      </c>
      <c r="B65" s="1">
        <v>63</v>
      </c>
      <c r="C65" s="1" t="s">
        <v>111</v>
      </c>
      <c r="D65" s="1" t="s">
        <v>109</v>
      </c>
      <c r="E65" s="3" t="s">
        <v>53</v>
      </c>
      <c r="F65" s="4">
        <v>2.1070624806000002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0.90327283199999997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0.191959614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9.7350329999999985E-2</v>
      </c>
      <c r="Z65" s="14">
        <f t="shared" si="172"/>
        <v>3.2996452565999999</v>
      </c>
      <c r="AB65">
        <f t="shared" si="173"/>
        <v>63.857242725878564</v>
      </c>
      <c r="AC65">
        <f t="shared" si="174"/>
        <v>0</v>
      </c>
      <c r="AD65">
        <f t="shared" si="175"/>
        <v>0</v>
      </c>
      <c r="AE65">
        <f t="shared" si="176"/>
        <v>0</v>
      </c>
      <c r="AF65">
        <f t="shared" si="177"/>
        <v>0</v>
      </c>
      <c r="AG65">
        <f t="shared" si="178"/>
        <v>0</v>
      </c>
      <c r="AH65">
        <f t="shared" si="179"/>
        <v>27.374846741274993</v>
      </c>
      <c r="AI65">
        <f t="shared" si="180"/>
        <v>0</v>
      </c>
      <c r="AJ65">
        <f t="shared" si="181"/>
        <v>0</v>
      </c>
      <c r="AK65">
        <f t="shared" si="182"/>
        <v>0</v>
      </c>
      <c r="AL65">
        <f t="shared" si="183"/>
        <v>0</v>
      </c>
      <c r="AM65">
        <f t="shared" si="184"/>
        <v>0</v>
      </c>
      <c r="AN65">
        <f t="shared" si="185"/>
        <v>0</v>
      </c>
      <c r="AO65">
        <f t="shared" si="186"/>
        <v>5.8175833785780302</v>
      </c>
      <c r="AP65">
        <f t="shared" si="187"/>
        <v>0</v>
      </c>
      <c r="AQ65">
        <f t="shared" si="188"/>
        <v>0</v>
      </c>
      <c r="AR65">
        <f t="shared" si="189"/>
        <v>0</v>
      </c>
      <c r="AS65">
        <f t="shared" si="190"/>
        <v>0</v>
      </c>
      <c r="AT65">
        <f t="shared" si="191"/>
        <v>0</v>
      </c>
      <c r="AU65">
        <f t="shared" si="192"/>
        <v>2.9503271542684293</v>
      </c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</row>
    <row r="66" spans="1:68" x14ac:dyDescent="0.35">
      <c r="A66" s="1" t="s">
        <v>42</v>
      </c>
      <c r="B66" s="1">
        <v>64</v>
      </c>
      <c r="C66" s="1" t="s">
        <v>112</v>
      </c>
      <c r="D66" s="1" t="s">
        <v>113</v>
      </c>
      <c r="E66" s="3" t="s">
        <v>53</v>
      </c>
      <c r="F66" s="4">
        <v>0.52918367040000003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1.2355983486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0.13331693760000002</v>
      </c>
      <c r="T66" s="4">
        <v>0</v>
      </c>
      <c r="U66" s="4">
        <v>0.5037532038000001</v>
      </c>
      <c r="V66" s="4">
        <v>0</v>
      </c>
      <c r="W66" s="4">
        <v>0</v>
      </c>
      <c r="X66" s="4">
        <v>0.33923546580000002</v>
      </c>
      <c r="Y66" s="4">
        <v>0</v>
      </c>
      <c r="Z66" s="14">
        <f t="shared" si="172"/>
        <v>2.7410876262000001</v>
      </c>
      <c r="AB66">
        <f t="shared" si="173"/>
        <v>19.305609399054973</v>
      </c>
      <c r="AC66">
        <f t="shared" si="174"/>
        <v>0</v>
      </c>
      <c r="AD66">
        <f t="shared" si="175"/>
        <v>0</v>
      </c>
      <c r="AE66">
        <f t="shared" si="176"/>
        <v>0</v>
      </c>
      <c r="AF66">
        <f t="shared" si="177"/>
        <v>0</v>
      </c>
      <c r="AG66">
        <f t="shared" si="178"/>
        <v>0</v>
      </c>
      <c r="AH66">
        <f t="shared" si="179"/>
        <v>45.076937227027777</v>
      </c>
      <c r="AI66">
        <f t="shared" si="180"/>
        <v>0</v>
      </c>
      <c r="AJ66">
        <f t="shared" si="181"/>
        <v>0</v>
      </c>
      <c r="AK66">
        <f t="shared" si="182"/>
        <v>0</v>
      </c>
      <c r="AL66">
        <f t="shared" si="183"/>
        <v>0</v>
      </c>
      <c r="AM66">
        <f t="shared" si="184"/>
        <v>0</v>
      </c>
      <c r="AN66">
        <f t="shared" si="185"/>
        <v>0</v>
      </c>
      <c r="AO66">
        <f t="shared" si="186"/>
        <v>4.863651067763155</v>
      </c>
      <c r="AP66">
        <f t="shared" si="187"/>
        <v>0</v>
      </c>
      <c r="AQ66">
        <f t="shared" si="188"/>
        <v>18.377858445129633</v>
      </c>
      <c r="AR66">
        <f t="shared" si="189"/>
        <v>0</v>
      </c>
      <c r="AS66">
        <f t="shared" si="190"/>
        <v>0</v>
      </c>
      <c r="AT66">
        <f t="shared" si="191"/>
        <v>12.37594386102446</v>
      </c>
      <c r="AU66">
        <f t="shared" si="192"/>
        <v>0</v>
      </c>
      <c r="AW66" s="16">
        <f>AVERAGE(AB66:AB68)</f>
        <v>26.214979605900055</v>
      </c>
      <c r="AX66" s="16">
        <f>AVERAGE(AC66:AC68)</f>
        <v>0</v>
      </c>
      <c r="AY66" s="16">
        <f>AVERAGE(AD66:AD68)</f>
        <v>0</v>
      </c>
      <c r="AZ66" s="16">
        <f>AVERAGE(AE66:AE68)</f>
        <v>0.15232794715085307</v>
      </c>
      <c r="BA66" s="16">
        <f>AVERAGE(AF66:AF68)</f>
        <v>0</v>
      </c>
      <c r="BB66" s="16">
        <f t="shared" ref="BB66" si="343">AVERAGE(AG66:AG68)</f>
        <v>0</v>
      </c>
      <c r="BC66" s="16">
        <f t="shared" ref="BC66" si="344">AVERAGE(AH66:AH68)</f>
        <v>30.051445401953249</v>
      </c>
      <c r="BD66" s="16">
        <f t="shared" ref="BD66" si="345">AVERAGE(AI66:AI68)</f>
        <v>0</v>
      </c>
      <c r="BE66" s="16">
        <f t="shared" ref="BE66" si="346">AVERAGE(AJ66:AJ68)</f>
        <v>0</v>
      </c>
      <c r="BF66" s="16">
        <f t="shared" ref="BF66" si="347">AVERAGE(AK66:AK68)</f>
        <v>0</v>
      </c>
      <c r="BG66" s="16">
        <f t="shared" ref="BG66" si="348">AVERAGE(AL66:AL68)</f>
        <v>0</v>
      </c>
      <c r="BH66" s="16">
        <f t="shared" ref="BH66" si="349">AVERAGE(AM66:AM68)</f>
        <v>0</v>
      </c>
      <c r="BI66" s="16">
        <f t="shared" ref="BI66" si="350">AVERAGE(AN66:AN68)</f>
        <v>0</v>
      </c>
      <c r="BJ66" s="16">
        <f t="shared" ref="BJ66" si="351">AVERAGE(AO66:AO68)</f>
        <v>2.9055693776488263</v>
      </c>
      <c r="BK66" s="16">
        <f t="shared" ref="BK66" si="352">AVERAGE(AP66:AP68)</f>
        <v>0.89795339776157734</v>
      </c>
      <c r="BL66" s="16">
        <f t="shared" ref="BL66" si="353">AVERAGE(AQ66:AQ68)</f>
        <v>29.95234832135419</v>
      </c>
      <c r="BM66" s="16">
        <f t="shared" ref="BM66" si="354">AVERAGE(AR66:AR68)</f>
        <v>0</v>
      </c>
      <c r="BN66" s="16">
        <f t="shared" ref="BN66" si="355">AVERAGE(AS66:AS68)</f>
        <v>0</v>
      </c>
      <c r="BO66" s="16">
        <f t="shared" ref="BO66" si="356">AVERAGE(AT66:AT68)</f>
        <v>4.2821894208942632</v>
      </c>
      <c r="BP66" s="16">
        <f t="shared" ref="BP66" si="357">AVERAGE(AU66:AU68)</f>
        <v>5.5431865273369842</v>
      </c>
    </row>
    <row r="67" spans="1:68" x14ac:dyDescent="0.35">
      <c r="A67" s="1" t="s">
        <v>42</v>
      </c>
      <c r="B67" s="1">
        <v>65</v>
      </c>
      <c r="C67" s="1" t="s">
        <v>114</v>
      </c>
      <c r="D67" s="1" t="s">
        <v>113</v>
      </c>
      <c r="E67" s="3" t="s">
        <v>53</v>
      </c>
      <c r="F67" s="4">
        <v>0.7515830322</v>
      </c>
      <c r="G67" s="4">
        <v>0</v>
      </c>
      <c r="H67" s="4">
        <v>0</v>
      </c>
      <c r="I67" s="4">
        <v>1.4313915E-2</v>
      </c>
      <c r="J67" s="4">
        <v>0</v>
      </c>
      <c r="K67" s="4">
        <v>0</v>
      </c>
      <c r="L67" s="4">
        <v>0.68411952840000012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0.12068770560000003</v>
      </c>
      <c r="T67" s="4">
        <v>8.4378663600000001E-2</v>
      </c>
      <c r="U67" s="4">
        <v>1.2770250569999999</v>
      </c>
      <c r="V67" s="4">
        <v>0</v>
      </c>
      <c r="W67" s="4">
        <v>0</v>
      </c>
      <c r="X67" s="4">
        <v>1.4741172599999998E-2</v>
      </c>
      <c r="Y67" s="4">
        <v>0.18540937800000001</v>
      </c>
      <c r="Z67" s="14">
        <f t="shared" ref="Z67:Z98" si="358">SUM(F67:Y67)</f>
        <v>3.1322584523999999</v>
      </c>
      <c r="AB67">
        <f t="shared" ref="AB67:AB98" si="359">F67/$Z67*100</f>
        <v>23.99492390623519</v>
      </c>
      <c r="AC67">
        <f t="shared" ref="AC67:AC98" si="360">G67/$Z67*100</f>
        <v>0</v>
      </c>
      <c r="AD67">
        <f t="shared" ref="AD67:AD98" si="361">H67/$Z67*100</f>
        <v>0</v>
      </c>
      <c r="AE67">
        <f t="shared" ref="AE67:AE98" si="362">I67/$Z67*100</f>
        <v>0.45698384145255921</v>
      </c>
      <c r="AF67">
        <f t="shared" ref="AF67:AF98" si="363">J67/$Z67*100</f>
        <v>0</v>
      </c>
      <c r="AG67">
        <f t="shared" ref="AG67:AG98" si="364">K67/$Z67*100</f>
        <v>0</v>
      </c>
      <c r="AH67">
        <f t="shared" ref="AH67:AH98" si="365">L67/$Z67*100</f>
        <v>21.841094494479339</v>
      </c>
      <c r="AI67">
        <f t="shared" ref="AI67:AI98" si="366">M67/$Z67*100</f>
        <v>0</v>
      </c>
      <c r="AJ67">
        <f t="shared" ref="AJ67:AJ98" si="367">N67/$Z67*100</f>
        <v>0</v>
      </c>
      <c r="AK67">
        <f t="shared" ref="AK67:AK98" si="368">O67/$Z67*100</f>
        <v>0</v>
      </c>
      <c r="AL67">
        <f t="shared" ref="AL67:AL98" si="369">P67/$Z67*100</f>
        <v>0</v>
      </c>
      <c r="AM67">
        <f t="shared" ref="AM67:AM98" si="370">Q67/$Z67*100</f>
        <v>0</v>
      </c>
      <c r="AN67">
        <f t="shared" ref="AN67:AN98" si="371">R67/$Z67*100</f>
        <v>0</v>
      </c>
      <c r="AO67">
        <f t="shared" ref="AO67:AO98" si="372">S67/$Z67*100</f>
        <v>3.8530570651833234</v>
      </c>
      <c r="AP67">
        <f t="shared" ref="AP67:AP98" si="373">T67/$Z67*100</f>
        <v>2.6938601932847321</v>
      </c>
      <c r="AQ67">
        <f t="shared" ref="AQ67:AQ98" si="374">U67/$Z67*100</f>
        <v>40.770104906940787</v>
      </c>
      <c r="AR67">
        <f t="shared" ref="AR67:AR98" si="375">V67/$Z67*100</f>
        <v>0</v>
      </c>
      <c r="AS67">
        <f t="shared" ref="AS67:AS98" si="376">W67/$Z67*100</f>
        <v>0</v>
      </c>
      <c r="AT67">
        <f t="shared" ref="AT67:AT98" si="377">X67/$Z67*100</f>
        <v>0.47062440165833103</v>
      </c>
      <c r="AU67">
        <f t="shared" ref="AU67:AU98" si="378">Y67/$Z67*100</f>
        <v>5.9193511907657426</v>
      </c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</row>
    <row r="68" spans="1:68" x14ac:dyDescent="0.35">
      <c r="A68" s="1" t="s">
        <v>42</v>
      </c>
      <c r="B68" s="1">
        <v>66</v>
      </c>
      <c r="C68" s="1" t="s">
        <v>115</v>
      </c>
      <c r="D68" s="1" t="s">
        <v>113</v>
      </c>
      <c r="E68" s="3" t="s">
        <v>53</v>
      </c>
      <c r="F68" s="4">
        <v>0.97066407899999985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0.63813907079999999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0.84336409080000019</v>
      </c>
      <c r="V68" s="4">
        <v>0</v>
      </c>
      <c r="W68" s="4">
        <v>0</v>
      </c>
      <c r="X68" s="4">
        <v>0</v>
      </c>
      <c r="Y68" s="4">
        <v>0.29413465620000001</v>
      </c>
      <c r="Z68" s="14">
        <f t="shared" si="358"/>
        <v>2.7463018968000004</v>
      </c>
      <c r="AB68">
        <f t="shared" si="359"/>
        <v>35.344405512410006</v>
      </c>
      <c r="AC68">
        <f t="shared" si="360"/>
        <v>0</v>
      </c>
      <c r="AD68">
        <f t="shared" si="361"/>
        <v>0</v>
      </c>
      <c r="AE68">
        <f t="shared" si="362"/>
        <v>0</v>
      </c>
      <c r="AF68">
        <f t="shared" si="363"/>
        <v>0</v>
      </c>
      <c r="AG68">
        <f t="shared" si="364"/>
        <v>0</v>
      </c>
      <c r="AH68">
        <f t="shared" si="365"/>
        <v>23.236304484352637</v>
      </c>
      <c r="AI68">
        <f t="shared" si="366"/>
        <v>0</v>
      </c>
      <c r="AJ68">
        <f t="shared" si="367"/>
        <v>0</v>
      </c>
      <c r="AK68">
        <f t="shared" si="368"/>
        <v>0</v>
      </c>
      <c r="AL68">
        <f t="shared" si="369"/>
        <v>0</v>
      </c>
      <c r="AM68">
        <f t="shared" si="370"/>
        <v>0</v>
      </c>
      <c r="AN68">
        <f t="shared" si="371"/>
        <v>0</v>
      </c>
      <c r="AO68">
        <f t="shared" si="372"/>
        <v>0</v>
      </c>
      <c r="AP68">
        <f t="shared" si="373"/>
        <v>0</v>
      </c>
      <c r="AQ68">
        <f t="shared" si="374"/>
        <v>30.70908161199214</v>
      </c>
      <c r="AR68">
        <f t="shared" si="375"/>
        <v>0</v>
      </c>
      <c r="AS68">
        <f t="shared" si="376"/>
        <v>0</v>
      </c>
      <c r="AT68">
        <f t="shared" si="377"/>
        <v>0</v>
      </c>
      <c r="AU68">
        <f t="shared" si="378"/>
        <v>10.71020839124521</v>
      </c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</row>
    <row r="69" spans="1:68" x14ac:dyDescent="0.35">
      <c r="A69" s="1" t="s">
        <v>116</v>
      </c>
      <c r="B69" s="1">
        <v>67</v>
      </c>
      <c r="C69" s="1" t="s">
        <v>117</v>
      </c>
      <c r="D69" s="1" t="s">
        <v>118</v>
      </c>
      <c r="E69" s="3" t="s">
        <v>27</v>
      </c>
      <c r="F69" s="4">
        <v>0.55487724599999999</v>
      </c>
      <c r="G69" s="4">
        <v>0</v>
      </c>
      <c r="H69" s="4">
        <v>0</v>
      </c>
      <c r="I69" s="4">
        <v>0</v>
      </c>
      <c r="J69" s="4">
        <v>0</v>
      </c>
      <c r="K69" s="4">
        <v>9.5869850999999992E-2</v>
      </c>
      <c r="L69" s="4">
        <v>1.4927108195999998</v>
      </c>
      <c r="M69" s="4">
        <v>0</v>
      </c>
      <c r="N69" s="4">
        <v>0</v>
      </c>
      <c r="O69" s="4">
        <v>0</v>
      </c>
      <c r="P69" s="4">
        <v>0</v>
      </c>
      <c r="Q69" s="4">
        <v>1.69717086E-2</v>
      </c>
      <c r="R69" s="4">
        <v>0</v>
      </c>
      <c r="S69" s="4">
        <v>0</v>
      </c>
      <c r="T69" s="4">
        <v>0.145428591</v>
      </c>
      <c r="U69" s="4">
        <v>1.2050792753999999</v>
      </c>
      <c r="V69" s="4">
        <v>0</v>
      </c>
      <c r="W69" s="4">
        <v>0</v>
      </c>
      <c r="X69" s="4">
        <v>0</v>
      </c>
      <c r="Y69" s="4">
        <v>5.3627897400000006E-2</v>
      </c>
      <c r="Z69" s="14">
        <f t="shared" si="358"/>
        <v>3.5645653890000002</v>
      </c>
      <c r="AB69">
        <f t="shared" si="359"/>
        <v>15.56647684770526</v>
      </c>
      <c r="AC69">
        <f t="shared" si="360"/>
        <v>0</v>
      </c>
      <c r="AD69">
        <f t="shared" si="361"/>
        <v>0</v>
      </c>
      <c r="AE69">
        <f t="shared" si="362"/>
        <v>0</v>
      </c>
      <c r="AF69">
        <f t="shared" si="363"/>
        <v>0</v>
      </c>
      <c r="AG69">
        <f t="shared" si="364"/>
        <v>2.6895242627852376</v>
      </c>
      <c r="AH69">
        <f t="shared" si="365"/>
        <v>41.876376407805594</v>
      </c>
      <c r="AI69">
        <f t="shared" si="366"/>
        <v>0</v>
      </c>
      <c r="AJ69">
        <f t="shared" si="367"/>
        <v>0</v>
      </c>
      <c r="AK69">
        <f t="shared" si="368"/>
        <v>0</v>
      </c>
      <c r="AL69">
        <f t="shared" si="369"/>
        <v>0</v>
      </c>
      <c r="AM69">
        <f t="shared" si="370"/>
        <v>0.47612280174109045</v>
      </c>
      <c r="AN69">
        <f t="shared" si="371"/>
        <v>0</v>
      </c>
      <c r="AO69">
        <f t="shared" si="372"/>
        <v>0</v>
      </c>
      <c r="AP69">
        <f t="shared" si="373"/>
        <v>4.0798407415608775</v>
      </c>
      <c r="AQ69">
        <f t="shared" si="374"/>
        <v>33.807186680283394</v>
      </c>
      <c r="AR69">
        <f t="shared" si="375"/>
        <v>0</v>
      </c>
      <c r="AS69">
        <f t="shared" si="376"/>
        <v>0</v>
      </c>
      <c r="AT69">
        <f t="shared" si="377"/>
        <v>0</v>
      </c>
      <c r="AU69">
        <f t="shared" si="378"/>
        <v>1.5044722581185339</v>
      </c>
      <c r="AW69" s="16">
        <f>AVERAGE(AB69:AB71)</f>
        <v>17.99307401955134</v>
      </c>
      <c r="AX69" s="16">
        <f>AVERAGE(AC69:AC71)</f>
        <v>0</v>
      </c>
      <c r="AY69" s="16">
        <f>AVERAGE(AD69:AD71)</f>
        <v>0</v>
      </c>
      <c r="AZ69" s="16">
        <f>AVERAGE(AE69:AE71)</f>
        <v>0</v>
      </c>
      <c r="BA69" s="16">
        <f>AVERAGE(AF69:AF71)</f>
        <v>0</v>
      </c>
      <c r="BB69" s="16">
        <f t="shared" ref="BB69" si="379">AVERAGE(AG69:AG71)</f>
        <v>1.0873014605742506</v>
      </c>
      <c r="BC69" s="16">
        <f t="shared" ref="BC69" si="380">AVERAGE(AH69:AH71)</f>
        <v>49.281988214713245</v>
      </c>
      <c r="BD69" s="16">
        <f t="shared" ref="BD69" si="381">AVERAGE(AI69:AI71)</f>
        <v>0</v>
      </c>
      <c r="BE69" s="16">
        <f t="shared" ref="BE69" si="382">AVERAGE(AJ69:AJ71)</f>
        <v>0</v>
      </c>
      <c r="BF69" s="16">
        <f t="shared" ref="BF69" si="383">AVERAGE(AK69:AK71)</f>
        <v>0</v>
      </c>
      <c r="BG69" s="16">
        <f t="shared" ref="BG69" si="384">AVERAGE(AL69:AL71)</f>
        <v>0</v>
      </c>
      <c r="BH69" s="16">
        <f t="shared" ref="BH69" si="385">AVERAGE(AM69:AM71)</f>
        <v>0.15870760058036348</v>
      </c>
      <c r="BI69" s="16">
        <f t="shared" ref="BI69" si="386">AVERAGE(AN69:AN71)</f>
        <v>0</v>
      </c>
      <c r="BJ69" s="16">
        <f t="shared" ref="BJ69" si="387">AVERAGE(AO69:AO71)</f>
        <v>0</v>
      </c>
      <c r="BK69" s="16">
        <f t="shared" ref="BK69" si="388">AVERAGE(AP69:AP71)</f>
        <v>1.3599469138536258</v>
      </c>
      <c r="BL69" s="16">
        <f t="shared" ref="BL69" si="389">AVERAGE(AQ69:AQ71)</f>
        <v>25.271527615435122</v>
      </c>
      <c r="BM69" s="16">
        <f t="shared" ref="BM69" si="390">AVERAGE(AR69:AR71)</f>
        <v>0</v>
      </c>
      <c r="BN69" s="16">
        <f t="shared" ref="BN69" si="391">AVERAGE(AS69:AS71)</f>
        <v>0</v>
      </c>
      <c r="BO69" s="16">
        <f t="shared" ref="BO69" si="392">AVERAGE(AT69:AT71)</f>
        <v>3.2044255957095715</v>
      </c>
      <c r="BP69" s="16">
        <f t="shared" ref="BP69" si="393">AVERAGE(AU69:AU71)</f>
        <v>1.6430285795824762</v>
      </c>
    </row>
    <row r="70" spans="1:68" x14ac:dyDescent="0.35">
      <c r="A70" s="1" t="s">
        <v>116</v>
      </c>
      <c r="B70" s="1">
        <v>68</v>
      </c>
      <c r="C70" s="1" t="s">
        <v>119</v>
      </c>
      <c r="D70" s="1" t="s">
        <v>118</v>
      </c>
      <c r="E70" s="3" t="s">
        <v>27</v>
      </c>
      <c r="F70" s="4">
        <v>0.65232732180000008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2.1634165014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0.38347547700000001</v>
      </c>
      <c r="V70" s="4">
        <v>0</v>
      </c>
      <c r="W70" s="4">
        <v>0</v>
      </c>
      <c r="X70" s="4">
        <v>0.10914703800000002</v>
      </c>
      <c r="Y70" s="4">
        <v>6.42425784E-2</v>
      </c>
      <c r="Z70" s="14">
        <f t="shared" si="358"/>
        <v>3.3726089166000004</v>
      </c>
      <c r="AB70">
        <f t="shared" si="359"/>
        <v>19.341920096019471</v>
      </c>
      <c r="AC70">
        <f t="shared" si="360"/>
        <v>0</v>
      </c>
      <c r="AD70">
        <f t="shared" si="361"/>
        <v>0</v>
      </c>
      <c r="AE70">
        <f t="shared" si="362"/>
        <v>0</v>
      </c>
      <c r="AF70">
        <f t="shared" si="363"/>
        <v>0</v>
      </c>
      <c r="AG70">
        <f t="shared" si="364"/>
        <v>0</v>
      </c>
      <c r="AH70">
        <f t="shared" si="365"/>
        <v>64.146675612213784</v>
      </c>
      <c r="AI70">
        <f t="shared" si="366"/>
        <v>0</v>
      </c>
      <c r="AJ70">
        <f t="shared" si="367"/>
        <v>0</v>
      </c>
      <c r="AK70">
        <f t="shared" si="368"/>
        <v>0</v>
      </c>
      <c r="AL70">
        <f t="shared" si="369"/>
        <v>0</v>
      </c>
      <c r="AM70">
        <f t="shared" si="370"/>
        <v>0</v>
      </c>
      <c r="AN70">
        <f t="shared" si="371"/>
        <v>0</v>
      </c>
      <c r="AO70">
        <f t="shared" si="372"/>
        <v>0</v>
      </c>
      <c r="AP70">
        <f t="shared" si="373"/>
        <v>0</v>
      </c>
      <c r="AQ70">
        <f t="shared" si="374"/>
        <v>11.37029185662564</v>
      </c>
      <c r="AR70">
        <f t="shared" si="375"/>
        <v>0</v>
      </c>
      <c r="AS70">
        <f t="shared" si="376"/>
        <v>0</v>
      </c>
      <c r="AT70">
        <f t="shared" si="377"/>
        <v>3.2362791150428878</v>
      </c>
      <c r="AU70">
        <f t="shared" si="378"/>
        <v>1.9048333200982082</v>
      </c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</row>
    <row r="71" spans="1:68" x14ac:dyDescent="0.35">
      <c r="A71" s="1" t="s">
        <v>116</v>
      </c>
      <c r="B71" s="1">
        <v>69</v>
      </c>
      <c r="C71" s="1" t="s">
        <v>120</v>
      </c>
      <c r="D71" s="1" t="s">
        <v>118</v>
      </c>
      <c r="E71" s="3" t="s">
        <v>27</v>
      </c>
      <c r="F71" s="4">
        <v>0.50559810840000008</v>
      </c>
      <c r="G71" s="4">
        <v>0</v>
      </c>
      <c r="H71" s="4">
        <v>0</v>
      </c>
      <c r="I71" s="4">
        <v>0</v>
      </c>
      <c r="J71" s="4">
        <v>0</v>
      </c>
      <c r="K71" s="4">
        <v>1.5174713400000001E-2</v>
      </c>
      <c r="L71" s="4">
        <v>1.1087923769999999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0.81223868880000016</v>
      </c>
      <c r="V71" s="4">
        <v>0</v>
      </c>
      <c r="W71" s="4">
        <v>0</v>
      </c>
      <c r="X71" s="4">
        <v>0.16906441859999999</v>
      </c>
      <c r="Y71" s="4">
        <v>4.0291805399999998E-2</v>
      </c>
      <c r="Z71" s="14">
        <f t="shared" si="358"/>
        <v>2.6511601115999999</v>
      </c>
      <c r="AB71">
        <f t="shared" si="359"/>
        <v>19.070825114929288</v>
      </c>
      <c r="AC71">
        <f t="shared" si="360"/>
        <v>0</v>
      </c>
      <c r="AD71">
        <f t="shared" si="361"/>
        <v>0</v>
      </c>
      <c r="AE71">
        <f t="shared" si="362"/>
        <v>0</v>
      </c>
      <c r="AF71">
        <f t="shared" si="363"/>
        <v>0</v>
      </c>
      <c r="AG71">
        <f t="shared" si="364"/>
        <v>0.57238011893751373</v>
      </c>
      <c r="AH71">
        <f t="shared" si="365"/>
        <v>41.822912624120363</v>
      </c>
      <c r="AI71">
        <f t="shared" si="366"/>
        <v>0</v>
      </c>
      <c r="AJ71">
        <f t="shared" si="367"/>
        <v>0</v>
      </c>
      <c r="AK71">
        <f t="shared" si="368"/>
        <v>0</v>
      </c>
      <c r="AL71">
        <f t="shared" si="369"/>
        <v>0</v>
      </c>
      <c r="AM71">
        <f t="shared" si="370"/>
        <v>0</v>
      </c>
      <c r="AN71">
        <f t="shared" si="371"/>
        <v>0</v>
      </c>
      <c r="AO71">
        <f t="shared" si="372"/>
        <v>0</v>
      </c>
      <c r="AP71">
        <f t="shared" si="373"/>
        <v>0</v>
      </c>
      <c r="AQ71">
        <f t="shared" si="374"/>
        <v>30.637104309396335</v>
      </c>
      <c r="AR71">
        <f t="shared" si="375"/>
        <v>0</v>
      </c>
      <c r="AS71">
        <f t="shared" si="376"/>
        <v>0</v>
      </c>
      <c r="AT71">
        <f t="shared" si="377"/>
        <v>6.3769976720858264</v>
      </c>
      <c r="AU71">
        <f t="shared" si="378"/>
        <v>1.5197801605306862</v>
      </c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</row>
    <row r="72" spans="1:68" x14ac:dyDescent="0.35">
      <c r="A72" s="1" t="s">
        <v>116</v>
      </c>
      <c r="B72" s="1">
        <v>70</v>
      </c>
      <c r="C72" s="1" t="s">
        <v>121</v>
      </c>
      <c r="D72" s="1" t="s">
        <v>122</v>
      </c>
      <c r="E72" s="3" t="s">
        <v>53</v>
      </c>
      <c r="F72" s="4">
        <v>0.89282936820000014</v>
      </c>
      <c r="G72" s="4">
        <v>0</v>
      </c>
      <c r="H72" s="4">
        <v>0</v>
      </c>
      <c r="I72" s="4">
        <v>0</v>
      </c>
      <c r="J72" s="4">
        <v>0</v>
      </c>
      <c r="K72" s="4">
        <v>0.37730616</v>
      </c>
      <c r="L72" s="4">
        <v>0.46962757380000009</v>
      </c>
      <c r="M72" s="4">
        <v>0</v>
      </c>
      <c r="N72" s="4">
        <v>0</v>
      </c>
      <c r="O72" s="4">
        <v>3.8091900000000005E-2</v>
      </c>
      <c r="P72" s="4">
        <v>0</v>
      </c>
      <c r="Q72" s="4">
        <v>0</v>
      </c>
      <c r="R72" s="4">
        <v>0</v>
      </c>
      <c r="S72" s="4">
        <v>7.1749431599999997E-2</v>
      </c>
      <c r="T72" s="4">
        <v>0</v>
      </c>
      <c r="U72" s="4">
        <v>0.43529538359999997</v>
      </c>
      <c r="V72" s="4">
        <v>0</v>
      </c>
      <c r="W72" s="4">
        <v>0</v>
      </c>
      <c r="X72" s="4">
        <v>0.17002574819999999</v>
      </c>
      <c r="Y72" s="4">
        <v>5.1755503799999991E-2</v>
      </c>
      <c r="Z72" s="14">
        <f t="shared" si="358"/>
        <v>2.5066810692000003</v>
      </c>
      <c r="AB72">
        <f t="shared" si="359"/>
        <v>35.617988230347308</v>
      </c>
      <c r="AC72">
        <f t="shared" si="360"/>
        <v>0</v>
      </c>
      <c r="AD72">
        <f t="shared" si="361"/>
        <v>0</v>
      </c>
      <c r="AE72">
        <f t="shared" si="362"/>
        <v>0</v>
      </c>
      <c r="AF72">
        <f t="shared" si="363"/>
        <v>0</v>
      </c>
      <c r="AG72">
        <f t="shared" si="364"/>
        <v>15.052020962539766</v>
      </c>
      <c r="AH72">
        <f t="shared" si="365"/>
        <v>18.735034926077784</v>
      </c>
      <c r="AI72">
        <f t="shared" si="366"/>
        <v>0</v>
      </c>
      <c r="AJ72">
        <f t="shared" si="367"/>
        <v>0</v>
      </c>
      <c r="AK72">
        <f t="shared" si="368"/>
        <v>1.519614938974144</v>
      </c>
      <c r="AL72">
        <f t="shared" si="369"/>
        <v>0</v>
      </c>
      <c r="AM72">
        <f t="shared" si="370"/>
        <v>0</v>
      </c>
      <c r="AN72">
        <f t="shared" si="371"/>
        <v>0</v>
      </c>
      <c r="AO72">
        <f t="shared" si="372"/>
        <v>2.8623278996916275</v>
      </c>
      <c r="AP72">
        <f t="shared" si="373"/>
        <v>0</v>
      </c>
      <c r="AQ72">
        <f t="shared" si="374"/>
        <v>17.365407548193723</v>
      </c>
      <c r="AR72">
        <f t="shared" si="375"/>
        <v>0</v>
      </c>
      <c r="AS72">
        <f t="shared" si="376"/>
        <v>0</v>
      </c>
      <c r="AT72">
        <f t="shared" si="377"/>
        <v>6.7829031099781352</v>
      </c>
      <c r="AU72">
        <f t="shared" si="378"/>
        <v>2.0647023841975081</v>
      </c>
      <c r="AW72" s="16">
        <f>AVERAGE(AB72:AB74)</f>
        <v>38.546352515535737</v>
      </c>
      <c r="AX72" s="16">
        <f>AVERAGE(AC72:AC74)</f>
        <v>0</v>
      </c>
      <c r="AY72" s="16">
        <f>AVERAGE(AD72:AD74)</f>
        <v>0</v>
      </c>
      <c r="AZ72" s="16">
        <f>AVERAGE(AE72:AE74)</f>
        <v>0</v>
      </c>
      <c r="BA72" s="16">
        <f>AVERAGE(AF72:AF74)</f>
        <v>0</v>
      </c>
      <c r="BB72" s="16">
        <f t="shared" ref="BB72" si="394">AVERAGE(AG72:AG74)</f>
        <v>5.0173403208465883</v>
      </c>
      <c r="BC72" s="16">
        <f t="shared" ref="BC72" si="395">AVERAGE(AH72:AH74)</f>
        <v>24.994531348220402</v>
      </c>
      <c r="BD72" s="16">
        <f t="shared" ref="BD72" si="396">AVERAGE(AI72:AI74)</f>
        <v>0</v>
      </c>
      <c r="BE72" s="16">
        <f t="shared" ref="BE72" si="397">AVERAGE(AJ72:AJ74)</f>
        <v>0</v>
      </c>
      <c r="BF72" s="16">
        <f t="shared" ref="BF72" si="398">AVERAGE(AK72:AK74)</f>
        <v>14.479198281591499</v>
      </c>
      <c r="BG72" s="16">
        <f t="shared" ref="BG72" si="399">AVERAGE(AL72:AL74)</f>
        <v>0</v>
      </c>
      <c r="BH72" s="16">
        <f t="shared" ref="BH72" si="400">AVERAGE(AM72:AM74)</f>
        <v>0</v>
      </c>
      <c r="BI72" s="16">
        <f t="shared" ref="BI72" si="401">AVERAGE(AN72:AN74)</f>
        <v>0</v>
      </c>
      <c r="BJ72" s="16">
        <f t="shared" ref="BJ72" si="402">AVERAGE(AO72:AO74)</f>
        <v>0.95410929989720916</v>
      </c>
      <c r="BK72" s="16">
        <f t="shared" ref="BK72" si="403">AVERAGE(AP72:AP74)</f>
        <v>0</v>
      </c>
      <c r="BL72" s="16">
        <f t="shared" ref="BL72" si="404">AVERAGE(AQ72:AQ74)</f>
        <v>7.6718292453934778</v>
      </c>
      <c r="BM72" s="16">
        <f t="shared" ref="BM72" si="405">AVERAGE(AR72:AR74)</f>
        <v>0</v>
      </c>
      <c r="BN72" s="16">
        <f t="shared" ref="BN72" si="406">AVERAGE(AS72:AS74)</f>
        <v>0</v>
      </c>
      <c r="BO72" s="16">
        <f t="shared" ref="BO72" si="407">AVERAGE(AT72:AT74)</f>
        <v>3.5491741268073178</v>
      </c>
      <c r="BP72" s="16">
        <f t="shared" ref="BP72" si="408">AVERAGE(AU72:AU74)</f>
        <v>4.7874648617077549</v>
      </c>
    </row>
    <row r="73" spans="1:68" x14ac:dyDescent="0.35">
      <c r="A73" s="1" t="s">
        <v>116</v>
      </c>
      <c r="B73" s="1">
        <v>71</v>
      </c>
      <c r="C73" s="1" t="s">
        <v>123</v>
      </c>
      <c r="D73" s="1" t="s">
        <v>122</v>
      </c>
      <c r="E73" s="3" t="s">
        <v>53</v>
      </c>
      <c r="F73" s="4">
        <v>2.7071402820000006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0.43534800540000007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2.9055087599999998E-2</v>
      </c>
      <c r="V73" s="4">
        <v>0</v>
      </c>
      <c r="W73" s="4">
        <v>0</v>
      </c>
      <c r="X73" s="4">
        <v>0</v>
      </c>
      <c r="Y73" s="4">
        <v>0.34570951799999999</v>
      </c>
      <c r="Z73" s="14">
        <f t="shared" si="358"/>
        <v>3.5172528930000011</v>
      </c>
      <c r="AB73">
        <f t="shared" si="359"/>
        <v>76.967461947013305</v>
      </c>
      <c r="AC73">
        <f t="shared" si="360"/>
        <v>0</v>
      </c>
      <c r="AD73">
        <f t="shared" si="361"/>
        <v>0</v>
      </c>
      <c r="AE73">
        <f t="shared" si="362"/>
        <v>0</v>
      </c>
      <c r="AF73">
        <f t="shared" si="363"/>
        <v>0</v>
      </c>
      <c r="AG73">
        <f t="shared" si="364"/>
        <v>0</v>
      </c>
      <c r="AH73">
        <f t="shared" si="365"/>
        <v>12.377500812251089</v>
      </c>
      <c r="AI73">
        <f t="shared" si="366"/>
        <v>0</v>
      </c>
      <c r="AJ73">
        <f t="shared" si="367"/>
        <v>0</v>
      </c>
      <c r="AK73">
        <f t="shared" si="368"/>
        <v>0</v>
      </c>
      <c r="AL73">
        <f t="shared" si="369"/>
        <v>0</v>
      </c>
      <c r="AM73">
        <f t="shared" si="370"/>
        <v>0</v>
      </c>
      <c r="AN73">
        <f t="shared" si="371"/>
        <v>0</v>
      </c>
      <c r="AO73">
        <f t="shared" si="372"/>
        <v>0</v>
      </c>
      <c r="AP73">
        <f t="shared" si="373"/>
        <v>0</v>
      </c>
      <c r="AQ73">
        <f t="shared" si="374"/>
        <v>0.82607331584900012</v>
      </c>
      <c r="AR73">
        <f t="shared" si="375"/>
        <v>0</v>
      </c>
      <c r="AS73">
        <f t="shared" si="376"/>
        <v>0</v>
      </c>
      <c r="AT73">
        <f t="shared" si="377"/>
        <v>0</v>
      </c>
      <c r="AU73">
        <f t="shared" si="378"/>
        <v>9.8289639248865885</v>
      </c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</row>
    <row r="74" spans="1:68" x14ac:dyDescent="0.35">
      <c r="A74" s="1" t="s">
        <v>116</v>
      </c>
      <c r="B74" s="1">
        <v>72</v>
      </c>
      <c r="C74" s="1" t="s">
        <v>124</v>
      </c>
      <c r="D74" s="1" t="s">
        <v>122</v>
      </c>
      <c r="E74" s="3" t="s">
        <v>53</v>
      </c>
      <c r="F74" s="4">
        <v>5.005903980000001E-2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0.71919627780000006</v>
      </c>
      <c r="M74" s="4">
        <v>0</v>
      </c>
      <c r="N74" s="4">
        <v>0</v>
      </c>
      <c r="O74" s="4">
        <v>0.68717866140000006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7.9081925999999997E-2</v>
      </c>
      <c r="V74" s="4">
        <v>0</v>
      </c>
      <c r="W74" s="4">
        <v>0</v>
      </c>
      <c r="X74" s="4">
        <v>6.3354290999999993E-2</v>
      </c>
      <c r="Y74" s="4">
        <v>4.0470876599999997E-2</v>
      </c>
      <c r="Z74" s="14">
        <f t="shared" si="358"/>
        <v>1.6393410726000002</v>
      </c>
      <c r="AB74">
        <f t="shared" si="359"/>
        <v>3.0536073692466092</v>
      </c>
      <c r="AC74">
        <f t="shared" si="360"/>
        <v>0</v>
      </c>
      <c r="AD74">
        <f t="shared" si="361"/>
        <v>0</v>
      </c>
      <c r="AE74">
        <f t="shared" si="362"/>
        <v>0</v>
      </c>
      <c r="AF74">
        <f t="shared" si="363"/>
        <v>0</v>
      </c>
      <c r="AG74">
        <f t="shared" si="364"/>
        <v>0</v>
      </c>
      <c r="AH74">
        <f t="shared" si="365"/>
        <v>43.871058306332337</v>
      </c>
      <c r="AI74">
        <f t="shared" si="366"/>
        <v>0</v>
      </c>
      <c r="AJ74">
        <f t="shared" si="367"/>
        <v>0</v>
      </c>
      <c r="AK74">
        <f t="shared" si="368"/>
        <v>41.917979905800351</v>
      </c>
      <c r="AL74">
        <f t="shared" si="369"/>
        <v>0</v>
      </c>
      <c r="AM74">
        <f t="shared" si="370"/>
        <v>0</v>
      </c>
      <c r="AN74">
        <f t="shared" si="371"/>
        <v>0</v>
      </c>
      <c r="AO74">
        <f t="shared" si="372"/>
        <v>0</v>
      </c>
      <c r="AP74">
        <f t="shared" si="373"/>
        <v>0</v>
      </c>
      <c r="AQ74">
        <f t="shared" si="374"/>
        <v>4.8240068721377067</v>
      </c>
      <c r="AR74">
        <f t="shared" si="375"/>
        <v>0</v>
      </c>
      <c r="AS74">
        <f t="shared" si="376"/>
        <v>0</v>
      </c>
      <c r="AT74">
        <f t="shared" si="377"/>
        <v>3.8646192704438183</v>
      </c>
      <c r="AU74">
        <f t="shared" si="378"/>
        <v>2.4687282760391684</v>
      </c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</row>
    <row r="75" spans="1:68" x14ac:dyDescent="0.35">
      <c r="A75" s="1" t="s">
        <v>116</v>
      </c>
      <c r="B75" s="1">
        <v>73</v>
      </c>
      <c r="C75" s="1" t="s">
        <v>125</v>
      </c>
      <c r="D75" s="1" t="s">
        <v>126</v>
      </c>
      <c r="E75" s="3" t="s">
        <v>21</v>
      </c>
      <c r="F75" s="4">
        <v>1.6504858985999999</v>
      </c>
      <c r="G75" s="4">
        <v>0</v>
      </c>
      <c r="H75" s="4">
        <v>0</v>
      </c>
      <c r="I75" s="4">
        <v>0</v>
      </c>
      <c r="J75" s="4">
        <v>9.079224000000001E-2</v>
      </c>
      <c r="K75" s="4">
        <v>0.11641591500000001</v>
      </c>
      <c r="L75" s="4">
        <v>0.8667446634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0.44983470840000006</v>
      </c>
      <c r="U75" s="4">
        <v>0.11044373340000001</v>
      </c>
      <c r="V75" s="4">
        <v>0</v>
      </c>
      <c r="W75" s="4">
        <v>0</v>
      </c>
      <c r="X75" s="4">
        <v>0</v>
      </c>
      <c r="Y75" s="4">
        <v>0</v>
      </c>
      <c r="Z75" s="14">
        <f t="shared" si="358"/>
        <v>3.2847171587999999</v>
      </c>
      <c r="AB75">
        <f t="shared" si="359"/>
        <v>50.247428280947304</v>
      </c>
      <c r="AC75">
        <f t="shared" si="360"/>
        <v>0</v>
      </c>
      <c r="AD75">
        <f t="shared" si="361"/>
        <v>0</v>
      </c>
      <c r="AE75">
        <f t="shared" si="362"/>
        <v>0</v>
      </c>
      <c r="AF75">
        <f t="shared" si="363"/>
        <v>2.7640809120128012</v>
      </c>
      <c r="AG75">
        <f t="shared" si="364"/>
        <v>3.5441686261513623</v>
      </c>
      <c r="AH75">
        <f t="shared" si="365"/>
        <v>26.387193219298261</v>
      </c>
      <c r="AI75">
        <f t="shared" si="366"/>
        <v>0</v>
      </c>
      <c r="AJ75">
        <f t="shared" si="367"/>
        <v>0</v>
      </c>
      <c r="AK75">
        <f t="shared" si="368"/>
        <v>0</v>
      </c>
      <c r="AL75">
        <f t="shared" si="369"/>
        <v>0</v>
      </c>
      <c r="AM75">
        <f t="shared" si="370"/>
        <v>0</v>
      </c>
      <c r="AN75">
        <f t="shared" si="371"/>
        <v>0</v>
      </c>
      <c r="AO75">
        <f t="shared" si="372"/>
        <v>0</v>
      </c>
      <c r="AP75">
        <f t="shared" si="373"/>
        <v>13.694777560827715</v>
      </c>
      <c r="AQ75">
        <f t="shared" si="374"/>
        <v>3.3623514007625617</v>
      </c>
      <c r="AR75">
        <f t="shared" si="375"/>
        <v>0</v>
      </c>
      <c r="AS75">
        <f t="shared" si="376"/>
        <v>0</v>
      </c>
      <c r="AT75">
        <f t="shared" si="377"/>
        <v>0</v>
      </c>
      <c r="AU75">
        <f t="shared" si="378"/>
        <v>0</v>
      </c>
      <c r="AW75" s="16">
        <f>AVERAGE(AB75:AB77)</f>
        <v>39.887817676378234</v>
      </c>
      <c r="AX75" s="16">
        <f>AVERAGE(AC75:AC77)</f>
        <v>0</v>
      </c>
      <c r="AY75" s="16">
        <f>AVERAGE(AD75:AD77)</f>
        <v>0</v>
      </c>
      <c r="AZ75" s="16">
        <f>AVERAGE(AE75:AE77)</f>
        <v>0.54426044780757943</v>
      </c>
      <c r="BA75" s="16">
        <f>AVERAGE(AF75:AF77)</f>
        <v>3.9681975021272913</v>
      </c>
      <c r="BB75" s="16">
        <f t="shared" ref="BB75" si="409">AVERAGE(AG75:AG77)</f>
        <v>1.1813895420504541</v>
      </c>
      <c r="BC75" s="16">
        <f t="shared" ref="BC75" si="410">AVERAGE(AH75:AH77)</f>
        <v>35.679273801916388</v>
      </c>
      <c r="BD75" s="16">
        <f t="shared" ref="BD75" si="411">AVERAGE(AI75:AI77)</f>
        <v>0</v>
      </c>
      <c r="BE75" s="16">
        <f t="shared" ref="BE75" si="412">AVERAGE(AJ75:AJ77)</f>
        <v>0</v>
      </c>
      <c r="BF75" s="16">
        <f t="shared" ref="BF75" si="413">AVERAGE(AK75:AK77)</f>
        <v>0</v>
      </c>
      <c r="BG75" s="16">
        <f t="shared" ref="BG75" si="414">AVERAGE(AL75:AL77)</f>
        <v>0</v>
      </c>
      <c r="BH75" s="16">
        <f t="shared" ref="BH75" si="415">AVERAGE(AM75:AM77)</f>
        <v>0.20500620562576566</v>
      </c>
      <c r="BI75" s="16">
        <f t="shared" ref="BI75" si="416">AVERAGE(AN75:AN77)</f>
        <v>0</v>
      </c>
      <c r="BJ75" s="16">
        <f t="shared" ref="BJ75" si="417">AVERAGE(AO75:AO77)</f>
        <v>0.90929209958239943</v>
      </c>
      <c r="BK75" s="16">
        <f t="shared" ref="BK75" si="418">AVERAGE(AP75:AP77)</f>
        <v>7.0749837157227704</v>
      </c>
      <c r="BL75" s="16">
        <f t="shared" ref="BL75" si="419">AVERAGE(AQ75:AQ77)</f>
        <v>7.9780303470590406</v>
      </c>
      <c r="BM75" s="16">
        <f t="shared" ref="BM75" si="420">AVERAGE(AR75:AR77)</f>
        <v>0</v>
      </c>
      <c r="BN75" s="16">
        <f t="shared" ref="BN75" si="421">AVERAGE(AS75:AS77)</f>
        <v>0</v>
      </c>
      <c r="BO75" s="16">
        <f t="shared" ref="BO75" si="422">AVERAGE(AT75:AT77)</f>
        <v>0.20911167381808862</v>
      </c>
      <c r="BP75" s="16">
        <f t="shared" ref="BP75" si="423">AVERAGE(AU75:AU77)</f>
        <v>2.3626369879119893</v>
      </c>
    </row>
    <row r="76" spans="1:68" x14ac:dyDescent="0.35">
      <c r="A76" s="1" t="s">
        <v>116</v>
      </c>
      <c r="B76" s="1">
        <v>74</v>
      </c>
      <c r="C76" s="1" t="s">
        <v>127</v>
      </c>
      <c r="D76" s="1" t="s">
        <v>126</v>
      </c>
      <c r="E76" s="3" t="s">
        <v>21</v>
      </c>
      <c r="F76" s="4">
        <v>0.79521750000000013</v>
      </c>
      <c r="G76" s="4">
        <v>0</v>
      </c>
      <c r="H76" s="4">
        <v>0</v>
      </c>
      <c r="I76" s="4">
        <v>4.2638580600000003E-2</v>
      </c>
      <c r="J76" s="4">
        <v>8.4415577400000011E-2</v>
      </c>
      <c r="K76" s="4">
        <v>0</v>
      </c>
      <c r="L76" s="4">
        <v>0.94374213780000005</v>
      </c>
      <c r="M76" s="4">
        <v>0</v>
      </c>
      <c r="N76" s="4">
        <v>0</v>
      </c>
      <c r="O76" s="4">
        <v>0</v>
      </c>
      <c r="P76" s="4">
        <v>0</v>
      </c>
      <c r="Q76" s="4">
        <v>1.60606446E-2</v>
      </c>
      <c r="R76" s="4">
        <v>0</v>
      </c>
      <c r="S76" s="4">
        <v>0</v>
      </c>
      <c r="T76" s="4">
        <v>0.12068613480000001</v>
      </c>
      <c r="U76" s="4">
        <v>0.5372120292</v>
      </c>
      <c r="V76" s="4">
        <v>0</v>
      </c>
      <c r="W76" s="4">
        <v>0</v>
      </c>
      <c r="X76" s="4">
        <v>0</v>
      </c>
      <c r="Y76" s="4">
        <v>7.1435271600000003E-2</v>
      </c>
      <c r="Z76" s="14">
        <f t="shared" si="358"/>
        <v>2.6114078760000003</v>
      </c>
      <c r="AB76">
        <f t="shared" si="359"/>
        <v>30.451677323500576</v>
      </c>
      <c r="AC76">
        <f t="shared" si="360"/>
        <v>0</v>
      </c>
      <c r="AD76">
        <f t="shared" si="361"/>
        <v>0</v>
      </c>
      <c r="AE76">
        <f t="shared" si="362"/>
        <v>1.6327813434227383</v>
      </c>
      <c r="AF76">
        <f t="shared" si="363"/>
        <v>3.2325696102786816</v>
      </c>
      <c r="AG76">
        <f t="shared" si="364"/>
        <v>0</v>
      </c>
      <c r="AH76">
        <f t="shared" si="365"/>
        <v>36.139208527071162</v>
      </c>
      <c r="AI76">
        <f t="shared" si="366"/>
        <v>0</v>
      </c>
      <c r="AJ76">
        <f t="shared" si="367"/>
        <v>0</v>
      </c>
      <c r="AK76">
        <f t="shared" si="368"/>
        <v>0</v>
      </c>
      <c r="AL76">
        <f t="shared" si="369"/>
        <v>0</v>
      </c>
      <c r="AM76">
        <f t="shared" si="370"/>
        <v>0.61501861687729698</v>
      </c>
      <c r="AN76">
        <f t="shared" si="371"/>
        <v>0</v>
      </c>
      <c r="AO76">
        <f t="shared" si="372"/>
        <v>0</v>
      </c>
      <c r="AP76">
        <f t="shared" si="373"/>
        <v>4.6214969292678969</v>
      </c>
      <c r="AQ76">
        <f t="shared" si="374"/>
        <v>20.57173964041456</v>
      </c>
      <c r="AR76">
        <f t="shared" si="375"/>
        <v>0</v>
      </c>
      <c r="AS76">
        <f t="shared" si="376"/>
        <v>0</v>
      </c>
      <c r="AT76">
        <f t="shared" si="377"/>
        <v>0</v>
      </c>
      <c r="AU76">
        <f t="shared" si="378"/>
        <v>2.7355080091670825</v>
      </c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</row>
    <row r="77" spans="1:68" x14ac:dyDescent="0.35">
      <c r="A77" s="1" t="s">
        <v>116</v>
      </c>
      <c r="B77" s="1">
        <v>75</v>
      </c>
      <c r="C77" s="1" t="s">
        <v>128</v>
      </c>
      <c r="D77" s="1" t="s">
        <v>126</v>
      </c>
      <c r="E77" s="3" t="s">
        <v>21</v>
      </c>
      <c r="F77" s="4">
        <v>0.81177970889399997</v>
      </c>
      <c r="G77" s="4">
        <v>0</v>
      </c>
      <c r="H77" s="4">
        <v>0</v>
      </c>
      <c r="I77" s="4">
        <v>0</v>
      </c>
      <c r="J77" s="4">
        <v>0.12308553179999999</v>
      </c>
      <c r="K77" s="4">
        <v>0</v>
      </c>
      <c r="L77" s="4">
        <v>0.92734691279999992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5.6832329399999992E-2</v>
      </c>
      <c r="T77" s="4">
        <v>6.059910780000001E-2</v>
      </c>
      <c r="U77" s="4">
        <v>0</v>
      </c>
      <c r="V77" s="4">
        <v>0</v>
      </c>
      <c r="W77" s="4">
        <v>0</v>
      </c>
      <c r="X77" s="4">
        <v>1.3069841400000001E-2</v>
      </c>
      <c r="Y77" s="4">
        <v>9.0677571600000006E-2</v>
      </c>
      <c r="Z77" s="14">
        <f t="shared" si="358"/>
        <v>2.083391003694</v>
      </c>
      <c r="AB77">
        <f t="shared" si="359"/>
        <v>38.964347424686821</v>
      </c>
      <c r="AC77">
        <f t="shared" si="360"/>
        <v>0</v>
      </c>
      <c r="AD77">
        <f t="shared" si="361"/>
        <v>0</v>
      </c>
      <c r="AE77">
        <f t="shared" si="362"/>
        <v>0</v>
      </c>
      <c r="AF77">
        <f t="shared" si="363"/>
        <v>5.9079419840903906</v>
      </c>
      <c r="AG77">
        <f t="shared" si="364"/>
        <v>0</v>
      </c>
      <c r="AH77">
        <f t="shared" si="365"/>
        <v>44.511419659379733</v>
      </c>
      <c r="AI77">
        <f t="shared" si="366"/>
        <v>0</v>
      </c>
      <c r="AJ77">
        <f t="shared" si="367"/>
        <v>0</v>
      </c>
      <c r="AK77">
        <f t="shared" si="368"/>
        <v>0</v>
      </c>
      <c r="AL77">
        <f t="shared" si="369"/>
        <v>0</v>
      </c>
      <c r="AM77">
        <f t="shared" si="370"/>
        <v>0</v>
      </c>
      <c r="AN77">
        <f t="shared" si="371"/>
        <v>0</v>
      </c>
      <c r="AO77">
        <f t="shared" si="372"/>
        <v>2.7278762987471983</v>
      </c>
      <c r="AP77">
        <f t="shared" si="373"/>
        <v>2.9086766570727001</v>
      </c>
      <c r="AQ77">
        <f t="shared" si="374"/>
        <v>0</v>
      </c>
      <c r="AR77">
        <f t="shared" si="375"/>
        <v>0</v>
      </c>
      <c r="AS77">
        <f t="shared" si="376"/>
        <v>0</v>
      </c>
      <c r="AT77">
        <f t="shared" si="377"/>
        <v>0.6273350214542659</v>
      </c>
      <c r="AU77">
        <f t="shared" si="378"/>
        <v>4.3524029545688858</v>
      </c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</row>
    <row r="78" spans="1:68" x14ac:dyDescent="0.35">
      <c r="A78" s="1" t="s">
        <v>116</v>
      </c>
      <c r="B78" s="1">
        <v>76</v>
      </c>
      <c r="C78" s="1" t="s">
        <v>129</v>
      </c>
      <c r="D78" s="1" t="s">
        <v>130</v>
      </c>
      <c r="E78" s="3" t="s">
        <v>53</v>
      </c>
      <c r="F78" s="4">
        <v>1.7832051467999999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0.62684344800000003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0.20911746240000001</v>
      </c>
      <c r="V78" s="4">
        <v>0</v>
      </c>
      <c r="W78" s="4">
        <v>0</v>
      </c>
      <c r="X78" s="4">
        <v>0.48113839620000004</v>
      </c>
      <c r="Y78" s="4">
        <v>1.69717086E-2</v>
      </c>
      <c r="Z78" s="14">
        <f t="shared" si="358"/>
        <v>3.117276162</v>
      </c>
      <c r="AB78">
        <f t="shared" si="359"/>
        <v>57.20395159522603</v>
      </c>
      <c r="AC78">
        <f t="shared" si="360"/>
        <v>0</v>
      </c>
      <c r="AD78">
        <f t="shared" si="361"/>
        <v>0</v>
      </c>
      <c r="AE78">
        <f t="shared" si="362"/>
        <v>0</v>
      </c>
      <c r="AF78">
        <f t="shared" si="363"/>
        <v>0</v>
      </c>
      <c r="AG78">
        <f t="shared" si="364"/>
        <v>0</v>
      </c>
      <c r="AH78">
        <f t="shared" si="365"/>
        <v>20.108691544281601</v>
      </c>
      <c r="AI78">
        <f t="shared" si="366"/>
        <v>0</v>
      </c>
      <c r="AJ78">
        <f t="shared" si="367"/>
        <v>0</v>
      </c>
      <c r="AK78">
        <f t="shared" si="368"/>
        <v>0</v>
      </c>
      <c r="AL78">
        <f t="shared" si="369"/>
        <v>0</v>
      </c>
      <c r="AM78">
        <f t="shared" si="370"/>
        <v>0</v>
      </c>
      <c r="AN78">
        <f t="shared" si="371"/>
        <v>0</v>
      </c>
      <c r="AO78">
        <f t="shared" si="372"/>
        <v>0</v>
      </c>
      <c r="AP78">
        <f t="shared" si="373"/>
        <v>0</v>
      </c>
      <c r="AQ78">
        <f t="shared" si="374"/>
        <v>6.7083393171631354</v>
      </c>
      <c r="AR78">
        <f t="shared" si="375"/>
        <v>0</v>
      </c>
      <c r="AS78">
        <f t="shared" si="376"/>
        <v>0</v>
      </c>
      <c r="AT78">
        <f t="shared" si="377"/>
        <v>15.434577214080017</v>
      </c>
      <c r="AU78">
        <f t="shared" si="378"/>
        <v>0.54444032924921204</v>
      </c>
      <c r="AW78" s="16">
        <f>AVERAGE(AB78:AB80)</f>
        <v>54.495815453420384</v>
      </c>
      <c r="AX78" s="16">
        <f>AVERAGE(AC78:AC80)</f>
        <v>0</v>
      </c>
      <c r="AY78" s="16">
        <f>AVERAGE(AD78:AD80)</f>
        <v>0</v>
      </c>
      <c r="AZ78" s="16">
        <f>AVERAGE(AE78:AE80)</f>
        <v>0</v>
      </c>
      <c r="BA78" s="16">
        <f>AVERAGE(AF78:AF80)</f>
        <v>0</v>
      </c>
      <c r="BB78" s="16">
        <f t="shared" ref="BB78" si="424">AVERAGE(AG78:AG80)</f>
        <v>0</v>
      </c>
      <c r="BC78" s="16">
        <f t="shared" ref="BC78" si="425">AVERAGE(AH78:AH80)</f>
        <v>31.017013093454789</v>
      </c>
      <c r="BD78" s="16">
        <f t="shared" ref="BD78" si="426">AVERAGE(AI78:AI80)</f>
        <v>0</v>
      </c>
      <c r="BE78" s="16">
        <f t="shared" ref="BE78" si="427">AVERAGE(AJ78:AJ80)</f>
        <v>0</v>
      </c>
      <c r="BF78" s="16">
        <f t="shared" ref="BF78" si="428">AVERAGE(AK78:AK80)</f>
        <v>0</v>
      </c>
      <c r="BG78" s="16">
        <f t="shared" ref="BG78" si="429">AVERAGE(AL78:AL80)</f>
        <v>0</v>
      </c>
      <c r="BH78" s="16">
        <f t="shared" ref="BH78" si="430">AVERAGE(AM78:AM80)</f>
        <v>0</v>
      </c>
      <c r="BI78" s="16">
        <f t="shared" ref="BI78" si="431">AVERAGE(AN78:AN80)</f>
        <v>0</v>
      </c>
      <c r="BJ78" s="16">
        <f t="shared" ref="BJ78" si="432">AVERAGE(AO78:AO80)</f>
        <v>0.11055579412866502</v>
      </c>
      <c r="BK78" s="16">
        <f t="shared" ref="BK78" si="433">AVERAGE(AP78:AP80)</f>
        <v>0</v>
      </c>
      <c r="BL78" s="16">
        <f t="shared" ref="BL78" si="434">AVERAGE(AQ78:AQ80)</f>
        <v>3.7626123165302405</v>
      </c>
      <c r="BM78" s="16">
        <f t="shared" ref="BM78" si="435">AVERAGE(AR78:AR80)</f>
        <v>0</v>
      </c>
      <c r="BN78" s="16">
        <f t="shared" ref="BN78" si="436">AVERAGE(AS78:AS80)</f>
        <v>0</v>
      </c>
      <c r="BO78" s="16">
        <f t="shared" ref="BO78" si="437">AVERAGE(AT78:AT80)</f>
        <v>8.4082323552391269</v>
      </c>
      <c r="BP78" s="16">
        <f t="shared" ref="BP78" si="438">AVERAGE(AU78:AU80)</f>
        <v>2.2057709872267948</v>
      </c>
    </row>
    <row r="79" spans="1:68" x14ac:dyDescent="0.35">
      <c r="A79" s="1" t="s">
        <v>116</v>
      </c>
      <c r="B79" s="1">
        <v>77</v>
      </c>
      <c r="C79" s="1" t="s">
        <v>131</v>
      </c>
      <c r="D79" s="1" t="s">
        <v>130</v>
      </c>
      <c r="E79" s="3" t="s">
        <v>53</v>
      </c>
      <c r="F79" s="4">
        <v>2.0764303098000001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0.82180800240000007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0.14884036859999999</v>
      </c>
      <c r="V79" s="4">
        <v>0</v>
      </c>
      <c r="W79" s="4">
        <v>0</v>
      </c>
      <c r="X79" s="4">
        <v>0.1020713694</v>
      </c>
      <c r="Y79" s="4">
        <v>0.10099615680000001</v>
      </c>
      <c r="Z79" s="14">
        <f t="shared" si="358"/>
        <v>3.2501462070000002</v>
      </c>
      <c r="AB79">
        <f t="shared" si="359"/>
        <v>63.887289295721203</v>
      </c>
      <c r="AC79">
        <f t="shared" si="360"/>
        <v>0</v>
      </c>
      <c r="AD79">
        <f t="shared" si="361"/>
        <v>0</v>
      </c>
      <c r="AE79">
        <f t="shared" si="362"/>
        <v>0</v>
      </c>
      <c r="AF79">
        <f t="shared" si="363"/>
        <v>0</v>
      </c>
      <c r="AG79">
        <f t="shared" si="364"/>
        <v>0</v>
      </c>
      <c r="AH79">
        <f t="shared" si="365"/>
        <v>25.285262571573909</v>
      </c>
      <c r="AI79">
        <f t="shared" si="366"/>
        <v>0</v>
      </c>
      <c r="AJ79">
        <f t="shared" si="367"/>
        <v>0</v>
      </c>
      <c r="AK79">
        <f t="shared" si="368"/>
        <v>0</v>
      </c>
      <c r="AL79">
        <f t="shared" si="369"/>
        <v>0</v>
      </c>
      <c r="AM79">
        <f t="shared" si="370"/>
        <v>0</v>
      </c>
      <c r="AN79">
        <f t="shared" si="371"/>
        <v>0</v>
      </c>
      <c r="AO79">
        <f t="shared" si="372"/>
        <v>0</v>
      </c>
      <c r="AP79">
        <f t="shared" si="373"/>
        <v>0</v>
      </c>
      <c r="AQ79">
        <f t="shared" si="374"/>
        <v>4.5794976324275858</v>
      </c>
      <c r="AR79">
        <f t="shared" si="375"/>
        <v>0</v>
      </c>
      <c r="AS79">
        <f t="shared" si="376"/>
        <v>0</v>
      </c>
      <c r="AT79">
        <f t="shared" si="377"/>
        <v>3.1405162383207208</v>
      </c>
      <c r="AU79">
        <f t="shared" si="378"/>
        <v>3.1074342619565734</v>
      </c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</row>
    <row r="80" spans="1:68" x14ac:dyDescent="0.35">
      <c r="A80" s="1" t="s">
        <v>116</v>
      </c>
      <c r="B80" s="1">
        <v>78</v>
      </c>
      <c r="C80" s="1" t="s">
        <v>132</v>
      </c>
      <c r="D80" s="1" t="s">
        <v>130</v>
      </c>
      <c r="E80" s="3" t="s">
        <v>53</v>
      </c>
      <c r="F80" s="4">
        <v>1.7492947163999999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1.9663619976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1.3684809599999999E-2</v>
      </c>
      <c r="T80" s="4">
        <v>0</v>
      </c>
      <c r="U80" s="4">
        <v>0</v>
      </c>
      <c r="V80" s="4">
        <v>0</v>
      </c>
      <c r="W80" s="4">
        <v>0</v>
      </c>
      <c r="X80" s="4">
        <v>0.27436692360000003</v>
      </c>
      <c r="Y80" s="4">
        <v>0.12235589520000001</v>
      </c>
      <c r="Z80" s="14">
        <f t="shared" si="358"/>
        <v>4.1260643423999994</v>
      </c>
      <c r="AB80">
        <f t="shared" si="359"/>
        <v>42.396205469313919</v>
      </c>
      <c r="AC80">
        <f t="shared" si="360"/>
        <v>0</v>
      </c>
      <c r="AD80">
        <f t="shared" si="361"/>
        <v>0</v>
      </c>
      <c r="AE80">
        <f t="shared" si="362"/>
        <v>0</v>
      </c>
      <c r="AF80">
        <f t="shared" si="363"/>
        <v>0</v>
      </c>
      <c r="AG80">
        <f t="shared" si="364"/>
        <v>0</v>
      </c>
      <c r="AH80">
        <f t="shared" si="365"/>
        <v>47.657085164508857</v>
      </c>
      <c r="AI80">
        <f t="shared" si="366"/>
        <v>0</v>
      </c>
      <c r="AJ80">
        <f t="shared" si="367"/>
        <v>0</v>
      </c>
      <c r="AK80">
        <f t="shared" si="368"/>
        <v>0</v>
      </c>
      <c r="AL80">
        <f t="shared" si="369"/>
        <v>0</v>
      </c>
      <c r="AM80">
        <f t="shared" si="370"/>
        <v>0</v>
      </c>
      <c r="AN80">
        <f t="shared" si="371"/>
        <v>0</v>
      </c>
      <c r="AO80">
        <f t="shared" si="372"/>
        <v>0.33166738238599508</v>
      </c>
      <c r="AP80">
        <f t="shared" si="373"/>
        <v>0</v>
      </c>
      <c r="AQ80">
        <f t="shared" si="374"/>
        <v>0</v>
      </c>
      <c r="AR80">
        <f t="shared" si="375"/>
        <v>0</v>
      </c>
      <c r="AS80">
        <f t="shared" si="376"/>
        <v>0</v>
      </c>
      <c r="AT80">
        <f t="shared" si="377"/>
        <v>6.6496036133166445</v>
      </c>
      <c r="AU80">
        <f t="shared" si="378"/>
        <v>2.9654383704745988</v>
      </c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</row>
    <row r="81" spans="1:68" x14ac:dyDescent="0.35">
      <c r="A81" s="1" t="s">
        <v>116</v>
      </c>
      <c r="B81" s="1">
        <v>79</v>
      </c>
      <c r="C81" s="1" t="s">
        <v>133</v>
      </c>
      <c r="D81" s="1" t="s">
        <v>134</v>
      </c>
      <c r="E81" s="3" t="s">
        <v>27</v>
      </c>
      <c r="F81" s="4">
        <v>1.1156465628000001</v>
      </c>
      <c r="G81" s="4">
        <v>0</v>
      </c>
      <c r="H81" s="4">
        <v>0</v>
      </c>
      <c r="I81" s="4">
        <v>0</v>
      </c>
      <c r="J81" s="4">
        <v>3.2075736000000001E-2</v>
      </c>
      <c r="K81" s="4">
        <v>0</v>
      </c>
      <c r="L81" s="4">
        <v>0.57849893640000005</v>
      </c>
      <c r="M81" s="4">
        <v>0</v>
      </c>
      <c r="N81" s="4">
        <v>0</v>
      </c>
      <c r="O81" s="4">
        <v>0</v>
      </c>
      <c r="P81" s="4">
        <v>0.32371360560000007</v>
      </c>
      <c r="Q81" s="4">
        <v>0</v>
      </c>
      <c r="R81" s="4">
        <v>0</v>
      </c>
      <c r="S81" s="4">
        <v>0</v>
      </c>
      <c r="T81" s="4">
        <v>0</v>
      </c>
      <c r="U81" s="4">
        <v>0.23283654240000001</v>
      </c>
      <c r="V81" s="4">
        <v>0</v>
      </c>
      <c r="W81" s="4">
        <v>0</v>
      </c>
      <c r="X81" s="4">
        <v>0.62329893780000012</v>
      </c>
      <c r="Y81" s="4">
        <v>0</v>
      </c>
      <c r="Z81" s="14">
        <f t="shared" si="358"/>
        <v>2.9060703210000001</v>
      </c>
      <c r="AB81">
        <f t="shared" si="359"/>
        <v>38.39021219610742</v>
      </c>
      <c r="AC81">
        <f t="shared" si="360"/>
        <v>0</v>
      </c>
      <c r="AD81">
        <f t="shared" si="361"/>
        <v>0</v>
      </c>
      <c r="AE81">
        <f t="shared" si="362"/>
        <v>0</v>
      </c>
      <c r="AF81">
        <f t="shared" si="363"/>
        <v>1.1037494780567632</v>
      </c>
      <c r="AG81">
        <f t="shared" si="364"/>
        <v>0</v>
      </c>
      <c r="AH81">
        <f t="shared" si="365"/>
        <v>19.90657047145832</v>
      </c>
      <c r="AI81">
        <f t="shared" si="366"/>
        <v>0</v>
      </c>
      <c r="AJ81">
        <f t="shared" si="367"/>
        <v>0</v>
      </c>
      <c r="AK81">
        <f t="shared" si="368"/>
        <v>0</v>
      </c>
      <c r="AL81">
        <f t="shared" si="369"/>
        <v>11.139221348525655</v>
      </c>
      <c r="AM81">
        <f t="shared" si="370"/>
        <v>0</v>
      </c>
      <c r="AN81">
        <f t="shared" si="371"/>
        <v>0</v>
      </c>
      <c r="AO81">
        <f t="shared" si="372"/>
        <v>0</v>
      </c>
      <c r="AP81">
        <f t="shared" si="373"/>
        <v>0</v>
      </c>
      <c r="AQ81">
        <f t="shared" si="374"/>
        <v>8.0120753003622873</v>
      </c>
      <c r="AR81">
        <f t="shared" si="375"/>
        <v>0</v>
      </c>
      <c r="AS81">
        <f t="shared" si="376"/>
        <v>0</v>
      </c>
      <c r="AT81">
        <f t="shared" si="377"/>
        <v>21.448171205489565</v>
      </c>
      <c r="AU81">
        <f t="shared" si="378"/>
        <v>0</v>
      </c>
      <c r="AW81" s="16">
        <f>AVERAGE(AB81:AB83)</f>
        <v>22.873820473442311</v>
      </c>
      <c r="AX81" s="16">
        <f>AVERAGE(AC81:AC83)</f>
        <v>0</v>
      </c>
      <c r="AY81" s="16">
        <f>AVERAGE(AD81:AD83)</f>
        <v>0.4219280107864119</v>
      </c>
      <c r="AZ81" s="16">
        <f>AVERAGE(AE81:AE83)</f>
        <v>0.12802283920997931</v>
      </c>
      <c r="BA81" s="16">
        <f>AVERAGE(AF81:AF83)</f>
        <v>3.0024551837252269</v>
      </c>
      <c r="BB81" s="16">
        <f t="shared" ref="BB81" si="439">AVERAGE(AG81:AG83)</f>
        <v>0</v>
      </c>
      <c r="BC81" s="16">
        <f t="shared" ref="BC81" si="440">AVERAGE(AH81:AH83)</f>
        <v>17.54756484914753</v>
      </c>
      <c r="BD81" s="16">
        <f t="shared" ref="BD81" si="441">AVERAGE(AI81:AI83)</f>
        <v>0.99126946957292095</v>
      </c>
      <c r="BE81" s="16">
        <f t="shared" ref="BE81" si="442">AVERAGE(AJ81:AJ83)</f>
        <v>0</v>
      </c>
      <c r="BF81" s="16">
        <f t="shared" ref="BF81" si="443">AVERAGE(AK81:AK83)</f>
        <v>0</v>
      </c>
      <c r="BG81" s="16">
        <f t="shared" ref="BG81" si="444">AVERAGE(AL81:AL83)</f>
        <v>3.7130737828418852</v>
      </c>
      <c r="BH81" s="16">
        <f t="shared" ref="BH81" si="445">AVERAGE(AM81:AM83)</f>
        <v>0</v>
      </c>
      <c r="BI81" s="16">
        <f t="shared" ref="BI81" si="446">AVERAGE(AN81:AN83)</f>
        <v>0</v>
      </c>
      <c r="BJ81" s="16">
        <f t="shared" ref="BJ81" si="447">AVERAGE(AO81:AO83)</f>
        <v>0</v>
      </c>
      <c r="BK81" s="16">
        <f t="shared" ref="BK81" si="448">AVERAGE(AP81:AP83)</f>
        <v>5.7709270956141907</v>
      </c>
      <c r="BL81" s="16">
        <f t="shared" ref="BL81" si="449">AVERAGE(AQ81:AQ83)</f>
        <v>24.925985765331617</v>
      </c>
      <c r="BM81" s="16">
        <f t="shared" ref="BM81" si="450">AVERAGE(AR81:AR83)</f>
        <v>0</v>
      </c>
      <c r="BN81" s="16">
        <f t="shared" ref="BN81" si="451">AVERAGE(AS81:AS83)</f>
        <v>0</v>
      </c>
      <c r="BO81" s="16">
        <f t="shared" ref="BO81" si="452">AVERAGE(AT81:AT83)</f>
        <v>20.470494878473058</v>
      </c>
      <c r="BP81" s="16">
        <f t="shared" ref="BP81" si="453">AVERAGE(AU81:AU83)</f>
        <v>0.15445765185486615</v>
      </c>
    </row>
    <row r="82" spans="1:68" x14ac:dyDescent="0.35">
      <c r="A82" s="1" t="s">
        <v>116</v>
      </c>
      <c r="B82" s="1">
        <v>80</v>
      </c>
      <c r="C82" s="1" t="s">
        <v>135</v>
      </c>
      <c r="D82" s="1" t="s">
        <v>134</v>
      </c>
      <c r="E82" s="3" t="s">
        <v>27</v>
      </c>
      <c r="F82" s="4">
        <v>0.59684352420000009</v>
      </c>
      <c r="G82" s="4">
        <v>0</v>
      </c>
      <c r="H82" s="4">
        <v>4.4488197600000008E-2</v>
      </c>
      <c r="I82" s="4">
        <v>0</v>
      </c>
      <c r="J82" s="4">
        <v>0.106979334</v>
      </c>
      <c r="K82" s="4">
        <v>0</v>
      </c>
      <c r="L82" s="4">
        <v>0.83935462380000003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0.48641157180000005</v>
      </c>
      <c r="U82" s="4">
        <v>1.4243119043999999</v>
      </c>
      <c r="V82" s="4">
        <v>0</v>
      </c>
      <c r="W82" s="4">
        <v>0</v>
      </c>
      <c r="X82" s="4">
        <v>0</v>
      </c>
      <c r="Y82" s="4">
        <v>1.6286054400000003E-2</v>
      </c>
      <c r="Z82" s="14">
        <f t="shared" si="358"/>
        <v>3.5146752102000001</v>
      </c>
      <c r="AB82">
        <f t="shared" si="359"/>
        <v>16.981470221427291</v>
      </c>
      <c r="AC82">
        <f t="shared" si="360"/>
        <v>0</v>
      </c>
      <c r="AD82">
        <f t="shared" si="361"/>
        <v>1.2657840323592358</v>
      </c>
      <c r="AE82">
        <f t="shared" si="362"/>
        <v>0</v>
      </c>
      <c r="AF82">
        <f t="shared" si="363"/>
        <v>3.0437900403864746</v>
      </c>
      <c r="AG82">
        <f t="shared" si="364"/>
        <v>0</v>
      </c>
      <c r="AH82">
        <f t="shared" si="365"/>
        <v>23.881427830488985</v>
      </c>
      <c r="AI82">
        <f t="shared" si="366"/>
        <v>0</v>
      </c>
      <c r="AJ82">
        <f t="shared" si="367"/>
        <v>0</v>
      </c>
      <c r="AK82">
        <f t="shared" si="368"/>
        <v>0</v>
      </c>
      <c r="AL82">
        <f t="shared" si="369"/>
        <v>0</v>
      </c>
      <c r="AM82">
        <f t="shared" si="370"/>
        <v>0</v>
      </c>
      <c r="AN82">
        <f t="shared" si="371"/>
        <v>0</v>
      </c>
      <c r="AO82">
        <f t="shared" si="372"/>
        <v>0</v>
      </c>
      <c r="AP82">
        <f t="shared" si="373"/>
        <v>13.839445829542843</v>
      </c>
      <c r="AQ82">
        <f t="shared" si="374"/>
        <v>40.524709090230573</v>
      </c>
      <c r="AR82">
        <f t="shared" si="375"/>
        <v>0</v>
      </c>
      <c r="AS82">
        <f t="shared" si="376"/>
        <v>0</v>
      </c>
      <c r="AT82">
        <f t="shared" si="377"/>
        <v>0</v>
      </c>
      <c r="AU82">
        <f t="shared" si="378"/>
        <v>0.46337295556459845</v>
      </c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</row>
    <row r="83" spans="1:68" x14ac:dyDescent="0.35">
      <c r="A83" s="1" t="s">
        <v>116</v>
      </c>
      <c r="B83" s="1">
        <v>81</v>
      </c>
      <c r="C83" s="1" t="s">
        <v>136</v>
      </c>
      <c r="D83" s="1" t="s">
        <v>134</v>
      </c>
      <c r="E83" s="3" t="s">
        <v>27</v>
      </c>
      <c r="F83" s="4">
        <v>0.51599916060000006</v>
      </c>
      <c r="G83" s="4">
        <v>0</v>
      </c>
      <c r="H83" s="4">
        <v>0</v>
      </c>
      <c r="I83" s="4">
        <v>1.4957157600000003E-2</v>
      </c>
      <c r="J83" s="4">
        <v>0.18926097959999999</v>
      </c>
      <c r="K83" s="4">
        <v>0</v>
      </c>
      <c r="L83" s="4">
        <v>0.34483713495000001</v>
      </c>
      <c r="M83" s="4">
        <v>0.11581194240000001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0.135265515</v>
      </c>
      <c r="U83" s="4">
        <v>1.0219357763999999</v>
      </c>
      <c r="V83" s="4">
        <v>0</v>
      </c>
      <c r="W83" s="4">
        <v>0</v>
      </c>
      <c r="X83" s="4">
        <v>1.5563305758000003</v>
      </c>
      <c r="Y83" s="4">
        <v>0</v>
      </c>
      <c r="Z83" s="14">
        <f t="shared" si="358"/>
        <v>3.8943982423500003</v>
      </c>
      <c r="AB83">
        <f t="shared" si="359"/>
        <v>13.249779002792231</v>
      </c>
      <c r="AC83">
        <f t="shared" si="360"/>
        <v>0</v>
      </c>
      <c r="AD83">
        <f t="shared" si="361"/>
        <v>0</v>
      </c>
      <c r="AE83">
        <f t="shared" si="362"/>
        <v>0.38406851762993793</v>
      </c>
      <c r="AF83">
        <f t="shared" si="363"/>
        <v>4.8598260327324425</v>
      </c>
      <c r="AG83">
        <f t="shared" si="364"/>
        <v>0</v>
      </c>
      <c r="AH83">
        <f t="shared" si="365"/>
        <v>8.8546962454952887</v>
      </c>
      <c r="AI83">
        <f t="shared" si="366"/>
        <v>2.9738084087187628</v>
      </c>
      <c r="AJ83">
        <f t="shared" si="367"/>
        <v>0</v>
      </c>
      <c r="AK83">
        <f t="shared" si="368"/>
        <v>0</v>
      </c>
      <c r="AL83">
        <f t="shared" si="369"/>
        <v>0</v>
      </c>
      <c r="AM83">
        <f t="shared" si="370"/>
        <v>0</v>
      </c>
      <c r="AN83">
        <f t="shared" si="371"/>
        <v>0</v>
      </c>
      <c r="AO83">
        <f t="shared" si="372"/>
        <v>0</v>
      </c>
      <c r="AP83">
        <f t="shared" si="373"/>
        <v>3.4733354572997288</v>
      </c>
      <c r="AQ83">
        <f t="shared" si="374"/>
        <v>26.241172905401999</v>
      </c>
      <c r="AR83">
        <f t="shared" si="375"/>
        <v>0</v>
      </c>
      <c r="AS83">
        <f t="shared" si="376"/>
        <v>0</v>
      </c>
      <c r="AT83">
        <f t="shared" si="377"/>
        <v>39.963313429929606</v>
      </c>
      <c r="AU83">
        <f t="shared" si="378"/>
        <v>0</v>
      </c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</row>
    <row r="84" spans="1:68" x14ac:dyDescent="0.35">
      <c r="A84" s="1" t="s">
        <v>61</v>
      </c>
      <c r="B84" s="1">
        <v>82</v>
      </c>
      <c r="C84" s="1" t="s">
        <v>137</v>
      </c>
      <c r="D84" s="1" t="s">
        <v>138</v>
      </c>
      <c r="E84" s="3" t="s">
        <v>21</v>
      </c>
      <c r="F84" s="4">
        <v>0.45127434659999999</v>
      </c>
      <c r="G84" s="4">
        <v>0</v>
      </c>
      <c r="H84" s="4">
        <v>0</v>
      </c>
      <c r="I84" s="4">
        <v>0</v>
      </c>
      <c r="J84" s="4">
        <v>0.1128156414</v>
      </c>
      <c r="K84" s="4">
        <v>0</v>
      </c>
      <c r="L84" s="4">
        <v>1.2281920266000002</v>
      </c>
      <c r="M84" s="4">
        <v>0</v>
      </c>
      <c r="N84" s="4">
        <v>0</v>
      </c>
      <c r="O84" s="4">
        <v>0</v>
      </c>
      <c r="P84" s="4">
        <v>0</v>
      </c>
      <c r="Q84" s="4">
        <v>5.4257788200000004E-2</v>
      </c>
      <c r="R84" s="4">
        <v>0</v>
      </c>
      <c r="S84" s="4">
        <v>0</v>
      </c>
      <c r="T84" s="4">
        <v>0</v>
      </c>
      <c r="U84" s="4">
        <v>1.3700635409999999</v>
      </c>
      <c r="V84" s="4">
        <v>0</v>
      </c>
      <c r="W84" s="4">
        <v>0</v>
      </c>
      <c r="X84" s="4">
        <v>0.40721497740000001</v>
      </c>
      <c r="Y84" s="4">
        <v>0</v>
      </c>
      <c r="Z84" s="14">
        <f t="shared" si="358"/>
        <v>3.6238183211999999</v>
      </c>
      <c r="AB84">
        <f t="shared" si="359"/>
        <v>12.453006928078114</v>
      </c>
      <c r="AC84">
        <f t="shared" si="360"/>
        <v>0</v>
      </c>
      <c r="AD84">
        <f t="shared" si="361"/>
        <v>0</v>
      </c>
      <c r="AE84">
        <f t="shared" si="362"/>
        <v>0</v>
      </c>
      <c r="AF84">
        <f t="shared" si="363"/>
        <v>3.1131704572496881</v>
      </c>
      <c r="AG84">
        <f t="shared" si="364"/>
        <v>0</v>
      </c>
      <c r="AH84">
        <f t="shared" si="365"/>
        <v>33.892207548453854</v>
      </c>
      <c r="AI84">
        <f t="shared" si="366"/>
        <v>0</v>
      </c>
      <c r="AJ84">
        <f t="shared" si="367"/>
        <v>0</v>
      </c>
      <c r="AK84">
        <f t="shared" si="368"/>
        <v>0</v>
      </c>
      <c r="AL84">
        <f t="shared" si="369"/>
        <v>0</v>
      </c>
      <c r="AM84">
        <f t="shared" si="370"/>
        <v>1.4972546466411414</v>
      </c>
      <c r="AN84">
        <f t="shared" si="371"/>
        <v>0</v>
      </c>
      <c r="AO84">
        <f t="shared" si="372"/>
        <v>0</v>
      </c>
      <c r="AP84">
        <f t="shared" si="373"/>
        <v>0</v>
      </c>
      <c r="AQ84">
        <f t="shared" si="374"/>
        <v>37.807180701771877</v>
      </c>
      <c r="AR84">
        <f t="shared" si="375"/>
        <v>0</v>
      </c>
      <c r="AS84">
        <f t="shared" si="376"/>
        <v>0</v>
      </c>
      <c r="AT84">
        <f t="shared" si="377"/>
        <v>11.237179717805331</v>
      </c>
      <c r="AU84">
        <f t="shared" si="378"/>
        <v>0</v>
      </c>
      <c r="AW84" s="16">
        <f>AVERAGE(AB84:AB86)</f>
        <v>12.352438703022925</v>
      </c>
      <c r="AX84" s="16">
        <f>AVERAGE(AC84:AC86)</f>
        <v>0</v>
      </c>
      <c r="AY84" s="16">
        <f>AVERAGE(AD84:AD86)</f>
        <v>0</v>
      </c>
      <c r="AZ84" s="16">
        <f>AVERAGE(AE84:AE86)</f>
        <v>0</v>
      </c>
      <c r="BA84" s="16">
        <f>AVERAGE(AF84:AF86)</f>
        <v>7.3838033911835232</v>
      </c>
      <c r="BB84" s="16">
        <f t="shared" ref="BB84" si="454">AVERAGE(AG84:AG86)</f>
        <v>0</v>
      </c>
      <c r="BC84" s="16">
        <f t="shared" ref="BC84" si="455">AVERAGE(AH84:AH86)</f>
        <v>18.54234558276794</v>
      </c>
      <c r="BD84" s="16">
        <f t="shared" ref="BD84" si="456">AVERAGE(AI84:AI86)</f>
        <v>0</v>
      </c>
      <c r="BE84" s="16">
        <f t="shared" ref="BE84" si="457">AVERAGE(AJ84:AJ86)</f>
        <v>0</v>
      </c>
      <c r="BF84" s="16">
        <f t="shared" ref="BF84" si="458">AVERAGE(AK84:AK86)</f>
        <v>0</v>
      </c>
      <c r="BG84" s="16">
        <f t="shared" ref="BG84" si="459">AVERAGE(AL84:AL86)</f>
        <v>0.84728721803081031</v>
      </c>
      <c r="BH84" s="16">
        <f t="shared" ref="BH84" si="460">AVERAGE(AM84:AM86)</f>
        <v>0.61974756073175163</v>
      </c>
      <c r="BI84" s="16">
        <f t="shared" ref="BI84" si="461">AVERAGE(AN84:AN86)</f>
        <v>0</v>
      </c>
      <c r="BJ84" s="16">
        <f t="shared" ref="BJ84" si="462">AVERAGE(AO84:AO86)</f>
        <v>0</v>
      </c>
      <c r="BK84" s="16">
        <f t="shared" ref="BK84" si="463">AVERAGE(AP84:AP86)</f>
        <v>1.2099785262503244</v>
      </c>
      <c r="BL84" s="16">
        <f t="shared" ref="BL84" si="464">AVERAGE(AQ84:AQ86)</f>
        <v>52.392636638272769</v>
      </c>
      <c r="BM84" s="16">
        <f t="shared" ref="BM84" si="465">AVERAGE(AR84:AR86)</f>
        <v>0</v>
      </c>
      <c r="BN84" s="16">
        <f t="shared" ref="BN84" si="466">AVERAGE(AS84:AS86)</f>
        <v>0</v>
      </c>
      <c r="BO84" s="16">
        <f t="shared" ref="BO84" si="467">AVERAGE(AT84:AT86)</f>
        <v>6.5092025043641941</v>
      </c>
      <c r="BP84" s="16">
        <f t="shared" ref="BP84" si="468">AVERAGE(AU84:AU86)</f>
        <v>0.1425598753757536</v>
      </c>
    </row>
    <row r="85" spans="1:68" x14ac:dyDescent="0.35">
      <c r="A85" s="1" t="s">
        <v>61</v>
      </c>
      <c r="B85" s="1">
        <v>83</v>
      </c>
      <c r="C85" s="1" t="s">
        <v>139</v>
      </c>
      <c r="D85" s="1" t="s">
        <v>138</v>
      </c>
      <c r="E85" s="3" t="s">
        <v>21</v>
      </c>
      <c r="F85" s="4">
        <v>0.53993843534399999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0.25738029240000004</v>
      </c>
      <c r="M85" s="4">
        <v>0</v>
      </c>
      <c r="N85" s="4">
        <v>0</v>
      </c>
      <c r="O85" s="4">
        <v>0</v>
      </c>
      <c r="P85" s="4">
        <v>0</v>
      </c>
      <c r="Q85" s="4">
        <v>1.4957157600000003E-2</v>
      </c>
      <c r="R85" s="4">
        <v>0</v>
      </c>
      <c r="S85" s="4">
        <v>0</v>
      </c>
      <c r="T85" s="4">
        <v>0.14998705260000003</v>
      </c>
      <c r="U85" s="4">
        <v>3.1183600139999998</v>
      </c>
      <c r="V85" s="4">
        <v>0</v>
      </c>
      <c r="W85" s="4">
        <v>0</v>
      </c>
      <c r="X85" s="4">
        <v>3.3653604599999998E-2</v>
      </c>
      <c r="Y85" s="4">
        <v>1.76715E-2</v>
      </c>
      <c r="Z85" s="14">
        <f t="shared" si="358"/>
        <v>4.1319480565440001</v>
      </c>
      <c r="AB85">
        <f t="shared" si="359"/>
        <v>13.067406171499879</v>
      </c>
      <c r="AC85">
        <f t="shared" si="360"/>
        <v>0</v>
      </c>
      <c r="AD85">
        <f t="shared" si="361"/>
        <v>0</v>
      </c>
      <c r="AE85">
        <f t="shared" si="362"/>
        <v>0</v>
      </c>
      <c r="AF85">
        <f t="shared" si="363"/>
        <v>0</v>
      </c>
      <c r="AG85">
        <f t="shared" si="364"/>
        <v>0</v>
      </c>
      <c r="AH85">
        <f t="shared" si="365"/>
        <v>6.2290302026515629</v>
      </c>
      <c r="AI85">
        <f t="shared" si="366"/>
        <v>0</v>
      </c>
      <c r="AJ85">
        <f t="shared" si="367"/>
        <v>0</v>
      </c>
      <c r="AK85">
        <f t="shared" si="368"/>
        <v>0</v>
      </c>
      <c r="AL85">
        <f t="shared" si="369"/>
        <v>0</v>
      </c>
      <c r="AM85">
        <f t="shared" si="370"/>
        <v>0.36198803555411369</v>
      </c>
      <c r="AN85">
        <f t="shared" si="371"/>
        <v>0</v>
      </c>
      <c r="AO85">
        <f t="shared" si="372"/>
        <v>0</v>
      </c>
      <c r="AP85">
        <f t="shared" si="373"/>
        <v>3.6299355787509731</v>
      </c>
      <c r="AQ85">
        <f t="shared" si="374"/>
        <v>75.469487305419449</v>
      </c>
      <c r="AR85">
        <f t="shared" si="375"/>
        <v>0</v>
      </c>
      <c r="AS85">
        <f t="shared" si="376"/>
        <v>0</v>
      </c>
      <c r="AT85">
        <f t="shared" si="377"/>
        <v>0.81447307999675556</v>
      </c>
      <c r="AU85">
        <f t="shared" si="378"/>
        <v>0.42767962612726079</v>
      </c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</row>
    <row r="86" spans="1:68" x14ac:dyDescent="0.35">
      <c r="A86" s="1" t="s">
        <v>61</v>
      </c>
      <c r="B86" s="1">
        <v>84</v>
      </c>
      <c r="C86" s="1" t="s">
        <v>140</v>
      </c>
      <c r="D86" s="1" t="s">
        <v>138</v>
      </c>
      <c r="E86" s="3" t="s">
        <v>21</v>
      </c>
      <c r="F86" s="4">
        <v>0.42553050540000009</v>
      </c>
      <c r="G86" s="4">
        <v>0</v>
      </c>
      <c r="H86" s="4">
        <v>0</v>
      </c>
      <c r="I86" s="4">
        <v>0</v>
      </c>
      <c r="J86" s="4">
        <v>0.70221200280000007</v>
      </c>
      <c r="K86" s="4">
        <v>0</v>
      </c>
      <c r="L86" s="4">
        <v>0.57192042600000004</v>
      </c>
      <c r="M86" s="4">
        <v>0</v>
      </c>
      <c r="N86" s="4">
        <v>0</v>
      </c>
      <c r="O86" s="4">
        <v>0</v>
      </c>
      <c r="P86" s="4">
        <v>9.3754768800000013E-2</v>
      </c>
      <c r="Q86" s="4">
        <v>0</v>
      </c>
      <c r="R86" s="4">
        <v>0</v>
      </c>
      <c r="S86" s="4">
        <v>0</v>
      </c>
      <c r="T86" s="4">
        <v>0</v>
      </c>
      <c r="U86" s="4">
        <v>1.6192662486</v>
      </c>
      <c r="V86" s="4">
        <v>0</v>
      </c>
      <c r="W86" s="4">
        <v>0</v>
      </c>
      <c r="X86" s="4">
        <v>0.27574530060000002</v>
      </c>
      <c r="Y86" s="4">
        <v>0</v>
      </c>
      <c r="Z86" s="14">
        <f t="shared" si="358"/>
        <v>3.6884292522000002</v>
      </c>
      <c r="AB86">
        <f t="shared" si="359"/>
        <v>11.53690300949078</v>
      </c>
      <c r="AC86">
        <f t="shared" si="360"/>
        <v>0</v>
      </c>
      <c r="AD86">
        <f t="shared" si="361"/>
        <v>0</v>
      </c>
      <c r="AE86">
        <f t="shared" si="362"/>
        <v>0</v>
      </c>
      <c r="AF86">
        <f t="shared" si="363"/>
        <v>19.038239716300883</v>
      </c>
      <c r="AG86">
        <f t="shared" si="364"/>
        <v>0</v>
      </c>
      <c r="AH86">
        <f t="shared" si="365"/>
        <v>15.505798997198401</v>
      </c>
      <c r="AI86">
        <f t="shared" si="366"/>
        <v>0</v>
      </c>
      <c r="AJ86">
        <f t="shared" si="367"/>
        <v>0</v>
      </c>
      <c r="AK86">
        <f t="shared" si="368"/>
        <v>0</v>
      </c>
      <c r="AL86">
        <f t="shared" si="369"/>
        <v>2.5418616540924308</v>
      </c>
      <c r="AM86">
        <f t="shared" si="370"/>
        <v>0</v>
      </c>
      <c r="AN86">
        <f t="shared" si="371"/>
        <v>0</v>
      </c>
      <c r="AO86">
        <f t="shared" si="372"/>
        <v>0</v>
      </c>
      <c r="AP86">
        <f t="shared" si="373"/>
        <v>0</v>
      </c>
      <c r="AQ86">
        <f t="shared" si="374"/>
        <v>43.901241907627011</v>
      </c>
      <c r="AR86">
        <f t="shared" si="375"/>
        <v>0</v>
      </c>
      <c r="AS86">
        <f t="shared" si="376"/>
        <v>0</v>
      </c>
      <c r="AT86">
        <f t="shared" si="377"/>
        <v>7.4759547152904986</v>
      </c>
      <c r="AU86">
        <f t="shared" si="378"/>
        <v>0</v>
      </c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</row>
    <row r="87" spans="1:68" x14ac:dyDescent="0.35">
      <c r="A87" s="1" t="s">
        <v>61</v>
      </c>
      <c r="B87" s="1">
        <v>85</v>
      </c>
      <c r="C87" s="1" t="s">
        <v>141</v>
      </c>
      <c r="D87" s="1" t="s">
        <v>142</v>
      </c>
      <c r="E87" s="3" t="s">
        <v>27</v>
      </c>
      <c r="F87" s="4">
        <v>0.34993811159999999</v>
      </c>
      <c r="G87" s="4">
        <v>4.5115732199999994E-2</v>
      </c>
      <c r="H87" s="4">
        <v>0</v>
      </c>
      <c r="I87" s="4">
        <v>0</v>
      </c>
      <c r="J87" s="4">
        <v>0</v>
      </c>
      <c r="K87" s="4">
        <v>0</v>
      </c>
      <c r="L87" s="4">
        <v>0.51547608420000002</v>
      </c>
      <c r="M87" s="4">
        <v>0</v>
      </c>
      <c r="N87" s="4">
        <v>3.4966793400000001E-2</v>
      </c>
      <c r="O87" s="4">
        <v>0</v>
      </c>
      <c r="P87" s="4">
        <v>0</v>
      </c>
      <c r="Q87" s="4">
        <v>0</v>
      </c>
      <c r="R87" s="4">
        <v>0</v>
      </c>
      <c r="S87" s="4">
        <v>0.179966556</v>
      </c>
      <c r="T87" s="4">
        <v>0.33456704819999994</v>
      </c>
      <c r="U87" s="4">
        <v>0.57447847379999994</v>
      </c>
      <c r="V87" s="4">
        <v>0</v>
      </c>
      <c r="W87" s="4">
        <v>0</v>
      </c>
      <c r="X87" s="4">
        <v>0</v>
      </c>
      <c r="Y87" s="4">
        <v>4.7211964799999999E-2</v>
      </c>
      <c r="Z87" s="14">
        <f t="shared" si="358"/>
        <v>2.0817207642</v>
      </c>
      <c r="AB87">
        <f t="shared" si="359"/>
        <v>16.810040886270368</v>
      </c>
      <c r="AC87">
        <f t="shared" si="360"/>
        <v>2.1672326555928771</v>
      </c>
      <c r="AD87">
        <f t="shared" si="361"/>
        <v>0</v>
      </c>
      <c r="AE87">
        <f t="shared" si="362"/>
        <v>0</v>
      </c>
      <c r="AF87">
        <f t="shared" si="363"/>
        <v>0</v>
      </c>
      <c r="AG87">
        <f t="shared" si="364"/>
        <v>0</v>
      </c>
      <c r="AH87">
        <f t="shared" si="365"/>
        <v>24.762018665750119</v>
      </c>
      <c r="AI87">
        <f t="shared" si="366"/>
        <v>0</v>
      </c>
      <c r="AJ87">
        <f t="shared" si="367"/>
        <v>1.6797062315626012</v>
      </c>
      <c r="AK87">
        <f t="shared" si="368"/>
        <v>0</v>
      </c>
      <c r="AL87">
        <f t="shared" si="369"/>
        <v>0</v>
      </c>
      <c r="AM87">
        <f t="shared" si="370"/>
        <v>0</v>
      </c>
      <c r="AN87">
        <f t="shared" si="371"/>
        <v>0</v>
      </c>
      <c r="AO87">
        <f t="shared" si="372"/>
        <v>8.6450862716528025</v>
      </c>
      <c r="AP87">
        <f t="shared" si="373"/>
        <v>16.071658310454197</v>
      </c>
      <c r="AQ87">
        <f t="shared" si="374"/>
        <v>27.596327215421258</v>
      </c>
      <c r="AR87">
        <f t="shared" si="375"/>
        <v>0</v>
      </c>
      <c r="AS87">
        <f t="shared" si="376"/>
        <v>0</v>
      </c>
      <c r="AT87">
        <f t="shared" si="377"/>
        <v>0</v>
      </c>
      <c r="AU87">
        <f t="shared" si="378"/>
        <v>2.267929763295772</v>
      </c>
      <c r="AW87" s="16">
        <f>AVERAGE(AB87:AB89)</f>
        <v>11.830921519050667</v>
      </c>
      <c r="AX87" s="16">
        <f>AVERAGE(AC87:AC89)</f>
        <v>0.72241088519762575</v>
      </c>
      <c r="AY87" s="16">
        <f>AVERAGE(AD87:AD89)</f>
        <v>0</v>
      </c>
      <c r="AZ87" s="16">
        <f>AVERAGE(AE87:AE89)</f>
        <v>0.27346419548370321</v>
      </c>
      <c r="BA87" s="16">
        <f>AVERAGE(AF87:AF89)</f>
        <v>2.1855053618332536</v>
      </c>
      <c r="BB87" s="16">
        <f t="shared" ref="BB87" si="469">AVERAGE(AG87:AG89)</f>
        <v>1.1366093945565316</v>
      </c>
      <c r="BC87" s="16">
        <f t="shared" ref="BC87" si="470">AVERAGE(AH87:AH89)</f>
        <v>20.488476906480969</v>
      </c>
      <c r="BD87" s="16">
        <f t="shared" ref="BD87" si="471">AVERAGE(AI87:AI89)</f>
        <v>0.36331233428404114</v>
      </c>
      <c r="BE87" s="16">
        <f t="shared" ref="BE87" si="472">AVERAGE(AJ87:AJ89)</f>
        <v>0.55990207718753371</v>
      </c>
      <c r="BF87" s="16">
        <f t="shared" ref="BF87" si="473">AVERAGE(AK87:AK89)</f>
        <v>0</v>
      </c>
      <c r="BG87" s="16">
        <f t="shared" ref="BG87" si="474">AVERAGE(AL87:AL89)</f>
        <v>0.44024036165341057</v>
      </c>
      <c r="BH87" s="16">
        <f t="shared" ref="BH87" si="475">AVERAGE(AM87:AM89)</f>
        <v>0</v>
      </c>
      <c r="BI87" s="16">
        <f t="shared" ref="BI87" si="476">AVERAGE(AN87:AN89)</f>
        <v>0</v>
      </c>
      <c r="BJ87" s="16">
        <f t="shared" ref="BJ87" si="477">AVERAGE(AO87:AO89)</f>
        <v>17.182489724837684</v>
      </c>
      <c r="BK87" s="16">
        <f t="shared" ref="BK87" si="478">AVERAGE(AP87:AP89)</f>
        <v>13.459158545482815</v>
      </c>
      <c r="BL87" s="16">
        <f t="shared" ref="BL87" si="479">AVERAGE(AQ87:AQ89)</f>
        <v>20.462644621985589</v>
      </c>
      <c r="BM87" s="16">
        <f t="shared" ref="BM87" si="480">AVERAGE(AR87:AR89)</f>
        <v>0</v>
      </c>
      <c r="BN87" s="16">
        <f t="shared" ref="BN87" si="481">AVERAGE(AS87:AS89)</f>
        <v>0</v>
      </c>
      <c r="BO87" s="16">
        <f t="shared" ref="BO87" si="482">AVERAGE(AT87:AT89)</f>
        <v>10.138887484200907</v>
      </c>
      <c r="BP87" s="16">
        <f t="shared" ref="BP87" si="483">AVERAGE(AU87:AU89)</f>
        <v>0.75597658776525734</v>
      </c>
    </row>
    <row r="88" spans="1:68" x14ac:dyDescent="0.35">
      <c r="A88" s="1" t="s">
        <v>61</v>
      </c>
      <c r="B88" s="1">
        <v>86</v>
      </c>
      <c r="C88" s="1" t="s">
        <v>143</v>
      </c>
      <c r="D88" s="1" t="s">
        <v>142</v>
      </c>
      <c r="E88" s="3" t="s">
        <v>27</v>
      </c>
      <c r="F88" s="4">
        <v>0.31055737020000007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0.37193873640000003</v>
      </c>
      <c r="M88" s="4">
        <v>2.4884613600000004E-2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0.45950926560000005</v>
      </c>
      <c r="T88" s="4">
        <v>0.35882648340000001</v>
      </c>
      <c r="U88" s="4">
        <v>0.46790204999999996</v>
      </c>
      <c r="V88" s="4">
        <v>0</v>
      </c>
      <c r="W88" s="4">
        <v>0</v>
      </c>
      <c r="X88" s="4">
        <v>0.28950550860000002</v>
      </c>
      <c r="Y88" s="4">
        <v>0</v>
      </c>
      <c r="Z88" s="14">
        <f t="shared" si="358"/>
        <v>2.2831240278000005</v>
      </c>
      <c r="AB88">
        <f t="shared" si="359"/>
        <v>13.602299586818795</v>
      </c>
      <c r="AC88">
        <f t="shared" si="360"/>
        <v>0</v>
      </c>
      <c r="AD88">
        <f t="shared" si="361"/>
        <v>0</v>
      </c>
      <c r="AE88">
        <f t="shared" si="362"/>
        <v>0</v>
      </c>
      <c r="AF88">
        <f t="shared" si="363"/>
        <v>0</v>
      </c>
      <c r="AG88">
        <f t="shared" si="364"/>
        <v>0</v>
      </c>
      <c r="AH88">
        <f t="shared" si="365"/>
        <v>16.290781046984868</v>
      </c>
      <c r="AI88">
        <f t="shared" si="366"/>
        <v>1.0899370028521234</v>
      </c>
      <c r="AJ88">
        <f t="shared" si="367"/>
        <v>0</v>
      </c>
      <c r="AK88">
        <f t="shared" si="368"/>
        <v>0</v>
      </c>
      <c r="AL88">
        <f t="shared" si="369"/>
        <v>0</v>
      </c>
      <c r="AM88">
        <f t="shared" si="370"/>
        <v>0</v>
      </c>
      <c r="AN88">
        <f t="shared" si="371"/>
        <v>0</v>
      </c>
      <c r="AO88">
        <f t="shared" si="372"/>
        <v>20.126338298089721</v>
      </c>
      <c r="AP88">
        <f t="shared" si="373"/>
        <v>15.716469146258438</v>
      </c>
      <c r="AQ88">
        <f t="shared" si="374"/>
        <v>20.493939194835008</v>
      </c>
      <c r="AR88">
        <f t="shared" si="375"/>
        <v>0</v>
      </c>
      <c r="AS88">
        <f t="shared" si="376"/>
        <v>0</v>
      </c>
      <c r="AT88">
        <f t="shared" si="377"/>
        <v>12.680235724161037</v>
      </c>
      <c r="AU88">
        <f t="shared" si="378"/>
        <v>0</v>
      </c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</row>
    <row r="89" spans="1:68" x14ac:dyDescent="0.35">
      <c r="A89" s="1" t="s">
        <v>61</v>
      </c>
      <c r="B89" s="1">
        <v>87</v>
      </c>
      <c r="C89" s="1" t="s">
        <v>144</v>
      </c>
      <c r="D89" s="1" t="s">
        <v>142</v>
      </c>
      <c r="E89" s="3" t="s">
        <v>27</v>
      </c>
      <c r="F89" s="4">
        <v>0.11685102659999999</v>
      </c>
      <c r="G89" s="4">
        <v>0</v>
      </c>
      <c r="H89" s="4">
        <v>0</v>
      </c>
      <c r="I89" s="4">
        <v>1.8869235000000002E-2</v>
      </c>
      <c r="J89" s="4">
        <v>0.1508015124</v>
      </c>
      <c r="K89" s="4">
        <v>7.8426902400000012E-2</v>
      </c>
      <c r="L89" s="4">
        <v>0.46949562660000005</v>
      </c>
      <c r="M89" s="4">
        <v>0</v>
      </c>
      <c r="N89" s="4">
        <v>0</v>
      </c>
      <c r="O89" s="4">
        <v>0</v>
      </c>
      <c r="P89" s="4">
        <v>3.0376915800000001E-2</v>
      </c>
      <c r="Q89" s="4">
        <v>0</v>
      </c>
      <c r="R89" s="4">
        <v>0</v>
      </c>
      <c r="S89" s="4">
        <v>0.52385473139999994</v>
      </c>
      <c r="T89" s="4">
        <v>0.19755715980000005</v>
      </c>
      <c r="U89" s="4">
        <v>0.30584968260000001</v>
      </c>
      <c r="V89" s="4">
        <v>0</v>
      </c>
      <c r="W89" s="4">
        <v>0</v>
      </c>
      <c r="X89" s="4">
        <v>0.40794225780000004</v>
      </c>
      <c r="Y89" s="4">
        <v>0</v>
      </c>
      <c r="Z89" s="14">
        <f t="shared" si="358"/>
        <v>2.3000250504000004</v>
      </c>
      <c r="AB89">
        <f t="shared" si="359"/>
        <v>5.0804240840628356</v>
      </c>
      <c r="AC89">
        <f t="shared" si="360"/>
        <v>0</v>
      </c>
      <c r="AD89">
        <f t="shared" si="361"/>
        <v>0</v>
      </c>
      <c r="AE89">
        <f t="shared" si="362"/>
        <v>0.82039258645110968</v>
      </c>
      <c r="AF89">
        <f t="shared" si="363"/>
        <v>6.5565160854997613</v>
      </c>
      <c r="AG89">
        <f t="shared" si="364"/>
        <v>3.4098281836695952</v>
      </c>
      <c r="AH89">
        <f t="shared" si="365"/>
        <v>20.412631006707922</v>
      </c>
      <c r="AI89">
        <f t="shared" si="366"/>
        <v>0</v>
      </c>
      <c r="AJ89">
        <f t="shared" si="367"/>
        <v>0</v>
      </c>
      <c r="AK89">
        <f t="shared" si="368"/>
        <v>0</v>
      </c>
      <c r="AL89">
        <f t="shared" si="369"/>
        <v>1.3207210849602318</v>
      </c>
      <c r="AM89">
        <f t="shared" si="370"/>
        <v>0</v>
      </c>
      <c r="AN89">
        <f t="shared" si="371"/>
        <v>0</v>
      </c>
      <c r="AO89">
        <f t="shared" si="372"/>
        <v>22.776044604770529</v>
      </c>
      <c r="AP89">
        <f t="shared" si="373"/>
        <v>8.5893481797358096</v>
      </c>
      <c r="AQ89">
        <f t="shared" si="374"/>
        <v>13.297667455700507</v>
      </c>
      <c r="AR89">
        <f t="shared" si="375"/>
        <v>0</v>
      </c>
      <c r="AS89">
        <f t="shared" si="376"/>
        <v>0</v>
      </c>
      <c r="AT89">
        <f t="shared" si="377"/>
        <v>17.736426728441685</v>
      </c>
      <c r="AU89">
        <f t="shared" si="378"/>
        <v>0</v>
      </c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</row>
    <row r="90" spans="1:68" x14ac:dyDescent="0.35">
      <c r="A90" s="1" t="s">
        <v>61</v>
      </c>
      <c r="B90" s="1">
        <v>88</v>
      </c>
      <c r="C90" s="1" t="s">
        <v>145</v>
      </c>
      <c r="D90" s="1" t="s">
        <v>146</v>
      </c>
      <c r="E90" s="3" t="s">
        <v>21</v>
      </c>
      <c r="F90" s="4">
        <v>0.22053717840000001</v>
      </c>
      <c r="G90" s="4">
        <v>0</v>
      </c>
      <c r="H90" s="4">
        <v>0</v>
      </c>
      <c r="I90" s="4">
        <v>0</v>
      </c>
      <c r="J90" s="4">
        <v>0</v>
      </c>
      <c r="K90" s="4">
        <v>2.2965881400000002E-2</v>
      </c>
      <c r="L90" s="4">
        <v>0.44961401099999998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4.1831189399999996E-2</v>
      </c>
      <c r="U90" s="4">
        <v>1.5390926166000001</v>
      </c>
      <c r="V90" s="4">
        <v>0</v>
      </c>
      <c r="W90" s="4">
        <v>0</v>
      </c>
      <c r="X90" s="4">
        <v>0</v>
      </c>
      <c r="Y90" s="4">
        <v>0</v>
      </c>
      <c r="Z90" s="14">
        <f t="shared" si="358"/>
        <v>2.2740408768</v>
      </c>
      <c r="AB90">
        <f t="shared" si="359"/>
        <v>9.698030525745736</v>
      </c>
      <c r="AC90">
        <f t="shared" si="360"/>
        <v>0</v>
      </c>
      <c r="AD90">
        <f t="shared" si="361"/>
        <v>0</v>
      </c>
      <c r="AE90">
        <f t="shared" si="362"/>
        <v>0</v>
      </c>
      <c r="AF90">
        <f t="shared" si="363"/>
        <v>0</v>
      </c>
      <c r="AG90">
        <f t="shared" si="364"/>
        <v>1.0099150650412794</v>
      </c>
      <c r="AH90">
        <f t="shared" si="365"/>
        <v>19.77158878659608</v>
      </c>
      <c r="AI90">
        <f t="shared" si="366"/>
        <v>0</v>
      </c>
      <c r="AJ90">
        <f t="shared" si="367"/>
        <v>0</v>
      </c>
      <c r="AK90">
        <f t="shared" si="368"/>
        <v>0</v>
      </c>
      <c r="AL90">
        <f t="shared" si="369"/>
        <v>0</v>
      </c>
      <c r="AM90">
        <f t="shared" si="370"/>
        <v>0</v>
      </c>
      <c r="AN90">
        <f t="shared" si="371"/>
        <v>0</v>
      </c>
      <c r="AO90">
        <f t="shared" si="372"/>
        <v>0</v>
      </c>
      <c r="AP90">
        <f t="shared" si="373"/>
        <v>1.8395091234623844</v>
      </c>
      <c r="AQ90">
        <f t="shared" si="374"/>
        <v>67.680956499154519</v>
      </c>
      <c r="AR90">
        <f t="shared" si="375"/>
        <v>0</v>
      </c>
      <c r="AS90">
        <f t="shared" si="376"/>
        <v>0</v>
      </c>
      <c r="AT90">
        <f t="shared" si="377"/>
        <v>0</v>
      </c>
      <c r="AU90">
        <f t="shared" si="378"/>
        <v>0</v>
      </c>
      <c r="AW90" s="16">
        <f>AVERAGE(AB90:AB92)</f>
        <v>8.4860714436341436</v>
      </c>
      <c r="AX90" s="16">
        <f>AVERAGE(AC90:AC92)</f>
        <v>0</v>
      </c>
      <c r="AY90" s="16">
        <f>AVERAGE(AD90:AD92)</f>
        <v>0</v>
      </c>
      <c r="AZ90" s="16">
        <f>AVERAGE(AE90:AE92)</f>
        <v>0</v>
      </c>
      <c r="BA90" s="16">
        <f>AVERAGE(AF90:AF92)</f>
        <v>6.9368572142065519</v>
      </c>
      <c r="BB90" s="16">
        <f t="shared" ref="BB90" si="484">AVERAGE(AG90:AG92)</f>
        <v>1.6092961379817676</v>
      </c>
      <c r="BC90" s="16">
        <f t="shared" ref="BC90" si="485">AVERAGE(AH90:AH92)</f>
        <v>10.109147941906656</v>
      </c>
      <c r="BD90" s="16">
        <f t="shared" ref="BD90" si="486">AVERAGE(AI90:AI92)</f>
        <v>0</v>
      </c>
      <c r="BE90" s="16">
        <f t="shared" ref="BE90" si="487">AVERAGE(AJ90:AJ92)</f>
        <v>0</v>
      </c>
      <c r="BF90" s="16">
        <f t="shared" ref="BF90" si="488">AVERAGE(AK90:AK92)</f>
        <v>0</v>
      </c>
      <c r="BG90" s="16">
        <f t="shared" ref="BG90" si="489">AVERAGE(AL90:AL92)</f>
        <v>0</v>
      </c>
      <c r="BH90" s="16">
        <f t="shared" ref="BH90" si="490">AVERAGE(AM90:AM92)</f>
        <v>0.72485130884657389</v>
      </c>
      <c r="BI90" s="16">
        <f t="shared" ref="BI90" si="491">AVERAGE(AN90:AN92)</f>
        <v>0</v>
      </c>
      <c r="BJ90" s="16">
        <f t="shared" ref="BJ90" si="492">AVERAGE(AO90:AO92)</f>
        <v>0</v>
      </c>
      <c r="BK90" s="16">
        <f t="shared" ref="BK90" si="493">AVERAGE(AP90:AP92)</f>
        <v>2.0448019364476586</v>
      </c>
      <c r="BL90" s="16">
        <f t="shared" ref="BL90" si="494">AVERAGE(AQ90:AQ92)</f>
        <v>69.145290756350661</v>
      </c>
      <c r="BM90" s="16">
        <f t="shared" ref="BM90" si="495">AVERAGE(AR90:AR92)</f>
        <v>0</v>
      </c>
      <c r="BN90" s="16">
        <f t="shared" ref="BN90" si="496">AVERAGE(AS90:AS92)</f>
        <v>0.75309291352747587</v>
      </c>
      <c r="BO90" s="16">
        <f t="shared" ref="BO90" si="497">AVERAGE(AT90:AT92)</f>
        <v>0.19059034709851763</v>
      </c>
      <c r="BP90" s="16">
        <f t="shared" ref="BP90" si="498">AVERAGE(AU90:AU92)</f>
        <v>0</v>
      </c>
    </row>
    <row r="91" spans="1:68" x14ac:dyDescent="0.35">
      <c r="A91" s="1" t="s">
        <v>61</v>
      </c>
      <c r="B91" s="1">
        <v>89</v>
      </c>
      <c r="C91" s="1" t="s">
        <v>147</v>
      </c>
      <c r="D91" s="1" t="s">
        <v>146</v>
      </c>
      <c r="E91" s="3" t="s">
        <v>21</v>
      </c>
      <c r="F91" s="4">
        <v>0.2107173222</v>
      </c>
      <c r="G91" s="4">
        <v>0</v>
      </c>
      <c r="H91" s="4">
        <v>0</v>
      </c>
      <c r="I91" s="4">
        <v>0</v>
      </c>
      <c r="J91" s="4">
        <v>0.38190075000000001</v>
      </c>
      <c r="K91" s="4">
        <v>2.6880315000000002E-2</v>
      </c>
      <c r="L91" s="4">
        <v>0.183697206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3.0997138326</v>
      </c>
      <c r="V91" s="4">
        <v>0</v>
      </c>
      <c r="W91" s="4">
        <v>9.074668679999999E-2</v>
      </c>
      <c r="X91" s="4">
        <v>2.2965881400000002E-2</v>
      </c>
      <c r="Y91" s="4">
        <v>0</v>
      </c>
      <c r="Z91" s="14">
        <f t="shared" si="358"/>
        <v>4.0166219940000003</v>
      </c>
      <c r="AB91">
        <f t="shared" si="359"/>
        <v>5.2461327581925294</v>
      </c>
      <c r="AC91">
        <f t="shared" si="360"/>
        <v>0</v>
      </c>
      <c r="AD91">
        <f t="shared" si="361"/>
        <v>0</v>
      </c>
      <c r="AE91">
        <f t="shared" si="362"/>
        <v>0</v>
      </c>
      <c r="AF91">
        <f t="shared" si="363"/>
        <v>9.5080082360371598</v>
      </c>
      <c r="AG91">
        <f t="shared" si="364"/>
        <v>0.66922690360590598</v>
      </c>
      <c r="AH91">
        <f t="shared" si="365"/>
        <v>4.5734252880755397</v>
      </c>
      <c r="AI91">
        <f t="shared" si="366"/>
        <v>0</v>
      </c>
      <c r="AJ91">
        <f t="shared" si="367"/>
        <v>0</v>
      </c>
      <c r="AK91">
        <f t="shared" si="368"/>
        <v>0</v>
      </c>
      <c r="AL91">
        <f t="shared" si="369"/>
        <v>0</v>
      </c>
      <c r="AM91">
        <f t="shared" si="370"/>
        <v>0</v>
      </c>
      <c r="AN91">
        <f t="shared" si="371"/>
        <v>0</v>
      </c>
      <c r="AO91">
        <f t="shared" si="372"/>
        <v>0</v>
      </c>
      <c r="AP91">
        <f t="shared" si="373"/>
        <v>0</v>
      </c>
      <c r="AQ91">
        <f t="shared" si="374"/>
        <v>77.172157032210876</v>
      </c>
      <c r="AR91">
        <f t="shared" si="375"/>
        <v>0</v>
      </c>
      <c r="AS91">
        <f t="shared" si="376"/>
        <v>2.2592787405824275</v>
      </c>
      <c r="AT91">
        <f t="shared" si="377"/>
        <v>0.5717710412955529</v>
      </c>
      <c r="AU91">
        <f t="shared" si="378"/>
        <v>0</v>
      </c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</row>
    <row r="92" spans="1:68" x14ac:dyDescent="0.35">
      <c r="A92" s="1" t="s">
        <v>61</v>
      </c>
      <c r="B92" s="1">
        <v>90</v>
      </c>
      <c r="C92" s="1" t="s">
        <v>148</v>
      </c>
      <c r="D92" s="1" t="s">
        <v>146</v>
      </c>
      <c r="E92" s="3" t="s">
        <v>21</v>
      </c>
      <c r="F92" s="4">
        <v>0.32856580680000003</v>
      </c>
      <c r="G92" s="4">
        <v>0</v>
      </c>
      <c r="H92" s="4">
        <v>0</v>
      </c>
      <c r="I92" s="4">
        <v>0</v>
      </c>
      <c r="J92" s="4">
        <v>0.3532069464</v>
      </c>
      <c r="K92" s="4">
        <v>9.8398839000000002E-2</v>
      </c>
      <c r="L92" s="4">
        <v>0.1869519036</v>
      </c>
      <c r="M92" s="4">
        <v>0</v>
      </c>
      <c r="N92" s="4">
        <v>0</v>
      </c>
      <c r="O92" s="4">
        <v>0</v>
      </c>
      <c r="P92" s="4">
        <v>0</v>
      </c>
      <c r="Q92" s="4">
        <v>6.7955164200000001E-2</v>
      </c>
      <c r="R92" s="4">
        <v>0</v>
      </c>
      <c r="S92" s="4">
        <v>0</v>
      </c>
      <c r="T92" s="4">
        <v>0.13421622059999999</v>
      </c>
      <c r="U92" s="4">
        <v>1.9557213984000001</v>
      </c>
      <c r="V92" s="4">
        <v>0</v>
      </c>
      <c r="W92" s="4">
        <v>0</v>
      </c>
      <c r="X92" s="4">
        <v>0</v>
      </c>
      <c r="Y92" s="4">
        <v>0</v>
      </c>
      <c r="Z92" s="14">
        <f t="shared" si="358"/>
        <v>3.125016279</v>
      </c>
      <c r="AB92">
        <f t="shared" si="359"/>
        <v>10.514051046964163</v>
      </c>
      <c r="AC92">
        <f t="shared" si="360"/>
        <v>0</v>
      </c>
      <c r="AD92">
        <f t="shared" si="361"/>
        <v>0</v>
      </c>
      <c r="AE92">
        <f t="shared" si="362"/>
        <v>0</v>
      </c>
      <c r="AF92">
        <f t="shared" si="363"/>
        <v>11.302563406582497</v>
      </c>
      <c r="AG92">
        <f t="shared" si="364"/>
        <v>3.1487464452981175</v>
      </c>
      <c r="AH92">
        <f t="shared" si="365"/>
        <v>5.9824297510483468</v>
      </c>
      <c r="AI92">
        <f t="shared" si="366"/>
        <v>0</v>
      </c>
      <c r="AJ92">
        <f t="shared" si="367"/>
        <v>0</v>
      </c>
      <c r="AK92">
        <f t="shared" si="368"/>
        <v>0</v>
      </c>
      <c r="AL92">
        <f t="shared" si="369"/>
        <v>0</v>
      </c>
      <c r="AM92">
        <f t="shared" si="370"/>
        <v>2.1745539265397218</v>
      </c>
      <c r="AN92">
        <f t="shared" si="371"/>
        <v>0</v>
      </c>
      <c r="AO92">
        <f t="shared" si="372"/>
        <v>0</v>
      </c>
      <c r="AP92">
        <f t="shared" si="373"/>
        <v>4.2948966858805919</v>
      </c>
      <c r="AQ92">
        <f t="shared" si="374"/>
        <v>62.582758737686575</v>
      </c>
      <c r="AR92">
        <f t="shared" si="375"/>
        <v>0</v>
      </c>
      <c r="AS92">
        <f t="shared" si="376"/>
        <v>0</v>
      </c>
      <c r="AT92">
        <f t="shared" si="377"/>
        <v>0</v>
      </c>
      <c r="AU92">
        <f t="shared" si="378"/>
        <v>0</v>
      </c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</row>
    <row r="93" spans="1:68" x14ac:dyDescent="0.35">
      <c r="A93" s="1" t="s">
        <v>24</v>
      </c>
      <c r="B93" s="1">
        <v>91</v>
      </c>
      <c r="C93" s="1" t="s">
        <v>149</v>
      </c>
      <c r="D93" s="1" t="s">
        <v>150</v>
      </c>
      <c r="E93" s="3" t="s">
        <v>21</v>
      </c>
      <c r="F93" s="4">
        <v>0.2120784204</v>
      </c>
      <c r="G93" s="4">
        <v>0</v>
      </c>
      <c r="H93" s="4">
        <v>0</v>
      </c>
      <c r="I93" s="4">
        <v>0</v>
      </c>
      <c r="J93" s="4">
        <v>0.2337397524</v>
      </c>
      <c r="K93" s="4">
        <v>0</v>
      </c>
      <c r="L93" s="4">
        <v>0.84060812220000003</v>
      </c>
      <c r="M93" s="4">
        <v>3.3006435000000001E-2</v>
      </c>
      <c r="N93" s="4">
        <v>0</v>
      </c>
      <c r="O93" s="4">
        <v>0</v>
      </c>
      <c r="P93" s="4">
        <v>0</v>
      </c>
      <c r="Q93" s="4">
        <v>6.2399244600000008E-2</v>
      </c>
      <c r="R93" s="4">
        <v>0</v>
      </c>
      <c r="S93" s="4">
        <v>0</v>
      </c>
      <c r="T93" s="4">
        <v>3.20474616E-2</v>
      </c>
      <c r="U93" s="4">
        <v>2.0846118216000002</v>
      </c>
      <c r="V93" s="4">
        <v>0</v>
      </c>
      <c r="W93" s="4">
        <v>0</v>
      </c>
      <c r="X93" s="4">
        <v>0</v>
      </c>
      <c r="Y93" s="4">
        <v>0</v>
      </c>
      <c r="Z93" s="14">
        <f t="shared" si="358"/>
        <v>3.4984912578</v>
      </c>
      <c r="AB93">
        <f t="shared" si="359"/>
        <v>6.0619965800161504</v>
      </c>
      <c r="AC93">
        <f t="shared" si="360"/>
        <v>0</v>
      </c>
      <c r="AD93">
        <f t="shared" si="361"/>
        <v>0</v>
      </c>
      <c r="AE93">
        <f t="shared" si="362"/>
        <v>0</v>
      </c>
      <c r="AF93">
        <f t="shared" si="363"/>
        <v>6.6811586817280055</v>
      </c>
      <c r="AG93">
        <f t="shared" si="364"/>
        <v>0</v>
      </c>
      <c r="AH93">
        <f t="shared" si="365"/>
        <v>24.027732535441867</v>
      </c>
      <c r="AI93">
        <f t="shared" si="366"/>
        <v>0.9434476912415054</v>
      </c>
      <c r="AJ93">
        <f t="shared" si="367"/>
        <v>0</v>
      </c>
      <c r="AK93">
        <f t="shared" si="368"/>
        <v>0</v>
      </c>
      <c r="AL93">
        <f t="shared" si="369"/>
        <v>0</v>
      </c>
      <c r="AM93">
        <f t="shared" si="370"/>
        <v>1.7836044169291223</v>
      </c>
      <c r="AN93">
        <f t="shared" si="371"/>
        <v>0</v>
      </c>
      <c r="AO93">
        <f t="shared" si="372"/>
        <v>0</v>
      </c>
      <c r="AP93">
        <f t="shared" si="373"/>
        <v>0.91603663517949752</v>
      </c>
      <c r="AQ93">
        <f t="shared" si="374"/>
        <v>59.586023459463853</v>
      </c>
      <c r="AR93">
        <f t="shared" si="375"/>
        <v>0</v>
      </c>
      <c r="AS93">
        <f t="shared" si="376"/>
        <v>0</v>
      </c>
      <c r="AT93">
        <f t="shared" si="377"/>
        <v>0</v>
      </c>
      <c r="AU93">
        <f t="shared" si="378"/>
        <v>0</v>
      </c>
      <c r="AW93" s="16">
        <f>AVERAGE(AB93:AB95)</f>
        <v>2.0206655266720501</v>
      </c>
      <c r="AX93" s="16">
        <f>AVERAGE(AC93:AC95)</f>
        <v>0</v>
      </c>
      <c r="AY93" s="16">
        <f>AVERAGE(AD93:AD95)</f>
        <v>0</v>
      </c>
      <c r="AZ93" s="16">
        <f>AVERAGE(AE93:AE95)</f>
        <v>0</v>
      </c>
      <c r="BA93" s="16">
        <f>AVERAGE(AF93:AF95)</f>
        <v>6.50059610364859</v>
      </c>
      <c r="BB93" s="16">
        <f t="shared" ref="BB93" si="499">AVERAGE(AG93:AG95)</f>
        <v>0</v>
      </c>
      <c r="BC93" s="16">
        <f t="shared" ref="BC93" si="500">AVERAGE(AH93:AH95)</f>
        <v>19.981962862941803</v>
      </c>
      <c r="BD93" s="16">
        <f t="shared" ref="BD93" si="501">AVERAGE(AI93:AI95)</f>
        <v>7.4596422795156192</v>
      </c>
      <c r="BE93" s="16">
        <f t="shared" ref="BE93" si="502">AVERAGE(AJ93:AJ95)</f>
        <v>0</v>
      </c>
      <c r="BF93" s="16">
        <f t="shared" ref="BF93" si="503">AVERAGE(AK93:AK95)</f>
        <v>0</v>
      </c>
      <c r="BG93" s="16">
        <f t="shared" ref="BG93" si="504">AVERAGE(AL93:AL95)</f>
        <v>0.37586509809879121</v>
      </c>
      <c r="BH93" s="16">
        <f t="shared" ref="BH93" si="505">AVERAGE(AM93:AM95)</f>
        <v>0.72836859816882737</v>
      </c>
      <c r="BI93" s="16">
        <f t="shared" ref="BI93" si="506">AVERAGE(AN93:AN95)</f>
        <v>0</v>
      </c>
      <c r="BJ93" s="16">
        <f t="shared" ref="BJ93" si="507">AVERAGE(AO93:AO95)</f>
        <v>4.4926775683520566</v>
      </c>
      <c r="BK93" s="16">
        <f t="shared" ref="BK93" si="508">AVERAGE(AP93:AP95)</f>
        <v>1.0997372186165391</v>
      </c>
      <c r="BL93" s="16">
        <f t="shared" ref="BL93" si="509">AVERAGE(AQ93:AQ95)</f>
        <v>55.296260486082922</v>
      </c>
      <c r="BM93" s="16">
        <f t="shared" ref="BM93" si="510">AVERAGE(AR93:AR95)</f>
        <v>0</v>
      </c>
      <c r="BN93" s="16">
        <f t="shared" ref="BN93" si="511">AVERAGE(AS93:AS95)</f>
        <v>0</v>
      </c>
      <c r="BO93" s="16">
        <f t="shared" ref="BO93" si="512">AVERAGE(AT93:AT95)</f>
        <v>2.0442242579027976</v>
      </c>
      <c r="BP93" s="16">
        <f t="shared" ref="BP93" si="513">AVERAGE(AU93:AU95)</f>
        <v>0</v>
      </c>
    </row>
    <row r="94" spans="1:68" x14ac:dyDescent="0.35">
      <c r="A94" s="1" t="s">
        <v>24</v>
      </c>
      <c r="B94" s="1">
        <v>92</v>
      </c>
      <c r="C94" s="1" t="s">
        <v>151</v>
      </c>
      <c r="D94" s="1" t="s">
        <v>150</v>
      </c>
      <c r="E94" s="3" t="s">
        <v>21</v>
      </c>
      <c r="F94" s="4">
        <v>0</v>
      </c>
      <c r="G94" s="4">
        <v>0</v>
      </c>
      <c r="H94" s="4">
        <v>0</v>
      </c>
      <c r="I94" s="4">
        <v>0</v>
      </c>
      <c r="J94" s="4">
        <v>0.23921556120000001</v>
      </c>
      <c r="K94" s="4">
        <v>0</v>
      </c>
      <c r="L94" s="4">
        <v>0.53179591079999999</v>
      </c>
      <c r="M94" s="4">
        <v>0.57099836640000001</v>
      </c>
      <c r="N94" s="4">
        <v>0</v>
      </c>
      <c r="O94" s="4">
        <v>0</v>
      </c>
      <c r="P94" s="4">
        <v>0</v>
      </c>
      <c r="Q94" s="4">
        <v>1.327326E-2</v>
      </c>
      <c r="R94" s="4">
        <v>0</v>
      </c>
      <c r="S94" s="4">
        <v>0</v>
      </c>
      <c r="T94" s="4">
        <v>0</v>
      </c>
      <c r="U94" s="4">
        <v>1.9506233670000002</v>
      </c>
      <c r="V94" s="4">
        <v>0</v>
      </c>
      <c r="W94" s="4">
        <v>0</v>
      </c>
      <c r="X94" s="4">
        <v>0</v>
      </c>
      <c r="Y94" s="4">
        <v>0</v>
      </c>
      <c r="Z94" s="14">
        <f t="shared" si="358"/>
        <v>3.3059064654000005</v>
      </c>
      <c r="AB94">
        <f t="shared" si="359"/>
        <v>0</v>
      </c>
      <c r="AC94">
        <f t="shared" si="360"/>
        <v>0</v>
      </c>
      <c r="AD94">
        <f t="shared" si="361"/>
        <v>0</v>
      </c>
      <c r="AE94">
        <f t="shared" si="362"/>
        <v>0</v>
      </c>
      <c r="AF94">
        <f t="shared" si="363"/>
        <v>7.2360051230625473</v>
      </c>
      <c r="AG94">
        <f t="shared" si="364"/>
        <v>0</v>
      </c>
      <c r="AH94">
        <f t="shared" si="365"/>
        <v>16.086235843809785</v>
      </c>
      <c r="AI94">
        <f t="shared" si="366"/>
        <v>17.272066598862821</v>
      </c>
      <c r="AJ94">
        <f t="shared" si="367"/>
        <v>0</v>
      </c>
      <c r="AK94">
        <f t="shared" si="368"/>
        <v>0</v>
      </c>
      <c r="AL94">
        <f t="shared" si="369"/>
        <v>0</v>
      </c>
      <c r="AM94">
        <f t="shared" si="370"/>
        <v>0.4015013775773596</v>
      </c>
      <c r="AN94">
        <f t="shared" si="371"/>
        <v>0</v>
      </c>
      <c r="AO94">
        <f t="shared" si="372"/>
        <v>0</v>
      </c>
      <c r="AP94">
        <f t="shared" si="373"/>
        <v>0</v>
      </c>
      <c r="AQ94">
        <f t="shared" si="374"/>
        <v>59.004191056687475</v>
      </c>
      <c r="AR94">
        <f t="shared" si="375"/>
        <v>0</v>
      </c>
      <c r="AS94">
        <f t="shared" si="376"/>
        <v>0</v>
      </c>
      <c r="AT94">
        <f t="shared" si="377"/>
        <v>0</v>
      </c>
      <c r="AU94">
        <f t="shared" si="378"/>
        <v>0</v>
      </c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</row>
    <row r="95" spans="1:68" x14ac:dyDescent="0.35">
      <c r="A95" s="1" t="s">
        <v>24</v>
      </c>
      <c r="B95" s="1">
        <v>93</v>
      </c>
      <c r="C95" s="1" t="s">
        <v>152</v>
      </c>
      <c r="D95" s="1" t="s">
        <v>150</v>
      </c>
      <c r="E95" s="3" t="s">
        <v>21</v>
      </c>
      <c r="F95" s="4">
        <v>0</v>
      </c>
      <c r="G95" s="4">
        <v>0</v>
      </c>
      <c r="H95" s="4">
        <v>0</v>
      </c>
      <c r="I95" s="4">
        <v>0</v>
      </c>
      <c r="J95" s="4">
        <v>0.14551498499999999</v>
      </c>
      <c r="K95" s="4">
        <v>0</v>
      </c>
      <c r="L95" s="4">
        <v>0.51674764680000007</v>
      </c>
      <c r="M95" s="4">
        <v>0.10848337500000001</v>
      </c>
      <c r="N95" s="4">
        <v>0</v>
      </c>
      <c r="O95" s="4">
        <v>0</v>
      </c>
      <c r="P95" s="4">
        <v>2.9381028600000005E-2</v>
      </c>
      <c r="Q95" s="4">
        <v>0</v>
      </c>
      <c r="R95" s="4">
        <v>0</v>
      </c>
      <c r="S95" s="4">
        <v>0.35118846840000001</v>
      </c>
      <c r="T95" s="4">
        <v>6.2096865600000009E-2</v>
      </c>
      <c r="U95" s="4">
        <v>1.2324284742</v>
      </c>
      <c r="V95" s="4">
        <v>0</v>
      </c>
      <c r="W95" s="4">
        <v>0</v>
      </c>
      <c r="X95" s="4">
        <v>0.15979512779999999</v>
      </c>
      <c r="Y95" s="4">
        <v>0</v>
      </c>
      <c r="Z95" s="14">
        <f t="shared" si="358"/>
        <v>2.6056359713999999</v>
      </c>
      <c r="AB95">
        <f t="shared" si="359"/>
        <v>0</v>
      </c>
      <c r="AC95">
        <f t="shared" si="360"/>
        <v>0</v>
      </c>
      <c r="AD95">
        <f t="shared" si="361"/>
        <v>0</v>
      </c>
      <c r="AE95">
        <f t="shared" si="362"/>
        <v>0</v>
      </c>
      <c r="AF95">
        <f t="shared" si="363"/>
        <v>5.5846245061552189</v>
      </c>
      <c r="AG95">
        <f t="shared" si="364"/>
        <v>0</v>
      </c>
      <c r="AH95">
        <f t="shared" si="365"/>
        <v>19.831920209573759</v>
      </c>
      <c r="AI95">
        <f t="shared" si="366"/>
        <v>4.1634125484425297</v>
      </c>
      <c r="AJ95">
        <f t="shared" si="367"/>
        <v>0</v>
      </c>
      <c r="AK95">
        <f t="shared" si="368"/>
        <v>0</v>
      </c>
      <c r="AL95">
        <f t="shared" si="369"/>
        <v>1.1275952942963736</v>
      </c>
      <c r="AM95">
        <f t="shared" si="370"/>
        <v>0</v>
      </c>
      <c r="AN95">
        <f t="shared" si="371"/>
        <v>0</v>
      </c>
      <c r="AO95">
        <f t="shared" si="372"/>
        <v>13.478032705056171</v>
      </c>
      <c r="AP95">
        <f t="shared" si="373"/>
        <v>2.3831750206701194</v>
      </c>
      <c r="AQ95">
        <f t="shared" si="374"/>
        <v>47.298566942097445</v>
      </c>
      <c r="AR95">
        <f t="shared" si="375"/>
        <v>0</v>
      </c>
      <c r="AS95">
        <f t="shared" si="376"/>
        <v>0</v>
      </c>
      <c r="AT95">
        <f t="shared" si="377"/>
        <v>6.1326727737083928</v>
      </c>
      <c r="AU95">
        <f t="shared" si="378"/>
        <v>0</v>
      </c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</row>
    <row r="96" spans="1:68" x14ac:dyDescent="0.35">
      <c r="A96" s="1" t="s">
        <v>91</v>
      </c>
      <c r="B96" s="1">
        <v>94</v>
      </c>
      <c r="C96" s="1" t="s">
        <v>153</v>
      </c>
      <c r="D96" s="1" t="s">
        <v>154</v>
      </c>
      <c r="E96" s="3" t="s">
        <v>21</v>
      </c>
      <c r="F96" s="4">
        <v>0.18078965520000001</v>
      </c>
      <c r="G96" s="4">
        <v>0</v>
      </c>
      <c r="H96" s="4">
        <v>0</v>
      </c>
      <c r="I96" s="4">
        <v>0</v>
      </c>
      <c r="J96" s="4">
        <v>0.28880336100000004</v>
      </c>
      <c r="K96" s="4">
        <v>0</v>
      </c>
      <c r="L96" s="4">
        <v>0.26989956840000007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1.6211763414</v>
      </c>
      <c r="V96" s="4">
        <v>0</v>
      </c>
      <c r="W96" s="4">
        <v>3.5632812600000008E-2</v>
      </c>
      <c r="X96" s="4">
        <v>0.26280347940000004</v>
      </c>
      <c r="Y96" s="4">
        <v>0</v>
      </c>
      <c r="Z96" s="14">
        <f t="shared" si="358"/>
        <v>2.6591052180000001</v>
      </c>
      <c r="AB96">
        <f t="shared" si="359"/>
        <v>6.7988906184004936</v>
      </c>
      <c r="AC96">
        <f t="shared" si="360"/>
        <v>0</v>
      </c>
      <c r="AD96">
        <f t="shared" si="361"/>
        <v>0</v>
      </c>
      <c r="AE96">
        <f t="shared" si="362"/>
        <v>0</v>
      </c>
      <c r="AF96">
        <f t="shared" si="363"/>
        <v>10.860922653418674</v>
      </c>
      <c r="AG96">
        <f t="shared" si="364"/>
        <v>0</v>
      </c>
      <c r="AH96">
        <f t="shared" si="365"/>
        <v>10.150014620444404</v>
      </c>
      <c r="AI96">
        <f t="shared" si="366"/>
        <v>0</v>
      </c>
      <c r="AJ96">
        <f t="shared" si="367"/>
        <v>0</v>
      </c>
      <c r="AK96">
        <f t="shared" si="368"/>
        <v>0</v>
      </c>
      <c r="AL96">
        <f t="shared" si="369"/>
        <v>0</v>
      </c>
      <c r="AM96">
        <f t="shared" si="370"/>
        <v>0</v>
      </c>
      <c r="AN96">
        <f t="shared" si="371"/>
        <v>0</v>
      </c>
      <c r="AO96">
        <f t="shared" si="372"/>
        <v>0</v>
      </c>
      <c r="AP96">
        <f t="shared" si="373"/>
        <v>0</v>
      </c>
      <c r="AQ96">
        <f t="shared" si="374"/>
        <v>60.966987331901812</v>
      </c>
      <c r="AR96">
        <f t="shared" si="375"/>
        <v>0</v>
      </c>
      <c r="AS96">
        <f t="shared" si="376"/>
        <v>1.3400301860488473</v>
      </c>
      <c r="AT96">
        <f t="shared" si="377"/>
        <v>9.8831545897857751</v>
      </c>
      <c r="AU96">
        <f t="shared" si="378"/>
        <v>0</v>
      </c>
      <c r="AW96" s="16">
        <f>AVERAGE(AB96:AB98)</f>
        <v>9.5213775393704534</v>
      </c>
      <c r="AX96" s="16">
        <f>AVERAGE(AC96:AC98)</f>
        <v>0</v>
      </c>
      <c r="AY96" s="16">
        <f>AVERAGE(AD96:AD98)</f>
        <v>0</v>
      </c>
      <c r="AZ96" s="16">
        <f>AVERAGE(AE96:AE98)</f>
        <v>0</v>
      </c>
      <c r="BA96" s="16">
        <f>AVERAGE(AF96:AF98)</f>
        <v>5.5629661723894017</v>
      </c>
      <c r="BB96" s="16">
        <f t="shared" ref="BB96" si="514">AVERAGE(AG96:AG98)</f>
        <v>0</v>
      </c>
      <c r="BC96" s="16">
        <f t="shared" ref="BC96" si="515">AVERAGE(AH96:AH98)</f>
        <v>11.65146040882793</v>
      </c>
      <c r="BD96" s="16">
        <f t="shared" ref="BD96" si="516">AVERAGE(AI96:AI98)</f>
        <v>0</v>
      </c>
      <c r="BE96" s="16">
        <f t="shared" ref="BE96" si="517">AVERAGE(AJ96:AJ98)</f>
        <v>0</v>
      </c>
      <c r="BF96" s="16">
        <f t="shared" ref="BF96" si="518">AVERAGE(AK96:AK98)</f>
        <v>0</v>
      </c>
      <c r="BG96" s="16">
        <f t="shared" ref="BG96" si="519">AVERAGE(AL96:AL98)</f>
        <v>0</v>
      </c>
      <c r="BH96" s="16">
        <f t="shared" ref="BH96" si="520">AVERAGE(AM96:AM98)</f>
        <v>0</v>
      </c>
      <c r="BI96" s="16">
        <f t="shared" ref="BI96" si="521">AVERAGE(AN96:AN98)</f>
        <v>0</v>
      </c>
      <c r="BJ96" s="16">
        <f t="shared" ref="BJ96" si="522">AVERAGE(AO96:AO98)</f>
        <v>3.0294865603339205</v>
      </c>
      <c r="BK96" s="16">
        <f t="shared" ref="BK96" si="523">AVERAGE(AP96:AP98)</f>
        <v>0</v>
      </c>
      <c r="BL96" s="16">
        <f t="shared" ref="BL96" si="524">AVERAGE(AQ96:AQ98)</f>
        <v>57.156343302620343</v>
      </c>
      <c r="BM96" s="16">
        <f t="shared" ref="BM96" si="525">AVERAGE(AR96:AR98)</f>
        <v>0</v>
      </c>
      <c r="BN96" s="16">
        <f t="shared" ref="BN96" si="526">AVERAGE(AS96:AS98)</f>
        <v>2.5483200449335572</v>
      </c>
      <c r="BO96" s="16">
        <f t="shared" ref="BO96" si="527">AVERAGE(AT96:AT98)</f>
        <v>9.9853705426177584</v>
      </c>
      <c r="BP96" s="16">
        <f t="shared" ref="BP96" si="528">AVERAGE(AU96:AU98)</f>
        <v>0.54467542890664855</v>
      </c>
    </row>
    <row r="97" spans="1:68" x14ac:dyDescent="0.35">
      <c r="A97" s="1" t="s">
        <v>91</v>
      </c>
      <c r="B97" s="1">
        <v>95</v>
      </c>
      <c r="C97" s="1" t="s">
        <v>155</v>
      </c>
      <c r="D97" s="1" t="s">
        <v>154</v>
      </c>
      <c r="E97" s="3" t="s">
        <v>21</v>
      </c>
      <c r="F97" s="4">
        <v>0.24905897939999999</v>
      </c>
      <c r="G97" s="4">
        <v>0</v>
      </c>
      <c r="H97" s="4">
        <v>0</v>
      </c>
      <c r="I97" s="4">
        <v>0</v>
      </c>
      <c r="J97" s="4">
        <v>5.3502233400000009E-2</v>
      </c>
      <c r="K97" s="4">
        <v>0</v>
      </c>
      <c r="L97" s="4">
        <v>0.38672153520000008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2.1714346500000001</v>
      </c>
      <c r="V97" s="4">
        <v>0</v>
      </c>
      <c r="W97" s="4">
        <v>3.2846213400000004E-2</v>
      </c>
      <c r="X97" s="4">
        <v>0.19105404780000002</v>
      </c>
      <c r="Y97" s="4">
        <v>2.835294E-2</v>
      </c>
      <c r="Z97" s="14">
        <f t="shared" si="358"/>
        <v>3.1129705992000001</v>
      </c>
      <c r="AB97">
        <f t="shared" si="359"/>
        <v>8.0006852446343526</v>
      </c>
      <c r="AC97">
        <f t="shared" si="360"/>
        <v>0</v>
      </c>
      <c r="AD97">
        <f t="shared" si="361"/>
        <v>0</v>
      </c>
      <c r="AE97">
        <f t="shared" si="362"/>
        <v>0</v>
      </c>
      <c r="AF97">
        <f t="shared" si="363"/>
        <v>1.718687398260347</v>
      </c>
      <c r="AG97">
        <f t="shared" si="364"/>
        <v>0</v>
      </c>
      <c r="AH97">
        <f t="shared" si="365"/>
        <v>12.422909978635307</v>
      </c>
      <c r="AI97">
        <f t="shared" si="366"/>
        <v>0</v>
      </c>
      <c r="AJ97">
        <f t="shared" si="367"/>
        <v>0</v>
      </c>
      <c r="AK97">
        <f t="shared" si="368"/>
        <v>0</v>
      </c>
      <c r="AL97">
        <f t="shared" si="369"/>
        <v>0</v>
      </c>
      <c r="AM97">
        <f t="shared" si="370"/>
        <v>0</v>
      </c>
      <c r="AN97">
        <f t="shared" si="371"/>
        <v>0</v>
      </c>
      <c r="AO97">
        <f t="shared" si="372"/>
        <v>0</v>
      </c>
      <c r="AP97">
        <f t="shared" si="373"/>
        <v>0</v>
      </c>
      <c r="AQ97">
        <f t="shared" si="374"/>
        <v>69.754422048124567</v>
      </c>
      <c r="AR97">
        <f t="shared" si="375"/>
        <v>0</v>
      </c>
      <c r="AS97">
        <f t="shared" si="376"/>
        <v>1.0551404953339787</v>
      </c>
      <c r="AT97">
        <f t="shared" si="377"/>
        <v>6.1373547135041635</v>
      </c>
      <c r="AU97">
        <f t="shared" si="378"/>
        <v>0.91080012150729606</v>
      </c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</row>
    <row r="98" spans="1:68" x14ac:dyDescent="0.35">
      <c r="A98" s="1" t="s">
        <v>91</v>
      </c>
      <c r="B98" s="1">
        <v>96</v>
      </c>
      <c r="C98" s="1" t="s">
        <v>156</v>
      </c>
      <c r="D98" s="1" t="s">
        <v>154</v>
      </c>
      <c r="E98" s="3" t="s">
        <v>21</v>
      </c>
      <c r="F98" s="4">
        <v>0.40203762060000003</v>
      </c>
      <c r="G98" s="4">
        <v>0</v>
      </c>
      <c r="H98" s="4">
        <v>0</v>
      </c>
      <c r="I98" s="4">
        <v>0</v>
      </c>
      <c r="J98" s="4">
        <v>0.12002482800000001</v>
      </c>
      <c r="K98" s="4">
        <v>0</v>
      </c>
      <c r="L98" s="4">
        <v>0.36163978620000004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0.26545734600000004</v>
      </c>
      <c r="T98" s="4">
        <v>0</v>
      </c>
      <c r="U98" s="4">
        <v>1.1901637439999999</v>
      </c>
      <c r="V98" s="4">
        <v>0</v>
      </c>
      <c r="W98" s="4">
        <v>0.1533367836</v>
      </c>
      <c r="X98" s="4">
        <v>0.40703355000000002</v>
      </c>
      <c r="Y98" s="4">
        <v>2.1124118399999999E-2</v>
      </c>
      <c r="Z98" s="14">
        <f t="shared" si="358"/>
        <v>2.9208177767999999</v>
      </c>
      <c r="AB98">
        <f t="shared" si="359"/>
        <v>13.764556755076512</v>
      </c>
      <c r="AC98">
        <f t="shared" si="360"/>
        <v>0</v>
      </c>
      <c r="AD98">
        <f t="shared" si="361"/>
        <v>0</v>
      </c>
      <c r="AE98">
        <f t="shared" si="362"/>
        <v>0</v>
      </c>
      <c r="AF98">
        <f t="shared" si="363"/>
        <v>4.1092884654891835</v>
      </c>
      <c r="AG98">
        <f t="shared" si="364"/>
        <v>0</v>
      </c>
      <c r="AH98">
        <f t="shared" si="365"/>
        <v>12.381456627404077</v>
      </c>
      <c r="AI98">
        <f t="shared" si="366"/>
        <v>0</v>
      </c>
      <c r="AJ98">
        <f t="shared" si="367"/>
        <v>0</v>
      </c>
      <c r="AK98">
        <f t="shared" si="368"/>
        <v>0</v>
      </c>
      <c r="AL98">
        <f t="shared" si="369"/>
        <v>0</v>
      </c>
      <c r="AM98">
        <f t="shared" si="370"/>
        <v>0</v>
      </c>
      <c r="AN98">
        <f t="shared" si="371"/>
        <v>0</v>
      </c>
      <c r="AO98">
        <f t="shared" si="372"/>
        <v>9.0884596810017619</v>
      </c>
      <c r="AP98">
        <f t="shared" si="373"/>
        <v>0</v>
      </c>
      <c r="AQ98">
        <f t="shared" si="374"/>
        <v>40.747620527834634</v>
      </c>
      <c r="AR98">
        <f t="shared" si="375"/>
        <v>0</v>
      </c>
      <c r="AS98">
        <f t="shared" si="376"/>
        <v>5.2497894534178462</v>
      </c>
      <c r="AT98">
        <f t="shared" si="377"/>
        <v>13.935602324563339</v>
      </c>
      <c r="AU98">
        <f t="shared" si="378"/>
        <v>0.72322616521264937</v>
      </c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</row>
    <row r="99" spans="1:68" x14ac:dyDescent="0.35">
      <c r="A99" s="1" t="s">
        <v>91</v>
      </c>
      <c r="B99" s="1">
        <v>97</v>
      </c>
      <c r="C99" s="1" t="s">
        <v>157</v>
      </c>
      <c r="D99" s="1" t="s">
        <v>158</v>
      </c>
      <c r="E99" s="6" t="s">
        <v>27</v>
      </c>
      <c r="F99" s="4">
        <v>5.0273454000000002E-2</v>
      </c>
      <c r="G99" s="4">
        <v>0</v>
      </c>
      <c r="H99" s="4">
        <v>0</v>
      </c>
      <c r="I99" s="4">
        <v>0</v>
      </c>
      <c r="J99" s="4">
        <v>5.9222301599999999E-2</v>
      </c>
      <c r="K99" s="4">
        <v>0</v>
      </c>
      <c r="L99" s="4">
        <v>0.9141176352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3.2817939000000004E-2</v>
      </c>
      <c r="U99" s="4">
        <v>1.9131480060000001</v>
      </c>
      <c r="V99" s="4">
        <v>0</v>
      </c>
      <c r="W99" s="4">
        <v>0</v>
      </c>
      <c r="X99" s="4">
        <v>0.42195222300000002</v>
      </c>
      <c r="Y99" s="4">
        <v>3.4655775E-2</v>
      </c>
      <c r="Z99" s="14">
        <f t="shared" ref="Z99:Z130" si="529">SUM(F99:Y99)</f>
        <v>3.4261873338000002</v>
      </c>
      <c r="AB99">
        <f t="shared" ref="AB99:AB131" si="530">F99/$Z99*100</f>
        <v>1.4673293986012577</v>
      </c>
      <c r="AC99">
        <f t="shared" ref="AC99:AC131" si="531">G99/$Z99*100</f>
        <v>0</v>
      </c>
      <c r="AD99">
        <f t="shared" ref="AD99:AD131" si="532">H99/$Z99*100</f>
        <v>0</v>
      </c>
      <c r="AE99">
        <f t="shared" ref="AE99:AE131" si="533">I99/$Z99*100</f>
        <v>0</v>
      </c>
      <c r="AF99">
        <f t="shared" ref="AF99:AF131" si="534">J99/$Z99*100</f>
        <v>1.7285190747090957</v>
      </c>
      <c r="AG99">
        <f t="shared" ref="AG99:AG131" si="535">K99/$Z99*100</f>
        <v>0</v>
      </c>
      <c r="AH99">
        <f t="shared" ref="AH99:AH131" si="536">L99/$Z99*100</f>
        <v>26.680316811111084</v>
      </c>
      <c r="AI99">
        <f t="shared" ref="AI99:AI131" si="537">M99/$Z99*100</f>
        <v>0</v>
      </c>
      <c r="AJ99">
        <f t="shared" ref="AJ99:AJ131" si="538">N99/$Z99*100</f>
        <v>0</v>
      </c>
      <c r="AK99">
        <f t="shared" ref="AK99:AK131" si="539">O99/$Z99*100</f>
        <v>0</v>
      </c>
      <c r="AL99">
        <f t="shared" ref="AL99:AL131" si="540">P99/$Z99*100</f>
        <v>0</v>
      </c>
      <c r="AM99">
        <f t="shared" ref="AM99:AM131" si="541">Q99/$Z99*100</f>
        <v>0</v>
      </c>
      <c r="AN99">
        <f t="shared" ref="AN99:AN131" si="542">R99/$Z99*100</f>
        <v>0</v>
      </c>
      <c r="AO99">
        <f t="shared" ref="AO99:AO131" si="543">S99/$Z99*100</f>
        <v>0</v>
      </c>
      <c r="AP99">
        <f t="shared" ref="AP99:AP131" si="544">T99/$Z99*100</f>
        <v>0.95785594314253319</v>
      </c>
      <c r="AQ99">
        <f t="shared" ref="AQ99:AQ131" si="545">U99/$Z99*100</f>
        <v>55.83897842147816</v>
      </c>
      <c r="AR99">
        <f t="shared" ref="AR99:AR131" si="546">V99/$Z99*100</f>
        <v>0</v>
      </c>
      <c r="AS99">
        <f t="shared" ref="AS99:AS131" si="547">W99/$Z99*100</f>
        <v>0</v>
      </c>
      <c r="AT99">
        <f t="shared" ref="AT99:AT131" si="548">X99/$Z99*100</f>
        <v>12.315503558061749</v>
      </c>
      <c r="AU99">
        <f t="shared" ref="AU99:AU131" si="549">Y99/$Z99*100</f>
        <v>1.0114967928961176</v>
      </c>
      <c r="AW99" s="16">
        <f>AVERAGE(AB99:AB101)</f>
        <v>14.037793357448718</v>
      </c>
      <c r="AX99" s="16">
        <f>AVERAGE(AC99:AC101)</f>
        <v>0</v>
      </c>
      <c r="AY99" s="16">
        <f>AVERAGE(AD99:AD101)</f>
        <v>0</v>
      </c>
      <c r="AZ99" s="16">
        <f>AVERAGE(AE99:AE101)</f>
        <v>0</v>
      </c>
      <c r="BA99" s="16">
        <f>AVERAGE(AF99:AF101)</f>
        <v>2.1653209106093123</v>
      </c>
      <c r="BB99" s="16">
        <f t="shared" ref="BB99" si="550">AVERAGE(AG99:AG101)</f>
        <v>0</v>
      </c>
      <c r="BC99" s="16">
        <f t="shared" ref="BC99" si="551">AVERAGE(AH99:AH101)</f>
        <v>23.037290931675471</v>
      </c>
      <c r="BD99" s="16">
        <f t="shared" ref="BD99" si="552">AVERAGE(AI99:AI101)</f>
        <v>0</v>
      </c>
      <c r="BE99" s="16">
        <f t="shared" ref="BE99" si="553">AVERAGE(AJ99:AJ101)</f>
        <v>0</v>
      </c>
      <c r="BF99" s="16">
        <f t="shared" ref="BF99" si="554">AVERAGE(AK99:AK101)</f>
        <v>0</v>
      </c>
      <c r="BG99" s="16">
        <f t="shared" ref="BG99" si="555">AVERAGE(AL99:AL101)</f>
        <v>0</v>
      </c>
      <c r="BH99" s="16">
        <f t="shared" ref="BH99" si="556">AVERAGE(AM99:AM101)</f>
        <v>0.33228368031627625</v>
      </c>
      <c r="BI99" s="16">
        <f t="shared" ref="BI99" si="557">AVERAGE(AN99:AN101)</f>
        <v>0</v>
      </c>
      <c r="BJ99" s="16">
        <f t="shared" ref="BJ99" si="558">AVERAGE(AO99:AO101)</f>
        <v>0</v>
      </c>
      <c r="BK99" s="16">
        <f t="shared" ref="BK99" si="559">AVERAGE(AP99:AP101)</f>
        <v>0.71428244347553649</v>
      </c>
      <c r="BL99" s="16">
        <f t="shared" ref="BL99" si="560">AVERAGE(AQ99:AQ101)</f>
        <v>44.914455059774987</v>
      </c>
      <c r="BM99" s="16">
        <f t="shared" ref="BM99" si="561">AVERAGE(AR99:AR101)</f>
        <v>0</v>
      </c>
      <c r="BN99" s="16">
        <f t="shared" ref="BN99" si="562">AVERAGE(AS99:AS101)</f>
        <v>0.75727260252473505</v>
      </c>
      <c r="BO99" s="16">
        <f t="shared" ref="BO99" si="563">AVERAGE(AT99:AT101)</f>
        <v>13.704135416542925</v>
      </c>
      <c r="BP99" s="16">
        <f t="shared" ref="BP99" si="564">AVERAGE(AU99:AU101)</f>
        <v>0.33716559763203918</v>
      </c>
    </row>
    <row r="100" spans="1:68" x14ac:dyDescent="0.35">
      <c r="A100" s="1" t="s">
        <v>91</v>
      </c>
      <c r="B100" s="1">
        <v>98</v>
      </c>
      <c r="C100" s="1" t="s">
        <v>159</v>
      </c>
      <c r="D100" s="1" t="s">
        <v>158</v>
      </c>
      <c r="E100" s="6" t="s">
        <v>27</v>
      </c>
      <c r="F100" s="4">
        <v>0.29724012780000003</v>
      </c>
      <c r="G100" s="4">
        <v>0</v>
      </c>
      <c r="H100" s="4">
        <v>0</v>
      </c>
      <c r="I100" s="4">
        <v>0</v>
      </c>
      <c r="J100" s="4">
        <v>0.12116679960000001</v>
      </c>
      <c r="K100" s="4">
        <v>0</v>
      </c>
      <c r="L100" s="4">
        <v>0.39897220440000003</v>
      </c>
      <c r="M100" s="4">
        <v>0</v>
      </c>
      <c r="N100" s="4">
        <v>0</v>
      </c>
      <c r="O100" s="4">
        <v>0</v>
      </c>
      <c r="P100" s="4">
        <v>0</v>
      </c>
      <c r="Q100" s="4">
        <v>2.53354332E-2</v>
      </c>
      <c r="R100" s="4">
        <v>0</v>
      </c>
      <c r="S100" s="4">
        <v>0</v>
      </c>
      <c r="T100" s="4">
        <v>0</v>
      </c>
      <c r="U100" s="4">
        <v>1.2194183232</v>
      </c>
      <c r="V100" s="4">
        <v>0</v>
      </c>
      <c r="W100" s="4">
        <v>0</v>
      </c>
      <c r="X100" s="4">
        <v>0.4794136578</v>
      </c>
      <c r="Y100" s="4">
        <v>0</v>
      </c>
      <c r="Z100" s="14">
        <f t="shared" si="529"/>
        <v>2.5415465459999997</v>
      </c>
      <c r="AB100">
        <f t="shared" si="530"/>
        <v>11.695246277028053</v>
      </c>
      <c r="AC100">
        <f t="shared" si="531"/>
        <v>0</v>
      </c>
      <c r="AD100">
        <f t="shared" si="532"/>
        <v>0</v>
      </c>
      <c r="AE100">
        <f t="shared" si="533"/>
        <v>0</v>
      </c>
      <c r="AF100">
        <f t="shared" si="534"/>
        <v>4.7674436571188421</v>
      </c>
      <c r="AG100">
        <f t="shared" si="535"/>
        <v>0</v>
      </c>
      <c r="AH100">
        <f t="shared" si="536"/>
        <v>15.698008955528294</v>
      </c>
      <c r="AI100">
        <f t="shared" si="537"/>
        <v>0</v>
      </c>
      <c r="AJ100">
        <f t="shared" si="538"/>
        <v>0</v>
      </c>
      <c r="AK100">
        <f t="shared" si="539"/>
        <v>0</v>
      </c>
      <c r="AL100">
        <f t="shared" si="540"/>
        <v>0</v>
      </c>
      <c r="AM100">
        <f t="shared" si="541"/>
        <v>0.9968510409488287</v>
      </c>
      <c r="AN100">
        <f t="shared" si="542"/>
        <v>0</v>
      </c>
      <c r="AO100">
        <f t="shared" si="543"/>
        <v>0</v>
      </c>
      <c r="AP100">
        <f t="shared" si="544"/>
        <v>0</v>
      </c>
      <c r="AQ100">
        <f t="shared" si="545"/>
        <v>47.979381889313629</v>
      </c>
      <c r="AR100">
        <f t="shared" si="546"/>
        <v>0</v>
      </c>
      <c r="AS100">
        <f t="shared" si="547"/>
        <v>0</v>
      </c>
      <c r="AT100">
        <f t="shared" si="548"/>
        <v>18.863068180062363</v>
      </c>
      <c r="AU100">
        <f t="shared" si="549"/>
        <v>0</v>
      </c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</row>
    <row r="101" spans="1:68" x14ac:dyDescent="0.35">
      <c r="A101" s="1" t="s">
        <v>91</v>
      </c>
      <c r="B101" s="1">
        <v>99</v>
      </c>
      <c r="C101" s="1" t="s">
        <v>160</v>
      </c>
      <c r="D101" s="1" t="s">
        <v>158</v>
      </c>
      <c r="E101" s="6" t="s">
        <v>27</v>
      </c>
      <c r="F101" s="4">
        <v>0.83016230219999998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0.76658260140000012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3.3979545600000008E-2</v>
      </c>
      <c r="U101" s="4">
        <v>0.88677236339999999</v>
      </c>
      <c r="V101" s="4">
        <v>0</v>
      </c>
      <c r="W101" s="4">
        <v>6.5144217600000012E-2</v>
      </c>
      <c r="X101" s="4">
        <v>0.28485201360000001</v>
      </c>
      <c r="Y101" s="4">
        <v>0</v>
      </c>
      <c r="Z101" s="14">
        <f t="shared" si="529"/>
        <v>2.8674930438000001</v>
      </c>
      <c r="AB101">
        <f t="shared" si="530"/>
        <v>28.95080439671684</v>
      </c>
      <c r="AC101">
        <f t="shared" si="531"/>
        <v>0</v>
      </c>
      <c r="AD101">
        <f t="shared" si="532"/>
        <v>0</v>
      </c>
      <c r="AE101">
        <f t="shared" si="533"/>
        <v>0</v>
      </c>
      <c r="AF101">
        <f t="shared" si="534"/>
        <v>0</v>
      </c>
      <c r="AG101">
        <f t="shared" si="535"/>
        <v>0</v>
      </c>
      <c r="AH101">
        <f t="shared" si="536"/>
        <v>26.733547028387044</v>
      </c>
      <c r="AI101">
        <f t="shared" si="537"/>
        <v>0</v>
      </c>
      <c r="AJ101">
        <f t="shared" si="538"/>
        <v>0</v>
      </c>
      <c r="AK101">
        <f t="shared" si="539"/>
        <v>0</v>
      </c>
      <c r="AL101">
        <f t="shared" si="540"/>
        <v>0</v>
      </c>
      <c r="AM101">
        <f t="shared" si="541"/>
        <v>0</v>
      </c>
      <c r="AN101">
        <f t="shared" si="542"/>
        <v>0</v>
      </c>
      <c r="AO101">
        <f t="shared" si="543"/>
        <v>0</v>
      </c>
      <c r="AP101">
        <f t="shared" si="544"/>
        <v>1.1849913872840763</v>
      </c>
      <c r="AQ101">
        <f t="shared" si="545"/>
        <v>30.925004868533168</v>
      </c>
      <c r="AR101">
        <f t="shared" si="546"/>
        <v>0</v>
      </c>
      <c r="AS101">
        <f t="shared" si="547"/>
        <v>2.2718178075742053</v>
      </c>
      <c r="AT101">
        <f t="shared" si="548"/>
        <v>9.9338345115046653</v>
      </c>
      <c r="AU101">
        <f t="shared" si="549"/>
        <v>0</v>
      </c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</row>
    <row r="102" spans="1:68" x14ac:dyDescent="0.35">
      <c r="A102" s="1" t="s">
        <v>91</v>
      </c>
      <c r="B102" s="1">
        <v>100</v>
      </c>
      <c r="C102" s="1" t="s">
        <v>161</v>
      </c>
      <c r="D102" s="1" t="s">
        <v>162</v>
      </c>
      <c r="E102" s="6" t="s">
        <v>21</v>
      </c>
      <c r="F102" s="4">
        <v>8.3961616200000005E-2</v>
      </c>
      <c r="G102" s="4">
        <v>0</v>
      </c>
      <c r="H102" s="4">
        <v>0</v>
      </c>
      <c r="I102" s="4">
        <v>0</v>
      </c>
      <c r="J102" s="4">
        <v>0.25195474920000005</v>
      </c>
      <c r="K102" s="4">
        <v>0</v>
      </c>
      <c r="L102" s="4">
        <v>0.48871750620000004</v>
      </c>
      <c r="M102" s="4">
        <v>0</v>
      </c>
      <c r="N102" s="4">
        <v>0</v>
      </c>
      <c r="O102" s="4">
        <v>0</v>
      </c>
      <c r="P102" s="4">
        <v>0</v>
      </c>
      <c r="Q102" s="4">
        <v>6.6634906799999991E-2</v>
      </c>
      <c r="R102" s="4">
        <v>0</v>
      </c>
      <c r="S102" s="4">
        <v>0</v>
      </c>
      <c r="T102" s="4">
        <v>0</v>
      </c>
      <c r="U102" s="4">
        <v>1.2814892706000001</v>
      </c>
      <c r="V102" s="4">
        <v>0</v>
      </c>
      <c r="W102" s="4">
        <v>1.81458816E-2</v>
      </c>
      <c r="X102" s="4">
        <v>8.8469026800000017E-2</v>
      </c>
      <c r="Y102" s="4">
        <v>0</v>
      </c>
      <c r="Z102" s="14">
        <f t="shared" si="529"/>
        <v>2.2793729574000001</v>
      </c>
      <c r="AB102">
        <f t="shared" si="530"/>
        <v>3.6835400686587092</v>
      </c>
      <c r="AC102">
        <f t="shared" si="531"/>
        <v>0</v>
      </c>
      <c r="AD102">
        <f t="shared" si="532"/>
        <v>0</v>
      </c>
      <c r="AE102">
        <f t="shared" si="533"/>
        <v>0</v>
      </c>
      <c r="AF102">
        <f t="shared" si="534"/>
        <v>11.053686865154173</v>
      </c>
      <c r="AG102">
        <f t="shared" si="535"/>
        <v>0</v>
      </c>
      <c r="AH102">
        <f t="shared" si="536"/>
        <v>21.440874983331501</v>
      </c>
      <c r="AI102">
        <f t="shared" si="537"/>
        <v>0</v>
      </c>
      <c r="AJ102">
        <f t="shared" si="538"/>
        <v>0</v>
      </c>
      <c r="AK102">
        <f t="shared" si="539"/>
        <v>0</v>
      </c>
      <c r="AL102">
        <f t="shared" si="540"/>
        <v>0</v>
      </c>
      <c r="AM102">
        <f t="shared" si="541"/>
        <v>2.9233876177950302</v>
      </c>
      <c r="AN102">
        <f t="shared" si="542"/>
        <v>0</v>
      </c>
      <c r="AO102">
        <f t="shared" si="543"/>
        <v>0</v>
      </c>
      <c r="AP102">
        <f t="shared" si="544"/>
        <v>0</v>
      </c>
      <c r="AQ102">
        <f t="shared" si="545"/>
        <v>56.221131624802176</v>
      </c>
      <c r="AR102">
        <f t="shared" si="546"/>
        <v>0</v>
      </c>
      <c r="AS102">
        <f t="shared" si="547"/>
        <v>0.79609093988279844</v>
      </c>
      <c r="AT102">
        <f t="shared" si="548"/>
        <v>3.8812879003756144</v>
      </c>
      <c r="AU102">
        <f t="shared" si="549"/>
        <v>0</v>
      </c>
      <c r="AW102" s="16">
        <f>AVERAGE(AB102:AB104)</f>
        <v>6.4348831532953499</v>
      </c>
      <c r="AX102" s="16">
        <f>AVERAGE(AC102:AC104)</f>
        <v>0</v>
      </c>
      <c r="AY102" s="16">
        <f>AVERAGE(AD102:AD104)</f>
        <v>0</v>
      </c>
      <c r="AZ102" s="16">
        <f>AVERAGE(AE102:AE104)</f>
        <v>0</v>
      </c>
      <c r="BA102" s="16">
        <f>AVERAGE(AF102:AF104)</f>
        <v>15.721499925183833</v>
      </c>
      <c r="BB102" s="16">
        <f t="shared" ref="BB102" si="565">AVERAGE(AG102:AG104)</f>
        <v>0</v>
      </c>
      <c r="BC102" s="16">
        <f t="shared" ref="BC102" si="566">AVERAGE(AH102:AH104)</f>
        <v>14.467261042090199</v>
      </c>
      <c r="BD102" s="16">
        <f t="shared" ref="BD102" si="567">AVERAGE(AI102:AI104)</f>
        <v>0</v>
      </c>
      <c r="BE102" s="16">
        <f t="shared" ref="BE102" si="568">AVERAGE(AJ102:AJ104)</f>
        <v>0</v>
      </c>
      <c r="BF102" s="16">
        <f t="shared" ref="BF102" si="569">AVERAGE(AK102:AK104)</f>
        <v>0</v>
      </c>
      <c r="BG102" s="16">
        <f t="shared" ref="BG102" si="570">AVERAGE(AL102:AL104)</f>
        <v>0.21610114305284675</v>
      </c>
      <c r="BH102" s="16">
        <f t="shared" ref="BH102" si="571">AVERAGE(AM102:AM104)</f>
        <v>0.97446253926501003</v>
      </c>
      <c r="BI102" s="16">
        <f t="shared" ref="BI102" si="572">AVERAGE(AN102:AN104)</f>
        <v>0</v>
      </c>
      <c r="BJ102" s="16">
        <f t="shared" ref="BJ102" si="573">AVERAGE(AO102:AO104)</f>
        <v>2.4756153090325212</v>
      </c>
      <c r="BK102" s="16">
        <f t="shared" ref="BK102" si="574">AVERAGE(AP102:AP104)</f>
        <v>0</v>
      </c>
      <c r="BL102" s="16">
        <f t="shared" ref="BL102" si="575">AVERAGE(AQ102:AQ104)</f>
        <v>45.797106494781247</v>
      </c>
      <c r="BM102" s="16">
        <f t="shared" ref="BM102" si="576">AVERAGE(AR102:AR104)</f>
        <v>0</v>
      </c>
      <c r="BN102" s="16">
        <f t="shared" ref="BN102" si="577">AVERAGE(AS102:AS104)</f>
        <v>1.9542351054043274</v>
      </c>
      <c r="BO102" s="16">
        <f t="shared" ref="BO102" si="578">AVERAGE(AT102:AT104)</f>
        <v>11.95883528789467</v>
      </c>
      <c r="BP102" s="16">
        <f t="shared" ref="BP102" si="579">AVERAGE(AU102:AU104)</f>
        <v>0</v>
      </c>
    </row>
    <row r="103" spans="1:68" x14ac:dyDescent="0.35">
      <c r="A103" s="1" t="s">
        <v>91</v>
      </c>
      <c r="B103" s="1">
        <v>101</v>
      </c>
      <c r="C103" s="1" t="s">
        <v>163</v>
      </c>
      <c r="D103" s="1" t="s">
        <v>162</v>
      </c>
      <c r="E103" s="6" t="s">
        <v>21</v>
      </c>
      <c r="F103" s="4">
        <v>8.3407909199999991E-2</v>
      </c>
      <c r="G103" s="4">
        <v>0</v>
      </c>
      <c r="H103" s="4">
        <v>0</v>
      </c>
      <c r="I103" s="4">
        <v>0</v>
      </c>
      <c r="J103" s="4">
        <v>0.87402060900000011</v>
      </c>
      <c r="K103" s="4">
        <v>0</v>
      </c>
      <c r="L103" s="4">
        <v>0.27259741739999999</v>
      </c>
      <c r="M103" s="4">
        <v>0</v>
      </c>
      <c r="N103" s="4">
        <v>0</v>
      </c>
      <c r="O103" s="4">
        <v>0</v>
      </c>
      <c r="P103" s="4">
        <v>2.2167129600000002E-2</v>
      </c>
      <c r="Q103" s="4">
        <v>0</v>
      </c>
      <c r="R103" s="4">
        <v>0</v>
      </c>
      <c r="S103" s="4">
        <v>0.25394259660000001</v>
      </c>
      <c r="T103" s="4">
        <v>0</v>
      </c>
      <c r="U103" s="4">
        <v>1.5645505721999999</v>
      </c>
      <c r="V103" s="4">
        <v>0</v>
      </c>
      <c r="W103" s="4">
        <v>0.12581244060000002</v>
      </c>
      <c r="X103" s="4">
        <v>0.2227535772</v>
      </c>
      <c r="Y103" s="4">
        <v>0</v>
      </c>
      <c r="Z103" s="14">
        <f t="shared" si="529"/>
        <v>3.4192522517999997</v>
      </c>
      <c r="AB103">
        <f t="shared" si="530"/>
        <v>2.4393610958680072</v>
      </c>
      <c r="AC103">
        <f t="shared" si="531"/>
        <v>0</v>
      </c>
      <c r="AD103">
        <f t="shared" si="532"/>
        <v>0</v>
      </c>
      <c r="AE103">
        <f t="shared" si="533"/>
        <v>0</v>
      </c>
      <c r="AF103">
        <f t="shared" si="534"/>
        <v>25.561746973768567</v>
      </c>
      <c r="AG103">
        <f t="shared" si="535"/>
        <v>0</v>
      </c>
      <c r="AH103">
        <f t="shared" si="536"/>
        <v>7.9724278095158478</v>
      </c>
      <c r="AI103">
        <f t="shared" si="537"/>
        <v>0</v>
      </c>
      <c r="AJ103">
        <f t="shared" si="538"/>
        <v>0</v>
      </c>
      <c r="AK103">
        <f t="shared" si="539"/>
        <v>0</v>
      </c>
      <c r="AL103">
        <f t="shared" si="540"/>
        <v>0.64830342915854022</v>
      </c>
      <c r="AM103">
        <f t="shared" si="541"/>
        <v>0</v>
      </c>
      <c r="AN103">
        <f t="shared" si="542"/>
        <v>0</v>
      </c>
      <c r="AO103">
        <f t="shared" si="543"/>
        <v>7.4268459270975642</v>
      </c>
      <c r="AP103">
        <f t="shared" si="544"/>
        <v>0</v>
      </c>
      <c r="AQ103">
        <f t="shared" si="545"/>
        <v>45.757097078063552</v>
      </c>
      <c r="AR103">
        <f t="shared" si="546"/>
        <v>0</v>
      </c>
      <c r="AS103">
        <f t="shared" si="547"/>
        <v>3.6795308253074479</v>
      </c>
      <c r="AT103">
        <f t="shared" si="548"/>
        <v>6.51468686122048</v>
      </c>
      <c r="AU103">
        <f t="shared" si="549"/>
        <v>0</v>
      </c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</row>
    <row r="104" spans="1:68" x14ac:dyDescent="0.35">
      <c r="A104" s="1" t="s">
        <v>91</v>
      </c>
      <c r="B104" s="1">
        <v>102</v>
      </c>
      <c r="C104" s="1" t="s">
        <v>164</v>
      </c>
      <c r="D104" s="1" t="s">
        <v>162</v>
      </c>
      <c r="E104" s="6" t="s">
        <v>21</v>
      </c>
      <c r="F104" s="4">
        <v>0.41950413120000002</v>
      </c>
      <c r="G104" s="4">
        <v>0</v>
      </c>
      <c r="H104" s="4">
        <v>0</v>
      </c>
      <c r="I104" s="4">
        <v>0</v>
      </c>
      <c r="J104" s="4">
        <v>0.33572001540000002</v>
      </c>
      <c r="K104" s="4">
        <v>0</v>
      </c>
      <c r="L104" s="4">
        <v>0.44517807180000002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1.1270081591999999</v>
      </c>
      <c r="V104" s="4">
        <v>0</v>
      </c>
      <c r="W104" s="4">
        <v>4.4143407000000003E-2</v>
      </c>
      <c r="X104" s="4">
        <v>0.81090822119999995</v>
      </c>
      <c r="Y104" s="4">
        <v>0</v>
      </c>
      <c r="Z104" s="14">
        <f t="shared" si="529"/>
        <v>3.1824620057999997</v>
      </c>
      <c r="AB104">
        <f t="shared" si="530"/>
        <v>13.181748295359336</v>
      </c>
      <c r="AC104">
        <f t="shared" si="531"/>
        <v>0</v>
      </c>
      <c r="AD104">
        <f t="shared" si="532"/>
        <v>0</v>
      </c>
      <c r="AE104">
        <f t="shared" si="533"/>
        <v>0</v>
      </c>
      <c r="AF104">
        <f t="shared" si="534"/>
        <v>10.549065936628756</v>
      </c>
      <c r="AG104">
        <f t="shared" si="535"/>
        <v>0</v>
      </c>
      <c r="AH104">
        <f t="shared" si="536"/>
        <v>13.988480333423247</v>
      </c>
      <c r="AI104">
        <f t="shared" si="537"/>
        <v>0</v>
      </c>
      <c r="AJ104">
        <f t="shared" si="538"/>
        <v>0</v>
      </c>
      <c r="AK104">
        <f t="shared" si="539"/>
        <v>0</v>
      </c>
      <c r="AL104">
        <f t="shared" si="540"/>
        <v>0</v>
      </c>
      <c r="AM104">
        <f t="shared" si="541"/>
        <v>0</v>
      </c>
      <c r="AN104">
        <f t="shared" si="542"/>
        <v>0</v>
      </c>
      <c r="AO104">
        <f t="shared" si="543"/>
        <v>0</v>
      </c>
      <c r="AP104">
        <f t="shared" si="544"/>
        <v>0</v>
      </c>
      <c r="AQ104">
        <f t="shared" si="545"/>
        <v>35.413090781478004</v>
      </c>
      <c r="AR104">
        <f t="shared" si="546"/>
        <v>0</v>
      </c>
      <c r="AS104">
        <f t="shared" si="547"/>
        <v>1.3870835510227353</v>
      </c>
      <c r="AT104">
        <f t="shared" si="548"/>
        <v>25.480531102087916</v>
      </c>
      <c r="AU104">
        <f t="shared" si="549"/>
        <v>0</v>
      </c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</row>
    <row r="105" spans="1:68" x14ac:dyDescent="0.35">
      <c r="A105" s="1" t="s">
        <v>116</v>
      </c>
      <c r="B105" s="1">
        <v>103</v>
      </c>
      <c r="C105" s="1" t="s">
        <v>165</v>
      </c>
      <c r="D105" s="1" t="s">
        <v>166</v>
      </c>
      <c r="E105" s="6" t="s">
        <v>53</v>
      </c>
      <c r="F105" s="4">
        <v>1.0489150518000001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1.3462439298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0.14596501920000002</v>
      </c>
      <c r="Y105" s="4">
        <v>6.4951009200000007E-2</v>
      </c>
      <c r="Z105" s="14">
        <f t="shared" si="529"/>
        <v>2.6060750100000001</v>
      </c>
      <c r="AB105">
        <f t="shared" si="530"/>
        <v>40.248843482060792</v>
      </c>
      <c r="AC105">
        <f t="shared" si="531"/>
        <v>0</v>
      </c>
      <c r="AD105">
        <f t="shared" si="532"/>
        <v>0</v>
      </c>
      <c r="AE105">
        <f t="shared" si="533"/>
        <v>0</v>
      </c>
      <c r="AF105">
        <f t="shared" si="534"/>
        <v>0</v>
      </c>
      <c r="AG105">
        <f t="shared" si="535"/>
        <v>0</v>
      </c>
      <c r="AH105">
        <f t="shared" si="536"/>
        <v>51.657911788195221</v>
      </c>
      <c r="AI105">
        <f t="shared" si="537"/>
        <v>0</v>
      </c>
      <c r="AJ105">
        <f t="shared" si="538"/>
        <v>0</v>
      </c>
      <c r="AK105">
        <f t="shared" si="539"/>
        <v>0</v>
      </c>
      <c r="AL105">
        <f t="shared" si="540"/>
        <v>0</v>
      </c>
      <c r="AM105">
        <f t="shared" si="541"/>
        <v>0</v>
      </c>
      <c r="AN105">
        <f t="shared" si="542"/>
        <v>0</v>
      </c>
      <c r="AO105">
        <f t="shared" si="543"/>
        <v>0</v>
      </c>
      <c r="AP105">
        <f t="shared" si="544"/>
        <v>0</v>
      </c>
      <c r="AQ105">
        <f t="shared" si="545"/>
        <v>0</v>
      </c>
      <c r="AR105">
        <f t="shared" si="546"/>
        <v>0</v>
      </c>
      <c r="AS105">
        <f t="shared" si="547"/>
        <v>0</v>
      </c>
      <c r="AT105">
        <f t="shared" si="548"/>
        <v>5.6009523378991313</v>
      </c>
      <c r="AU105">
        <f t="shared" si="549"/>
        <v>2.4922923918448534</v>
      </c>
      <c r="AW105" s="16">
        <f>AVERAGE(AB105:AB107)</f>
        <v>29.208473519396389</v>
      </c>
      <c r="AX105" s="16">
        <f>AVERAGE(AC105:AC107)</f>
        <v>0</v>
      </c>
      <c r="AY105" s="16">
        <f>AVERAGE(AD105:AD107)</f>
        <v>0</v>
      </c>
      <c r="AZ105" s="16">
        <f>AVERAGE(AE105:AE107)</f>
        <v>0</v>
      </c>
      <c r="BA105" s="16">
        <f>AVERAGE(AF105:AF107)</f>
        <v>0</v>
      </c>
      <c r="BB105" s="16">
        <f t="shared" ref="BB105" si="580">AVERAGE(AG105:AG107)</f>
        <v>0</v>
      </c>
      <c r="BC105" s="16">
        <f t="shared" ref="BC105" si="581">AVERAGE(AH105:AH107)</f>
        <v>37.564520466888268</v>
      </c>
      <c r="BD105" s="16">
        <f t="shared" ref="BD105" si="582">AVERAGE(AI105:AI107)</f>
        <v>0</v>
      </c>
      <c r="BE105" s="16">
        <f t="shared" ref="BE105" si="583">AVERAGE(AJ105:AJ107)</f>
        <v>0</v>
      </c>
      <c r="BF105" s="16">
        <f t="shared" ref="BF105" si="584">AVERAGE(AK105:AK107)</f>
        <v>0</v>
      </c>
      <c r="BG105" s="16">
        <f t="shared" ref="BG105" si="585">AVERAGE(AL105:AL107)</f>
        <v>3.7353390027264108</v>
      </c>
      <c r="BH105" s="16">
        <f t="shared" ref="BH105" si="586">AVERAGE(AM105:AM107)</f>
        <v>0</v>
      </c>
      <c r="BI105" s="16">
        <f t="shared" ref="BI105" si="587">AVERAGE(AN105:AN107)</f>
        <v>0</v>
      </c>
      <c r="BJ105" s="16">
        <f t="shared" ref="BJ105" si="588">AVERAGE(AO105:AO107)</f>
        <v>0</v>
      </c>
      <c r="BK105" s="16">
        <f t="shared" ref="BK105" si="589">AVERAGE(AP105:AP107)</f>
        <v>0</v>
      </c>
      <c r="BL105" s="16">
        <f t="shared" ref="BL105" si="590">AVERAGE(AQ105:AQ107)</f>
        <v>7.3425565453879722</v>
      </c>
      <c r="BM105" s="16">
        <f t="shared" ref="BM105" si="591">AVERAGE(AR105:AR107)</f>
        <v>0</v>
      </c>
      <c r="BN105" s="16">
        <f t="shared" ref="BN105" si="592">AVERAGE(AS105:AS107)</f>
        <v>0</v>
      </c>
      <c r="BO105" s="16">
        <f t="shared" ref="BO105" si="593">AVERAGE(AT105:AT107)</f>
        <v>16.975667428185467</v>
      </c>
      <c r="BP105" s="16">
        <f t="shared" ref="BP105" si="594">AVERAGE(AU105:AU107)</f>
        <v>5.173443037415498</v>
      </c>
    </row>
    <row r="106" spans="1:68" x14ac:dyDescent="0.35">
      <c r="A106" s="1" t="s">
        <v>116</v>
      </c>
      <c r="B106" s="1">
        <v>104</v>
      </c>
      <c r="C106" s="1" t="s">
        <v>167</v>
      </c>
      <c r="D106" s="1" t="s">
        <v>166</v>
      </c>
      <c r="E106" s="6" t="s">
        <v>53</v>
      </c>
      <c r="F106" s="4">
        <v>1.0962895944000002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0.94346174999999999</v>
      </c>
      <c r="M106" s="4">
        <v>0</v>
      </c>
      <c r="N106" s="4">
        <v>0</v>
      </c>
      <c r="O106" s="4">
        <v>0</v>
      </c>
      <c r="P106" s="4">
        <v>0.31969235759999998</v>
      </c>
      <c r="Q106" s="4">
        <v>0</v>
      </c>
      <c r="R106" s="4">
        <v>0</v>
      </c>
      <c r="S106" s="4">
        <v>0</v>
      </c>
      <c r="T106" s="4">
        <v>0</v>
      </c>
      <c r="U106" s="4">
        <v>0.11341176</v>
      </c>
      <c r="V106" s="4">
        <v>0</v>
      </c>
      <c r="W106" s="4">
        <v>0</v>
      </c>
      <c r="X106" s="4">
        <v>0.29330370299999997</v>
      </c>
      <c r="Y106" s="4">
        <v>8.6704233000000006E-2</v>
      </c>
      <c r="Z106" s="14">
        <f t="shared" si="529"/>
        <v>2.8528633979999998</v>
      </c>
      <c r="AB106">
        <f t="shared" si="530"/>
        <v>38.427693214072363</v>
      </c>
      <c r="AC106">
        <f t="shared" si="531"/>
        <v>0</v>
      </c>
      <c r="AD106">
        <f t="shared" si="532"/>
        <v>0</v>
      </c>
      <c r="AE106">
        <f t="shared" si="533"/>
        <v>0</v>
      </c>
      <c r="AF106">
        <f t="shared" si="534"/>
        <v>0</v>
      </c>
      <c r="AG106">
        <f t="shared" si="535"/>
        <v>0</v>
      </c>
      <c r="AH106">
        <f t="shared" si="536"/>
        <v>33.070694890663674</v>
      </c>
      <c r="AI106">
        <f t="shared" si="537"/>
        <v>0</v>
      </c>
      <c r="AJ106">
        <f t="shared" si="538"/>
        <v>0</v>
      </c>
      <c r="AK106">
        <f t="shared" si="539"/>
        <v>0</v>
      </c>
      <c r="AL106">
        <f t="shared" si="540"/>
        <v>11.206017008179233</v>
      </c>
      <c r="AM106">
        <f t="shared" si="541"/>
        <v>0</v>
      </c>
      <c r="AN106">
        <f t="shared" si="542"/>
        <v>0</v>
      </c>
      <c r="AO106">
        <f t="shared" si="543"/>
        <v>0</v>
      </c>
      <c r="AP106">
        <f t="shared" si="544"/>
        <v>0</v>
      </c>
      <c r="AQ106">
        <f t="shared" si="545"/>
        <v>3.9753659456498101</v>
      </c>
      <c r="AR106">
        <f t="shared" si="546"/>
        <v>0</v>
      </c>
      <c r="AS106">
        <f t="shared" si="547"/>
        <v>0</v>
      </c>
      <c r="AT106">
        <f t="shared" si="548"/>
        <v>10.281028639703555</v>
      </c>
      <c r="AU106">
        <f t="shared" si="549"/>
        <v>3.0392003017313769</v>
      </c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</row>
    <row r="107" spans="1:68" x14ac:dyDescent="0.35">
      <c r="A107" s="1" t="s">
        <v>116</v>
      </c>
      <c r="B107" s="1">
        <v>105</v>
      </c>
      <c r="C107" s="1" t="s">
        <v>168</v>
      </c>
      <c r="D107" s="1" t="s">
        <v>166</v>
      </c>
      <c r="E107" s="6" t="s">
        <v>53</v>
      </c>
      <c r="F107" s="4">
        <v>0.19152057540000003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0.59849522040000014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0.38634847019999996</v>
      </c>
      <c r="V107" s="4">
        <v>0</v>
      </c>
      <c r="W107" s="4">
        <v>0</v>
      </c>
      <c r="X107" s="4">
        <v>0.75002008620000005</v>
      </c>
      <c r="Y107" s="4">
        <v>0.2137772406</v>
      </c>
      <c r="Z107" s="14">
        <f t="shared" si="529"/>
        <v>2.1401615928000002</v>
      </c>
      <c r="AB107">
        <f t="shared" si="530"/>
        <v>8.9488838620560074</v>
      </c>
      <c r="AC107">
        <f t="shared" si="531"/>
        <v>0</v>
      </c>
      <c r="AD107">
        <f t="shared" si="532"/>
        <v>0</v>
      </c>
      <c r="AE107">
        <f t="shared" si="533"/>
        <v>0</v>
      </c>
      <c r="AF107">
        <f t="shared" si="534"/>
        <v>0</v>
      </c>
      <c r="AG107">
        <f t="shared" si="535"/>
        <v>0</v>
      </c>
      <c r="AH107">
        <f t="shared" si="536"/>
        <v>27.964954721805906</v>
      </c>
      <c r="AI107">
        <f t="shared" si="537"/>
        <v>0</v>
      </c>
      <c r="AJ107">
        <f t="shared" si="538"/>
        <v>0</v>
      </c>
      <c r="AK107">
        <f t="shared" si="539"/>
        <v>0</v>
      </c>
      <c r="AL107">
        <f t="shared" si="540"/>
        <v>0</v>
      </c>
      <c r="AM107">
        <f t="shared" si="541"/>
        <v>0</v>
      </c>
      <c r="AN107">
        <f t="shared" si="542"/>
        <v>0</v>
      </c>
      <c r="AO107">
        <f t="shared" si="543"/>
        <v>0</v>
      </c>
      <c r="AP107">
        <f t="shared" si="544"/>
        <v>0</v>
      </c>
      <c r="AQ107">
        <f t="shared" si="545"/>
        <v>18.052303690514108</v>
      </c>
      <c r="AR107">
        <f t="shared" si="546"/>
        <v>0</v>
      </c>
      <c r="AS107">
        <f t="shared" si="547"/>
        <v>0</v>
      </c>
      <c r="AT107">
        <f t="shared" si="548"/>
        <v>35.045021306953714</v>
      </c>
      <c r="AU107">
        <f t="shared" si="549"/>
        <v>9.9888364186702638</v>
      </c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</row>
    <row r="108" spans="1:68" x14ac:dyDescent="0.35">
      <c r="A108" s="1" t="s">
        <v>116</v>
      </c>
      <c r="B108" s="1">
        <v>106</v>
      </c>
      <c r="C108" s="1" t="s">
        <v>169</v>
      </c>
      <c r="D108" s="1" t="s">
        <v>170</v>
      </c>
      <c r="E108" s="6" t="s">
        <v>53</v>
      </c>
      <c r="F108" s="4">
        <v>1.6001676767999999</v>
      </c>
      <c r="G108" s="4">
        <v>0</v>
      </c>
      <c r="H108" s="4">
        <v>0</v>
      </c>
      <c r="I108" s="4">
        <v>0.1156807806</v>
      </c>
      <c r="J108" s="4">
        <v>0</v>
      </c>
      <c r="K108" s="4">
        <v>0</v>
      </c>
      <c r="L108" s="4">
        <v>0.79006134900000013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0.10927191659999999</v>
      </c>
      <c r="V108" s="4">
        <v>0</v>
      </c>
      <c r="W108" s="4">
        <v>0</v>
      </c>
      <c r="X108" s="4">
        <v>2.1382515000000001E-2</v>
      </c>
      <c r="Y108" s="4">
        <v>0.12069477420000002</v>
      </c>
      <c r="Z108" s="14">
        <f t="shared" si="529"/>
        <v>2.7572590122</v>
      </c>
      <c r="AB108">
        <f t="shared" si="530"/>
        <v>58.034724692883898</v>
      </c>
      <c r="AC108">
        <f t="shared" si="531"/>
        <v>0</v>
      </c>
      <c r="AD108">
        <f t="shared" si="532"/>
        <v>0</v>
      </c>
      <c r="AE108">
        <f t="shared" si="533"/>
        <v>4.1954992290586084</v>
      </c>
      <c r="AF108">
        <f t="shared" si="534"/>
        <v>0</v>
      </c>
      <c r="AG108">
        <f t="shared" si="535"/>
        <v>0</v>
      </c>
      <c r="AH108">
        <f t="shared" si="536"/>
        <v>28.653867681789354</v>
      </c>
      <c r="AI108">
        <f t="shared" si="537"/>
        <v>0</v>
      </c>
      <c r="AJ108">
        <f t="shared" si="538"/>
        <v>0</v>
      </c>
      <c r="AK108">
        <f t="shared" si="539"/>
        <v>0</v>
      </c>
      <c r="AL108">
        <f t="shared" si="540"/>
        <v>0</v>
      </c>
      <c r="AM108">
        <f t="shared" si="541"/>
        <v>0</v>
      </c>
      <c r="AN108">
        <f t="shared" si="542"/>
        <v>0</v>
      </c>
      <c r="AO108">
        <f t="shared" si="543"/>
        <v>0</v>
      </c>
      <c r="AP108">
        <f t="shared" si="544"/>
        <v>0</v>
      </c>
      <c r="AQ108">
        <f t="shared" si="545"/>
        <v>3.9630631767456839</v>
      </c>
      <c r="AR108">
        <f t="shared" si="546"/>
        <v>0</v>
      </c>
      <c r="AS108">
        <f t="shared" si="547"/>
        <v>0</v>
      </c>
      <c r="AT108">
        <f t="shared" si="548"/>
        <v>0.77549896130139129</v>
      </c>
      <c r="AU108">
        <f t="shared" si="549"/>
        <v>4.3773462582210731</v>
      </c>
      <c r="AW108" s="16">
        <f>AVERAGE(AB108:AB110)</f>
        <v>59.462692952903531</v>
      </c>
      <c r="AX108" s="16">
        <f>AVERAGE(AC108:AC110)</f>
        <v>0</v>
      </c>
      <c r="AY108" s="16">
        <f>AVERAGE(AD108:AD110)</f>
        <v>0</v>
      </c>
      <c r="AZ108" s="16">
        <f>AVERAGE(AE108:AE110)</f>
        <v>1.3984997430195361</v>
      </c>
      <c r="BA108" s="16">
        <f>AVERAGE(AF108:AF110)</f>
        <v>0</v>
      </c>
      <c r="BB108" s="16">
        <f t="shared" ref="BB108" si="595">AVERAGE(AG108:AG110)</f>
        <v>0</v>
      </c>
      <c r="BC108" s="16">
        <f t="shared" ref="BC108" si="596">AVERAGE(AH108:AH110)</f>
        <v>25.762938351832982</v>
      </c>
      <c r="BD108" s="16">
        <f t="shared" ref="BD108" si="597">AVERAGE(AI108:AI110)</f>
        <v>0</v>
      </c>
      <c r="BE108" s="16">
        <f t="shared" ref="BE108" si="598">AVERAGE(AJ108:AJ110)</f>
        <v>0</v>
      </c>
      <c r="BF108" s="16">
        <f t="shared" ref="BF108" si="599">AVERAGE(AK108:AK110)</f>
        <v>0</v>
      </c>
      <c r="BG108" s="16">
        <f t="shared" ref="BG108" si="600">AVERAGE(AL108:AL110)</f>
        <v>0</v>
      </c>
      <c r="BH108" s="16">
        <f t="shared" ref="BH108" si="601">AVERAGE(AM108:AM110)</f>
        <v>0</v>
      </c>
      <c r="BI108" s="16">
        <f t="shared" ref="BI108" si="602">AVERAGE(AN108:AN110)</f>
        <v>0</v>
      </c>
      <c r="BJ108" s="16">
        <f t="shared" ref="BJ108" si="603">AVERAGE(AO108:AO110)</f>
        <v>1.3125181895543232</v>
      </c>
      <c r="BK108" s="16">
        <f t="shared" ref="BK108" si="604">AVERAGE(AP108:AP110)</f>
        <v>0</v>
      </c>
      <c r="BL108" s="16">
        <f t="shared" ref="BL108" si="605">AVERAGE(AQ108:AQ110)</f>
        <v>3.9394481797637133</v>
      </c>
      <c r="BM108" s="16">
        <f t="shared" ref="BM108" si="606">AVERAGE(AR108:AR110)</f>
        <v>0</v>
      </c>
      <c r="BN108" s="16">
        <f t="shared" ref="BN108" si="607">AVERAGE(AS108:AS110)</f>
        <v>0</v>
      </c>
      <c r="BO108" s="16">
        <f t="shared" ref="BO108" si="608">AVERAGE(AT108:AT110)</f>
        <v>3.7337441443952373</v>
      </c>
      <c r="BP108" s="16">
        <f t="shared" ref="BP108" si="609">AVERAGE(AU108:AU110)</f>
        <v>4.390158438530686</v>
      </c>
    </row>
    <row r="109" spans="1:68" x14ac:dyDescent="0.35">
      <c r="A109" s="1" t="s">
        <v>116</v>
      </c>
      <c r="B109" s="1">
        <v>107</v>
      </c>
      <c r="C109" s="1" t="s">
        <v>171</v>
      </c>
      <c r="D109" s="1" t="s">
        <v>170</v>
      </c>
      <c r="E109" s="6" t="s">
        <v>53</v>
      </c>
      <c r="F109" s="4">
        <v>1.7840172504000003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0.65387377440000005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0.21074166959999999</v>
      </c>
      <c r="V109" s="4">
        <v>0</v>
      </c>
      <c r="W109" s="4">
        <v>0</v>
      </c>
      <c r="X109" s="4">
        <v>1.4313915E-2</v>
      </c>
      <c r="Y109" s="4">
        <v>1.98556974E-2</v>
      </c>
      <c r="Z109" s="14">
        <f t="shared" si="529"/>
        <v>2.6828023068000002</v>
      </c>
      <c r="AB109">
        <f t="shared" si="530"/>
        <v>66.498274803108586</v>
      </c>
      <c r="AC109">
        <f t="shared" si="531"/>
        <v>0</v>
      </c>
      <c r="AD109">
        <f t="shared" si="532"/>
        <v>0</v>
      </c>
      <c r="AE109">
        <f t="shared" si="533"/>
        <v>0</v>
      </c>
      <c r="AF109">
        <f t="shared" si="534"/>
        <v>0</v>
      </c>
      <c r="AG109">
        <f t="shared" si="535"/>
        <v>0</v>
      </c>
      <c r="AH109">
        <f t="shared" si="536"/>
        <v>24.37279007635599</v>
      </c>
      <c r="AI109">
        <f t="shared" si="537"/>
        <v>0</v>
      </c>
      <c r="AJ109">
        <f t="shared" si="538"/>
        <v>0</v>
      </c>
      <c r="AK109">
        <f t="shared" si="539"/>
        <v>0</v>
      </c>
      <c r="AL109">
        <f t="shared" si="540"/>
        <v>0</v>
      </c>
      <c r="AM109">
        <f t="shared" si="541"/>
        <v>0</v>
      </c>
      <c r="AN109">
        <f t="shared" si="542"/>
        <v>0</v>
      </c>
      <c r="AO109">
        <f t="shared" si="543"/>
        <v>0</v>
      </c>
      <c r="AP109">
        <f t="shared" si="544"/>
        <v>0</v>
      </c>
      <c r="AQ109">
        <f t="shared" si="545"/>
        <v>7.8552813625454565</v>
      </c>
      <c r="AR109">
        <f t="shared" si="546"/>
        <v>0</v>
      </c>
      <c r="AS109">
        <f t="shared" si="547"/>
        <v>0</v>
      </c>
      <c r="AT109">
        <f t="shared" si="548"/>
        <v>0.53354341330775834</v>
      </c>
      <c r="AU109">
        <f t="shared" si="549"/>
        <v>0.74011034468221881</v>
      </c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</row>
    <row r="110" spans="1:68" x14ac:dyDescent="0.35">
      <c r="A110" s="1" t="s">
        <v>116</v>
      </c>
      <c r="B110" s="1">
        <v>108</v>
      </c>
      <c r="C110" s="1" t="s">
        <v>172</v>
      </c>
      <c r="D110" s="1" t="s">
        <v>170</v>
      </c>
      <c r="E110" s="6" t="s">
        <v>53</v>
      </c>
      <c r="F110" s="4">
        <v>1.4785594823999999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0.66610323780000014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0.10810324140000001</v>
      </c>
      <c r="T110" s="4">
        <v>0</v>
      </c>
      <c r="U110" s="4">
        <v>0</v>
      </c>
      <c r="V110" s="4">
        <v>0</v>
      </c>
      <c r="W110" s="4">
        <v>0</v>
      </c>
      <c r="X110" s="4">
        <v>0.27158425139999998</v>
      </c>
      <c r="Y110" s="4">
        <v>0.22109088539999999</v>
      </c>
      <c r="Z110" s="14">
        <f t="shared" si="529"/>
        <v>2.7454410983999997</v>
      </c>
      <c r="AB110">
        <f t="shared" si="530"/>
        <v>53.855079362718115</v>
      </c>
      <c r="AC110">
        <f t="shared" si="531"/>
        <v>0</v>
      </c>
      <c r="AD110">
        <f t="shared" si="532"/>
        <v>0</v>
      </c>
      <c r="AE110">
        <f t="shared" si="533"/>
        <v>0</v>
      </c>
      <c r="AF110">
        <f t="shared" si="534"/>
        <v>0</v>
      </c>
      <c r="AG110">
        <f t="shared" si="535"/>
        <v>0</v>
      </c>
      <c r="AH110">
        <f t="shared" si="536"/>
        <v>24.262157297353593</v>
      </c>
      <c r="AI110">
        <f t="shared" si="537"/>
        <v>0</v>
      </c>
      <c r="AJ110">
        <f t="shared" si="538"/>
        <v>0</v>
      </c>
      <c r="AK110">
        <f t="shared" si="539"/>
        <v>0</v>
      </c>
      <c r="AL110">
        <f t="shared" si="540"/>
        <v>0</v>
      </c>
      <c r="AM110">
        <f t="shared" si="541"/>
        <v>0</v>
      </c>
      <c r="AN110">
        <f t="shared" si="542"/>
        <v>0</v>
      </c>
      <c r="AO110">
        <f t="shared" si="543"/>
        <v>3.9375545686629696</v>
      </c>
      <c r="AP110">
        <f t="shared" si="544"/>
        <v>0</v>
      </c>
      <c r="AQ110">
        <f t="shared" si="545"/>
        <v>0</v>
      </c>
      <c r="AR110">
        <f t="shared" si="546"/>
        <v>0</v>
      </c>
      <c r="AS110">
        <f t="shared" si="547"/>
        <v>0</v>
      </c>
      <c r="AT110">
        <f t="shared" si="548"/>
        <v>9.8921900585765634</v>
      </c>
      <c r="AU110">
        <f t="shared" si="549"/>
        <v>8.0530187126887665</v>
      </c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</row>
    <row r="111" spans="1:68" x14ac:dyDescent="0.35">
      <c r="A111" s="1" t="s">
        <v>116</v>
      </c>
      <c r="B111" s="1">
        <v>109</v>
      </c>
      <c r="C111" s="1" t="s">
        <v>173</v>
      </c>
      <c r="D111" s="1" t="s">
        <v>174</v>
      </c>
      <c r="E111" s="6" t="s">
        <v>27</v>
      </c>
      <c r="F111" s="4">
        <v>0.47727501359999996</v>
      </c>
      <c r="G111" s="4">
        <v>0</v>
      </c>
      <c r="H111" s="4">
        <v>0</v>
      </c>
      <c r="I111" s="4">
        <v>0</v>
      </c>
      <c r="J111" s="4">
        <v>0</v>
      </c>
      <c r="K111" s="4">
        <v>9.15980604E-2</v>
      </c>
      <c r="L111" s="4">
        <v>0.70111872600000003</v>
      </c>
      <c r="M111" s="4">
        <v>0</v>
      </c>
      <c r="N111" s="4">
        <v>0</v>
      </c>
      <c r="O111" s="4">
        <v>0</v>
      </c>
      <c r="P111" s="4">
        <v>0</v>
      </c>
      <c r="Q111" s="4">
        <v>4.3373715E-2</v>
      </c>
      <c r="R111" s="4">
        <v>0</v>
      </c>
      <c r="S111" s="4">
        <v>0</v>
      </c>
      <c r="T111" s="4">
        <v>7.0426032599999994E-2</v>
      </c>
      <c r="U111" s="4">
        <v>0.31133098920000002</v>
      </c>
      <c r="V111" s="4">
        <v>0</v>
      </c>
      <c r="W111" s="4">
        <v>0</v>
      </c>
      <c r="X111" s="4">
        <v>7.5103089599999992E-2</v>
      </c>
      <c r="Y111" s="4">
        <v>1.5174713400000001E-2</v>
      </c>
      <c r="Z111" s="14">
        <f t="shared" si="529"/>
        <v>1.7854003398</v>
      </c>
      <c r="AB111">
        <f t="shared" si="530"/>
        <v>26.732100524494363</v>
      </c>
      <c r="AC111">
        <f t="shared" si="531"/>
        <v>0</v>
      </c>
      <c r="AD111">
        <f t="shared" si="532"/>
        <v>0</v>
      </c>
      <c r="AE111">
        <f t="shared" si="533"/>
        <v>0</v>
      </c>
      <c r="AF111">
        <f t="shared" si="534"/>
        <v>0</v>
      </c>
      <c r="AG111">
        <f t="shared" si="535"/>
        <v>5.1303933553782555</v>
      </c>
      <c r="AH111">
        <f t="shared" si="536"/>
        <v>39.269552624737322</v>
      </c>
      <c r="AI111">
        <f t="shared" si="537"/>
        <v>0</v>
      </c>
      <c r="AJ111">
        <f t="shared" si="538"/>
        <v>0</v>
      </c>
      <c r="AK111">
        <f t="shared" si="539"/>
        <v>0</v>
      </c>
      <c r="AL111">
        <f t="shared" si="540"/>
        <v>0</v>
      </c>
      <c r="AM111">
        <f t="shared" si="541"/>
        <v>2.4293551442282522</v>
      </c>
      <c r="AN111">
        <f t="shared" si="542"/>
        <v>0</v>
      </c>
      <c r="AO111">
        <f t="shared" si="543"/>
        <v>0</v>
      </c>
      <c r="AP111">
        <f t="shared" si="544"/>
        <v>3.9445513160308399</v>
      </c>
      <c r="AQ111">
        <f t="shared" si="545"/>
        <v>17.437601094826451</v>
      </c>
      <c r="AR111">
        <f t="shared" si="546"/>
        <v>0</v>
      </c>
      <c r="AS111">
        <f t="shared" si="547"/>
        <v>0</v>
      </c>
      <c r="AT111">
        <f t="shared" si="548"/>
        <v>4.2065125633622884</v>
      </c>
      <c r="AU111">
        <f t="shared" si="549"/>
        <v>0.84993337694221938</v>
      </c>
      <c r="AW111" s="16">
        <f>AVERAGE(AB111:AB113)</f>
        <v>31.129066972643312</v>
      </c>
      <c r="AX111" s="16">
        <f>AVERAGE(AC111:AC113)</f>
        <v>0</v>
      </c>
      <c r="AY111" s="16">
        <f>AVERAGE(AD111:AD113)</f>
        <v>0</v>
      </c>
      <c r="AZ111" s="16">
        <f>AVERAGE(AE111:AE113)</f>
        <v>0</v>
      </c>
      <c r="BA111" s="16">
        <f>AVERAGE(AF111:AF113)</f>
        <v>0.68776892860941718</v>
      </c>
      <c r="BB111" s="16">
        <f t="shared" ref="BB111" si="610">AVERAGE(AG111:AG113)</f>
        <v>1.7101311184594186</v>
      </c>
      <c r="BC111" s="16">
        <f t="shared" ref="BC111" si="611">AVERAGE(AH111:AH113)</f>
        <v>41.873586283551099</v>
      </c>
      <c r="BD111" s="16">
        <f t="shared" ref="BD111" si="612">AVERAGE(AI111:AI113)</f>
        <v>0</v>
      </c>
      <c r="BE111" s="16">
        <f t="shared" ref="BE111" si="613">AVERAGE(AJ111:AJ113)</f>
        <v>0</v>
      </c>
      <c r="BF111" s="16">
        <f t="shared" ref="BF111" si="614">AVERAGE(AK111:AK113)</f>
        <v>0</v>
      </c>
      <c r="BG111" s="16">
        <f t="shared" ref="BG111" si="615">AVERAGE(AL111:AL113)</f>
        <v>0</v>
      </c>
      <c r="BH111" s="16">
        <f t="shared" ref="BH111" si="616">AVERAGE(AM111:AM113)</f>
        <v>0.80978504807608409</v>
      </c>
      <c r="BI111" s="16">
        <f t="shared" ref="BI111" si="617">AVERAGE(AN111:AN113)</f>
        <v>0</v>
      </c>
      <c r="BJ111" s="16">
        <f t="shared" ref="BJ111" si="618">AVERAGE(AO111:AO113)</f>
        <v>0</v>
      </c>
      <c r="BK111" s="16">
        <f t="shared" ref="BK111" si="619">AVERAGE(AP111:AP113)</f>
        <v>1.3148504386769466</v>
      </c>
      <c r="BL111" s="16">
        <f t="shared" ref="BL111" si="620">AVERAGE(AQ111:AQ113)</f>
        <v>15.980486315449097</v>
      </c>
      <c r="BM111" s="16">
        <f t="shared" ref="BM111" si="621">AVERAGE(AR111:AR113)</f>
        <v>0</v>
      </c>
      <c r="BN111" s="16">
        <f t="shared" ref="BN111" si="622">AVERAGE(AS111:AS113)</f>
        <v>0</v>
      </c>
      <c r="BO111" s="16">
        <f t="shared" ref="BO111" si="623">AVERAGE(AT111:AT113)</f>
        <v>6.0232075853034113</v>
      </c>
      <c r="BP111" s="16">
        <f t="shared" ref="BP111" si="624">AVERAGE(AU111:AU113)</f>
        <v>0.47111730923121148</v>
      </c>
    </row>
    <row r="112" spans="1:68" x14ac:dyDescent="0.35">
      <c r="A112" s="1" t="s">
        <v>116</v>
      </c>
      <c r="B112" s="1">
        <v>110</v>
      </c>
      <c r="C112" s="1" t="s">
        <v>175</v>
      </c>
      <c r="D112" s="1" t="s">
        <v>174</v>
      </c>
      <c r="E112" s="6" t="s">
        <v>27</v>
      </c>
      <c r="F112" s="4">
        <v>1.0372353684000002</v>
      </c>
      <c r="G112" s="4">
        <v>0</v>
      </c>
      <c r="H112" s="4">
        <v>0</v>
      </c>
      <c r="I112" s="4">
        <v>0</v>
      </c>
      <c r="J112" s="4">
        <v>1.79079054E-2</v>
      </c>
      <c r="K112" s="4">
        <v>0</v>
      </c>
      <c r="L112" s="4">
        <v>1.4344207877999999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0.33719892360000003</v>
      </c>
      <c r="V112" s="4">
        <v>0</v>
      </c>
      <c r="W112" s="4">
        <v>0</v>
      </c>
      <c r="X112" s="4">
        <v>4.7529266400000006E-2</v>
      </c>
      <c r="Y112" s="4">
        <v>1.6286054400000003E-2</v>
      </c>
      <c r="Z112" s="14">
        <f t="shared" si="529"/>
        <v>2.8905783060000005</v>
      </c>
      <c r="AB112">
        <f t="shared" si="530"/>
        <v>35.883316713717839</v>
      </c>
      <c r="AC112">
        <f t="shared" si="531"/>
        <v>0</v>
      </c>
      <c r="AD112">
        <f t="shared" si="532"/>
        <v>0</v>
      </c>
      <c r="AE112">
        <f t="shared" si="533"/>
        <v>0</v>
      </c>
      <c r="AF112">
        <f t="shared" si="534"/>
        <v>0.6195267349384167</v>
      </c>
      <c r="AG112">
        <f t="shared" si="535"/>
        <v>0</v>
      </c>
      <c r="AH112">
        <f t="shared" si="536"/>
        <v>49.624007238363319</v>
      </c>
      <c r="AI112">
        <f t="shared" si="537"/>
        <v>0</v>
      </c>
      <c r="AJ112">
        <f t="shared" si="538"/>
        <v>0</v>
      </c>
      <c r="AK112">
        <f t="shared" si="539"/>
        <v>0</v>
      </c>
      <c r="AL112">
        <f t="shared" si="540"/>
        <v>0</v>
      </c>
      <c r="AM112">
        <f t="shared" si="541"/>
        <v>0</v>
      </c>
      <c r="AN112">
        <f t="shared" si="542"/>
        <v>0</v>
      </c>
      <c r="AO112">
        <f t="shared" si="543"/>
        <v>0</v>
      </c>
      <c r="AP112">
        <f t="shared" si="544"/>
        <v>0</v>
      </c>
      <c r="AQ112">
        <f t="shared" si="545"/>
        <v>11.665448498664542</v>
      </c>
      <c r="AR112">
        <f t="shared" si="546"/>
        <v>0</v>
      </c>
      <c r="AS112">
        <f t="shared" si="547"/>
        <v>0</v>
      </c>
      <c r="AT112">
        <f t="shared" si="548"/>
        <v>1.6442822635644592</v>
      </c>
      <c r="AU112">
        <f t="shared" si="549"/>
        <v>0.563418550751415</v>
      </c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</row>
    <row r="113" spans="1:68" x14ac:dyDescent="0.35">
      <c r="A113" s="1" t="s">
        <v>116</v>
      </c>
      <c r="B113" s="1">
        <v>111</v>
      </c>
      <c r="C113" s="1" t="s">
        <v>176</v>
      </c>
      <c r="D113" s="1" t="s">
        <v>174</v>
      </c>
      <c r="E113" s="6" t="s">
        <v>27</v>
      </c>
      <c r="F113" s="4">
        <v>0.88551965040000014</v>
      </c>
      <c r="G113" s="4">
        <v>0</v>
      </c>
      <c r="H113" s="4">
        <v>0</v>
      </c>
      <c r="I113" s="4">
        <v>0</v>
      </c>
      <c r="J113" s="4">
        <v>4.154766E-2</v>
      </c>
      <c r="K113" s="4">
        <v>0</v>
      </c>
      <c r="L113" s="4">
        <v>1.0568986428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0.54211292519999998</v>
      </c>
      <c r="V113" s="4">
        <v>0</v>
      </c>
      <c r="W113" s="4">
        <v>0</v>
      </c>
      <c r="X113" s="4">
        <v>0.35162122379999999</v>
      </c>
      <c r="Y113" s="4">
        <v>0</v>
      </c>
      <c r="Z113" s="14">
        <f t="shared" si="529"/>
        <v>2.8777001022000004</v>
      </c>
      <c r="AB113">
        <f t="shared" si="530"/>
        <v>30.771783679717728</v>
      </c>
      <c r="AC113">
        <f t="shared" si="531"/>
        <v>0</v>
      </c>
      <c r="AD113">
        <f t="shared" si="532"/>
        <v>0</v>
      </c>
      <c r="AE113">
        <f t="shared" si="533"/>
        <v>0</v>
      </c>
      <c r="AF113">
        <f t="shared" si="534"/>
        <v>1.4437800508898349</v>
      </c>
      <c r="AG113">
        <f t="shared" si="535"/>
        <v>0</v>
      </c>
      <c r="AH113">
        <f t="shared" si="536"/>
        <v>36.727198987552647</v>
      </c>
      <c r="AI113">
        <f t="shared" si="537"/>
        <v>0</v>
      </c>
      <c r="AJ113">
        <f t="shared" si="538"/>
        <v>0</v>
      </c>
      <c r="AK113">
        <f t="shared" si="539"/>
        <v>0</v>
      </c>
      <c r="AL113">
        <f t="shared" si="540"/>
        <v>0</v>
      </c>
      <c r="AM113">
        <f t="shared" si="541"/>
        <v>0</v>
      </c>
      <c r="AN113">
        <f t="shared" si="542"/>
        <v>0</v>
      </c>
      <c r="AO113">
        <f t="shared" si="543"/>
        <v>0</v>
      </c>
      <c r="AP113">
        <f t="shared" si="544"/>
        <v>0</v>
      </c>
      <c r="AQ113">
        <f t="shared" si="545"/>
        <v>18.838409352856296</v>
      </c>
      <c r="AR113">
        <f t="shared" si="546"/>
        <v>0</v>
      </c>
      <c r="AS113">
        <f t="shared" si="547"/>
        <v>0</v>
      </c>
      <c r="AT113">
        <f t="shared" si="548"/>
        <v>12.218827928983487</v>
      </c>
      <c r="AU113">
        <f t="shared" si="549"/>
        <v>0</v>
      </c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</row>
    <row r="114" spans="1:68" x14ac:dyDescent="0.35">
      <c r="A114" s="1" t="s">
        <v>18</v>
      </c>
      <c r="B114" s="1">
        <v>112</v>
      </c>
      <c r="C114" s="1" t="s">
        <v>177</v>
      </c>
      <c r="D114" s="1" t="s">
        <v>178</v>
      </c>
      <c r="E114" s="6" t="s">
        <v>21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0.3324967338</v>
      </c>
      <c r="M114" s="4">
        <v>0.95225508840000006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0.57944455800000005</v>
      </c>
      <c r="Z114" s="14">
        <f t="shared" si="529"/>
        <v>1.8641963802000001</v>
      </c>
      <c r="AB114">
        <f t="shared" si="530"/>
        <v>0</v>
      </c>
      <c r="AC114">
        <f t="shared" si="531"/>
        <v>0</v>
      </c>
      <c r="AD114">
        <f t="shared" si="532"/>
        <v>0</v>
      </c>
      <c r="AE114">
        <f t="shared" si="533"/>
        <v>0</v>
      </c>
      <c r="AF114">
        <f t="shared" si="534"/>
        <v>0</v>
      </c>
      <c r="AG114">
        <f t="shared" si="535"/>
        <v>0</v>
      </c>
      <c r="AH114">
        <f t="shared" si="536"/>
        <v>17.835928517591483</v>
      </c>
      <c r="AI114">
        <f t="shared" si="537"/>
        <v>51.081264748397238</v>
      </c>
      <c r="AJ114">
        <f t="shared" si="538"/>
        <v>0</v>
      </c>
      <c r="AK114">
        <f t="shared" si="539"/>
        <v>0</v>
      </c>
      <c r="AL114">
        <f t="shared" si="540"/>
        <v>0</v>
      </c>
      <c r="AM114">
        <f t="shared" si="541"/>
        <v>0</v>
      </c>
      <c r="AN114">
        <f t="shared" si="542"/>
        <v>0</v>
      </c>
      <c r="AO114">
        <f t="shared" si="543"/>
        <v>0</v>
      </c>
      <c r="AP114">
        <f t="shared" si="544"/>
        <v>0</v>
      </c>
      <c r="AQ114">
        <f t="shared" si="545"/>
        <v>0</v>
      </c>
      <c r="AR114">
        <f t="shared" si="546"/>
        <v>0</v>
      </c>
      <c r="AS114">
        <f t="shared" si="547"/>
        <v>0</v>
      </c>
      <c r="AT114">
        <f t="shared" si="548"/>
        <v>0</v>
      </c>
      <c r="AU114">
        <f t="shared" si="549"/>
        <v>31.082806734011275</v>
      </c>
      <c r="AW114" s="16">
        <f>AVERAGE(AB114:AB116)</f>
        <v>0</v>
      </c>
      <c r="AX114" s="16">
        <f>AVERAGE(AC114:AC116)</f>
        <v>0</v>
      </c>
      <c r="AY114" s="16">
        <f>AVERAGE(AD114:AD116)</f>
        <v>0</v>
      </c>
      <c r="AZ114" s="16">
        <f>AVERAGE(AE114:AE116)</f>
        <v>0</v>
      </c>
      <c r="BA114" s="16">
        <f>AVERAGE(AF114:AF116)</f>
        <v>0</v>
      </c>
      <c r="BB114" s="16">
        <f t="shared" ref="BB114" si="625">AVERAGE(AG114:AG116)</f>
        <v>0</v>
      </c>
      <c r="BC114" s="16">
        <f t="shared" ref="BC114" si="626">AVERAGE(AH114:AH116)</f>
        <v>23.302529699941346</v>
      </c>
      <c r="BD114" s="16">
        <f t="shared" ref="BD114" si="627">AVERAGE(AI114:AI116)</f>
        <v>47.854018446524549</v>
      </c>
      <c r="BE114" s="16">
        <f t="shared" ref="BE114" si="628">AVERAGE(AJ114:AJ116)</f>
        <v>0</v>
      </c>
      <c r="BF114" s="16">
        <f t="shared" ref="BF114" si="629">AVERAGE(AK114:AK116)</f>
        <v>0</v>
      </c>
      <c r="BG114" s="16">
        <f t="shared" ref="BG114" si="630">AVERAGE(AL114:AL116)</f>
        <v>0</v>
      </c>
      <c r="BH114" s="16">
        <f t="shared" ref="BH114" si="631">AVERAGE(AM114:AM116)</f>
        <v>0</v>
      </c>
      <c r="BI114" s="16">
        <f t="shared" ref="BI114" si="632">AVERAGE(AN114:AN116)</f>
        <v>0</v>
      </c>
      <c r="BJ114" s="16">
        <f t="shared" ref="BJ114" si="633">AVERAGE(AO114:AO116)</f>
        <v>0</v>
      </c>
      <c r="BK114" s="16">
        <f t="shared" ref="BK114" si="634">AVERAGE(AP114:AP116)</f>
        <v>6.3192638926742974</v>
      </c>
      <c r="BL114" s="16">
        <f t="shared" ref="BL114" si="635">AVERAGE(AQ114:AQ116)</f>
        <v>1.2643955482667584</v>
      </c>
      <c r="BM114" s="16">
        <f t="shared" ref="BM114" si="636">AVERAGE(AR114:AR116)</f>
        <v>0</v>
      </c>
      <c r="BN114" s="16">
        <f t="shared" ref="BN114" si="637">AVERAGE(AS114:AS116)</f>
        <v>0</v>
      </c>
      <c r="BO114" s="16">
        <f t="shared" ref="BO114" si="638">AVERAGE(AT114:AT116)</f>
        <v>0</v>
      </c>
      <c r="BP114" s="16">
        <f t="shared" ref="BP114" si="639">AVERAGE(AU114:AU116)</f>
        <v>21.25979241259304</v>
      </c>
    </row>
    <row r="115" spans="1:68" x14ac:dyDescent="0.35">
      <c r="A115" s="1" t="s">
        <v>18</v>
      </c>
      <c r="B115" s="1">
        <v>113</v>
      </c>
      <c r="C115" s="1" t="s">
        <v>179</v>
      </c>
      <c r="D115" s="1" t="s">
        <v>178</v>
      </c>
      <c r="E115" s="6" t="s">
        <v>21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0.47789705040000002</v>
      </c>
      <c r="M115" s="4">
        <v>1.4411037564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0.14722558620000001</v>
      </c>
      <c r="U115" s="4">
        <v>0</v>
      </c>
      <c r="V115" s="4">
        <v>0</v>
      </c>
      <c r="W115" s="4">
        <v>0</v>
      </c>
      <c r="X115" s="4">
        <v>0</v>
      </c>
      <c r="Y115" s="4">
        <v>0.27935656980000001</v>
      </c>
      <c r="Z115" s="14">
        <f t="shared" si="529"/>
        <v>2.3455829628</v>
      </c>
      <c r="AB115">
        <f t="shared" si="530"/>
        <v>0</v>
      </c>
      <c r="AC115">
        <f t="shared" si="531"/>
        <v>0</v>
      </c>
      <c r="AD115">
        <f t="shared" si="532"/>
        <v>0</v>
      </c>
      <c r="AE115">
        <f t="shared" si="533"/>
        <v>0</v>
      </c>
      <c r="AF115">
        <f t="shared" si="534"/>
        <v>0</v>
      </c>
      <c r="AG115">
        <f t="shared" si="535"/>
        <v>0</v>
      </c>
      <c r="AH115">
        <f t="shared" si="536"/>
        <v>20.374340109868402</v>
      </c>
      <c r="AI115">
        <f t="shared" si="537"/>
        <v>61.439044333767953</v>
      </c>
      <c r="AJ115">
        <f t="shared" si="538"/>
        <v>0</v>
      </c>
      <c r="AK115">
        <f t="shared" si="539"/>
        <v>0</v>
      </c>
      <c r="AL115">
        <f t="shared" si="540"/>
        <v>0</v>
      </c>
      <c r="AM115">
        <f t="shared" si="541"/>
        <v>0</v>
      </c>
      <c r="AN115">
        <f t="shared" si="542"/>
        <v>0</v>
      </c>
      <c r="AO115">
        <f t="shared" si="543"/>
        <v>0</v>
      </c>
      <c r="AP115">
        <f t="shared" si="544"/>
        <v>6.2767162166053572</v>
      </c>
      <c r="AQ115">
        <f t="shared" si="545"/>
        <v>0</v>
      </c>
      <c r="AR115">
        <f t="shared" si="546"/>
        <v>0</v>
      </c>
      <c r="AS115">
        <f t="shared" si="547"/>
        <v>0</v>
      </c>
      <c r="AT115">
        <f t="shared" si="548"/>
        <v>0</v>
      </c>
      <c r="AU115">
        <f t="shared" si="549"/>
        <v>11.909899339758285</v>
      </c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</row>
    <row r="116" spans="1:68" x14ac:dyDescent="0.35">
      <c r="A116" s="1" t="s">
        <v>18</v>
      </c>
      <c r="B116" s="1">
        <v>114</v>
      </c>
      <c r="C116" s="1" t="s">
        <v>180</v>
      </c>
      <c r="D116" s="1" t="s">
        <v>178</v>
      </c>
      <c r="E116" s="6" t="s">
        <v>21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0.83475453600000016</v>
      </c>
      <c r="M116" s="4">
        <v>0.81748987319999999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0.3339583632</v>
      </c>
      <c r="U116" s="4">
        <v>9.9894240600000003E-2</v>
      </c>
      <c r="V116" s="4">
        <v>0</v>
      </c>
      <c r="W116" s="4">
        <v>0</v>
      </c>
      <c r="X116" s="4">
        <v>0</v>
      </c>
      <c r="Y116" s="4">
        <v>0.54742065839999998</v>
      </c>
      <c r="Z116" s="14">
        <f t="shared" si="529"/>
        <v>2.6335176714000004</v>
      </c>
      <c r="AB116">
        <f t="shared" si="530"/>
        <v>0</v>
      </c>
      <c r="AC116">
        <f t="shared" si="531"/>
        <v>0</v>
      </c>
      <c r="AD116">
        <f t="shared" si="532"/>
        <v>0</v>
      </c>
      <c r="AE116">
        <f t="shared" si="533"/>
        <v>0</v>
      </c>
      <c r="AF116">
        <f t="shared" si="534"/>
        <v>0</v>
      </c>
      <c r="AG116">
        <f t="shared" si="535"/>
        <v>0</v>
      </c>
      <c r="AH116">
        <f t="shared" si="536"/>
        <v>31.697320472364162</v>
      </c>
      <c r="AI116">
        <f t="shared" si="537"/>
        <v>31.041746257408459</v>
      </c>
      <c r="AJ116">
        <f t="shared" si="538"/>
        <v>0</v>
      </c>
      <c r="AK116">
        <f t="shared" si="539"/>
        <v>0</v>
      </c>
      <c r="AL116">
        <f t="shared" si="540"/>
        <v>0</v>
      </c>
      <c r="AM116">
        <f t="shared" si="541"/>
        <v>0</v>
      </c>
      <c r="AN116">
        <f t="shared" si="542"/>
        <v>0</v>
      </c>
      <c r="AO116">
        <f t="shared" si="543"/>
        <v>0</v>
      </c>
      <c r="AP116">
        <f t="shared" si="544"/>
        <v>12.681075461417537</v>
      </c>
      <c r="AQ116">
        <f t="shared" si="545"/>
        <v>3.7931866448002749</v>
      </c>
      <c r="AR116">
        <f t="shared" si="546"/>
        <v>0</v>
      </c>
      <c r="AS116">
        <f t="shared" si="547"/>
        <v>0</v>
      </c>
      <c r="AT116">
        <f t="shared" si="548"/>
        <v>0</v>
      </c>
      <c r="AU116">
        <f t="shared" si="549"/>
        <v>20.786671164009562</v>
      </c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</row>
    <row r="117" spans="1:68" x14ac:dyDescent="0.35">
      <c r="A117" s="1" t="s">
        <v>61</v>
      </c>
      <c r="B117" s="1">
        <v>115</v>
      </c>
      <c r="C117" s="1" t="s">
        <v>181</v>
      </c>
      <c r="D117" s="1" t="s">
        <v>182</v>
      </c>
      <c r="E117" s="6" t="s">
        <v>21</v>
      </c>
      <c r="F117" s="4">
        <v>0.25445546279999998</v>
      </c>
      <c r="G117" s="4">
        <v>0</v>
      </c>
      <c r="H117" s="4">
        <v>0</v>
      </c>
      <c r="I117" s="4">
        <v>0</v>
      </c>
      <c r="J117" s="4">
        <v>1.5188748498</v>
      </c>
      <c r="K117" s="4">
        <v>1.3892940600000002E-2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4.2406887599999998E-2</v>
      </c>
      <c r="R117" s="4">
        <v>0</v>
      </c>
      <c r="S117" s="4">
        <v>0</v>
      </c>
      <c r="T117" s="4">
        <v>0</v>
      </c>
      <c r="U117" s="4">
        <v>1.4966825874</v>
      </c>
      <c r="V117" s="4">
        <v>0</v>
      </c>
      <c r="W117" s="4">
        <v>0</v>
      </c>
      <c r="X117" s="4">
        <v>0</v>
      </c>
      <c r="Y117" s="4">
        <v>0</v>
      </c>
      <c r="Z117" s="14">
        <f t="shared" si="529"/>
        <v>3.3263127282</v>
      </c>
      <c r="AB117">
        <f t="shared" si="530"/>
        <v>7.6497757003652493</v>
      </c>
      <c r="AC117">
        <f t="shared" si="531"/>
        <v>0</v>
      </c>
      <c r="AD117">
        <f t="shared" si="532"/>
        <v>0</v>
      </c>
      <c r="AE117">
        <f t="shared" si="533"/>
        <v>0</v>
      </c>
      <c r="AF117">
        <f t="shared" si="534"/>
        <v>45.662418837627563</v>
      </c>
      <c r="AG117">
        <f t="shared" si="535"/>
        <v>0.4176679024259401</v>
      </c>
      <c r="AH117">
        <f t="shared" si="536"/>
        <v>0</v>
      </c>
      <c r="AI117">
        <f t="shared" si="537"/>
        <v>0</v>
      </c>
      <c r="AJ117">
        <f t="shared" si="538"/>
        <v>0</v>
      </c>
      <c r="AK117">
        <f t="shared" si="539"/>
        <v>0</v>
      </c>
      <c r="AL117">
        <f t="shared" si="540"/>
        <v>0</v>
      </c>
      <c r="AM117">
        <f t="shared" si="541"/>
        <v>1.2748917815357683</v>
      </c>
      <c r="AN117">
        <f t="shared" si="542"/>
        <v>0</v>
      </c>
      <c r="AO117">
        <f t="shared" si="543"/>
        <v>0</v>
      </c>
      <c r="AP117">
        <f t="shared" si="544"/>
        <v>0</v>
      </c>
      <c r="AQ117">
        <f t="shared" si="545"/>
        <v>44.995245778045486</v>
      </c>
      <c r="AR117">
        <f t="shared" si="546"/>
        <v>0</v>
      </c>
      <c r="AS117">
        <f t="shared" si="547"/>
        <v>0</v>
      </c>
      <c r="AT117">
        <f t="shared" si="548"/>
        <v>0</v>
      </c>
      <c r="AU117">
        <f t="shared" si="549"/>
        <v>0</v>
      </c>
      <c r="AW117" s="16">
        <f>AVERAGE(AB117:AB119)</f>
        <v>7.058071876790371</v>
      </c>
      <c r="AX117" s="16">
        <f>AVERAGE(AC117:AC119)</f>
        <v>0.74588610807586064</v>
      </c>
      <c r="AY117" s="16">
        <f>AVERAGE(AD117:AD119)</f>
        <v>0</v>
      </c>
      <c r="AZ117" s="16">
        <f>AVERAGE(AE117:AE119)</f>
        <v>0</v>
      </c>
      <c r="BA117" s="16">
        <f>AVERAGE(AF117:AF119)</f>
        <v>20.693545560593865</v>
      </c>
      <c r="BB117" s="16">
        <f t="shared" ref="BB117" si="640">AVERAGE(AG117:AG119)</f>
        <v>4.7155820620691316</v>
      </c>
      <c r="BC117" s="16">
        <f t="shared" ref="BC117" si="641">AVERAGE(AH117:AH119)</f>
        <v>0</v>
      </c>
      <c r="BD117" s="16">
        <f t="shared" ref="BD117" si="642">AVERAGE(AI117:AI119)</f>
        <v>0</v>
      </c>
      <c r="BE117" s="16">
        <f t="shared" ref="BE117" si="643">AVERAGE(AJ117:AJ119)</f>
        <v>0</v>
      </c>
      <c r="BF117" s="16">
        <f t="shared" ref="BF117" si="644">AVERAGE(AK117:AK119)</f>
        <v>0</v>
      </c>
      <c r="BG117" s="16">
        <f t="shared" ref="BG117" si="645">AVERAGE(AL117:AL119)</f>
        <v>0</v>
      </c>
      <c r="BH117" s="16">
        <f t="shared" ref="BH117" si="646">AVERAGE(AM117:AM119)</f>
        <v>1.70114200700597</v>
      </c>
      <c r="BI117" s="16">
        <f t="shared" ref="BI117" si="647">AVERAGE(AN117:AN119)</f>
        <v>0</v>
      </c>
      <c r="BJ117" s="16">
        <f t="shared" ref="BJ117" si="648">AVERAGE(AO117:AO119)</f>
        <v>0</v>
      </c>
      <c r="BK117" s="16">
        <f t="shared" ref="BK117" si="649">AVERAGE(AP117:AP119)</f>
        <v>0.11155287811046059</v>
      </c>
      <c r="BL117" s="16">
        <f t="shared" ref="BL117" si="650">AVERAGE(AQ117:AQ119)</f>
        <v>64.409946765451934</v>
      </c>
      <c r="BM117" s="16">
        <f t="shared" ref="BM117" si="651">AVERAGE(AR117:AR119)</f>
        <v>0</v>
      </c>
      <c r="BN117" s="16">
        <f t="shared" ref="BN117" si="652">AVERAGE(AS117:AS119)</f>
        <v>0.56427274190241616</v>
      </c>
      <c r="BO117" s="16">
        <f t="shared" ref="BO117" si="653">AVERAGE(AT117:AT119)</f>
        <v>0</v>
      </c>
      <c r="BP117" s="16">
        <f t="shared" ref="BP117" si="654">AVERAGE(AU117:AU119)</f>
        <v>0</v>
      </c>
    </row>
    <row r="118" spans="1:68" x14ac:dyDescent="0.35">
      <c r="A118" s="1" t="s">
        <v>61</v>
      </c>
      <c r="B118" s="1">
        <v>116</v>
      </c>
      <c r="C118" s="1" t="s">
        <v>183</v>
      </c>
      <c r="D118" s="1" t="s">
        <v>182</v>
      </c>
      <c r="E118" s="6" t="s">
        <v>21</v>
      </c>
      <c r="F118" s="4">
        <v>0.29355974340000002</v>
      </c>
      <c r="G118" s="4">
        <v>0</v>
      </c>
      <c r="H118" s="4">
        <v>0</v>
      </c>
      <c r="I118" s="4">
        <v>0</v>
      </c>
      <c r="J118" s="4">
        <v>0.44358292440000002</v>
      </c>
      <c r="K118" s="4">
        <v>0.27323751839999999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2.0358353400000005E-2</v>
      </c>
      <c r="R118" s="4">
        <v>0</v>
      </c>
      <c r="S118" s="4">
        <v>0</v>
      </c>
      <c r="T118" s="4">
        <v>0</v>
      </c>
      <c r="U118" s="4">
        <v>2.4070852806000005</v>
      </c>
      <c r="V118" s="4">
        <v>0</v>
      </c>
      <c r="W118" s="4">
        <v>0</v>
      </c>
      <c r="X118" s="4">
        <v>0</v>
      </c>
      <c r="Y118" s="4">
        <v>0</v>
      </c>
      <c r="Z118" s="14">
        <f t="shared" si="529"/>
        <v>3.4378238202000002</v>
      </c>
      <c r="AB118">
        <f t="shared" si="530"/>
        <v>8.539115404201306</v>
      </c>
      <c r="AC118">
        <f t="shared" si="531"/>
        <v>0</v>
      </c>
      <c r="AD118">
        <f t="shared" si="532"/>
        <v>0</v>
      </c>
      <c r="AE118">
        <f t="shared" si="533"/>
        <v>0</v>
      </c>
      <c r="AF118">
        <f t="shared" si="534"/>
        <v>12.903015035080942</v>
      </c>
      <c r="AG118">
        <f t="shared" si="535"/>
        <v>7.9479790905661947</v>
      </c>
      <c r="AH118">
        <f t="shared" si="536"/>
        <v>0</v>
      </c>
      <c r="AI118">
        <f t="shared" si="537"/>
        <v>0</v>
      </c>
      <c r="AJ118">
        <f t="shared" si="538"/>
        <v>0</v>
      </c>
      <c r="AK118">
        <f t="shared" si="539"/>
        <v>0</v>
      </c>
      <c r="AL118">
        <f t="shared" si="540"/>
        <v>0</v>
      </c>
      <c r="AM118">
        <f t="shared" si="541"/>
        <v>0.59218722263712831</v>
      </c>
      <c r="AN118">
        <f t="shared" si="542"/>
        <v>0</v>
      </c>
      <c r="AO118">
        <f t="shared" si="543"/>
        <v>0</v>
      </c>
      <c r="AP118">
        <f t="shared" si="544"/>
        <v>0</v>
      </c>
      <c r="AQ118">
        <f t="shared" si="545"/>
        <v>70.017703247514447</v>
      </c>
      <c r="AR118">
        <f t="shared" si="546"/>
        <v>0</v>
      </c>
      <c r="AS118">
        <f t="shared" si="547"/>
        <v>0</v>
      </c>
      <c r="AT118">
        <f t="shared" si="548"/>
        <v>0</v>
      </c>
      <c r="AU118">
        <f t="shared" si="549"/>
        <v>0</v>
      </c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</row>
    <row r="119" spans="1:68" x14ac:dyDescent="0.35">
      <c r="A119" s="1" t="s">
        <v>61</v>
      </c>
      <c r="B119" s="1">
        <v>117</v>
      </c>
      <c r="C119" s="1" t="s">
        <v>184</v>
      </c>
      <c r="D119" s="1" t="s">
        <v>182</v>
      </c>
      <c r="E119" s="6" t="s">
        <v>21</v>
      </c>
      <c r="F119" s="4">
        <v>0.19772837700000001</v>
      </c>
      <c r="G119" s="4">
        <v>8.8750200000000001E-2</v>
      </c>
      <c r="H119" s="4">
        <v>0</v>
      </c>
      <c r="I119" s="4">
        <v>0</v>
      </c>
      <c r="J119" s="4">
        <v>0.13942028100000001</v>
      </c>
      <c r="K119" s="4">
        <v>0.22929046140000001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0.12836027820000001</v>
      </c>
      <c r="R119" s="4">
        <v>0</v>
      </c>
      <c r="S119" s="4">
        <v>0</v>
      </c>
      <c r="T119" s="4">
        <v>1.327326E-2</v>
      </c>
      <c r="U119" s="4">
        <v>3.1022451768000003</v>
      </c>
      <c r="V119" s="4">
        <v>0</v>
      </c>
      <c r="W119" s="4">
        <v>6.7140704400000001E-2</v>
      </c>
      <c r="X119" s="4">
        <v>0</v>
      </c>
      <c r="Y119" s="4">
        <v>0</v>
      </c>
      <c r="Z119" s="14">
        <f t="shared" si="529"/>
        <v>3.9662087388000002</v>
      </c>
      <c r="AB119">
        <f t="shared" si="530"/>
        <v>4.9853245258045567</v>
      </c>
      <c r="AC119">
        <f t="shared" si="531"/>
        <v>2.2376583242275818</v>
      </c>
      <c r="AD119">
        <f t="shared" si="532"/>
        <v>0</v>
      </c>
      <c r="AE119">
        <f t="shared" si="533"/>
        <v>0</v>
      </c>
      <c r="AF119">
        <f t="shared" si="534"/>
        <v>3.5152028090730902</v>
      </c>
      <c r="AG119">
        <f t="shared" si="535"/>
        <v>5.7810991932152609</v>
      </c>
      <c r="AH119">
        <f t="shared" si="536"/>
        <v>0</v>
      </c>
      <c r="AI119">
        <f t="shared" si="537"/>
        <v>0</v>
      </c>
      <c r="AJ119">
        <f t="shared" si="538"/>
        <v>0</v>
      </c>
      <c r="AK119">
        <f t="shared" si="539"/>
        <v>0</v>
      </c>
      <c r="AL119">
        <f t="shared" si="540"/>
        <v>0</v>
      </c>
      <c r="AM119">
        <f t="shared" si="541"/>
        <v>3.2363470168450128</v>
      </c>
      <c r="AN119">
        <f t="shared" si="542"/>
        <v>0</v>
      </c>
      <c r="AO119">
        <f t="shared" si="543"/>
        <v>0</v>
      </c>
      <c r="AP119">
        <f t="shared" si="544"/>
        <v>0.33465863433138177</v>
      </c>
      <c r="AQ119">
        <f t="shared" si="545"/>
        <v>78.21689127079587</v>
      </c>
      <c r="AR119">
        <f t="shared" si="546"/>
        <v>0</v>
      </c>
      <c r="AS119">
        <f t="shared" si="547"/>
        <v>1.6928182257072484</v>
      </c>
      <c r="AT119">
        <f t="shared" si="548"/>
        <v>0</v>
      </c>
      <c r="AU119">
        <f t="shared" si="549"/>
        <v>0</v>
      </c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</row>
    <row r="120" spans="1:68" x14ac:dyDescent="0.35">
      <c r="A120" s="1" t="s">
        <v>61</v>
      </c>
      <c r="B120" s="1">
        <v>118</v>
      </c>
      <c r="C120" s="1" t="s">
        <v>185</v>
      </c>
      <c r="D120" s="1" t="s">
        <v>186</v>
      </c>
      <c r="E120" s="6" t="s">
        <v>21</v>
      </c>
      <c r="F120" s="4">
        <v>0.28950865020000005</v>
      </c>
      <c r="G120" s="4">
        <v>0</v>
      </c>
      <c r="H120" s="4">
        <v>0</v>
      </c>
      <c r="I120" s="4">
        <v>0</v>
      </c>
      <c r="J120" s="4">
        <v>0.71005814879999996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6.6861102000000006E-2</v>
      </c>
      <c r="R120" s="4">
        <v>0</v>
      </c>
      <c r="S120" s="4">
        <v>0</v>
      </c>
      <c r="T120" s="4">
        <v>0</v>
      </c>
      <c r="U120" s="4">
        <v>1.8296521320000001</v>
      </c>
      <c r="V120" s="4">
        <v>0</v>
      </c>
      <c r="W120" s="4">
        <v>0</v>
      </c>
      <c r="X120" s="4">
        <v>3.4020386400000005E-2</v>
      </c>
      <c r="Y120" s="4">
        <v>0</v>
      </c>
      <c r="Z120" s="14">
        <f t="shared" si="529"/>
        <v>2.9301004194</v>
      </c>
      <c r="AB120">
        <f t="shared" si="530"/>
        <v>9.880502670938597</v>
      </c>
      <c r="AC120">
        <f t="shared" si="531"/>
        <v>0</v>
      </c>
      <c r="AD120">
        <f t="shared" si="532"/>
        <v>0</v>
      </c>
      <c r="AE120">
        <f t="shared" si="533"/>
        <v>0</v>
      </c>
      <c r="AF120">
        <f t="shared" si="534"/>
        <v>24.233235970301639</v>
      </c>
      <c r="AG120">
        <f t="shared" si="535"/>
        <v>0</v>
      </c>
      <c r="AH120">
        <f t="shared" si="536"/>
        <v>0</v>
      </c>
      <c r="AI120">
        <f t="shared" si="537"/>
        <v>0</v>
      </c>
      <c r="AJ120">
        <f t="shared" si="538"/>
        <v>0</v>
      </c>
      <c r="AK120">
        <f t="shared" si="539"/>
        <v>0</v>
      </c>
      <c r="AL120">
        <f t="shared" si="540"/>
        <v>0</v>
      </c>
      <c r="AM120">
        <f t="shared" si="541"/>
        <v>2.2818706675483575</v>
      </c>
      <c r="AN120">
        <f t="shared" si="542"/>
        <v>0</v>
      </c>
      <c r="AO120">
        <f t="shared" si="543"/>
        <v>0</v>
      </c>
      <c r="AP120">
        <f t="shared" si="544"/>
        <v>0</v>
      </c>
      <c r="AQ120">
        <f t="shared" si="545"/>
        <v>62.443325146332697</v>
      </c>
      <c r="AR120">
        <f t="shared" si="546"/>
        <v>0</v>
      </c>
      <c r="AS120">
        <f t="shared" si="547"/>
        <v>0</v>
      </c>
      <c r="AT120">
        <f t="shared" si="548"/>
        <v>1.1610655448787108</v>
      </c>
      <c r="AU120">
        <f t="shared" si="549"/>
        <v>0</v>
      </c>
      <c r="AW120" s="16">
        <f>AVERAGE(AB120:AB122)</f>
        <v>13.272919049879567</v>
      </c>
      <c r="AX120" s="16">
        <f>AVERAGE(AC120:AC122)</f>
        <v>0</v>
      </c>
      <c r="AY120" s="16">
        <f>AVERAGE(AD120:AD122)</f>
        <v>0</v>
      </c>
      <c r="AZ120" s="16">
        <f>AVERAGE(AE120:AE122)</f>
        <v>0</v>
      </c>
      <c r="BA120" s="16">
        <f>AVERAGE(AF120:AF122)</f>
        <v>10.873698668459298</v>
      </c>
      <c r="BB120" s="16">
        <f t="shared" ref="BB120" si="655">AVERAGE(AG120:AG122)</f>
        <v>5.5283316873733925</v>
      </c>
      <c r="BC120" s="16">
        <f t="shared" ref="BC120" si="656">AVERAGE(AH120:AH122)</f>
        <v>0</v>
      </c>
      <c r="BD120" s="16">
        <f t="shared" ref="BD120" si="657">AVERAGE(AI120:AI122)</f>
        <v>0</v>
      </c>
      <c r="BE120" s="16">
        <f t="shared" ref="BE120" si="658">AVERAGE(AJ120:AJ122)</f>
        <v>0</v>
      </c>
      <c r="BF120" s="16">
        <f t="shared" ref="BF120" si="659">AVERAGE(AK120:AK122)</f>
        <v>0</v>
      </c>
      <c r="BG120" s="16">
        <f t="shared" ref="BG120" si="660">AVERAGE(AL120:AL122)</f>
        <v>0</v>
      </c>
      <c r="BH120" s="16">
        <f t="shared" ref="BH120" si="661">AVERAGE(AM120:AM122)</f>
        <v>1.9436596303294476</v>
      </c>
      <c r="BI120" s="16">
        <f t="shared" ref="BI120" si="662">AVERAGE(AN120:AN122)</f>
        <v>0</v>
      </c>
      <c r="BJ120" s="16">
        <f t="shared" ref="BJ120" si="663">AVERAGE(AO120:AO122)</f>
        <v>0</v>
      </c>
      <c r="BK120" s="16">
        <f t="shared" ref="BK120" si="664">AVERAGE(AP120:AP122)</f>
        <v>0</v>
      </c>
      <c r="BL120" s="16">
        <f t="shared" ref="BL120" si="665">AVERAGE(AQ120:AQ122)</f>
        <v>67.828720259605902</v>
      </c>
      <c r="BM120" s="16">
        <f t="shared" ref="BM120" si="666">AVERAGE(AR120:AR122)</f>
        <v>0</v>
      </c>
      <c r="BN120" s="16">
        <f t="shared" ref="BN120" si="667">AVERAGE(AS120:AS122)</f>
        <v>0</v>
      </c>
      <c r="BO120" s="16">
        <f t="shared" ref="BO120" si="668">AVERAGE(AT120:AT122)</f>
        <v>0.55267070435238763</v>
      </c>
      <c r="BP120" s="16">
        <f t="shared" ref="BP120" si="669">AVERAGE(AU120:AU122)</f>
        <v>0</v>
      </c>
    </row>
    <row r="121" spans="1:68" x14ac:dyDescent="0.35">
      <c r="A121" s="1" t="s">
        <v>61</v>
      </c>
      <c r="B121" s="1">
        <v>119</v>
      </c>
      <c r="C121" s="1" t="s">
        <v>187</v>
      </c>
      <c r="D121" s="1" t="s">
        <v>186</v>
      </c>
      <c r="E121" s="6" t="s">
        <v>21</v>
      </c>
      <c r="F121" s="4">
        <v>0.47627519939999996</v>
      </c>
      <c r="G121" s="4">
        <v>0</v>
      </c>
      <c r="H121" s="4">
        <v>0</v>
      </c>
      <c r="I121" s="4">
        <v>0</v>
      </c>
      <c r="J121" s="4">
        <v>0.22032904740000001</v>
      </c>
      <c r="K121" s="4">
        <v>0.1763230854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2.2360777824000002</v>
      </c>
      <c r="V121" s="4">
        <v>0</v>
      </c>
      <c r="W121" s="4">
        <v>0</v>
      </c>
      <c r="X121" s="4">
        <v>0</v>
      </c>
      <c r="Y121" s="4">
        <v>0</v>
      </c>
      <c r="Z121" s="14">
        <f t="shared" si="529"/>
        <v>3.1090051146000004</v>
      </c>
      <c r="AB121">
        <f t="shared" si="530"/>
        <v>15.319215692614799</v>
      </c>
      <c r="AC121">
        <f t="shared" si="531"/>
        <v>0</v>
      </c>
      <c r="AD121">
        <f t="shared" si="532"/>
        <v>0</v>
      </c>
      <c r="AE121">
        <f t="shared" si="533"/>
        <v>0</v>
      </c>
      <c r="AF121">
        <f t="shared" si="534"/>
        <v>7.0868023460407592</v>
      </c>
      <c r="AG121">
        <f t="shared" si="535"/>
        <v>5.671366848899039</v>
      </c>
      <c r="AH121">
        <f t="shared" si="536"/>
        <v>0</v>
      </c>
      <c r="AI121">
        <f t="shared" si="537"/>
        <v>0</v>
      </c>
      <c r="AJ121">
        <f t="shared" si="538"/>
        <v>0</v>
      </c>
      <c r="AK121">
        <f t="shared" si="539"/>
        <v>0</v>
      </c>
      <c r="AL121">
        <f t="shared" si="540"/>
        <v>0</v>
      </c>
      <c r="AM121">
        <f t="shared" si="541"/>
        <v>0</v>
      </c>
      <c r="AN121">
        <f t="shared" si="542"/>
        <v>0</v>
      </c>
      <c r="AO121">
        <f t="shared" si="543"/>
        <v>0</v>
      </c>
      <c r="AP121">
        <f t="shared" si="544"/>
        <v>0</v>
      </c>
      <c r="AQ121">
        <f t="shared" si="545"/>
        <v>71.922615112445399</v>
      </c>
      <c r="AR121">
        <f t="shared" si="546"/>
        <v>0</v>
      </c>
      <c r="AS121">
        <f t="shared" si="547"/>
        <v>0</v>
      </c>
      <c r="AT121">
        <f t="shared" si="548"/>
        <v>0</v>
      </c>
      <c r="AU121">
        <f t="shared" si="549"/>
        <v>0</v>
      </c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</row>
    <row r="122" spans="1:68" x14ac:dyDescent="0.35">
      <c r="A122" s="1" t="s">
        <v>61</v>
      </c>
      <c r="B122" s="1">
        <v>120</v>
      </c>
      <c r="C122" s="1" t="s">
        <v>188</v>
      </c>
      <c r="D122" s="1" t="s">
        <v>186</v>
      </c>
      <c r="E122" s="6" t="s">
        <v>21</v>
      </c>
      <c r="F122" s="4">
        <v>0.47909871240000007</v>
      </c>
      <c r="G122" s="4">
        <v>0</v>
      </c>
      <c r="H122" s="4">
        <v>0</v>
      </c>
      <c r="I122" s="4">
        <v>0</v>
      </c>
      <c r="J122" s="4">
        <v>4.2638580600000003E-2</v>
      </c>
      <c r="K122" s="4">
        <v>0.35766409140000005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0.11631224220000003</v>
      </c>
      <c r="R122" s="4">
        <v>0</v>
      </c>
      <c r="S122" s="4">
        <v>0</v>
      </c>
      <c r="T122" s="4">
        <v>0</v>
      </c>
      <c r="U122" s="4">
        <v>2.2652247617999999</v>
      </c>
      <c r="V122" s="4">
        <v>0</v>
      </c>
      <c r="W122" s="4">
        <v>0</v>
      </c>
      <c r="X122" s="4">
        <v>1.6286054400000003E-2</v>
      </c>
      <c r="Y122" s="4">
        <v>0</v>
      </c>
      <c r="Z122" s="14">
        <f t="shared" si="529"/>
        <v>3.2772244428000001</v>
      </c>
      <c r="AB122">
        <f t="shared" si="530"/>
        <v>14.619038786085307</v>
      </c>
      <c r="AC122">
        <f t="shared" si="531"/>
        <v>0</v>
      </c>
      <c r="AD122">
        <f t="shared" si="532"/>
        <v>0</v>
      </c>
      <c r="AE122">
        <f t="shared" si="533"/>
        <v>0</v>
      </c>
      <c r="AF122">
        <f t="shared" si="534"/>
        <v>1.3010576890354932</v>
      </c>
      <c r="AG122">
        <f t="shared" si="535"/>
        <v>10.913628213221138</v>
      </c>
      <c r="AH122">
        <f t="shared" si="536"/>
        <v>0</v>
      </c>
      <c r="AI122">
        <f t="shared" si="537"/>
        <v>0</v>
      </c>
      <c r="AJ122">
        <f t="shared" si="538"/>
        <v>0</v>
      </c>
      <c r="AK122">
        <f t="shared" si="539"/>
        <v>0</v>
      </c>
      <c r="AL122">
        <f t="shared" si="540"/>
        <v>0</v>
      </c>
      <c r="AM122">
        <f t="shared" si="541"/>
        <v>3.5491082234399847</v>
      </c>
      <c r="AN122">
        <f t="shared" si="542"/>
        <v>0</v>
      </c>
      <c r="AO122">
        <f t="shared" si="543"/>
        <v>0</v>
      </c>
      <c r="AP122">
        <f t="shared" si="544"/>
        <v>0</v>
      </c>
      <c r="AQ122">
        <f t="shared" si="545"/>
        <v>69.120220520039624</v>
      </c>
      <c r="AR122">
        <f t="shared" si="546"/>
        <v>0</v>
      </c>
      <c r="AS122">
        <f t="shared" si="547"/>
        <v>0</v>
      </c>
      <c r="AT122">
        <f t="shared" si="548"/>
        <v>0.49694656817845223</v>
      </c>
      <c r="AU122">
        <f t="shared" si="549"/>
        <v>0</v>
      </c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</row>
    <row r="123" spans="1:68" x14ac:dyDescent="0.35">
      <c r="A123" s="1" t="s">
        <v>91</v>
      </c>
      <c r="B123" s="1">
        <v>121</v>
      </c>
      <c r="C123" s="1" t="s">
        <v>189</v>
      </c>
      <c r="D123" s="1" t="s">
        <v>190</v>
      </c>
      <c r="E123" s="6" t="s">
        <v>21</v>
      </c>
      <c r="F123" s="4">
        <v>0.65223071759999995</v>
      </c>
      <c r="G123" s="4">
        <v>0</v>
      </c>
      <c r="H123" s="4">
        <v>0</v>
      </c>
      <c r="I123" s="4">
        <v>0</v>
      </c>
      <c r="J123" s="4">
        <v>0.44677400460000005</v>
      </c>
      <c r="K123" s="4">
        <v>0</v>
      </c>
      <c r="L123" s="4">
        <v>1.4526758399999999E-2</v>
      </c>
      <c r="M123" s="4">
        <v>0</v>
      </c>
      <c r="N123" s="4">
        <v>0</v>
      </c>
      <c r="O123" s="4">
        <v>0</v>
      </c>
      <c r="P123" s="4">
        <v>0.15254195880000002</v>
      </c>
      <c r="Q123" s="4">
        <v>0</v>
      </c>
      <c r="R123" s="4">
        <v>0</v>
      </c>
      <c r="S123" s="4">
        <v>0</v>
      </c>
      <c r="T123" s="4">
        <v>0</v>
      </c>
      <c r="U123" s="4">
        <v>1.3406809416000001</v>
      </c>
      <c r="V123" s="4">
        <v>0</v>
      </c>
      <c r="W123" s="4">
        <v>0.18083835000000004</v>
      </c>
      <c r="X123" s="4">
        <v>0</v>
      </c>
      <c r="Y123" s="4">
        <v>0</v>
      </c>
      <c r="Z123" s="14">
        <f t="shared" si="529"/>
        <v>2.7875927310000002</v>
      </c>
      <c r="AB123">
        <f t="shared" si="530"/>
        <v>23.397633031064174</v>
      </c>
      <c r="AC123">
        <f t="shared" si="531"/>
        <v>0</v>
      </c>
      <c r="AD123">
        <f t="shared" si="532"/>
        <v>0</v>
      </c>
      <c r="AE123">
        <f t="shared" si="533"/>
        <v>0</v>
      </c>
      <c r="AF123">
        <f t="shared" si="534"/>
        <v>16.027233807562975</v>
      </c>
      <c r="AG123">
        <f t="shared" si="535"/>
        <v>0</v>
      </c>
      <c r="AH123">
        <f t="shared" si="536"/>
        <v>0.52112197877588728</v>
      </c>
      <c r="AI123">
        <f t="shared" si="537"/>
        <v>0</v>
      </c>
      <c r="AJ123">
        <f t="shared" si="538"/>
        <v>0</v>
      </c>
      <c r="AK123">
        <f t="shared" si="539"/>
        <v>0</v>
      </c>
      <c r="AL123">
        <f t="shared" si="540"/>
        <v>5.4721752250113758</v>
      </c>
      <c r="AM123">
        <f t="shared" si="541"/>
        <v>0</v>
      </c>
      <c r="AN123">
        <f t="shared" si="542"/>
        <v>0</v>
      </c>
      <c r="AO123">
        <f t="shared" si="543"/>
        <v>0</v>
      </c>
      <c r="AP123">
        <f t="shared" si="544"/>
        <v>0</v>
      </c>
      <c r="AQ123">
        <f t="shared" si="545"/>
        <v>48.094577327981995</v>
      </c>
      <c r="AR123">
        <f t="shared" si="546"/>
        <v>0</v>
      </c>
      <c r="AS123">
        <f t="shared" si="547"/>
        <v>6.4872586296035957</v>
      </c>
      <c r="AT123">
        <f t="shared" si="548"/>
        <v>0</v>
      </c>
      <c r="AU123">
        <f t="shared" si="549"/>
        <v>0</v>
      </c>
      <c r="AW123" s="16">
        <f>AVERAGE(AB123:AB125)</f>
        <v>24.090142830111859</v>
      </c>
      <c r="AX123" s="16">
        <f>AVERAGE(AC123:AC125)</f>
        <v>0</v>
      </c>
      <c r="AY123" s="16">
        <f>AVERAGE(AD123:AD125)</f>
        <v>0</v>
      </c>
      <c r="AZ123" s="16">
        <f>AVERAGE(AE123:AE125)</f>
        <v>0</v>
      </c>
      <c r="BA123" s="16">
        <f>AVERAGE(AF123:AF125)</f>
        <v>12.95740543271714</v>
      </c>
      <c r="BB123" s="16">
        <f t="shared" ref="BB123" si="670">AVERAGE(AG123:AG125)</f>
        <v>0</v>
      </c>
      <c r="BC123" s="16">
        <f t="shared" ref="BC123" si="671">AVERAGE(AH123:AH125)</f>
        <v>0.57227387734260649</v>
      </c>
      <c r="BD123" s="16">
        <f t="shared" ref="BD123" si="672">AVERAGE(AI123:AI125)</f>
        <v>0</v>
      </c>
      <c r="BE123" s="16">
        <f t="shared" ref="BE123" si="673">AVERAGE(AJ123:AJ125)</f>
        <v>0</v>
      </c>
      <c r="BF123" s="16">
        <f t="shared" ref="BF123" si="674">AVERAGE(AK123:AK125)</f>
        <v>0</v>
      </c>
      <c r="BG123" s="16">
        <f t="shared" ref="BG123" si="675">AVERAGE(AL123:AL125)</f>
        <v>3.1042849758826176</v>
      </c>
      <c r="BH123" s="16">
        <f t="shared" ref="BH123" si="676">AVERAGE(AM123:AM125)</f>
        <v>0</v>
      </c>
      <c r="BI123" s="16">
        <f t="shared" ref="BI123" si="677">AVERAGE(AN123:AN125)</f>
        <v>0</v>
      </c>
      <c r="BJ123" s="16">
        <f t="shared" ref="BJ123" si="678">AVERAGE(AO123:AO125)</f>
        <v>0.61117390273414973</v>
      </c>
      <c r="BK123" s="16">
        <f t="shared" ref="BK123" si="679">AVERAGE(AP123:AP125)</f>
        <v>0</v>
      </c>
      <c r="BL123" s="16">
        <f t="shared" ref="BL123" si="680">AVERAGE(AQ123:AQ125)</f>
        <v>54.104552275451375</v>
      </c>
      <c r="BM123" s="16">
        <f t="shared" ref="BM123" si="681">AVERAGE(AR123:AR125)</f>
        <v>0</v>
      </c>
      <c r="BN123" s="16">
        <f t="shared" ref="BN123" si="682">AVERAGE(AS123:AS125)</f>
        <v>3.881410891219645</v>
      </c>
      <c r="BO123" s="16">
        <f t="shared" ref="BO123" si="683">AVERAGE(AT123:AT125)</f>
        <v>0.47958148096466507</v>
      </c>
      <c r="BP123" s="16">
        <f t="shared" ref="BP123" si="684">AVERAGE(AU123:AU125)</f>
        <v>0.19917433357594241</v>
      </c>
    </row>
    <row r="124" spans="1:68" x14ac:dyDescent="0.35">
      <c r="A124" s="1" t="s">
        <v>91</v>
      </c>
      <c r="B124" s="1">
        <v>122</v>
      </c>
      <c r="C124" s="1" t="s">
        <v>191</v>
      </c>
      <c r="D124" s="1" t="s">
        <v>190</v>
      </c>
      <c r="E124" s="6" t="s">
        <v>21</v>
      </c>
      <c r="F124" s="4">
        <v>0.72593500980000003</v>
      </c>
      <c r="G124" s="4">
        <v>0</v>
      </c>
      <c r="H124" s="4">
        <v>0</v>
      </c>
      <c r="I124" s="4">
        <v>0</v>
      </c>
      <c r="J124" s="4">
        <v>0.41691309660000003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9.4566872400000015E-2</v>
      </c>
      <c r="Q124" s="4">
        <v>0</v>
      </c>
      <c r="R124" s="4">
        <v>0</v>
      </c>
      <c r="S124" s="4">
        <v>0</v>
      </c>
      <c r="T124" s="4">
        <v>0</v>
      </c>
      <c r="U124" s="4">
        <v>1.1284171668</v>
      </c>
      <c r="V124" s="4">
        <v>0</v>
      </c>
      <c r="W124" s="4">
        <v>9.6410991600000009E-2</v>
      </c>
      <c r="X124" s="4">
        <v>0</v>
      </c>
      <c r="Y124" s="4">
        <v>0</v>
      </c>
      <c r="Z124" s="14">
        <f t="shared" si="529"/>
        <v>2.4622431371999998</v>
      </c>
      <c r="AB124">
        <f t="shared" si="530"/>
        <v>29.482669636984543</v>
      </c>
      <c r="AC124">
        <f t="shared" si="531"/>
        <v>0</v>
      </c>
      <c r="AD124">
        <f t="shared" si="532"/>
        <v>0</v>
      </c>
      <c r="AE124">
        <f t="shared" si="533"/>
        <v>0</v>
      </c>
      <c r="AF124">
        <f t="shared" si="534"/>
        <v>16.932247278962993</v>
      </c>
      <c r="AG124">
        <f t="shared" si="535"/>
        <v>0</v>
      </c>
      <c r="AH124">
        <f t="shared" si="536"/>
        <v>0</v>
      </c>
      <c r="AI124">
        <f t="shared" si="537"/>
        <v>0</v>
      </c>
      <c r="AJ124">
        <f t="shared" si="538"/>
        <v>0</v>
      </c>
      <c r="AK124">
        <f t="shared" si="539"/>
        <v>0</v>
      </c>
      <c r="AL124">
        <f t="shared" si="540"/>
        <v>3.8406797026364772</v>
      </c>
      <c r="AM124">
        <f t="shared" si="541"/>
        <v>0</v>
      </c>
      <c r="AN124">
        <f t="shared" si="542"/>
        <v>0</v>
      </c>
      <c r="AO124">
        <f t="shared" si="543"/>
        <v>0</v>
      </c>
      <c r="AP124">
        <f t="shared" si="544"/>
        <v>0</v>
      </c>
      <c r="AQ124">
        <f t="shared" si="545"/>
        <v>45.828827777065399</v>
      </c>
      <c r="AR124">
        <f t="shared" si="546"/>
        <v>0</v>
      </c>
      <c r="AS124">
        <f t="shared" si="547"/>
        <v>3.9155756043505976</v>
      </c>
      <c r="AT124">
        <f t="shared" si="548"/>
        <v>0</v>
      </c>
      <c r="AU124">
        <f t="shared" si="549"/>
        <v>0</v>
      </c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</row>
    <row r="125" spans="1:68" x14ac:dyDescent="0.35">
      <c r="A125" s="1" t="s">
        <v>91</v>
      </c>
      <c r="B125" s="1">
        <v>123</v>
      </c>
      <c r="C125" s="1" t="s">
        <v>192</v>
      </c>
      <c r="D125" s="1" t="s">
        <v>190</v>
      </c>
      <c r="E125" s="6" t="s">
        <v>21</v>
      </c>
      <c r="F125" s="4">
        <v>0.53586192659999998</v>
      </c>
      <c r="G125" s="4">
        <v>0</v>
      </c>
      <c r="H125" s="4">
        <v>0</v>
      </c>
      <c r="I125" s="4">
        <v>0</v>
      </c>
      <c r="J125" s="4">
        <v>0.1634032554</v>
      </c>
      <c r="K125" s="4">
        <v>0</v>
      </c>
      <c r="L125" s="4">
        <v>3.3044134199999999E-2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5.06708664E-2</v>
      </c>
      <c r="T125" s="4">
        <v>0</v>
      </c>
      <c r="U125" s="4">
        <v>1.8900203322000002</v>
      </c>
      <c r="V125" s="4">
        <v>0</v>
      </c>
      <c r="W125" s="4">
        <v>3.43070574E-2</v>
      </c>
      <c r="X125" s="4">
        <v>3.9760875000000001E-2</v>
      </c>
      <c r="Y125" s="4">
        <v>1.6513035000000002E-2</v>
      </c>
      <c r="Z125" s="14">
        <f t="shared" si="529"/>
        <v>2.7635814821999998</v>
      </c>
      <c r="AB125">
        <f t="shared" si="530"/>
        <v>19.390125822286855</v>
      </c>
      <c r="AC125">
        <f t="shared" si="531"/>
        <v>0</v>
      </c>
      <c r="AD125">
        <f t="shared" si="532"/>
        <v>0</v>
      </c>
      <c r="AE125">
        <f t="shared" si="533"/>
        <v>0</v>
      </c>
      <c r="AF125">
        <f t="shared" si="534"/>
        <v>5.9127352116254537</v>
      </c>
      <c r="AG125">
        <f t="shared" si="535"/>
        <v>0</v>
      </c>
      <c r="AH125">
        <f t="shared" si="536"/>
        <v>1.1956996532519319</v>
      </c>
      <c r="AI125">
        <f t="shared" si="537"/>
        <v>0</v>
      </c>
      <c r="AJ125">
        <f t="shared" si="538"/>
        <v>0</v>
      </c>
      <c r="AK125">
        <f t="shared" si="539"/>
        <v>0</v>
      </c>
      <c r="AL125">
        <f t="shared" si="540"/>
        <v>0</v>
      </c>
      <c r="AM125">
        <f t="shared" si="541"/>
        <v>0</v>
      </c>
      <c r="AN125">
        <f t="shared" si="542"/>
        <v>0</v>
      </c>
      <c r="AO125">
        <f t="shared" si="543"/>
        <v>1.8335217082024493</v>
      </c>
      <c r="AP125">
        <f t="shared" si="544"/>
        <v>0</v>
      </c>
      <c r="AQ125">
        <f t="shared" si="545"/>
        <v>68.390251721306754</v>
      </c>
      <c r="AR125">
        <f t="shared" si="546"/>
        <v>0</v>
      </c>
      <c r="AS125">
        <f t="shared" si="547"/>
        <v>1.2413984397047428</v>
      </c>
      <c r="AT125">
        <f t="shared" si="548"/>
        <v>1.4387444428939953</v>
      </c>
      <c r="AU125">
        <f t="shared" si="549"/>
        <v>0.59752300072782727</v>
      </c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</row>
    <row r="126" spans="1:68" x14ac:dyDescent="0.35">
      <c r="A126" s="1" t="s">
        <v>56</v>
      </c>
      <c r="B126" s="1">
        <v>124</v>
      </c>
      <c r="C126" s="1" t="s">
        <v>193</v>
      </c>
      <c r="D126" s="1" t="s">
        <v>194</v>
      </c>
      <c r="E126" s="6" t="s">
        <v>21</v>
      </c>
      <c r="F126" s="4">
        <v>2.8678928124</v>
      </c>
      <c r="G126" s="4">
        <v>0</v>
      </c>
      <c r="H126" s="4">
        <v>0</v>
      </c>
      <c r="I126" s="4">
        <v>0</v>
      </c>
      <c r="J126" s="4">
        <v>0</v>
      </c>
      <c r="K126" s="4">
        <v>0.96042639000000007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7.0685999999999999E-2</v>
      </c>
      <c r="V126" s="4">
        <v>0</v>
      </c>
      <c r="W126" s="4">
        <v>0</v>
      </c>
      <c r="X126" s="4">
        <v>0</v>
      </c>
      <c r="Y126" s="4">
        <v>0</v>
      </c>
      <c r="Z126" s="14">
        <f t="shared" si="529"/>
        <v>3.8990052024000001</v>
      </c>
      <c r="AB126">
        <f t="shared" si="530"/>
        <v>73.554475142395106</v>
      </c>
      <c r="AC126">
        <f t="shared" si="531"/>
        <v>0</v>
      </c>
      <c r="AD126">
        <f t="shared" si="532"/>
        <v>0</v>
      </c>
      <c r="AE126">
        <f t="shared" si="533"/>
        <v>0</v>
      </c>
      <c r="AF126">
        <f t="shared" si="534"/>
        <v>0</v>
      </c>
      <c r="AG126">
        <f t="shared" si="535"/>
        <v>24.632600885190346</v>
      </c>
      <c r="AH126">
        <f t="shared" si="536"/>
        <v>0</v>
      </c>
      <c r="AI126">
        <f t="shared" si="537"/>
        <v>0</v>
      </c>
      <c r="AJ126">
        <f t="shared" si="538"/>
        <v>0</v>
      </c>
      <c r="AK126">
        <f t="shared" si="539"/>
        <v>0</v>
      </c>
      <c r="AL126">
        <f t="shared" si="540"/>
        <v>0</v>
      </c>
      <c r="AM126">
        <f t="shared" si="541"/>
        <v>0</v>
      </c>
      <c r="AN126">
        <f t="shared" si="542"/>
        <v>0</v>
      </c>
      <c r="AO126">
        <f t="shared" si="543"/>
        <v>0</v>
      </c>
      <c r="AP126">
        <f t="shared" si="544"/>
        <v>0</v>
      </c>
      <c r="AQ126">
        <f t="shared" si="545"/>
        <v>1.8129239724145489</v>
      </c>
      <c r="AR126">
        <f t="shared" si="546"/>
        <v>0</v>
      </c>
      <c r="AS126">
        <f t="shared" si="547"/>
        <v>0</v>
      </c>
      <c r="AT126">
        <f t="shared" si="548"/>
        <v>0</v>
      </c>
      <c r="AU126">
        <f t="shared" si="549"/>
        <v>0</v>
      </c>
      <c r="AW126" s="16">
        <f>AVERAGE(AB126:AB128)</f>
        <v>67.892715181048587</v>
      </c>
      <c r="AX126" s="16">
        <f>AVERAGE(AC126:AC128)</f>
        <v>0</v>
      </c>
      <c r="AY126" s="16">
        <f>AVERAGE(AD126:AD128)</f>
        <v>0.7613787778771105</v>
      </c>
      <c r="AZ126" s="16">
        <f>AVERAGE(AE126:AE128)</f>
        <v>0</v>
      </c>
      <c r="BA126" s="16">
        <f>AVERAGE(AF126:AF128)</f>
        <v>0</v>
      </c>
      <c r="BB126" s="16">
        <f t="shared" ref="BB126" si="685">AVERAGE(AG126:AG128)</f>
        <v>27.001857758339479</v>
      </c>
      <c r="BC126" s="16">
        <f t="shared" ref="BC126" si="686">AVERAGE(AH126:AH128)</f>
        <v>0.86037522408615141</v>
      </c>
      <c r="BD126" s="16">
        <f t="shared" ref="BD126" si="687">AVERAGE(AI126:AI128)</f>
        <v>0</v>
      </c>
      <c r="BE126" s="16">
        <f t="shared" ref="BE126" si="688">AVERAGE(AJ126:AJ128)</f>
        <v>0</v>
      </c>
      <c r="BF126" s="16">
        <f t="shared" ref="BF126" si="689">AVERAGE(AK126:AK128)</f>
        <v>0</v>
      </c>
      <c r="BG126" s="16">
        <f t="shared" ref="BG126" si="690">AVERAGE(AL126:AL128)</f>
        <v>0.2167975126823655</v>
      </c>
      <c r="BH126" s="16">
        <f t="shared" ref="BH126" si="691">AVERAGE(AM126:AM128)</f>
        <v>0</v>
      </c>
      <c r="BI126" s="16">
        <f t="shared" ref="BI126" si="692">AVERAGE(AN126:AN128)</f>
        <v>0</v>
      </c>
      <c r="BJ126" s="16">
        <f t="shared" ref="BJ126" si="693">AVERAGE(AO126:AO128)</f>
        <v>0</v>
      </c>
      <c r="BK126" s="16">
        <f t="shared" ref="BK126" si="694">AVERAGE(AP126:AP128)</f>
        <v>2.0866004512840033</v>
      </c>
      <c r="BL126" s="16">
        <f t="shared" ref="BL126" si="695">AVERAGE(AQ126:AQ128)</f>
        <v>0.60430799080484965</v>
      </c>
      <c r="BM126" s="16">
        <f t="shared" ref="BM126" si="696">AVERAGE(AR126:AR128)</f>
        <v>0</v>
      </c>
      <c r="BN126" s="16">
        <f t="shared" ref="BN126" si="697">AVERAGE(AS126:AS128)</f>
        <v>0</v>
      </c>
      <c r="BO126" s="16">
        <f t="shared" ref="BO126" si="698">AVERAGE(AT126:AT128)</f>
        <v>0.57596710387744821</v>
      </c>
      <c r="BP126" s="16">
        <f t="shared" ref="BP126" si="699">AVERAGE(AU126:AU128)</f>
        <v>0</v>
      </c>
    </row>
    <row r="127" spans="1:68" x14ac:dyDescent="0.35">
      <c r="A127" s="1" t="s">
        <v>56</v>
      </c>
      <c r="B127" s="1">
        <v>125</v>
      </c>
      <c r="C127" s="1" t="s">
        <v>195</v>
      </c>
      <c r="D127" s="1" t="s">
        <v>194</v>
      </c>
      <c r="E127" s="6" t="s">
        <v>21</v>
      </c>
      <c r="F127" s="4">
        <v>1.6686467028000005</v>
      </c>
      <c r="G127" s="4">
        <v>0</v>
      </c>
      <c r="H127" s="4">
        <v>0</v>
      </c>
      <c r="I127" s="4">
        <v>0</v>
      </c>
      <c r="J127" s="4">
        <v>0</v>
      </c>
      <c r="K127" s="4">
        <v>0.49725637500000003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14">
        <f t="shared" si="529"/>
        <v>2.1659030778000004</v>
      </c>
      <c r="AB127">
        <f t="shared" si="530"/>
        <v>77.041614645790872</v>
      </c>
      <c r="AC127">
        <f t="shared" si="531"/>
        <v>0</v>
      </c>
      <c r="AD127">
        <f t="shared" si="532"/>
        <v>0</v>
      </c>
      <c r="AE127">
        <f t="shared" si="533"/>
        <v>0</v>
      </c>
      <c r="AF127">
        <f t="shared" si="534"/>
        <v>0</v>
      </c>
      <c r="AG127">
        <f t="shared" si="535"/>
        <v>22.958385354209128</v>
      </c>
      <c r="AH127">
        <f t="shared" si="536"/>
        <v>0</v>
      </c>
      <c r="AI127">
        <f t="shared" si="537"/>
        <v>0</v>
      </c>
      <c r="AJ127">
        <f t="shared" si="538"/>
        <v>0</v>
      </c>
      <c r="AK127">
        <f t="shared" si="539"/>
        <v>0</v>
      </c>
      <c r="AL127">
        <f t="shared" si="540"/>
        <v>0</v>
      </c>
      <c r="AM127">
        <f t="shared" si="541"/>
        <v>0</v>
      </c>
      <c r="AN127">
        <f t="shared" si="542"/>
        <v>0</v>
      </c>
      <c r="AO127">
        <f t="shared" si="543"/>
        <v>0</v>
      </c>
      <c r="AP127">
        <f t="shared" si="544"/>
        <v>0</v>
      </c>
      <c r="AQ127">
        <f t="shared" si="545"/>
        <v>0</v>
      </c>
      <c r="AR127">
        <f t="shared" si="546"/>
        <v>0</v>
      </c>
      <c r="AS127">
        <f t="shared" si="547"/>
        <v>0</v>
      </c>
      <c r="AT127">
        <f t="shared" si="548"/>
        <v>0</v>
      </c>
      <c r="AU127">
        <f t="shared" si="549"/>
        <v>0</v>
      </c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</row>
    <row r="128" spans="1:68" x14ac:dyDescent="0.35">
      <c r="A128" s="1" t="s">
        <v>56</v>
      </c>
      <c r="B128" s="1">
        <v>126</v>
      </c>
      <c r="C128" s="1" t="s">
        <v>196</v>
      </c>
      <c r="D128" s="1" t="s">
        <v>194</v>
      </c>
      <c r="E128" s="6" t="s">
        <v>21</v>
      </c>
      <c r="F128" s="4">
        <v>1.0338809250000001</v>
      </c>
      <c r="G128" s="4">
        <v>0</v>
      </c>
      <c r="H128" s="4">
        <v>4.4488197600000008E-2</v>
      </c>
      <c r="I128" s="4">
        <v>0</v>
      </c>
      <c r="J128" s="4">
        <v>0</v>
      </c>
      <c r="K128" s="4">
        <v>0.6508169976</v>
      </c>
      <c r="L128" s="4">
        <v>5.0272668600000008E-2</v>
      </c>
      <c r="M128" s="4">
        <v>0</v>
      </c>
      <c r="N128" s="4">
        <v>0</v>
      </c>
      <c r="O128" s="4">
        <v>0</v>
      </c>
      <c r="P128" s="4">
        <v>1.26677166E-2</v>
      </c>
      <c r="Q128" s="4">
        <v>0</v>
      </c>
      <c r="R128" s="4">
        <v>0</v>
      </c>
      <c r="S128" s="4">
        <v>0</v>
      </c>
      <c r="T128" s="4">
        <v>0.1219223544</v>
      </c>
      <c r="U128" s="4">
        <v>0</v>
      </c>
      <c r="V128" s="4">
        <v>0</v>
      </c>
      <c r="W128" s="4">
        <v>0</v>
      </c>
      <c r="X128" s="4">
        <v>3.3654389999999999E-2</v>
      </c>
      <c r="Y128" s="4">
        <v>0</v>
      </c>
      <c r="Z128" s="14">
        <f t="shared" si="529"/>
        <v>1.9477032498</v>
      </c>
      <c r="AB128">
        <f t="shared" si="530"/>
        <v>53.082055754959811</v>
      </c>
      <c r="AC128">
        <f t="shared" si="531"/>
        <v>0</v>
      </c>
      <c r="AD128">
        <f t="shared" si="532"/>
        <v>2.2841363336313316</v>
      </c>
      <c r="AE128">
        <f t="shared" si="533"/>
        <v>0</v>
      </c>
      <c r="AF128">
        <f t="shared" si="534"/>
        <v>0</v>
      </c>
      <c r="AG128">
        <f t="shared" si="535"/>
        <v>33.414587035618965</v>
      </c>
      <c r="AH128">
        <f t="shared" si="536"/>
        <v>2.5811256722584544</v>
      </c>
      <c r="AI128">
        <f t="shared" si="537"/>
        <v>0</v>
      </c>
      <c r="AJ128">
        <f t="shared" si="538"/>
        <v>0</v>
      </c>
      <c r="AK128">
        <f t="shared" si="539"/>
        <v>0</v>
      </c>
      <c r="AL128">
        <f t="shared" si="540"/>
        <v>0.65039253804709651</v>
      </c>
      <c r="AM128">
        <f t="shared" si="541"/>
        <v>0</v>
      </c>
      <c r="AN128">
        <f t="shared" si="542"/>
        <v>0</v>
      </c>
      <c r="AO128">
        <f t="shared" si="543"/>
        <v>0</v>
      </c>
      <c r="AP128">
        <f t="shared" si="544"/>
        <v>6.2598013538520094</v>
      </c>
      <c r="AQ128">
        <f t="shared" si="545"/>
        <v>0</v>
      </c>
      <c r="AR128">
        <f t="shared" si="546"/>
        <v>0</v>
      </c>
      <c r="AS128">
        <f t="shared" si="547"/>
        <v>0</v>
      </c>
      <c r="AT128">
        <f t="shared" si="548"/>
        <v>1.7279013116323447</v>
      </c>
      <c r="AU128">
        <f t="shared" si="549"/>
        <v>0</v>
      </c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</row>
    <row r="129" spans="1:68" x14ac:dyDescent="0.35">
      <c r="A129" s="1" t="s">
        <v>18</v>
      </c>
      <c r="B129" s="1">
        <v>127</v>
      </c>
      <c r="C129" s="1" t="s">
        <v>197</v>
      </c>
      <c r="D129" s="1" t="s">
        <v>198</v>
      </c>
      <c r="E129" s="6" t="s">
        <v>21</v>
      </c>
      <c r="F129" s="4">
        <v>1.8869235000000002E-2</v>
      </c>
      <c r="G129" s="4">
        <v>0</v>
      </c>
      <c r="H129" s="4">
        <v>0</v>
      </c>
      <c r="I129" s="4">
        <v>0</v>
      </c>
      <c r="J129" s="4">
        <v>0.24489635940000004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1.60606446E-2</v>
      </c>
      <c r="U129" s="4">
        <v>2.3889558924000003</v>
      </c>
      <c r="V129" s="4">
        <v>0</v>
      </c>
      <c r="W129" s="4">
        <v>0</v>
      </c>
      <c r="X129" s="4">
        <v>0</v>
      </c>
      <c r="Y129" s="4">
        <v>1.8385428600000003E-2</v>
      </c>
      <c r="Z129" s="14">
        <f t="shared" si="529"/>
        <v>2.6871675600000002</v>
      </c>
      <c r="AB129">
        <f t="shared" si="530"/>
        <v>0.70219793067165492</v>
      </c>
      <c r="AC129">
        <f t="shared" si="531"/>
        <v>0</v>
      </c>
      <c r="AD129">
        <f t="shared" si="532"/>
        <v>0</v>
      </c>
      <c r="AE129">
        <f t="shared" si="533"/>
        <v>0</v>
      </c>
      <c r="AF129">
        <f t="shared" si="534"/>
        <v>9.1135500087683408</v>
      </c>
      <c r="AG129">
        <f t="shared" si="535"/>
        <v>0</v>
      </c>
      <c r="AH129">
        <f t="shared" si="536"/>
        <v>0</v>
      </c>
      <c r="AI129">
        <f t="shared" si="537"/>
        <v>0</v>
      </c>
      <c r="AJ129">
        <f t="shared" si="538"/>
        <v>0</v>
      </c>
      <c r="AK129">
        <f t="shared" si="539"/>
        <v>0</v>
      </c>
      <c r="AL129">
        <f t="shared" si="540"/>
        <v>0</v>
      </c>
      <c r="AM129">
        <f t="shared" si="541"/>
        <v>0</v>
      </c>
      <c r="AN129">
        <f t="shared" si="542"/>
        <v>0</v>
      </c>
      <c r="AO129">
        <f t="shared" si="543"/>
        <v>0</v>
      </c>
      <c r="AP129">
        <f t="shared" si="544"/>
        <v>0.59767931256210904</v>
      </c>
      <c r="AQ129">
        <f t="shared" si="545"/>
        <v>88.902379143040861</v>
      </c>
      <c r="AR129">
        <f t="shared" si="546"/>
        <v>0</v>
      </c>
      <c r="AS129">
        <f t="shared" si="547"/>
        <v>0</v>
      </c>
      <c r="AT129">
        <f t="shared" si="548"/>
        <v>0</v>
      </c>
      <c r="AU129">
        <f t="shared" si="549"/>
        <v>0.68419360495703518</v>
      </c>
      <c r="AW129" s="16">
        <f>AVERAGE(AB129:AB131)</f>
        <v>1.7212217390997504</v>
      </c>
      <c r="AX129" s="16">
        <f>AVERAGE(AC129:AC131)</f>
        <v>0</v>
      </c>
      <c r="AY129" s="16">
        <f>AVERAGE(AD129:AD131)</f>
        <v>0</v>
      </c>
      <c r="AZ129" s="16">
        <f>AVERAGE(AE129:AE131)</f>
        <v>0</v>
      </c>
      <c r="BA129" s="16">
        <f>AVERAGE(AF129:AF131)</f>
        <v>8.8677425212133283</v>
      </c>
      <c r="BB129" s="16">
        <f t="shared" ref="BB129" si="700">AVERAGE(AG129:AG131)</f>
        <v>0</v>
      </c>
      <c r="BC129" s="16">
        <f t="shared" ref="BC129" si="701">AVERAGE(AH129:AH131)</f>
        <v>0.1285753879811532</v>
      </c>
      <c r="BD129" s="16">
        <f t="shared" ref="BD129" si="702">AVERAGE(AI129:AI131)</f>
        <v>0.33209841921152455</v>
      </c>
      <c r="BE129" s="16">
        <f t="shared" ref="BE129" si="703">AVERAGE(AJ129:AJ131)</f>
        <v>0</v>
      </c>
      <c r="BF129" s="16">
        <f t="shared" ref="BF129" si="704">AVERAGE(AK129:AK131)</f>
        <v>0</v>
      </c>
      <c r="BG129" s="16">
        <f t="shared" ref="BG129" si="705">AVERAGE(AL129:AL131)</f>
        <v>0</v>
      </c>
      <c r="BH129" s="16">
        <f t="shared" ref="BH129" si="706">AVERAGE(AM129:AM131)</f>
        <v>0</v>
      </c>
      <c r="BI129" s="16">
        <f t="shared" ref="BI129" si="707">AVERAGE(AN129:AN131)</f>
        <v>0</v>
      </c>
      <c r="BJ129" s="16">
        <f t="shared" ref="BJ129" si="708">AVERAGE(AO129:AO131)</f>
        <v>1.7449053882329146</v>
      </c>
      <c r="BK129" s="16">
        <f t="shared" ref="BK129" si="709">AVERAGE(AP129:AP131)</f>
        <v>1.6708877525169576</v>
      </c>
      <c r="BL129" s="16">
        <f t="shared" ref="BL129" si="710">AVERAGE(AQ129:AQ131)</f>
        <v>84.707113349859412</v>
      </c>
      <c r="BM129" s="16">
        <f t="shared" ref="BM129" si="711">AVERAGE(AR129:AR131)</f>
        <v>0</v>
      </c>
      <c r="BN129" s="16">
        <f t="shared" ref="BN129" si="712">AVERAGE(AS129:AS131)</f>
        <v>0</v>
      </c>
      <c r="BO129" s="16">
        <f t="shared" ref="BO129" si="713">AVERAGE(AT129:AT131)</f>
        <v>0</v>
      </c>
      <c r="BP129" s="16">
        <f t="shared" ref="BP129" si="714">AVERAGE(AU129:AU131)</f>
        <v>0.82745544188496167</v>
      </c>
    </row>
    <row r="130" spans="1:68" x14ac:dyDescent="0.35">
      <c r="A130" s="1" t="s">
        <v>18</v>
      </c>
      <c r="B130" s="1">
        <v>128</v>
      </c>
      <c r="C130" s="1" t="s">
        <v>199</v>
      </c>
      <c r="D130" s="1" t="s">
        <v>198</v>
      </c>
      <c r="E130" s="6" t="s">
        <v>21</v>
      </c>
      <c r="F130" s="4">
        <v>0</v>
      </c>
      <c r="G130" s="4">
        <v>0</v>
      </c>
      <c r="H130" s="4">
        <v>0</v>
      </c>
      <c r="I130" s="4">
        <v>0</v>
      </c>
      <c r="J130" s="4">
        <v>0.2828908698</v>
      </c>
      <c r="K130" s="4">
        <v>0</v>
      </c>
      <c r="L130" s="4">
        <v>1.5393840000000001E-2</v>
      </c>
      <c r="M130" s="4">
        <v>3.9760875000000001E-2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3.5810642867999998</v>
      </c>
      <c r="V130" s="4">
        <v>0</v>
      </c>
      <c r="W130" s="4">
        <v>0</v>
      </c>
      <c r="X130" s="4">
        <v>0</v>
      </c>
      <c r="Y130" s="4">
        <v>7.1762783400000002E-2</v>
      </c>
      <c r="Z130" s="14">
        <f t="shared" si="529"/>
        <v>3.990872655</v>
      </c>
      <c r="AB130">
        <f t="shared" si="530"/>
        <v>0</v>
      </c>
      <c r="AC130">
        <f t="shared" si="531"/>
        <v>0</v>
      </c>
      <c r="AD130">
        <f t="shared" si="532"/>
        <v>0</v>
      </c>
      <c r="AE130">
        <f t="shared" si="533"/>
        <v>0</v>
      </c>
      <c r="AF130">
        <f t="shared" si="534"/>
        <v>7.0884464189950451</v>
      </c>
      <c r="AG130">
        <f t="shared" si="535"/>
        <v>0</v>
      </c>
      <c r="AH130">
        <f t="shared" si="536"/>
        <v>0.3857261639434596</v>
      </c>
      <c r="AI130">
        <f t="shared" si="537"/>
        <v>0.99629525763457372</v>
      </c>
      <c r="AJ130">
        <f t="shared" si="538"/>
        <v>0</v>
      </c>
      <c r="AK130">
        <f t="shared" si="539"/>
        <v>0</v>
      </c>
      <c r="AL130">
        <f t="shared" si="540"/>
        <v>0</v>
      </c>
      <c r="AM130">
        <f t="shared" si="541"/>
        <v>0</v>
      </c>
      <c r="AN130">
        <f t="shared" si="542"/>
        <v>0</v>
      </c>
      <c r="AO130">
        <f t="shared" si="543"/>
        <v>0</v>
      </c>
      <c r="AP130">
        <f t="shared" si="544"/>
        <v>0</v>
      </c>
      <c r="AQ130">
        <f t="shared" si="545"/>
        <v>89.731359438729058</v>
      </c>
      <c r="AR130">
        <f t="shared" si="546"/>
        <v>0</v>
      </c>
      <c r="AS130">
        <f t="shared" si="547"/>
        <v>0</v>
      </c>
      <c r="AT130">
        <f t="shared" si="548"/>
        <v>0</v>
      </c>
      <c r="AU130">
        <f t="shared" si="549"/>
        <v>1.7981727206978497</v>
      </c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</row>
    <row r="131" spans="1:68" x14ac:dyDescent="0.35">
      <c r="A131" s="1" t="s">
        <v>18</v>
      </c>
      <c r="B131" s="1">
        <v>129</v>
      </c>
      <c r="C131" s="1" t="s">
        <v>200</v>
      </c>
      <c r="D131" s="1" t="s">
        <v>198</v>
      </c>
      <c r="E131" s="6" t="s">
        <v>21</v>
      </c>
      <c r="F131" s="4">
        <v>0.12762278760000001</v>
      </c>
      <c r="G131" s="4">
        <v>0</v>
      </c>
      <c r="H131" s="4">
        <v>0</v>
      </c>
      <c r="I131" s="4">
        <v>0</v>
      </c>
      <c r="J131" s="4">
        <v>0.297533082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0.14974200780000002</v>
      </c>
      <c r="T131" s="4">
        <v>0.12629310540000002</v>
      </c>
      <c r="U131" s="4">
        <v>2.1593654082000002</v>
      </c>
      <c r="V131" s="4">
        <v>0</v>
      </c>
      <c r="W131" s="4">
        <v>0</v>
      </c>
      <c r="X131" s="4">
        <v>0</v>
      </c>
      <c r="Y131" s="4">
        <v>0</v>
      </c>
      <c r="Z131" s="14">
        <f t="shared" ref="Z131:Z162" si="715">SUM(F131:Y131)</f>
        <v>2.8605563910000003</v>
      </c>
      <c r="AB131">
        <f t="shared" si="530"/>
        <v>4.4614672866275962</v>
      </c>
      <c r="AC131">
        <f t="shared" si="531"/>
        <v>0</v>
      </c>
      <c r="AD131">
        <f t="shared" si="532"/>
        <v>0</v>
      </c>
      <c r="AE131">
        <f t="shared" si="533"/>
        <v>0</v>
      </c>
      <c r="AF131">
        <f t="shared" si="534"/>
        <v>10.4012311358766</v>
      </c>
      <c r="AG131">
        <f t="shared" si="535"/>
        <v>0</v>
      </c>
      <c r="AH131">
        <f t="shared" si="536"/>
        <v>0</v>
      </c>
      <c r="AI131">
        <f t="shared" si="537"/>
        <v>0</v>
      </c>
      <c r="AJ131">
        <f t="shared" si="538"/>
        <v>0</v>
      </c>
      <c r="AK131">
        <f t="shared" si="539"/>
        <v>0</v>
      </c>
      <c r="AL131">
        <f t="shared" si="540"/>
        <v>0</v>
      </c>
      <c r="AM131">
        <f t="shared" si="541"/>
        <v>0</v>
      </c>
      <c r="AN131">
        <f t="shared" si="542"/>
        <v>0</v>
      </c>
      <c r="AO131">
        <f t="shared" si="543"/>
        <v>5.2347161646987441</v>
      </c>
      <c r="AP131">
        <f t="shared" si="544"/>
        <v>4.414983944988764</v>
      </c>
      <c r="AQ131">
        <f t="shared" si="545"/>
        <v>75.48760146780829</v>
      </c>
      <c r="AR131">
        <f t="shared" si="546"/>
        <v>0</v>
      </c>
      <c r="AS131">
        <f t="shared" si="547"/>
        <v>0</v>
      </c>
      <c r="AT131">
        <f t="shared" si="548"/>
        <v>0</v>
      </c>
      <c r="AU131">
        <f t="shared" si="549"/>
        <v>0</v>
      </c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L131"/>
  <sheetViews>
    <sheetView workbookViewId="0">
      <pane xSplit="5" ySplit="2" topLeftCell="BO3" activePane="bottomRight" state="frozen"/>
      <selection pane="topRight" activeCell="F1" sqref="F1"/>
      <selection pane="bottomLeft" activeCell="A3" sqref="A3"/>
      <selection pane="bottomRight" activeCell="BX1" activeCellId="1" sqref="A1:E1048576 BX1:BX1048576"/>
    </sheetView>
  </sheetViews>
  <sheetFormatPr defaultRowHeight="14.5" x14ac:dyDescent="0.35"/>
  <cols>
    <col min="5" max="5" width="10.54296875" style="1" customWidth="1"/>
    <col min="90" max="90" width="9.1796875" style="15"/>
  </cols>
  <sheetData>
    <row r="1" spans="1:90" x14ac:dyDescent="0.35">
      <c r="A1" s="1" t="s">
        <v>201</v>
      </c>
      <c r="B1" s="1"/>
      <c r="C1" s="1"/>
      <c r="D1" s="1"/>
      <c r="G1" s="15" t="s">
        <v>217</v>
      </c>
      <c r="AB1" s="2" t="s">
        <v>218</v>
      </c>
      <c r="AW1" s="2" t="s">
        <v>219</v>
      </c>
      <c r="BR1" s="15" t="s">
        <v>220</v>
      </c>
    </row>
    <row r="2" spans="1:90" x14ac:dyDescent="0.35">
      <c r="A2" s="8" t="s">
        <v>1</v>
      </c>
      <c r="B2" s="8" t="s">
        <v>2</v>
      </c>
      <c r="C2" s="8" t="s">
        <v>3</v>
      </c>
      <c r="D2" s="8" t="s">
        <v>4</v>
      </c>
      <c r="E2" s="2" t="s">
        <v>5</v>
      </c>
      <c r="G2" t="s">
        <v>202</v>
      </c>
      <c r="H2" t="s">
        <v>6</v>
      </c>
      <c r="I2" t="s">
        <v>7</v>
      </c>
      <c r="J2" t="s">
        <v>8</v>
      </c>
      <c r="K2" t="s">
        <v>203</v>
      </c>
      <c r="L2" t="s">
        <v>9</v>
      </c>
      <c r="M2" t="s">
        <v>204</v>
      </c>
      <c r="N2" t="s">
        <v>205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206</v>
      </c>
      <c r="U2" t="s">
        <v>207</v>
      </c>
      <c r="V2" t="s">
        <v>208</v>
      </c>
      <c r="W2" t="s">
        <v>15</v>
      </c>
      <c r="X2" t="s">
        <v>16</v>
      </c>
      <c r="Y2" t="s">
        <v>17</v>
      </c>
      <c r="Z2" t="s">
        <v>209</v>
      </c>
      <c r="AB2" t="s">
        <v>202</v>
      </c>
      <c r="AC2" t="s">
        <v>6</v>
      </c>
      <c r="AD2" t="s">
        <v>7</v>
      </c>
      <c r="AE2" t="s">
        <v>8</v>
      </c>
      <c r="AF2" t="s">
        <v>203</v>
      </c>
      <c r="AG2" t="s">
        <v>9</v>
      </c>
      <c r="AH2" t="s">
        <v>204</v>
      </c>
      <c r="AI2" t="s">
        <v>205</v>
      </c>
      <c r="AJ2" t="s">
        <v>10</v>
      </c>
      <c r="AK2" t="s">
        <v>11</v>
      </c>
      <c r="AL2" t="s">
        <v>12</v>
      </c>
      <c r="AM2" t="s">
        <v>13</v>
      </c>
      <c r="AN2" t="s">
        <v>14</v>
      </c>
      <c r="AO2" t="s">
        <v>206</v>
      </c>
      <c r="AP2" t="s">
        <v>207</v>
      </c>
      <c r="AQ2" t="s">
        <v>208</v>
      </c>
      <c r="AR2" t="s">
        <v>15</v>
      </c>
      <c r="AS2" t="s">
        <v>16</v>
      </c>
      <c r="AT2" t="s">
        <v>17</v>
      </c>
      <c r="AU2" t="s">
        <v>209</v>
      </c>
      <c r="AW2" t="s">
        <v>202</v>
      </c>
      <c r="AX2" t="s">
        <v>6</v>
      </c>
      <c r="AY2" t="s">
        <v>7</v>
      </c>
      <c r="AZ2" t="s">
        <v>8</v>
      </c>
      <c r="BA2" t="s">
        <v>203</v>
      </c>
      <c r="BB2" t="s">
        <v>9</v>
      </c>
      <c r="BC2" t="s">
        <v>204</v>
      </c>
      <c r="BD2" t="s">
        <v>205</v>
      </c>
      <c r="BE2" t="s">
        <v>10</v>
      </c>
      <c r="BF2" t="s">
        <v>11</v>
      </c>
      <c r="BG2" t="s">
        <v>12</v>
      </c>
      <c r="BH2" t="s">
        <v>13</v>
      </c>
      <c r="BI2" t="s">
        <v>14</v>
      </c>
      <c r="BJ2" t="s">
        <v>206</v>
      </c>
      <c r="BK2" t="s">
        <v>207</v>
      </c>
      <c r="BL2" t="s">
        <v>208</v>
      </c>
      <c r="BM2" t="s">
        <v>15</v>
      </c>
      <c r="BN2" t="s">
        <v>16</v>
      </c>
      <c r="BO2" t="s">
        <v>17</v>
      </c>
      <c r="BP2" t="s">
        <v>209</v>
      </c>
      <c r="BR2" t="s">
        <v>202</v>
      </c>
      <c r="BS2" t="s">
        <v>6</v>
      </c>
      <c r="BT2" t="s">
        <v>7</v>
      </c>
      <c r="BU2" t="s">
        <v>8</v>
      </c>
      <c r="BV2" t="s">
        <v>203</v>
      </c>
      <c r="BW2" t="s">
        <v>9</v>
      </c>
      <c r="BX2" t="s">
        <v>204</v>
      </c>
      <c r="BY2" t="s">
        <v>205</v>
      </c>
      <c r="BZ2" t="s">
        <v>10</v>
      </c>
      <c r="CA2" t="s">
        <v>11</v>
      </c>
      <c r="CB2" t="s">
        <v>12</v>
      </c>
      <c r="CC2" t="s">
        <v>13</v>
      </c>
      <c r="CD2" t="s">
        <v>14</v>
      </c>
      <c r="CE2" t="s">
        <v>206</v>
      </c>
      <c r="CF2" t="s">
        <v>207</v>
      </c>
      <c r="CG2" t="s">
        <v>208</v>
      </c>
      <c r="CH2" t="s">
        <v>15</v>
      </c>
      <c r="CI2" t="s">
        <v>16</v>
      </c>
      <c r="CJ2" t="s">
        <v>17</v>
      </c>
      <c r="CK2" t="s">
        <v>209</v>
      </c>
      <c r="CL2" s="20" t="s">
        <v>210</v>
      </c>
    </row>
    <row r="3" spans="1:90" x14ac:dyDescent="0.35">
      <c r="A3" s="1" t="s">
        <v>18</v>
      </c>
      <c r="B3" s="1">
        <v>1</v>
      </c>
      <c r="C3" s="1" t="s">
        <v>19</v>
      </c>
      <c r="D3" s="1" t="s">
        <v>20</v>
      </c>
      <c r="E3" s="3" t="s">
        <v>21</v>
      </c>
      <c r="G3" s="16">
        <v>0</v>
      </c>
      <c r="H3" s="16">
        <v>0</v>
      </c>
      <c r="I3" s="16">
        <v>0</v>
      </c>
      <c r="J3" s="16">
        <v>0</v>
      </c>
      <c r="K3" s="16">
        <v>6.25</v>
      </c>
      <c r="L3" s="16">
        <v>0</v>
      </c>
      <c r="M3" s="16">
        <v>18.75</v>
      </c>
      <c r="N3" s="16">
        <v>12.5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6">
        <v>6.25</v>
      </c>
      <c r="U3" s="16">
        <v>12.5</v>
      </c>
      <c r="V3" s="16">
        <v>12.5</v>
      </c>
      <c r="W3" s="16">
        <v>0</v>
      </c>
      <c r="X3" s="16">
        <v>0</v>
      </c>
      <c r="Y3" s="16">
        <v>12.5</v>
      </c>
      <c r="Z3" s="16">
        <v>18.75</v>
      </c>
      <c r="AB3" s="16">
        <v>0</v>
      </c>
      <c r="AC3" s="16">
        <v>0</v>
      </c>
      <c r="AD3" s="16">
        <v>0</v>
      </c>
      <c r="AE3" s="16">
        <v>0</v>
      </c>
      <c r="AF3" s="16">
        <v>3.9215686274509802</v>
      </c>
      <c r="AG3" s="16">
        <v>0</v>
      </c>
      <c r="AH3" s="16">
        <v>46.645478704302228</v>
      </c>
      <c r="AI3" s="16">
        <v>15.826330532212886</v>
      </c>
      <c r="AJ3" s="16">
        <v>0</v>
      </c>
      <c r="AK3" s="16">
        <v>0</v>
      </c>
      <c r="AL3" s="16">
        <v>0</v>
      </c>
      <c r="AM3" s="16">
        <v>0</v>
      </c>
      <c r="AN3" s="16">
        <v>0</v>
      </c>
      <c r="AO3" s="16">
        <v>1.0256410256410258</v>
      </c>
      <c r="AP3" s="16">
        <v>9.395604395604396</v>
      </c>
      <c r="AQ3" s="16">
        <v>11.050779286073405</v>
      </c>
      <c r="AR3" s="16">
        <v>0</v>
      </c>
      <c r="AS3" s="16">
        <v>0</v>
      </c>
      <c r="AT3" s="16">
        <v>6.6264454499748622</v>
      </c>
      <c r="AU3" s="16">
        <v>5.5081519787402131</v>
      </c>
      <c r="AW3" s="16">
        <v>0</v>
      </c>
      <c r="AX3" s="16">
        <v>0</v>
      </c>
      <c r="AY3" s="16">
        <v>0</v>
      </c>
      <c r="AZ3" s="16">
        <v>0</v>
      </c>
      <c r="BA3" s="16">
        <v>3.6572187906134541</v>
      </c>
      <c r="BB3" s="16">
        <v>0</v>
      </c>
      <c r="BC3" s="16">
        <v>36.803652905200416</v>
      </c>
      <c r="BD3" s="16">
        <v>24.42119433246776</v>
      </c>
      <c r="BE3" s="16">
        <v>0</v>
      </c>
      <c r="BF3" s="16">
        <v>0</v>
      </c>
      <c r="BG3" s="16">
        <v>0</v>
      </c>
      <c r="BH3" s="16">
        <v>0</v>
      </c>
      <c r="BI3" s="16">
        <v>0</v>
      </c>
      <c r="BJ3" s="16">
        <v>2.1773550078438118</v>
      </c>
      <c r="BK3" s="16">
        <v>10.72629223163689</v>
      </c>
      <c r="BL3" s="16">
        <v>10.447173822699833</v>
      </c>
      <c r="BM3" s="16">
        <v>0</v>
      </c>
      <c r="BN3" s="16">
        <v>0</v>
      </c>
      <c r="BO3" s="16">
        <v>7.3103167840512784</v>
      </c>
      <c r="BP3" s="16">
        <v>4.4567961254865507</v>
      </c>
      <c r="BR3" s="16">
        <f>SUM(G3,AB3,AW3)</f>
        <v>0</v>
      </c>
      <c r="BS3" s="16">
        <f t="shared" ref="BS3:CK3" si="0">SUM(H3,AC3,AX3)</f>
        <v>0</v>
      </c>
      <c r="BT3" s="16">
        <f t="shared" si="0"/>
        <v>0</v>
      </c>
      <c r="BU3" s="16">
        <f t="shared" si="0"/>
        <v>0</v>
      </c>
      <c r="BV3" s="16">
        <f t="shared" si="0"/>
        <v>13.828787418064435</v>
      </c>
      <c r="BW3" s="16">
        <f t="shared" si="0"/>
        <v>0</v>
      </c>
      <c r="BX3" s="16">
        <f t="shared" si="0"/>
        <v>102.19913160950264</v>
      </c>
      <c r="BY3" s="16">
        <f t="shared" si="0"/>
        <v>52.747524864680642</v>
      </c>
      <c r="BZ3" s="16">
        <f t="shared" si="0"/>
        <v>0</v>
      </c>
      <c r="CA3" s="16">
        <f t="shared" si="0"/>
        <v>0</v>
      </c>
      <c r="CB3" s="16">
        <f t="shared" si="0"/>
        <v>0</v>
      </c>
      <c r="CC3" s="16">
        <f t="shared" si="0"/>
        <v>0</v>
      </c>
      <c r="CD3" s="16">
        <f t="shared" si="0"/>
        <v>0</v>
      </c>
      <c r="CE3" s="16">
        <f t="shared" si="0"/>
        <v>9.4529960334848369</v>
      </c>
      <c r="CF3" s="16">
        <f t="shared" si="0"/>
        <v>32.621896627241284</v>
      </c>
      <c r="CG3" s="16">
        <f t="shared" si="0"/>
        <v>33.997953108773238</v>
      </c>
      <c r="CH3" s="16">
        <f t="shared" si="0"/>
        <v>0</v>
      </c>
      <c r="CI3" s="16">
        <f t="shared" si="0"/>
        <v>0</v>
      </c>
      <c r="CJ3" s="16">
        <f t="shared" si="0"/>
        <v>26.436762234026141</v>
      </c>
      <c r="CK3" s="16">
        <f t="shared" si="0"/>
        <v>28.714948104226764</v>
      </c>
      <c r="CL3" s="21">
        <f>SUM(BR3:CK3)</f>
        <v>300</v>
      </c>
    </row>
    <row r="4" spans="1:90" x14ac:dyDescent="0.35">
      <c r="A4" s="1" t="s">
        <v>18</v>
      </c>
      <c r="B4" s="1">
        <v>2</v>
      </c>
      <c r="C4" s="1" t="s">
        <v>22</v>
      </c>
      <c r="D4" s="1" t="s">
        <v>20</v>
      </c>
      <c r="E4" s="3" t="s">
        <v>21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</row>
    <row r="5" spans="1:90" x14ac:dyDescent="0.35">
      <c r="A5" s="1" t="s">
        <v>18</v>
      </c>
      <c r="B5" s="1">
        <v>3</v>
      </c>
      <c r="C5" s="1" t="s">
        <v>23</v>
      </c>
      <c r="D5" s="1" t="s">
        <v>20</v>
      </c>
      <c r="E5" s="3" t="s">
        <v>21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</row>
    <row r="6" spans="1:90" x14ac:dyDescent="0.35">
      <c r="A6" s="1" t="s">
        <v>24</v>
      </c>
      <c r="B6" s="1">
        <v>4</v>
      </c>
      <c r="C6" s="1" t="s">
        <v>25</v>
      </c>
      <c r="D6" s="1" t="s">
        <v>26</v>
      </c>
      <c r="E6" s="3" t="s">
        <v>27</v>
      </c>
      <c r="G6" s="16">
        <v>4.5454545454545459</v>
      </c>
      <c r="H6" s="16">
        <v>0</v>
      </c>
      <c r="I6" s="16">
        <v>0</v>
      </c>
      <c r="J6" s="16">
        <v>0</v>
      </c>
      <c r="K6" s="16">
        <v>13.636363636363638</v>
      </c>
      <c r="L6" s="16">
        <v>0</v>
      </c>
      <c r="M6" s="16">
        <v>13.636363636363638</v>
      </c>
      <c r="N6" s="16">
        <v>4.5454545454545459</v>
      </c>
      <c r="O6" s="16">
        <v>0</v>
      </c>
      <c r="P6" s="16">
        <v>0</v>
      </c>
      <c r="Q6" s="16">
        <v>0</v>
      </c>
      <c r="R6" s="16">
        <v>4.5454545454545459</v>
      </c>
      <c r="S6" s="16">
        <v>0</v>
      </c>
      <c r="T6" s="16">
        <v>9.0909090909090917</v>
      </c>
      <c r="U6" s="16">
        <v>9.0909090909090917</v>
      </c>
      <c r="V6" s="16">
        <v>13.636363636363638</v>
      </c>
      <c r="W6" s="16">
        <v>0</v>
      </c>
      <c r="X6" s="16">
        <v>9.0909090909090917</v>
      </c>
      <c r="Y6" s="16">
        <v>4.5454545454545459</v>
      </c>
      <c r="Z6" s="16">
        <v>13.636363636363638</v>
      </c>
      <c r="AB6" s="16">
        <v>0.81300813008130079</v>
      </c>
      <c r="AC6" s="16">
        <v>0</v>
      </c>
      <c r="AD6" s="16">
        <v>0</v>
      </c>
      <c r="AE6" s="16">
        <v>0</v>
      </c>
      <c r="AF6" s="16">
        <v>3.8859032658123192</v>
      </c>
      <c r="AG6" s="16">
        <v>0</v>
      </c>
      <c r="AH6" s="16">
        <v>30.232878599972441</v>
      </c>
      <c r="AI6" s="16">
        <v>0.81300813008130079</v>
      </c>
      <c r="AJ6" s="16">
        <v>0</v>
      </c>
      <c r="AK6" s="16">
        <v>0</v>
      </c>
      <c r="AL6" s="16">
        <v>0</v>
      </c>
      <c r="AM6" s="16">
        <v>0.81300813008130079</v>
      </c>
      <c r="AN6" s="16">
        <v>0</v>
      </c>
      <c r="AO6" s="16">
        <v>3.8170042717376327</v>
      </c>
      <c r="AP6" s="16">
        <v>4.6989113958936199</v>
      </c>
      <c r="AQ6" s="16">
        <v>36.87474162877222</v>
      </c>
      <c r="AR6" s="16">
        <v>0</v>
      </c>
      <c r="AS6" s="16">
        <v>3.8170042717376327</v>
      </c>
      <c r="AT6" s="16">
        <v>7.3446327683615813</v>
      </c>
      <c r="AU6" s="16">
        <v>6.8898994074686515</v>
      </c>
      <c r="AW6" s="16">
        <v>0.49104260806985228</v>
      </c>
      <c r="AX6" s="16">
        <v>0</v>
      </c>
      <c r="AY6" s="16">
        <v>0</v>
      </c>
      <c r="AZ6" s="16">
        <v>0</v>
      </c>
      <c r="BA6" s="16">
        <v>3.4325114851186243</v>
      </c>
      <c r="BB6" s="16">
        <v>0</v>
      </c>
      <c r="BC6" s="16">
        <v>24.721040379828171</v>
      </c>
      <c r="BD6" s="16">
        <v>0.67144711463765894</v>
      </c>
      <c r="BE6" s="16">
        <v>0</v>
      </c>
      <c r="BF6" s="16">
        <v>0</v>
      </c>
      <c r="BG6" s="16">
        <v>0</v>
      </c>
      <c r="BH6" s="16">
        <v>0.13492813599734169</v>
      </c>
      <c r="BI6" s="16">
        <v>0</v>
      </c>
      <c r="BJ6" s="16">
        <v>4.5844547256262516</v>
      </c>
      <c r="BK6" s="16">
        <v>3.0803199224251365</v>
      </c>
      <c r="BL6" s="16">
        <v>50.735580134942353</v>
      </c>
      <c r="BM6" s="16">
        <v>0</v>
      </c>
      <c r="BN6" s="16">
        <v>2.1161494455998522</v>
      </c>
      <c r="BO6" s="16">
        <v>7.1422154521496912</v>
      </c>
      <c r="BP6" s="16">
        <v>2.8903105956050723</v>
      </c>
      <c r="BR6" s="16">
        <f>SUM(G6,AB6,AW6)</f>
        <v>5.8495052836056995</v>
      </c>
      <c r="BS6" s="16">
        <f t="shared" ref="BS6:CK6" si="1">SUM(H6,AC6,AX6)</f>
        <v>0</v>
      </c>
      <c r="BT6" s="16">
        <f t="shared" si="1"/>
        <v>0</v>
      </c>
      <c r="BU6" s="16">
        <f t="shared" si="1"/>
        <v>0</v>
      </c>
      <c r="BV6" s="16">
        <f t="shared" si="1"/>
        <v>20.954778387294581</v>
      </c>
      <c r="BW6" s="16">
        <f t="shared" si="1"/>
        <v>0</v>
      </c>
      <c r="BX6" s="16">
        <f t="shared" si="1"/>
        <v>68.590282616164245</v>
      </c>
      <c r="BY6" s="16">
        <f t="shared" si="1"/>
        <v>6.0299097901735061</v>
      </c>
      <c r="BZ6" s="16">
        <f t="shared" si="1"/>
        <v>0</v>
      </c>
      <c r="CA6" s="16">
        <f t="shared" si="1"/>
        <v>0</v>
      </c>
      <c r="CB6" s="16">
        <f t="shared" si="1"/>
        <v>0</v>
      </c>
      <c r="CC6" s="16">
        <f t="shared" si="1"/>
        <v>5.4933908115331889</v>
      </c>
      <c r="CD6" s="16">
        <f t="shared" si="1"/>
        <v>0</v>
      </c>
      <c r="CE6" s="16">
        <f t="shared" si="1"/>
        <v>17.492368088272976</v>
      </c>
      <c r="CF6" s="16">
        <f t="shared" si="1"/>
        <v>16.870140409227847</v>
      </c>
      <c r="CG6" s="16">
        <f t="shared" si="1"/>
        <v>101.24668540007821</v>
      </c>
      <c r="CH6" s="16">
        <f t="shared" si="1"/>
        <v>0</v>
      </c>
      <c r="CI6" s="16">
        <f t="shared" si="1"/>
        <v>15.024062808246576</v>
      </c>
      <c r="CJ6" s="16">
        <f t="shared" si="1"/>
        <v>19.03230276596582</v>
      </c>
      <c r="CK6" s="16">
        <f t="shared" si="1"/>
        <v>23.416573639437363</v>
      </c>
      <c r="CL6" s="21">
        <f>SUM(BR6:CK6)</f>
        <v>300</v>
      </c>
    </row>
    <row r="7" spans="1:90" x14ac:dyDescent="0.35">
      <c r="A7" s="1" t="s">
        <v>24</v>
      </c>
      <c r="B7" s="1">
        <v>5</v>
      </c>
      <c r="C7" s="1" t="s">
        <v>28</v>
      </c>
      <c r="D7" s="1" t="s">
        <v>26</v>
      </c>
      <c r="E7" s="3" t="s">
        <v>27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</row>
    <row r="8" spans="1:90" x14ac:dyDescent="0.35">
      <c r="A8" s="1" t="s">
        <v>24</v>
      </c>
      <c r="B8" s="1">
        <v>6</v>
      </c>
      <c r="C8" s="1" t="s">
        <v>29</v>
      </c>
      <c r="D8" s="1" t="s">
        <v>26</v>
      </c>
      <c r="E8" s="3" t="s">
        <v>27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</row>
    <row r="9" spans="1:90" x14ac:dyDescent="0.35">
      <c r="A9" s="1" t="s">
        <v>18</v>
      </c>
      <c r="B9" s="1">
        <v>7</v>
      </c>
      <c r="C9" s="1" t="s">
        <v>30</v>
      </c>
      <c r="D9" s="1" t="s">
        <v>31</v>
      </c>
      <c r="E9" s="3" t="s">
        <v>21</v>
      </c>
      <c r="G9" s="16">
        <v>11.111111111111111</v>
      </c>
      <c r="H9" s="16">
        <v>0</v>
      </c>
      <c r="I9" s="16">
        <v>0</v>
      </c>
      <c r="J9" s="16">
        <v>0</v>
      </c>
      <c r="K9" s="16">
        <v>16.666666666666664</v>
      </c>
      <c r="L9" s="16">
        <v>5.5555555555555554</v>
      </c>
      <c r="M9" s="16">
        <v>16.666666666666664</v>
      </c>
      <c r="N9" s="16">
        <v>5.5555555555555554</v>
      </c>
      <c r="O9" s="16">
        <v>0</v>
      </c>
      <c r="P9" s="16">
        <v>0</v>
      </c>
      <c r="Q9" s="16">
        <v>0</v>
      </c>
      <c r="R9" s="16">
        <v>5.5555555555555554</v>
      </c>
      <c r="S9" s="16">
        <v>0</v>
      </c>
      <c r="T9" s="16">
        <v>0</v>
      </c>
      <c r="U9" s="16">
        <v>11.111111111111111</v>
      </c>
      <c r="V9" s="16">
        <v>16.666666666666664</v>
      </c>
      <c r="W9" s="16">
        <v>0</v>
      </c>
      <c r="X9" s="16">
        <v>0</v>
      </c>
      <c r="Y9" s="16">
        <v>5.5555555555555554</v>
      </c>
      <c r="Z9" s="16">
        <v>5.5555555555555554</v>
      </c>
      <c r="AB9" s="16">
        <v>2.2246941045606228</v>
      </c>
      <c r="AC9" s="16">
        <v>0</v>
      </c>
      <c r="AD9" s="16">
        <v>0</v>
      </c>
      <c r="AE9" s="16">
        <v>0</v>
      </c>
      <c r="AF9" s="16">
        <v>31.633747206605936</v>
      </c>
      <c r="AG9" s="16">
        <v>4.301075268817204</v>
      </c>
      <c r="AH9" s="16">
        <v>16.33546783713636</v>
      </c>
      <c r="AI9" s="16">
        <v>0.90090090090090091</v>
      </c>
      <c r="AJ9" s="16">
        <v>0</v>
      </c>
      <c r="AK9" s="16">
        <v>0</v>
      </c>
      <c r="AL9" s="16">
        <v>0</v>
      </c>
      <c r="AM9" s="16">
        <v>1.1494252873563218</v>
      </c>
      <c r="AN9" s="16">
        <v>0</v>
      </c>
      <c r="AO9" s="16">
        <v>0</v>
      </c>
      <c r="AP9" s="16">
        <v>2.2246941045606228</v>
      </c>
      <c r="AQ9" s="16">
        <v>35.979917626191259</v>
      </c>
      <c r="AR9" s="16">
        <v>0</v>
      </c>
      <c r="AS9" s="16">
        <v>0</v>
      </c>
      <c r="AT9" s="16">
        <v>3.4482758620689657</v>
      </c>
      <c r="AU9" s="16">
        <v>1.8018018018018018</v>
      </c>
      <c r="AW9" s="16">
        <v>0.53699300348342438</v>
      </c>
      <c r="AX9" s="16">
        <v>0</v>
      </c>
      <c r="AY9" s="16">
        <v>0</v>
      </c>
      <c r="AZ9" s="16">
        <v>0</v>
      </c>
      <c r="BA9" s="16">
        <v>14.934304508217727</v>
      </c>
      <c r="BB9" s="16">
        <v>2.2519564114596817</v>
      </c>
      <c r="BC9" s="16">
        <v>12.299072149001454</v>
      </c>
      <c r="BD9" s="16">
        <v>0.26629418046362191</v>
      </c>
      <c r="BE9" s="16">
        <v>0</v>
      </c>
      <c r="BF9" s="16">
        <v>0</v>
      </c>
      <c r="BG9" s="16">
        <v>0</v>
      </c>
      <c r="BH9" s="16">
        <v>0.23869161214103965</v>
      </c>
      <c r="BI9" s="16">
        <v>0</v>
      </c>
      <c r="BJ9" s="16">
        <v>0</v>
      </c>
      <c r="BK9" s="16">
        <v>0.48403349089047526</v>
      </c>
      <c r="BL9" s="16">
        <v>66.615884984588931</v>
      </c>
      <c r="BM9" s="16">
        <v>0</v>
      </c>
      <c r="BN9" s="16">
        <v>0</v>
      </c>
      <c r="BO9" s="16">
        <v>1.3771004435886953</v>
      </c>
      <c r="BP9" s="16">
        <v>0.99566921616496173</v>
      </c>
      <c r="BR9" s="16">
        <f>SUM(G9,AB9,AW9)</f>
        <v>13.872798219155158</v>
      </c>
      <c r="BS9" s="16">
        <f t="shared" ref="BS9:CK9" si="2">SUM(H9,AC9,AX9)</f>
        <v>0</v>
      </c>
      <c r="BT9" s="16">
        <f t="shared" si="2"/>
        <v>0</v>
      </c>
      <c r="BU9" s="16">
        <f t="shared" si="2"/>
        <v>0</v>
      </c>
      <c r="BV9" s="16">
        <f t="shared" si="2"/>
        <v>63.234718381490332</v>
      </c>
      <c r="BW9" s="16">
        <f t="shared" si="2"/>
        <v>12.108587235832442</v>
      </c>
      <c r="BX9" s="16">
        <f t="shared" si="2"/>
        <v>45.301206652804474</v>
      </c>
      <c r="BY9" s="16">
        <f t="shared" si="2"/>
        <v>6.722750636920078</v>
      </c>
      <c r="BZ9" s="16">
        <f t="shared" si="2"/>
        <v>0</v>
      </c>
      <c r="CA9" s="16">
        <f t="shared" si="2"/>
        <v>0</v>
      </c>
      <c r="CB9" s="16">
        <f t="shared" si="2"/>
        <v>0</v>
      </c>
      <c r="CC9" s="16">
        <f t="shared" si="2"/>
        <v>6.9436724550529165</v>
      </c>
      <c r="CD9" s="16">
        <f t="shared" si="2"/>
        <v>0</v>
      </c>
      <c r="CE9" s="16">
        <f t="shared" si="2"/>
        <v>0</v>
      </c>
      <c r="CF9" s="16">
        <f t="shared" si="2"/>
        <v>13.819838706562209</v>
      </c>
      <c r="CG9" s="16">
        <f t="shared" si="2"/>
        <v>119.26246927744685</v>
      </c>
      <c r="CH9" s="16">
        <f t="shared" si="2"/>
        <v>0</v>
      </c>
      <c r="CI9" s="16">
        <f t="shared" si="2"/>
        <v>0</v>
      </c>
      <c r="CJ9" s="16">
        <f t="shared" si="2"/>
        <v>10.380931861213217</v>
      </c>
      <c r="CK9" s="16">
        <f t="shared" si="2"/>
        <v>8.3530265735223193</v>
      </c>
      <c r="CL9" s="21">
        <f>SUM(BR9:CK9)</f>
        <v>300</v>
      </c>
    </row>
    <row r="10" spans="1:90" x14ac:dyDescent="0.35">
      <c r="A10" s="1" t="s">
        <v>18</v>
      </c>
      <c r="B10" s="1">
        <v>8</v>
      </c>
      <c r="C10" s="1" t="s">
        <v>32</v>
      </c>
      <c r="D10" s="1" t="s">
        <v>31</v>
      </c>
      <c r="E10" s="3" t="s">
        <v>21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</row>
    <row r="11" spans="1:90" x14ac:dyDescent="0.35">
      <c r="A11" s="1" t="s">
        <v>18</v>
      </c>
      <c r="B11" s="1">
        <v>9</v>
      </c>
      <c r="C11" s="1" t="s">
        <v>33</v>
      </c>
      <c r="D11" s="1" t="s">
        <v>31</v>
      </c>
      <c r="E11" s="3" t="s">
        <v>21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</row>
    <row r="12" spans="1:90" x14ac:dyDescent="0.35">
      <c r="A12" s="1" t="s">
        <v>24</v>
      </c>
      <c r="B12" s="1">
        <v>10</v>
      </c>
      <c r="C12" s="1" t="s">
        <v>34</v>
      </c>
      <c r="D12" s="1" t="s">
        <v>35</v>
      </c>
      <c r="E12" s="3" t="s">
        <v>21</v>
      </c>
      <c r="G12" s="16">
        <v>7.4074074074074066</v>
      </c>
      <c r="H12" s="16">
        <v>3.7037037037037033</v>
      </c>
      <c r="I12" s="16">
        <v>0</v>
      </c>
      <c r="J12" s="16">
        <v>0</v>
      </c>
      <c r="K12" s="16">
        <v>11.111111111111111</v>
      </c>
      <c r="L12" s="16">
        <v>0</v>
      </c>
      <c r="M12" s="16">
        <v>11.111111111111111</v>
      </c>
      <c r="N12" s="16">
        <v>7.4074074074074066</v>
      </c>
      <c r="O12" s="16">
        <v>0</v>
      </c>
      <c r="P12" s="16">
        <v>0</v>
      </c>
      <c r="Q12" s="16">
        <v>3.7037037037037033</v>
      </c>
      <c r="R12" s="16">
        <v>3.7037037037037033</v>
      </c>
      <c r="S12" s="16">
        <v>0</v>
      </c>
      <c r="T12" s="16">
        <v>3.7037037037037033</v>
      </c>
      <c r="U12" s="16">
        <v>11.111111111111111</v>
      </c>
      <c r="V12" s="16">
        <v>11.111111111111111</v>
      </c>
      <c r="W12" s="16">
        <v>0</v>
      </c>
      <c r="X12" s="16">
        <v>3.7037037037037033</v>
      </c>
      <c r="Y12" s="16">
        <v>11.111111111111111</v>
      </c>
      <c r="Z12" s="16">
        <v>11.111111111111111</v>
      </c>
      <c r="AB12" s="16">
        <v>4.1880341880341883</v>
      </c>
      <c r="AC12" s="16">
        <v>0.85470085470085466</v>
      </c>
      <c r="AD12" s="16">
        <v>0</v>
      </c>
      <c r="AE12" s="16">
        <v>0</v>
      </c>
      <c r="AF12" s="16">
        <v>7.6047008547008543</v>
      </c>
      <c r="AG12" s="16">
        <v>0</v>
      </c>
      <c r="AH12" s="16">
        <v>14.671474358974359</v>
      </c>
      <c r="AI12" s="16">
        <v>3.7916666666666665</v>
      </c>
      <c r="AJ12" s="16">
        <v>0</v>
      </c>
      <c r="AK12" s="16">
        <v>0</v>
      </c>
      <c r="AL12" s="16">
        <v>2.5641025641025643</v>
      </c>
      <c r="AM12" s="16">
        <v>1.3333333333333333</v>
      </c>
      <c r="AN12" s="16">
        <v>0</v>
      </c>
      <c r="AO12" s="16">
        <v>6.25</v>
      </c>
      <c r="AP12" s="16">
        <v>20.800213675213673</v>
      </c>
      <c r="AQ12" s="16">
        <v>6.2724358974358978</v>
      </c>
      <c r="AR12" s="16">
        <v>0</v>
      </c>
      <c r="AS12" s="16">
        <v>0.66666666666666663</v>
      </c>
      <c r="AT12" s="16">
        <v>24.16826923076923</v>
      </c>
      <c r="AU12" s="16">
        <v>6.8344017094017095</v>
      </c>
      <c r="AW12" s="16">
        <v>6.2428192276810464</v>
      </c>
      <c r="AX12" s="16">
        <v>0.18552982401410897</v>
      </c>
      <c r="AY12" s="16">
        <v>0</v>
      </c>
      <c r="AZ12" s="16">
        <v>0</v>
      </c>
      <c r="BA12" s="16">
        <v>6.3054997006643667</v>
      </c>
      <c r="BB12" s="16">
        <v>0</v>
      </c>
      <c r="BC12" s="16">
        <v>15.210602703583286</v>
      </c>
      <c r="BD12" s="16">
        <v>4.7521606824473261</v>
      </c>
      <c r="BE12" s="16">
        <v>0</v>
      </c>
      <c r="BF12" s="16">
        <v>0</v>
      </c>
      <c r="BG12" s="16">
        <v>0.6546514566489533</v>
      </c>
      <c r="BH12" s="16">
        <v>0.45787169953573531</v>
      </c>
      <c r="BI12" s="16">
        <v>0</v>
      </c>
      <c r="BJ12" s="16">
        <v>10.040486065210603</v>
      </c>
      <c r="BK12" s="16">
        <v>16.560431828764944</v>
      </c>
      <c r="BL12" s="16">
        <v>21.285218473146077</v>
      </c>
      <c r="BM12" s="16">
        <v>0</v>
      </c>
      <c r="BN12" s="16">
        <v>0.2346583518711107</v>
      </c>
      <c r="BO12" s="16">
        <v>14.09370607574291</v>
      </c>
      <c r="BP12" s="16">
        <v>3.9763639106895341</v>
      </c>
      <c r="BR12" s="16">
        <f>SUM(G12,AB12,AW12)</f>
        <v>17.838260823122642</v>
      </c>
      <c r="BS12" s="16">
        <f t="shared" ref="BS12:CK12" si="3">SUM(H12,AC12,AX12)</f>
        <v>4.7439343824186668</v>
      </c>
      <c r="BT12" s="16">
        <f t="shared" si="3"/>
        <v>0</v>
      </c>
      <c r="BU12" s="16">
        <f t="shared" si="3"/>
        <v>0</v>
      </c>
      <c r="BV12" s="16">
        <f t="shared" si="3"/>
        <v>25.021311666476333</v>
      </c>
      <c r="BW12" s="16">
        <f t="shared" si="3"/>
        <v>0</v>
      </c>
      <c r="BX12" s="16">
        <f t="shared" si="3"/>
        <v>40.993188173668756</v>
      </c>
      <c r="BY12" s="16">
        <f t="shared" si="3"/>
        <v>15.951234756521398</v>
      </c>
      <c r="BZ12" s="16">
        <f t="shared" si="3"/>
        <v>0</v>
      </c>
      <c r="CA12" s="16">
        <f t="shared" si="3"/>
        <v>0</v>
      </c>
      <c r="CB12" s="16">
        <f t="shared" si="3"/>
        <v>6.9224577244552217</v>
      </c>
      <c r="CC12" s="16">
        <f t="shared" si="3"/>
        <v>5.4949087365727713</v>
      </c>
      <c r="CD12" s="16">
        <f t="shared" si="3"/>
        <v>0</v>
      </c>
      <c r="CE12" s="16">
        <f t="shared" si="3"/>
        <v>19.994189768914303</v>
      </c>
      <c r="CF12" s="16">
        <f t="shared" si="3"/>
        <v>48.471756615089731</v>
      </c>
      <c r="CG12" s="16">
        <f t="shared" si="3"/>
        <v>38.668765481693086</v>
      </c>
      <c r="CH12" s="16">
        <f t="shared" si="3"/>
        <v>0</v>
      </c>
      <c r="CI12" s="16">
        <f t="shared" si="3"/>
        <v>4.6050287222414807</v>
      </c>
      <c r="CJ12" s="16">
        <f t="shared" si="3"/>
        <v>49.373086417623249</v>
      </c>
      <c r="CK12" s="16">
        <f t="shared" si="3"/>
        <v>21.921876731202357</v>
      </c>
      <c r="CL12" s="21">
        <f>SUM(BR12:CK12)</f>
        <v>300</v>
      </c>
    </row>
    <row r="13" spans="1:90" x14ac:dyDescent="0.35">
      <c r="A13" s="1" t="s">
        <v>24</v>
      </c>
      <c r="B13" s="1">
        <v>11</v>
      </c>
      <c r="C13" s="1" t="s">
        <v>36</v>
      </c>
      <c r="D13" s="1" t="s">
        <v>35</v>
      </c>
      <c r="E13" s="3" t="s">
        <v>21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</row>
    <row r="14" spans="1:90" x14ac:dyDescent="0.35">
      <c r="A14" s="1" t="s">
        <v>24</v>
      </c>
      <c r="B14" s="1">
        <v>12</v>
      </c>
      <c r="C14" s="1" t="s">
        <v>37</v>
      </c>
      <c r="D14" s="1" t="s">
        <v>35</v>
      </c>
      <c r="E14" s="3" t="s">
        <v>21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</row>
    <row r="15" spans="1:90" x14ac:dyDescent="0.35">
      <c r="A15" s="1" t="s">
        <v>18</v>
      </c>
      <c r="B15" s="1">
        <v>13</v>
      </c>
      <c r="C15" s="1" t="s">
        <v>38</v>
      </c>
      <c r="D15" s="1" t="s">
        <v>39</v>
      </c>
      <c r="E15" s="3" t="s">
        <v>21</v>
      </c>
      <c r="G15" s="16">
        <v>9.5238095238095237</v>
      </c>
      <c r="H15" s="16">
        <v>0</v>
      </c>
      <c r="I15" s="16">
        <v>0</v>
      </c>
      <c r="J15" s="16">
        <v>4.7619047619047619</v>
      </c>
      <c r="K15" s="16">
        <v>14.285714285714285</v>
      </c>
      <c r="L15" s="16">
        <v>4.7619047619047619</v>
      </c>
      <c r="M15" s="16">
        <v>14.285714285714285</v>
      </c>
      <c r="N15" s="16">
        <v>4.7619047619047619</v>
      </c>
      <c r="O15" s="16">
        <v>0</v>
      </c>
      <c r="P15" s="16">
        <v>0</v>
      </c>
      <c r="Q15" s="16">
        <v>4.7619047619047619</v>
      </c>
      <c r="R15" s="16">
        <v>0</v>
      </c>
      <c r="S15" s="16">
        <v>0</v>
      </c>
      <c r="T15" s="16">
        <v>0</v>
      </c>
      <c r="U15" s="16">
        <v>14.285714285714285</v>
      </c>
      <c r="V15" s="16">
        <v>14.285714285714285</v>
      </c>
      <c r="W15" s="16">
        <v>0</v>
      </c>
      <c r="X15" s="16">
        <v>0</v>
      </c>
      <c r="Y15" s="16">
        <v>14.285714285714285</v>
      </c>
      <c r="Z15" s="16">
        <v>0</v>
      </c>
      <c r="AB15" s="16">
        <v>4.3029767167698205</v>
      </c>
      <c r="AC15" s="16">
        <v>0</v>
      </c>
      <c r="AD15" s="16">
        <v>0</v>
      </c>
      <c r="AE15" s="16">
        <v>0.85470085470085466</v>
      </c>
      <c r="AF15" s="16">
        <v>12.422634836427939</v>
      </c>
      <c r="AG15" s="16">
        <v>1.1494252873563218</v>
      </c>
      <c r="AH15" s="16">
        <v>12.555260831122901</v>
      </c>
      <c r="AI15" s="16">
        <v>0.85470085470085466</v>
      </c>
      <c r="AJ15" s="16">
        <v>0</v>
      </c>
      <c r="AK15" s="16">
        <v>0</v>
      </c>
      <c r="AL15" s="16">
        <v>3.8461538461538463</v>
      </c>
      <c r="AM15" s="16">
        <v>0</v>
      </c>
      <c r="AN15" s="16">
        <v>0</v>
      </c>
      <c r="AO15" s="16">
        <v>0</v>
      </c>
      <c r="AP15" s="16">
        <v>10.84585912172119</v>
      </c>
      <c r="AQ15" s="16">
        <v>47.877984084880637</v>
      </c>
      <c r="AR15" s="16">
        <v>0</v>
      </c>
      <c r="AS15" s="16">
        <v>0</v>
      </c>
      <c r="AT15" s="16">
        <v>5.290303566165635</v>
      </c>
      <c r="AU15" s="16">
        <v>0</v>
      </c>
      <c r="AW15" s="16">
        <v>3.4265324973145361</v>
      </c>
      <c r="AX15" s="16">
        <v>0</v>
      </c>
      <c r="AY15" s="16">
        <v>0</v>
      </c>
      <c r="AZ15" s="16">
        <v>0.82760338647921616</v>
      </c>
      <c r="BA15" s="16">
        <v>3.7407684886765078</v>
      </c>
      <c r="BB15" s="16">
        <v>0.48868149611829098</v>
      </c>
      <c r="BC15" s="16">
        <v>9.1914181133385515</v>
      </c>
      <c r="BD15" s="16">
        <v>0.35883448513018718</v>
      </c>
      <c r="BE15" s="16">
        <v>0</v>
      </c>
      <c r="BF15" s="16">
        <v>0</v>
      </c>
      <c r="BG15" s="16">
        <v>0.39460166141276348</v>
      </c>
      <c r="BH15" s="16">
        <v>0</v>
      </c>
      <c r="BI15" s="16">
        <v>0</v>
      </c>
      <c r="BJ15" s="16">
        <v>0</v>
      </c>
      <c r="BK15" s="16">
        <v>10.624857206741867</v>
      </c>
      <c r="BL15" s="16">
        <v>69.48423633897913</v>
      </c>
      <c r="BM15" s="16">
        <v>0</v>
      </c>
      <c r="BN15" s="16">
        <v>0</v>
      </c>
      <c r="BO15" s="16">
        <v>1.4624663258089619</v>
      </c>
      <c r="BP15" s="16">
        <v>0</v>
      </c>
      <c r="BR15" s="16">
        <f>SUM(G15,AB15,AW15)</f>
        <v>17.253318737893881</v>
      </c>
      <c r="BS15" s="16">
        <f t="shared" ref="BS15:CK15" si="4">SUM(H15,AC15,AX15)</f>
        <v>0</v>
      </c>
      <c r="BT15" s="16">
        <f t="shared" si="4"/>
        <v>0</v>
      </c>
      <c r="BU15" s="16">
        <f t="shared" si="4"/>
        <v>6.4442090030848327</v>
      </c>
      <c r="BV15" s="16">
        <f t="shared" si="4"/>
        <v>30.449117610818732</v>
      </c>
      <c r="BW15" s="16">
        <f t="shared" si="4"/>
        <v>6.4000115453793747</v>
      </c>
      <c r="BX15" s="16">
        <f t="shared" si="4"/>
        <v>36.032393230175735</v>
      </c>
      <c r="BY15" s="16">
        <f t="shared" si="4"/>
        <v>5.9754401017358036</v>
      </c>
      <c r="BZ15" s="16">
        <f t="shared" si="4"/>
        <v>0</v>
      </c>
      <c r="CA15" s="16">
        <f t="shared" si="4"/>
        <v>0</v>
      </c>
      <c r="CB15" s="16">
        <f t="shared" si="4"/>
        <v>9.002660269471372</v>
      </c>
      <c r="CC15" s="16">
        <f t="shared" si="4"/>
        <v>0</v>
      </c>
      <c r="CD15" s="16">
        <f t="shared" si="4"/>
        <v>0</v>
      </c>
      <c r="CE15" s="16">
        <f t="shared" si="4"/>
        <v>0</v>
      </c>
      <c r="CF15" s="16">
        <f t="shared" si="4"/>
        <v>35.75643061417734</v>
      </c>
      <c r="CG15" s="16">
        <f t="shared" si="4"/>
        <v>131.64793470957406</v>
      </c>
      <c r="CH15" s="16">
        <f t="shared" si="4"/>
        <v>0</v>
      </c>
      <c r="CI15" s="16">
        <f t="shared" si="4"/>
        <v>0</v>
      </c>
      <c r="CJ15" s="16">
        <f t="shared" si="4"/>
        <v>21.038484177688879</v>
      </c>
      <c r="CK15" s="16">
        <f t="shared" si="4"/>
        <v>0</v>
      </c>
      <c r="CL15" s="21">
        <f>SUM(BR15:CK15)</f>
        <v>300</v>
      </c>
    </row>
    <row r="16" spans="1:90" x14ac:dyDescent="0.35">
      <c r="A16" s="1" t="s">
        <v>18</v>
      </c>
      <c r="B16" s="1">
        <v>14</v>
      </c>
      <c r="C16" s="1" t="s">
        <v>40</v>
      </c>
      <c r="D16" s="1" t="s">
        <v>39</v>
      </c>
      <c r="E16" s="3" t="s">
        <v>21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</row>
    <row r="17" spans="1:90" x14ac:dyDescent="0.35">
      <c r="A17" s="1" t="s">
        <v>18</v>
      </c>
      <c r="B17" s="1">
        <v>15</v>
      </c>
      <c r="C17" s="1" t="s">
        <v>41</v>
      </c>
      <c r="D17" s="1" t="s">
        <v>39</v>
      </c>
      <c r="E17" s="3" t="s">
        <v>21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</row>
    <row r="18" spans="1:90" x14ac:dyDescent="0.35">
      <c r="A18" s="1" t="s">
        <v>42</v>
      </c>
      <c r="B18" s="1">
        <v>16</v>
      </c>
      <c r="C18" s="1" t="s">
        <v>43</v>
      </c>
      <c r="D18" s="1" t="s">
        <v>44</v>
      </c>
      <c r="E18" s="3" t="s">
        <v>27</v>
      </c>
      <c r="G18" s="16">
        <v>14.285714285714285</v>
      </c>
      <c r="H18" s="16">
        <v>0</v>
      </c>
      <c r="I18" s="16">
        <v>0</v>
      </c>
      <c r="J18" s="16">
        <v>4.7619047619047619</v>
      </c>
      <c r="K18" s="16">
        <v>14.285714285714285</v>
      </c>
      <c r="L18" s="16">
        <v>9.5238095238095237</v>
      </c>
      <c r="M18" s="16">
        <v>14.285714285714285</v>
      </c>
      <c r="N18" s="16">
        <v>0</v>
      </c>
      <c r="O18" s="16">
        <v>0</v>
      </c>
      <c r="P18" s="16">
        <v>0</v>
      </c>
      <c r="Q18" s="16">
        <v>0</v>
      </c>
      <c r="R18" s="16">
        <v>4.7619047619047619</v>
      </c>
      <c r="S18" s="16">
        <v>0</v>
      </c>
      <c r="T18" s="16">
        <v>9.5238095238095237</v>
      </c>
      <c r="U18" s="16">
        <v>0</v>
      </c>
      <c r="V18" s="16">
        <v>14.285714285714285</v>
      </c>
      <c r="W18" s="16">
        <v>0</v>
      </c>
      <c r="X18" s="16">
        <v>0</v>
      </c>
      <c r="Y18" s="16">
        <v>14.285714285714285</v>
      </c>
      <c r="Z18" s="16">
        <v>0</v>
      </c>
      <c r="AB18" s="16">
        <v>28.828076685219543</v>
      </c>
      <c r="AC18" s="16">
        <v>0</v>
      </c>
      <c r="AD18" s="16">
        <v>0</v>
      </c>
      <c r="AE18" s="16">
        <v>1.2121212121212122</v>
      </c>
      <c r="AF18" s="16">
        <v>2.3279993815708102</v>
      </c>
      <c r="AG18" s="16">
        <v>1.721938775510204</v>
      </c>
      <c r="AH18" s="16">
        <v>34.815630797773657</v>
      </c>
      <c r="AI18" s="16">
        <v>0</v>
      </c>
      <c r="AJ18" s="16">
        <v>0</v>
      </c>
      <c r="AK18" s="16">
        <v>0</v>
      </c>
      <c r="AL18" s="16">
        <v>0</v>
      </c>
      <c r="AM18" s="16">
        <v>0.68027210884353739</v>
      </c>
      <c r="AN18" s="16">
        <v>0</v>
      </c>
      <c r="AO18" s="16">
        <v>1.721938775510204</v>
      </c>
      <c r="AP18" s="16">
        <v>0</v>
      </c>
      <c r="AQ18" s="16">
        <v>13.628633271490415</v>
      </c>
      <c r="AR18" s="16">
        <v>0</v>
      </c>
      <c r="AS18" s="16">
        <v>0</v>
      </c>
      <c r="AT18" s="16">
        <v>15.063388991960421</v>
      </c>
      <c r="AU18" s="16">
        <v>0</v>
      </c>
      <c r="AW18" s="16">
        <v>24.312664201238999</v>
      </c>
      <c r="AX18" s="16">
        <v>0</v>
      </c>
      <c r="AY18" s="16">
        <v>0</v>
      </c>
      <c r="AZ18" s="16">
        <v>0.94526947299583453</v>
      </c>
      <c r="BA18" s="16">
        <v>1.9455045560107509</v>
      </c>
      <c r="BB18" s="16">
        <v>2.1887438350572284</v>
      </c>
      <c r="BC18" s="16">
        <v>27.261111596319552</v>
      </c>
      <c r="BD18" s="16">
        <v>0</v>
      </c>
      <c r="BE18" s="16">
        <v>0</v>
      </c>
      <c r="BF18" s="16">
        <v>0</v>
      </c>
      <c r="BG18" s="16">
        <v>0</v>
      </c>
      <c r="BH18" s="16">
        <v>0.45053284351849388</v>
      </c>
      <c r="BI18" s="16">
        <v>0</v>
      </c>
      <c r="BJ18" s="16">
        <v>10.127594458253805</v>
      </c>
      <c r="BK18" s="16">
        <v>0</v>
      </c>
      <c r="BL18" s="16">
        <v>21.743827196760908</v>
      </c>
      <c r="BM18" s="16">
        <v>0</v>
      </c>
      <c r="BN18" s="16">
        <v>0</v>
      </c>
      <c r="BO18" s="16">
        <v>11.024751839844427</v>
      </c>
      <c r="BP18" s="16">
        <v>0</v>
      </c>
      <c r="BR18" s="16">
        <f>SUM(G18,AB18,AW18)</f>
        <v>67.426455172172822</v>
      </c>
      <c r="BS18" s="16">
        <f t="shared" ref="BS18:CK18" si="5">SUM(H18,AC18,AX18)</f>
        <v>0</v>
      </c>
      <c r="BT18" s="16">
        <f t="shared" si="5"/>
        <v>0</v>
      </c>
      <c r="BU18" s="16">
        <f t="shared" si="5"/>
        <v>6.919295447021808</v>
      </c>
      <c r="BV18" s="16">
        <f t="shared" si="5"/>
        <v>18.559218223295844</v>
      </c>
      <c r="BW18" s="16">
        <f t="shared" si="5"/>
        <v>13.434492134376956</v>
      </c>
      <c r="BX18" s="16">
        <f t="shared" si="5"/>
        <v>76.362456679807494</v>
      </c>
      <c r="BY18" s="16">
        <f t="shared" si="5"/>
        <v>0</v>
      </c>
      <c r="BZ18" s="16">
        <f t="shared" si="5"/>
        <v>0</v>
      </c>
      <c r="CA18" s="16">
        <f t="shared" si="5"/>
        <v>0</v>
      </c>
      <c r="CB18" s="16">
        <f t="shared" si="5"/>
        <v>0</v>
      </c>
      <c r="CC18" s="16">
        <f t="shared" si="5"/>
        <v>5.8927097142667932</v>
      </c>
      <c r="CD18" s="16">
        <f t="shared" si="5"/>
        <v>0</v>
      </c>
      <c r="CE18" s="16">
        <f t="shared" si="5"/>
        <v>21.373342757573532</v>
      </c>
      <c r="CF18" s="16">
        <f t="shared" si="5"/>
        <v>0</v>
      </c>
      <c r="CG18" s="16">
        <f t="shared" si="5"/>
        <v>49.658174753965611</v>
      </c>
      <c r="CH18" s="16">
        <f t="shared" si="5"/>
        <v>0</v>
      </c>
      <c r="CI18" s="16">
        <f t="shared" si="5"/>
        <v>0</v>
      </c>
      <c r="CJ18" s="16">
        <f t="shared" si="5"/>
        <v>40.373855117519135</v>
      </c>
      <c r="CK18" s="16">
        <f t="shared" si="5"/>
        <v>0</v>
      </c>
      <c r="CL18" s="21">
        <f>SUM(BR18:CK18)</f>
        <v>300.00000000000006</v>
      </c>
    </row>
    <row r="19" spans="1:90" x14ac:dyDescent="0.35">
      <c r="A19" s="1" t="s">
        <v>42</v>
      </c>
      <c r="B19" s="1">
        <v>17</v>
      </c>
      <c r="C19" s="1" t="s">
        <v>45</v>
      </c>
      <c r="D19" s="1" t="s">
        <v>44</v>
      </c>
      <c r="E19" s="3" t="s">
        <v>27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</row>
    <row r="20" spans="1:90" x14ac:dyDescent="0.35">
      <c r="A20" s="1" t="s">
        <v>42</v>
      </c>
      <c r="B20" s="1">
        <v>18</v>
      </c>
      <c r="C20" s="1" t="s">
        <v>46</v>
      </c>
      <c r="D20" s="1" t="s">
        <v>44</v>
      </c>
      <c r="E20" s="3" t="s">
        <v>27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</row>
    <row r="21" spans="1:90" x14ac:dyDescent="0.35">
      <c r="A21" s="1" t="s">
        <v>18</v>
      </c>
      <c r="B21" s="1">
        <v>19</v>
      </c>
      <c r="C21" s="1" t="s">
        <v>47</v>
      </c>
      <c r="D21" s="1" t="s">
        <v>48</v>
      </c>
      <c r="E21" s="3" t="s">
        <v>21</v>
      </c>
      <c r="G21" s="16">
        <v>9.5238095238095237</v>
      </c>
      <c r="H21" s="16">
        <v>0</v>
      </c>
      <c r="I21" s="16">
        <v>0</v>
      </c>
      <c r="J21" s="16">
        <v>0</v>
      </c>
      <c r="K21" s="16">
        <v>14.285714285714285</v>
      </c>
      <c r="L21" s="16">
        <v>4.7619047619047619</v>
      </c>
      <c r="M21" s="16">
        <v>14.285714285714285</v>
      </c>
      <c r="N21" s="16">
        <v>4.7619047619047619</v>
      </c>
      <c r="O21" s="16">
        <v>0</v>
      </c>
      <c r="P21" s="16">
        <v>0</v>
      </c>
      <c r="Q21" s="16">
        <v>0</v>
      </c>
      <c r="R21" s="16">
        <v>4.7619047619047619</v>
      </c>
      <c r="S21" s="16">
        <v>0</v>
      </c>
      <c r="T21" s="16">
        <v>0</v>
      </c>
      <c r="U21" s="16">
        <v>14.285714285714285</v>
      </c>
      <c r="V21" s="16">
        <v>14.285714285714285</v>
      </c>
      <c r="W21" s="16">
        <v>0</v>
      </c>
      <c r="X21" s="16">
        <v>14.285714285714285</v>
      </c>
      <c r="Y21" s="16">
        <v>0</v>
      </c>
      <c r="Z21" s="16">
        <v>4.7619047619047619</v>
      </c>
      <c r="AB21" s="16">
        <v>8.1950729009552532</v>
      </c>
      <c r="AC21" s="16">
        <v>0</v>
      </c>
      <c r="AD21" s="16">
        <v>0</v>
      </c>
      <c r="AE21" s="16">
        <v>0</v>
      </c>
      <c r="AF21" s="16">
        <v>13.139822213664516</v>
      </c>
      <c r="AG21" s="16">
        <v>4.9019607843137258</v>
      </c>
      <c r="AH21" s="16">
        <v>15.84940577431191</v>
      </c>
      <c r="AI21" s="16">
        <v>0.85470085470085466</v>
      </c>
      <c r="AJ21" s="16">
        <v>0</v>
      </c>
      <c r="AK21" s="16">
        <v>0</v>
      </c>
      <c r="AL21" s="16">
        <v>0</v>
      </c>
      <c r="AM21" s="16">
        <v>0.85470085470085466</v>
      </c>
      <c r="AN21" s="16">
        <v>0</v>
      </c>
      <c r="AO21" s="16">
        <v>0</v>
      </c>
      <c r="AP21" s="16">
        <v>9.6365114512799117</v>
      </c>
      <c r="AQ21" s="16">
        <v>32.386637142582082</v>
      </c>
      <c r="AR21" s="16">
        <v>0</v>
      </c>
      <c r="AS21" s="16">
        <v>9.9258688745547321</v>
      </c>
      <c r="AT21" s="16">
        <v>0</v>
      </c>
      <c r="AU21" s="16">
        <v>4.2553191489361701</v>
      </c>
      <c r="AW21" s="16">
        <v>2.341660655435017</v>
      </c>
      <c r="AX21" s="16">
        <v>0</v>
      </c>
      <c r="AY21" s="16">
        <v>0</v>
      </c>
      <c r="AZ21" s="16">
        <v>0</v>
      </c>
      <c r="BA21" s="16">
        <v>5.5661980817509678</v>
      </c>
      <c r="BB21" s="16">
        <v>1.4948971318600233</v>
      </c>
      <c r="BC21" s="16">
        <v>23.177393747879119</v>
      </c>
      <c r="BD21" s="16">
        <v>0.2133365767163348</v>
      </c>
      <c r="BE21" s="16">
        <v>0</v>
      </c>
      <c r="BF21" s="16">
        <v>0</v>
      </c>
      <c r="BG21" s="16">
        <v>0</v>
      </c>
      <c r="BH21" s="16">
        <v>0.16305649070548936</v>
      </c>
      <c r="BI21" s="16">
        <v>0</v>
      </c>
      <c r="BJ21" s="16">
        <v>0</v>
      </c>
      <c r="BK21" s="16">
        <v>7.2454766844762561</v>
      </c>
      <c r="BL21" s="16">
        <v>53.442718058831012</v>
      </c>
      <c r="BM21" s="16">
        <v>0</v>
      </c>
      <c r="BN21" s="16">
        <v>5.4729285704889064</v>
      </c>
      <c r="BO21" s="16">
        <v>0</v>
      </c>
      <c r="BP21" s="16">
        <v>0.88233400185687982</v>
      </c>
      <c r="BR21" s="16">
        <f>SUM(G21,AB21,AW21)</f>
        <v>20.060543080199796</v>
      </c>
      <c r="BS21" s="16">
        <f t="shared" ref="BS21:CK21" si="6">SUM(H21,AC21,AX21)</f>
        <v>0</v>
      </c>
      <c r="BT21" s="16">
        <f t="shared" si="6"/>
        <v>0</v>
      </c>
      <c r="BU21" s="16">
        <f t="shared" si="6"/>
        <v>0</v>
      </c>
      <c r="BV21" s="16">
        <f t="shared" si="6"/>
        <v>32.991734581129769</v>
      </c>
      <c r="BW21" s="16">
        <f t="shared" si="6"/>
        <v>11.158762678078512</v>
      </c>
      <c r="BX21" s="16">
        <f t="shared" si="6"/>
        <v>53.312513807905319</v>
      </c>
      <c r="BY21" s="16">
        <f t="shared" si="6"/>
        <v>5.8299421933219513</v>
      </c>
      <c r="BZ21" s="16">
        <f t="shared" si="6"/>
        <v>0</v>
      </c>
      <c r="CA21" s="16">
        <f t="shared" si="6"/>
        <v>0</v>
      </c>
      <c r="CB21" s="16">
        <f t="shared" si="6"/>
        <v>0</v>
      </c>
      <c r="CC21" s="16">
        <f t="shared" si="6"/>
        <v>5.7796621073111059</v>
      </c>
      <c r="CD21" s="16">
        <f t="shared" si="6"/>
        <v>0</v>
      </c>
      <c r="CE21" s="16">
        <f t="shared" si="6"/>
        <v>0</v>
      </c>
      <c r="CF21" s="16">
        <f t="shared" si="6"/>
        <v>31.167702421470452</v>
      </c>
      <c r="CG21" s="16">
        <f t="shared" si="6"/>
        <v>100.11506948712739</v>
      </c>
      <c r="CH21" s="16">
        <f t="shared" si="6"/>
        <v>0</v>
      </c>
      <c r="CI21" s="16">
        <f t="shared" si="6"/>
        <v>29.684511730757922</v>
      </c>
      <c r="CJ21" s="16">
        <f t="shared" si="6"/>
        <v>0</v>
      </c>
      <c r="CK21" s="16">
        <f t="shared" si="6"/>
        <v>9.8995579126978122</v>
      </c>
      <c r="CL21" s="21">
        <f>SUM(BR21:CK21)</f>
        <v>300.00000000000006</v>
      </c>
    </row>
    <row r="22" spans="1:90" x14ac:dyDescent="0.35">
      <c r="A22" s="1" t="s">
        <v>18</v>
      </c>
      <c r="B22" s="1">
        <v>20</v>
      </c>
      <c r="C22" s="1" t="s">
        <v>49</v>
      </c>
      <c r="D22" s="1" t="s">
        <v>48</v>
      </c>
      <c r="E22" s="3" t="s">
        <v>21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</row>
    <row r="23" spans="1:90" x14ac:dyDescent="0.35">
      <c r="A23" s="1" t="s">
        <v>18</v>
      </c>
      <c r="B23" s="1">
        <v>21</v>
      </c>
      <c r="C23" s="1" t="s">
        <v>50</v>
      </c>
      <c r="D23" s="1" t="s">
        <v>48</v>
      </c>
      <c r="E23" s="3" t="s">
        <v>21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</row>
    <row r="24" spans="1:90" x14ac:dyDescent="0.35">
      <c r="A24" s="1" t="s">
        <v>42</v>
      </c>
      <c r="B24" s="1">
        <v>22</v>
      </c>
      <c r="C24" s="1" t="s">
        <v>51</v>
      </c>
      <c r="D24" s="1" t="s">
        <v>52</v>
      </c>
      <c r="E24" s="3" t="s">
        <v>53</v>
      </c>
      <c r="G24" s="16">
        <v>17.647058823529409</v>
      </c>
      <c r="H24" s="16">
        <v>0</v>
      </c>
      <c r="I24" s="16">
        <v>0</v>
      </c>
      <c r="J24" s="16">
        <v>0</v>
      </c>
      <c r="K24" s="16">
        <v>5.8823529411764701</v>
      </c>
      <c r="L24" s="16">
        <v>0</v>
      </c>
      <c r="M24" s="16">
        <v>17.647058823529409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11.76470588235294</v>
      </c>
      <c r="U24" s="16">
        <v>0</v>
      </c>
      <c r="V24" s="16">
        <v>17.647058823529409</v>
      </c>
      <c r="W24" s="16">
        <v>0</v>
      </c>
      <c r="X24" s="16">
        <v>0</v>
      </c>
      <c r="Y24" s="16">
        <v>17.647058823529409</v>
      </c>
      <c r="Z24" s="16">
        <v>11.76470588235294</v>
      </c>
      <c r="AB24" s="16">
        <v>38.220704948646123</v>
      </c>
      <c r="AC24" s="16">
        <v>0</v>
      </c>
      <c r="AD24" s="16">
        <v>0</v>
      </c>
      <c r="AE24" s="16">
        <v>0</v>
      </c>
      <c r="AF24" s="16">
        <v>1.0416666666666667</v>
      </c>
      <c r="AG24" s="16">
        <v>0</v>
      </c>
      <c r="AH24" s="16">
        <v>33.491313191943441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1.721938775510204</v>
      </c>
      <c r="AP24" s="16">
        <v>0</v>
      </c>
      <c r="AQ24" s="16">
        <v>3.0291283179938642</v>
      </c>
      <c r="AR24" s="16">
        <v>0</v>
      </c>
      <c r="AS24" s="16">
        <v>0</v>
      </c>
      <c r="AT24" s="16">
        <v>14.407012805122051</v>
      </c>
      <c r="AU24" s="16">
        <v>8.0882352941176467</v>
      </c>
      <c r="AW24" s="16">
        <v>61.290993726549409</v>
      </c>
      <c r="AX24" s="16">
        <v>0</v>
      </c>
      <c r="AY24" s="16">
        <v>0</v>
      </c>
      <c r="AZ24" s="16">
        <v>0</v>
      </c>
      <c r="BA24" s="16">
        <v>0.54928597613223673</v>
      </c>
      <c r="BB24" s="16">
        <v>0</v>
      </c>
      <c r="BC24" s="16">
        <v>13.377294351379108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10.910491407518904</v>
      </c>
      <c r="BK24" s="16">
        <v>0</v>
      </c>
      <c r="BL24" s="16">
        <v>6.5170865877981194</v>
      </c>
      <c r="BM24" s="16">
        <v>0</v>
      </c>
      <c r="BN24" s="16">
        <v>0</v>
      </c>
      <c r="BO24" s="16">
        <v>5.0786307329257623</v>
      </c>
      <c r="BP24" s="16">
        <v>2.2762172176964559</v>
      </c>
      <c r="BR24" s="16">
        <f>SUM(G24,AB24,AW24)</f>
        <v>117.15875749872495</v>
      </c>
      <c r="BS24" s="16">
        <f t="shared" ref="BS24:CK24" si="7">SUM(H24,AC24,AX24)</f>
        <v>0</v>
      </c>
      <c r="BT24" s="16">
        <f t="shared" si="7"/>
        <v>0</v>
      </c>
      <c r="BU24" s="16">
        <f t="shared" si="7"/>
        <v>0</v>
      </c>
      <c r="BV24" s="16">
        <f t="shared" si="7"/>
        <v>7.4733055839753737</v>
      </c>
      <c r="BW24" s="16">
        <f t="shared" si="7"/>
        <v>0</v>
      </c>
      <c r="BX24" s="16">
        <f t="shared" si="7"/>
        <v>64.51566636685196</v>
      </c>
      <c r="BY24" s="16">
        <f t="shared" si="7"/>
        <v>0</v>
      </c>
      <c r="BZ24" s="16">
        <f t="shared" si="7"/>
        <v>0</v>
      </c>
      <c r="CA24" s="16">
        <f t="shared" si="7"/>
        <v>0</v>
      </c>
      <c r="CB24" s="16">
        <f t="shared" si="7"/>
        <v>0</v>
      </c>
      <c r="CC24" s="16">
        <f t="shared" si="7"/>
        <v>0</v>
      </c>
      <c r="CD24" s="16">
        <f t="shared" si="7"/>
        <v>0</v>
      </c>
      <c r="CE24" s="16">
        <f t="shared" si="7"/>
        <v>24.39713606538205</v>
      </c>
      <c r="CF24" s="16">
        <f t="shared" si="7"/>
        <v>0</v>
      </c>
      <c r="CG24" s="16">
        <f t="shared" si="7"/>
        <v>27.19327372932139</v>
      </c>
      <c r="CH24" s="16">
        <f t="shared" si="7"/>
        <v>0</v>
      </c>
      <c r="CI24" s="16">
        <f t="shared" si="7"/>
        <v>0</v>
      </c>
      <c r="CJ24" s="16">
        <f t="shared" si="7"/>
        <v>37.132702361577216</v>
      </c>
      <c r="CK24" s="16">
        <f t="shared" si="7"/>
        <v>22.129158394167042</v>
      </c>
      <c r="CL24" s="21">
        <f>SUM(BR24:CK24)</f>
        <v>300</v>
      </c>
    </row>
    <row r="25" spans="1:90" x14ac:dyDescent="0.35">
      <c r="A25" s="1" t="s">
        <v>42</v>
      </c>
      <c r="B25" s="1">
        <v>23</v>
      </c>
      <c r="C25" s="1" t="s">
        <v>54</v>
      </c>
      <c r="D25" s="1" t="s">
        <v>52</v>
      </c>
      <c r="E25" s="3" t="s">
        <v>53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</row>
    <row r="26" spans="1:90" x14ac:dyDescent="0.35">
      <c r="A26" s="1" t="s">
        <v>42</v>
      </c>
      <c r="B26" s="1">
        <v>24</v>
      </c>
      <c r="C26" s="1" t="s">
        <v>55</v>
      </c>
      <c r="D26" s="1" t="s">
        <v>52</v>
      </c>
      <c r="E26" s="3" t="s">
        <v>53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</row>
    <row r="27" spans="1:90" x14ac:dyDescent="0.35">
      <c r="A27" s="1" t="s">
        <v>56</v>
      </c>
      <c r="B27" s="1">
        <v>25</v>
      </c>
      <c r="C27" s="1" t="s">
        <v>57</v>
      </c>
      <c r="D27" s="1" t="s">
        <v>58</v>
      </c>
      <c r="E27" s="3" t="s">
        <v>21</v>
      </c>
      <c r="G27" s="16">
        <v>12</v>
      </c>
      <c r="H27" s="16">
        <v>3.9999999999999996</v>
      </c>
      <c r="I27" s="16">
        <v>0</v>
      </c>
      <c r="J27" s="16">
        <v>3.9999999999999996</v>
      </c>
      <c r="K27" s="16">
        <v>12</v>
      </c>
      <c r="L27" s="16">
        <v>3.9999999999999996</v>
      </c>
      <c r="M27" s="16">
        <v>12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12</v>
      </c>
      <c r="U27" s="16">
        <v>12</v>
      </c>
      <c r="V27" s="16">
        <v>12</v>
      </c>
      <c r="W27" s="16">
        <v>0</v>
      </c>
      <c r="X27" s="16">
        <v>3.9999999999999996</v>
      </c>
      <c r="Y27" s="16">
        <v>7.9999999999999991</v>
      </c>
      <c r="Z27" s="16">
        <v>3.9999999999999996</v>
      </c>
      <c r="AB27" s="16">
        <v>6.7820631419151312</v>
      </c>
      <c r="AC27" s="16">
        <v>0.64102564102564108</v>
      </c>
      <c r="AD27" s="16">
        <v>0</v>
      </c>
      <c r="AE27" s="16">
        <v>1.4492753623188406</v>
      </c>
      <c r="AF27" s="16">
        <v>4.7071799615740408</v>
      </c>
      <c r="AG27" s="16">
        <v>0.72463768115942029</v>
      </c>
      <c r="AH27" s="16">
        <v>19.466780521359613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7.4912830000711592</v>
      </c>
      <c r="AP27" s="16">
        <v>31.535377973860857</v>
      </c>
      <c r="AQ27" s="16">
        <v>22.312554851870299</v>
      </c>
      <c r="AR27" s="16">
        <v>0</v>
      </c>
      <c r="AS27" s="16">
        <v>0.64102564102564108</v>
      </c>
      <c r="AT27" s="16">
        <v>3.6077705827937092</v>
      </c>
      <c r="AU27" s="16">
        <v>0.64102564102564108</v>
      </c>
      <c r="AW27" s="16">
        <v>6.9810093785843641</v>
      </c>
      <c r="AX27" s="16">
        <v>0.23623298223662806</v>
      </c>
      <c r="AY27" s="16">
        <v>0</v>
      </c>
      <c r="AZ27" s="16">
        <v>0.79804907392681212</v>
      </c>
      <c r="BA27" s="16">
        <v>2.3874180941618484</v>
      </c>
      <c r="BB27" s="16">
        <v>0.35054350472097706</v>
      </c>
      <c r="BC27" s="16">
        <v>12.618129467785964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5.7496885162901714</v>
      </c>
      <c r="BK27" s="16">
        <v>37.179063879750636</v>
      </c>
      <c r="BL27" s="16">
        <v>29.151370070954727</v>
      </c>
      <c r="BM27" s="16">
        <v>0</v>
      </c>
      <c r="BN27" s="16">
        <v>0.47218506913171437</v>
      </c>
      <c r="BO27" s="16">
        <v>3.7958191102062031</v>
      </c>
      <c r="BP27" s="16">
        <v>0.2804908522499493</v>
      </c>
      <c r="BR27" s="16">
        <f>SUM(G27,AB27,AW27)</f>
        <v>25.763072520499495</v>
      </c>
      <c r="BS27" s="16">
        <f t="shared" ref="BS27:CK27" si="8">SUM(H27,AC27,AX27)</f>
        <v>4.8772586232622688</v>
      </c>
      <c r="BT27" s="16">
        <f t="shared" si="8"/>
        <v>0</v>
      </c>
      <c r="BU27" s="16">
        <f t="shared" si="8"/>
        <v>6.2473244362456519</v>
      </c>
      <c r="BV27" s="16">
        <f t="shared" si="8"/>
        <v>19.09459805573589</v>
      </c>
      <c r="BW27" s="16">
        <f t="shared" si="8"/>
        <v>5.075181185880397</v>
      </c>
      <c r="BX27" s="16">
        <f t="shared" si="8"/>
        <v>44.084909989145579</v>
      </c>
      <c r="BY27" s="16">
        <f t="shared" si="8"/>
        <v>0</v>
      </c>
      <c r="BZ27" s="16">
        <f t="shared" si="8"/>
        <v>0</v>
      </c>
      <c r="CA27" s="16">
        <f t="shared" si="8"/>
        <v>0</v>
      </c>
      <c r="CB27" s="16">
        <f t="shared" si="8"/>
        <v>0</v>
      </c>
      <c r="CC27" s="16">
        <f t="shared" si="8"/>
        <v>0</v>
      </c>
      <c r="CD27" s="16">
        <f t="shared" si="8"/>
        <v>0</v>
      </c>
      <c r="CE27" s="16">
        <f t="shared" si="8"/>
        <v>25.240971516361331</v>
      </c>
      <c r="CF27" s="16">
        <f t="shared" si="8"/>
        <v>80.714441853611504</v>
      </c>
      <c r="CG27" s="16">
        <f t="shared" si="8"/>
        <v>63.463924922825029</v>
      </c>
      <c r="CH27" s="16">
        <f t="shared" si="8"/>
        <v>0</v>
      </c>
      <c r="CI27" s="16">
        <f t="shared" si="8"/>
        <v>5.1132107101573547</v>
      </c>
      <c r="CJ27" s="16">
        <f t="shared" si="8"/>
        <v>15.403589692999912</v>
      </c>
      <c r="CK27" s="16">
        <f t="shared" si="8"/>
        <v>4.9215164932755897</v>
      </c>
      <c r="CL27" s="21">
        <f>SUM(BR27:CK27)</f>
        <v>300</v>
      </c>
    </row>
    <row r="28" spans="1:90" x14ac:dyDescent="0.35">
      <c r="A28" s="1" t="s">
        <v>56</v>
      </c>
      <c r="B28" s="1">
        <v>26</v>
      </c>
      <c r="C28" s="1" t="s">
        <v>59</v>
      </c>
      <c r="D28" s="1" t="s">
        <v>58</v>
      </c>
      <c r="E28" s="3" t="s">
        <v>21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</row>
    <row r="29" spans="1:90" x14ac:dyDescent="0.35">
      <c r="A29" s="1" t="s">
        <v>56</v>
      </c>
      <c r="B29" s="1">
        <v>27</v>
      </c>
      <c r="C29" s="1" t="s">
        <v>60</v>
      </c>
      <c r="D29" s="1" t="s">
        <v>58</v>
      </c>
      <c r="E29" s="3" t="s">
        <v>21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</row>
    <row r="30" spans="1:90" x14ac:dyDescent="0.35">
      <c r="A30" s="1" t="s">
        <v>61</v>
      </c>
      <c r="B30" s="1">
        <v>28</v>
      </c>
      <c r="C30" s="1" t="s">
        <v>62</v>
      </c>
      <c r="D30" s="5" t="s">
        <v>63</v>
      </c>
      <c r="E30" s="3" t="s">
        <v>21</v>
      </c>
      <c r="G30" s="16">
        <v>23.076923076923077</v>
      </c>
      <c r="H30" s="16">
        <v>0</v>
      </c>
      <c r="I30" s="16">
        <v>0</v>
      </c>
      <c r="J30" s="16">
        <v>0</v>
      </c>
      <c r="K30" s="16">
        <v>7.6923076923076925</v>
      </c>
      <c r="L30" s="16">
        <v>23.076923076923077</v>
      </c>
      <c r="M30" s="16">
        <v>23.076923076923077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15.384615384615385</v>
      </c>
      <c r="W30" s="16">
        <v>0</v>
      </c>
      <c r="X30" s="16">
        <v>0</v>
      </c>
      <c r="Y30" s="16">
        <v>7.6923076923076925</v>
      </c>
      <c r="Z30" s="16">
        <v>0</v>
      </c>
      <c r="AB30" s="16">
        <v>67.858812529219264</v>
      </c>
      <c r="AC30" s="16">
        <v>0</v>
      </c>
      <c r="AD30" s="16">
        <v>0</v>
      </c>
      <c r="AE30" s="16">
        <v>0</v>
      </c>
      <c r="AF30" s="16">
        <v>6.666666666666667</v>
      </c>
      <c r="AG30" s="16">
        <v>5.7861929250428545</v>
      </c>
      <c r="AH30" s="16">
        <v>9.8316970546984574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8.7455197132616487</v>
      </c>
      <c r="AR30" s="16">
        <v>0</v>
      </c>
      <c r="AS30" s="16">
        <v>0</v>
      </c>
      <c r="AT30" s="16">
        <v>1.1111111111111112</v>
      </c>
      <c r="AU30" s="16">
        <v>0</v>
      </c>
      <c r="AW30" s="16">
        <v>49.578876191424307</v>
      </c>
      <c r="AX30" s="16">
        <v>0</v>
      </c>
      <c r="AY30" s="16">
        <v>0</v>
      </c>
      <c r="AZ30" s="16">
        <v>0</v>
      </c>
      <c r="BA30" s="16">
        <v>6.4089659572140478</v>
      </c>
      <c r="BB30" s="16">
        <v>4.2249846660289139</v>
      </c>
      <c r="BC30" s="16">
        <v>17.284858146292461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17.800876438049169</v>
      </c>
      <c r="BM30" s="16">
        <v>0</v>
      </c>
      <c r="BN30" s="16">
        <v>0</v>
      </c>
      <c r="BO30" s="16">
        <v>4.7014386009911036</v>
      </c>
      <c r="BP30" s="16">
        <v>0</v>
      </c>
      <c r="BR30" s="16">
        <f>SUM(G30,AB30,AW30)</f>
        <v>140.51461179756666</v>
      </c>
      <c r="BS30" s="16">
        <f t="shared" ref="BS30:CK30" si="9">SUM(H30,AC30,AX30)</f>
        <v>0</v>
      </c>
      <c r="BT30" s="16">
        <f t="shared" si="9"/>
        <v>0</v>
      </c>
      <c r="BU30" s="16">
        <f t="shared" si="9"/>
        <v>0</v>
      </c>
      <c r="BV30" s="16">
        <f t="shared" si="9"/>
        <v>20.767940316188408</v>
      </c>
      <c r="BW30" s="16">
        <f t="shared" si="9"/>
        <v>33.088100667994844</v>
      </c>
      <c r="BX30" s="16">
        <f t="shared" si="9"/>
        <v>50.193478277913997</v>
      </c>
      <c r="BY30" s="16">
        <f t="shared" si="9"/>
        <v>0</v>
      </c>
      <c r="BZ30" s="16">
        <f t="shared" si="9"/>
        <v>0</v>
      </c>
      <c r="CA30" s="16">
        <f t="shared" si="9"/>
        <v>0</v>
      </c>
      <c r="CB30" s="16">
        <f t="shared" si="9"/>
        <v>0</v>
      </c>
      <c r="CC30" s="16">
        <f t="shared" si="9"/>
        <v>0</v>
      </c>
      <c r="CD30" s="16">
        <f t="shared" si="9"/>
        <v>0</v>
      </c>
      <c r="CE30" s="16">
        <f t="shared" si="9"/>
        <v>0</v>
      </c>
      <c r="CF30" s="16">
        <f t="shared" si="9"/>
        <v>0</v>
      </c>
      <c r="CG30" s="16">
        <f t="shared" si="9"/>
        <v>41.931011535926203</v>
      </c>
      <c r="CH30" s="16">
        <f t="shared" si="9"/>
        <v>0</v>
      </c>
      <c r="CI30" s="16">
        <f t="shared" si="9"/>
        <v>0</v>
      </c>
      <c r="CJ30" s="16">
        <f t="shared" si="9"/>
        <v>13.504857404409908</v>
      </c>
      <c r="CK30" s="16">
        <f t="shared" si="9"/>
        <v>0</v>
      </c>
      <c r="CL30" s="21">
        <f>SUM(BR30:CK30)</f>
        <v>300</v>
      </c>
    </row>
    <row r="31" spans="1:90" x14ac:dyDescent="0.35">
      <c r="A31" s="1" t="s">
        <v>61</v>
      </c>
      <c r="B31" s="1">
        <v>29</v>
      </c>
      <c r="C31" s="1" t="s">
        <v>64</v>
      </c>
      <c r="D31" s="1" t="s">
        <v>63</v>
      </c>
      <c r="E31" s="3" t="s">
        <v>21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</row>
    <row r="32" spans="1:90" x14ac:dyDescent="0.35">
      <c r="A32" s="1" t="s">
        <v>61</v>
      </c>
      <c r="B32" s="1">
        <v>30</v>
      </c>
      <c r="C32" s="1" t="s">
        <v>65</v>
      </c>
      <c r="D32" s="1" t="s">
        <v>63</v>
      </c>
      <c r="E32" s="3" t="s">
        <v>21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</row>
    <row r="33" spans="1:90" x14ac:dyDescent="0.35">
      <c r="A33" s="1" t="s">
        <v>56</v>
      </c>
      <c r="B33" s="1">
        <v>31</v>
      </c>
      <c r="C33" s="1" t="s">
        <v>66</v>
      </c>
      <c r="D33" s="1" t="s">
        <v>67</v>
      </c>
      <c r="E33" s="3" t="s">
        <v>21</v>
      </c>
      <c r="G33" s="16">
        <v>13.636363636363638</v>
      </c>
      <c r="H33" s="16">
        <v>0</v>
      </c>
      <c r="I33" s="16">
        <v>0</v>
      </c>
      <c r="J33" s="16">
        <v>0</v>
      </c>
      <c r="K33" s="16">
        <v>9.0909090909090917</v>
      </c>
      <c r="L33" s="16">
        <v>0</v>
      </c>
      <c r="M33" s="16">
        <v>13.636363636363638</v>
      </c>
      <c r="N33" s="16">
        <v>4.5454545454545459</v>
      </c>
      <c r="O33" s="16">
        <v>4.5454545454545459</v>
      </c>
      <c r="P33" s="16">
        <v>0</v>
      </c>
      <c r="Q33" s="16">
        <v>0</v>
      </c>
      <c r="R33" s="16">
        <v>0</v>
      </c>
      <c r="S33" s="16">
        <v>0</v>
      </c>
      <c r="T33" s="16">
        <v>4.5454545454545459</v>
      </c>
      <c r="U33" s="16">
        <v>13.636363636363638</v>
      </c>
      <c r="V33" s="16">
        <v>13.636363636363638</v>
      </c>
      <c r="W33" s="16">
        <v>4.5454545454545459</v>
      </c>
      <c r="X33" s="16">
        <v>0</v>
      </c>
      <c r="Y33" s="16">
        <v>4.5454545454545459</v>
      </c>
      <c r="Z33" s="16">
        <v>13.636363636363638</v>
      </c>
      <c r="AB33" s="16">
        <v>4.9049707602339181</v>
      </c>
      <c r="AC33" s="16">
        <v>0</v>
      </c>
      <c r="AD33" s="16">
        <v>0</v>
      </c>
      <c r="AE33" s="16">
        <v>0</v>
      </c>
      <c r="AF33" s="16">
        <v>3.75</v>
      </c>
      <c r="AG33" s="16">
        <v>0</v>
      </c>
      <c r="AH33" s="16">
        <v>13.143274853801168</v>
      </c>
      <c r="AI33" s="16">
        <v>0.69444444444444431</v>
      </c>
      <c r="AJ33" s="16">
        <v>0.8771929824561403</v>
      </c>
      <c r="AK33" s="16">
        <v>0</v>
      </c>
      <c r="AL33" s="16">
        <v>0</v>
      </c>
      <c r="AM33" s="16">
        <v>0</v>
      </c>
      <c r="AN33" s="16">
        <v>0</v>
      </c>
      <c r="AO33" s="16">
        <v>0.83333333333333337</v>
      </c>
      <c r="AP33" s="16">
        <v>35.804093567251464</v>
      </c>
      <c r="AQ33" s="16">
        <v>32.543859649122801</v>
      </c>
      <c r="AR33" s="16">
        <v>0.8771929824561403</v>
      </c>
      <c r="AS33" s="16">
        <v>0</v>
      </c>
      <c r="AT33" s="16">
        <v>0.69444444444444431</v>
      </c>
      <c r="AU33" s="16">
        <v>5.8771929824561404</v>
      </c>
      <c r="AW33" s="16">
        <v>2.8095723575432863</v>
      </c>
      <c r="AX33" s="16">
        <v>0</v>
      </c>
      <c r="AY33" s="16">
        <v>0</v>
      </c>
      <c r="AZ33" s="16">
        <v>0</v>
      </c>
      <c r="BA33" s="16">
        <v>1.842601825802167</v>
      </c>
      <c r="BB33" s="16">
        <v>0</v>
      </c>
      <c r="BC33" s="16">
        <v>15.16844172749847</v>
      </c>
      <c r="BD33" s="16">
        <v>1.4299008761666459</v>
      </c>
      <c r="BE33" s="16">
        <v>1.1305714588377886</v>
      </c>
      <c r="BF33" s="16">
        <v>0</v>
      </c>
      <c r="BG33" s="16">
        <v>0</v>
      </c>
      <c r="BH33" s="16">
        <v>0</v>
      </c>
      <c r="BI33" s="16">
        <v>0</v>
      </c>
      <c r="BJ33" s="16">
        <v>0.37853483075897626</v>
      </c>
      <c r="BK33" s="16">
        <v>26.6840401383736</v>
      </c>
      <c r="BL33" s="16">
        <v>46.212354047297481</v>
      </c>
      <c r="BM33" s="16">
        <v>0.25973568556724042</v>
      </c>
      <c r="BN33" s="16">
        <v>0</v>
      </c>
      <c r="BO33" s="16">
        <v>0.37092139544556635</v>
      </c>
      <c r="BP33" s="16">
        <v>3.7133256567087893</v>
      </c>
      <c r="BR33" s="16">
        <f>SUM(G33,AB33,AW33)</f>
        <v>21.350906754140841</v>
      </c>
      <c r="BS33" s="16">
        <f t="shared" ref="BS33:CK33" si="10">SUM(H33,AC33,AX33)</f>
        <v>0</v>
      </c>
      <c r="BT33" s="16">
        <f t="shared" si="10"/>
        <v>0</v>
      </c>
      <c r="BU33" s="16">
        <f t="shared" si="10"/>
        <v>0</v>
      </c>
      <c r="BV33" s="16">
        <f t="shared" si="10"/>
        <v>14.683510916711258</v>
      </c>
      <c r="BW33" s="16">
        <f t="shared" si="10"/>
        <v>0</v>
      </c>
      <c r="BX33" s="16">
        <f t="shared" si="10"/>
        <v>41.948080217663275</v>
      </c>
      <c r="BY33" s="16">
        <f t="shared" si="10"/>
        <v>6.6697998660656364</v>
      </c>
      <c r="BZ33" s="16">
        <f t="shared" si="10"/>
        <v>6.5532189867484751</v>
      </c>
      <c r="CA33" s="16">
        <f t="shared" si="10"/>
        <v>0</v>
      </c>
      <c r="CB33" s="16">
        <f t="shared" si="10"/>
        <v>0</v>
      </c>
      <c r="CC33" s="16">
        <f t="shared" si="10"/>
        <v>0</v>
      </c>
      <c r="CD33" s="16">
        <f t="shared" si="10"/>
        <v>0</v>
      </c>
      <c r="CE33" s="16">
        <f t="shared" si="10"/>
        <v>5.7573227095468553</v>
      </c>
      <c r="CF33" s="16">
        <f t="shared" si="10"/>
        <v>76.1244973419887</v>
      </c>
      <c r="CG33" s="16">
        <f t="shared" si="10"/>
        <v>92.392577332783929</v>
      </c>
      <c r="CH33" s="16">
        <f t="shared" si="10"/>
        <v>5.6823832134779266</v>
      </c>
      <c r="CI33" s="16">
        <f t="shared" si="10"/>
        <v>0</v>
      </c>
      <c r="CJ33" s="16">
        <f t="shared" si="10"/>
        <v>5.6108203853445566</v>
      </c>
      <c r="CK33" s="16">
        <f t="shared" si="10"/>
        <v>23.226882275528567</v>
      </c>
      <c r="CL33" s="21">
        <f>SUM(BR33:CK33)</f>
        <v>300</v>
      </c>
    </row>
    <row r="34" spans="1:90" x14ac:dyDescent="0.35">
      <c r="A34" s="1" t="s">
        <v>56</v>
      </c>
      <c r="B34" s="1">
        <v>32</v>
      </c>
      <c r="C34" s="1" t="s">
        <v>68</v>
      </c>
      <c r="D34" s="1" t="s">
        <v>67</v>
      </c>
      <c r="E34" s="3" t="s">
        <v>21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</row>
    <row r="35" spans="1:90" x14ac:dyDescent="0.35">
      <c r="A35" s="1" t="s">
        <v>56</v>
      </c>
      <c r="B35" s="1">
        <v>33</v>
      </c>
      <c r="C35" s="1" t="s">
        <v>69</v>
      </c>
      <c r="D35" s="1" t="s">
        <v>67</v>
      </c>
      <c r="E35" s="3" t="s">
        <v>21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</row>
    <row r="36" spans="1:90" x14ac:dyDescent="0.35">
      <c r="A36" s="1" t="s">
        <v>56</v>
      </c>
      <c r="B36" s="1">
        <v>34</v>
      </c>
      <c r="C36" s="1" t="s">
        <v>70</v>
      </c>
      <c r="D36" s="1" t="s">
        <v>71</v>
      </c>
      <c r="E36" s="3" t="s">
        <v>21</v>
      </c>
      <c r="G36" s="16">
        <v>13.636363636363638</v>
      </c>
      <c r="H36" s="16">
        <v>4.5454545454545459</v>
      </c>
      <c r="I36" s="16">
        <v>0</v>
      </c>
      <c r="J36" s="16">
        <v>0</v>
      </c>
      <c r="K36" s="16">
        <v>0</v>
      </c>
      <c r="L36" s="16">
        <v>4.5454545454545459</v>
      </c>
      <c r="M36" s="16">
        <v>13.636363636363638</v>
      </c>
      <c r="N36" s="16">
        <v>0</v>
      </c>
      <c r="O36" s="16">
        <v>0</v>
      </c>
      <c r="P36" s="16">
        <v>0</v>
      </c>
      <c r="Q36" s="16">
        <v>9.0909090909090917</v>
      </c>
      <c r="R36" s="16">
        <v>0</v>
      </c>
      <c r="S36" s="16">
        <v>9.0909090909090917</v>
      </c>
      <c r="T36" s="16">
        <v>4.5454545454545459</v>
      </c>
      <c r="U36" s="16">
        <v>9.0909090909090917</v>
      </c>
      <c r="V36" s="16">
        <v>13.636363636363638</v>
      </c>
      <c r="W36" s="16">
        <v>0</v>
      </c>
      <c r="X36" s="16">
        <v>4.5454545454545459</v>
      </c>
      <c r="Y36" s="16">
        <v>4.5454545454545459</v>
      </c>
      <c r="Z36" s="16">
        <v>9.0909090909090917</v>
      </c>
      <c r="AB36" s="16">
        <v>35.323011963406053</v>
      </c>
      <c r="AC36" s="16">
        <v>0.68027210884353739</v>
      </c>
      <c r="AD36" s="16">
        <v>0</v>
      </c>
      <c r="AE36" s="16">
        <v>0</v>
      </c>
      <c r="AF36" s="16">
        <v>0</v>
      </c>
      <c r="AG36" s="16">
        <v>0.68027210884353739</v>
      </c>
      <c r="AH36" s="16">
        <v>15.042927515833918</v>
      </c>
      <c r="AI36" s="16">
        <v>0</v>
      </c>
      <c r="AJ36" s="16">
        <v>0</v>
      </c>
      <c r="AK36" s="16">
        <v>0</v>
      </c>
      <c r="AL36" s="16">
        <v>1.2413793103448276</v>
      </c>
      <c r="AM36" s="16">
        <v>0</v>
      </c>
      <c r="AN36" s="16">
        <v>5.4482758620689653</v>
      </c>
      <c r="AO36" s="16">
        <v>3.4482758620689657</v>
      </c>
      <c r="AP36" s="16">
        <v>6.0952380952380949</v>
      </c>
      <c r="AQ36" s="16">
        <v>21.343185550082101</v>
      </c>
      <c r="AR36" s="16">
        <v>0</v>
      </c>
      <c r="AS36" s="16">
        <v>4</v>
      </c>
      <c r="AT36" s="16">
        <v>4.7619047619047619</v>
      </c>
      <c r="AU36" s="16">
        <v>1.9352568613652359</v>
      </c>
      <c r="AW36" s="16">
        <v>29.753941865413847</v>
      </c>
      <c r="AX36" s="16">
        <v>0.31634714426983923</v>
      </c>
      <c r="AY36" s="16">
        <v>0</v>
      </c>
      <c r="AZ36" s="16">
        <v>0</v>
      </c>
      <c r="BA36" s="16">
        <v>0</v>
      </c>
      <c r="BB36" s="16">
        <v>0.14273708384320952</v>
      </c>
      <c r="BC36" s="16">
        <v>10.730486617149403</v>
      </c>
      <c r="BD36" s="16">
        <v>0</v>
      </c>
      <c r="BE36" s="16">
        <v>0</v>
      </c>
      <c r="BF36" s="16">
        <v>0</v>
      </c>
      <c r="BG36" s="16">
        <v>0.374383388418906</v>
      </c>
      <c r="BH36" s="16">
        <v>0</v>
      </c>
      <c r="BI36" s="16">
        <v>11.055218005605854</v>
      </c>
      <c r="BJ36" s="16">
        <v>5.705301717915404</v>
      </c>
      <c r="BK36" s="16">
        <v>3.5073010514399123</v>
      </c>
      <c r="BL36" s="16">
        <v>32.334363294754574</v>
      </c>
      <c r="BM36" s="16">
        <v>0</v>
      </c>
      <c r="BN36" s="16">
        <v>2.6297266128782577</v>
      </c>
      <c r="BO36" s="16">
        <v>2.6600950639145662</v>
      </c>
      <c r="BP36" s="16">
        <v>0.79009815439624331</v>
      </c>
      <c r="BR36" s="16">
        <f>SUM(G36,AB36,AW36)</f>
        <v>78.713317465183536</v>
      </c>
      <c r="BS36" s="16">
        <f t="shared" ref="BS36:CK36" si="11">SUM(H36,AC36,AX36)</f>
        <v>5.5420737985679223</v>
      </c>
      <c r="BT36" s="16">
        <f t="shared" si="11"/>
        <v>0</v>
      </c>
      <c r="BU36" s="16">
        <f t="shared" si="11"/>
        <v>0</v>
      </c>
      <c r="BV36" s="16">
        <f t="shared" si="11"/>
        <v>0</v>
      </c>
      <c r="BW36" s="16">
        <f t="shared" si="11"/>
        <v>5.3684637381412923</v>
      </c>
      <c r="BX36" s="16">
        <f t="shared" si="11"/>
        <v>39.40977776934696</v>
      </c>
      <c r="BY36" s="16">
        <f t="shared" si="11"/>
        <v>0</v>
      </c>
      <c r="BZ36" s="16">
        <f t="shared" si="11"/>
        <v>0</v>
      </c>
      <c r="CA36" s="16">
        <f t="shared" si="11"/>
        <v>0</v>
      </c>
      <c r="CB36" s="16">
        <f t="shared" si="11"/>
        <v>10.706671789672825</v>
      </c>
      <c r="CC36" s="16">
        <f t="shared" si="11"/>
        <v>0</v>
      </c>
      <c r="CD36" s="16">
        <f t="shared" si="11"/>
        <v>25.594402958583913</v>
      </c>
      <c r="CE36" s="16">
        <f t="shared" si="11"/>
        <v>13.699032125438915</v>
      </c>
      <c r="CF36" s="16">
        <f t="shared" si="11"/>
        <v>18.693448237587099</v>
      </c>
      <c r="CG36" s="16">
        <f t="shared" si="11"/>
        <v>67.313912481200305</v>
      </c>
      <c r="CH36" s="16">
        <f t="shared" si="11"/>
        <v>0</v>
      </c>
      <c r="CI36" s="16">
        <f t="shared" si="11"/>
        <v>11.175181158332805</v>
      </c>
      <c r="CJ36" s="16">
        <f t="shared" si="11"/>
        <v>11.967454371273874</v>
      </c>
      <c r="CK36" s="16">
        <f t="shared" si="11"/>
        <v>11.816264106670571</v>
      </c>
      <c r="CL36" s="21">
        <f>SUM(BR36:CK36)</f>
        <v>300</v>
      </c>
    </row>
    <row r="37" spans="1:90" x14ac:dyDescent="0.35">
      <c r="A37" s="1" t="s">
        <v>56</v>
      </c>
      <c r="B37" s="1">
        <v>35</v>
      </c>
      <c r="C37" s="1" t="s">
        <v>72</v>
      </c>
      <c r="D37" s="1" t="s">
        <v>71</v>
      </c>
      <c r="E37" s="3" t="s">
        <v>21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</row>
    <row r="38" spans="1:90" x14ac:dyDescent="0.35">
      <c r="A38" s="1" t="s">
        <v>56</v>
      </c>
      <c r="B38" s="1">
        <v>36</v>
      </c>
      <c r="C38" s="1" t="s">
        <v>73</v>
      </c>
      <c r="D38" s="1" t="s">
        <v>71</v>
      </c>
      <c r="E38" s="3" t="s">
        <v>21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</row>
    <row r="39" spans="1:90" x14ac:dyDescent="0.35">
      <c r="A39" s="1" t="s">
        <v>56</v>
      </c>
      <c r="B39" s="1">
        <v>37</v>
      </c>
      <c r="C39" s="1" t="s">
        <v>74</v>
      </c>
      <c r="D39" s="1" t="s">
        <v>75</v>
      </c>
      <c r="E39" s="3" t="s">
        <v>53</v>
      </c>
      <c r="G39" s="16">
        <v>14.285714285714285</v>
      </c>
      <c r="H39" s="16">
        <v>0</v>
      </c>
      <c r="I39" s="16">
        <v>21.428571428571427</v>
      </c>
      <c r="J39" s="16">
        <v>0</v>
      </c>
      <c r="K39" s="16">
        <v>0</v>
      </c>
      <c r="L39" s="16">
        <v>0</v>
      </c>
      <c r="M39" s="16">
        <v>21.428571428571427</v>
      </c>
      <c r="N39" s="16">
        <v>0</v>
      </c>
      <c r="O39" s="16">
        <v>0</v>
      </c>
      <c r="P39" s="16">
        <v>7.1428571428571423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7.1428571428571423</v>
      </c>
      <c r="W39" s="16">
        <v>0</v>
      </c>
      <c r="X39" s="16">
        <v>0</v>
      </c>
      <c r="Y39" s="16">
        <v>7.1428571428571423</v>
      </c>
      <c r="Z39" s="16">
        <v>21.428571428571427</v>
      </c>
      <c r="AB39" s="16">
        <v>4.003139717425432</v>
      </c>
      <c r="AC39" s="16">
        <v>0</v>
      </c>
      <c r="AD39" s="16">
        <v>22.713329363575671</v>
      </c>
      <c r="AE39" s="16">
        <v>0</v>
      </c>
      <c r="AF39" s="16">
        <v>0</v>
      </c>
      <c r="AG39" s="16">
        <v>0</v>
      </c>
      <c r="AH39" s="16">
        <v>45.671610819394068</v>
      </c>
      <c r="AI39" s="16">
        <v>0</v>
      </c>
      <c r="AJ39" s="16">
        <v>0</v>
      </c>
      <c r="AK39" s="16">
        <v>9.5238095238095237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0.64102564102564108</v>
      </c>
      <c r="AR39" s="16">
        <v>0</v>
      </c>
      <c r="AS39" s="16">
        <v>0</v>
      </c>
      <c r="AT39" s="16">
        <v>0.68027210884353739</v>
      </c>
      <c r="AU39" s="16">
        <v>16.766812825926127</v>
      </c>
      <c r="AW39" s="16">
        <v>3.0813140185042602</v>
      </c>
      <c r="AX39" s="16">
        <v>0</v>
      </c>
      <c r="AY39" s="16">
        <v>24.87551573969931</v>
      </c>
      <c r="AZ39" s="16">
        <v>0</v>
      </c>
      <c r="BA39" s="16">
        <v>0</v>
      </c>
      <c r="BB39" s="16">
        <v>0</v>
      </c>
      <c r="BC39" s="16">
        <v>42.141276495856765</v>
      </c>
      <c r="BD39" s="16">
        <v>0</v>
      </c>
      <c r="BE39" s="16">
        <v>0</v>
      </c>
      <c r="BF39" s="16">
        <v>10.002034784201975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0.37767927582913147</v>
      </c>
      <c r="BM39" s="16">
        <v>0</v>
      </c>
      <c r="BN39" s="16">
        <v>0</v>
      </c>
      <c r="BO39" s="16">
        <v>0.37802625932408523</v>
      </c>
      <c r="BP39" s="16">
        <v>19.144153426584477</v>
      </c>
      <c r="BR39" s="16">
        <f>SUM(G39,AB39,AW39)</f>
        <v>21.370168021643977</v>
      </c>
      <c r="BS39" s="16">
        <f t="shared" ref="BS39:CK39" si="12">SUM(H39,AC39,AX39)</f>
        <v>0</v>
      </c>
      <c r="BT39" s="16">
        <f t="shared" si="12"/>
        <v>69.017416531846408</v>
      </c>
      <c r="BU39" s="16">
        <f t="shared" si="12"/>
        <v>0</v>
      </c>
      <c r="BV39" s="16">
        <f t="shared" si="12"/>
        <v>0</v>
      </c>
      <c r="BW39" s="16">
        <f t="shared" si="12"/>
        <v>0</v>
      </c>
      <c r="BX39" s="16">
        <f t="shared" si="12"/>
        <v>109.24145874382225</v>
      </c>
      <c r="BY39" s="16">
        <f t="shared" si="12"/>
        <v>0</v>
      </c>
      <c r="BZ39" s="16">
        <f t="shared" si="12"/>
        <v>0</v>
      </c>
      <c r="CA39" s="16">
        <f t="shared" si="12"/>
        <v>26.668701450868639</v>
      </c>
      <c r="CB39" s="16">
        <f t="shared" si="12"/>
        <v>0</v>
      </c>
      <c r="CC39" s="16">
        <f t="shared" si="12"/>
        <v>0</v>
      </c>
      <c r="CD39" s="16">
        <f t="shared" si="12"/>
        <v>0</v>
      </c>
      <c r="CE39" s="16">
        <f t="shared" si="12"/>
        <v>0</v>
      </c>
      <c r="CF39" s="16">
        <f t="shared" si="12"/>
        <v>0</v>
      </c>
      <c r="CG39" s="16">
        <f t="shared" si="12"/>
        <v>8.1615620597119154</v>
      </c>
      <c r="CH39" s="16">
        <f t="shared" si="12"/>
        <v>0</v>
      </c>
      <c r="CI39" s="16">
        <f t="shared" si="12"/>
        <v>0</v>
      </c>
      <c r="CJ39" s="16">
        <f t="shared" si="12"/>
        <v>8.2011555110247656</v>
      </c>
      <c r="CK39" s="16">
        <f t="shared" si="12"/>
        <v>57.339537681082035</v>
      </c>
      <c r="CL39" s="21">
        <f>SUM(BR39:CK39)</f>
        <v>300</v>
      </c>
    </row>
    <row r="40" spans="1:90" x14ac:dyDescent="0.35">
      <c r="A40" s="1" t="s">
        <v>56</v>
      </c>
      <c r="B40" s="1">
        <v>38</v>
      </c>
      <c r="C40" s="1" t="s">
        <v>76</v>
      </c>
      <c r="D40" s="1" t="s">
        <v>75</v>
      </c>
      <c r="E40" s="3" t="s">
        <v>53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</row>
    <row r="41" spans="1:90" x14ac:dyDescent="0.35">
      <c r="A41" s="1" t="s">
        <v>56</v>
      </c>
      <c r="B41" s="1">
        <v>39</v>
      </c>
      <c r="C41" s="1" t="s">
        <v>77</v>
      </c>
      <c r="D41" s="1" t="s">
        <v>75</v>
      </c>
      <c r="E41" s="3" t="s">
        <v>53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</row>
    <row r="42" spans="1:90" x14ac:dyDescent="0.35">
      <c r="A42" s="1" t="s">
        <v>18</v>
      </c>
      <c r="B42" s="1">
        <v>40</v>
      </c>
      <c r="C42" s="1" t="s">
        <v>78</v>
      </c>
      <c r="D42" s="1" t="s">
        <v>79</v>
      </c>
      <c r="E42" s="3" t="s">
        <v>53</v>
      </c>
      <c r="G42" s="16">
        <v>6.666666666666667</v>
      </c>
      <c r="H42" s="16">
        <v>0</v>
      </c>
      <c r="I42" s="16">
        <v>6.666666666666667</v>
      </c>
      <c r="J42" s="16">
        <v>0</v>
      </c>
      <c r="K42" s="16">
        <v>0</v>
      </c>
      <c r="L42" s="16">
        <v>0</v>
      </c>
      <c r="M42" s="16">
        <v>20</v>
      </c>
      <c r="N42" s="16">
        <v>6.666666666666667</v>
      </c>
      <c r="O42" s="16">
        <v>0</v>
      </c>
      <c r="P42" s="16">
        <v>20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6.666666666666667</v>
      </c>
      <c r="W42" s="16">
        <v>0</v>
      </c>
      <c r="X42" s="16">
        <v>0</v>
      </c>
      <c r="Y42" s="16">
        <v>13.333333333333334</v>
      </c>
      <c r="Z42" s="16">
        <v>20</v>
      </c>
      <c r="AB42" s="16">
        <v>1.9607843137254901</v>
      </c>
      <c r="AC42" s="16">
        <v>0</v>
      </c>
      <c r="AD42" s="16">
        <v>1.9607843137254901</v>
      </c>
      <c r="AE42" s="16">
        <v>0</v>
      </c>
      <c r="AF42" s="16">
        <v>0</v>
      </c>
      <c r="AG42" s="16">
        <v>0</v>
      </c>
      <c r="AH42" s="16">
        <v>30.211161387631979</v>
      </c>
      <c r="AI42" s="16">
        <v>1.2820512820512822</v>
      </c>
      <c r="AJ42" s="16">
        <v>0</v>
      </c>
      <c r="AK42" s="16">
        <v>19.125188536953242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6.666666666666667</v>
      </c>
      <c r="AR42" s="16">
        <v>0</v>
      </c>
      <c r="AS42" s="16">
        <v>0</v>
      </c>
      <c r="AT42" s="16">
        <v>27.52136752136752</v>
      </c>
      <c r="AU42" s="16">
        <v>11.271995977878332</v>
      </c>
      <c r="AW42" s="16">
        <v>0.88299584525730923</v>
      </c>
      <c r="AX42" s="16">
        <v>0</v>
      </c>
      <c r="AY42" s="16">
        <v>2.9894707337031456</v>
      </c>
      <c r="AZ42" s="16">
        <v>0</v>
      </c>
      <c r="BA42" s="16">
        <v>0</v>
      </c>
      <c r="BB42" s="16">
        <v>0</v>
      </c>
      <c r="BC42" s="16">
        <v>29.881189316190383</v>
      </c>
      <c r="BD42" s="16">
        <v>1.0687428716057723</v>
      </c>
      <c r="BE42" s="16">
        <v>0</v>
      </c>
      <c r="BF42" s="16">
        <v>16.875868582519828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11.108162132858352</v>
      </c>
      <c r="BM42" s="16">
        <v>0</v>
      </c>
      <c r="BN42" s="16">
        <v>0</v>
      </c>
      <c r="BO42" s="16">
        <v>24.589249529161702</v>
      </c>
      <c r="BP42" s="16">
        <v>12.604320988703511</v>
      </c>
      <c r="BR42" s="16">
        <f>SUM(G42,AB42,AW42)</f>
        <v>9.5104468256494652</v>
      </c>
      <c r="BS42" s="16">
        <f t="shared" ref="BS42:CK42" si="13">SUM(H42,AC42,AX42)</f>
        <v>0</v>
      </c>
      <c r="BT42" s="16">
        <f t="shared" si="13"/>
        <v>11.616921714095302</v>
      </c>
      <c r="BU42" s="16">
        <f t="shared" si="13"/>
        <v>0</v>
      </c>
      <c r="BV42" s="16">
        <f t="shared" si="13"/>
        <v>0</v>
      </c>
      <c r="BW42" s="16">
        <f t="shared" si="13"/>
        <v>0</v>
      </c>
      <c r="BX42" s="16">
        <f t="shared" si="13"/>
        <v>80.092350703822362</v>
      </c>
      <c r="BY42" s="16">
        <f t="shared" si="13"/>
        <v>9.0174608203237216</v>
      </c>
      <c r="BZ42" s="16">
        <f t="shared" si="13"/>
        <v>0</v>
      </c>
      <c r="CA42" s="16">
        <f t="shared" si="13"/>
        <v>56.001057119473074</v>
      </c>
      <c r="CB42" s="16">
        <f t="shared" si="13"/>
        <v>0</v>
      </c>
      <c r="CC42" s="16">
        <f t="shared" si="13"/>
        <v>0</v>
      </c>
      <c r="CD42" s="16">
        <f t="shared" si="13"/>
        <v>0</v>
      </c>
      <c r="CE42" s="16">
        <f t="shared" si="13"/>
        <v>0</v>
      </c>
      <c r="CF42" s="16">
        <f t="shared" si="13"/>
        <v>0</v>
      </c>
      <c r="CG42" s="16">
        <f t="shared" si="13"/>
        <v>24.441495466191686</v>
      </c>
      <c r="CH42" s="16">
        <f t="shared" si="13"/>
        <v>0</v>
      </c>
      <c r="CI42" s="16">
        <f t="shared" si="13"/>
        <v>0</v>
      </c>
      <c r="CJ42" s="16">
        <f t="shared" si="13"/>
        <v>65.443950383862557</v>
      </c>
      <c r="CK42" s="16">
        <f t="shared" si="13"/>
        <v>43.876316966581847</v>
      </c>
      <c r="CL42" s="21">
        <f>SUM(BR42:CK42)</f>
        <v>300</v>
      </c>
    </row>
    <row r="43" spans="1:90" x14ac:dyDescent="0.35">
      <c r="A43" s="1" t="s">
        <v>18</v>
      </c>
      <c r="B43" s="1">
        <v>41</v>
      </c>
      <c r="C43" s="1" t="s">
        <v>80</v>
      </c>
      <c r="D43" s="1" t="s">
        <v>79</v>
      </c>
      <c r="E43" s="3" t="s">
        <v>53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</row>
    <row r="44" spans="1:90" x14ac:dyDescent="0.35">
      <c r="A44" s="1" t="s">
        <v>18</v>
      </c>
      <c r="B44" s="1">
        <v>42</v>
      </c>
      <c r="C44" s="1" t="s">
        <v>81</v>
      </c>
      <c r="D44" s="1" t="s">
        <v>79</v>
      </c>
      <c r="E44" s="3" t="s">
        <v>53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</row>
    <row r="45" spans="1:90" x14ac:dyDescent="0.35">
      <c r="A45" s="1" t="s">
        <v>18</v>
      </c>
      <c r="B45" s="1">
        <v>43</v>
      </c>
      <c r="C45" s="1" t="s">
        <v>82</v>
      </c>
      <c r="D45" s="1" t="s">
        <v>83</v>
      </c>
      <c r="E45" s="3" t="s">
        <v>53</v>
      </c>
      <c r="G45" s="16">
        <v>9.0909090909090917</v>
      </c>
      <c r="H45" s="16">
        <v>0</v>
      </c>
      <c r="I45" s="16">
        <v>4.5454545454545459</v>
      </c>
      <c r="J45" s="16">
        <v>0</v>
      </c>
      <c r="K45" s="16">
        <v>9.0909090909090917</v>
      </c>
      <c r="L45" s="16">
        <v>0</v>
      </c>
      <c r="M45" s="16">
        <v>13.636363636363638</v>
      </c>
      <c r="N45" s="16">
        <v>0</v>
      </c>
      <c r="O45" s="16">
        <v>9.0909090909090917</v>
      </c>
      <c r="P45" s="16">
        <v>13.636363636363638</v>
      </c>
      <c r="Q45" s="16">
        <v>0</v>
      </c>
      <c r="R45" s="16">
        <v>0</v>
      </c>
      <c r="S45" s="16">
        <v>0</v>
      </c>
      <c r="T45" s="16">
        <v>0</v>
      </c>
      <c r="U45" s="16">
        <v>4.5454545454545459</v>
      </c>
      <c r="V45" s="16">
        <v>9.0909090909090917</v>
      </c>
      <c r="W45" s="16">
        <v>0</v>
      </c>
      <c r="X45" s="16">
        <v>0</v>
      </c>
      <c r="Y45" s="16">
        <v>13.636363636363638</v>
      </c>
      <c r="Z45" s="16">
        <v>13.636363636363638</v>
      </c>
      <c r="AB45" s="16">
        <v>3.9665471923536444</v>
      </c>
      <c r="AC45" s="16">
        <v>0</v>
      </c>
      <c r="AD45" s="16">
        <v>2.150537634408602</v>
      </c>
      <c r="AE45" s="16">
        <v>0</v>
      </c>
      <c r="AF45" s="16">
        <v>3.0395913154533845</v>
      </c>
      <c r="AG45" s="16">
        <v>0</v>
      </c>
      <c r="AH45" s="16">
        <v>24.987434598113129</v>
      </c>
      <c r="AI45" s="16">
        <v>0</v>
      </c>
      <c r="AJ45" s="16">
        <v>1.8160095579450417</v>
      </c>
      <c r="AK45" s="16">
        <v>20.341943723478764</v>
      </c>
      <c r="AL45" s="16">
        <v>0</v>
      </c>
      <c r="AM45" s="16">
        <v>0</v>
      </c>
      <c r="AN45" s="16">
        <v>0</v>
      </c>
      <c r="AO45" s="16">
        <v>0</v>
      </c>
      <c r="AP45" s="16">
        <v>1.4814814814814816</v>
      </c>
      <c r="AQ45" s="16">
        <v>14.048531289910599</v>
      </c>
      <c r="AR45" s="16">
        <v>0</v>
      </c>
      <c r="AS45" s="16">
        <v>0</v>
      </c>
      <c r="AT45" s="16">
        <v>11.856795616528652</v>
      </c>
      <c r="AU45" s="16">
        <v>16.311127590326702</v>
      </c>
      <c r="AW45" s="16">
        <v>3.0241945706580631</v>
      </c>
      <c r="AX45" s="16">
        <v>0</v>
      </c>
      <c r="AY45" s="16">
        <v>2.5723283666224179</v>
      </c>
      <c r="AZ45" s="16">
        <v>0</v>
      </c>
      <c r="BA45" s="16">
        <v>3.6197353599468172</v>
      </c>
      <c r="BB45" s="16">
        <v>0</v>
      </c>
      <c r="BC45" s="16">
        <v>24.127955565989868</v>
      </c>
      <c r="BD45" s="16">
        <v>0</v>
      </c>
      <c r="BE45" s="16">
        <v>0.94500373413119332</v>
      </c>
      <c r="BF45" s="16">
        <v>17.017543295477928</v>
      </c>
      <c r="BG45" s="16">
        <v>0</v>
      </c>
      <c r="BH45" s="16">
        <v>0</v>
      </c>
      <c r="BI45" s="16">
        <v>0</v>
      </c>
      <c r="BJ45" s="16">
        <v>0</v>
      </c>
      <c r="BK45" s="16">
        <v>2.1106000184758047</v>
      </c>
      <c r="BL45" s="16">
        <v>28.795131624787942</v>
      </c>
      <c r="BM45" s="16">
        <v>0</v>
      </c>
      <c r="BN45" s="16">
        <v>0</v>
      </c>
      <c r="BO45" s="16">
        <v>5.6231469760913226</v>
      </c>
      <c r="BP45" s="16">
        <v>12.164360487818636</v>
      </c>
      <c r="BR45" s="16">
        <f>SUM(G45,AB45,AW45)</f>
        <v>16.081650853920799</v>
      </c>
      <c r="BS45" s="16">
        <f t="shared" ref="BS45:CK45" si="14">SUM(H45,AC45,AX45)</f>
        <v>0</v>
      </c>
      <c r="BT45" s="16">
        <f t="shared" si="14"/>
        <v>9.2683205464855654</v>
      </c>
      <c r="BU45" s="16">
        <f t="shared" si="14"/>
        <v>0</v>
      </c>
      <c r="BV45" s="16">
        <f t="shared" si="14"/>
        <v>15.750235766309293</v>
      </c>
      <c r="BW45" s="16">
        <f t="shared" si="14"/>
        <v>0</v>
      </c>
      <c r="BX45" s="16">
        <f t="shared" si="14"/>
        <v>62.751753800466631</v>
      </c>
      <c r="BY45" s="16">
        <f t="shared" si="14"/>
        <v>0</v>
      </c>
      <c r="BZ45" s="16">
        <f t="shared" si="14"/>
        <v>11.851922382985327</v>
      </c>
      <c r="CA45" s="16">
        <f t="shared" si="14"/>
        <v>50.995850655320332</v>
      </c>
      <c r="CB45" s="16">
        <f t="shared" si="14"/>
        <v>0</v>
      </c>
      <c r="CC45" s="16">
        <f t="shared" si="14"/>
        <v>0</v>
      </c>
      <c r="CD45" s="16">
        <f t="shared" si="14"/>
        <v>0</v>
      </c>
      <c r="CE45" s="16">
        <f t="shared" si="14"/>
        <v>0</v>
      </c>
      <c r="CF45" s="16">
        <f t="shared" si="14"/>
        <v>8.1375360454118315</v>
      </c>
      <c r="CG45" s="16">
        <f t="shared" si="14"/>
        <v>51.934572005607635</v>
      </c>
      <c r="CH45" s="16">
        <f t="shared" si="14"/>
        <v>0</v>
      </c>
      <c r="CI45" s="16">
        <f t="shared" si="14"/>
        <v>0</v>
      </c>
      <c r="CJ45" s="16">
        <f t="shared" si="14"/>
        <v>31.116306228983614</v>
      </c>
      <c r="CK45" s="16">
        <f t="shared" si="14"/>
        <v>42.111851714508973</v>
      </c>
      <c r="CL45" s="21">
        <f>SUM(BR45:CK45)</f>
        <v>300</v>
      </c>
    </row>
    <row r="46" spans="1:90" x14ac:dyDescent="0.35">
      <c r="A46" s="1" t="s">
        <v>18</v>
      </c>
      <c r="B46" s="1">
        <v>44</v>
      </c>
      <c r="C46" s="1" t="s">
        <v>84</v>
      </c>
      <c r="D46" s="1" t="s">
        <v>83</v>
      </c>
      <c r="E46" s="3" t="s">
        <v>53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</row>
    <row r="47" spans="1:90" x14ac:dyDescent="0.35">
      <c r="A47" s="1" t="s">
        <v>18</v>
      </c>
      <c r="B47" s="1">
        <v>45</v>
      </c>
      <c r="C47" s="1" t="s">
        <v>85</v>
      </c>
      <c r="D47" s="1" t="s">
        <v>83</v>
      </c>
      <c r="E47" s="3" t="s">
        <v>53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</row>
    <row r="48" spans="1:90" x14ac:dyDescent="0.35">
      <c r="A48" s="1" t="s">
        <v>86</v>
      </c>
      <c r="B48" s="1">
        <v>46</v>
      </c>
      <c r="C48" s="1" t="s">
        <v>87</v>
      </c>
      <c r="D48" s="1" t="s">
        <v>88</v>
      </c>
      <c r="E48" s="3" t="s">
        <v>21</v>
      </c>
      <c r="G48" s="16">
        <v>10.526315789473685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15.789473684210527</v>
      </c>
      <c r="N48" s="16">
        <v>10.526315789473685</v>
      </c>
      <c r="O48" s="16">
        <v>0</v>
      </c>
      <c r="P48" s="16">
        <v>0</v>
      </c>
      <c r="Q48" s="16">
        <v>0</v>
      </c>
      <c r="R48" s="16">
        <v>0</v>
      </c>
      <c r="S48" s="16">
        <v>5.2631578947368425</v>
      </c>
      <c r="T48" s="16">
        <v>0</v>
      </c>
      <c r="U48" s="16">
        <v>10.526315789473685</v>
      </c>
      <c r="V48" s="16">
        <v>10.526315789473685</v>
      </c>
      <c r="W48" s="16">
        <v>10.526315789473685</v>
      </c>
      <c r="X48" s="16">
        <v>5.2631578947368425</v>
      </c>
      <c r="Y48" s="16">
        <v>5.2631578947368425</v>
      </c>
      <c r="Z48" s="16">
        <v>15.789473684210527</v>
      </c>
      <c r="AB48" s="16">
        <v>7.1802935010482178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15.362612372526028</v>
      </c>
      <c r="AI48" s="16">
        <v>7.85630529794265</v>
      </c>
      <c r="AJ48" s="16">
        <v>0</v>
      </c>
      <c r="AK48" s="16">
        <v>0</v>
      </c>
      <c r="AL48" s="16">
        <v>0</v>
      </c>
      <c r="AM48" s="16">
        <v>0</v>
      </c>
      <c r="AN48" s="16">
        <v>1.6949152542372883</v>
      </c>
      <c r="AO48" s="16">
        <v>0</v>
      </c>
      <c r="AP48" s="16">
        <v>5.6026365348399239</v>
      </c>
      <c r="AQ48" s="16">
        <v>3.4067085953878404</v>
      </c>
      <c r="AR48" s="16">
        <v>33.709981167608284</v>
      </c>
      <c r="AS48" s="16">
        <v>1.2578616352201257</v>
      </c>
      <c r="AT48" s="16">
        <v>9.433962264150944</v>
      </c>
      <c r="AU48" s="16">
        <v>14.494723377038696</v>
      </c>
      <c r="AW48" s="16">
        <v>10.900214251282547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31.395993735873322</v>
      </c>
      <c r="BD48" s="16">
        <v>14.444613689192744</v>
      </c>
      <c r="BE48" s="16">
        <v>0</v>
      </c>
      <c r="BF48" s="16">
        <v>0</v>
      </c>
      <c r="BG48" s="16">
        <v>0</v>
      </c>
      <c r="BH48" s="16">
        <v>0</v>
      </c>
      <c r="BI48" s="16">
        <v>0.57585674576205803</v>
      </c>
      <c r="BJ48" s="16">
        <v>0</v>
      </c>
      <c r="BK48" s="16">
        <v>5.514385251267055</v>
      </c>
      <c r="BL48" s="16">
        <v>3.650568026883958</v>
      </c>
      <c r="BM48" s="16">
        <v>22.223753632918086</v>
      </c>
      <c r="BN48" s="16">
        <v>0.53777436907914744</v>
      </c>
      <c r="BO48" s="16">
        <v>5.3290010616280803</v>
      </c>
      <c r="BP48" s="16">
        <v>5.4278392361130114</v>
      </c>
      <c r="BR48" s="16">
        <f>SUM(G48,AB48,AW48)</f>
        <v>28.606823541804452</v>
      </c>
      <c r="BS48" s="16">
        <f t="shared" ref="BS48:CK48" si="15">SUM(H48,AC48,AX48)</f>
        <v>0</v>
      </c>
      <c r="BT48" s="16">
        <f t="shared" si="15"/>
        <v>0</v>
      </c>
      <c r="BU48" s="16">
        <f t="shared" si="15"/>
        <v>0</v>
      </c>
      <c r="BV48" s="16">
        <f t="shared" si="15"/>
        <v>0</v>
      </c>
      <c r="BW48" s="16">
        <f t="shared" si="15"/>
        <v>0</v>
      </c>
      <c r="BX48" s="16">
        <f t="shared" si="15"/>
        <v>62.548079792609883</v>
      </c>
      <c r="BY48" s="16">
        <f t="shared" si="15"/>
        <v>32.827234776609082</v>
      </c>
      <c r="BZ48" s="16">
        <f t="shared" si="15"/>
        <v>0</v>
      </c>
      <c r="CA48" s="16">
        <f t="shared" si="15"/>
        <v>0</v>
      </c>
      <c r="CB48" s="16">
        <f t="shared" si="15"/>
        <v>0</v>
      </c>
      <c r="CC48" s="16">
        <f t="shared" si="15"/>
        <v>0</v>
      </c>
      <c r="CD48" s="16">
        <f t="shared" si="15"/>
        <v>7.5339298947361888</v>
      </c>
      <c r="CE48" s="16">
        <f t="shared" si="15"/>
        <v>0</v>
      </c>
      <c r="CF48" s="16">
        <f t="shared" si="15"/>
        <v>21.643337575580663</v>
      </c>
      <c r="CG48" s="16">
        <f t="shared" si="15"/>
        <v>17.583592411745485</v>
      </c>
      <c r="CH48" s="16">
        <f t="shared" si="15"/>
        <v>66.460050590000051</v>
      </c>
      <c r="CI48" s="16">
        <f t="shared" si="15"/>
        <v>7.0587938990361154</v>
      </c>
      <c r="CJ48" s="16">
        <f t="shared" si="15"/>
        <v>20.026121220515869</v>
      </c>
      <c r="CK48" s="16">
        <f t="shared" si="15"/>
        <v>35.712036297362232</v>
      </c>
      <c r="CL48" s="21">
        <f>SUM(BR48:CK48)</f>
        <v>300</v>
      </c>
    </row>
    <row r="49" spans="1:90" x14ac:dyDescent="0.35">
      <c r="A49" s="1" t="s">
        <v>86</v>
      </c>
      <c r="B49" s="1">
        <v>47</v>
      </c>
      <c r="C49" s="1" t="s">
        <v>89</v>
      </c>
      <c r="D49" s="1" t="s">
        <v>88</v>
      </c>
      <c r="E49" s="3" t="s">
        <v>21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</row>
    <row r="50" spans="1:90" x14ac:dyDescent="0.35">
      <c r="A50" s="1" t="s">
        <v>86</v>
      </c>
      <c r="B50" s="1">
        <v>48</v>
      </c>
      <c r="C50" s="1" t="s">
        <v>90</v>
      </c>
      <c r="D50" s="5" t="s">
        <v>88</v>
      </c>
      <c r="E50" s="3" t="s">
        <v>21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</row>
    <row r="51" spans="1:90" x14ac:dyDescent="0.35">
      <c r="A51" s="1" t="s">
        <v>91</v>
      </c>
      <c r="B51" s="1">
        <v>49</v>
      </c>
      <c r="C51" s="1" t="s">
        <v>92</v>
      </c>
      <c r="D51" s="1" t="s">
        <v>93</v>
      </c>
      <c r="E51" s="3" t="s">
        <v>21</v>
      </c>
      <c r="G51" s="16">
        <v>14.285714285714285</v>
      </c>
      <c r="H51" s="16">
        <v>0</v>
      </c>
      <c r="I51" s="16">
        <v>0</v>
      </c>
      <c r="J51" s="16">
        <v>0</v>
      </c>
      <c r="K51" s="16">
        <v>14.285714285714285</v>
      </c>
      <c r="L51" s="16">
        <v>0</v>
      </c>
      <c r="M51" s="16">
        <v>14.285714285714285</v>
      </c>
      <c r="N51" s="16">
        <v>0</v>
      </c>
      <c r="O51" s="16">
        <v>0</v>
      </c>
      <c r="P51" s="16">
        <v>0</v>
      </c>
      <c r="Q51" s="16">
        <v>0</v>
      </c>
      <c r="R51" s="16">
        <v>9.5238095238095237</v>
      </c>
      <c r="S51" s="16">
        <v>0</v>
      </c>
      <c r="T51" s="16">
        <v>0</v>
      </c>
      <c r="U51" s="16">
        <v>4.7619047619047619</v>
      </c>
      <c r="V51" s="16">
        <v>14.285714285714285</v>
      </c>
      <c r="W51" s="16">
        <v>0</v>
      </c>
      <c r="X51" s="16">
        <v>9.5238095238095237</v>
      </c>
      <c r="Y51" s="16">
        <v>14.285714285714285</v>
      </c>
      <c r="Z51" s="16">
        <v>4.7619047619047619</v>
      </c>
      <c r="AB51" s="16">
        <v>9.7962522688345235</v>
      </c>
      <c r="AC51" s="16">
        <v>0</v>
      </c>
      <c r="AD51" s="16">
        <v>0</v>
      </c>
      <c r="AE51" s="16">
        <v>0</v>
      </c>
      <c r="AF51" s="16">
        <v>3.7191843273598013</v>
      </c>
      <c r="AG51" s="16">
        <v>0</v>
      </c>
      <c r="AH51" s="16">
        <v>22.088861620267405</v>
      </c>
      <c r="AI51" s="16">
        <v>0</v>
      </c>
      <c r="AJ51" s="16">
        <v>0</v>
      </c>
      <c r="AK51" s="16">
        <v>0</v>
      </c>
      <c r="AL51" s="16">
        <v>0</v>
      </c>
      <c r="AM51" s="16">
        <v>0.99232217876285667</v>
      </c>
      <c r="AN51" s="16">
        <v>0</v>
      </c>
      <c r="AO51" s="16">
        <v>0</v>
      </c>
      <c r="AP51" s="16">
        <v>1.1299435028248588</v>
      </c>
      <c r="AQ51" s="16">
        <v>45.58802225801228</v>
      </c>
      <c r="AR51" s="16">
        <v>0</v>
      </c>
      <c r="AS51" s="16">
        <v>3.0907278165503485</v>
      </c>
      <c r="AT51" s="16">
        <v>12.941091256146093</v>
      </c>
      <c r="AU51" s="16">
        <v>0.65359477124183007</v>
      </c>
      <c r="AW51" s="16">
        <v>4.9835580396096519</v>
      </c>
      <c r="AX51" s="16">
        <v>0</v>
      </c>
      <c r="AY51" s="16">
        <v>0</v>
      </c>
      <c r="AZ51" s="16">
        <v>0</v>
      </c>
      <c r="BA51" s="16">
        <v>3.282921287808851</v>
      </c>
      <c r="BB51" s="16">
        <v>0</v>
      </c>
      <c r="BC51" s="16">
        <v>16.415549967987772</v>
      </c>
      <c r="BD51" s="16">
        <v>0</v>
      </c>
      <c r="BE51" s="16">
        <v>0</v>
      </c>
      <c r="BF51" s="16">
        <v>0</v>
      </c>
      <c r="BG51" s="16">
        <v>0</v>
      </c>
      <c r="BH51" s="16">
        <v>0.5448668425875689</v>
      </c>
      <c r="BI51" s="16">
        <v>0</v>
      </c>
      <c r="BJ51" s="16">
        <v>0</v>
      </c>
      <c r="BK51" s="16">
        <v>0.39731931382280533</v>
      </c>
      <c r="BL51" s="16">
        <v>61.403583942362353</v>
      </c>
      <c r="BM51" s="16">
        <v>0</v>
      </c>
      <c r="BN51" s="16">
        <v>1.6970149173319078</v>
      </c>
      <c r="BO51" s="16">
        <v>11.072807044029856</v>
      </c>
      <c r="BP51" s="16">
        <v>0.20237864445924189</v>
      </c>
      <c r="BR51" s="16">
        <f>SUM(G51,AB51,AW51)</f>
        <v>29.065524594158457</v>
      </c>
      <c r="BS51" s="16">
        <f t="shared" ref="BS51:CK51" si="16">SUM(H51,AC51,AX51)</f>
        <v>0</v>
      </c>
      <c r="BT51" s="16">
        <f t="shared" si="16"/>
        <v>0</v>
      </c>
      <c r="BU51" s="16">
        <f t="shared" si="16"/>
        <v>0</v>
      </c>
      <c r="BV51" s="16">
        <f t="shared" si="16"/>
        <v>21.287819900882937</v>
      </c>
      <c r="BW51" s="16">
        <f t="shared" si="16"/>
        <v>0</v>
      </c>
      <c r="BX51" s="16">
        <f t="shared" si="16"/>
        <v>52.790125873969458</v>
      </c>
      <c r="BY51" s="16">
        <f t="shared" si="16"/>
        <v>0</v>
      </c>
      <c r="BZ51" s="16">
        <f t="shared" si="16"/>
        <v>0</v>
      </c>
      <c r="CA51" s="16">
        <f t="shared" si="16"/>
        <v>0</v>
      </c>
      <c r="CB51" s="16">
        <f t="shared" si="16"/>
        <v>0</v>
      </c>
      <c r="CC51" s="16">
        <f t="shared" si="16"/>
        <v>11.060998545159949</v>
      </c>
      <c r="CD51" s="16">
        <f t="shared" si="16"/>
        <v>0</v>
      </c>
      <c r="CE51" s="16">
        <f t="shared" si="16"/>
        <v>0</v>
      </c>
      <c r="CF51" s="16">
        <f t="shared" si="16"/>
        <v>6.2891675785524264</v>
      </c>
      <c r="CG51" s="16">
        <f t="shared" si="16"/>
        <v>121.27732048608891</v>
      </c>
      <c r="CH51" s="16">
        <f t="shared" si="16"/>
        <v>0</v>
      </c>
      <c r="CI51" s="16">
        <f t="shared" si="16"/>
        <v>14.31155225769178</v>
      </c>
      <c r="CJ51" s="16">
        <f t="shared" si="16"/>
        <v>38.299612585890237</v>
      </c>
      <c r="CK51" s="16">
        <f t="shared" si="16"/>
        <v>5.6178781776058342</v>
      </c>
      <c r="CL51" s="21">
        <f>SUM(BR51:CK51)</f>
        <v>300.00000000000006</v>
      </c>
    </row>
    <row r="52" spans="1:90" x14ac:dyDescent="0.35">
      <c r="A52" s="1" t="s">
        <v>91</v>
      </c>
      <c r="B52" s="1">
        <v>50</v>
      </c>
      <c r="C52" s="1" t="s">
        <v>94</v>
      </c>
      <c r="D52" s="1" t="s">
        <v>93</v>
      </c>
      <c r="E52" s="3" t="s">
        <v>21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</row>
    <row r="53" spans="1:90" x14ac:dyDescent="0.35">
      <c r="A53" s="1" t="s">
        <v>91</v>
      </c>
      <c r="B53" s="1">
        <v>51</v>
      </c>
      <c r="C53" s="1" t="s">
        <v>95</v>
      </c>
      <c r="D53" s="1" t="s">
        <v>93</v>
      </c>
      <c r="E53" s="3" t="s">
        <v>21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</row>
    <row r="54" spans="1:90" x14ac:dyDescent="0.35">
      <c r="A54" s="1" t="s">
        <v>91</v>
      </c>
      <c r="B54" s="1">
        <v>52</v>
      </c>
      <c r="C54" s="1" t="s">
        <v>96</v>
      </c>
      <c r="D54" s="1" t="s">
        <v>97</v>
      </c>
      <c r="E54" s="3" t="s">
        <v>27</v>
      </c>
      <c r="G54" s="16">
        <v>8.3333333333333339</v>
      </c>
      <c r="H54" s="16">
        <v>4.166666666666667</v>
      </c>
      <c r="I54" s="16">
        <v>0</v>
      </c>
      <c r="J54" s="16">
        <v>0</v>
      </c>
      <c r="K54" s="16">
        <v>12.5</v>
      </c>
      <c r="L54" s="16">
        <v>0</v>
      </c>
      <c r="M54" s="16">
        <v>12.5</v>
      </c>
      <c r="N54" s="16">
        <v>8.3333333333333339</v>
      </c>
      <c r="O54" s="16">
        <v>0</v>
      </c>
      <c r="P54" s="16">
        <v>0</v>
      </c>
      <c r="Q54" s="16">
        <v>4.166666666666667</v>
      </c>
      <c r="R54" s="16">
        <v>4.166666666666667</v>
      </c>
      <c r="S54" s="16">
        <v>0</v>
      </c>
      <c r="T54" s="16">
        <v>4.166666666666667</v>
      </c>
      <c r="U54" s="16">
        <v>4.166666666666667</v>
      </c>
      <c r="V54" s="16">
        <v>12.5</v>
      </c>
      <c r="W54" s="16">
        <v>0</v>
      </c>
      <c r="X54" s="16">
        <v>4.166666666666667</v>
      </c>
      <c r="Y54" s="16">
        <v>12.5</v>
      </c>
      <c r="Z54" s="16">
        <v>8.3333333333333339</v>
      </c>
      <c r="AB54" s="16">
        <v>3.0158730158730158</v>
      </c>
      <c r="AC54" s="16">
        <v>0.74074074074074081</v>
      </c>
      <c r="AD54" s="16">
        <v>0</v>
      </c>
      <c r="AE54" s="16">
        <v>0</v>
      </c>
      <c r="AF54" s="16">
        <v>7.755392755392756</v>
      </c>
      <c r="AG54" s="16">
        <v>0</v>
      </c>
      <c r="AH54" s="16">
        <v>27.533577533577532</v>
      </c>
      <c r="AI54" s="16">
        <v>5.2380952380952381</v>
      </c>
      <c r="AJ54" s="16">
        <v>0</v>
      </c>
      <c r="AK54" s="16">
        <v>0</v>
      </c>
      <c r="AL54" s="16">
        <v>1.5873015873015872</v>
      </c>
      <c r="AM54" s="16">
        <v>1.2820512820512822</v>
      </c>
      <c r="AN54" s="16">
        <v>0</v>
      </c>
      <c r="AO54" s="16">
        <v>3.1746031746031744</v>
      </c>
      <c r="AP54" s="16">
        <v>4.4444444444444446</v>
      </c>
      <c r="AQ54" s="16">
        <v>30.368335368335369</v>
      </c>
      <c r="AR54" s="16">
        <v>0</v>
      </c>
      <c r="AS54" s="16">
        <v>0.74074074074074081</v>
      </c>
      <c r="AT54" s="16">
        <v>11.790801790801792</v>
      </c>
      <c r="AU54" s="16">
        <v>2.3280423280423279</v>
      </c>
      <c r="AW54" s="16">
        <v>2.7019920363430034</v>
      </c>
      <c r="AX54" s="16">
        <v>0.19969085943854989</v>
      </c>
      <c r="AY54" s="16">
        <v>0</v>
      </c>
      <c r="AZ54" s="16">
        <v>0</v>
      </c>
      <c r="BA54" s="16">
        <v>13.676028507197648</v>
      </c>
      <c r="BB54" s="16">
        <v>0</v>
      </c>
      <c r="BC54" s="16">
        <v>23.170615886260645</v>
      </c>
      <c r="BD54" s="16">
        <v>4.6830946896261194</v>
      </c>
      <c r="BE54" s="16">
        <v>0</v>
      </c>
      <c r="BF54" s="16">
        <v>0</v>
      </c>
      <c r="BG54" s="16">
        <v>0.3698066843928447</v>
      </c>
      <c r="BH54" s="16">
        <v>0.397335126524412</v>
      </c>
      <c r="BI54" s="16">
        <v>0</v>
      </c>
      <c r="BJ54" s="16">
        <v>3.8367092760887775</v>
      </c>
      <c r="BK54" s="16">
        <v>3.2234765466839548</v>
      </c>
      <c r="BL54" s="16">
        <v>40.596832792022241</v>
      </c>
      <c r="BM54" s="16">
        <v>0</v>
      </c>
      <c r="BN54" s="16">
        <v>0.25625612302829048</v>
      </c>
      <c r="BO54" s="16">
        <v>6.3194755486381773</v>
      </c>
      <c r="BP54" s="16">
        <v>0.56868592375533977</v>
      </c>
      <c r="BR54" s="16">
        <f>SUM(G54,AB54,AW54)</f>
        <v>14.051198385549354</v>
      </c>
      <c r="BS54" s="16">
        <f t="shared" ref="BS54:CK54" si="17">SUM(H54,AC54,AX54)</f>
        <v>5.1070982668459575</v>
      </c>
      <c r="BT54" s="16">
        <f t="shared" si="17"/>
        <v>0</v>
      </c>
      <c r="BU54" s="16">
        <f t="shared" si="17"/>
        <v>0</v>
      </c>
      <c r="BV54" s="16">
        <f t="shared" si="17"/>
        <v>33.931421262590405</v>
      </c>
      <c r="BW54" s="16">
        <f t="shared" si="17"/>
        <v>0</v>
      </c>
      <c r="BX54" s="16">
        <f t="shared" si="17"/>
        <v>63.204193419838177</v>
      </c>
      <c r="BY54" s="16">
        <f t="shared" si="17"/>
        <v>18.254523261054693</v>
      </c>
      <c r="BZ54" s="16">
        <f t="shared" si="17"/>
        <v>0</v>
      </c>
      <c r="CA54" s="16">
        <f t="shared" si="17"/>
        <v>0</v>
      </c>
      <c r="CB54" s="16">
        <f t="shared" si="17"/>
        <v>6.1237749383610982</v>
      </c>
      <c r="CC54" s="16">
        <f t="shared" si="17"/>
        <v>5.8460530752423612</v>
      </c>
      <c r="CD54" s="16">
        <f t="shared" si="17"/>
        <v>0</v>
      </c>
      <c r="CE54" s="16">
        <f t="shared" si="17"/>
        <v>11.177979117358619</v>
      </c>
      <c r="CF54" s="16">
        <f t="shared" si="17"/>
        <v>11.834587657795065</v>
      </c>
      <c r="CG54" s="16">
        <f t="shared" si="17"/>
        <v>83.465168160357607</v>
      </c>
      <c r="CH54" s="16">
        <f t="shared" si="17"/>
        <v>0</v>
      </c>
      <c r="CI54" s="16">
        <f t="shared" si="17"/>
        <v>5.1636635304356977</v>
      </c>
      <c r="CJ54" s="16">
        <f t="shared" si="17"/>
        <v>30.610277339439971</v>
      </c>
      <c r="CK54" s="16">
        <f t="shared" si="17"/>
        <v>11.230061585131001</v>
      </c>
      <c r="CL54" s="21">
        <f>SUM(BR54:CK54)</f>
        <v>300</v>
      </c>
    </row>
    <row r="55" spans="1:90" x14ac:dyDescent="0.35">
      <c r="A55" s="1" t="s">
        <v>91</v>
      </c>
      <c r="B55" s="1">
        <v>53</v>
      </c>
      <c r="C55" s="1" t="s">
        <v>98</v>
      </c>
      <c r="D55" s="1" t="s">
        <v>97</v>
      </c>
      <c r="E55" s="3" t="s">
        <v>27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</row>
    <row r="56" spans="1:90" x14ac:dyDescent="0.35">
      <c r="A56" s="1" t="s">
        <v>91</v>
      </c>
      <c r="B56" s="1">
        <v>54</v>
      </c>
      <c r="C56" s="1" t="s">
        <v>99</v>
      </c>
      <c r="D56" s="1" t="s">
        <v>97</v>
      </c>
      <c r="E56" s="3" t="s">
        <v>27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</row>
    <row r="57" spans="1:90" x14ac:dyDescent="0.35">
      <c r="A57" s="1" t="s">
        <v>91</v>
      </c>
      <c r="B57" s="1">
        <v>55</v>
      </c>
      <c r="C57" s="1" t="s">
        <v>100</v>
      </c>
      <c r="D57" s="1" t="s">
        <v>101</v>
      </c>
      <c r="E57" s="3" t="s">
        <v>21</v>
      </c>
      <c r="G57" s="16">
        <v>15.789473684210527</v>
      </c>
      <c r="H57" s="16">
        <v>0</v>
      </c>
      <c r="I57" s="16">
        <v>0</v>
      </c>
      <c r="J57" s="16">
        <v>0</v>
      </c>
      <c r="K57" s="16">
        <v>10.526315789473685</v>
      </c>
      <c r="L57" s="16">
        <v>0</v>
      </c>
      <c r="M57" s="16">
        <v>15.789473684210527</v>
      </c>
      <c r="N57" s="16">
        <v>0</v>
      </c>
      <c r="O57" s="16">
        <v>0</v>
      </c>
      <c r="P57" s="16">
        <v>0</v>
      </c>
      <c r="Q57" s="16">
        <v>0</v>
      </c>
      <c r="R57" s="16">
        <v>10.526315789473685</v>
      </c>
      <c r="S57" s="16">
        <v>0</v>
      </c>
      <c r="T57" s="16">
        <v>5.2631578947368425</v>
      </c>
      <c r="U57" s="16">
        <v>0</v>
      </c>
      <c r="V57" s="16">
        <v>15.789473684210527</v>
      </c>
      <c r="W57" s="16">
        <v>0</v>
      </c>
      <c r="X57" s="16">
        <v>5.2631578947368425</v>
      </c>
      <c r="Y57" s="16">
        <v>15.789473684210527</v>
      </c>
      <c r="Z57" s="16">
        <v>5.2631578947368425</v>
      </c>
      <c r="AB57" s="16">
        <v>9.9927849927849923</v>
      </c>
      <c r="AC57" s="16">
        <v>0</v>
      </c>
      <c r="AD57" s="16">
        <v>0</v>
      </c>
      <c r="AE57" s="16">
        <v>0</v>
      </c>
      <c r="AF57" s="16">
        <v>5.5194805194805197</v>
      </c>
      <c r="AG57" s="16">
        <v>0</v>
      </c>
      <c r="AH57" s="16">
        <v>21.969696969696969</v>
      </c>
      <c r="AI57" s="16">
        <v>0</v>
      </c>
      <c r="AJ57" s="16">
        <v>0</v>
      </c>
      <c r="AK57" s="16">
        <v>0</v>
      </c>
      <c r="AL57" s="16">
        <v>0</v>
      </c>
      <c r="AM57" s="16">
        <v>2.5252525252525255</v>
      </c>
      <c r="AN57" s="16">
        <v>0</v>
      </c>
      <c r="AO57" s="16">
        <v>0.75757575757575768</v>
      </c>
      <c r="AP57" s="16">
        <v>0</v>
      </c>
      <c r="AQ57" s="16">
        <v>35.461760461760463</v>
      </c>
      <c r="AR57" s="16">
        <v>0</v>
      </c>
      <c r="AS57" s="16">
        <v>3.0303030303030307</v>
      </c>
      <c r="AT57" s="16">
        <v>20.238095238095241</v>
      </c>
      <c r="AU57" s="16">
        <v>0.50505050505050508</v>
      </c>
      <c r="AW57" s="16">
        <v>6.0829280508151689</v>
      </c>
      <c r="AX57" s="16">
        <v>0</v>
      </c>
      <c r="AY57" s="16">
        <v>0</v>
      </c>
      <c r="AZ57" s="16">
        <v>0</v>
      </c>
      <c r="BA57" s="16">
        <v>6.3424242716869017</v>
      </c>
      <c r="BB57" s="16">
        <v>0</v>
      </c>
      <c r="BC57" s="16">
        <v>14.862713486909101</v>
      </c>
      <c r="BD57" s="16">
        <v>0</v>
      </c>
      <c r="BE57" s="16">
        <v>0</v>
      </c>
      <c r="BF57" s="16">
        <v>0</v>
      </c>
      <c r="BG57" s="16">
        <v>0</v>
      </c>
      <c r="BH57" s="16">
        <v>1.1832398740438608</v>
      </c>
      <c r="BI57" s="16">
        <v>0</v>
      </c>
      <c r="BJ57" s="16">
        <v>0.37779253420506431</v>
      </c>
      <c r="BK57" s="16">
        <v>0</v>
      </c>
      <c r="BL57" s="16">
        <v>57.567827658157306</v>
      </c>
      <c r="BM57" s="16">
        <v>0</v>
      </c>
      <c r="BN57" s="16">
        <v>1.2132623693796405</v>
      </c>
      <c r="BO57" s="16">
        <v>12.110636819289679</v>
      </c>
      <c r="BP57" s="16">
        <v>0.25917493551327775</v>
      </c>
      <c r="BR57" s="16">
        <f>SUM(G57,AB57,AW57)</f>
        <v>31.865186727810688</v>
      </c>
      <c r="BS57" s="16">
        <f t="shared" ref="BS57:CK57" si="18">SUM(H57,AC57,AX57)</f>
        <v>0</v>
      </c>
      <c r="BT57" s="16">
        <f t="shared" si="18"/>
        <v>0</v>
      </c>
      <c r="BU57" s="16">
        <f t="shared" si="18"/>
        <v>0</v>
      </c>
      <c r="BV57" s="16">
        <f t="shared" si="18"/>
        <v>22.388220580641107</v>
      </c>
      <c r="BW57" s="16">
        <f t="shared" si="18"/>
        <v>0</v>
      </c>
      <c r="BX57" s="16">
        <f t="shared" si="18"/>
        <v>52.621884140816597</v>
      </c>
      <c r="BY57" s="16">
        <f t="shared" si="18"/>
        <v>0</v>
      </c>
      <c r="BZ57" s="16">
        <f t="shared" si="18"/>
        <v>0</v>
      </c>
      <c r="CA57" s="16">
        <f t="shared" si="18"/>
        <v>0</v>
      </c>
      <c r="CB57" s="16">
        <f t="shared" si="18"/>
        <v>0</v>
      </c>
      <c r="CC57" s="16">
        <f t="shared" si="18"/>
        <v>14.234808188770071</v>
      </c>
      <c r="CD57" s="16">
        <f t="shared" si="18"/>
        <v>0</v>
      </c>
      <c r="CE57" s="16">
        <f t="shared" si="18"/>
        <v>6.3985261865176648</v>
      </c>
      <c r="CF57" s="16">
        <f t="shared" si="18"/>
        <v>0</v>
      </c>
      <c r="CG57" s="16">
        <f t="shared" si="18"/>
        <v>108.8190618041283</v>
      </c>
      <c r="CH57" s="16">
        <f t="shared" si="18"/>
        <v>0</v>
      </c>
      <c r="CI57" s="16">
        <f t="shared" si="18"/>
        <v>9.5067232944195137</v>
      </c>
      <c r="CJ57" s="16">
        <f t="shared" si="18"/>
        <v>48.138205741595449</v>
      </c>
      <c r="CK57" s="16">
        <f t="shared" si="18"/>
        <v>6.027383335300625</v>
      </c>
      <c r="CL57" s="21">
        <f>SUM(BR57:CK57)</f>
        <v>300</v>
      </c>
    </row>
    <row r="58" spans="1:90" x14ac:dyDescent="0.35">
      <c r="A58" s="1" t="s">
        <v>91</v>
      </c>
      <c r="B58" s="1">
        <v>56</v>
      </c>
      <c r="C58" s="1" t="s">
        <v>102</v>
      </c>
      <c r="D58" s="1" t="s">
        <v>101</v>
      </c>
      <c r="E58" s="3" t="s">
        <v>21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</row>
    <row r="59" spans="1:90" x14ac:dyDescent="0.35">
      <c r="A59" s="1" t="s">
        <v>91</v>
      </c>
      <c r="B59" s="1">
        <v>57</v>
      </c>
      <c r="C59" s="1" t="s">
        <v>103</v>
      </c>
      <c r="D59" s="1" t="s">
        <v>101</v>
      </c>
      <c r="E59" s="3" t="s">
        <v>21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</row>
    <row r="60" spans="1:90" x14ac:dyDescent="0.35">
      <c r="A60" s="1" t="s">
        <v>91</v>
      </c>
      <c r="B60" s="1">
        <v>58</v>
      </c>
      <c r="C60" s="1" t="s">
        <v>104</v>
      </c>
      <c r="D60" s="1" t="s">
        <v>105</v>
      </c>
      <c r="E60" s="3" t="s">
        <v>21</v>
      </c>
      <c r="G60" s="16">
        <v>13.636363636363635</v>
      </c>
      <c r="H60" s="16">
        <v>0</v>
      </c>
      <c r="I60" s="16">
        <v>0</v>
      </c>
      <c r="J60" s="16">
        <v>0</v>
      </c>
      <c r="K60" s="16">
        <v>13.636363636363635</v>
      </c>
      <c r="L60" s="16">
        <v>0</v>
      </c>
      <c r="M60" s="16">
        <v>13.636363636363635</v>
      </c>
      <c r="N60" s="16">
        <v>0</v>
      </c>
      <c r="O60" s="16">
        <v>0</v>
      </c>
      <c r="P60" s="16">
        <v>0</v>
      </c>
      <c r="Q60" s="16">
        <v>4.545454545454545</v>
      </c>
      <c r="R60" s="16">
        <v>4.545454545454545</v>
      </c>
      <c r="S60" s="16">
        <v>0</v>
      </c>
      <c r="T60" s="16">
        <v>9.0909090909090899</v>
      </c>
      <c r="U60" s="16">
        <v>0</v>
      </c>
      <c r="V60" s="16">
        <v>13.636363636363635</v>
      </c>
      <c r="W60" s="16">
        <v>0</v>
      </c>
      <c r="X60" s="16">
        <v>13.636363636363635</v>
      </c>
      <c r="Y60" s="16">
        <v>9.0909090909090899</v>
      </c>
      <c r="Z60" s="16">
        <v>4.545454545454545</v>
      </c>
      <c r="AB60" s="16">
        <v>16.363061353573688</v>
      </c>
      <c r="AC60" s="16">
        <v>0</v>
      </c>
      <c r="AD60" s="16">
        <v>0</v>
      </c>
      <c r="AE60" s="16">
        <v>0</v>
      </c>
      <c r="AF60" s="16">
        <v>8.0670461733080323</v>
      </c>
      <c r="AG60" s="16">
        <v>0</v>
      </c>
      <c r="AH60" s="16">
        <v>17.969639468690701</v>
      </c>
      <c r="AI60" s="16">
        <v>0</v>
      </c>
      <c r="AJ60" s="16">
        <v>0</v>
      </c>
      <c r="AK60" s="16">
        <v>0</v>
      </c>
      <c r="AL60" s="16">
        <v>0.66666666666666663</v>
      </c>
      <c r="AM60" s="16">
        <v>0.5376344086021505</v>
      </c>
      <c r="AN60" s="16">
        <v>0</v>
      </c>
      <c r="AO60" s="16">
        <v>5.6470588235294121</v>
      </c>
      <c r="AP60" s="16">
        <v>0</v>
      </c>
      <c r="AQ60" s="16">
        <v>28.449082858950032</v>
      </c>
      <c r="AR60" s="16">
        <v>0</v>
      </c>
      <c r="AS60" s="16">
        <v>9.3105629348513599</v>
      </c>
      <c r="AT60" s="16">
        <v>11.655913978494624</v>
      </c>
      <c r="AU60" s="16">
        <v>1.3333333333333333</v>
      </c>
      <c r="AW60" s="16">
        <v>4.9702019343168411</v>
      </c>
      <c r="AX60" s="16">
        <v>0</v>
      </c>
      <c r="AY60" s="16">
        <v>0</v>
      </c>
      <c r="AZ60" s="16">
        <v>0</v>
      </c>
      <c r="BA60" s="16">
        <v>13.165394632808626</v>
      </c>
      <c r="BB60" s="16">
        <v>0</v>
      </c>
      <c r="BC60" s="16">
        <v>14.459156906288186</v>
      </c>
      <c r="BD60" s="16">
        <v>0</v>
      </c>
      <c r="BE60" s="16">
        <v>0</v>
      </c>
      <c r="BF60" s="16">
        <v>0</v>
      </c>
      <c r="BG60" s="16">
        <v>2.9682258461603515</v>
      </c>
      <c r="BH60" s="16">
        <v>0.23634201299764532</v>
      </c>
      <c r="BI60" s="16">
        <v>0</v>
      </c>
      <c r="BJ60" s="16">
        <v>6.7854817205267368</v>
      </c>
      <c r="BK60" s="16">
        <v>0</v>
      </c>
      <c r="BL60" s="16">
        <v>45.145037478745145</v>
      </c>
      <c r="BM60" s="16">
        <v>0</v>
      </c>
      <c r="BN60" s="16">
        <v>3.8251022514178294</v>
      </c>
      <c r="BO60" s="16">
        <v>8.1304510781251889</v>
      </c>
      <c r="BP60" s="16">
        <v>0.31460613861345671</v>
      </c>
      <c r="BR60" s="16">
        <f>SUM(G60,AB60,AW60)</f>
        <v>34.969626924254165</v>
      </c>
      <c r="BS60" s="16">
        <f t="shared" ref="BS60:CK60" si="19">SUM(H60,AC60,AX60)</f>
        <v>0</v>
      </c>
      <c r="BT60" s="16">
        <f t="shared" si="19"/>
        <v>0</v>
      </c>
      <c r="BU60" s="16">
        <f t="shared" si="19"/>
        <v>0</v>
      </c>
      <c r="BV60" s="16">
        <f t="shared" si="19"/>
        <v>34.868804442480297</v>
      </c>
      <c r="BW60" s="16">
        <f t="shared" si="19"/>
        <v>0</v>
      </c>
      <c r="BX60" s="16">
        <f t="shared" si="19"/>
        <v>46.06516001134252</v>
      </c>
      <c r="BY60" s="16">
        <f t="shared" si="19"/>
        <v>0</v>
      </c>
      <c r="BZ60" s="16">
        <f t="shared" si="19"/>
        <v>0</v>
      </c>
      <c r="CA60" s="16">
        <f t="shared" si="19"/>
        <v>0</v>
      </c>
      <c r="CB60" s="16">
        <f t="shared" si="19"/>
        <v>8.1803470582815638</v>
      </c>
      <c r="CC60" s="16">
        <f t="shared" si="19"/>
        <v>5.3194309670543403</v>
      </c>
      <c r="CD60" s="16">
        <f t="shared" si="19"/>
        <v>0</v>
      </c>
      <c r="CE60" s="16">
        <f t="shared" si="19"/>
        <v>21.523449634965239</v>
      </c>
      <c r="CF60" s="16">
        <f t="shared" si="19"/>
        <v>0</v>
      </c>
      <c r="CG60" s="16">
        <f t="shared" si="19"/>
        <v>87.230483974058814</v>
      </c>
      <c r="CH60" s="16">
        <f t="shared" si="19"/>
        <v>0</v>
      </c>
      <c r="CI60" s="16">
        <f t="shared" si="19"/>
        <v>26.772028822632823</v>
      </c>
      <c r="CJ60" s="16">
        <f t="shared" si="19"/>
        <v>28.877274147528901</v>
      </c>
      <c r="CK60" s="16">
        <f t="shared" si="19"/>
        <v>6.1933940174013351</v>
      </c>
      <c r="CL60" s="21">
        <f>SUM(BR60:CK60)</f>
        <v>300</v>
      </c>
    </row>
    <row r="61" spans="1:90" x14ac:dyDescent="0.35">
      <c r="A61" s="1" t="s">
        <v>91</v>
      </c>
      <c r="B61" s="1">
        <v>59</v>
      </c>
      <c r="C61" s="1" t="s">
        <v>106</v>
      </c>
      <c r="D61" s="1" t="s">
        <v>105</v>
      </c>
      <c r="E61" s="3" t="s">
        <v>21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</row>
    <row r="62" spans="1:90" x14ac:dyDescent="0.35">
      <c r="A62" s="1" t="s">
        <v>91</v>
      </c>
      <c r="B62" s="1">
        <v>60</v>
      </c>
      <c r="C62" s="1" t="s">
        <v>107</v>
      </c>
      <c r="D62" s="1" t="s">
        <v>105</v>
      </c>
      <c r="E62" s="3" t="s">
        <v>21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</row>
    <row r="63" spans="1:90" x14ac:dyDescent="0.35">
      <c r="A63" s="1" t="s">
        <v>42</v>
      </c>
      <c r="B63" s="1">
        <v>61</v>
      </c>
      <c r="C63" s="1" t="s">
        <v>108</v>
      </c>
      <c r="D63" s="1" t="s">
        <v>109</v>
      </c>
      <c r="E63" s="3" t="s">
        <v>53</v>
      </c>
      <c r="G63" s="16">
        <v>27.27272727272727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27.27272727272727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9.0909090909090899</v>
      </c>
      <c r="U63" s="16">
        <v>9.0909090909090899</v>
      </c>
      <c r="V63" s="16">
        <v>9.0909090909090899</v>
      </c>
      <c r="W63" s="16">
        <v>0</v>
      </c>
      <c r="X63" s="16">
        <v>0</v>
      </c>
      <c r="Y63" s="16">
        <v>0</v>
      </c>
      <c r="Z63" s="16">
        <v>18.18181818181818</v>
      </c>
      <c r="AB63" s="16">
        <v>38.084170540310886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53.233868146148858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1.2820512820512822</v>
      </c>
      <c r="AP63" s="16">
        <v>1.1695906432748537</v>
      </c>
      <c r="AQ63" s="16">
        <v>2.3391812865497075</v>
      </c>
      <c r="AR63" s="16">
        <v>0</v>
      </c>
      <c r="AS63" s="16">
        <v>0</v>
      </c>
      <c r="AT63" s="16">
        <v>0</v>
      </c>
      <c r="AU63" s="16">
        <v>3.8911381016644171</v>
      </c>
      <c r="AW63" s="16">
        <v>37.656104094597133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51.520755447524522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1.93919445952601</v>
      </c>
      <c r="BK63" s="16">
        <v>2.0813135950333517</v>
      </c>
      <c r="BL63" s="16">
        <v>4.2956277159244758</v>
      </c>
      <c r="BM63" s="16">
        <v>0</v>
      </c>
      <c r="BN63" s="16">
        <v>0</v>
      </c>
      <c r="BO63" s="16">
        <v>0</v>
      </c>
      <c r="BP63" s="16">
        <v>2.507004687394522</v>
      </c>
      <c r="BR63" s="16">
        <f>SUM(G63,AB63,AW63)</f>
        <v>103.0130019076353</v>
      </c>
      <c r="BS63" s="16">
        <f t="shared" ref="BS63:CK63" si="20">SUM(H63,AC63,AX63)</f>
        <v>0</v>
      </c>
      <c r="BT63" s="16">
        <f t="shared" si="20"/>
        <v>0</v>
      </c>
      <c r="BU63" s="16">
        <f t="shared" si="20"/>
        <v>0</v>
      </c>
      <c r="BV63" s="16">
        <f t="shared" si="20"/>
        <v>0</v>
      </c>
      <c r="BW63" s="16">
        <f t="shared" si="20"/>
        <v>0</v>
      </c>
      <c r="BX63" s="16">
        <f t="shared" si="20"/>
        <v>132.02735086640064</v>
      </c>
      <c r="BY63" s="16">
        <f t="shared" si="20"/>
        <v>0</v>
      </c>
      <c r="BZ63" s="16">
        <f t="shared" si="20"/>
        <v>0</v>
      </c>
      <c r="CA63" s="16">
        <f t="shared" si="20"/>
        <v>0</v>
      </c>
      <c r="CB63" s="16">
        <f t="shared" si="20"/>
        <v>0</v>
      </c>
      <c r="CC63" s="16">
        <f t="shared" si="20"/>
        <v>0</v>
      </c>
      <c r="CD63" s="16">
        <f t="shared" si="20"/>
        <v>0</v>
      </c>
      <c r="CE63" s="16">
        <f t="shared" si="20"/>
        <v>12.312154832486383</v>
      </c>
      <c r="CF63" s="16">
        <f t="shared" si="20"/>
        <v>12.341813329217295</v>
      </c>
      <c r="CG63" s="16">
        <f t="shared" si="20"/>
        <v>15.725718093383271</v>
      </c>
      <c r="CH63" s="16">
        <f t="shared" si="20"/>
        <v>0</v>
      </c>
      <c r="CI63" s="16">
        <f t="shared" si="20"/>
        <v>0</v>
      </c>
      <c r="CJ63" s="16">
        <f t="shared" si="20"/>
        <v>0</v>
      </c>
      <c r="CK63" s="16">
        <f t="shared" si="20"/>
        <v>24.579960970877117</v>
      </c>
      <c r="CL63" s="21">
        <f>SUM(BR63:CK63)</f>
        <v>299.99999999999994</v>
      </c>
    </row>
    <row r="64" spans="1:90" x14ac:dyDescent="0.35">
      <c r="A64" s="1" t="s">
        <v>42</v>
      </c>
      <c r="B64" s="1">
        <v>62</v>
      </c>
      <c r="C64" s="1" t="s">
        <v>110</v>
      </c>
      <c r="D64" s="1" t="s">
        <v>109</v>
      </c>
      <c r="E64" s="3" t="s">
        <v>53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</row>
    <row r="65" spans="1:90" x14ac:dyDescent="0.35">
      <c r="A65" s="1" t="s">
        <v>42</v>
      </c>
      <c r="B65" s="1">
        <v>63</v>
      </c>
      <c r="C65" s="1" t="s">
        <v>111</v>
      </c>
      <c r="D65" s="1" t="s">
        <v>109</v>
      </c>
      <c r="E65" s="3" t="s">
        <v>53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</row>
    <row r="66" spans="1:90" x14ac:dyDescent="0.35">
      <c r="A66" s="1" t="s">
        <v>42</v>
      </c>
      <c r="B66" s="1">
        <v>64</v>
      </c>
      <c r="C66" s="1" t="s">
        <v>112</v>
      </c>
      <c r="D66" s="1" t="s">
        <v>113</v>
      </c>
      <c r="E66" s="3" t="s">
        <v>53</v>
      </c>
      <c r="G66" s="16">
        <v>17.647058823529409</v>
      </c>
      <c r="H66" s="16">
        <v>0</v>
      </c>
      <c r="I66" s="16">
        <v>0</v>
      </c>
      <c r="J66" s="16">
        <v>5.8823529411764701</v>
      </c>
      <c r="K66" s="16">
        <v>0</v>
      </c>
      <c r="L66" s="16">
        <v>0</v>
      </c>
      <c r="M66" s="16">
        <v>17.647058823529409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11.76470588235294</v>
      </c>
      <c r="U66" s="16">
        <v>5.8823529411764701</v>
      </c>
      <c r="V66" s="16">
        <v>17.647058823529409</v>
      </c>
      <c r="W66" s="16">
        <v>0</v>
      </c>
      <c r="X66" s="16">
        <v>0</v>
      </c>
      <c r="Y66" s="16">
        <v>11.76470588235294</v>
      </c>
      <c r="Z66" s="16">
        <v>11.76470588235294</v>
      </c>
      <c r="AB66" s="16">
        <v>22.776766612383053</v>
      </c>
      <c r="AC66" s="16">
        <v>0</v>
      </c>
      <c r="AD66" s="16">
        <v>0</v>
      </c>
      <c r="AE66" s="16">
        <v>0.60606060606060608</v>
      </c>
      <c r="AF66" s="16">
        <v>0</v>
      </c>
      <c r="AG66" s="16">
        <v>0</v>
      </c>
      <c r="AH66" s="16">
        <v>38.805121818820453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1.062681610626816</v>
      </c>
      <c r="AP66" s="16">
        <v>1.2121212121212122</v>
      </c>
      <c r="AQ66" s="16">
        <v>20.854487977775648</v>
      </c>
      <c r="AR66" s="16">
        <v>0</v>
      </c>
      <c r="AS66" s="16">
        <v>0</v>
      </c>
      <c r="AT66" s="16">
        <v>5.1722706517227062</v>
      </c>
      <c r="AU66" s="16">
        <v>9.51048951048951</v>
      </c>
      <c r="AW66" s="16">
        <v>26.214979605900055</v>
      </c>
      <c r="AX66" s="16">
        <v>0</v>
      </c>
      <c r="AY66" s="16">
        <v>0</v>
      </c>
      <c r="AZ66" s="16">
        <v>0.15232794715085307</v>
      </c>
      <c r="BA66" s="16">
        <v>0</v>
      </c>
      <c r="BB66" s="16">
        <v>0</v>
      </c>
      <c r="BC66" s="16">
        <v>30.051445401953249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2.9055693776488263</v>
      </c>
      <c r="BK66" s="16">
        <v>0.89795339776157734</v>
      </c>
      <c r="BL66" s="16">
        <v>29.95234832135419</v>
      </c>
      <c r="BM66" s="16">
        <v>0</v>
      </c>
      <c r="BN66" s="16">
        <v>0</v>
      </c>
      <c r="BO66" s="16">
        <v>4.2821894208942632</v>
      </c>
      <c r="BP66" s="16">
        <v>5.5431865273369842</v>
      </c>
      <c r="BR66" s="16">
        <f>SUM(G66,AB66,AW66)</f>
        <v>66.638805041812518</v>
      </c>
      <c r="BS66" s="16">
        <f t="shared" ref="BS66:CK66" si="21">SUM(H66,AC66,AX66)</f>
        <v>0</v>
      </c>
      <c r="BT66" s="16">
        <f t="shared" si="21"/>
        <v>0</v>
      </c>
      <c r="BU66" s="16">
        <f t="shared" si="21"/>
        <v>6.6407414943879299</v>
      </c>
      <c r="BV66" s="16">
        <f t="shared" si="21"/>
        <v>0</v>
      </c>
      <c r="BW66" s="16">
        <f t="shared" si="21"/>
        <v>0</v>
      </c>
      <c r="BX66" s="16">
        <f t="shared" si="21"/>
        <v>86.503626044303104</v>
      </c>
      <c r="BY66" s="16">
        <f t="shared" si="21"/>
        <v>0</v>
      </c>
      <c r="BZ66" s="16">
        <f t="shared" si="21"/>
        <v>0</v>
      </c>
      <c r="CA66" s="16">
        <f t="shared" si="21"/>
        <v>0</v>
      </c>
      <c r="CB66" s="16">
        <f t="shared" si="21"/>
        <v>0</v>
      </c>
      <c r="CC66" s="16">
        <f t="shared" si="21"/>
        <v>0</v>
      </c>
      <c r="CD66" s="16">
        <f t="shared" si="21"/>
        <v>0</v>
      </c>
      <c r="CE66" s="16">
        <f t="shared" si="21"/>
        <v>15.732956870628582</v>
      </c>
      <c r="CF66" s="16">
        <f t="shared" si="21"/>
        <v>7.9924275510592597</v>
      </c>
      <c r="CG66" s="16">
        <f t="shared" si="21"/>
        <v>68.453895122659247</v>
      </c>
      <c r="CH66" s="16">
        <f t="shared" si="21"/>
        <v>0</v>
      </c>
      <c r="CI66" s="16">
        <f t="shared" si="21"/>
        <v>0</v>
      </c>
      <c r="CJ66" s="16">
        <f t="shared" si="21"/>
        <v>21.21916595496991</v>
      </c>
      <c r="CK66" s="16">
        <f t="shared" si="21"/>
        <v>26.818381920179434</v>
      </c>
      <c r="CL66" s="21">
        <f>SUM(BR66:CK66)</f>
        <v>300</v>
      </c>
    </row>
    <row r="67" spans="1:90" x14ac:dyDescent="0.35">
      <c r="A67" s="1" t="s">
        <v>42</v>
      </c>
      <c r="B67" s="1">
        <v>65</v>
      </c>
      <c r="C67" s="1" t="s">
        <v>114</v>
      </c>
      <c r="D67" s="1" t="s">
        <v>113</v>
      </c>
      <c r="E67" s="3" t="s">
        <v>53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</row>
    <row r="68" spans="1:90" x14ac:dyDescent="0.35">
      <c r="A68" s="1" t="s">
        <v>42</v>
      </c>
      <c r="B68" s="1">
        <v>66</v>
      </c>
      <c r="C68" s="1" t="s">
        <v>115</v>
      </c>
      <c r="D68" s="1" t="s">
        <v>113</v>
      </c>
      <c r="E68" s="3" t="s">
        <v>53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</row>
    <row r="69" spans="1:90" x14ac:dyDescent="0.35">
      <c r="A69" s="1" t="s">
        <v>116</v>
      </c>
      <c r="B69" s="1">
        <v>67</v>
      </c>
      <c r="C69" s="1" t="s">
        <v>117</v>
      </c>
      <c r="D69" s="1" t="s">
        <v>118</v>
      </c>
      <c r="E69" s="3" t="s">
        <v>27</v>
      </c>
      <c r="G69" s="16">
        <v>16.666666666666664</v>
      </c>
      <c r="H69" s="16">
        <v>0</v>
      </c>
      <c r="I69" s="16">
        <v>0</v>
      </c>
      <c r="J69" s="16">
        <v>0</v>
      </c>
      <c r="K69" s="16">
        <v>0</v>
      </c>
      <c r="L69" s="16">
        <v>11.111111111111109</v>
      </c>
      <c r="M69" s="16">
        <v>16.666666666666664</v>
      </c>
      <c r="N69" s="16">
        <v>0</v>
      </c>
      <c r="O69" s="16">
        <v>0</v>
      </c>
      <c r="P69" s="16">
        <v>0</v>
      </c>
      <c r="Q69" s="16">
        <v>0</v>
      </c>
      <c r="R69" s="16">
        <v>5.5555555555555545</v>
      </c>
      <c r="S69" s="16">
        <v>0</v>
      </c>
      <c r="T69" s="16">
        <v>0</v>
      </c>
      <c r="U69" s="16">
        <v>5.5555555555555545</v>
      </c>
      <c r="V69" s="16">
        <v>16.666666666666664</v>
      </c>
      <c r="W69" s="16">
        <v>0</v>
      </c>
      <c r="X69" s="16">
        <v>0</v>
      </c>
      <c r="Y69" s="16">
        <v>11.111111111111109</v>
      </c>
      <c r="Z69" s="16">
        <v>16.666666666666664</v>
      </c>
      <c r="AB69" s="16">
        <v>32.532563852964351</v>
      </c>
      <c r="AC69" s="16">
        <v>0</v>
      </c>
      <c r="AD69" s="16">
        <v>0</v>
      </c>
      <c r="AE69" s="16">
        <v>0</v>
      </c>
      <c r="AF69" s="16">
        <v>0</v>
      </c>
      <c r="AG69" s="16">
        <v>2.233115468409586</v>
      </c>
      <c r="AH69" s="16">
        <v>37.66397812079915</v>
      </c>
      <c r="AI69" s="16">
        <v>0</v>
      </c>
      <c r="AJ69" s="16">
        <v>0</v>
      </c>
      <c r="AK69" s="16">
        <v>0</v>
      </c>
      <c r="AL69" s="16">
        <v>0</v>
      </c>
      <c r="AM69" s="16">
        <v>0.65359477124183007</v>
      </c>
      <c r="AN69" s="16">
        <v>0</v>
      </c>
      <c r="AO69" s="16">
        <v>0</v>
      </c>
      <c r="AP69" s="16">
        <v>1.3071895424836601</v>
      </c>
      <c r="AQ69" s="16">
        <v>15.693227645668197</v>
      </c>
      <c r="AR69" s="16">
        <v>0</v>
      </c>
      <c r="AS69" s="16">
        <v>0</v>
      </c>
      <c r="AT69" s="16">
        <v>6.0480693459416868</v>
      </c>
      <c r="AU69" s="16">
        <v>3.8682612524915405</v>
      </c>
      <c r="AW69" s="16">
        <v>17.99307401955134</v>
      </c>
      <c r="AX69" s="16">
        <v>0</v>
      </c>
      <c r="AY69" s="16">
        <v>0</v>
      </c>
      <c r="AZ69" s="16">
        <v>0</v>
      </c>
      <c r="BA69" s="16">
        <v>0</v>
      </c>
      <c r="BB69" s="16">
        <v>1.0873014605742506</v>
      </c>
      <c r="BC69" s="16">
        <v>49.281988214713245</v>
      </c>
      <c r="BD69" s="16">
        <v>0</v>
      </c>
      <c r="BE69" s="16">
        <v>0</v>
      </c>
      <c r="BF69" s="16">
        <v>0</v>
      </c>
      <c r="BG69" s="16">
        <v>0</v>
      </c>
      <c r="BH69" s="16">
        <v>0.15870760058036348</v>
      </c>
      <c r="BI69" s="16">
        <v>0</v>
      </c>
      <c r="BJ69" s="16">
        <v>0</v>
      </c>
      <c r="BK69" s="16">
        <v>1.3599469138536258</v>
      </c>
      <c r="BL69" s="16">
        <v>25.271527615435122</v>
      </c>
      <c r="BM69" s="16">
        <v>0</v>
      </c>
      <c r="BN69" s="16">
        <v>0</v>
      </c>
      <c r="BO69" s="16">
        <v>3.2044255957095715</v>
      </c>
      <c r="BP69" s="16">
        <v>1.6430285795824762</v>
      </c>
      <c r="BR69" s="16">
        <f>SUM(G69,AB69,AW69)</f>
        <v>67.192304539182359</v>
      </c>
      <c r="BS69" s="16">
        <f t="shared" ref="BS69:CK69" si="22">SUM(H69,AC69,AX69)</f>
        <v>0</v>
      </c>
      <c r="BT69" s="16">
        <f t="shared" si="22"/>
        <v>0</v>
      </c>
      <c r="BU69" s="16">
        <f t="shared" si="22"/>
        <v>0</v>
      </c>
      <c r="BV69" s="16">
        <f t="shared" si="22"/>
        <v>0</v>
      </c>
      <c r="BW69" s="16">
        <f t="shared" si="22"/>
        <v>14.431528040094946</v>
      </c>
      <c r="BX69" s="16">
        <f t="shared" si="22"/>
        <v>103.61263300217905</v>
      </c>
      <c r="BY69" s="16">
        <f t="shared" si="22"/>
        <v>0</v>
      </c>
      <c r="BZ69" s="16">
        <f t="shared" si="22"/>
        <v>0</v>
      </c>
      <c r="CA69" s="16">
        <f t="shared" si="22"/>
        <v>0</v>
      </c>
      <c r="CB69" s="16">
        <f t="shared" si="22"/>
        <v>0</v>
      </c>
      <c r="CC69" s="16">
        <f t="shared" si="22"/>
        <v>6.3678579273777487</v>
      </c>
      <c r="CD69" s="16">
        <f t="shared" si="22"/>
        <v>0</v>
      </c>
      <c r="CE69" s="16">
        <f t="shared" si="22"/>
        <v>0</v>
      </c>
      <c r="CF69" s="16">
        <f t="shared" si="22"/>
        <v>8.2226920118928408</v>
      </c>
      <c r="CG69" s="16">
        <f t="shared" si="22"/>
        <v>57.631421927769978</v>
      </c>
      <c r="CH69" s="16">
        <f t="shared" si="22"/>
        <v>0</v>
      </c>
      <c r="CI69" s="16">
        <f t="shared" si="22"/>
        <v>0</v>
      </c>
      <c r="CJ69" s="16">
        <f t="shared" si="22"/>
        <v>20.363606052762368</v>
      </c>
      <c r="CK69" s="16">
        <f t="shared" si="22"/>
        <v>22.177956498740681</v>
      </c>
      <c r="CL69" s="21">
        <f>SUM(BR69:CK69)</f>
        <v>299.99999999999994</v>
      </c>
    </row>
    <row r="70" spans="1:90" x14ac:dyDescent="0.35">
      <c r="A70" s="1" t="s">
        <v>116</v>
      </c>
      <c r="B70" s="1">
        <v>68</v>
      </c>
      <c r="C70" s="1" t="s">
        <v>119</v>
      </c>
      <c r="D70" s="1" t="s">
        <v>118</v>
      </c>
      <c r="E70" s="3" t="s">
        <v>27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</row>
    <row r="71" spans="1:90" x14ac:dyDescent="0.35">
      <c r="A71" s="1" t="s">
        <v>116</v>
      </c>
      <c r="B71" s="1">
        <v>69</v>
      </c>
      <c r="C71" s="1" t="s">
        <v>120</v>
      </c>
      <c r="D71" s="1" t="s">
        <v>118</v>
      </c>
      <c r="E71" s="3" t="s">
        <v>27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</row>
    <row r="72" spans="1:90" x14ac:dyDescent="0.35">
      <c r="A72" s="1" t="s">
        <v>116</v>
      </c>
      <c r="B72" s="1">
        <v>70</v>
      </c>
      <c r="C72" s="1" t="s">
        <v>121</v>
      </c>
      <c r="D72" s="1" t="s">
        <v>122</v>
      </c>
      <c r="E72" s="3" t="s">
        <v>53</v>
      </c>
      <c r="G72" s="16">
        <v>16.666666666666664</v>
      </c>
      <c r="H72" s="16">
        <v>0</v>
      </c>
      <c r="I72" s="16">
        <v>0</v>
      </c>
      <c r="J72" s="16">
        <v>0</v>
      </c>
      <c r="K72" s="16">
        <v>0</v>
      </c>
      <c r="L72" s="16">
        <v>5.5555555555555554</v>
      </c>
      <c r="M72" s="16">
        <v>16.666666666666664</v>
      </c>
      <c r="N72" s="16">
        <v>0</v>
      </c>
      <c r="O72" s="16">
        <v>0</v>
      </c>
      <c r="P72" s="16">
        <v>11.111111111111111</v>
      </c>
      <c r="Q72" s="16">
        <v>0</v>
      </c>
      <c r="R72" s="16">
        <v>0</v>
      </c>
      <c r="S72" s="16">
        <v>0</v>
      </c>
      <c r="T72" s="16">
        <v>5.5555555555555554</v>
      </c>
      <c r="U72" s="16">
        <v>0</v>
      </c>
      <c r="V72" s="16">
        <v>16.666666666666664</v>
      </c>
      <c r="W72" s="16">
        <v>0</v>
      </c>
      <c r="X72" s="16">
        <v>0</v>
      </c>
      <c r="Y72" s="16">
        <v>11.111111111111111</v>
      </c>
      <c r="Z72" s="16">
        <v>16.666666666666664</v>
      </c>
      <c r="AB72" s="16">
        <v>31.444658944658944</v>
      </c>
      <c r="AC72" s="16">
        <v>0</v>
      </c>
      <c r="AD72" s="16">
        <v>0</v>
      </c>
      <c r="AE72" s="16">
        <v>0</v>
      </c>
      <c r="AF72" s="16">
        <v>0</v>
      </c>
      <c r="AG72" s="16">
        <v>1.6666666666666667</v>
      </c>
      <c r="AH72" s="16">
        <v>33.339768339768341</v>
      </c>
      <c r="AI72" s="16">
        <v>0</v>
      </c>
      <c r="AJ72" s="16">
        <v>0</v>
      </c>
      <c r="AK72" s="16">
        <v>7.9729729729729728</v>
      </c>
      <c r="AL72" s="16">
        <v>0</v>
      </c>
      <c r="AM72" s="16">
        <v>0</v>
      </c>
      <c r="AN72" s="16">
        <v>0</v>
      </c>
      <c r="AO72" s="16">
        <v>1.6666666666666667</v>
      </c>
      <c r="AP72" s="16">
        <v>0</v>
      </c>
      <c r="AQ72" s="16">
        <v>9.658944658944657</v>
      </c>
      <c r="AR72" s="16">
        <v>0</v>
      </c>
      <c r="AS72" s="16">
        <v>0</v>
      </c>
      <c r="AT72" s="16">
        <v>5.1351351351351351</v>
      </c>
      <c r="AU72" s="16">
        <v>9.1151866151866141</v>
      </c>
      <c r="AW72" s="16">
        <v>38.546352515535737</v>
      </c>
      <c r="AX72" s="16">
        <v>0</v>
      </c>
      <c r="AY72" s="16">
        <v>0</v>
      </c>
      <c r="AZ72" s="16">
        <v>0</v>
      </c>
      <c r="BA72" s="16">
        <v>0</v>
      </c>
      <c r="BB72" s="16">
        <v>5.0173403208465883</v>
      </c>
      <c r="BC72" s="16">
        <v>24.994531348220402</v>
      </c>
      <c r="BD72" s="16">
        <v>0</v>
      </c>
      <c r="BE72" s="16">
        <v>0</v>
      </c>
      <c r="BF72" s="16">
        <v>14.479198281591499</v>
      </c>
      <c r="BG72" s="16">
        <v>0</v>
      </c>
      <c r="BH72" s="16">
        <v>0</v>
      </c>
      <c r="BI72" s="16">
        <v>0</v>
      </c>
      <c r="BJ72" s="16">
        <v>0.95410929989720916</v>
      </c>
      <c r="BK72" s="16">
        <v>0</v>
      </c>
      <c r="BL72" s="16">
        <v>7.6718292453934778</v>
      </c>
      <c r="BM72" s="16">
        <v>0</v>
      </c>
      <c r="BN72" s="16">
        <v>0</v>
      </c>
      <c r="BO72" s="16">
        <v>3.5491741268073178</v>
      </c>
      <c r="BP72" s="16">
        <v>4.7874648617077549</v>
      </c>
      <c r="BR72" s="16">
        <f>SUM(G72,AB72,AW72)</f>
        <v>86.657678126861356</v>
      </c>
      <c r="BS72" s="16">
        <f t="shared" ref="BS72:CK72" si="23">SUM(H72,AC72,AX72)</f>
        <v>0</v>
      </c>
      <c r="BT72" s="16">
        <f t="shared" si="23"/>
        <v>0</v>
      </c>
      <c r="BU72" s="16">
        <f t="shared" si="23"/>
        <v>0</v>
      </c>
      <c r="BV72" s="16">
        <f t="shared" si="23"/>
        <v>0</v>
      </c>
      <c r="BW72" s="16">
        <f t="shared" si="23"/>
        <v>12.239562543068811</v>
      </c>
      <c r="BX72" s="16">
        <f t="shared" si="23"/>
        <v>75.000966354655404</v>
      </c>
      <c r="BY72" s="16">
        <f t="shared" si="23"/>
        <v>0</v>
      </c>
      <c r="BZ72" s="16">
        <f t="shared" si="23"/>
        <v>0</v>
      </c>
      <c r="CA72" s="16">
        <f t="shared" si="23"/>
        <v>33.563282365675583</v>
      </c>
      <c r="CB72" s="16">
        <f t="shared" si="23"/>
        <v>0</v>
      </c>
      <c r="CC72" s="16">
        <f t="shared" si="23"/>
        <v>0</v>
      </c>
      <c r="CD72" s="16">
        <f t="shared" si="23"/>
        <v>0</v>
      </c>
      <c r="CE72" s="16">
        <f t="shared" si="23"/>
        <v>8.1763315221194315</v>
      </c>
      <c r="CF72" s="16">
        <f t="shared" si="23"/>
        <v>0</v>
      </c>
      <c r="CG72" s="16">
        <f t="shared" si="23"/>
        <v>33.997440571004795</v>
      </c>
      <c r="CH72" s="16">
        <f t="shared" si="23"/>
        <v>0</v>
      </c>
      <c r="CI72" s="16">
        <f t="shared" si="23"/>
        <v>0</v>
      </c>
      <c r="CJ72" s="16">
        <f t="shared" si="23"/>
        <v>19.795420373053563</v>
      </c>
      <c r="CK72" s="16">
        <f t="shared" si="23"/>
        <v>30.569318143561034</v>
      </c>
      <c r="CL72" s="21">
        <f>SUM(BR72:CK72)</f>
        <v>300</v>
      </c>
    </row>
    <row r="73" spans="1:90" x14ac:dyDescent="0.35">
      <c r="A73" s="1" t="s">
        <v>116</v>
      </c>
      <c r="B73" s="1">
        <v>71</v>
      </c>
      <c r="C73" s="1" t="s">
        <v>123</v>
      </c>
      <c r="D73" s="1" t="s">
        <v>122</v>
      </c>
      <c r="E73" s="3" t="s">
        <v>53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</row>
    <row r="74" spans="1:90" x14ac:dyDescent="0.35">
      <c r="A74" s="1" t="s">
        <v>116</v>
      </c>
      <c r="B74" s="1">
        <v>72</v>
      </c>
      <c r="C74" s="1" t="s">
        <v>124</v>
      </c>
      <c r="D74" s="1" t="s">
        <v>122</v>
      </c>
      <c r="E74" s="3" t="s">
        <v>53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</row>
    <row r="75" spans="1:90" x14ac:dyDescent="0.35">
      <c r="A75" s="1" t="s">
        <v>116</v>
      </c>
      <c r="B75" s="1">
        <v>73</v>
      </c>
      <c r="C75" s="1" t="s">
        <v>125</v>
      </c>
      <c r="D75" s="1" t="s">
        <v>126</v>
      </c>
      <c r="E75" s="3" t="s">
        <v>21</v>
      </c>
      <c r="G75" s="16">
        <v>14.285714285714285</v>
      </c>
      <c r="H75" s="16">
        <v>0</v>
      </c>
      <c r="I75" s="16">
        <v>0</v>
      </c>
      <c r="J75" s="16">
        <v>4.7619047619047619</v>
      </c>
      <c r="K75" s="16">
        <v>14.285714285714285</v>
      </c>
      <c r="L75" s="16">
        <v>4.7619047619047619</v>
      </c>
      <c r="M75" s="16">
        <v>14.285714285714285</v>
      </c>
      <c r="N75" s="16">
        <v>0</v>
      </c>
      <c r="O75" s="16">
        <v>0</v>
      </c>
      <c r="P75" s="16">
        <v>0</v>
      </c>
      <c r="Q75" s="16">
        <v>0</v>
      </c>
      <c r="R75" s="16">
        <v>4.7619047619047619</v>
      </c>
      <c r="S75" s="16">
        <v>0</v>
      </c>
      <c r="T75" s="16">
        <v>4.7619047619047619</v>
      </c>
      <c r="U75" s="16">
        <v>14.285714285714285</v>
      </c>
      <c r="V75" s="16">
        <v>9.5238095238095237</v>
      </c>
      <c r="W75" s="16">
        <v>0</v>
      </c>
      <c r="X75" s="16">
        <v>0</v>
      </c>
      <c r="Y75" s="16">
        <v>4.7619047619047619</v>
      </c>
      <c r="Z75" s="16">
        <v>9.5238095238095237</v>
      </c>
      <c r="AB75" s="16">
        <v>37.157935489129329</v>
      </c>
      <c r="AC75" s="16">
        <v>0</v>
      </c>
      <c r="AD75" s="16">
        <v>0</v>
      </c>
      <c r="AE75" s="16">
        <v>0.81300813008130079</v>
      </c>
      <c r="AF75" s="16">
        <v>4.9870611488069763</v>
      </c>
      <c r="AG75" s="16">
        <v>0.79365079365079361</v>
      </c>
      <c r="AH75" s="16">
        <v>33.838661694887627</v>
      </c>
      <c r="AI75" s="16">
        <v>0</v>
      </c>
      <c r="AJ75" s="16">
        <v>0</v>
      </c>
      <c r="AK75" s="16">
        <v>0</v>
      </c>
      <c r="AL75" s="16">
        <v>0</v>
      </c>
      <c r="AM75" s="16">
        <v>0.81300813008130079</v>
      </c>
      <c r="AN75" s="16">
        <v>0</v>
      </c>
      <c r="AO75" s="16">
        <v>0.58479532163742687</v>
      </c>
      <c r="AP75" s="16">
        <v>8.3705197954235171</v>
      </c>
      <c r="AQ75" s="16">
        <v>7.2783584978706939</v>
      </c>
      <c r="AR75" s="16">
        <v>0</v>
      </c>
      <c r="AS75" s="16">
        <v>0</v>
      </c>
      <c r="AT75" s="16">
        <v>0.58479532163742687</v>
      </c>
      <c r="AU75" s="16">
        <v>4.7782056767936103</v>
      </c>
      <c r="AW75" s="16">
        <v>39.887817676378234</v>
      </c>
      <c r="AX75" s="16">
        <v>0</v>
      </c>
      <c r="AY75" s="16">
        <v>0</v>
      </c>
      <c r="AZ75" s="16">
        <v>0.54426044780757943</v>
      </c>
      <c r="BA75" s="16">
        <v>3.9681975021272913</v>
      </c>
      <c r="BB75" s="16">
        <v>1.1813895420504541</v>
      </c>
      <c r="BC75" s="16">
        <v>35.679273801916388</v>
      </c>
      <c r="BD75" s="16">
        <v>0</v>
      </c>
      <c r="BE75" s="16">
        <v>0</v>
      </c>
      <c r="BF75" s="16">
        <v>0</v>
      </c>
      <c r="BG75" s="16">
        <v>0</v>
      </c>
      <c r="BH75" s="16">
        <v>0.20500620562576566</v>
      </c>
      <c r="BI75" s="16">
        <v>0</v>
      </c>
      <c r="BJ75" s="16">
        <v>0.90929209958239943</v>
      </c>
      <c r="BK75" s="16">
        <v>7.0749837157227704</v>
      </c>
      <c r="BL75" s="16">
        <v>7.9780303470590406</v>
      </c>
      <c r="BM75" s="16">
        <v>0</v>
      </c>
      <c r="BN75" s="16">
        <v>0</v>
      </c>
      <c r="BO75" s="16">
        <v>0.20911167381808862</v>
      </c>
      <c r="BP75" s="16">
        <v>2.3626369879119893</v>
      </c>
      <c r="BR75" s="16">
        <f>SUM(G75,AB75,AW75)</f>
        <v>91.33146745122184</v>
      </c>
      <c r="BS75" s="16">
        <f t="shared" ref="BS75:CK75" si="24">SUM(H75,AC75,AX75)</f>
        <v>0</v>
      </c>
      <c r="BT75" s="16">
        <f t="shared" si="24"/>
        <v>0</v>
      </c>
      <c r="BU75" s="16">
        <f t="shared" si="24"/>
        <v>6.1191733397936421</v>
      </c>
      <c r="BV75" s="16">
        <f t="shared" si="24"/>
        <v>23.240972936648554</v>
      </c>
      <c r="BW75" s="16">
        <f t="shared" si="24"/>
        <v>6.736945097606009</v>
      </c>
      <c r="BX75" s="16">
        <f t="shared" si="24"/>
        <v>83.803649782518306</v>
      </c>
      <c r="BY75" s="16">
        <f t="shared" si="24"/>
        <v>0</v>
      </c>
      <c r="BZ75" s="16">
        <f t="shared" si="24"/>
        <v>0</v>
      </c>
      <c r="CA75" s="16">
        <f t="shared" si="24"/>
        <v>0</v>
      </c>
      <c r="CB75" s="16">
        <f t="shared" si="24"/>
        <v>0</v>
      </c>
      <c r="CC75" s="16">
        <f t="shared" si="24"/>
        <v>5.7799190976118284</v>
      </c>
      <c r="CD75" s="16">
        <f t="shared" si="24"/>
        <v>0</v>
      </c>
      <c r="CE75" s="16">
        <f t="shared" si="24"/>
        <v>6.2559921831245884</v>
      </c>
      <c r="CF75" s="16">
        <f t="shared" si="24"/>
        <v>29.731217796860573</v>
      </c>
      <c r="CG75" s="16">
        <f t="shared" si="24"/>
        <v>24.780198368739256</v>
      </c>
      <c r="CH75" s="16">
        <f t="shared" si="24"/>
        <v>0</v>
      </c>
      <c r="CI75" s="16">
        <f t="shared" si="24"/>
        <v>0</v>
      </c>
      <c r="CJ75" s="16">
        <f t="shared" si="24"/>
        <v>5.555811757360277</v>
      </c>
      <c r="CK75" s="16">
        <f t="shared" si="24"/>
        <v>16.664652188515124</v>
      </c>
      <c r="CL75" s="21">
        <f>SUM(BR75:CK75)</f>
        <v>300</v>
      </c>
    </row>
    <row r="76" spans="1:90" x14ac:dyDescent="0.35">
      <c r="A76" s="1" t="s">
        <v>116</v>
      </c>
      <c r="B76" s="1">
        <v>74</v>
      </c>
      <c r="C76" s="1" t="s">
        <v>127</v>
      </c>
      <c r="D76" s="1" t="s">
        <v>126</v>
      </c>
      <c r="E76" s="3" t="s">
        <v>21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</row>
    <row r="77" spans="1:90" x14ac:dyDescent="0.35">
      <c r="A77" s="1" t="s">
        <v>116</v>
      </c>
      <c r="B77" s="1">
        <v>75</v>
      </c>
      <c r="C77" s="1" t="s">
        <v>128</v>
      </c>
      <c r="D77" s="1" t="s">
        <v>126</v>
      </c>
      <c r="E77" s="3" t="s">
        <v>21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</row>
    <row r="78" spans="1:90" x14ac:dyDescent="0.35">
      <c r="A78" s="1" t="s">
        <v>116</v>
      </c>
      <c r="B78" s="1">
        <v>76</v>
      </c>
      <c r="C78" s="1" t="s">
        <v>129</v>
      </c>
      <c r="D78" s="1" t="s">
        <v>130</v>
      </c>
      <c r="E78" s="3" t="s">
        <v>53</v>
      </c>
      <c r="G78" s="16">
        <v>20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20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6.666666666666667</v>
      </c>
      <c r="U78" s="16">
        <v>0</v>
      </c>
      <c r="V78" s="16">
        <v>13.333333333333334</v>
      </c>
      <c r="W78" s="16">
        <v>0</v>
      </c>
      <c r="X78" s="16">
        <v>0</v>
      </c>
      <c r="Y78" s="16">
        <v>20</v>
      </c>
      <c r="Z78" s="16">
        <v>20</v>
      </c>
      <c r="AB78" s="16">
        <v>36.157731157731156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42.280497280497279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0.60606060606060608</v>
      </c>
      <c r="AP78" s="16">
        <v>0</v>
      </c>
      <c r="AQ78" s="16">
        <v>2.6612276612276613</v>
      </c>
      <c r="AR78" s="16">
        <v>0</v>
      </c>
      <c r="AS78" s="16">
        <v>0</v>
      </c>
      <c r="AT78" s="16">
        <v>8.9665889665889669</v>
      </c>
      <c r="AU78" s="16">
        <v>9.3278943278943274</v>
      </c>
      <c r="AW78" s="16">
        <v>54.495815453420384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31.017013093454789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0.11055579412866502</v>
      </c>
      <c r="BK78" s="16">
        <v>0</v>
      </c>
      <c r="BL78" s="16">
        <v>3.7626123165302405</v>
      </c>
      <c r="BM78" s="16">
        <v>0</v>
      </c>
      <c r="BN78" s="16">
        <v>0</v>
      </c>
      <c r="BO78" s="16">
        <v>8.4082323552391269</v>
      </c>
      <c r="BP78" s="16">
        <v>2.2057709872267948</v>
      </c>
      <c r="BR78" s="16">
        <f>SUM(G78,AB78,AW78)</f>
        <v>110.65354661115154</v>
      </c>
      <c r="BS78" s="16">
        <f t="shared" ref="BS78:CK78" si="25">SUM(H78,AC78,AX78)</f>
        <v>0</v>
      </c>
      <c r="BT78" s="16">
        <f t="shared" si="25"/>
        <v>0</v>
      </c>
      <c r="BU78" s="16">
        <f t="shared" si="25"/>
        <v>0</v>
      </c>
      <c r="BV78" s="16">
        <f t="shared" si="25"/>
        <v>0</v>
      </c>
      <c r="BW78" s="16">
        <f t="shared" si="25"/>
        <v>0</v>
      </c>
      <c r="BX78" s="16">
        <f t="shared" si="25"/>
        <v>93.297510373952065</v>
      </c>
      <c r="BY78" s="16">
        <f t="shared" si="25"/>
        <v>0</v>
      </c>
      <c r="BZ78" s="16">
        <f t="shared" si="25"/>
        <v>0</v>
      </c>
      <c r="CA78" s="16">
        <f t="shared" si="25"/>
        <v>0</v>
      </c>
      <c r="CB78" s="16">
        <f t="shared" si="25"/>
        <v>0</v>
      </c>
      <c r="CC78" s="16">
        <f t="shared" si="25"/>
        <v>0</v>
      </c>
      <c r="CD78" s="16">
        <f t="shared" si="25"/>
        <v>0</v>
      </c>
      <c r="CE78" s="16">
        <f t="shared" si="25"/>
        <v>7.3832830668559382</v>
      </c>
      <c r="CF78" s="16">
        <f t="shared" si="25"/>
        <v>0</v>
      </c>
      <c r="CG78" s="16">
        <f t="shared" si="25"/>
        <v>19.757173311091236</v>
      </c>
      <c r="CH78" s="16">
        <f t="shared" si="25"/>
        <v>0</v>
      </c>
      <c r="CI78" s="16">
        <f t="shared" si="25"/>
        <v>0</v>
      </c>
      <c r="CJ78" s="16">
        <f t="shared" si="25"/>
        <v>37.374821321828094</v>
      </c>
      <c r="CK78" s="16">
        <f t="shared" si="25"/>
        <v>31.533665315121123</v>
      </c>
      <c r="CL78" s="21">
        <f>SUM(BR78:CK78)</f>
        <v>300</v>
      </c>
    </row>
    <row r="79" spans="1:90" x14ac:dyDescent="0.35">
      <c r="A79" s="1" t="s">
        <v>116</v>
      </c>
      <c r="B79" s="1">
        <v>77</v>
      </c>
      <c r="C79" s="1" t="s">
        <v>131</v>
      </c>
      <c r="D79" s="1" t="s">
        <v>130</v>
      </c>
      <c r="E79" s="3" t="s">
        <v>53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</row>
    <row r="80" spans="1:90" x14ac:dyDescent="0.35">
      <c r="A80" s="1" t="s">
        <v>116</v>
      </c>
      <c r="B80" s="1">
        <v>78</v>
      </c>
      <c r="C80" s="1" t="s">
        <v>132</v>
      </c>
      <c r="D80" s="1" t="s">
        <v>130</v>
      </c>
      <c r="E80" s="3" t="s">
        <v>53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</row>
    <row r="81" spans="1:90" x14ac:dyDescent="0.35">
      <c r="A81" s="1" t="s">
        <v>116</v>
      </c>
      <c r="B81" s="1">
        <v>79</v>
      </c>
      <c r="C81" s="1" t="s">
        <v>133</v>
      </c>
      <c r="D81" s="1" t="s">
        <v>134</v>
      </c>
      <c r="E81" s="3" t="s">
        <v>27</v>
      </c>
      <c r="G81" s="16">
        <v>14.285714285714285</v>
      </c>
      <c r="H81" s="16">
        <v>0</v>
      </c>
      <c r="I81" s="16">
        <v>4.7619047619047619</v>
      </c>
      <c r="J81" s="16">
        <v>4.7619047619047619</v>
      </c>
      <c r="K81" s="16">
        <v>14.285714285714285</v>
      </c>
      <c r="L81" s="16">
        <v>0</v>
      </c>
      <c r="M81" s="16">
        <v>14.285714285714285</v>
      </c>
      <c r="N81" s="16">
        <v>4.7619047619047619</v>
      </c>
      <c r="O81" s="16">
        <v>0</v>
      </c>
      <c r="P81" s="16">
        <v>0</v>
      </c>
      <c r="Q81" s="16">
        <v>4.7619047619047619</v>
      </c>
      <c r="R81" s="16">
        <v>0</v>
      </c>
      <c r="S81" s="16">
        <v>0</v>
      </c>
      <c r="T81" s="16">
        <v>0</v>
      </c>
      <c r="U81" s="16">
        <v>9.5238095238095237</v>
      </c>
      <c r="V81" s="16">
        <v>14.285714285714285</v>
      </c>
      <c r="W81" s="16">
        <v>0</v>
      </c>
      <c r="X81" s="16">
        <v>0</v>
      </c>
      <c r="Y81" s="16">
        <v>9.5238095238095237</v>
      </c>
      <c r="Z81" s="16">
        <v>4.7619047619047619</v>
      </c>
      <c r="AB81" s="16">
        <v>32.147435897435891</v>
      </c>
      <c r="AC81" s="16">
        <v>0</v>
      </c>
      <c r="AD81" s="16">
        <v>0.69444444444444431</v>
      </c>
      <c r="AE81" s="16">
        <v>0.83333333333333337</v>
      </c>
      <c r="AF81" s="16">
        <v>5.5982905982905988</v>
      </c>
      <c r="AG81" s="16">
        <v>0</v>
      </c>
      <c r="AH81" s="16">
        <v>15.149572649572649</v>
      </c>
      <c r="AI81" s="16">
        <v>0.83333333333333337</v>
      </c>
      <c r="AJ81" s="16">
        <v>0</v>
      </c>
      <c r="AK81" s="16">
        <v>0</v>
      </c>
      <c r="AL81" s="16">
        <v>0.85470085470085466</v>
      </c>
      <c r="AM81" s="16">
        <v>0</v>
      </c>
      <c r="AN81" s="16">
        <v>0</v>
      </c>
      <c r="AO81" s="16">
        <v>0</v>
      </c>
      <c r="AP81" s="16">
        <v>7.083333333333333</v>
      </c>
      <c r="AQ81" s="16">
        <v>17.542735042735043</v>
      </c>
      <c r="AR81" s="16">
        <v>0</v>
      </c>
      <c r="AS81" s="16">
        <v>0</v>
      </c>
      <c r="AT81" s="16">
        <v>18.568376068376068</v>
      </c>
      <c r="AU81" s="16">
        <v>0.69444444444444431</v>
      </c>
      <c r="AW81" s="16">
        <v>22.873820473442311</v>
      </c>
      <c r="AX81" s="16">
        <v>0</v>
      </c>
      <c r="AY81" s="16">
        <v>0.4219280107864119</v>
      </c>
      <c r="AZ81" s="16">
        <v>0.12802283920997931</v>
      </c>
      <c r="BA81" s="16">
        <v>3.0024551837252269</v>
      </c>
      <c r="BB81" s="16">
        <v>0</v>
      </c>
      <c r="BC81" s="16">
        <v>17.54756484914753</v>
      </c>
      <c r="BD81" s="16">
        <v>0.99126946957292095</v>
      </c>
      <c r="BE81" s="16">
        <v>0</v>
      </c>
      <c r="BF81" s="16">
        <v>0</v>
      </c>
      <c r="BG81" s="16">
        <v>3.7130737828418852</v>
      </c>
      <c r="BH81" s="16">
        <v>0</v>
      </c>
      <c r="BI81" s="16">
        <v>0</v>
      </c>
      <c r="BJ81" s="16">
        <v>0</v>
      </c>
      <c r="BK81" s="16">
        <v>5.7709270956141907</v>
      </c>
      <c r="BL81" s="16">
        <v>24.925985765331617</v>
      </c>
      <c r="BM81" s="16">
        <v>0</v>
      </c>
      <c r="BN81" s="16">
        <v>0</v>
      </c>
      <c r="BO81" s="16">
        <v>20.470494878473058</v>
      </c>
      <c r="BP81" s="16">
        <v>0.15445765185486615</v>
      </c>
      <c r="BR81" s="16">
        <f>SUM(G81,AB81,AW81)</f>
        <v>69.306970656592483</v>
      </c>
      <c r="BS81" s="16">
        <f t="shared" ref="BS81:CK81" si="26">SUM(H81,AC81,AX81)</f>
        <v>0</v>
      </c>
      <c r="BT81" s="16">
        <f t="shared" si="26"/>
        <v>5.8782772171356186</v>
      </c>
      <c r="BU81" s="16">
        <f t="shared" si="26"/>
        <v>5.7232609344480743</v>
      </c>
      <c r="BV81" s="16">
        <f t="shared" si="26"/>
        <v>22.886460067730113</v>
      </c>
      <c r="BW81" s="16">
        <f t="shared" si="26"/>
        <v>0</v>
      </c>
      <c r="BX81" s="16">
        <f t="shared" si="26"/>
        <v>46.982851784434459</v>
      </c>
      <c r="BY81" s="16">
        <f t="shared" si="26"/>
        <v>6.5865075648110158</v>
      </c>
      <c r="BZ81" s="16">
        <f t="shared" si="26"/>
        <v>0</v>
      </c>
      <c r="CA81" s="16">
        <f t="shared" si="26"/>
        <v>0</v>
      </c>
      <c r="CB81" s="16">
        <f t="shared" si="26"/>
        <v>9.3296793994475014</v>
      </c>
      <c r="CC81" s="16">
        <f t="shared" si="26"/>
        <v>0</v>
      </c>
      <c r="CD81" s="16">
        <f t="shared" si="26"/>
        <v>0</v>
      </c>
      <c r="CE81" s="16">
        <f t="shared" si="26"/>
        <v>0</v>
      </c>
      <c r="CF81" s="16">
        <f t="shared" si="26"/>
        <v>22.378069952757048</v>
      </c>
      <c r="CG81" s="16">
        <f t="shared" si="26"/>
        <v>56.754435093780941</v>
      </c>
      <c r="CH81" s="16">
        <f t="shared" si="26"/>
        <v>0</v>
      </c>
      <c r="CI81" s="16">
        <f t="shared" si="26"/>
        <v>0</v>
      </c>
      <c r="CJ81" s="16">
        <f t="shared" si="26"/>
        <v>48.562680470658648</v>
      </c>
      <c r="CK81" s="16">
        <f t="shared" si="26"/>
        <v>5.6108068582040724</v>
      </c>
      <c r="CL81" s="21">
        <f>SUM(BR81:CK81)</f>
        <v>299.99999999999994</v>
      </c>
    </row>
    <row r="82" spans="1:90" x14ac:dyDescent="0.35">
      <c r="A82" s="1" t="s">
        <v>116</v>
      </c>
      <c r="B82" s="1">
        <v>80</v>
      </c>
      <c r="C82" s="1" t="s">
        <v>135</v>
      </c>
      <c r="D82" s="1" t="s">
        <v>134</v>
      </c>
      <c r="E82" s="3" t="s">
        <v>27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</row>
    <row r="83" spans="1:90" x14ac:dyDescent="0.35">
      <c r="A83" s="1" t="s">
        <v>116</v>
      </c>
      <c r="B83" s="1">
        <v>81</v>
      </c>
      <c r="C83" s="1" t="s">
        <v>136</v>
      </c>
      <c r="D83" s="1" t="s">
        <v>134</v>
      </c>
      <c r="E83" s="3" t="s">
        <v>27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</row>
    <row r="84" spans="1:90" x14ac:dyDescent="0.35">
      <c r="A84" s="1" t="s">
        <v>61</v>
      </c>
      <c r="B84" s="1">
        <v>82</v>
      </c>
      <c r="C84" s="1" t="s">
        <v>137</v>
      </c>
      <c r="D84" s="1" t="s">
        <v>138</v>
      </c>
      <c r="E84" s="3" t="s">
        <v>21</v>
      </c>
      <c r="G84" s="16">
        <v>15.789473684210527</v>
      </c>
      <c r="H84" s="16">
        <v>0</v>
      </c>
      <c r="I84" s="16">
        <v>0</v>
      </c>
      <c r="J84" s="16">
        <v>0</v>
      </c>
      <c r="K84" s="16">
        <v>10.526315789473683</v>
      </c>
      <c r="L84" s="16">
        <v>0</v>
      </c>
      <c r="M84" s="16">
        <v>15.789473684210527</v>
      </c>
      <c r="N84" s="16">
        <v>0</v>
      </c>
      <c r="O84" s="16">
        <v>0</v>
      </c>
      <c r="P84" s="16">
        <v>0</v>
      </c>
      <c r="Q84" s="16">
        <v>5.2631578947368416</v>
      </c>
      <c r="R84" s="16">
        <v>10.526315789473683</v>
      </c>
      <c r="S84" s="16">
        <v>0</v>
      </c>
      <c r="T84" s="16">
        <v>0</v>
      </c>
      <c r="U84" s="16">
        <v>5.2631578947368416</v>
      </c>
      <c r="V84" s="16">
        <v>15.789473684210527</v>
      </c>
      <c r="W84" s="16">
        <v>0</v>
      </c>
      <c r="X84" s="16">
        <v>0</v>
      </c>
      <c r="Y84" s="16">
        <v>15.789473684210527</v>
      </c>
      <c r="Z84" s="16">
        <v>5.2631578947368416</v>
      </c>
      <c r="AB84" s="16">
        <v>38.904450669156546</v>
      </c>
      <c r="AC84" s="16">
        <v>0</v>
      </c>
      <c r="AD84" s="16">
        <v>0</v>
      </c>
      <c r="AE84" s="16">
        <v>0</v>
      </c>
      <c r="AF84" s="16">
        <v>5.8278867102396523</v>
      </c>
      <c r="AG84" s="16">
        <v>0</v>
      </c>
      <c r="AH84" s="16">
        <v>15.21942110177404</v>
      </c>
      <c r="AI84" s="16">
        <v>0</v>
      </c>
      <c r="AJ84" s="16">
        <v>0</v>
      </c>
      <c r="AK84" s="16">
        <v>0</v>
      </c>
      <c r="AL84" s="16">
        <v>4.9019607843137258</v>
      </c>
      <c r="AM84" s="16">
        <v>3.5714285714285712</v>
      </c>
      <c r="AN84" s="16">
        <v>0</v>
      </c>
      <c r="AO84" s="16">
        <v>0</v>
      </c>
      <c r="AP84" s="16">
        <v>0.79365079365079361</v>
      </c>
      <c r="AQ84" s="16">
        <v>21.677559912854026</v>
      </c>
      <c r="AR84" s="16">
        <v>0</v>
      </c>
      <c r="AS84" s="16">
        <v>0</v>
      </c>
      <c r="AT84" s="16">
        <v>8.3099906629318383</v>
      </c>
      <c r="AU84" s="16">
        <v>0.79365079365079361</v>
      </c>
      <c r="AW84" s="16">
        <v>12.352438703022925</v>
      </c>
      <c r="AX84" s="16">
        <v>0</v>
      </c>
      <c r="AY84" s="16">
        <v>0</v>
      </c>
      <c r="AZ84" s="16">
        <v>0</v>
      </c>
      <c r="BA84" s="16">
        <v>7.3838033911835232</v>
      </c>
      <c r="BB84" s="16">
        <v>0</v>
      </c>
      <c r="BC84" s="16">
        <v>18.54234558276794</v>
      </c>
      <c r="BD84" s="16">
        <v>0</v>
      </c>
      <c r="BE84" s="16">
        <v>0</v>
      </c>
      <c r="BF84" s="16">
        <v>0</v>
      </c>
      <c r="BG84" s="16">
        <v>0.84728721803081031</v>
      </c>
      <c r="BH84" s="16">
        <v>0.61974756073175163</v>
      </c>
      <c r="BI84" s="16">
        <v>0</v>
      </c>
      <c r="BJ84" s="16">
        <v>0</v>
      </c>
      <c r="BK84" s="16">
        <v>1.2099785262503244</v>
      </c>
      <c r="BL84" s="16">
        <v>52.392636638272769</v>
      </c>
      <c r="BM84" s="16">
        <v>0</v>
      </c>
      <c r="BN84" s="16">
        <v>0</v>
      </c>
      <c r="BO84" s="16">
        <v>6.5092025043641941</v>
      </c>
      <c r="BP84" s="16">
        <v>0.1425598753757536</v>
      </c>
      <c r="BR84" s="16">
        <f>SUM(G84,AB84,AW84)</f>
        <v>67.046363056389993</v>
      </c>
      <c r="BS84" s="16">
        <f t="shared" ref="BS84:CK84" si="27">SUM(H84,AC84,AX84)</f>
        <v>0</v>
      </c>
      <c r="BT84" s="16">
        <f t="shared" si="27"/>
        <v>0</v>
      </c>
      <c r="BU84" s="16">
        <f t="shared" si="27"/>
        <v>0</v>
      </c>
      <c r="BV84" s="16">
        <f t="shared" si="27"/>
        <v>23.738005890896858</v>
      </c>
      <c r="BW84" s="16">
        <f t="shared" si="27"/>
        <v>0</v>
      </c>
      <c r="BX84" s="16">
        <f t="shared" si="27"/>
        <v>49.551240368752502</v>
      </c>
      <c r="BY84" s="16">
        <f t="shared" si="27"/>
        <v>0</v>
      </c>
      <c r="BZ84" s="16">
        <f t="shared" si="27"/>
        <v>0</v>
      </c>
      <c r="CA84" s="16">
        <f t="shared" si="27"/>
        <v>0</v>
      </c>
      <c r="CB84" s="16">
        <f t="shared" si="27"/>
        <v>11.012405897081379</v>
      </c>
      <c r="CC84" s="16">
        <f t="shared" si="27"/>
        <v>14.717491921634005</v>
      </c>
      <c r="CD84" s="16">
        <f t="shared" si="27"/>
        <v>0</v>
      </c>
      <c r="CE84" s="16">
        <f t="shared" si="27"/>
        <v>0</v>
      </c>
      <c r="CF84" s="16">
        <f t="shared" si="27"/>
        <v>7.2667872146379597</v>
      </c>
      <c r="CG84" s="16">
        <f t="shared" si="27"/>
        <v>89.859670235337319</v>
      </c>
      <c r="CH84" s="16">
        <f t="shared" si="27"/>
        <v>0</v>
      </c>
      <c r="CI84" s="16">
        <f t="shared" si="27"/>
        <v>0</v>
      </c>
      <c r="CJ84" s="16">
        <f t="shared" si="27"/>
        <v>30.608666851506559</v>
      </c>
      <c r="CK84" s="16">
        <f t="shared" si="27"/>
        <v>6.1993685637633886</v>
      </c>
      <c r="CL84" s="21">
        <f>SUM(BR84:CK84)</f>
        <v>300</v>
      </c>
    </row>
    <row r="85" spans="1:90" x14ac:dyDescent="0.35">
      <c r="A85" s="1" t="s">
        <v>61</v>
      </c>
      <c r="B85" s="1">
        <v>83</v>
      </c>
      <c r="C85" s="1" t="s">
        <v>139</v>
      </c>
      <c r="D85" s="1" t="s">
        <v>138</v>
      </c>
      <c r="E85" s="3" t="s">
        <v>21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</row>
    <row r="86" spans="1:90" x14ac:dyDescent="0.35">
      <c r="A86" s="1" t="s">
        <v>61</v>
      </c>
      <c r="B86" s="1">
        <v>84</v>
      </c>
      <c r="C86" s="1" t="s">
        <v>140</v>
      </c>
      <c r="D86" s="1" t="s">
        <v>138</v>
      </c>
      <c r="E86" s="3" t="s">
        <v>21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</row>
    <row r="87" spans="1:90" x14ac:dyDescent="0.35">
      <c r="A87" s="1" t="s">
        <v>61</v>
      </c>
      <c r="B87" s="1">
        <v>85</v>
      </c>
      <c r="C87" s="1" t="s">
        <v>141</v>
      </c>
      <c r="D87" s="1" t="s">
        <v>142</v>
      </c>
      <c r="E87" s="3" t="s">
        <v>27</v>
      </c>
      <c r="G87" s="16">
        <v>12</v>
      </c>
      <c r="H87" s="16">
        <v>3.9999999999999996</v>
      </c>
      <c r="I87" s="16">
        <v>0</v>
      </c>
      <c r="J87" s="16">
        <v>3.9999999999999996</v>
      </c>
      <c r="K87" s="16">
        <v>3.9999999999999996</v>
      </c>
      <c r="L87" s="16">
        <v>3.9999999999999996</v>
      </c>
      <c r="M87" s="16">
        <v>12</v>
      </c>
      <c r="N87" s="16">
        <v>3.9999999999999996</v>
      </c>
      <c r="O87" s="16">
        <v>3.9999999999999996</v>
      </c>
      <c r="P87" s="16">
        <v>0</v>
      </c>
      <c r="Q87" s="16">
        <v>3.9999999999999996</v>
      </c>
      <c r="R87" s="16">
        <v>0</v>
      </c>
      <c r="S87" s="16">
        <v>0</v>
      </c>
      <c r="T87" s="16">
        <v>12</v>
      </c>
      <c r="U87" s="16">
        <v>12</v>
      </c>
      <c r="V87" s="16">
        <v>12</v>
      </c>
      <c r="W87" s="16">
        <v>0</v>
      </c>
      <c r="X87" s="16">
        <v>0</v>
      </c>
      <c r="Y87" s="16">
        <v>7.9999999999999991</v>
      </c>
      <c r="Z87" s="16">
        <v>3.9999999999999996</v>
      </c>
      <c r="AB87" s="16">
        <v>16.005291005291003</v>
      </c>
      <c r="AC87" s="16">
        <v>2.0408163265306123</v>
      </c>
      <c r="AD87" s="16">
        <v>0</v>
      </c>
      <c r="AE87" s="16">
        <v>0.61728395061728392</v>
      </c>
      <c r="AF87" s="16">
        <v>2.4691358024691357</v>
      </c>
      <c r="AG87" s="16">
        <v>0.61728395061728392</v>
      </c>
      <c r="AH87" s="16">
        <v>20.005039052658102</v>
      </c>
      <c r="AI87" s="16">
        <v>0.92592592592592593</v>
      </c>
      <c r="AJ87" s="16">
        <v>0.68027210884353739</v>
      </c>
      <c r="AK87" s="16">
        <v>0</v>
      </c>
      <c r="AL87" s="16">
        <v>1.2345679012345678</v>
      </c>
      <c r="AM87" s="16">
        <v>0</v>
      </c>
      <c r="AN87" s="16">
        <v>0</v>
      </c>
      <c r="AO87" s="16">
        <v>11.117409926933737</v>
      </c>
      <c r="AP87" s="16">
        <v>14.89040060468632</v>
      </c>
      <c r="AQ87" s="16">
        <v>13.838498362307886</v>
      </c>
      <c r="AR87" s="16">
        <v>0</v>
      </c>
      <c r="AS87" s="16">
        <v>0</v>
      </c>
      <c r="AT87" s="16">
        <v>14.197530864197532</v>
      </c>
      <c r="AU87" s="16">
        <v>1.3605442176870748</v>
      </c>
      <c r="AW87" s="16">
        <v>11.830921519050667</v>
      </c>
      <c r="AX87" s="16">
        <v>0.72241088519762575</v>
      </c>
      <c r="AY87" s="16">
        <v>0</v>
      </c>
      <c r="AZ87" s="16">
        <v>0.27346419548370321</v>
      </c>
      <c r="BA87" s="16">
        <v>2.1855053618332536</v>
      </c>
      <c r="BB87" s="16">
        <v>1.1366093945565316</v>
      </c>
      <c r="BC87" s="16">
        <v>20.488476906480969</v>
      </c>
      <c r="BD87" s="16">
        <v>0.36331233428404114</v>
      </c>
      <c r="BE87" s="16">
        <v>0.55990207718753371</v>
      </c>
      <c r="BF87" s="16">
        <v>0</v>
      </c>
      <c r="BG87" s="16">
        <v>0.44024036165341057</v>
      </c>
      <c r="BH87" s="16">
        <v>0</v>
      </c>
      <c r="BI87" s="16">
        <v>0</v>
      </c>
      <c r="BJ87" s="16">
        <v>17.182489724837684</v>
      </c>
      <c r="BK87" s="16">
        <v>13.459158545482815</v>
      </c>
      <c r="BL87" s="16">
        <v>20.462644621985589</v>
      </c>
      <c r="BM87" s="16">
        <v>0</v>
      </c>
      <c r="BN87" s="16">
        <v>0</v>
      </c>
      <c r="BO87" s="16">
        <v>10.138887484200907</v>
      </c>
      <c r="BP87" s="16">
        <v>0.75597658776525734</v>
      </c>
      <c r="BR87" s="16">
        <f>SUM(G87,AB87,AW87)</f>
        <v>39.836212524341668</v>
      </c>
      <c r="BS87" s="16">
        <f t="shared" ref="BS87:CK87" si="28">SUM(H87,AC87,AX87)</f>
        <v>6.7632272117282373</v>
      </c>
      <c r="BT87" s="16">
        <f t="shared" si="28"/>
        <v>0</v>
      </c>
      <c r="BU87" s="16">
        <f t="shared" si="28"/>
        <v>4.8907481461009867</v>
      </c>
      <c r="BV87" s="16">
        <f t="shared" si="28"/>
        <v>8.6546411643023884</v>
      </c>
      <c r="BW87" s="16">
        <f t="shared" si="28"/>
        <v>5.7538933451738146</v>
      </c>
      <c r="BX87" s="16">
        <f t="shared" si="28"/>
        <v>52.493515959139074</v>
      </c>
      <c r="BY87" s="16">
        <f t="shared" si="28"/>
        <v>5.2892382602099666</v>
      </c>
      <c r="BZ87" s="16">
        <f t="shared" si="28"/>
        <v>5.2401741860310711</v>
      </c>
      <c r="CA87" s="16">
        <f t="shared" si="28"/>
        <v>0</v>
      </c>
      <c r="CB87" s="16">
        <f t="shared" si="28"/>
        <v>5.6748082628879777</v>
      </c>
      <c r="CC87" s="16">
        <f t="shared" si="28"/>
        <v>0</v>
      </c>
      <c r="CD87" s="16">
        <f t="shared" si="28"/>
        <v>0</v>
      </c>
      <c r="CE87" s="16">
        <f t="shared" si="28"/>
        <v>40.299899651771426</v>
      </c>
      <c r="CF87" s="16">
        <f t="shared" si="28"/>
        <v>40.349559150169135</v>
      </c>
      <c r="CG87" s="16">
        <f t="shared" si="28"/>
        <v>46.301142984293477</v>
      </c>
      <c r="CH87" s="16">
        <f t="shared" si="28"/>
        <v>0</v>
      </c>
      <c r="CI87" s="16">
        <f t="shared" si="28"/>
        <v>0</v>
      </c>
      <c r="CJ87" s="16">
        <f t="shared" si="28"/>
        <v>32.336418348398439</v>
      </c>
      <c r="CK87" s="16">
        <f t="shared" si="28"/>
        <v>6.1165208054523319</v>
      </c>
      <c r="CL87" s="21">
        <f>SUM(BR87:CK87)</f>
        <v>300.00000000000006</v>
      </c>
    </row>
    <row r="88" spans="1:90" x14ac:dyDescent="0.35">
      <c r="A88" s="1" t="s">
        <v>61</v>
      </c>
      <c r="B88" s="1">
        <v>86</v>
      </c>
      <c r="C88" s="1" t="s">
        <v>143</v>
      </c>
      <c r="D88" s="1" t="s">
        <v>142</v>
      </c>
      <c r="E88" s="3" t="s">
        <v>27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</row>
    <row r="89" spans="1:90" x14ac:dyDescent="0.35">
      <c r="A89" s="1" t="s">
        <v>61</v>
      </c>
      <c r="B89" s="1">
        <v>87</v>
      </c>
      <c r="C89" s="1" t="s">
        <v>144</v>
      </c>
      <c r="D89" s="1" t="s">
        <v>142</v>
      </c>
      <c r="E89" s="3" t="s">
        <v>27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</row>
    <row r="90" spans="1:90" x14ac:dyDescent="0.35">
      <c r="A90" s="1" t="s">
        <v>61</v>
      </c>
      <c r="B90" s="1">
        <v>88</v>
      </c>
      <c r="C90" s="1" t="s">
        <v>145</v>
      </c>
      <c r="D90" s="1" t="s">
        <v>146</v>
      </c>
      <c r="E90" s="3" t="s">
        <v>21</v>
      </c>
      <c r="G90" s="16">
        <v>15.789473684210527</v>
      </c>
      <c r="H90" s="16">
        <v>0</v>
      </c>
      <c r="I90" s="16">
        <v>0</v>
      </c>
      <c r="J90" s="16">
        <v>0</v>
      </c>
      <c r="K90" s="16">
        <v>10.526315789473683</v>
      </c>
      <c r="L90" s="16">
        <v>15.789473684210527</v>
      </c>
      <c r="M90" s="16">
        <v>15.789473684210527</v>
      </c>
      <c r="N90" s="16">
        <v>0</v>
      </c>
      <c r="O90" s="16">
        <v>0</v>
      </c>
      <c r="P90" s="16">
        <v>0</v>
      </c>
      <c r="Q90" s="16">
        <v>0</v>
      </c>
      <c r="R90" s="16">
        <v>5.2631578947368416</v>
      </c>
      <c r="S90" s="16">
        <v>0</v>
      </c>
      <c r="T90" s="16">
        <v>0</v>
      </c>
      <c r="U90" s="16">
        <v>10.526315789473683</v>
      </c>
      <c r="V90" s="16">
        <v>15.789473684210527</v>
      </c>
      <c r="W90" s="16">
        <v>0</v>
      </c>
      <c r="X90" s="16">
        <v>5.2631578947368416</v>
      </c>
      <c r="Y90" s="16">
        <v>5.2631578947368416</v>
      </c>
      <c r="Z90" s="16">
        <v>0</v>
      </c>
      <c r="AB90" s="16">
        <v>15.665848280251879</v>
      </c>
      <c r="AC90" s="16">
        <v>0</v>
      </c>
      <c r="AD90" s="16">
        <v>0</v>
      </c>
      <c r="AE90" s="16">
        <v>0</v>
      </c>
      <c r="AF90" s="16">
        <v>10.69415081042988</v>
      </c>
      <c r="AG90" s="16">
        <v>4.1231898883811864</v>
      </c>
      <c r="AH90" s="16">
        <v>17.320807474595924</v>
      </c>
      <c r="AI90" s="16">
        <v>0</v>
      </c>
      <c r="AJ90" s="16">
        <v>0</v>
      </c>
      <c r="AK90" s="16">
        <v>0</v>
      </c>
      <c r="AL90" s="16">
        <v>0</v>
      </c>
      <c r="AM90" s="16">
        <v>3.0303030303030307</v>
      </c>
      <c r="AN90" s="16">
        <v>0</v>
      </c>
      <c r="AO90" s="16">
        <v>0</v>
      </c>
      <c r="AP90" s="16">
        <v>5.9384164222873892</v>
      </c>
      <c r="AQ90" s="16">
        <v>39.351315101502649</v>
      </c>
      <c r="AR90" s="16">
        <v>0</v>
      </c>
      <c r="AS90" s="16">
        <v>3.1007751937984498</v>
      </c>
      <c r="AT90" s="16">
        <v>0.77519379844961245</v>
      </c>
      <c r="AU90" s="16">
        <v>0</v>
      </c>
      <c r="AW90" s="16">
        <v>8.4860714436341436</v>
      </c>
      <c r="AX90" s="16">
        <v>0</v>
      </c>
      <c r="AY90" s="16">
        <v>0</v>
      </c>
      <c r="AZ90" s="16">
        <v>0</v>
      </c>
      <c r="BA90" s="16">
        <v>6.9368572142065519</v>
      </c>
      <c r="BB90" s="16">
        <v>1.6092961379817676</v>
      </c>
      <c r="BC90" s="16">
        <v>10.109147941906656</v>
      </c>
      <c r="BD90" s="16">
        <v>0</v>
      </c>
      <c r="BE90" s="16">
        <v>0</v>
      </c>
      <c r="BF90" s="16">
        <v>0</v>
      </c>
      <c r="BG90" s="16">
        <v>0</v>
      </c>
      <c r="BH90" s="16">
        <v>0.72485130884657389</v>
      </c>
      <c r="BI90" s="16">
        <v>0</v>
      </c>
      <c r="BJ90" s="16">
        <v>0</v>
      </c>
      <c r="BK90" s="16">
        <v>2.0448019364476586</v>
      </c>
      <c r="BL90" s="16">
        <v>69.145290756350661</v>
      </c>
      <c r="BM90" s="16">
        <v>0</v>
      </c>
      <c r="BN90" s="16">
        <v>0.75309291352747587</v>
      </c>
      <c r="BO90" s="16">
        <v>0.19059034709851763</v>
      </c>
      <c r="BP90" s="16">
        <v>0</v>
      </c>
      <c r="BR90" s="16">
        <f>SUM(G90,AB90,AW90)</f>
        <v>39.941393408096552</v>
      </c>
      <c r="BS90" s="16">
        <f t="shared" ref="BS90:CK90" si="29">SUM(H90,AC90,AX90)</f>
        <v>0</v>
      </c>
      <c r="BT90" s="16">
        <f t="shared" si="29"/>
        <v>0</v>
      </c>
      <c r="BU90" s="16">
        <f t="shared" si="29"/>
        <v>0</v>
      </c>
      <c r="BV90" s="16">
        <f t="shared" si="29"/>
        <v>28.157323814110114</v>
      </c>
      <c r="BW90" s="16">
        <f t="shared" si="29"/>
        <v>21.521959710573483</v>
      </c>
      <c r="BX90" s="16">
        <f t="shared" si="29"/>
        <v>43.219429100713107</v>
      </c>
      <c r="BY90" s="16">
        <f t="shared" si="29"/>
        <v>0</v>
      </c>
      <c r="BZ90" s="16">
        <f t="shared" si="29"/>
        <v>0</v>
      </c>
      <c r="CA90" s="16">
        <f t="shared" si="29"/>
        <v>0</v>
      </c>
      <c r="CB90" s="16">
        <f t="shared" si="29"/>
        <v>0</v>
      </c>
      <c r="CC90" s="16">
        <f t="shared" si="29"/>
        <v>9.0183122338864461</v>
      </c>
      <c r="CD90" s="16">
        <f t="shared" si="29"/>
        <v>0</v>
      </c>
      <c r="CE90" s="16">
        <f t="shared" si="29"/>
        <v>0</v>
      </c>
      <c r="CF90" s="16">
        <f t="shared" si="29"/>
        <v>18.509534148208733</v>
      </c>
      <c r="CG90" s="16">
        <f t="shared" si="29"/>
        <v>124.28607954206385</v>
      </c>
      <c r="CH90" s="16">
        <f t="shared" si="29"/>
        <v>0</v>
      </c>
      <c r="CI90" s="16">
        <f t="shared" si="29"/>
        <v>9.1170260020627669</v>
      </c>
      <c r="CJ90" s="16">
        <f t="shared" si="29"/>
        <v>6.2289420402849718</v>
      </c>
      <c r="CK90" s="16">
        <f t="shared" si="29"/>
        <v>0</v>
      </c>
      <c r="CL90" s="21">
        <f>SUM(BR90:CK90)</f>
        <v>299.99999999999994</v>
      </c>
    </row>
    <row r="91" spans="1:90" x14ac:dyDescent="0.35">
      <c r="A91" s="1" t="s">
        <v>61</v>
      </c>
      <c r="B91" s="1">
        <v>89</v>
      </c>
      <c r="C91" s="1" t="s">
        <v>147</v>
      </c>
      <c r="D91" s="1" t="s">
        <v>146</v>
      </c>
      <c r="E91" s="3" t="s">
        <v>21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</row>
    <row r="92" spans="1:90" x14ac:dyDescent="0.35">
      <c r="A92" s="1" t="s">
        <v>61</v>
      </c>
      <c r="B92" s="1">
        <v>90</v>
      </c>
      <c r="C92" s="1" t="s">
        <v>148</v>
      </c>
      <c r="D92" s="1" t="s">
        <v>146</v>
      </c>
      <c r="E92" s="3" t="s">
        <v>21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</row>
    <row r="93" spans="1:90" x14ac:dyDescent="0.35">
      <c r="A93" s="1" t="s">
        <v>24</v>
      </c>
      <c r="B93" s="1">
        <v>91</v>
      </c>
      <c r="C93" s="1" t="s">
        <v>149</v>
      </c>
      <c r="D93" s="1" t="s">
        <v>150</v>
      </c>
      <c r="E93" s="3" t="s">
        <v>21</v>
      </c>
      <c r="G93" s="16">
        <v>5</v>
      </c>
      <c r="H93" s="16">
        <v>0</v>
      </c>
      <c r="I93" s="16">
        <v>0</v>
      </c>
      <c r="J93" s="16">
        <v>0</v>
      </c>
      <c r="K93" s="16">
        <v>15.000000000000002</v>
      </c>
      <c r="L93" s="16">
        <v>0</v>
      </c>
      <c r="M93" s="16">
        <v>15.000000000000002</v>
      </c>
      <c r="N93" s="16">
        <v>15.000000000000002</v>
      </c>
      <c r="O93" s="16">
        <v>0</v>
      </c>
      <c r="P93" s="16">
        <v>0</v>
      </c>
      <c r="Q93" s="16">
        <v>5</v>
      </c>
      <c r="R93" s="16">
        <v>10</v>
      </c>
      <c r="S93" s="16">
        <v>0</v>
      </c>
      <c r="T93" s="16">
        <v>5</v>
      </c>
      <c r="U93" s="16">
        <v>10</v>
      </c>
      <c r="V93" s="16">
        <v>15.000000000000002</v>
      </c>
      <c r="W93" s="16">
        <v>0</v>
      </c>
      <c r="X93" s="16">
        <v>0</v>
      </c>
      <c r="Y93" s="16">
        <v>5</v>
      </c>
      <c r="Z93" s="16">
        <v>0</v>
      </c>
      <c r="AB93" s="16">
        <v>1.4184397163120568</v>
      </c>
      <c r="AC93" s="16">
        <v>0</v>
      </c>
      <c r="AD93" s="16">
        <v>0</v>
      </c>
      <c r="AE93" s="16">
        <v>0</v>
      </c>
      <c r="AF93" s="16">
        <v>11.245663226183552</v>
      </c>
      <c r="AG93" s="16">
        <v>0</v>
      </c>
      <c r="AH93" s="16">
        <v>28.016933311342019</v>
      </c>
      <c r="AI93" s="16">
        <v>4.979585695229332</v>
      </c>
      <c r="AJ93" s="16">
        <v>0</v>
      </c>
      <c r="AK93" s="16">
        <v>0</v>
      </c>
      <c r="AL93" s="16">
        <v>1.1695906432748537</v>
      </c>
      <c r="AM93" s="16">
        <v>2.9028533729176975</v>
      </c>
      <c r="AN93" s="16">
        <v>0</v>
      </c>
      <c r="AO93" s="16">
        <v>2.9239766081871341</v>
      </c>
      <c r="AP93" s="16">
        <v>2.4636058230683089</v>
      </c>
      <c r="AQ93" s="16">
        <v>43.124965638572768</v>
      </c>
      <c r="AR93" s="16">
        <v>0</v>
      </c>
      <c r="AS93" s="16">
        <v>0</v>
      </c>
      <c r="AT93" s="16">
        <v>1.7543859649122806</v>
      </c>
      <c r="AU93" s="16">
        <v>0</v>
      </c>
      <c r="AW93" s="16">
        <v>2.0206655266720501</v>
      </c>
      <c r="AX93" s="16">
        <v>0</v>
      </c>
      <c r="AY93" s="16">
        <v>0</v>
      </c>
      <c r="AZ93" s="16">
        <v>0</v>
      </c>
      <c r="BA93" s="16">
        <v>6.50059610364859</v>
      </c>
      <c r="BB93" s="16">
        <v>0</v>
      </c>
      <c r="BC93" s="16">
        <v>19.981962862941803</v>
      </c>
      <c r="BD93" s="16">
        <v>7.4596422795156192</v>
      </c>
      <c r="BE93" s="16">
        <v>0</v>
      </c>
      <c r="BF93" s="16">
        <v>0</v>
      </c>
      <c r="BG93" s="16">
        <v>0.37586509809879121</v>
      </c>
      <c r="BH93" s="16">
        <v>0.72836859816882737</v>
      </c>
      <c r="BI93" s="16">
        <v>0</v>
      </c>
      <c r="BJ93" s="16">
        <v>4.4926775683520566</v>
      </c>
      <c r="BK93" s="16">
        <v>1.0997372186165391</v>
      </c>
      <c r="BL93" s="16">
        <v>55.296260486082922</v>
      </c>
      <c r="BM93" s="16">
        <v>0</v>
      </c>
      <c r="BN93" s="16">
        <v>0</v>
      </c>
      <c r="BO93" s="16">
        <v>2.0442242579027976</v>
      </c>
      <c r="BP93" s="16">
        <v>0</v>
      </c>
      <c r="BR93" s="16">
        <f>SUM(G93,AB93,AW93)</f>
        <v>8.4391052429841071</v>
      </c>
      <c r="BS93" s="16">
        <f t="shared" ref="BS93:CK93" si="30">SUM(H93,AC93,AX93)</f>
        <v>0</v>
      </c>
      <c r="BT93" s="16">
        <f t="shared" si="30"/>
        <v>0</v>
      </c>
      <c r="BU93" s="16">
        <f t="shared" si="30"/>
        <v>0</v>
      </c>
      <c r="BV93" s="16">
        <f t="shared" si="30"/>
        <v>32.746259329832142</v>
      </c>
      <c r="BW93" s="16">
        <f t="shared" si="30"/>
        <v>0</v>
      </c>
      <c r="BX93" s="16">
        <f t="shared" si="30"/>
        <v>62.998896174283828</v>
      </c>
      <c r="BY93" s="16">
        <f t="shared" si="30"/>
        <v>27.439227974744952</v>
      </c>
      <c r="BZ93" s="16">
        <f t="shared" si="30"/>
        <v>0</v>
      </c>
      <c r="CA93" s="16">
        <f t="shared" si="30"/>
        <v>0</v>
      </c>
      <c r="CB93" s="16">
        <f t="shared" si="30"/>
        <v>6.5454557413736447</v>
      </c>
      <c r="CC93" s="16">
        <f t="shared" si="30"/>
        <v>13.631221971086525</v>
      </c>
      <c r="CD93" s="16">
        <f t="shared" si="30"/>
        <v>0</v>
      </c>
      <c r="CE93" s="16">
        <f t="shared" si="30"/>
        <v>12.41665417653919</v>
      </c>
      <c r="CF93" s="16">
        <f t="shared" si="30"/>
        <v>13.563343041684849</v>
      </c>
      <c r="CG93" s="16">
        <f t="shared" si="30"/>
        <v>113.42122612465569</v>
      </c>
      <c r="CH93" s="16">
        <f t="shared" si="30"/>
        <v>0</v>
      </c>
      <c r="CI93" s="16">
        <f t="shared" si="30"/>
        <v>0</v>
      </c>
      <c r="CJ93" s="16">
        <f t="shared" si="30"/>
        <v>8.7986102228150784</v>
      </c>
      <c r="CK93" s="16">
        <f t="shared" si="30"/>
        <v>0</v>
      </c>
      <c r="CL93" s="21">
        <f>SUM(BR93:CK93)</f>
        <v>300</v>
      </c>
    </row>
    <row r="94" spans="1:90" x14ac:dyDescent="0.35">
      <c r="A94" s="1" t="s">
        <v>24</v>
      </c>
      <c r="B94" s="1">
        <v>92</v>
      </c>
      <c r="C94" s="1" t="s">
        <v>151</v>
      </c>
      <c r="D94" s="1" t="s">
        <v>150</v>
      </c>
      <c r="E94" s="3" t="s">
        <v>21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</row>
    <row r="95" spans="1:90" x14ac:dyDescent="0.35">
      <c r="A95" s="1" t="s">
        <v>24</v>
      </c>
      <c r="B95" s="1">
        <v>93</v>
      </c>
      <c r="C95" s="1" t="s">
        <v>152</v>
      </c>
      <c r="D95" s="1" t="s">
        <v>150</v>
      </c>
      <c r="E95" s="3" t="s">
        <v>21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</row>
    <row r="96" spans="1:90" x14ac:dyDescent="0.35">
      <c r="A96" s="1" t="s">
        <v>91</v>
      </c>
      <c r="B96" s="1">
        <v>94</v>
      </c>
      <c r="C96" s="1" t="s">
        <v>153</v>
      </c>
      <c r="D96" s="1" t="s">
        <v>154</v>
      </c>
      <c r="E96" s="3" t="s">
        <v>21</v>
      </c>
      <c r="G96" s="16">
        <v>14.285714285714285</v>
      </c>
      <c r="H96" s="16">
        <v>0</v>
      </c>
      <c r="I96" s="16">
        <v>0</v>
      </c>
      <c r="J96" s="16">
        <v>0</v>
      </c>
      <c r="K96" s="16">
        <v>14.285714285714285</v>
      </c>
      <c r="L96" s="16">
        <v>0</v>
      </c>
      <c r="M96" s="16">
        <v>14.285714285714285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4.761904761904761</v>
      </c>
      <c r="U96" s="16">
        <v>0</v>
      </c>
      <c r="V96" s="16">
        <v>14.285714285714285</v>
      </c>
      <c r="W96" s="16">
        <v>0</v>
      </c>
      <c r="X96" s="16">
        <v>14.285714285714285</v>
      </c>
      <c r="Y96" s="16">
        <v>14.285714285714285</v>
      </c>
      <c r="Z96" s="16">
        <v>9.5238095238095219</v>
      </c>
      <c r="AB96" s="16">
        <v>15.516927557335277</v>
      </c>
      <c r="AC96" s="16">
        <v>0</v>
      </c>
      <c r="AD96" s="16">
        <v>0</v>
      </c>
      <c r="AE96" s="16">
        <v>0</v>
      </c>
      <c r="AF96" s="16">
        <v>8.106088184355384</v>
      </c>
      <c r="AG96" s="16">
        <v>0</v>
      </c>
      <c r="AH96" s="16">
        <v>17.279732159601107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2.4875621890547261</v>
      </c>
      <c r="AP96" s="16">
        <v>0</v>
      </c>
      <c r="AQ96" s="16">
        <v>33.01149463326383</v>
      </c>
      <c r="AR96" s="16">
        <v>0</v>
      </c>
      <c r="AS96" s="16">
        <v>6.3636915202259203</v>
      </c>
      <c r="AT96" s="16">
        <v>15.923983188271501</v>
      </c>
      <c r="AU96" s="16">
        <v>1.310520567892246</v>
      </c>
      <c r="AW96" s="16">
        <v>9.5213775393704534</v>
      </c>
      <c r="AX96" s="16">
        <v>0</v>
      </c>
      <c r="AY96" s="16">
        <v>0</v>
      </c>
      <c r="AZ96" s="16">
        <v>0</v>
      </c>
      <c r="BA96" s="16">
        <v>5.5629661723894017</v>
      </c>
      <c r="BB96" s="16">
        <v>0</v>
      </c>
      <c r="BC96" s="16">
        <v>11.65146040882793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3.0294865603339205</v>
      </c>
      <c r="BK96" s="16">
        <v>0</v>
      </c>
      <c r="BL96" s="16">
        <v>57.156343302620343</v>
      </c>
      <c r="BM96" s="16">
        <v>0</v>
      </c>
      <c r="BN96" s="16">
        <v>2.5483200449335572</v>
      </c>
      <c r="BO96" s="16">
        <v>9.9853705426177584</v>
      </c>
      <c r="BP96" s="16">
        <v>0.54467542890664855</v>
      </c>
      <c r="BR96" s="16">
        <f>SUM(G96,AB96,AW96)</f>
        <v>39.324019382420019</v>
      </c>
      <c r="BS96" s="16">
        <f t="shared" ref="BS96:CK96" si="31">SUM(H96,AC96,AX96)</f>
        <v>0</v>
      </c>
      <c r="BT96" s="16">
        <f t="shared" si="31"/>
        <v>0</v>
      </c>
      <c r="BU96" s="16">
        <f t="shared" si="31"/>
        <v>0</v>
      </c>
      <c r="BV96" s="16">
        <f t="shared" si="31"/>
        <v>27.954768642459072</v>
      </c>
      <c r="BW96" s="16">
        <f t="shared" si="31"/>
        <v>0</v>
      </c>
      <c r="BX96" s="16">
        <f t="shared" si="31"/>
        <v>43.216906854143318</v>
      </c>
      <c r="BY96" s="16">
        <f t="shared" si="31"/>
        <v>0</v>
      </c>
      <c r="BZ96" s="16">
        <f t="shared" si="31"/>
        <v>0</v>
      </c>
      <c r="CA96" s="16">
        <f t="shared" si="31"/>
        <v>0</v>
      </c>
      <c r="CB96" s="16">
        <f t="shared" si="31"/>
        <v>0</v>
      </c>
      <c r="CC96" s="16">
        <f t="shared" si="31"/>
        <v>0</v>
      </c>
      <c r="CD96" s="16">
        <f t="shared" si="31"/>
        <v>0</v>
      </c>
      <c r="CE96" s="16">
        <f t="shared" si="31"/>
        <v>10.278953511293407</v>
      </c>
      <c r="CF96" s="16">
        <f t="shared" si="31"/>
        <v>0</v>
      </c>
      <c r="CG96" s="16">
        <f t="shared" si="31"/>
        <v>104.45355222159846</v>
      </c>
      <c r="CH96" s="16">
        <f t="shared" si="31"/>
        <v>0</v>
      </c>
      <c r="CI96" s="16">
        <f t="shared" si="31"/>
        <v>23.197725850873763</v>
      </c>
      <c r="CJ96" s="16">
        <f t="shared" si="31"/>
        <v>40.195068016603543</v>
      </c>
      <c r="CK96" s="16">
        <f t="shared" si="31"/>
        <v>11.379005520608416</v>
      </c>
      <c r="CL96" s="21">
        <f>SUM(BR96:CK96)</f>
        <v>300</v>
      </c>
    </row>
    <row r="97" spans="1:90" x14ac:dyDescent="0.35">
      <c r="A97" s="1" t="s">
        <v>91</v>
      </c>
      <c r="B97" s="1">
        <v>95</v>
      </c>
      <c r="C97" s="1" t="s">
        <v>155</v>
      </c>
      <c r="D97" s="1" t="s">
        <v>154</v>
      </c>
      <c r="E97" s="3" t="s">
        <v>21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</row>
    <row r="98" spans="1:90" x14ac:dyDescent="0.35">
      <c r="A98" s="1" t="s">
        <v>91</v>
      </c>
      <c r="B98" s="1">
        <v>96</v>
      </c>
      <c r="C98" s="1" t="s">
        <v>156</v>
      </c>
      <c r="D98" s="1" t="s">
        <v>154</v>
      </c>
      <c r="E98" s="3" t="s">
        <v>21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</row>
    <row r="99" spans="1:90" x14ac:dyDescent="0.35">
      <c r="A99" s="1" t="s">
        <v>91</v>
      </c>
      <c r="B99" s="1">
        <v>97</v>
      </c>
      <c r="C99" s="1" t="s">
        <v>157</v>
      </c>
      <c r="D99" s="1" t="s">
        <v>158</v>
      </c>
      <c r="E99" s="6" t="s">
        <v>27</v>
      </c>
      <c r="G99" s="16">
        <v>15.789473684210527</v>
      </c>
      <c r="H99" s="16">
        <v>0</v>
      </c>
      <c r="I99" s="16">
        <v>0</v>
      </c>
      <c r="J99" s="16">
        <v>0</v>
      </c>
      <c r="K99" s="16">
        <v>10.526315789473685</v>
      </c>
      <c r="L99" s="16">
        <v>0</v>
      </c>
      <c r="M99" s="16">
        <v>15.789473684210527</v>
      </c>
      <c r="N99" s="16">
        <v>0</v>
      </c>
      <c r="O99" s="16">
        <v>0</v>
      </c>
      <c r="P99" s="16">
        <v>0</v>
      </c>
      <c r="Q99" s="16">
        <v>0</v>
      </c>
      <c r="R99" s="16">
        <v>5.2631578947368425</v>
      </c>
      <c r="S99" s="16">
        <v>0</v>
      </c>
      <c r="T99" s="16">
        <v>0</v>
      </c>
      <c r="U99" s="16">
        <v>10.526315789473685</v>
      </c>
      <c r="V99" s="16">
        <v>15.789473684210527</v>
      </c>
      <c r="W99" s="16">
        <v>0</v>
      </c>
      <c r="X99" s="16">
        <v>5.2631578947368425</v>
      </c>
      <c r="Y99" s="16">
        <v>15.789473684210527</v>
      </c>
      <c r="Z99" s="16">
        <v>5.2631578947368425</v>
      </c>
      <c r="AB99" s="16">
        <v>14.622641509433961</v>
      </c>
      <c r="AC99" s="16">
        <v>0</v>
      </c>
      <c r="AD99" s="16">
        <v>0</v>
      </c>
      <c r="AE99" s="16">
        <v>0</v>
      </c>
      <c r="AF99" s="16">
        <v>3.3411949685534594</v>
      </c>
      <c r="AG99" s="16">
        <v>0</v>
      </c>
      <c r="AH99" s="16">
        <v>26.991614255765199</v>
      </c>
      <c r="AI99" s="16">
        <v>0</v>
      </c>
      <c r="AJ99" s="16">
        <v>0</v>
      </c>
      <c r="AK99" s="16">
        <v>0</v>
      </c>
      <c r="AL99" s="16">
        <v>0</v>
      </c>
      <c r="AM99" s="16">
        <v>1.2578616352201257</v>
      </c>
      <c r="AN99" s="16">
        <v>0</v>
      </c>
      <c r="AO99" s="16">
        <v>0</v>
      </c>
      <c r="AP99" s="16">
        <v>2.083333333333333</v>
      </c>
      <c r="AQ99" s="16">
        <v>30.332809224318662</v>
      </c>
      <c r="AR99" s="16">
        <v>0</v>
      </c>
      <c r="AS99" s="16">
        <v>0.69444444444444431</v>
      </c>
      <c r="AT99" s="16">
        <v>19.287211740041929</v>
      </c>
      <c r="AU99" s="16">
        <v>1.3888888888888886</v>
      </c>
      <c r="AW99" s="16">
        <v>14.037793357448718</v>
      </c>
      <c r="AX99" s="16">
        <v>0</v>
      </c>
      <c r="AY99" s="16">
        <v>0</v>
      </c>
      <c r="AZ99" s="16">
        <v>0</v>
      </c>
      <c r="BA99" s="16">
        <v>2.1653209106093123</v>
      </c>
      <c r="BB99" s="16">
        <v>0</v>
      </c>
      <c r="BC99" s="16">
        <v>23.037290931675471</v>
      </c>
      <c r="BD99" s="16">
        <v>0</v>
      </c>
      <c r="BE99" s="16">
        <v>0</v>
      </c>
      <c r="BF99" s="16">
        <v>0</v>
      </c>
      <c r="BG99" s="16">
        <v>0</v>
      </c>
      <c r="BH99" s="16">
        <v>0.33228368031627625</v>
      </c>
      <c r="BI99" s="16">
        <v>0</v>
      </c>
      <c r="BJ99" s="16">
        <v>0</v>
      </c>
      <c r="BK99" s="16">
        <v>0.71428244347553649</v>
      </c>
      <c r="BL99" s="16">
        <v>44.914455059774987</v>
      </c>
      <c r="BM99" s="16">
        <v>0</v>
      </c>
      <c r="BN99" s="16">
        <v>0.75727260252473505</v>
      </c>
      <c r="BO99" s="16">
        <v>13.704135416542925</v>
      </c>
      <c r="BP99" s="16">
        <v>0.33716559763203918</v>
      </c>
      <c r="BR99" s="16">
        <f>SUM(G99,AB99,AW99)</f>
        <v>44.449908551093209</v>
      </c>
      <c r="BS99" s="16">
        <f t="shared" ref="BS99:CK99" si="32">SUM(H99,AC99,AX99)</f>
        <v>0</v>
      </c>
      <c r="BT99" s="16">
        <f t="shared" si="32"/>
        <v>0</v>
      </c>
      <c r="BU99" s="16">
        <f t="shared" si="32"/>
        <v>0</v>
      </c>
      <c r="BV99" s="16">
        <f t="shared" si="32"/>
        <v>16.032831668636458</v>
      </c>
      <c r="BW99" s="16">
        <f t="shared" si="32"/>
        <v>0</v>
      </c>
      <c r="BX99" s="16">
        <f t="shared" si="32"/>
        <v>65.818378871651191</v>
      </c>
      <c r="BY99" s="16">
        <f t="shared" si="32"/>
        <v>0</v>
      </c>
      <c r="BZ99" s="16">
        <f t="shared" si="32"/>
        <v>0</v>
      </c>
      <c r="CA99" s="16">
        <f t="shared" si="32"/>
        <v>0</v>
      </c>
      <c r="CB99" s="16">
        <f t="shared" si="32"/>
        <v>0</v>
      </c>
      <c r="CC99" s="16">
        <f t="shared" si="32"/>
        <v>6.8533032102732445</v>
      </c>
      <c r="CD99" s="16">
        <f t="shared" si="32"/>
        <v>0</v>
      </c>
      <c r="CE99" s="16">
        <f t="shared" si="32"/>
        <v>0</v>
      </c>
      <c r="CF99" s="16">
        <f t="shared" si="32"/>
        <v>13.323931566282553</v>
      </c>
      <c r="CG99" s="16">
        <f t="shared" si="32"/>
        <v>91.03673796830418</v>
      </c>
      <c r="CH99" s="16">
        <f t="shared" si="32"/>
        <v>0</v>
      </c>
      <c r="CI99" s="16">
        <f t="shared" si="32"/>
        <v>6.7148749417060225</v>
      </c>
      <c r="CJ99" s="16">
        <f t="shared" si="32"/>
        <v>48.780820840795386</v>
      </c>
      <c r="CK99" s="16">
        <f t="shared" si="32"/>
        <v>6.9892123812577704</v>
      </c>
      <c r="CL99" s="21">
        <f>SUM(BR99:CK99)</f>
        <v>300</v>
      </c>
    </row>
    <row r="100" spans="1:90" x14ac:dyDescent="0.35">
      <c r="A100" s="1" t="s">
        <v>91</v>
      </c>
      <c r="B100" s="1">
        <v>98</v>
      </c>
      <c r="C100" s="1" t="s">
        <v>159</v>
      </c>
      <c r="D100" s="1" t="s">
        <v>158</v>
      </c>
      <c r="E100" s="6" t="s">
        <v>27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</row>
    <row r="101" spans="1:90" x14ac:dyDescent="0.35">
      <c r="A101" s="1" t="s">
        <v>91</v>
      </c>
      <c r="B101" s="1">
        <v>99</v>
      </c>
      <c r="C101" s="1" t="s">
        <v>160</v>
      </c>
      <c r="D101" s="1" t="s">
        <v>158</v>
      </c>
      <c r="E101" s="6" t="s">
        <v>27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</row>
    <row r="102" spans="1:90" x14ac:dyDescent="0.35">
      <c r="A102" s="1" t="s">
        <v>91</v>
      </c>
      <c r="B102" s="1">
        <v>100</v>
      </c>
      <c r="C102" s="1" t="s">
        <v>161</v>
      </c>
      <c r="D102" s="1" t="s">
        <v>162</v>
      </c>
      <c r="E102" s="6" t="s">
        <v>21</v>
      </c>
      <c r="G102" s="16">
        <v>14.285714285714285</v>
      </c>
      <c r="H102" s="16">
        <v>0</v>
      </c>
      <c r="I102" s="16">
        <v>0</v>
      </c>
      <c r="J102" s="16">
        <v>0</v>
      </c>
      <c r="K102" s="16">
        <v>14.285714285714285</v>
      </c>
      <c r="L102" s="16">
        <v>0</v>
      </c>
      <c r="M102" s="16">
        <v>14.285714285714285</v>
      </c>
      <c r="N102" s="16">
        <v>0</v>
      </c>
      <c r="O102" s="16">
        <v>0</v>
      </c>
      <c r="P102" s="16">
        <v>0</v>
      </c>
      <c r="Q102" s="16">
        <v>4.7619047619047619</v>
      </c>
      <c r="R102" s="16">
        <v>4.7619047619047619</v>
      </c>
      <c r="S102" s="16">
        <v>0</v>
      </c>
      <c r="T102" s="16">
        <v>4.7619047619047619</v>
      </c>
      <c r="U102" s="16">
        <v>0</v>
      </c>
      <c r="V102" s="16">
        <v>14.285714285714285</v>
      </c>
      <c r="W102" s="16">
        <v>0</v>
      </c>
      <c r="X102" s="16">
        <v>14.285714285714285</v>
      </c>
      <c r="Y102" s="16">
        <v>14.285714285714285</v>
      </c>
      <c r="Z102" s="16">
        <v>0</v>
      </c>
      <c r="AB102" s="16">
        <v>14.627168696936138</v>
      </c>
      <c r="AC102" s="16">
        <v>0</v>
      </c>
      <c r="AD102" s="16">
        <v>0</v>
      </c>
      <c r="AE102" s="16">
        <v>0</v>
      </c>
      <c r="AF102" s="16">
        <v>12.696992929551067</v>
      </c>
      <c r="AG102" s="16">
        <v>0</v>
      </c>
      <c r="AH102" s="16">
        <v>19.016384132663202</v>
      </c>
      <c r="AI102" s="16">
        <v>0</v>
      </c>
      <c r="AJ102" s="16">
        <v>0</v>
      </c>
      <c r="AK102" s="16">
        <v>0</v>
      </c>
      <c r="AL102" s="16">
        <v>0.77519379844961245</v>
      </c>
      <c r="AM102" s="16">
        <v>2.3809523809523809</v>
      </c>
      <c r="AN102" s="16">
        <v>0</v>
      </c>
      <c r="AO102" s="16">
        <v>1.5503875968992249</v>
      </c>
      <c r="AP102" s="16">
        <v>0</v>
      </c>
      <c r="AQ102" s="16">
        <v>27.415736718062295</v>
      </c>
      <c r="AR102" s="16">
        <v>0</v>
      </c>
      <c r="AS102" s="16">
        <v>7.5020586648493621</v>
      </c>
      <c r="AT102" s="16">
        <v>14.035125081636709</v>
      </c>
      <c r="AU102" s="16">
        <v>0</v>
      </c>
      <c r="AW102" s="16">
        <v>6.4348831532953499</v>
      </c>
      <c r="AX102" s="16">
        <v>0</v>
      </c>
      <c r="AY102" s="16">
        <v>0</v>
      </c>
      <c r="AZ102" s="16">
        <v>0</v>
      </c>
      <c r="BA102" s="16">
        <v>15.721499925183833</v>
      </c>
      <c r="BB102" s="16">
        <v>0</v>
      </c>
      <c r="BC102" s="16">
        <v>14.467261042090199</v>
      </c>
      <c r="BD102" s="16">
        <v>0</v>
      </c>
      <c r="BE102" s="16">
        <v>0</v>
      </c>
      <c r="BF102" s="16">
        <v>0</v>
      </c>
      <c r="BG102" s="16">
        <v>0.21610114305284675</v>
      </c>
      <c r="BH102" s="16">
        <v>0.97446253926501003</v>
      </c>
      <c r="BI102" s="16">
        <v>0</v>
      </c>
      <c r="BJ102" s="16">
        <v>2.4756153090325212</v>
      </c>
      <c r="BK102" s="16">
        <v>0</v>
      </c>
      <c r="BL102" s="16">
        <v>45.797106494781247</v>
      </c>
      <c r="BM102" s="16">
        <v>0</v>
      </c>
      <c r="BN102" s="16">
        <v>1.9542351054043274</v>
      </c>
      <c r="BO102" s="16">
        <v>11.95883528789467</v>
      </c>
      <c r="BP102" s="16">
        <v>0</v>
      </c>
      <c r="BR102" s="16">
        <f>SUM(G102,AB102,AW102)</f>
        <v>35.347766135945776</v>
      </c>
      <c r="BS102" s="16">
        <f t="shared" ref="BS102:CK102" si="33">SUM(H102,AC102,AX102)</f>
        <v>0</v>
      </c>
      <c r="BT102" s="16">
        <f t="shared" si="33"/>
        <v>0</v>
      </c>
      <c r="BU102" s="16">
        <f t="shared" si="33"/>
        <v>0</v>
      </c>
      <c r="BV102" s="16">
        <f t="shared" si="33"/>
        <v>42.704207140449185</v>
      </c>
      <c r="BW102" s="16">
        <f t="shared" si="33"/>
        <v>0</v>
      </c>
      <c r="BX102" s="16">
        <f t="shared" si="33"/>
        <v>47.769359460467683</v>
      </c>
      <c r="BY102" s="16">
        <f t="shared" si="33"/>
        <v>0</v>
      </c>
      <c r="BZ102" s="16">
        <f t="shared" si="33"/>
        <v>0</v>
      </c>
      <c r="CA102" s="16">
        <f t="shared" si="33"/>
        <v>0</v>
      </c>
      <c r="CB102" s="16">
        <f t="shared" si="33"/>
        <v>5.7531997034072218</v>
      </c>
      <c r="CC102" s="16">
        <f t="shared" si="33"/>
        <v>8.1173196821221527</v>
      </c>
      <c r="CD102" s="16">
        <f t="shared" si="33"/>
        <v>0</v>
      </c>
      <c r="CE102" s="16">
        <f t="shared" si="33"/>
        <v>8.7879076678365085</v>
      </c>
      <c r="CF102" s="16">
        <f t="shared" si="33"/>
        <v>0</v>
      </c>
      <c r="CG102" s="16">
        <f t="shared" si="33"/>
        <v>87.49855749855783</v>
      </c>
      <c r="CH102" s="16">
        <f t="shared" si="33"/>
        <v>0</v>
      </c>
      <c r="CI102" s="16">
        <f t="shared" si="33"/>
        <v>23.742008055967972</v>
      </c>
      <c r="CJ102" s="16">
        <f t="shared" si="33"/>
        <v>40.279674655245664</v>
      </c>
      <c r="CK102" s="16">
        <f t="shared" si="33"/>
        <v>0</v>
      </c>
      <c r="CL102" s="21">
        <f>SUM(BR102:CK102)</f>
        <v>300</v>
      </c>
    </row>
    <row r="103" spans="1:90" x14ac:dyDescent="0.35">
      <c r="A103" s="1" t="s">
        <v>91</v>
      </c>
      <c r="B103" s="1">
        <v>101</v>
      </c>
      <c r="C103" s="1" t="s">
        <v>163</v>
      </c>
      <c r="D103" s="1" t="s">
        <v>162</v>
      </c>
      <c r="E103" s="6" t="s">
        <v>21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</row>
    <row r="104" spans="1:90" x14ac:dyDescent="0.35">
      <c r="A104" s="1" t="s">
        <v>91</v>
      </c>
      <c r="B104" s="1">
        <v>102</v>
      </c>
      <c r="C104" s="1" t="s">
        <v>164</v>
      </c>
      <c r="D104" s="1" t="s">
        <v>162</v>
      </c>
      <c r="E104" s="6" t="s">
        <v>21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</row>
    <row r="105" spans="1:90" x14ac:dyDescent="0.35">
      <c r="A105" s="1" t="s">
        <v>116</v>
      </c>
      <c r="B105" s="1">
        <v>103</v>
      </c>
      <c r="C105" s="1" t="s">
        <v>165</v>
      </c>
      <c r="D105" s="1" t="s">
        <v>166</v>
      </c>
      <c r="E105" s="6" t="s">
        <v>53</v>
      </c>
      <c r="G105" s="16">
        <v>20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20</v>
      </c>
      <c r="N105" s="16">
        <v>0</v>
      </c>
      <c r="O105" s="16">
        <v>0</v>
      </c>
      <c r="P105" s="16">
        <v>0</v>
      </c>
      <c r="Q105" s="16">
        <v>6.666666666666667</v>
      </c>
      <c r="R105" s="16">
        <v>0</v>
      </c>
      <c r="S105" s="16">
        <v>0</v>
      </c>
      <c r="T105" s="16">
        <v>0</v>
      </c>
      <c r="U105" s="16">
        <v>0</v>
      </c>
      <c r="V105" s="16">
        <v>13.333333333333334</v>
      </c>
      <c r="W105" s="16">
        <v>0</v>
      </c>
      <c r="X105" s="16">
        <v>0</v>
      </c>
      <c r="Y105" s="16">
        <v>20</v>
      </c>
      <c r="Z105" s="16">
        <v>20</v>
      </c>
      <c r="AB105" s="16">
        <v>27.853654282225715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38.581022152450721</v>
      </c>
      <c r="AI105" s="16">
        <v>0</v>
      </c>
      <c r="AJ105" s="16">
        <v>0</v>
      </c>
      <c r="AK105" s="16">
        <v>0</v>
      </c>
      <c r="AL105" s="16">
        <v>0.83333333333333337</v>
      </c>
      <c r="AM105" s="16">
        <v>0</v>
      </c>
      <c r="AN105" s="16">
        <v>0</v>
      </c>
      <c r="AO105" s="16">
        <v>0</v>
      </c>
      <c r="AP105" s="16">
        <v>0</v>
      </c>
      <c r="AQ105" s="16">
        <v>5.1068376068376065</v>
      </c>
      <c r="AR105" s="16">
        <v>0</v>
      </c>
      <c r="AS105" s="16">
        <v>0</v>
      </c>
      <c r="AT105" s="16">
        <v>16.463893249607537</v>
      </c>
      <c r="AU105" s="16">
        <v>11.161259375545088</v>
      </c>
      <c r="AW105" s="16">
        <v>29.208473519396389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37.564520466888268</v>
      </c>
      <c r="BD105" s="16">
        <v>0</v>
      </c>
      <c r="BE105" s="16">
        <v>0</v>
      </c>
      <c r="BF105" s="16">
        <v>0</v>
      </c>
      <c r="BG105" s="16">
        <v>3.7353390027264108</v>
      </c>
      <c r="BH105" s="16">
        <v>0</v>
      </c>
      <c r="BI105" s="16">
        <v>0</v>
      </c>
      <c r="BJ105" s="16">
        <v>0</v>
      </c>
      <c r="BK105" s="16">
        <v>0</v>
      </c>
      <c r="BL105" s="16">
        <v>7.3425565453879722</v>
      </c>
      <c r="BM105" s="16">
        <v>0</v>
      </c>
      <c r="BN105" s="16">
        <v>0</v>
      </c>
      <c r="BO105" s="16">
        <v>16.975667428185467</v>
      </c>
      <c r="BP105" s="16">
        <v>5.173443037415498</v>
      </c>
      <c r="BR105" s="16">
        <f>SUM(G105,AB105,AW105)</f>
        <v>77.062127801622111</v>
      </c>
      <c r="BS105" s="16">
        <f t="shared" ref="BS105:CK105" si="34">SUM(H105,AC105,AX105)</f>
        <v>0</v>
      </c>
      <c r="BT105" s="16">
        <f t="shared" si="34"/>
        <v>0</v>
      </c>
      <c r="BU105" s="16">
        <f t="shared" si="34"/>
        <v>0</v>
      </c>
      <c r="BV105" s="16">
        <f t="shared" si="34"/>
        <v>0</v>
      </c>
      <c r="BW105" s="16">
        <f t="shared" si="34"/>
        <v>0</v>
      </c>
      <c r="BX105" s="16">
        <f t="shared" si="34"/>
        <v>96.145542619338983</v>
      </c>
      <c r="BY105" s="16">
        <f t="shared" si="34"/>
        <v>0</v>
      </c>
      <c r="BZ105" s="16">
        <f t="shared" si="34"/>
        <v>0</v>
      </c>
      <c r="CA105" s="16">
        <f t="shared" si="34"/>
        <v>0</v>
      </c>
      <c r="CB105" s="16">
        <f t="shared" si="34"/>
        <v>11.235339002726411</v>
      </c>
      <c r="CC105" s="16">
        <f t="shared" si="34"/>
        <v>0</v>
      </c>
      <c r="CD105" s="16">
        <f t="shared" si="34"/>
        <v>0</v>
      </c>
      <c r="CE105" s="16">
        <f t="shared" si="34"/>
        <v>0</v>
      </c>
      <c r="CF105" s="16">
        <f t="shared" si="34"/>
        <v>0</v>
      </c>
      <c r="CG105" s="16">
        <f t="shared" si="34"/>
        <v>25.782727485558912</v>
      </c>
      <c r="CH105" s="16">
        <f t="shared" si="34"/>
        <v>0</v>
      </c>
      <c r="CI105" s="16">
        <f t="shared" si="34"/>
        <v>0</v>
      </c>
      <c r="CJ105" s="16">
        <f t="shared" si="34"/>
        <v>53.439560677793004</v>
      </c>
      <c r="CK105" s="16">
        <f t="shared" si="34"/>
        <v>36.334702412960581</v>
      </c>
      <c r="CL105" s="21">
        <f>SUM(BR105:CK105)</f>
        <v>300</v>
      </c>
    </row>
    <row r="106" spans="1:90" x14ac:dyDescent="0.35">
      <c r="A106" s="1" t="s">
        <v>116</v>
      </c>
      <c r="B106" s="1">
        <v>104</v>
      </c>
      <c r="C106" s="1" t="s">
        <v>167</v>
      </c>
      <c r="D106" s="1" t="s">
        <v>166</v>
      </c>
      <c r="E106" s="6" t="s">
        <v>53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</row>
    <row r="107" spans="1:90" x14ac:dyDescent="0.35">
      <c r="A107" s="1" t="s">
        <v>116</v>
      </c>
      <c r="B107" s="1">
        <v>105</v>
      </c>
      <c r="C107" s="1" t="s">
        <v>168</v>
      </c>
      <c r="D107" s="1" t="s">
        <v>166</v>
      </c>
      <c r="E107" s="6" t="s">
        <v>53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</row>
    <row r="108" spans="1:90" x14ac:dyDescent="0.35">
      <c r="A108" s="1" t="s">
        <v>116</v>
      </c>
      <c r="B108" s="1">
        <v>106</v>
      </c>
      <c r="C108" s="1" t="s">
        <v>169</v>
      </c>
      <c r="D108" s="1" t="s">
        <v>170</v>
      </c>
      <c r="E108" s="6" t="s">
        <v>53</v>
      </c>
      <c r="G108" s="16">
        <v>18.75</v>
      </c>
      <c r="H108" s="16">
        <v>0</v>
      </c>
      <c r="I108" s="16">
        <v>0</v>
      </c>
      <c r="J108" s="16">
        <v>6.25</v>
      </c>
      <c r="K108" s="16">
        <v>0</v>
      </c>
      <c r="L108" s="16">
        <v>0</v>
      </c>
      <c r="M108" s="16">
        <v>18.75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6.25</v>
      </c>
      <c r="U108" s="16">
        <v>0</v>
      </c>
      <c r="V108" s="16">
        <v>12.5</v>
      </c>
      <c r="W108" s="16">
        <v>0</v>
      </c>
      <c r="X108" s="16">
        <v>0</v>
      </c>
      <c r="Y108" s="16">
        <v>18.75</v>
      </c>
      <c r="Z108" s="16">
        <v>18.75</v>
      </c>
      <c r="AB108" s="16">
        <v>45.20424049225295</v>
      </c>
      <c r="AC108" s="16">
        <v>0</v>
      </c>
      <c r="AD108" s="16">
        <v>0</v>
      </c>
      <c r="AE108" s="16">
        <v>1.6260162601626016</v>
      </c>
      <c r="AF108" s="16">
        <v>0</v>
      </c>
      <c r="AG108" s="16">
        <v>0</v>
      </c>
      <c r="AH108" s="16">
        <v>29.520349914745349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0.70921985815602839</v>
      </c>
      <c r="AP108" s="16">
        <v>0</v>
      </c>
      <c r="AQ108" s="16">
        <v>1.7653890824622531</v>
      </c>
      <c r="AR108" s="16">
        <v>0</v>
      </c>
      <c r="AS108" s="16">
        <v>0</v>
      </c>
      <c r="AT108" s="16">
        <v>7.43914794771048</v>
      </c>
      <c r="AU108" s="16">
        <v>13.735636444510343</v>
      </c>
      <c r="AW108" s="16">
        <v>59.462692952903531</v>
      </c>
      <c r="AX108" s="16">
        <v>0</v>
      </c>
      <c r="AY108" s="16">
        <v>0</v>
      </c>
      <c r="AZ108" s="16">
        <v>1.3984997430195361</v>
      </c>
      <c r="BA108" s="16">
        <v>0</v>
      </c>
      <c r="BB108" s="16">
        <v>0</v>
      </c>
      <c r="BC108" s="16">
        <v>25.762938351832982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1.3125181895543232</v>
      </c>
      <c r="BK108" s="16">
        <v>0</v>
      </c>
      <c r="BL108" s="16">
        <v>3.9394481797637133</v>
      </c>
      <c r="BM108" s="16">
        <v>0</v>
      </c>
      <c r="BN108" s="16">
        <v>0</v>
      </c>
      <c r="BO108" s="16">
        <v>3.7337441443952373</v>
      </c>
      <c r="BP108" s="16">
        <v>4.390158438530686</v>
      </c>
      <c r="BR108" s="16">
        <f>SUM(G108,AB108,AW108)</f>
        <v>123.41693344515647</v>
      </c>
      <c r="BS108" s="16">
        <f t="shared" ref="BS108:CK108" si="35">SUM(H108,AC108,AX108)</f>
        <v>0</v>
      </c>
      <c r="BT108" s="16">
        <f t="shared" si="35"/>
        <v>0</v>
      </c>
      <c r="BU108" s="16">
        <f t="shared" si="35"/>
        <v>9.2745160031821374</v>
      </c>
      <c r="BV108" s="16">
        <f t="shared" si="35"/>
        <v>0</v>
      </c>
      <c r="BW108" s="16">
        <f t="shared" si="35"/>
        <v>0</v>
      </c>
      <c r="BX108" s="16">
        <f t="shared" si="35"/>
        <v>74.033288266578339</v>
      </c>
      <c r="BY108" s="16">
        <f t="shared" si="35"/>
        <v>0</v>
      </c>
      <c r="BZ108" s="16">
        <f t="shared" si="35"/>
        <v>0</v>
      </c>
      <c r="CA108" s="16">
        <f t="shared" si="35"/>
        <v>0</v>
      </c>
      <c r="CB108" s="16">
        <f t="shared" si="35"/>
        <v>0</v>
      </c>
      <c r="CC108" s="16">
        <f t="shared" si="35"/>
        <v>0</v>
      </c>
      <c r="CD108" s="16">
        <f t="shared" si="35"/>
        <v>0</v>
      </c>
      <c r="CE108" s="16">
        <f t="shared" si="35"/>
        <v>8.2717380477103504</v>
      </c>
      <c r="CF108" s="16">
        <f t="shared" si="35"/>
        <v>0</v>
      </c>
      <c r="CG108" s="16">
        <f t="shared" si="35"/>
        <v>18.204837262225965</v>
      </c>
      <c r="CH108" s="16">
        <f t="shared" si="35"/>
        <v>0</v>
      </c>
      <c r="CI108" s="16">
        <f t="shared" si="35"/>
        <v>0</v>
      </c>
      <c r="CJ108" s="16">
        <f t="shared" si="35"/>
        <v>29.92289209210572</v>
      </c>
      <c r="CK108" s="16">
        <f t="shared" si="35"/>
        <v>36.875794883041024</v>
      </c>
      <c r="CL108" s="21">
        <f>SUM(BR108:CK108)</f>
        <v>300</v>
      </c>
    </row>
    <row r="109" spans="1:90" x14ac:dyDescent="0.35">
      <c r="A109" s="1" t="s">
        <v>116</v>
      </c>
      <c r="B109" s="1">
        <v>107</v>
      </c>
      <c r="C109" s="1" t="s">
        <v>171</v>
      </c>
      <c r="D109" s="1" t="s">
        <v>170</v>
      </c>
      <c r="E109" s="6" t="s">
        <v>53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</row>
    <row r="110" spans="1:90" x14ac:dyDescent="0.35">
      <c r="A110" s="1" t="s">
        <v>116</v>
      </c>
      <c r="B110" s="1">
        <v>108</v>
      </c>
      <c r="C110" s="1" t="s">
        <v>172</v>
      </c>
      <c r="D110" s="1" t="s">
        <v>170</v>
      </c>
      <c r="E110" s="6" t="s">
        <v>53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</row>
    <row r="111" spans="1:90" x14ac:dyDescent="0.35">
      <c r="A111" s="1" t="s">
        <v>116</v>
      </c>
      <c r="B111" s="1">
        <v>109</v>
      </c>
      <c r="C111" s="1" t="s">
        <v>173</v>
      </c>
      <c r="D111" s="1" t="s">
        <v>174</v>
      </c>
      <c r="E111" s="6" t="s">
        <v>27</v>
      </c>
      <c r="G111" s="16">
        <v>15.789473684210526</v>
      </c>
      <c r="H111" s="16">
        <v>0</v>
      </c>
      <c r="I111" s="16">
        <v>0</v>
      </c>
      <c r="J111" s="16">
        <v>0</v>
      </c>
      <c r="K111" s="16">
        <v>10.526315789473681</v>
      </c>
      <c r="L111" s="16">
        <v>5.2631578947368407</v>
      </c>
      <c r="M111" s="16">
        <v>15.789473684210526</v>
      </c>
      <c r="N111" s="16">
        <v>0</v>
      </c>
      <c r="O111" s="16">
        <v>0</v>
      </c>
      <c r="P111" s="16">
        <v>0</v>
      </c>
      <c r="Q111" s="16">
        <v>0</v>
      </c>
      <c r="R111" s="16">
        <v>5.2631578947368407</v>
      </c>
      <c r="S111" s="16">
        <v>0</v>
      </c>
      <c r="T111" s="16">
        <v>0</v>
      </c>
      <c r="U111" s="16">
        <v>5.2631578947368407</v>
      </c>
      <c r="V111" s="16">
        <v>15.789473684210526</v>
      </c>
      <c r="W111" s="16">
        <v>0</v>
      </c>
      <c r="X111" s="16">
        <v>0</v>
      </c>
      <c r="Y111" s="16">
        <v>15.789473684210526</v>
      </c>
      <c r="Z111" s="16">
        <v>10.526315789473681</v>
      </c>
      <c r="AB111" s="16">
        <v>38.978494623655912</v>
      </c>
      <c r="AC111" s="16">
        <v>0</v>
      </c>
      <c r="AD111" s="16">
        <v>0</v>
      </c>
      <c r="AE111" s="16">
        <v>0</v>
      </c>
      <c r="AF111" s="16">
        <v>1.7857142857142858</v>
      </c>
      <c r="AG111" s="16">
        <v>2.150537634408602</v>
      </c>
      <c r="AH111" s="16">
        <v>28.118279569892476</v>
      </c>
      <c r="AI111" s="16">
        <v>0</v>
      </c>
      <c r="AJ111" s="16">
        <v>0</v>
      </c>
      <c r="AK111" s="16">
        <v>0</v>
      </c>
      <c r="AL111" s="16">
        <v>0</v>
      </c>
      <c r="AM111" s="16">
        <v>1.075268817204301</v>
      </c>
      <c r="AN111" s="16">
        <v>0</v>
      </c>
      <c r="AO111" s="16">
        <v>0</v>
      </c>
      <c r="AP111" s="16">
        <v>2.150537634408602</v>
      </c>
      <c r="AQ111" s="16">
        <v>11.324884792626728</v>
      </c>
      <c r="AR111" s="16">
        <v>0</v>
      </c>
      <c r="AS111" s="16">
        <v>0</v>
      </c>
      <c r="AT111" s="16">
        <v>12.50768049155146</v>
      </c>
      <c r="AU111" s="16">
        <v>1.9086021505376343</v>
      </c>
      <c r="AW111" s="16">
        <v>31.129066972643312</v>
      </c>
      <c r="AX111" s="16">
        <v>0</v>
      </c>
      <c r="AY111" s="16">
        <v>0</v>
      </c>
      <c r="AZ111" s="16">
        <v>0</v>
      </c>
      <c r="BA111" s="16">
        <v>0.68776892860941718</v>
      </c>
      <c r="BB111" s="16">
        <v>1.7101311184594186</v>
      </c>
      <c r="BC111" s="16">
        <v>41.873586283551099</v>
      </c>
      <c r="BD111" s="16">
        <v>0</v>
      </c>
      <c r="BE111" s="16">
        <v>0</v>
      </c>
      <c r="BF111" s="16">
        <v>0</v>
      </c>
      <c r="BG111" s="16">
        <v>0</v>
      </c>
      <c r="BH111" s="16">
        <v>0.80978504807608409</v>
      </c>
      <c r="BI111" s="16">
        <v>0</v>
      </c>
      <c r="BJ111" s="16">
        <v>0</v>
      </c>
      <c r="BK111" s="16">
        <v>1.3148504386769466</v>
      </c>
      <c r="BL111" s="16">
        <v>15.980486315449097</v>
      </c>
      <c r="BM111" s="16">
        <v>0</v>
      </c>
      <c r="BN111" s="16">
        <v>0</v>
      </c>
      <c r="BO111" s="16">
        <v>6.0232075853034113</v>
      </c>
      <c r="BP111" s="16">
        <v>0.47111730923121148</v>
      </c>
      <c r="BR111" s="16">
        <f>SUM(G111,AB111,AW111)</f>
        <v>85.897035280509755</v>
      </c>
      <c r="BS111" s="16">
        <f t="shared" ref="BS111:CK111" si="36">SUM(H111,AC111,AX111)</f>
        <v>0</v>
      </c>
      <c r="BT111" s="16">
        <f t="shared" si="36"/>
        <v>0</v>
      </c>
      <c r="BU111" s="16">
        <f t="shared" si="36"/>
        <v>0</v>
      </c>
      <c r="BV111" s="16">
        <f t="shared" si="36"/>
        <v>12.999799003797385</v>
      </c>
      <c r="BW111" s="16">
        <f t="shared" si="36"/>
        <v>9.1238266476048615</v>
      </c>
      <c r="BX111" s="16">
        <f t="shared" si="36"/>
        <v>85.781339537654105</v>
      </c>
      <c r="BY111" s="16">
        <f t="shared" si="36"/>
        <v>0</v>
      </c>
      <c r="BZ111" s="16">
        <f t="shared" si="36"/>
        <v>0</v>
      </c>
      <c r="CA111" s="16">
        <f t="shared" si="36"/>
        <v>0</v>
      </c>
      <c r="CB111" s="16">
        <f t="shared" si="36"/>
        <v>0</v>
      </c>
      <c r="CC111" s="16">
        <f t="shared" si="36"/>
        <v>7.1482117600172259</v>
      </c>
      <c r="CD111" s="16">
        <f t="shared" si="36"/>
        <v>0</v>
      </c>
      <c r="CE111" s="16">
        <f t="shared" si="36"/>
        <v>0</v>
      </c>
      <c r="CF111" s="16">
        <f t="shared" si="36"/>
        <v>8.7285459678223898</v>
      </c>
      <c r="CG111" s="16">
        <f t="shared" si="36"/>
        <v>43.094844792286352</v>
      </c>
      <c r="CH111" s="16">
        <f t="shared" si="36"/>
        <v>0</v>
      </c>
      <c r="CI111" s="16">
        <f t="shared" si="36"/>
        <v>0</v>
      </c>
      <c r="CJ111" s="16">
        <f t="shared" si="36"/>
        <v>34.320361761065399</v>
      </c>
      <c r="CK111" s="16">
        <f t="shared" si="36"/>
        <v>12.906035249242526</v>
      </c>
      <c r="CL111" s="21">
        <f>SUM(BR111:CK111)</f>
        <v>300</v>
      </c>
    </row>
    <row r="112" spans="1:90" x14ac:dyDescent="0.35">
      <c r="A112" s="1" t="s">
        <v>116</v>
      </c>
      <c r="B112" s="1">
        <v>110</v>
      </c>
      <c r="C112" s="1" t="s">
        <v>175</v>
      </c>
      <c r="D112" s="1" t="s">
        <v>174</v>
      </c>
      <c r="E112" s="6" t="s">
        <v>27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</row>
    <row r="113" spans="1:90" x14ac:dyDescent="0.35">
      <c r="A113" s="1" t="s">
        <v>116</v>
      </c>
      <c r="B113" s="1">
        <v>111</v>
      </c>
      <c r="C113" s="1" t="s">
        <v>176</v>
      </c>
      <c r="D113" s="1" t="s">
        <v>174</v>
      </c>
      <c r="E113" s="6" t="s">
        <v>27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</row>
    <row r="114" spans="1:90" x14ac:dyDescent="0.35">
      <c r="A114" s="1" t="s">
        <v>18</v>
      </c>
      <c r="B114" s="1">
        <v>112</v>
      </c>
      <c r="C114" s="1" t="s">
        <v>177</v>
      </c>
      <c r="D114" s="1" t="s">
        <v>178</v>
      </c>
      <c r="E114" s="6" t="s">
        <v>21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25</v>
      </c>
      <c r="N114" s="16">
        <v>25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16.666666666666664</v>
      </c>
      <c r="V114" s="16">
        <v>8.3333333333333321</v>
      </c>
      <c r="W114" s="16">
        <v>0</v>
      </c>
      <c r="X114" s="16">
        <v>0</v>
      </c>
      <c r="Y114" s="16">
        <v>0</v>
      </c>
      <c r="Z114" s="16">
        <v>25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23.057644110275689</v>
      </c>
      <c r="AI114" s="16">
        <v>21.679197994987465</v>
      </c>
      <c r="AJ114" s="16">
        <v>0</v>
      </c>
      <c r="AK114" s="16">
        <v>0</v>
      </c>
      <c r="AL114" s="16">
        <v>0</v>
      </c>
      <c r="AM114" s="16">
        <v>0</v>
      </c>
      <c r="AN114" s="16">
        <v>0</v>
      </c>
      <c r="AO114" s="16">
        <v>0</v>
      </c>
      <c r="AP114" s="16">
        <v>10.902255639097744</v>
      </c>
      <c r="AQ114" s="16">
        <v>1.7543859649122806</v>
      </c>
      <c r="AR114" s="16">
        <v>0</v>
      </c>
      <c r="AS114" s="16">
        <v>0</v>
      </c>
      <c r="AT114" s="16">
        <v>0</v>
      </c>
      <c r="AU114" s="16">
        <v>42.606516290726809</v>
      </c>
      <c r="AW114" s="16">
        <v>0</v>
      </c>
      <c r="AX114" s="16">
        <v>0</v>
      </c>
      <c r="AY114" s="16">
        <v>0</v>
      </c>
      <c r="AZ114" s="16">
        <v>0</v>
      </c>
      <c r="BA114" s="16">
        <v>0</v>
      </c>
      <c r="BB114" s="16">
        <v>0</v>
      </c>
      <c r="BC114" s="16">
        <v>23.302529699941346</v>
      </c>
      <c r="BD114" s="16">
        <v>47.854018446524549</v>
      </c>
      <c r="BE114" s="16">
        <v>0</v>
      </c>
      <c r="BF114" s="16">
        <v>0</v>
      </c>
      <c r="BG114" s="16">
        <v>0</v>
      </c>
      <c r="BH114" s="16">
        <v>0</v>
      </c>
      <c r="BI114" s="16">
        <v>0</v>
      </c>
      <c r="BJ114" s="16">
        <v>0</v>
      </c>
      <c r="BK114" s="16">
        <v>6.3192638926742974</v>
      </c>
      <c r="BL114" s="16">
        <v>1.2643955482667584</v>
      </c>
      <c r="BM114" s="16">
        <v>0</v>
      </c>
      <c r="BN114" s="16">
        <v>0</v>
      </c>
      <c r="BO114" s="16">
        <v>0</v>
      </c>
      <c r="BP114" s="16">
        <v>21.25979241259304</v>
      </c>
      <c r="BR114" s="16">
        <f>SUM(G114,AB114,AW114)</f>
        <v>0</v>
      </c>
      <c r="BS114" s="16">
        <f t="shared" ref="BS114:CK114" si="37">SUM(H114,AC114,AX114)</f>
        <v>0</v>
      </c>
      <c r="BT114" s="16">
        <f t="shared" si="37"/>
        <v>0</v>
      </c>
      <c r="BU114" s="16">
        <f t="shared" si="37"/>
        <v>0</v>
      </c>
      <c r="BV114" s="16">
        <f t="shared" si="37"/>
        <v>0</v>
      </c>
      <c r="BW114" s="16">
        <f t="shared" si="37"/>
        <v>0</v>
      </c>
      <c r="BX114" s="16">
        <f t="shared" si="37"/>
        <v>71.360173810217034</v>
      </c>
      <c r="BY114" s="16">
        <f t="shared" si="37"/>
        <v>94.53321644151201</v>
      </c>
      <c r="BZ114" s="16">
        <f t="shared" si="37"/>
        <v>0</v>
      </c>
      <c r="CA114" s="16">
        <f t="shared" si="37"/>
        <v>0</v>
      </c>
      <c r="CB114" s="16">
        <f t="shared" si="37"/>
        <v>0</v>
      </c>
      <c r="CC114" s="16">
        <f t="shared" si="37"/>
        <v>0</v>
      </c>
      <c r="CD114" s="16">
        <f t="shared" si="37"/>
        <v>0</v>
      </c>
      <c r="CE114" s="16">
        <f t="shared" si="37"/>
        <v>0</v>
      </c>
      <c r="CF114" s="16">
        <f t="shared" si="37"/>
        <v>33.88818619843871</v>
      </c>
      <c r="CG114" s="16">
        <f t="shared" si="37"/>
        <v>11.352114846512372</v>
      </c>
      <c r="CH114" s="16">
        <f t="shared" si="37"/>
        <v>0</v>
      </c>
      <c r="CI114" s="16">
        <f t="shared" si="37"/>
        <v>0</v>
      </c>
      <c r="CJ114" s="16">
        <f t="shared" si="37"/>
        <v>0</v>
      </c>
      <c r="CK114" s="16">
        <f t="shared" si="37"/>
        <v>88.866308703319845</v>
      </c>
      <c r="CL114" s="21">
        <f>SUM(BR114:CK114)</f>
        <v>300</v>
      </c>
    </row>
    <row r="115" spans="1:90" x14ac:dyDescent="0.35">
      <c r="A115" s="1" t="s">
        <v>18</v>
      </c>
      <c r="B115" s="1">
        <v>113</v>
      </c>
      <c r="C115" s="1" t="s">
        <v>179</v>
      </c>
      <c r="D115" s="1" t="s">
        <v>178</v>
      </c>
      <c r="E115" s="6" t="s">
        <v>21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</row>
    <row r="116" spans="1:90" x14ac:dyDescent="0.35">
      <c r="A116" s="1" t="s">
        <v>18</v>
      </c>
      <c r="B116" s="1">
        <v>114</v>
      </c>
      <c r="C116" s="1" t="s">
        <v>180</v>
      </c>
      <c r="D116" s="1" t="s">
        <v>178</v>
      </c>
      <c r="E116" s="6" t="s">
        <v>21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</row>
    <row r="117" spans="1:90" x14ac:dyDescent="0.35">
      <c r="A117" s="1" t="s">
        <v>61</v>
      </c>
      <c r="B117" s="1">
        <v>115</v>
      </c>
      <c r="C117" s="1" t="s">
        <v>181</v>
      </c>
      <c r="D117" s="1" t="s">
        <v>182</v>
      </c>
      <c r="E117" s="6" t="s">
        <v>21</v>
      </c>
      <c r="G117" s="16">
        <v>16.666666666666668</v>
      </c>
      <c r="H117" s="16">
        <v>5.5555555555555562</v>
      </c>
      <c r="I117" s="16">
        <v>0</v>
      </c>
      <c r="J117" s="16">
        <v>0</v>
      </c>
      <c r="K117" s="16">
        <v>16.666666666666668</v>
      </c>
      <c r="L117" s="16">
        <v>16.666666666666668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16.666666666666668</v>
      </c>
      <c r="S117" s="16">
        <v>0</v>
      </c>
      <c r="T117" s="16">
        <v>0</v>
      </c>
      <c r="U117" s="16">
        <v>5.5555555555555562</v>
      </c>
      <c r="V117" s="16">
        <v>16.666666666666668</v>
      </c>
      <c r="W117" s="16">
        <v>0</v>
      </c>
      <c r="X117" s="16">
        <v>5.5555555555555562</v>
      </c>
      <c r="Y117" s="16">
        <v>0</v>
      </c>
      <c r="Z117" s="16">
        <v>0</v>
      </c>
      <c r="AB117" s="16">
        <v>16.780946444340554</v>
      </c>
      <c r="AC117" s="16">
        <v>1.4492753623188406</v>
      </c>
      <c r="AD117" s="16">
        <v>0</v>
      </c>
      <c r="AE117" s="16">
        <v>0</v>
      </c>
      <c r="AF117" s="16">
        <v>22.1339151212924</v>
      </c>
      <c r="AG117" s="16">
        <v>13.555139992727652</v>
      </c>
      <c r="AH117" s="16">
        <v>0</v>
      </c>
      <c r="AI117" s="16">
        <v>0</v>
      </c>
      <c r="AJ117" s="16">
        <v>0</v>
      </c>
      <c r="AK117" s="16">
        <v>0</v>
      </c>
      <c r="AL117" s="16">
        <v>0</v>
      </c>
      <c r="AM117" s="16">
        <v>6.3256454210170894</v>
      </c>
      <c r="AN117" s="16">
        <v>0</v>
      </c>
      <c r="AO117" s="16">
        <v>0</v>
      </c>
      <c r="AP117" s="16">
        <v>0.72463768115942029</v>
      </c>
      <c r="AQ117" s="16">
        <v>36.131889252506362</v>
      </c>
      <c r="AR117" s="16">
        <v>0</v>
      </c>
      <c r="AS117" s="16">
        <v>2.8985507246376812</v>
      </c>
      <c r="AT117" s="16">
        <v>0</v>
      </c>
      <c r="AU117" s="16">
        <v>0</v>
      </c>
      <c r="AW117" s="16">
        <v>7.058071876790371</v>
      </c>
      <c r="AX117" s="16">
        <v>0.74588610807586064</v>
      </c>
      <c r="AY117" s="16">
        <v>0</v>
      </c>
      <c r="AZ117" s="16">
        <v>0</v>
      </c>
      <c r="BA117" s="16">
        <v>20.693545560593865</v>
      </c>
      <c r="BB117" s="16">
        <v>4.7155820620691316</v>
      </c>
      <c r="BC117" s="16">
        <v>0</v>
      </c>
      <c r="BD117" s="16">
        <v>0</v>
      </c>
      <c r="BE117" s="16">
        <v>0</v>
      </c>
      <c r="BF117" s="16">
        <v>0</v>
      </c>
      <c r="BG117" s="16">
        <v>0</v>
      </c>
      <c r="BH117" s="16">
        <v>1.70114200700597</v>
      </c>
      <c r="BI117" s="16">
        <v>0</v>
      </c>
      <c r="BJ117" s="16">
        <v>0</v>
      </c>
      <c r="BK117" s="16">
        <v>0.11155287811046059</v>
      </c>
      <c r="BL117" s="16">
        <v>64.409946765451934</v>
      </c>
      <c r="BM117" s="16">
        <v>0</v>
      </c>
      <c r="BN117" s="16">
        <v>0.56427274190241616</v>
      </c>
      <c r="BO117" s="16">
        <v>0</v>
      </c>
      <c r="BP117" s="16">
        <v>0</v>
      </c>
      <c r="BR117" s="16">
        <f>SUM(G117,AB117,AW117)</f>
        <v>40.505684987797594</v>
      </c>
      <c r="BS117" s="16">
        <f t="shared" ref="BS117:CK117" si="38">SUM(H117,AC117,AX117)</f>
        <v>7.7507170259502578</v>
      </c>
      <c r="BT117" s="16">
        <f t="shared" si="38"/>
        <v>0</v>
      </c>
      <c r="BU117" s="16">
        <f t="shared" si="38"/>
        <v>0</v>
      </c>
      <c r="BV117" s="16">
        <f t="shared" si="38"/>
        <v>59.494127348552936</v>
      </c>
      <c r="BW117" s="16">
        <f t="shared" si="38"/>
        <v>34.937388721463449</v>
      </c>
      <c r="BX117" s="16">
        <f t="shared" si="38"/>
        <v>0</v>
      </c>
      <c r="BY117" s="16">
        <f t="shared" si="38"/>
        <v>0</v>
      </c>
      <c r="BZ117" s="16">
        <f t="shared" si="38"/>
        <v>0</v>
      </c>
      <c r="CA117" s="16">
        <f t="shared" si="38"/>
        <v>0</v>
      </c>
      <c r="CB117" s="16">
        <f t="shared" si="38"/>
        <v>0</v>
      </c>
      <c r="CC117" s="16">
        <f t="shared" si="38"/>
        <v>24.693454094689727</v>
      </c>
      <c r="CD117" s="16">
        <f t="shared" si="38"/>
        <v>0</v>
      </c>
      <c r="CE117" s="16">
        <f t="shared" si="38"/>
        <v>0</v>
      </c>
      <c r="CF117" s="16">
        <f t="shared" si="38"/>
        <v>6.3917461148254366</v>
      </c>
      <c r="CG117" s="16">
        <f t="shared" si="38"/>
        <v>117.20850268462496</v>
      </c>
      <c r="CH117" s="16">
        <f t="shared" si="38"/>
        <v>0</v>
      </c>
      <c r="CI117" s="16">
        <f t="shared" si="38"/>
        <v>9.0183790220956528</v>
      </c>
      <c r="CJ117" s="16">
        <f t="shared" si="38"/>
        <v>0</v>
      </c>
      <c r="CK117" s="16">
        <f t="shared" si="38"/>
        <v>0</v>
      </c>
      <c r="CL117" s="21">
        <f>SUM(BR117:CK117)</f>
        <v>300.00000000000006</v>
      </c>
    </row>
    <row r="118" spans="1:90" x14ac:dyDescent="0.35">
      <c r="A118" s="1" t="s">
        <v>61</v>
      </c>
      <c r="B118" s="1">
        <v>116</v>
      </c>
      <c r="C118" s="1" t="s">
        <v>183</v>
      </c>
      <c r="D118" s="1" t="s">
        <v>182</v>
      </c>
      <c r="E118" s="6" t="s">
        <v>21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</row>
    <row r="119" spans="1:90" x14ac:dyDescent="0.35">
      <c r="A119" s="1" t="s">
        <v>61</v>
      </c>
      <c r="B119" s="1">
        <v>117</v>
      </c>
      <c r="C119" s="1" t="s">
        <v>184</v>
      </c>
      <c r="D119" s="1" t="s">
        <v>182</v>
      </c>
      <c r="E119" s="6" t="s">
        <v>21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</row>
    <row r="120" spans="1:90" x14ac:dyDescent="0.35">
      <c r="A120" s="1" t="s">
        <v>61</v>
      </c>
      <c r="B120" s="1">
        <v>118</v>
      </c>
      <c r="C120" s="1" t="s">
        <v>185</v>
      </c>
      <c r="D120" s="1" t="s">
        <v>186</v>
      </c>
      <c r="E120" s="6" t="s">
        <v>21</v>
      </c>
      <c r="G120" s="16">
        <v>20</v>
      </c>
      <c r="H120" s="16">
        <v>0</v>
      </c>
      <c r="I120" s="16">
        <v>0</v>
      </c>
      <c r="J120" s="16">
        <v>0</v>
      </c>
      <c r="K120" s="16">
        <v>20</v>
      </c>
      <c r="L120" s="16">
        <v>13.333333333333334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13.333333333333334</v>
      </c>
      <c r="S120" s="16">
        <v>0</v>
      </c>
      <c r="T120" s="16">
        <v>0</v>
      </c>
      <c r="U120" s="16">
        <v>0</v>
      </c>
      <c r="V120" s="16">
        <v>20</v>
      </c>
      <c r="W120" s="16">
        <v>0</v>
      </c>
      <c r="X120" s="16">
        <v>0</v>
      </c>
      <c r="Y120" s="16">
        <v>13.333333333333334</v>
      </c>
      <c r="Z120" s="16">
        <v>0</v>
      </c>
      <c r="AB120" s="16">
        <v>21.895424836601308</v>
      </c>
      <c r="AC120" s="16">
        <v>0</v>
      </c>
      <c r="AD120" s="16">
        <v>0</v>
      </c>
      <c r="AE120" s="16">
        <v>0</v>
      </c>
      <c r="AF120" s="16">
        <v>17.683369644153956</v>
      </c>
      <c r="AG120" s="16">
        <v>13.253449527959331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7.8431372549019613</v>
      </c>
      <c r="AN120" s="16">
        <v>0</v>
      </c>
      <c r="AO120" s="16">
        <v>0</v>
      </c>
      <c r="AP120" s="16">
        <v>0</v>
      </c>
      <c r="AQ120" s="16">
        <v>36.383442265795203</v>
      </c>
      <c r="AR120" s="16">
        <v>0</v>
      </c>
      <c r="AS120" s="16">
        <v>0</v>
      </c>
      <c r="AT120" s="16">
        <v>2.9411764705882351</v>
      </c>
      <c r="AU120" s="16">
        <v>0</v>
      </c>
      <c r="AW120" s="16">
        <v>13.272919049879567</v>
      </c>
      <c r="AX120" s="16">
        <v>0</v>
      </c>
      <c r="AY120" s="16">
        <v>0</v>
      </c>
      <c r="AZ120" s="16">
        <v>0</v>
      </c>
      <c r="BA120" s="16">
        <v>10.873698668459298</v>
      </c>
      <c r="BB120" s="16">
        <v>5.5283316873733925</v>
      </c>
      <c r="BC120" s="16">
        <v>0</v>
      </c>
      <c r="BD120" s="16">
        <v>0</v>
      </c>
      <c r="BE120" s="16">
        <v>0</v>
      </c>
      <c r="BF120" s="16">
        <v>0</v>
      </c>
      <c r="BG120" s="16">
        <v>0</v>
      </c>
      <c r="BH120" s="16">
        <v>1.9436596303294476</v>
      </c>
      <c r="BI120" s="16">
        <v>0</v>
      </c>
      <c r="BJ120" s="16">
        <v>0</v>
      </c>
      <c r="BK120" s="16">
        <v>0</v>
      </c>
      <c r="BL120" s="16">
        <v>67.828720259605902</v>
      </c>
      <c r="BM120" s="16">
        <v>0</v>
      </c>
      <c r="BN120" s="16">
        <v>0</v>
      </c>
      <c r="BO120" s="16">
        <v>0.55267070435238763</v>
      </c>
      <c r="BP120" s="16">
        <v>0</v>
      </c>
      <c r="BR120" s="16">
        <f>SUM(G120,AB120,AW120)</f>
        <v>55.168343886480876</v>
      </c>
      <c r="BS120" s="16">
        <f t="shared" ref="BS120:CK120" si="39">SUM(H120,AC120,AX120)</f>
        <v>0</v>
      </c>
      <c r="BT120" s="16">
        <f t="shared" si="39"/>
        <v>0</v>
      </c>
      <c r="BU120" s="16">
        <f t="shared" si="39"/>
        <v>0</v>
      </c>
      <c r="BV120" s="16">
        <f t="shared" si="39"/>
        <v>48.557068312613254</v>
      </c>
      <c r="BW120" s="16">
        <f t="shared" si="39"/>
        <v>32.115114548666057</v>
      </c>
      <c r="BX120" s="16">
        <f t="shared" si="39"/>
        <v>0</v>
      </c>
      <c r="BY120" s="16">
        <f t="shared" si="39"/>
        <v>0</v>
      </c>
      <c r="BZ120" s="16">
        <f t="shared" si="39"/>
        <v>0</v>
      </c>
      <c r="CA120" s="16">
        <f t="shared" si="39"/>
        <v>0</v>
      </c>
      <c r="CB120" s="16">
        <f t="shared" si="39"/>
        <v>0</v>
      </c>
      <c r="CC120" s="16">
        <f t="shared" si="39"/>
        <v>23.120130218564746</v>
      </c>
      <c r="CD120" s="16">
        <f t="shared" si="39"/>
        <v>0</v>
      </c>
      <c r="CE120" s="16">
        <f t="shared" si="39"/>
        <v>0</v>
      </c>
      <c r="CF120" s="16">
        <f t="shared" si="39"/>
        <v>0</v>
      </c>
      <c r="CG120" s="16">
        <f t="shared" si="39"/>
        <v>124.21216252540111</v>
      </c>
      <c r="CH120" s="16">
        <f t="shared" si="39"/>
        <v>0</v>
      </c>
      <c r="CI120" s="16">
        <f t="shared" si="39"/>
        <v>0</v>
      </c>
      <c r="CJ120" s="16">
        <f t="shared" si="39"/>
        <v>16.827180508273955</v>
      </c>
      <c r="CK120" s="16">
        <f t="shared" si="39"/>
        <v>0</v>
      </c>
      <c r="CL120" s="21">
        <f>SUM(BR120:CK120)</f>
        <v>300</v>
      </c>
    </row>
    <row r="121" spans="1:90" x14ac:dyDescent="0.35">
      <c r="A121" s="1" t="s">
        <v>61</v>
      </c>
      <c r="B121" s="1">
        <v>119</v>
      </c>
      <c r="C121" s="1" t="s">
        <v>187</v>
      </c>
      <c r="D121" s="1" t="s">
        <v>186</v>
      </c>
      <c r="E121" s="6" t="s">
        <v>21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</row>
    <row r="122" spans="1:90" x14ac:dyDescent="0.35">
      <c r="A122" s="1" t="s">
        <v>61</v>
      </c>
      <c r="B122" s="1">
        <v>120</v>
      </c>
      <c r="C122" s="1" t="s">
        <v>188</v>
      </c>
      <c r="D122" s="1" t="s">
        <v>186</v>
      </c>
      <c r="E122" s="6" t="s">
        <v>21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</row>
    <row r="123" spans="1:90" x14ac:dyDescent="0.35">
      <c r="A123" s="1" t="s">
        <v>91</v>
      </c>
      <c r="B123" s="1">
        <v>121</v>
      </c>
      <c r="C123" s="1" t="s">
        <v>189</v>
      </c>
      <c r="D123" s="1" t="s">
        <v>190</v>
      </c>
      <c r="E123" s="6" t="s">
        <v>21</v>
      </c>
      <c r="G123" s="16">
        <v>15.789473684210527</v>
      </c>
      <c r="H123" s="16">
        <v>0</v>
      </c>
      <c r="I123" s="16">
        <v>0</v>
      </c>
      <c r="J123" s="16">
        <v>0</v>
      </c>
      <c r="K123" s="16">
        <v>15.789473684210527</v>
      </c>
      <c r="L123" s="16">
        <v>0</v>
      </c>
      <c r="M123" s="16">
        <v>10.526315789473685</v>
      </c>
      <c r="N123" s="16">
        <v>0</v>
      </c>
      <c r="O123" s="16">
        <v>0</v>
      </c>
      <c r="P123" s="16">
        <v>0</v>
      </c>
      <c r="Q123" s="16">
        <v>10.526315789473685</v>
      </c>
      <c r="R123" s="16">
        <v>0</v>
      </c>
      <c r="S123" s="16">
        <v>0</v>
      </c>
      <c r="T123" s="16">
        <v>5.2631578947368425</v>
      </c>
      <c r="U123" s="16">
        <v>0</v>
      </c>
      <c r="V123" s="16">
        <v>15.789473684210527</v>
      </c>
      <c r="W123" s="16">
        <v>0</v>
      </c>
      <c r="X123" s="16">
        <v>15.789473684210527</v>
      </c>
      <c r="Y123" s="16">
        <v>5.2631578947368425</v>
      </c>
      <c r="Z123" s="16">
        <v>5.2631578947368425</v>
      </c>
      <c r="AB123" s="16">
        <v>43.015873015873012</v>
      </c>
      <c r="AC123" s="16">
        <v>0</v>
      </c>
      <c r="AD123" s="16">
        <v>0</v>
      </c>
      <c r="AE123" s="16">
        <v>0</v>
      </c>
      <c r="AF123" s="16">
        <v>8.8095238095238084</v>
      </c>
      <c r="AG123" s="16">
        <v>0</v>
      </c>
      <c r="AH123" s="16">
        <v>3.1746031746031744</v>
      </c>
      <c r="AI123" s="16">
        <v>0</v>
      </c>
      <c r="AJ123" s="16">
        <v>0</v>
      </c>
      <c r="AK123" s="16">
        <v>0</v>
      </c>
      <c r="AL123" s="16">
        <v>7.3809523809523805</v>
      </c>
      <c r="AM123" s="16">
        <v>0</v>
      </c>
      <c r="AN123" s="16">
        <v>0</v>
      </c>
      <c r="AO123" s="16">
        <v>1.1111111111111112</v>
      </c>
      <c r="AP123" s="16">
        <v>0</v>
      </c>
      <c r="AQ123" s="16">
        <v>22.222222222222225</v>
      </c>
      <c r="AR123" s="16">
        <v>0</v>
      </c>
      <c r="AS123" s="16">
        <v>12.063492063492063</v>
      </c>
      <c r="AT123" s="16">
        <v>1.1111111111111112</v>
      </c>
      <c r="AU123" s="16">
        <v>1.1111111111111112</v>
      </c>
      <c r="AW123" s="16">
        <v>24.090142830111859</v>
      </c>
      <c r="AX123" s="16">
        <v>0</v>
      </c>
      <c r="AY123" s="16">
        <v>0</v>
      </c>
      <c r="AZ123" s="16">
        <v>0</v>
      </c>
      <c r="BA123" s="16">
        <v>12.95740543271714</v>
      </c>
      <c r="BB123" s="16">
        <v>0</v>
      </c>
      <c r="BC123" s="16">
        <v>0.57227387734260649</v>
      </c>
      <c r="BD123" s="16">
        <v>0</v>
      </c>
      <c r="BE123" s="16">
        <v>0</v>
      </c>
      <c r="BF123" s="16">
        <v>0</v>
      </c>
      <c r="BG123" s="16">
        <v>3.1042849758826176</v>
      </c>
      <c r="BH123" s="16">
        <v>0</v>
      </c>
      <c r="BI123" s="16">
        <v>0</v>
      </c>
      <c r="BJ123" s="16">
        <v>0.61117390273414973</v>
      </c>
      <c r="BK123" s="16">
        <v>0</v>
      </c>
      <c r="BL123" s="16">
        <v>54.104552275451375</v>
      </c>
      <c r="BM123" s="16">
        <v>0</v>
      </c>
      <c r="BN123" s="16">
        <v>3.881410891219645</v>
      </c>
      <c r="BO123" s="16">
        <v>0.47958148096466507</v>
      </c>
      <c r="BP123" s="16">
        <v>0.19917433357594241</v>
      </c>
      <c r="BR123" s="16">
        <f>SUM(G123,AB123,AW123)</f>
        <v>82.895489530195391</v>
      </c>
      <c r="BS123" s="16">
        <f t="shared" ref="BS123:CK123" si="40">SUM(H123,AC123,AX123)</f>
        <v>0</v>
      </c>
      <c r="BT123" s="16">
        <f t="shared" si="40"/>
        <v>0</v>
      </c>
      <c r="BU123" s="16">
        <f t="shared" si="40"/>
        <v>0</v>
      </c>
      <c r="BV123" s="16">
        <f t="shared" si="40"/>
        <v>37.556402926451476</v>
      </c>
      <c r="BW123" s="16">
        <f t="shared" si="40"/>
        <v>0</v>
      </c>
      <c r="BX123" s="16">
        <f t="shared" si="40"/>
        <v>14.273192841419466</v>
      </c>
      <c r="BY123" s="16">
        <f t="shared" si="40"/>
        <v>0</v>
      </c>
      <c r="BZ123" s="16">
        <f t="shared" si="40"/>
        <v>0</v>
      </c>
      <c r="CA123" s="16">
        <f t="shared" si="40"/>
        <v>0</v>
      </c>
      <c r="CB123" s="16">
        <f t="shared" si="40"/>
        <v>21.011553146308682</v>
      </c>
      <c r="CC123" s="16">
        <f t="shared" si="40"/>
        <v>0</v>
      </c>
      <c r="CD123" s="16">
        <f t="shared" si="40"/>
        <v>0</v>
      </c>
      <c r="CE123" s="16">
        <f t="shared" si="40"/>
        <v>6.9854429085821028</v>
      </c>
      <c r="CF123" s="16">
        <f t="shared" si="40"/>
        <v>0</v>
      </c>
      <c r="CG123" s="16">
        <f t="shared" si="40"/>
        <v>92.116248181884117</v>
      </c>
      <c r="CH123" s="16">
        <f t="shared" si="40"/>
        <v>0</v>
      </c>
      <c r="CI123" s="16">
        <f t="shared" si="40"/>
        <v>31.734376638922235</v>
      </c>
      <c r="CJ123" s="16">
        <f t="shared" si="40"/>
        <v>6.8538504868126182</v>
      </c>
      <c r="CK123" s="16">
        <f t="shared" si="40"/>
        <v>6.5734433394238954</v>
      </c>
      <c r="CL123" s="21">
        <f>SUM(BR123:CK123)</f>
        <v>300</v>
      </c>
    </row>
    <row r="124" spans="1:90" x14ac:dyDescent="0.35">
      <c r="A124" s="1" t="s">
        <v>91</v>
      </c>
      <c r="B124" s="1">
        <v>122</v>
      </c>
      <c r="C124" s="1" t="s">
        <v>191</v>
      </c>
      <c r="D124" s="1" t="s">
        <v>190</v>
      </c>
      <c r="E124" s="6" t="s">
        <v>21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</row>
    <row r="125" spans="1:90" x14ac:dyDescent="0.35">
      <c r="A125" s="1" t="s">
        <v>91</v>
      </c>
      <c r="B125" s="1">
        <v>123</v>
      </c>
      <c r="C125" s="1" t="s">
        <v>192</v>
      </c>
      <c r="D125" s="1" t="s">
        <v>190</v>
      </c>
      <c r="E125" s="6" t="s">
        <v>21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</row>
    <row r="126" spans="1:90" x14ac:dyDescent="0.35">
      <c r="A126" s="1" t="s">
        <v>56</v>
      </c>
      <c r="B126" s="1">
        <v>124</v>
      </c>
      <c r="C126" s="1" t="s">
        <v>193</v>
      </c>
      <c r="D126" s="1" t="s">
        <v>194</v>
      </c>
      <c r="E126" s="6" t="s">
        <v>21</v>
      </c>
      <c r="G126" s="16">
        <v>25</v>
      </c>
      <c r="H126" s="16">
        <v>0</v>
      </c>
      <c r="I126" s="16">
        <v>8.3333333333333321</v>
      </c>
      <c r="J126" s="16">
        <v>0</v>
      </c>
      <c r="K126" s="16">
        <v>0</v>
      </c>
      <c r="L126" s="16">
        <v>25</v>
      </c>
      <c r="M126" s="16">
        <v>8.3333333333333321</v>
      </c>
      <c r="N126" s="16">
        <v>0</v>
      </c>
      <c r="O126" s="16">
        <v>0</v>
      </c>
      <c r="P126" s="16">
        <v>0</v>
      </c>
      <c r="Q126" s="16">
        <v>8.3333333333333321</v>
      </c>
      <c r="R126" s="16">
        <v>0</v>
      </c>
      <c r="S126" s="16">
        <v>0</v>
      </c>
      <c r="T126" s="16">
        <v>0</v>
      </c>
      <c r="U126" s="16">
        <v>8.3333333333333321</v>
      </c>
      <c r="V126" s="16">
        <v>8.3333333333333321</v>
      </c>
      <c r="W126" s="16">
        <v>0</v>
      </c>
      <c r="X126" s="16">
        <v>0</v>
      </c>
      <c r="Y126" s="16">
        <v>8.3333333333333321</v>
      </c>
      <c r="Z126" s="16">
        <v>0</v>
      </c>
      <c r="AB126" s="16">
        <v>80.169352044352038</v>
      </c>
      <c r="AC126" s="16">
        <v>0</v>
      </c>
      <c r="AD126" s="16">
        <v>1.2820512820512822</v>
      </c>
      <c r="AE126" s="16">
        <v>0</v>
      </c>
      <c r="AF126" s="16">
        <v>0</v>
      </c>
      <c r="AG126" s="16">
        <v>11.096673596673597</v>
      </c>
      <c r="AH126" s="16">
        <v>1.2820512820512822</v>
      </c>
      <c r="AI126" s="16">
        <v>0</v>
      </c>
      <c r="AJ126" s="16">
        <v>0</v>
      </c>
      <c r="AK126" s="16">
        <v>0</v>
      </c>
      <c r="AL126" s="16">
        <v>1.2820512820512822</v>
      </c>
      <c r="AM126" s="16">
        <v>0</v>
      </c>
      <c r="AN126" s="16">
        <v>0</v>
      </c>
      <c r="AO126" s="16">
        <v>0</v>
      </c>
      <c r="AP126" s="16">
        <v>1.2820512820512822</v>
      </c>
      <c r="AQ126" s="16">
        <v>1.0416666666666667</v>
      </c>
      <c r="AR126" s="16">
        <v>0</v>
      </c>
      <c r="AS126" s="16">
        <v>0</v>
      </c>
      <c r="AT126" s="16">
        <v>2.5641025641025643</v>
      </c>
      <c r="AU126" s="16">
        <v>0</v>
      </c>
      <c r="AW126" s="16">
        <v>67.892715181048587</v>
      </c>
      <c r="AX126" s="16">
        <v>0</v>
      </c>
      <c r="AY126" s="16">
        <v>0.7613787778771105</v>
      </c>
      <c r="AZ126" s="16">
        <v>0</v>
      </c>
      <c r="BA126" s="16">
        <v>0</v>
      </c>
      <c r="BB126" s="16">
        <v>27.001857758339479</v>
      </c>
      <c r="BC126" s="16">
        <v>0.86037522408615141</v>
      </c>
      <c r="BD126" s="16">
        <v>0</v>
      </c>
      <c r="BE126" s="16">
        <v>0</v>
      </c>
      <c r="BF126" s="16">
        <v>0</v>
      </c>
      <c r="BG126" s="16">
        <v>0.2167975126823655</v>
      </c>
      <c r="BH126" s="16">
        <v>0</v>
      </c>
      <c r="BI126" s="16">
        <v>0</v>
      </c>
      <c r="BJ126" s="16">
        <v>0</v>
      </c>
      <c r="BK126" s="16">
        <v>2.0866004512840033</v>
      </c>
      <c r="BL126" s="16">
        <v>0.60430799080484965</v>
      </c>
      <c r="BM126" s="16">
        <v>0</v>
      </c>
      <c r="BN126" s="16">
        <v>0</v>
      </c>
      <c r="BO126" s="16">
        <v>0.57596710387744821</v>
      </c>
      <c r="BP126" s="16">
        <v>0</v>
      </c>
      <c r="BR126" s="16">
        <f>SUM(G126,AB126,AW126)</f>
        <v>173.06206722540063</v>
      </c>
      <c r="BS126" s="16">
        <f t="shared" ref="BS126:CK126" si="41">SUM(H126,AC126,AX126)</f>
        <v>0</v>
      </c>
      <c r="BT126" s="16">
        <f t="shared" si="41"/>
        <v>10.376763393261726</v>
      </c>
      <c r="BU126" s="16">
        <f t="shared" si="41"/>
        <v>0</v>
      </c>
      <c r="BV126" s="16">
        <f t="shared" si="41"/>
        <v>0</v>
      </c>
      <c r="BW126" s="16">
        <f t="shared" si="41"/>
        <v>63.09853135501308</v>
      </c>
      <c r="BX126" s="16">
        <f t="shared" si="41"/>
        <v>10.475759839470767</v>
      </c>
      <c r="BY126" s="16">
        <f t="shared" si="41"/>
        <v>0</v>
      </c>
      <c r="BZ126" s="16">
        <f t="shared" si="41"/>
        <v>0</v>
      </c>
      <c r="CA126" s="16">
        <f t="shared" si="41"/>
        <v>0</v>
      </c>
      <c r="CB126" s="16">
        <f t="shared" si="41"/>
        <v>9.8321821280669806</v>
      </c>
      <c r="CC126" s="16">
        <f t="shared" si="41"/>
        <v>0</v>
      </c>
      <c r="CD126" s="16">
        <f t="shared" si="41"/>
        <v>0</v>
      </c>
      <c r="CE126" s="16">
        <f t="shared" si="41"/>
        <v>0</v>
      </c>
      <c r="CF126" s="16">
        <f t="shared" si="41"/>
        <v>11.701985066668618</v>
      </c>
      <c r="CG126" s="16">
        <f t="shared" si="41"/>
        <v>9.9793079908048483</v>
      </c>
      <c r="CH126" s="16">
        <f t="shared" si="41"/>
        <v>0</v>
      </c>
      <c r="CI126" s="16">
        <f t="shared" si="41"/>
        <v>0</v>
      </c>
      <c r="CJ126" s="16">
        <f t="shared" si="41"/>
        <v>11.473403001313343</v>
      </c>
      <c r="CK126" s="16">
        <f t="shared" si="41"/>
        <v>0</v>
      </c>
      <c r="CL126" s="21">
        <f>SUM(BR126:CK126)</f>
        <v>299.99999999999994</v>
      </c>
    </row>
    <row r="127" spans="1:90" x14ac:dyDescent="0.35">
      <c r="A127" s="1" t="s">
        <v>56</v>
      </c>
      <c r="B127" s="1">
        <v>125</v>
      </c>
      <c r="C127" s="1" t="s">
        <v>195</v>
      </c>
      <c r="D127" s="1" t="s">
        <v>194</v>
      </c>
      <c r="E127" s="6" t="s">
        <v>21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</row>
    <row r="128" spans="1:90" x14ac:dyDescent="0.35">
      <c r="A128" s="1" t="s">
        <v>56</v>
      </c>
      <c r="B128" s="1">
        <v>126</v>
      </c>
      <c r="C128" s="1" t="s">
        <v>196</v>
      </c>
      <c r="D128" s="1" t="s">
        <v>194</v>
      </c>
      <c r="E128" s="6" t="s">
        <v>21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</row>
    <row r="129" spans="1:90" x14ac:dyDescent="0.35">
      <c r="A129" s="1" t="s">
        <v>18</v>
      </c>
      <c r="B129" s="1">
        <v>127</v>
      </c>
      <c r="C129" s="1" t="s">
        <v>197</v>
      </c>
      <c r="D129" s="1" t="s">
        <v>198</v>
      </c>
      <c r="E129" s="6" t="s">
        <v>21</v>
      </c>
      <c r="G129" s="16">
        <v>13.333333333333334</v>
      </c>
      <c r="H129" s="16">
        <v>0</v>
      </c>
      <c r="I129" s="16">
        <v>0</v>
      </c>
      <c r="J129" s="16">
        <v>0</v>
      </c>
      <c r="K129" s="16">
        <v>20</v>
      </c>
      <c r="L129" s="16">
        <v>0</v>
      </c>
      <c r="M129" s="16">
        <v>6.666666666666667</v>
      </c>
      <c r="N129" s="16">
        <v>6.666666666666667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6.666666666666667</v>
      </c>
      <c r="U129" s="16">
        <v>13.333333333333334</v>
      </c>
      <c r="V129" s="16">
        <v>20</v>
      </c>
      <c r="W129" s="16">
        <v>0</v>
      </c>
      <c r="X129" s="16">
        <v>0</v>
      </c>
      <c r="Y129" s="16">
        <v>0</v>
      </c>
      <c r="Z129" s="16">
        <v>13.333333333333334</v>
      </c>
      <c r="AB129" s="16">
        <v>4.3137254901960782</v>
      </c>
      <c r="AC129" s="16">
        <v>0</v>
      </c>
      <c r="AD129" s="16">
        <v>0</v>
      </c>
      <c r="AE129" s="16">
        <v>0</v>
      </c>
      <c r="AF129" s="16">
        <v>24.093137254901961</v>
      </c>
      <c r="AG129" s="16">
        <v>0</v>
      </c>
      <c r="AH129" s="16">
        <v>1.0416666666666667</v>
      </c>
      <c r="AI129" s="16">
        <v>1.0416666666666667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>
        <v>2.2222222222222223</v>
      </c>
      <c r="AP129" s="16">
        <v>2.0915032679738563</v>
      </c>
      <c r="AQ129" s="16">
        <v>61.090686274509807</v>
      </c>
      <c r="AR129" s="16">
        <v>0</v>
      </c>
      <c r="AS129" s="16">
        <v>0</v>
      </c>
      <c r="AT129" s="16">
        <v>0</v>
      </c>
      <c r="AU129" s="16">
        <v>4.1053921568627452</v>
      </c>
      <c r="AW129" s="16">
        <v>1.7212217390997504</v>
      </c>
      <c r="AX129" s="16">
        <v>0</v>
      </c>
      <c r="AY129" s="16">
        <v>0</v>
      </c>
      <c r="AZ129" s="16">
        <v>0</v>
      </c>
      <c r="BA129" s="16">
        <v>8.8677425212133283</v>
      </c>
      <c r="BB129" s="16">
        <v>0</v>
      </c>
      <c r="BC129" s="16">
        <v>0.1285753879811532</v>
      </c>
      <c r="BD129" s="16">
        <v>0.33209841921152455</v>
      </c>
      <c r="BE129" s="16">
        <v>0</v>
      </c>
      <c r="BF129" s="16">
        <v>0</v>
      </c>
      <c r="BG129" s="16">
        <v>0</v>
      </c>
      <c r="BH129" s="16">
        <v>0</v>
      </c>
      <c r="BI129" s="16">
        <v>0</v>
      </c>
      <c r="BJ129" s="16">
        <v>1.7449053882329146</v>
      </c>
      <c r="BK129" s="16">
        <v>1.6708877525169576</v>
      </c>
      <c r="BL129" s="16">
        <v>84.707113349859412</v>
      </c>
      <c r="BM129" s="16">
        <v>0</v>
      </c>
      <c r="BN129" s="16">
        <v>0</v>
      </c>
      <c r="BO129" s="16">
        <v>0</v>
      </c>
      <c r="BP129" s="16">
        <v>0.82745544188496167</v>
      </c>
      <c r="BR129" s="16">
        <f>SUM(G129,AB129,AW129)</f>
        <v>19.368280562629163</v>
      </c>
      <c r="BS129" s="16">
        <f t="shared" ref="BS129:CK129" si="42">SUM(H129,AC129,AX129)</f>
        <v>0</v>
      </c>
      <c r="BT129" s="16">
        <f t="shared" si="42"/>
        <v>0</v>
      </c>
      <c r="BU129" s="16">
        <f t="shared" si="42"/>
        <v>0</v>
      </c>
      <c r="BV129" s="16">
        <f t="shared" si="42"/>
        <v>52.960879776115291</v>
      </c>
      <c r="BW129" s="16">
        <f t="shared" si="42"/>
        <v>0</v>
      </c>
      <c r="BX129" s="16">
        <f t="shared" si="42"/>
        <v>7.8369087213144875</v>
      </c>
      <c r="BY129" s="16">
        <f t="shared" si="42"/>
        <v>8.0404317525448583</v>
      </c>
      <c r="BZ129" s="16">
        <f t="shared" si="42"/>
        <v>0</v>
      </c>
      <c r="CA129" s="16">
        <f t="shared" si="42"/>
        <v>0</v>
      </c>
      <c r="CB129" s="16">
        <f t="shared" si="42"/>
        <v>0</v>
      </c>
      <c r="CC129" s="16">
        <f t="shared" si="42"/>
        <v>0</v>
      </c>
      <c r="CD129" s="16">
        <f t="shared" si="42"/>
        <v>0</v>
      </c>
      <c r="CE129" s="16">
        <f t="shared" si="42"/>
        <v>10.633794277121805</v>
      </c>
      <c r="CF129" s="16">
        <f t="shared" si="42"/>
        <v>17.095724353824146</v>
      </c>
      <c r="CG129" s="16">
        <f t="shared" si="42"/>
        <v>165.79779962436922</v>
      </c>
      <c r="CH129" s="16">
        <f t="shared" si="42"/>
        <v>0</v>
      </c>
      <c r="CI129" s="16">
        <f t="shared" si="42"/>
        <v>0</v>
      </c>
      <c r="CJ129" s="16">
        <f t="shared" si="42"/>
        <v>0</v>
      </c>
      <c r="CK129" s="16">
        <f t="shared" si="42"/>
        <v>18.266180932081038</v>
      </c>
      <c r="CL129" s="21">
        <f>SUM(BR129:CK129)</f>
        <v>300</v>
      </c>
    </row>
    <row r="130" spans="1:90" x14ac:dyDescent="0.35">
      <c r="A130" s="1" t="s">
        <v>18</v>
      </c>
      <c r="B130" s="1">
        <v>128</v>
      </c>
      <c r="C130" s="1" t="s">
        <v>199</v>
      </c>
      <c r="D130" s="1" t="s">
        <v>198</v>
      </c>
      <c r="E130" s="6" t="s">
        <v>21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</row>
    <row r="131" spans="1:90" x14ac:dyDescent="0.35">
      <c r="A131" s="1" t="s">
        <v>18</v>
      </c>
      <c r="B131" s="1">
        <v>129</v>
      </c>
      <c r="C131" s="1" t="s">
        <v>200</v>
      </c>
      <c r="D131" s="1" t="s">
        <v>198</v>
      </c>
      <c r="E131" s="6" t="s">
        <v>21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1"/>
  <sheetViews>
    <sheetView workbookViewId="0">
      <selection activeCell="D121" sqref="D121"/>
    </sheetView>
  </sheetViews>
  <sheetFormatPr defaultRowHeight="14.5" x14ac:dyDescent="0.35"/>
  <cols>
    <col min="4" max="4" width="10.1796875" customWidth="1"/>
    <col min="5" max="5" width="12.453125" style="22" customWidth="1"/>
    <col min="6" max="6" width="9.1796875" style="22"/>
    <col min="7" max="7" width="12.453125" style="22" customWidth="1"/>
    <col min="8" max="8" width="9.1796875" style="22"/>
  </cols>
  <sheetData>
    <row r="1" spans="1:7" x14ac:dyDescent="0.35">
      <c r="A1" s="2" t="s">
        <v>226</v>
      </c>
      <c r="B1" s="1"/>
      <c r="C1" s="1"/>
    </row>
    <row r="2" spans="1:7" x14ac:dyDescent="0.35">
      <c r="A2" s="7" t="s">
        <v>2</v>
      </c>
      <c r="B2" s="7" t="s">
        <v>4</v>
      </c>
      <c r="C2" s="7" t="s">
        <v>5</v>
      </c>
      <c r="D2" s="10" t="s">
        <v>222</v>
      </c>
      <c r="E2" s="22" t="s">
        <v>221</v>
      </c>
      <c r="F2" s="22" t="s">
        <v>223</v>
      </c>
      <c r="G2" s="22" t="s">
        <v>224</v>
      </c>
    </row>
    <row r="3" spans="1:7" x14ac:dyDescent="0.35">
      <c r="A3" s="1">
        <v>1</v>
      </c>
      <c r="B3" s="1" t="s">
        <v>20</v>
      </c>
      <c r="C3" s="3" t="s">
        <v>21</v>
      </c>
      <c r="D3" s="4">
        <v>23</v>
      </c>
      <c r="E3" s="22">
        <v>35.384615384615387</v>
      </c>
      <c r="F3" s="22">
        <v>0.87003548940000008</v>
      </c>
      <c r="G3" s="22">
        <v>29.466125131967829</v>
      </c>
    </row>
    <row r="4" spans="1:7" x14ac:dyDescent="0.35">
      <c r="A4" s="1">
        <v>2</v>
      </c>
      <c r="B4" s="1" t="s">
        <v>20</v>
      </c>
      <c r="C4" s="3" t="s">
        <v>21</v>
      </c>
      <c r="D4" s="4">
        <v>26</v>
      </c>
      <c r="E4" s="22">
        <v>50.980392156862742</v>
      </c>
      <c r="F4" s="22">
        <v>1.1581045014</v>
      </c>
      <c r="G4" s="22">
        <v>38.913466983982715</v>
      </c>
    </row>
    <row r="5" spans="1:7" x14ac:dyDescent="0.35">
      <c r="A5" s="1">
        <v>3</v>
      </c>
      <c r="B5" s="1" t="s">
        <v>20</v>
      </c>
      <c r="C5" s="3" t="s">
        <v>21</v>
      </c>
      <c r="D5" s="4">
        <v>15</v>
      </c>
      <c r="E5" s="22">
        <v>53.571428571428569</v>
      </c>
      <c r="F5" s="22">
        <v>0.5901236418000001</v>
      </c>
      <c r="G5" s="22">
        <v>42.03136659965071</v>
      </c>
    </row>
    <row r="6" spans="1:7" x14ac:dyDescent="0.35">
      <c r="A6" s="1">
        <v>4</v>
      </c>
      <c r="B6" s="1" t="s">
        <v>26</v>
      </c>
      <c r="C6" s="3" t="s">
        <v>27</v>
      </c>
      <c r="D6" s="4">
        <v>8</v>
      </c>
      <c r="E6" s="22">
        <v>19.512195121951219</v>
      </c>
      <c r="F6" s="22">
        <v>0.54909120420000002</v>
      </c>
      <c r="G6" s="22">
        <v>16.745212406426539</v>
      </c>
    </row>
    <row r="7" spans="1:7" x14ac:dyDescent="0.35">
      <c r="A7" s="1">
        <v>5</v>
      </c>
      <c r="B7" s="1" t="s">
        <v>26</v>
      </c>
      <c r="C7" s="3" t="s">
        <v>27</v>
      </c>
      <c r="D7" s="4">
        <v>12</v>
      </c>
      <c r="E7" s="22">
        <v>20.33898305084746</v>
      </c>
      <c r="F7" s="22">
        <v>0.65577915480000004</v>
      </c>
      <c r="G7" s="22">
        <v>16.522077071972653</v>
      </c>
    </row>
    <row r="8" spans="1:7" x14ac:dyDescent="0.35">
      <c r="A8" s="1">
        <v>6</v>
      </c>
      <c r="B8" s="1" t="s">
        <v>26</v>
      </c>
      <c r="C8" s="3" t="s">
        <v>27</v>
      </c>
      <c r="D8" s="4">
        <v>30</v>
      </c>
      <c r="E8" s="22">
        <v>50.847457627118644</v>
      </c>
      <c r="F8" s="22">
        <v>1.6886531970000003</v>
      </c>
      <c r="G8" s="22">
        <v>40.895831661085325</v>
      </c>
    </row>
    <row r="9" spans="1:7" x14ac:dyDescent="0.35">
      <c r="A9" s="1">
        <v>7</v>
      </c>
      <c r="B9" s="1" t="s">
        <v>31</v>
      </c>
      <c r="C9" s="3" t="s">
        <v>21</v>
      </c>
      <c r="D9" s="4">
        <v>2</v>
      </c>
      <c r="E9" s="22">
        <v>6.8965517241379306</v>
      </c>
      <c r="F9" s="22">
        <v>0.1745535792</v>
      </c>
      <c r="G9" s="22">
        <v>5.9170954880043629</v>
      </c>
    </row>
    <row r="10" spans="1:7" x14ac:dyDescent="0.35">
      <c r="A10" s="1">
        <v>8</v>
      </c>
      <c r="B10" s="1" t="s">
        <v>31</v>
      </c>
      <c r="C10" s="3" t="s">
        <v>21</v>
      </c>
      <c r="D10" s="4">
        <v>12</v>
      </c>
      <c r="E10" s="22">
        <v>32.432432432432435</v>
      </c>
      <c r="F10" s="22">
        <v>0.67983045899999994</v>
      </c>
      <c r="G10" s="22">
        <v>23.104705957092193</v>
      </c>
    </row>
    <row r="11" spans="1:7" x14ac:dyDescent="0.35">
      <c r="A11" s="1">
        <v>9</v>
      </c>
      <c r="B11" s="1" t="s">
        <v>31</v>
      </c>
      <c r="C11" s="3" t="s">
        <v>21</v>
      </c>
      <c r="D11" s="4">
        <v>3</v>
      </c>
      <c r="E11" s="22">
        <v>9.67741935483871</v>
      </c>
      <c r="F11" s="22">
        <v>0.22565248860000003</v>
      </c>
      <c r="G11" s="22">
        <v>7.875415001907804</v>
      </c>
    </row>
    <row r="12" spans="1:7" x14ac:dyDescent="0.35">
      <c r="A12" s="1">
        <v>10</v>
      </c>
      <c r="B12" s="1" t="s">
        <v>35</v>
      </c>
      <c r="C12" s="3" t="s">
        <v>21</v>
      </c>
      <c r="D12" s="4">
        <v>7</v>
      </c>
      <c r="E12" s="22">
        <v>10.9375</v>
      </c>
      <c r="F12" s="22">
        <v>0.3022549068</v>
      </c>
      <c r="G12" s="22">
        <v>11.181010626321028</v>
      </c>
    </row>
    <row r="13" spans="1:7" x14ac:dyDescent="0.35">
      <c r="A13" s="1">
        <v>11</v>
      </c>
      <c r="B13" s="1" t="s">
        <v>35</v>
      </c>
      <c r="C13" s="3" t="s">
        <v>21</v>
      </c>
      <c r="D13" s="4">
        <v>5</v>
      </c>
      <c r="E13" s="22">
        <v>10</v>
      </c>
      <c r="F13" s="22">
        <v>0.69395901960000006</v>
      </c>
      <c r="G13" s="22">
        <v>23.701190968926014</v>
      </c>
    </row>
    <row r="14" spans="1:7" x14ac:dyDescent="0.35">
      <c r="A14" s="1">
        <v>12</v>
      </c>
      <c r="B14" s="1" t="s">
        <v>35</v>
      </c>
      <c r="C14" s="3" t="s">
        <v>21</v>
      </c>
      <c r="D14" s="4">
        <v>9</v>
      </c>
      <c r="E14" s="22">
        <v>23.076923076923077</v>
      </c>
      <c r="F14" s="22">
        <v>0.244656027</v>
      </c>
      <c r="G14" s="22">
        <v>10.749606515502823</v>
      </c>
    </row>
    <row r="15" spans="1:7" x14ac:dyDescent="0.35">
      <c r="A15" s="1">
        <v>13</v>
      </c>
      <c r="B15" s="1" t="s">
        <v>39</v>
      </c>
      <c r="C15" s="3" t="s">
        <v>21</v>
      </c>
      <c r="D15" s="4">
        <v>2</v>
      </c>
      <c r="E15" s="22">
        <v>6.8965517241379306</v>
      </c>
      <c r="F15" s="22">
        <v>0.45855814620000007</v>
      </c>
      <c r="G15" s="22">
        <v>12.469472534518061</v>
      </c>
    </row>
    <row r="16" spans="1:7" x14ac:dyDescent="0.35">
      <c r="A16" s="1">
        <v>14</v>
      </c>
      <c r="B16" s="1" t="s">
        <v>39</v>
      </c>
      <c r="C16" s="3" t="s">
        <v>21</v>
      </c>
      <c r="D16" s="4">
        <v>6</v>
      </c>
      <c r="E16" s="22">
        <v>15.384615384615385</v>
      </c>
      <c r="F16" s="22">
        <v>0.50151167219999992</v>
      </c>
      <c r="G16" s="22">
        <v>11.835087996340544</v>
      </c>
    </row>
    <row r="17" spans="1:7" x14ac:dyDescent="0.35">
      <c r="A17" s="1">
        <v>15</v>
      </c>
      <c r="B17" s="1" t="s">
        <v>39</v>
      </c>
      <c r="C17" s="3" t="s">
        <v>21</v>
      </c>
      <c r="D17" s="4">
        <v>4</v>
      </c>
      <c r="E17" s="22">
        <v>15.384615384615385</v>
      </c>
      <c r="F17" s="22">
        <v>0.11409819960000001</v>
      </c>
      <c r="G17" s="22">
        <v>3.2696938091570518</v>
      </c>
    </row>
    <row r="18" spans="1:7" x14ac:dyDescent="0.35">
      <c r="A18" s="1">
        <v>16</v>
      </c>
      <c r="B18" s="1" t="s">
        <v>44</v>
      </c>
      <c r="C18" s="3" t="s">
        <v>27</v>
      </c>
      <c r="D18" s="4">
        <v>9</v>
      </c>
      <c r="E18" s="22">
        <v>18.367346938775512</v>
      </c>
      <c r="F18" s="22">
        <v>0.42313660620000004</v>
      </c>
      <c r="G18" s="22">
        <v>15.044995106040442</v>
      </c>
    </row>
    <row r="19" spans="1:7" x14ac:dyDescent="0.35">
      <c r="A19" s="1">
        <v>17</v>
      </c>
      <c r="B19" s="1" t="s">
        <v>44</v>
      </c>
      <c r="C19" s="3" t="s">
        <v>27</v>
      </c>
      <c r="D19" s="4">
        <v>13</v>
      </c>
      <c r="E19" s="22">
        <v>40.625</v>
      </c>
      <c r="F19" s="22">
        <v>0.81916120440000006</v>
      </c>
      <c r="G19" s="22">
        <v>19.263336484214751</v>
      </c>
    </row>
    <row r="20" spans="1:7" x14ac:dyDescent="0.35">
      <c r="A20" s="1">
        <v>18</v>
      </c>
      <c r="B20" s="1" t="s">
        <v>44</v>
      </c>
      <c r="C20" s="3" t="s">
        <v>27</v>
      </c>
      <c r="D20" s="4">
        <v>25</v>
      </c>
      <c r="E20" s="22">
        <v>45.454545454545453</v>
      </c>
      <c r="F20" s="22">
        <v>1.0928314781999999</v>
      </c>
      <c r="G20" s="22">
        <v>47.475003198703455</v>
      </c>
    </row>
    <row r="21" spans="1:7" x14ac:dyDescent="0.35">
      <c r="A21" s="1">
        <v>19</v>
      </c>
      <c r="B21" s="1" t="s">
        <v>48</v>
      </c>
      <c r="C21" s="3" t="s">
        <v>21</v>
      </c>
      <c r="D21" s="4">
        <v>7</v>
      </c>
      <c r="E21" s="22">
        <v>17.948717948717949</v>
      </c>
      <c r="F21" s="22">
        <v>0.61637877839999999</v>
      </c>
      <c r="G21" s="22">
        <v>18.009863250099254</v>
      </c>
    </row>
    <row r="22" spans="1:7" x14ac:dyDescent="0.35">
      <c r="A22" s="1">
        <v>20</v>
      </c>
      <c r="B22" s="1" t="s">
        <v>48</v>
      </c>
      <c r="C22" s="3" t="s">
        <v>21</v>
      </c>
      <c r="D22" s="4">
        <v>7</v>
      </c>
      <c r="E22" s="22">
        <v>14.893617021276595</v>
      </c>
      <c r="F22" s="22">
        <v>1.0352278859999999</v>
      </c>
      <c r="G22" s="22">
        <v>23.148183922418482</v>
      </c>
    </row>
    <row r="23" spans="1:7" x14ac:dyDescent="0.35">
      <c r="A23" s="1">
        <v>21</v>
      </c>
      <c r="B23" s="1" t="s">
        <v>48</v>
      </c>
      <c r="C23" s="3" t="s">
        <v>21</v>
      </c>
      <c r="D23" s="4">
        <v>5</v>
      </c>
      <c r="E23" s="22">
        <v>14.705882352941178</v>
      </c>
      <c r="F23" s="22">
        <v>0.88642443120000003</v>
      </c>
      <c r="G23" s="22">
        <v>28.37413407111961</v>
      </c>
    </row>
    <row r="24" spans="1:7" x14ac:dyDescent="0.35">
      <c r="A24" s="1">
        <v>22</v>
      </c>
      <c r="B24" s="1" t="s">
        <v>52</v>
      </c>
      <c r="C24" s="3" t="s">
        <v>53</v>
      </c>
      <c r="D24" s="4">
        <v>22</v>
      </c>
      <c r="E24" s="22">
        <v>44.897959183673471</v>
      </c>
      <c r="F24" s="22">
        <v>0.82769771700000005</v>
      </c>
      <c r="G24" s="22">
        <v>21.583925095523028</v>
      </c>
    </row>
    <row r="25" spans="1:7" x14ac:dyDescent="0.35">
      <c r="A25" s="1">
        <v>23</v>
      </c>
      <c r="B25" s="1" t="s">
        <v>52</v>
      </c>
      <c r="C25" s="3" t="s">
        <v>53</v>
      </c>
      <c r="D25" s="4">
        <v>9</v>
      </c>
      <c r="E25" s="22">
        <v>28.125</v>
      </c>
      <c r="F25" s="22">
        <v>0.63985595519999994</v>
      </c>
      <c r="G25" s="22">
        <v>11.477805820334961</v>
      </c>
    </row>
    <row r="26" spans="1:7" x14ac:dyDescent="0.35">
      <c r="A26" s="1">
        <v>24</v>
      </c>
      <c r="B26" s="1" t="s">
        <v>52</v>
      </c>
      <c r="C26" s="3" t="s">
        <v>53</v>
      </c>
      <c r="D26" s="4">
        <v>14</v>
      </c>
      <c r="E26" s="22">
        <v>27.450980392156865</v>
      </c>
      <c r="F26" s="22">
        <v>0.24065991180000001</v>
      </c>
      <c r="G26" s="22">
        <v>7.0701521382793358</v>
      </c>
    </row>
    <row r="27" spans="1:7" x14ac:dyDescent="0.35">
      <c r="A27" s="1">
        <v>25</v>
      </c>
      <c r="B27" s="1" t="s">
        <v>58</v>
      </c>
      <c r="C27" s="3" t="s">
        <v>21</v>
      </c>
      <c r="D27" s="4">
        <v>10</v>
      </c>
      <c r="E27" s="22">
        <v>21.739130434782609</v>
      </c>
      <c r="F27" s="22">
        <v>0.32345677980000004</v>
      </c>
      <c r="G27" s="22">
        <v>13.36729494016417</v>
      </c>
    </row>
    <row r="28" spans="1:7" x14ac:dyDescent="0.35">
      <c r="A28" s="1">
        <v>26</v>
      </c>
      <c r="B28" s="1" t="s">
        <v>58</v>
      </c>
      <c r="C28" s="3" t="s">
        <v>21</v>
      </c>
      <c r="D28" s="4">
        <v>10</v>
      </c>
      <c r="E28" s="22">
        <v>21.276595744680851</v>
      </c>
      <c r="F28" s="22">
        <v>0.2806689732</v>
      </c>
      <c r="G28" s="22">
        <v>12.260865298873988</v>
      </c>
    </row>
    <row r="29" spans="1:7" x14ac:dyDescent="0.35">
      <c r="A29" s="1">
        <v>27</v>
      </c>
      <c r="B29" s="1" t="s">
        <v>58</v>
      </c>
      <c r="C29" s="3" t="s">
        <v>21</v>
      </c>
      <c r="D29" s="4">
        <v>8</v>
      </c>
      <c r="E29" s="22">
        <v>15.384615384615385</v>
      </c>
      <c r="F29" s="22">
        <v>0.28487714640000006</v>
      </c>
      <c r="G29" s="22">
        <v>12.226228164319734</v>
      </c>
    </row>
    <row r="30" spans="1:7" x14ac:dyDescent="0.35">
      <c r="A30" s="1">
        <v>28</v>
      </c>
      <c r="B30" s="5" t="s">
        <v>63</v>
      </c>
      <c r="C30" s="3" t="s">
        <v>21</v>
      </c>
      <c r="D30" s="4">
        <v>2</v>
      </c>
      <c r="E30" s="22">
        <v>6.4516129032258061</v>
      </c>
      <c r="F30" s="22">
        <v>0.40085873520000004</v>
      </c>
      <c r="G30" s="22">
        <v>12.826574553076103</v>
      </c>
    </row>
    <row r="31" spans="1:7" x14ac:dyDescent="0.35">
      <c r="A31" s="1">
        <v>29</v>
      </c>
      <c r="B31" s="1" t="s">
        <v>63</v>
      </c>
      <c r="C31" s="3" t="s">
        <v>21</v>
      </c>
      <c r="D31" s="4">
        <v>3</v>
      </c>
      <c r="E31" s="22">
        <v>13.043478260869565</v>
      </c>
      <c r="F31" s="22">
        <v>0.80972226719999996</v>
      </c>
      <c r="G31" s="22">
        <v>27.893453979648243</v>
      </c>
    </row>
    <row r="32" spans="1:7" x14ac:dyDescent="0.35">
      <c r="A32" s="1">
        <v>30</v>
      </c>
      <c r="B32" s="1" t="s">
        <v>63</v>
      </c>
      <c r="C32" s="3" t="s">
        <v>21</v>
      </c>
      <c r="D32" s="4">
        <v>3</v>
      </c>
      <c r="E32" s="22">
        <v>10</v>
      </c>
      <c r="F32" s="22">
        <v>0.40981936380000006</v>
      </c>
      <c r="G32" s="22">
        <v>11.134545906153036</v>
      </c>
    </row>
    <row r="33" spans="1:7" x14ac:dyDescent="0.35">
      <c r="A33" s="1">
        <v>31</v>
      </c>
      <c r="B33" s="1" t="s">
        <v>67</v>
      </c>
      <c r="C33" s="3" t="s">
        <v>21</v>
      </c>
      <c r="D33" s="4">
        <v>7</v>
      </c>
      <c r="E33" s="22">
        <v>17.5</v>
      </c>
      <c r="F33" s="22">
        <v>0.3184899102</v>
      </c>
      <c r="G33" s="22">
        <v>7.6095972053125491</v>
      </c>
    </row>
    <row r="34" spans="1:7" x14ac:dyDescent="0.35">
      <c r="A34" s="1">
        <v>32</v>
      </c>
      <c r="B34" s="1" t="s">
        <v>67</v>
      </c>
      <c r="C34" s="3" t="s">
        <v>21</v>
      </c>
      <c r="D34" s="4">
        <v>2</v>
      </c>
      <c r="E34" s="22">
        <v>5.2631578947368416</v>
      </c>
      <c r="F34" s="22">
        <v>0.28724041500000003</v>
      </c>
      <c r="G34" s="22">
        <v>14.749521288351378</v>
      </c>
    </row>
    <row r="35" spans="1:7" x14ac:dyDescent="0.35">
      <c r="A35" s="1">
        <v>33</v>
      </c>
      <c r="B35" s="1" t="s">
        <v>67</v>
      </c>
      <c r="C35" s="3" t="s">
        <v>21</v>
      </c>
      <c r="D35" s="4">
        <v>8</v>
      </c>
      <c r="E35" s="22">
        <v>16.666666666666664</v>
      </c>
      <c r="F35" s="22">
        <v>0.43939517159999997</v>
      </c>
      <c r="G35" s="22">
        <v>23.14620668883148</v>
      </c>
    </row>
    <row r="36" spans="1:7" x14ac:dyDescent="0.35">
      <c r="A36" s="1">
        <v>34</v>
      </c>
      <c r="B36" s="1" t="s">
        <v>71</v>
      </c>
      <c r="C36" s="3" t="s">
        <v>21</v>
      </c>
      <c r="D36" s="4">
        <v>11</v>
      </c>
      <c r="E36" s="22">
        <v>18.96551724137931</v>
      </c>
      <c r="F36" s="22">
        <v>0.40027439760000005</v>
      </c>
      <c r="G36" s="22">
        <v>13.795041143352101</v>
      </c>
    </row>
    <row r="37" spans="1:7" x14ac:dyDescent="0.35">
      <c r="A37" s="1">
        <v>35</v>
      </c>
      <c r="B37" s="1" t="s">
        <v>71</v>
      </c>
      <c r="C37" s="3" t="s">
        <v>21</v>
      </c>
      <c r="D37" s="4">
        <v>9</v>
      </c>
      <c r="E37" s="22">
        <v>18</v>
      </c>
      <c r="F37" s="22">
        <v>0.31908995579999999</v>
      </c>
      <c r="G37" s="22">
        <v>11.131691003150094</v>
      </c>
    </row>
    <row r="38" spans="1:7" x14ac:dyDescent="0.35">
      <c r="A38" s="1">
        <v>36</v>
      </c>
      <c r="B38" s="1" t="s">
        <v>71</v>
      </c>
      <c r="C38" s="3" t="s">
        <v>21</v>
      </c>
      <c r="D38" s="4">
        <v>4</v>
      </c>
      <c r="E38" s="22">
        <v>8.1632653061224492</v>
      </c>
      <c r="F38" s="22">
        <v>0.23569775459999998</v>
      </c>
      <c r="G38" s="22">
        <v>7.2647277049460097</v>
      </c>
    </row>
    <row r="39" spans="1:7" x14ac:dyDescent="0.35">
      <c r="A39" s="1">
        <v>37</v>
      </c>
      <c r="B39" s="1" t="s">
        <v>75</v>
      </c>
      <c r="C39" s="3" t="s">
        <v>53</v>
      </c>
      <c r="D39" s="4">
        <v>27</v>
      </c>
      <c r="E39" s="22">
        <v>46.551724137931032</v>
      </c>
      <c r="F39" s="22">
        <v>0.74367955200000002</v>
      </c>
      <c r="G39" s="22">
        <v>45.151338141503253</v>
      </c>
    </row>
    <row r="40" spans="1:7" x14ac:dyDescent="0.35">
      <c r="A40" s="1">
        <v>38</v>
      </c>
      <c r="B40" s="1" t="s">
        <v>75</v>
      </c>
      <c r="C40" s="3" t="s">
        <v>53</v>
      </c>
      <c r="D40" s="4">
        <v>29</v>
      </c>
      <c r="E40" s="22">
        <v>55.769230769230774</v>
      </c>
      <c r="F40" s="22">
        <v>0.74791050180000007</v>
      </c>
      <c r="G40" s="22">
        <v>45.494793931014449</v>
      </c>
    </row>
    <row r="41" spans="1:7" x14ac:dyDescent="0.35">
      <c r="A41" s="1">
        <v>39</v>
      </c>
      <c r="B41" s="1" t="s">
        <v>75</v>
      </c>
      <c r="C41" s="3" t="s">
        <v>53</v>
      </c>
      <c r="D41" s="4">
        <v>17</v>
      </c>
      <c r="E41" s="22">
        <v>34.693877551020407</v>
      </c>
      <c r="F41" s="22">
        <v>0.48564187980000001</v>
      </c>
      <c r="G41" s="22">
        <v>35.777697415052579</v>
      </c>
    </row>
    <row r="42" spans="1:7" x14ac:dyDescent="0.35">
      <c r="A42" s="1">
        <v>40</v>
      </c>
      <c r="B42" s="1" t="s">
        <v>79</v>
      </c>
      <c r="C42" s="3" t="s">
        <v>53</v>
      </c>
      <c r="D42" s="4">
        <v>9</v>
      </c>
      <c r="E42" s="22">
        <v>30</v>
      </c>
      <c r="F42" s="22">
        <v>0.23951244240000005</v>
      </c>
      <c r="G42" s="22">
        <v>22.482715301216018</v>
      </c>
    </row>
    <row r="43" spans="1:7" x14ac:dyDescent="0.35">
      <c r="A43" s="1">
        <v>41</v>
      </c>
      <c r="B43" s="1" t="s">
        <v>79</v>
      </c>
      <c r="C43" s="3" t="s">
        <v>53</v>
      </c>
      <c r="D43" s="4">
        <v>2</v>
      </c>
      <c r="E43" s="22">
        <v>7.6923076923076925</v>
      </c>
      <c r="F43" s="22">
        <v>6.7822431599999997E-2</v>
      </c>
      <c r="G43" s="22">
        <v>9.1448892127075769</v>
      </c>
    </row>
    <row r="44" spans="1:7" x14ac:dyDescent="0.35">
      <c r="A44" s="1">
        <v>42</v>
      </c>
      <c r="B44" s="1" t="s">
        <v>79</v>
      </c>
      <c r="C44" s="3" t="s">
        <v>53</v>
      </c>
      <c r="D44" s="4">
        <v>9</v>
      </c>
      <c r="E44" s="22">
        <v>52.941176470588239</v>
      </c>
      <c r="F44" s="22">
        <v>0.26876859239999995</v>
      </c>
      <c r="G44" s="22">
        <v>58.015963434647553</v>
      </c>
    </row>
    <row r="45" spans="1:7" x14ac:dyDescent="0.35">
      <c r="A45" s="1">
        <v>43</v>
      </c>
      <c r="B45" s="1" t="s">
        <v>83</v>
      </c>
      <c r="C45" s="3" t="s">
        <v>53</v>
      </c>
      <c r="D45" s="4">
        <v>4</v>
      </c>
      <c r="E45" s="22">
        <v>8.8888888888888893</v>
      </c>
      <c r="F45" s="22">
        <v>0.219601767</v>
      </c>
      <c r="G45" s="22">
        <v>11.214024820412369</v>
      </c>
    </row>
    <row r="46" spans="1:7" x14ac:dyDescent="0.35">
      <c r="A46" s="1">
        <v>44</v>
      </c>
      <c r="B46" s="1" t="s">
        <v>83</v>
      </c>
      <c r="C46" s="3" t="s">
        <v>53</v>
      </c>
      <c r="D46" s="4">
        <v>7</v>
      </c>
      <c r="E46" s="22">
        <v>24.137931034482758</v>
      </c>
      <c r="F46" s="22">
        <v>0.18990422220000003</v>
      </c>
      <c r="G46" s="22">
        <v>14.859826237018018</v>
      </c>
    </row>
    <row r="47" spans="1:7" x14ac:dyDescent="0.35">
      <c r="A47" s="1">
        <v>45</v>
      </c>
      <c r="B47" s="1" t="s">
        <v>83</v>
      </c>
      <c r="C47" s="3" t="s">
        <v>53</v>
      </c>
      <c r="D47" s="4">
        <v>13</v>
      </c>
      <c r="E47" s="22">
        <v>41.935483870967744</v>
      </c>
      <c r="F47" s="22">
        <v>0.33207968639999996</v>
      </c>
      <c r="G47" s="22">
        <v>46.31001564053922</v>
      </c>
    </row>
    <row r="48" spans="1:7" x14ac:dyDescent="0.35">
      <c r="A48" s="1">
        <v>46</v>
      </c>
      <c r="B48" s="1" t="s">
        <v>88</v>
      </c>
      <c r="C48" s="3" t="s">
        <v>21</v>
      </c>
      <c r="D48" s="4">
        <v>4</v>
      </c>
      <c r="E48" s="22">
        <v>6.7796610169491522</v>
      </c>
      <c r="F48" s="22">
        <v>0.40411893060000004</v>
      </c>
      <c r="G48" s="22">
        <v>16.723463629954864</v>
      </c>
    </row>
    <row r="49" spans="1:7" x14ac:dyDescent="0.35">
      <c r="A49" s="1">
        <v>47</v>
      </c>
      <c r="B49" s="1" t="s">
        <v>88</v>
      </c>
      <c r="C49" s="3" t="s">
        <v>21</v>
      </c>
      <c r="D49" s="4">
        <v>12</v>
      </c>
      <c r="E49" s="22">
        <v>22.641509433962266</v>
      </c>
      <c r="F49" s="22">
        <v>0.5979124536</v>
      </c>
      <c r="G49" s="22">
        <v>23.206368793011791</v>
      </c>
    </row>
    <row r="50" spans="1:7" x14ac:dyDescent="0.35">
      <c r="A50" s="1">
        <v>48</v>
      </c>
      <c r="B50" s="5" t="s">
        <v>88</v>
      </c>
      <c r="C50" s="3" t="s">
        <v>21</v>
      </c>
      <c r="D50" s="4">
        <v>4</v>
      </c>
      <c r="E50" s="22">
        <v>16.666666666666664</v>
      </c>
      <c r="F50" s="22">
        <v>0.63652585920000004</v>
      </c>
      <c r="G50" s="22">
        <v>54.258148784653315</v>
      </c>
    </row>
    <row r="51" spans="1:7" x14ac:dyDescent="0.35">
      <c r="A51" s="1">
        <v>49</v>
      </c>
      <c r="B51" s="1" t="s">
        <v>93</v>
      </c>
      <c r="C51" s="3" t="s">
        <v>21</v>
      </c>
      <c r="D51" s="4">
        <v>12</v>
      </c>
      <c r="E51" s="22">
        <v>20.33898305084746</v>
      </c>
      <c r="F51" s="22">
        <v>0.40678379279999999</v>
      </c>
      <c r="G51" s="22">
        <v>14.190069428139099</v>
      </c>
    </row>
    <row r="52" spans="1:7" x14ac:dyDescent="0.35">
      <c r="A52" s="1">
        <v>50</v>
      </c>
      <c r="B52" s="1" t="s">
        <v>93</v>
      </c>
      <c r="C52" s="3" t="s">
        <v>21</v>
      </c>
      <c r="D52" s="4">
        <v>19</v>
      </c>
      <c r="E52" s="22">
        <v>24.358974358974358</v>
      </c>
      <c r="F52" s="22">
        <v>0.62316384899999999</v>
      </c>
      <c r="G52" s="22">
        <v>18.931051209169343</v>
      </c>
    </row>
    <row r="53" spans="1:7" x14ac:dyDescent="0.35">
      <c r="A53" s="1">
        <v>51</v>
      </c>
      <c r="B53" s="1" t="s">
        <v>93</v>
      </c>
      <c r="C53" s="3" t="s">
        <v>21</v>
      </c>
      <c r="D53" s="4">
        <v>11</v>
      </c>
      <c r="E53" s="22">
        <v>21.568627450980394</v>
      </c>
      <c r="F53" s="22">
        <v>0.45076854900000007</v>
      </c>
      <c r="G53" s="22">
        <v>16.125529266654869</v>
      </c>
    </row>
    <row r="54" spans="1:7" x14ac:dyDescent="0.35">
      <c r="A54" s="1">
        <v>52</v>
      </c>
      <c r="B54" s="1" t="s">
        <v>97</v>
      </c>
      <c r="C54" s="3" t="s">
        <v>27</v>
      </c>
      <c r="D54" s="4">
        <v>12</v>
      </c>
      <c r="E54" s="22">
        <v>23.076923076923077</v>
      </c>
      <c r="F54" s="22">
        <v>0.4829770176</v>
      </c>
      <c r="G54" s="22">
        <v>16.002981249564108</v>
      </c>
    </row>
    <row r="55" spans="1:7" x14ac:dyDescent="0.35">
      <c r="A55" s="1">
        <v>53</v>
      </c>
      <c r="B55" s="1" t="s">
        <v>97</v>
      </c>
      <c r="C55" s="3" t="s">
        <v>27</v>
      </c>
      <c r="D55" s="4">
        <v>15</v>
      </c>
      <c r="E55" s="22">
        <v>33.333333333333329</v>
      </c>
      <c r="F55" s="22">
        <v>0.70448730660000003</v>
      </c>
      <c r="G55" s="22">
        <v>32.797578260802794</v>
      </c>
    </row>
    <row r="56" spans="1:7" x14ac:dyDescent="0.35">
      <c r="A56" s="1">
        <v>54</v>
      </c>
      <c r="B56" s="1" t="s">
        <v>97</v>
      </c>
      <c r="C56" s="3" t="s">
        <v>27</v>
      </c>
      <c r="D56" s="4">
        <v>11</v>
      </c>
      <c r="E56" s="22">
        <v>26.190476190476193</v>
      </c>
      <c r="F56" s="22">
        <v>0.57971787720000001</v>
      </c>
      <c r="G56" s="22">
        <v>20.711288148415026</v>
      </c>
    </row>
    <row r="57" spans="1:7" x14ac:dyDescent="0.35">
      <c r="A57" s="1">
        <v>55</v>
      </c>
      <c r="B57" s="1" t="s">
        <v>101</v>
      </c>
      <c r="C57" s="3" t="s">
        <v>21</v>
      </c>
      <c r="D57" s="4">
        <v>7</v>
      </c>
      <c r="E57" s="22">
        <v>15.909090909090908</v>
      </c>
      <c r="F57" s="22">
        <v>0.17903035919999999</v>
      </c>
      <c r="G57" s="22">
        <v>9.2635504234977208</v>
      </c>
    </row>
    <row r="58" spans="1:7" x14ac:dyDescent="0.35">
      <c r="A58" s="1">
        <v>56</v>
      </c>
      <c r="B58" s="1" t="s">
        <v>101</v>
      </c>
      <c r="C58" s="3" t="s">
        <v>21</v>
      </c>
      <c r="D58" s="4">
        <v>21</v>
      </c>
      <c r="E58" s="22">
        <v>31.818181818181817</v>
      </c>
      <c r="F58" s="22">
        <v>0.56637550199999986</v>
      </c>
      <c r="G58" s="22">
        <v>20.594911432142144</v>
      </c>
    </row>
    <row r="59" spans="1:7" x14ac:dyDescent="0.35">
      <c r="A59" s="1">
        <v>57</v>
      </c>
      <c r="B59" s="1" t="s">
        <v>101</v>
      </c>
      <c r="C59" s="3" t="s">
        <v>21</v>
      </c>
      <c r="D59" s="4">
        <v>14</v>
      </c>
      <c r="E59" s="22">
        <v>18.181818181818183</v>
      </c>
      <c r="F59" s="22">
        <v>0.51678377520000007</v>
      </c>
      <c r="G59" s="22">
        <v>14.729678605087432</v>
      </c>
    </row>
    <row r="60" spans="1:7" x14ac:dyDescent="0.35">
      <c r="A60" s="1">
        <v>58</v>
      </c>
      <c r="B60" s="1" t="s">
        <v>105</v>
      </c>
      <c r="C60" s="3" t="s">
        <v>21</v>
      </c>
      <c r="D60" s="4">
        <v>13</v>
      </c>
      <c r="E60" s="22">
        <v>20.967741935483872</v>
      </c>
      <c r="F60" s="22">
        <v>0.49670816579999999</v>
      </c>
      <c r="G60" s="22">
        <v>18.425674340983957</v>
      </c>
    </row>
    <row r="61" spans="1:7" x14ac:dyDescent="0.35">
      <c r="A61" s="1">
        <v>59</v>
      </c>
      <c r="B61" s="1" t="s">
        <v>105</v>
      </c>
      <c r="C61" s="3" t="s">
        <v>21</v>
      </c>
      <c r="D61" s="4">
        <v>15</v>
      </c>
      <c r="E61" s="22">
        <v>30</v>
      </c>
      <c r="F61" s="22">
        <v>0.69640239900000012</v>
      </c>
      <c r="G61" s="22">
        <v>23.633708897187763</v>
      </c>
    </row>
    <row r="62" spans="1:7" x14ac:dyDescent="0.35">
      <c r="A62" s="1">
        <v>60</v>
      </c>
      <c r="B62" s="1" t="s">
        <v>105</v>
      </c>
      <c r="C62" s="3" t="s">
        <v>21</v>
      </c>
      <c r="D62" s="4">
        <v>1</v>
      </c>
      <c r="E62" s="22">
        <v>2.9411764705882351</v>
      </c>
      <c r="F62" s="22">
        <v>3.7325349600000002E-2</v>
      </c>
      <c r="G62" s="22">
        <v>1.3180874806928364</v>
      </c>
    </row>
    <row r="63" spans="1:7" x14ac:dyDescent="0.35">
      <c r="A63" s="1">
        <v>61</v>
      </c>
      <c r="B63" s="1" t="s">
        <v>109</v>
      </c>
      <c r="C63" s="3" t="s">
        <v>53</v>
      </c>
      <c r="D63" s="4">
        <v>40</v>
      </c>
      <c r="E63" s="22">
        <v>74.074074074074076</v>
      </c>
      <c r="F63" s="22">
        <v>1.3737125094</v>
      </c>
      <c r="G63" s="22">
        <v>71.309272491399568</v>
      </c>
    </row>
    <row r="64" spans="1:7" x14ac:dyDescent="0.35">
      <c r="A64" s="1">
        <v>62</v>
      </c>
      <c r="B64" s="1" t="s">
        <v>109</v>
      </c>
      <c r="C64" s="3" t="s">
        <v>53</v>
      </c>
      <c r="D64" s="4">
        <v>32</v>
      </c>
      <c r="E64" s="22">
        <v>56.140350877192979</v>
      </c>
      <c r="F64" s="22">
        <v>1.3856702244000001</v>
      </c>
      <c r="G64" s="22">
        <v>55.878147109899004</v>
      </c>
    </row>
    <row r="65" spans="1:7" x14ac:dyDescent="0.35">
      <c r="A65" s="1">
        <v>63</v>
      </c>
      <c r="B65" s="1" t="s">
        <v>109</v>
      </c>
      <c r="C65" s="3" t="s">
        <v>53</v>
      </c>
      <c r="D65" s="4">
        <v>23</v>
      </c>
      <c r="E65" s="22">
        <v>29.487179487179489</v>
      </c>
      <c r="F65" s="22">
        <v>0.90327283199999997</v>
      </c>
      <c r="G65" s="22">
        <v>27.374846741274993</v>
      </c>
    </row>
    <row r="66" spans="1:7" x14ac:dyDescent="0.35">
      <c r="A66" s="1">
        <v>64</v>
      </c>
      <c r="B66" s="1" t="s">
        <v>113</v>
      </c>
      <c r="C66" s="3" t="s">
        <v>53</v>
      </c>
      <c r="D66" s="4">
        <v>42</v>
      </c>
      <c r="E66" s="22">
        <v>57.534246575342465</v>
      </c>
      <c r="F66" s="22">
        <v>1.2355983486</v>
      </c>
      <c r="G66" s="22">
        <v>45.076937227027777</v>
      </c>
    </row>
    <row r="67" spans="1:7" x14ac:dyDescent="0.35">
      <c r="A67" s="1">
        <v>65</v>
      </c>
      <c r="B67" s="1" t="s">
        <v>113</v>
      </c>
      <c r="C67" s="3" t="s">
        <v>53</v>
      </c>
      <c r="D67" s="4">
        <v>18</v>
      </c>
      <c r="E67" s="22">
        <v>32.727272727272727</v>
      </c>
      <c r="F67" s="22">
        <v>0.68411952840000012</v>
      </c>
      <c r="G67" s="22">
        <v>21.841094494479339</v>
      </c>
    </row>
    <row r="68" spans="1:7" x14ac:dyDescent="0.35">
      <c r="A68" s="1">
        <v>66</v>
      </c>
      <c r="B68" s="1" t="s">
        <v>113</v>
      </c>
      <c r="C68" s="3" t="s">
        <v>53</v>
      </c>
      <c r="D68" s="4">
        <v>17</v>
      </c>
      <c r="E68" s="22">
        <v>26.153846153846157</v>
      </c>
      <c r="F68" s="22">
        <v>0.63813907079999999</v>
      </c>
      <c r="G68" s="22">
        <v>23.236304484352637</v>
      </c>
    </row>
    <row r="69" spans="1:7" x14ac:dyDescent="0.35">
      <c r="A69" s="1">
        <v>67</v>
      </c>
      <c r="B69" s="1" t="s">
        <v>118</v>
      </c>
      <c r="C69" s="3" t="s">
        <v>27</v>
      </c>
      <c r="D69" s="4">
        <v>16</v>
      </c>
      <c r="E69" s="22">
        <v>31.372549019607842</v>
      </c>
      <c r="F69" s="22">
        <v>1.4927108195999998</v>
      </c>
      <c r="G69" s="22">
        <v>41.876376407805594</v>
      </c>
    </row>
    <row r="70" spans="1:7" x14ac:dyDescent="0.35">
      <c r="A70" s="1">
        <v>68</v>
      </c>
      <c r="B70" s="1" t="s">
        <v>118</v>
      </c>
      <c r="C70" s="3" t="s">
        <v>27</v>
      </c>
      <c r="D70" s="4">
        <v>24</v>
      </c>
      <c r="E70" s="22">
        <v>51.063829787234042</v>
      </c>
      <c r="F70" s="22">
        <v>2.1634165014</v>
      </c>
      <c r="G70" s="22">
        <v>64.146675612213784</v>
      </c>
    </row>
    <row r="71" spans="1:7" x14ac:dyDescent="0.35">
      <c r="A71" s="1">
        <v>69</v>
      </c>
      <c r="B71" s="1" t="s">
        <v>118</v>
      </c>
      <c r="C71" s="3" t="s">
        <v>27</v>
      </c>
      <c r="D71" s="4">
        <v>11</v>
      </c>
      <c r="E71" s="22">
        <v>30.555555555555557</v>
      </c>
      <c r="F71" s="22">
        <v>1.1087923769999999</v>
      </c>
      <c r="G71" s="22">
        <v>41.822912624120363</v>
      </c>
    </row>
    <row r="72" spans="1:7" x14ac:dyDescent="0.35">
      <c r="A72" s="1">
        <v>70</v>
      </c>
      <c r="B72" s="1" t="s">
        <v>122</v>
      </c>
      <c r="C72" s="3" t="s">
        <v>53</v>
      </c>
      <c r="D72" s="4">
        <v>8</v>
      </c>
      <c r="E72" s="22">
        <v>20</v>
      </c>
      <c r="F72" s="22">
        <v>0.46962757380000009</v>
      </c>
      <c r="G72" s="22">
        <v>18.735034926077784</v>
      </c>
    </row>
    <row r="73" spans="1:7" x14ac:dyDescent="0.35">
      <c r="A73" s="1">
        <v>71</v>
      </c>
      <c r="B73" s="1" t="s">
        <v>122</v>
      </c>
      <c r="C73" s="3" t="s">
        <v>53</v>
      </c>
      <c r="D73" s="4">
        <v>10</v>
      </c>
      <c r="E73" s="22">
        <v>17.857142857142858</v>
      </c>
      <c r="F73" s="22">
        <v>0.43534800540000007</v>
      </c>
      <c r="G73" s="22">
        <v>12.377500812251089</v>
      </c>
    </row>
    <row r="74" spans="1:7" x14ac:dyDescent="0.35">
      <c r="A74" s="1">
        <v>72</v>
      </c>
      <c r="B74" s="1" t="s">
        <v>122</v>
      </c>
      <c r="C74" s="3" t="s">
        <v>53</v>
      </c>
      <c r="D74" s="4">
        <v>23</v>
      </c>
      <c r="E74" s="22">
        <v>62.162162162162161</v>
      </c>
      <c r="F74" s="22">
        <v>0.71919627780000006</v>
      </c>
      <c r="G74" s="22">
        <v>43.871058306332337</v>
      </c>
    </row>
    <row r="75" spans="1:7" x14ac:dyDescent="0.35">
      <c r="A75" s="1">
        <v>73</v>
      </c>
      <c r="B75" s="1" t="s">
        <v>126</v>
      </c>
      <c r="C75" s="3" t="s">
        <v>21</v>
      </c>
      <c r="D75" s="4">
        <v>10</v>
      </c>
      <c r="E75" s="22">
        <v>23.809523809523807</v>
      </c>
      <c r="F75" s="22">
        <v>0.8667446634</v>
      </c>
      <c r="G75" s="22">
        <v>26.387193219298261</v>
      </c>
    </row>
    <row r="76" spans="1:7" x14ac:dyDescent="0.35">
      <c r="A76" s="1">
        <v>74</v>
      </c>
      <c r="B76" s="1" t="s">
        <v>126</v>
      </c>
      <c r="C76" s="3" t="s">
        <v>21</v>
      </c>
      <c r="D76" s="4">
        <v>11</v>
      </c>
      <c r="E76" s="22">
        <v>26.829268292682929</v>
      </c>
      <c r="F76" s="22">
        <v>0.94374213780000005</v>
      </c>
      <c r="G76" s="22">
        <v>36.139208527071162</v>
      </c>
    </row>
    <row r="77" spans="1:7" x14ac:dyDescent="0.35">
      <c r="A77" s="1">
        <v>75</v>
      </c>
      <c r="B77" s="1" t="s">
        <v>126</v>
      </c>
      <c r="C77" s="3" t="s">
        <v>21</v>
      </c>
      <c r="D77" s="4">
        <v>29</v>
      </c>
      <c r="E77" s="22">
        <v>50.877192982456144</v>
      </c>
      <c r="F77" s="22">
        <v>0.92734691279999992</v>
      </c>
      <c r="G77" s="22">
        <v>44.511419659379733</v>
      </c>
    </row>
    <row r="78" spans="1:7" x14ac:dyDescent="0.35">
      <c r="A78" s="1">
        <v>76</v>
      </c>
      <c r="B78" s="1" t="s">
        <v>130</v>
      </c>
      <c r="C78" s="3" t="s">
        <v>53</v>
      </c>
      <c r="D78" s="4">
        <v>19</v>
      </c>
      <c r="E78" s="22">
        <v>36.538461538461533</v>
      </c>
      <c r="F78" s="22">
        <v>0.62684344800000003</v>
      </c>
      <c r="G78" s="22">
        <v>20.108691544281601</v>
      </c>
    </row>
    <row r="79" spans="1:7" x14ac:dyDescent="0.35">
      <c r="A79" s="1">
        <v>77</v>
      </c>
      <c r="B79" s="1" t="s">
        <v>130</v>
      </c>
      <c r="C79" s="3" t="s">
        <v>53</v>
      </c>
      <c r="D79" s="4">
        <v>16</v>
      </c>
      <c r="E79" s="22">
        <v>48.484848484848484</v>
      </c>
      <c r="F79" s="22">
        <v>0.82180800240000007</v>
      </c>
      <c r="G79" s="22">
        <v>25.285262571573909</v>
      </c>
    </row>
    <row r="80" spans="1:7" x14ac:dyDescent="0.35">
      <c r="A80" s="1">
        <v>78</v>
      </c>
      <c r="B80" s="1" t="s">
        <v>130</v>
      </c>
      <c r="C80" s="3" t="s">
        <v>53</v>
      </c>
      <c r="D80" s="4">
        <v>23</v>
      </c>
      <c r="E80" s="22">
        <v>41.818181818181813</v>
      </c>
      <c r="F80" s="22">
        <v>1.9663619976</v>
      </c>
      <c r="G80" s="22">
        <v>47.657085164508857</v>
      </c>
    </row>
    <row r="81" spans="1:7" x14ac:dyDescent="0.35">
      <c r="A81" s="1">
        <v>79</v>
      </c>
      <c r="B81" s="1" t="s">
        <v>134</v>
      </c>
      <c r="C81" s="3" t="s">
        <v>27</v>
      </c>
      <c r="D81" s="4">
        <v>7</v>
      </c>
      <c r="E81" s="22">
        <v>17.948717948717949</v>
      </c>
      <c r="F81" s="22">
        <v>0.57849893640000005</v>
      </c>
      <c r="G81" s="22">
        <v>19.90657047145832</v>
      </c>
    </row>
    <row r="82" spans="1:7" x14ac:dyDescent="0.35">
      <c r="A82" s="1">
        <v>80</v>
      </c>
      <c r="B82" s="1" t="s">
        <v>134</v>
      </c>
      <c r="C82" s="3" t="s">
        <v>27</v>
      </c>
      <c r="D82" s="4">
        <v>6</v>
      </c>
      <c r="E82" s="22">
        <v>12.5</v>
      </c>
      <c r="F82" s="22">
        <v>0.83935462380000003</v>
      </c>
      <c r="G82" s="22">
        <v>23.881427830488985</v>
      </c>
    </row>
    <row r="83" spans="1:7" x14ac:dyDescent="0.35">
      <c r="A83" s="1">
        <v>81</v>
      </c>
      <c r="B83" s="1" t="s">
        <v>134</v>
      </c>
      <c r="C83" s="3" t="s">
        <v>27</v>
      </c>
      <c r="D83" s="4">
        <v>6</v>
      </c>
      <c r="E83" s="22">
        <v>15</v>
      </c>
      <c r="F83" s="22">
        <v>0.34483713495000001</v>
      </c>
      <c r="G83" s="22">
        <v>8.8546962454952887</v>
      </c>
    </row>
    <row r="84" spans="1:7" x14ac:dyDescent="0.35">
      <c r="A84" s="1">
        <v>82</v>
      </c>
      <c r="B84" s="1" t="s">
        <v>138</v>
      </c>
      <c r="C84" s="3" t="s">
        <v>21</v>
      </c>
      <c r="D84" s="4">
        <v>6</v>
      </c>
      <c r="E84" s="22">
        <v>16.666666666666664</v>
      </c>
      <c r="F84" s="22">
        <v>1.2281920266000002</v>
      </c>
      <c r="G84" s="22">
        <v>33.892207548453854</v>
      </c>
    </row>
    <row r="85" spans="1:7" x14ac:dyDescent="0.35">
      <c r="A85" s="1">
        <v>83</v>
      </c>
      <c r="B85" s="1" t="s">
        <v>138</v>
      </c>
      <c r="C85" s="3" t="s">
        <v>21</v>
      </c>
      <c r="D85" s="4">
        <v>6</v>
      </c>
      <c r="E85" s="22">
        <v>14.285714285714285</v>
      </c>
      <c r="F85" s="22">
        <v>0.25738029240000004</v>
      </c>
      <c r="G85" s="22">
        <v>6.2290302026515629</v>
      </c>
    </row>
    <row r="86" spans="1:7" x14ac:dyDescent="0.35">
      <c r="A86" s="1">
        <v>84</v>
      </c>
      <c r="B86" s="1" t="s">
        <v>138</v>
      </c>
      <c r="C86" s="3" t="s">
        <v>21</v>
      </c>
      <c r="D86" s="4">
        <v>5</v>
      </c>
      <c r="E86" s="22">
        <v>14.705882352941178</v>
      </c>
      <c r="F86" s="22">
        <v>0.57192042600000004</v>
      </c>
      <c r="G86" s="22">
        <v>15.505798997198401</v>
      </c>
    </row>
    <row r="87" spans="1:7" x14ac:dyDescent="0.35">
      <c r="A87" s="1">
        <v>85</v>
      </c>
      <c r="B87" s="1" t="s">
        <v>142</v>
      </c>
      <c r="C87" s="3" t="s">
        <v>27</v>
      </c>
      <c r="D87" s="4">
        <v>4</v>
      </c>
      <c r="E87" s="22">
        <v>8.1632653061224492</v>
      </c>
      <c r="F87" s="22">
        <v>0.51547608420000002</v>
      </c>
      <c r="G87" s="22">
        <v>24.762018665750119</v>
      </c>
    </row>
    <row r="88" spans="1:7" x14ac:dyDescent="0.35">
      <c r="A88" s="1">
        <v>86</v>
      </c>
      <c r="B88" s="1" t="s">
        <v>142</v>
      </c>
      <c r="C88" s="3" t="s">
        <v>27</v>
      </c>
      <c r="D88" s="4">
        <v>10</v>
      </c>
      <c r="E88" s="22">
        <v>27.777777777777779</v>
      </c>
      <c r="F88" s="22">
        <v>0.37193873640000003</v>
      </c>
      <c r="G88" s="22">
        <v>16.290781046984868</v>
      </c>
    </row>
    <row r="89" spans="1:7" x14ac:dyDescent="0.35">
      <c r="A89" s="1">
        <v>87</v>
      </c>
      <c r="B89" s="1" t="s">
        <v>142</v>
      </c>
      <c r="C89" s="3" t="s">
        <v>27</v>
      </c>
      <c r="D89" s="4">
        <v>13</v>
      </c>
      <c r="E89" s="22">
        <v>24.074074074074073</v>
      </c>
      <c r="F89" s="22">
        <v>0.46949562660000005</v>
      </c>
      <c r="G89" s="22">
        <v>20.412631006707922</v>
      </c>
    </row>
    <row r="90" spans="1:7" x14ac:dyDescent="0.35">
      <c r="A90" s="1">
        <v>88</v>
      </c>
      <c r="B90" s="1" t="s">
        <v>146</v>
      </c>
      <c r="C90" s="3" t="s">
        <v>21</v>
      </c>
      <c r="D90" s="4">
        <v>4</v>
      </c>
      <c r="E90" s="22">
        <v>12.903225806451612</v>
      </c>
      <c r="F90" s="22">
        <v>0.44961401099999998</v>
      </c>
      <c r="G90" s="22">
        <v>19.77158878659608</v>
      </c>
    </row>
    <row r="91" spans="1:7" x14ac:dyDescent="0.35">
      <c r="A91" s="1">
        <v>89</v>
      </c>
      <c r="B91" s="1" t="s">
        <v>146</v>
      </c>
      <c r="C91" s="3" t="s">
        <v>21</v>
      </c>
      <c r="D91" s="4">
        <v>8</v>
      </c>
      <c r="E91" s="22">
        <v>18.604651162790699</v>
      </c>
      <c r="F91" s="22">
        <v>0.183697206</v>
      </c>
      <c r="G91" s="22">
        <v>4.5734252880755397</v>
      </c>
    </row>
    <row r="92" spans="1:7" x14ac:dyDescent="0.35">
      <c r="A92" s="1">
        <v>90</v>
      </c>
      <c r="B92" s="1" t="s">
        <v>146</v>
      </c>
      <c r="C92" s="3" t="s">
        <v>21</v>
      </c>
      <c r="D92" s="4">
        <v>9</v>
      </c>
      <c r="E92" s="22">
        <v>20.454545454545457</v>
      </c>
      <c r="F92" s="22">
        <v>0.1869519036</v>
      </c>
      <c r="G92" s="22">
        <v>5.9824297510483468</v>
      </c>
    </row>
    <row r="93" spans="1:7" x14ac:dyDescent="0.35">
      <c r="A93" s="1">
        <v>91</v>
      </c>
      <c r="B93" s="1" t="s">
        <v>150</v>
      </c>
      <c r="C93" s="3" t="s">
        <v>21</v>
      </c>
      <c r="D93" s="4">
        <v>14</v>
      </c>
      <c r="E93" s="22">
        <v>29.787234042553191</v>
      </c>
      <c r="F93" s="22">
        <v>0.84060812220000003</v>
      </c>
      <c r="G93" s="22">
        <v>24.027732535441867</v>
      </c>
    </row>
    <row r="94" spans="1:7" x14ac:dyDescent="0.35">
      <c r="A94" s="1">
        <v>92</v>
      </c>
      <c r="B94" s="1" t="s">
        <v>150</v>
      </c>
      <c r="C94" s="3" t="s">
        <v>21</v>
      </c>
      <c r="D94" s="4">
        <v>9</v>
      </c>
      <c r="E94" s="22">
        <v>20.930232558139537</v>
      </c>
      <c r="F94" s="22">
        <v>0.53179591079999999</v>
      </c>
      <c r="G94" s="22">
        <v>16.086235843809785</v>
      </c>
    </row>
    <row r="95" spans="1:7" x14ac:dyDescent="0.35">
      <c r="A95" s="1">
        <v>93</v>
      </c>
      <c r="B95" s="1" t="s">
        <v>150</v>
      </c>
      <c r="C95" s="3" t="s">
        <v>21</v>
      </c>
      <c r="D95" s="4">
        <v>19</v>
      </c>
      <c r="E95" s="22">
        <v>33.333333333333329</v>
      </c>
      <c r="F95" s="22">
        <v>0.51674764680000007</v>
      </c>
      <c r="G95" s="22">
        <v>19.831920209573759</v>
      </c>
    </row>
    <row r="96" spans="1:7" x14ac:dyDescent="0.35">
      <c r="A96" s="1">
        <v>94</v>
      </c>
      <c r="B96" s="1" t="s">
        <v>154</v>
      </c>
      <c r="C96" s="3" t="s">
        <v>21</v>
      </c>
      <c r="D96" s="4">
        <v>7</v>
      </c>
      <c r="E96" s="22">
        <v>15.909090909090908</v>
      </c>
      <c r="F96" s="22">
        <v>0.26989956840000007</v>
      </c>
      <c r="G96" s="22">
        <v>10.150014620444404</v>
      </c>
    </row>
    <row r="97" spans="1:7" x14ac:dyDescent="0.35">
      <c r="A97" s="1">
        <v>95</v>
      </c>
      <c r="B97" s="1" t="s">
        <v>154</v>
      </c>
      <c r="C97" s="3" t="s">
        <v>21</v>
      </c>
      <c r="D97" s="4">
        <v>8</v>
      </c>
      <c r="E97" s="22">
        <v>19.512195121951219</v>
      </c>
      <c r="F97" s="22">
        <v>0.38672153520000008</v>
      </c>
      <c r="G97" s="22">
        <v>12.422909978635307</v>
      </c>
    </row>
    <row r="98" spans="1:7" x14ac:dyDescent="0.35">
      <c r="A98" s="1">
        <v>96</v>
      </c>
      <c r="B98" s="1" t="s">
        <v>154</v>
      </c>
      <c r="C98" s="3" t="s">
        <v>21</v>
      </c>
      <c r="D98" s="4">
        <v>11</v>
      </c>
      <c r="E98" s="22">
        <v>16.417910447761194</v>
      </c>
      <c r="F98" s="22">
        <v>0.36163978620000004</v>
      </c>
      <c r="G98" s="22">
        <v>12.381456627404077</v>
      </c>
    </row>
    <row r="99" spans="1:7" x14ac:dyDescent="0.35">
      <c r="A99" s="1">
        <v>97</v>
      </c>
      <c r="B99" s="1" t="s">
        <v>158</v>
      </c>
      <c r="C99" s="6" t="s">
        <v>27</v>
      </c>
      <c r="D99" s="4">
        <v>13</v>
      </c>
      <c r="E99" s="22">
        <v>27.083333333333332</v>
      </c>
      <c r="F99" s="22">
        <v>0.9141176352</v>
      </c>
      <c r="G99" s="22">
        <v>26.680316811111084</v>
      </c>
    </row>
    <row r="100" spans="1:7" x14ac:dyDescent="0.35">
      <c r="A100" s="1">
        <v>98</v>
      </c>
      <c r="B100" s="1" t="s">
        <v>158</v>
      </c>
      <c r="C100" s="6" t="s">
        <v>27</v>
      </c>
      <c r="D100" s="4">
        <v>12</v>
      </c>
      <c r="E100" s="22">
        <v>22.641509433962266</v>
      </c>
      <c r="F100" s="22">
        <v>0.39897220440000003</v>
      </c>
      <c r="G100" s="22">
        <v>15.698008955528294</v>
      </c>
    </row>
    <row r="101" spans="1:7" x14ac:dyDescent="0.35">
      <c r="A101" s="1">
        <v>99</v>
      </c>
      <c r="B101" s="1" t="s">
        <v>158</v>
      </c>
      <c r="C101" s="6" t="s">
        <v>27</v>
      </c>
      <c r="D101" s="4">
        <v>15</v>
      </c>
      <c r="E101" s="22">
        <v>31.25</v>
      </c>
      <c r="F101" s="22">
        <v>0.76658260140000012</v>
      </c>
      <c r="G101" s="22">
        <v>26.733547028387044</v>
      </c>
    </row>
    <row r="102" spans="1:7" x14ac:dyDescent="0.35">
      <c r="A102" s="1">
        <v>100</v>
      </c>
      <c r="B102" s="1" t="s">
        <v>162</v>
      </c>
      <c r="C102" s="6" t="s">
        <v>21</v>
      </c>
      <c r="D102" s="4">
        <v>11</v>
      </c>
      <c r="E102" s="22">
        <v>26.190476190476193</v>
      </c>
      <c r="F102" s="22">
        <v>0.48871750620000004</v>
      </c>
      <c r="G102" s="22">
        <v>21.440874983331501</v>
      </c>
    </row>
    <row r="103" spans="1:7" x14ac:dyDescent="0.35">
      <c r="A103" s="1">
        <v>101</v>
      </c>
      <c r="B103" s="1" t="s">
        <v>162</v>
      </c>
      <c r="C103" s="6" t="s">
        <v>21</v>
      </c>
      <c r="D103" s="4">
        <v>5</v>
      </c>
      <c r="E103" s="22">
        <v>11.627906976744185</v>
      </c>
      <c r="F103" s="22">
        <v>0.27259741739999999</v>
      </c>
      <c r="G103" s="22">
        <v>7.9724278095158478</v>
      </c>
    </row>
    <row r="104" spans="1:7" x14ac:dyDescent="0.35">
      <c r="A104" s="1">
        <v>102</v>
      </c>
      <c r="B104" s="1" t="s">
        <v>162</v>
      </c>
      <c r="C104" s="6" t="s">
        <v>21</v>
      </c>
      <c r="D104" s="4">
        <v>10</v>
      </c>
      <c r="E104" s="22">
        <v>19.230769230769234</v>
      </c>
      <c r="F104" s="22">
        <v>0.44517807180000002</v>
      </c>
      <c r="G104" s="22">
        <v>13.988480333423247</v>
      </c>
    </row>
    <row r="105" spans="1:7" x14ac:dyDescent="0.35">
      <c r="A105" s="1">
        <v>103</v>
      </c>
      <c r="B105" s="1" t="s">
        <v>166</v>
      </c>
      <c r="C105" s="6" t="s">
        <v>53</v>
      </c>
      <c r="D105" s="4">
        <v>27</v>
      </c>
      <c r="E105" s="22">
        <v>55.102040816326522</v>
      </c>
      <c r="F105" s="22">
        <v>1.3462439298</v>
      </c>
      <c r="G105" s="22">
        <v>51.657911788195221</v>
      </c>
    </row>
    <row r="106" spans="1:7" x14ac:dyDescent="0.35">
      <c r="A106" s="1">
        <v>104</v>
      </c>
      <c r="B106" s="1" t="s">
        <v>166</v>
      </c>
      <c r="C106" s="6" t="s">
        <v>53</v>
      </c>
      <c r="D106" s="4">
        <v>14</v>
      </c>
      <c r="E106" s="22">
        <v>35</v>
      </c>
      <c r="F106" s="22">
        <v>0.94346174999999999</v>
      </c>
      <c r="G106" s="22">
        <v>33.070694890663674</v>
      </c>
    </row>
    <row r="107" spans="1:7" x14ac:dyDescent="0.35">
      <c r="A107" s="1">
        <v>105</v>
      </c>
      <c r="B107" s="1" t="s">
        <v>166</v>
      </c>
      <c r="C107" s="6" t="s">
        <v>53</v>
      </c>
      <c r="D107" s="4">
        <v>10</v>
      </c>
      <c r="E107" s="22">
        <v>25.641025641025639</v>
      </c>
      <c r="F107" s="22">
        <v>0.59849522040000014</v>
      </c>
      <c r="G107" s="22">
        <v>27.964954721805906</v>
      </c>
    </row>
    <row r="108" spans="1:7" x14ac:dyDescent="0.35">
      <c r="A108" s="1">
        <v>106</v>
      </c>
      <c r="B108" s="1" t="s">
        <v>170</v>
      </c>
      <c r="C108" s="6" t="s">
        <v>53</v>
      </c>
      <c r="D108" s="4">
        <v>15</v>
      </c>
      <c r="E108" s="22">
        <v>36.585365853658537</v>
      </c>
      <c r="F108" s="22">
        <v>0.79006134900000013</v>
      </c>
      <c r="G108" s="22">
        <v>28.653867681789354</v>
      </c>
    </row>
    <row r="109" spans="1:7" x14ac:dyDescent="0.35">
      <c r="A109" s="1">
        <v>107</v>
      </c>
      <c r="B109" s="1" t="s">
        <v>170</v>
      </c>
      <c r="C109" s="6" t="s">
        <v>53</v>
      </c>
      <c r="D109" s="4">
        <v>10</v>
      </c>
      <c r="E109" s="22">
        <v>28.571428571428569</v>
      </c>
      <c r="F109" s="22">
        <v>0.65387377440000005</v>
      </c>
      <c r="G109" s="22">
        <v>24.37279007635599</v>
      </c>
    </row>
    <row r="110" spans="1:7" x14ac:dyDescent="0.35">
      <c r="A110" s="1">
        <v>108</v>
      </c>
      <c r="B110" s="1" t="s">
        <v>170</v>
      </c>
      <c r="C110" s="6" t="s">
        <v>53</v>
      </c>
      <c r="D110" s="4">
        <v>11</v>
      </c>
      <c r="E110" s="22">
        <v>23.404255319148938</v>
      </c>
      <c r="F110" s="22">
        <v>0.66610323780000014</v>
      </c>
      <c r="G110" s="22">
        <v>24.262157297353593</v>
      </c>
    </row>
    <row r="111" spans="1:7" x14ac:dyDescent="0.35">
      <c r="A111" s="1">
        <v>109</v>
      </c>
      <c r="B111" s="1" t="s">
        <v>174</v>
      </c>
      <c r="C111" s="6" t="s">
        <v>27</v>
      </c>
      <c r="D111" s="4">
        <v>6</v>
      </c>
      <c r="E111" s="22">
        <v>19.35483870967742</v>
      </c>
      <c r="F111" s="22">
        <v>0.70111872600000003</v>
      </c>
      <c r="G111" s="22">
        <v>39.269552624737322</v>
      </c>
    </row>
    <row r="112" spans="1:7" x14ac:dyDescent="0.35">
      <c r="A112" s="1">
        <v>110</v>
      </c>
      <c r="B112" s="1" t="s">
        <v>174</v>
      </c>
      <c r="C112" s="6" t="s">
        <v>27</v>
      </c>
      <c r="D112" s="4">
        <v>18</v>
      </c>
      <c r="E112" s="22">
        <v>45</v>
      </c>
      <c r="F112" s="22">
        <v>1.4344207877999999</v>
      </c>
      <c r="G112" s="22">
        <v>49.624007238363319</v>
      </c>
    </row>
    <row r="113" spans="1:7" x14ac:dyDescent="0.35">
      <c r="A113" s="1">
        <v>111</v>
      </c>
      <c r="B113" s="1" t="s">
        <v>174</v>
      </c>
      <c r="C113" s="6" t="s">
        <v>27</v>
      </c>
      <c r="D113" s="4">
        <v>7</v>
      </c>
      <c r="E113" s="22">
        <v>20</v>
      </c>
      <c r="F113" s="22">
        <v>1.0568986428</v>
      </c>
      <c r="G113" s="22">
        <v>36.727198987552647</v>
      </c>
    </row>
    <row r="114" spans="1:7" x14ac:dyDescent="0.35">
      <c r="A114" s="1">
        <v>112</v>
      </c>
      <c r="B114" s="1" t="s">
        <v>178</v>
      </c>
      <c r="C114" s="6" t="s">
        <v>21</v>
      </c>
      <c r="D114" s="4">
        <v>4</v>
      </c>
      <c r="E114" s="22">
        <v>14.285714285714285</v>
      </c>
      <c r="F114" s="22">
        <v>0.3324967338</v>
      </c>
      <c r="G114" s="22">
        <v>17.835928517591483</v>
      </c>
    </row>
    <row r="115" spans="1:7" x14ac:dyDescent="0.35">
      <c r="A115" s="1">
        <v>113</v>
      </c>
      <c r="B115" s="1" t="s">
        <v>178</v>
      </c>
      <c r="C115" s="6" t="s">
        <v>21</v>
      </c>
      <c r="D115" s="4">
        <v>10</v>
      </c>
      <c r="E115" s="22">
        <v>28.571428571428569</v>
      </c>
      <c r="F115" s="22">
        <v>0.47789705040000002</v>
      </c>
      <c r="G115" s="22">
        <v>20.374340109868402</v>
      </c>
    </row>
    <row r="116" spans="1:7" x14ac:dyDescent="0.35">
      <c r="A116" s="1">
        <v>114</v>
      </c>
      <c r="B116" s="1" t="s">
        <v>178</v>
      </c>
      <c r="C116" s="6" t="s">
        <v>21</v>
      </c>
      <c r="D116" s="4">
        <v>10</v>
      </c>
      <c r="E116" s="22">
        <v>26.315789473684209</v>
      </c>
      <c r="F116" s="22">
        <v>0.83475453600000016</v>
      </c>
      <c r="G116" s="22">
        <v>31.697320472364162</v>
      </c>
    </row>
    <row r="117" spans="1:7" x14ac:dyDescent="0.35">
      <c r="A117" s="1">
        <v>115</v>
      </c>
      <c r="B117" s="1" t="s">
        <v>182</v>
      </c>
      <c r="C117" s="6" t="s">
        <v>21</v>
      </c>
      <c r="D117" s="4">
        <v>0</v>
      </c>
      <c r="E117" s="22">
        <v>0</v>
      </c>
      <c r="F117" s="22">
        <v>0</v>
      </c>
      <c r="G117" s="22">
        <v>0</v>
      </c>
    </row>
    <row r="118" spans="1:7" x14ac:dyDescent="0.35">
      <c r="A118" s="1">
        <v>116</v>
      </c>
      <c r="B118" s="1" t="s">
        <v>182</v>
      </c>
      <c r="C118" s="6" t="s">
        <v>21</v>
      </c>
      <c r="D118" s="4">
        <v>0</v>
      </c>
      <c r="E118" s="22">
        <v>0</v>
      </c>
      <c r="F118" s="22">
        <v>0</v>
      </c>
      <c r="G118" s="22">
        <v>0</v>
      </c>
    </row>
    <row r="119" spans="1:7" x14ac:dyDescent="0.35">
      <c r="A119" s="1">
        <v>117</v>
      </c>
      <c r="B119" s="1" t="s">
        <v>182</v>
      </c>
      <c r="C119" s="6" t="s">
        <v>21</v>
      </c>
      <c r="D119" s="4">
        <v>0</v>
      </c>
      <c r="E119" s="22">
        <v>0</v>
      </c>
      <c r="F119" s="22">
        <v>0</v>
      </c>
      <c r="G119" s="22">
        <v>0</v>
      </c>
    </row>
    <row r="120" spans="1:7" x14ac:dyDescent="0.35">
      <c r="A120" s="1">
        <v>118</v>
      </c>
      <c r="B120" s="1" t="s">
        <v>186</v>
      </c>
      <c r="C120" s="6" t="s">
        <v>21</v>
      </c>
      <c r="D120" s="4">
        <v>0</v>
      </c>
      <c r="E120" s="22">
        <v>0</v>
      </c>
      <c r="F120" s="22">
        <v>0</v>
      </c>
      <c r="G120" s="22">
        <v>0</v>
      </c>
    </row>
    <row r="121" spans="1:7" x14ac:dyDescent="0.35">
      <c r="A121" s="1">
        <v>119</v>
      </c>
      <c r="B121" s="1" t="s">
        <v>186</v>
      </c>
      <c r="C121" s="6" t="s">
        <v>21</v>
      </c>
      <c r="D121" s="4">
        <v>0</v>
      </c>
      <c r="E121" s="22">
        <v>0</v>
      </c>
      <c r="F121" s="22">
        <v>0</v>
      </c>
      <c r="G121" s="22">
        <v>0</v>
      </c>
    </row>
    <row r="122" spans="1:7" x14ac:dyDescent="0.35">
      <c r="A122" s="1">
        <v>120</v>
      </c>
      <c r="B122" s="1" t="s">
        <v>186</v>
      </c>
      <c r="C122" s="6" t="s">
        <v>21</v>
      </c>
      <c r="D122" s="4">
        <v>0</v>
      </c>
      <c r="E122" s="22">
        <v>0</v>
      </c>
      <c r="F122" s="22">
        <v>0</v>
      </c>
      <c r="G122" s="22">
        <v>0</v>
      </c>
    </row>
    <row r="123" spans="1:7" x14ac:dyDescent="0.35">
      <c r="A123" s="1">
        <v>121</v>
      </c>
      <c r="B123" s="1" t="s">
        <v>190</v>
      </c>
      <c r="C123" s="6" t="s">
        <v>21</v>
      </c>
      <c r="D123" s="4">
        <v>1</v>
      </c>
      <c r="E123" s="22">
        <v>2.8571428571428572</v>
      </c>
      <c r="F123" s="22">
        <v>1.4526758399999999E-2</v>
      </c>
      <c r="G123" s="22">
        <v>0.52112197877588728</v>
      </c>
    </row>
    <row r="124" spans="1:7" x14ac:dyDescent="0.35">
      <c r="A124" s="1">
        <v>122</v>
      </c>
      <c r="B124" s="1" t="s">
        <v>190</v>
      </c>
      <c r="C124" s="6" t="s">
        <v>21</v>
      </c>
      <c r="D124" s="4">
        <v>0</v>
      </c>
      <c r="E124" s="22">
        <v>0</v>
      </c>
      <c r="F124" s="22">
        <v>0</v>
      </c>
      <c r="G124" s="22">
        <v>0</v>
      </c>
    </row>
    <row r="125" spans="1:7" x14ac:dyDescent="0.35">
      <c r="A125" s="1">
        <v>123</v>
      </c>
      <c r="B125" s="1" t="s">
        <v>190</v>
      </c>
      <c r="C125" s="6" t="s">
        <v>21</v>
      </c>
      <c r="D125" s="4">
        <v>2</v>
      </c>
      <c r="E125" s="22">
        <v>6.666666666666667</v>
      </c>
      <c r="F125" s="22">
        <v>3.3044134199999999E-2</v>
      </c>
      <c r="G125" s="22">
        <v>1.1956996532519319</v>
      </c>
    </row>
    <row r="126" spans="1:7" x14ac:dyDescent="0.35">
      <c r="A126" s="1">
        <v>124</v>
      </c>
      <c r="B126" s="1" t="s">
        <v>194</v>
      </c>
      <c r="C126" s="6" t="s">
        <v>21</v>
      </c>
      <c r="D126" s="4">
        <v>0</v>
      </c>
      <c r="E126" s="22">
        <v>0</v>
      </c>
      <c r="F126" s="22">
        <v>0</v>
      </c>
      <c r="G126" s="22">
        <v>0</v>
      </c>
    </row>
    <row r="127" spans="1:7" x14ac:dyDescent="0.35">
      <c r="A127" s="1">
        <v>125</v>
      </c>
      <c r="B127" s="1" t="s">
        <v>194</v>
      </c>
      <c r="C127" s="6" t="s">
        <v>21</v>
      </c>
      <c r="D127" s="4">
        <v>0</v>
      </c>
      <c r="E127" s="22">
        <v>0</v>
      </c>
      <c r="F127" s="22">
        <v>0</v>
      </c>
      <c r="G127" s="22">
        <v>0</v>
      </c>
    </row>
    <row r="128" spans="1:7" x14ac:dyDescent="0.35">
      <c r="A128" s="1">
        <v>126</v>
      </c>
      <c r="B128" s="1" t="s">
        <v>194</v>
      </c>
      <c r="C128" s="6" t="s">
        <v>21</v>
      </c>
      <c r="D128" s="4">
        <v>1</v>
      </c>
      <c r="E128" s="22">
        <v>3.8461538461538463</v>
      </c>
      <c r="F128" s="22">
        <v>5.0272668600000008E-2</v>
      </c>
      <c r="G128" s="22">
        <v>2.5811256722584544</v>
      </c>
    </row>
    <row r="129" spans="1:7" x14ac:dyDescent="0.35">
      <c r="A129" s="1">
        <v>127</v>
      </c>
      <c r="B129" s="1" t="s">
        <v>198</v>
      </c>
      <c r="C129" s="6" t="s">
        <v>21</v>
      </c>
      <c r="D129" s="4">
        <v>0</v>
      </c>
      <c r="E129" s="22">
        <v>0</v>
      </c>
      <c r="F129" s="22">
        <v>0</v>
      </c>
      <c r="G129" s="22">
        <v>0</v>
      </c>
    </row>
    <row r="130" spans="1:7" x14ac:dyDescent="0.35">
      <c r="A130" s="1">
        <v>128</v>
      </c>
      <c r="B130" s="1" t="s">
        <v>198</v>
      </c>
      <c r="C130" s="6" t="s">
        <v>21</v>
      </c>
      <c r="D130" s="4">
        <v>1</v>
      </c>
      <c r="E130" s="22">
        <v>3.125</v>
      </c>
      <c r="F130" s="22">
        <v>1.5393840000000001E-2</v>
      </c>
      <c r="G130" s="22">
        <v>0.3857261639434596</v>
      </c>
    </row>
    <row r="131" spans="1:7" x14ac:dyDescent="0.35">
      <c r="A131" s="1">
        <v>129</v>
      </c>
      <c r="B131" s="1" t="s">
        <v>198</v>
      </c>
      <c r="C131" s="6" t="s">
        <v>21</v>
      </c>
      <c r="D131" s="4">
        <v>0</v>
      </c>
      <c r="E131" s="22">
        <v>0</v>
      </c>
      <c r="F131" s="22">
        <v>0</v>
      </c>
      <c r="G131" s="2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5"/>
  <sheetViews>
    <sheetView topLeftCell="A7" workbookViewId="0">
      <selection activeCell="G27" sqref="G27"/>
    </sheetView>
  </sheetViews>
  <sheetFormatPr defaultRowHeight="14.5" x14ac:dyDescent="0.35"/>
  <cols>
    <col min="4" max="4" width="9.1796875" style="16"/>
  </cols>
  <sheetData>
    <row r="1" spans="1:4" x14ac:dyDescent="0.35">
      <c r="A1" s="2" t="s">
        <v>226</v>
      </c>
    </row>
    <row r="2" spans="1:4" x14ac:dyDescent="0.35">
      <c r="A2" t="s">
        <v>2</v>
      </c>
      <c r="B2" t="s">
        <v>4</v>
      </c>
      <c r="C2" t="s">
        <v>228</v>
      </c>
      <c r="D2" s="16" t="s">
        <v>227</v>
      </c>
    </row>
    <row r="3" spans="1:4" x14ac:dyDescent="0.35">
      <c r="A3">
        <v>1</v>
      </c>
      <c r="B3" t="s">
        <v>20</v>
      </c>
      <c r="C3" t="s">
        <v>21</v>
      </c>
      <c r="D3" s="16">
        <v>102.19913160950264</v>
      </c>
    </row>
    <row r="4" spans="1:4" x14ac:dyDescent="0.35">
      <c r="A4">
        <v>4</v>
      </c>
      <c r="B4" t="s">
        <v>26</v>
      </c>
      <c r="C4" t="s">
        <v>27</v>
      </c>
      <c r="D4" s="16">
        <v>68.590282616164245</v>
      </c>
    </row>
    <row r="5" spans="1:4" x14ac:dyDescent="0.35">
      <c r="A5">
        <v>7</v>
      </c>
      <c r="B5" t="s">
        <v>31</v>
      </c>
      <c r="C5" t="s">
        <v>21</v>
      </c>
      <c r="D5" s="16">
        <v>45.301206652804474</v>
      </c>
    </row>
    <row r="6" spans="1:4" x14ac:dyDescent="0.35">
      <c r="A6">
        <v>10</v>
      </c>
      <c r="B6" t="s">
        <v>35</v>
      </c>
      <c r="C6" t="s">
        <v>21</v>
      </c>
      <c r="D6" s="16">
        <v>40.993188173668756</v>
      </c>
    </row>
    <row r="7" spans="1:4" x14ac:dyDescent="0.35">
      <c r="A7">
        <v>13</v>
      </c>
      <c r="B7" t="s">
        <v>39</v>
      </c>
      <c r="C7" t="s">
        <v>21</v>
      </c>
      <c r="D7" s="16">
        <v>36.032393230175735</v>
      </c>
    </row>
    <row r="8" spans="1:4" x14ac:dyDescent="0.35">
      <c r="A8">
        <v>16</v>
      </c>
      <c r="B8" t="s">
        <v>44</v>
      </c>
      <c r="C8" t="s">
        <v>27</v>
      </c>
      <c r="D8" s="16">
        <v>76.362456679807494</v>
      </c>
    </row>
    <row r="9" spans="1:4" x14ac:dyDescent="0.35">
      <c r="A9">
        <v>19</v>
      </c>
      <c r="B9" t="s">
        <v>48</v>
      </c>
      <c r="C9" t="s">
        <v>21</v>
      </c>
      <c r="D9" s="16">
        <v>53.312513807905319</v>
      </c>
    </row>
    <row r="10" spans="1:4" x14ac:dyDescent="0.35">
      <c r="A10">
        <v>22</v>
      </c>
      <c r="B10" t="s">
        <v>52</v>
      </c>
      <c r="C10" t="s">
        <v>53</v>
      </c>
      <c r="D10" s="16">
        <v>64.51566636685196</v>
      </c>
    </row>
    <row r="11" spans="1:4" x14ac:dyDescent="0.35">
      <c r="A11">
        <v>25</v>
      </c>
      <c r="B11" t="s">
        <v>58</v>
      </c>
      <c r="C11" t="s">
        <v>21</v>
      </c>
      <c r="D11" s="16">
        <v>44.084909989145579</v>
      </c>
    </row>
    <row r="12" spans="1:4" x14ac:dyDescent="0.35">
      <c r="A12">
        <v>28</v>
      </c>
      <c r="B12" t="s">
        <v>63</v>
      </c>
      <c r="C12" t="s">
        <v>21</v>
      </c>
      <c r="D12" s="16">
        <v>50.193478277913997</v>
      </c>
    </row>
    <row r="13" spans="1:4" x14ac:dyDescent="0.35">
      <c r="A13">
        <v>31</v>
      </c>
      <c r="B13" t="s">
        <v>67</v>
      </c>
      <c r="C13" t="s">
        <v>21</v>
      </c>
      <c r="D13" s="16">
        <v>41.948080217663275</v>
      </c>
    </row>
    <row r="14" spans="1:4" x14ac:dyDescent="0.35">
      <c r="A14">
        <v>34</v>
      </c>
      <c r="B14" t="s">
        <v>71</v>
      </c>
      <c r="C14" t="s">
        <v>21</v>
      </c>
      <c r="D14" s="16">
        <v>39.40977776934696</v>
      </c>
    </row>
    <row r="15" spans="1:4" x14ac:dyDescent="0.35">
      <c r="A15">
        <v>37</v>
      </c>
      <c r="B15" t="s">
        <v>75</v>
      </c>
      <c r="C15" t="s">
        <v>53</v>
      </c>
      <c r="D15" s="16">
        <v>109.24145874382225</v>
      </c>
    </row>
    <row r="16" spans="1:4" x14ac:dyDescent="0.35">
      <c r="A16">
        <v>40</v>
      </c>
      <c r="B16" t="s">
        <v>79</v>
      </c>
      <c r="C16" t="s">
        <v>53</v>
      </c>
      <c r="D16" s="16">
        <v>80.092350703822362</v>
      </c>
    </row>
    <row r="17" spans="1:4" x14ac:dyDescent="0.35">
      <c r="A17">
        <v>43</v>
      </c>
      <c r="B17" t="s">
        <v>83</v>
      </c>
      <c r="C17" t="s">
        <v>53</v>
      </c>
      <c r="D17" s="16">
        <v>62.751753800466631</v>
      </c>
    </row>
    <row r="18" spans="1:4" x14ac:dyDescent="0.35">
      <c r="A18">
        <v>46</v>
      </c>
      <c r="B18" t="s">
        <v>88</v>
      </c>
      <c r="C18" t="s">
        <v>21</v>
      </c>
      <c r="D18" s="16">
        <v>62.548079792609883</v>
      </c>
    </row>
    <row r="19" spans="1:4" x14ac:dyDescent="0.35">
      <c r="A19">
        <v>49</v>
      </c>
      <c r="B19" t="s">
        <v>93</v>
      </c>
      <c r="C19" t="s">
        <v>21</v>
      </c>
      <c r="D19" s="16">
        <v>52.790125873969458</v>
      </c>
    </row>
    <row r="20" spans="1:4" x14ac:dyDescent="0.35">
      <c r="A20">
        <v>52</v>
      </c>
      <c r="B20" t="s">
        <v>97</v>
      </c>
      <c r="C20" t="s">
        <v>27</v>
      </c>
      <c r="D20" s="16">
        <v>63.204193419838177</v>
      </c>
    </row>
    <row r="21" spans="1:4" x14ac:dyDescent="0.35">
      <c r="A21">
        <v>55</v>
      </c>
      <c r="B21" t="s">
        <v>101</v>
      </c>
      <c r="C21" t="s">
        <v>21</v>
      </c>
      <c r="D21" s="16">
        <v>52.621884140816597</v>
      </c>
    </row>
    <row r="22" spans="1:4" x14ac:dyDescent="0.35">
      <c r="A22">
        <v>58</v>
      </c>
      <c r="B22" t="s">
        <v>105</v>
      </c>
      <c r="C22" t="s">
        <v>21</v>
      </c>
      <c r="D22" s="16">
        <v>46.06516001134252</v>
      </c>
    </row>
    <row r="23" spans="1:4" x14ac:dyDescent="0.35">
      <c r="A23">
        <v>61</v>
      </c>
      <c r="B23" t="s">
        <v>109</v>
      </c>
      <c r="C23" t="s">
        <v>53</v>
      </c>
      <c r="D23" s="16">
        <v>132.02735086640064</v>
      </c>
    </row>
    <row r="24" spans="1:4" x14ac:dyDescent="0.35">
      <c r="A24">
        <v>64</v>
      </c>
      <c r="B24" t="s">
        <v>113</v>
      </c>
      <c r="C24" t="s">
        <v>53</v>
      </c>
      <c r="D24" s="16">
        <v>86.503626044303104</v>
      </c>
    </row>
    <row r="25" spans="1:4" x14ac:dyDescent="0.35">
      <c r="A25">
        <v>67</v>
      </c>
      <c r="B25" t="s">
        <v>118</v>
      </c>
      <c r="C25" t="s">
        <v>27</v>
      </c>
      <c r="D25" s="16">
        <v>103.61263300217905</v>
      </c>
    </row>
    <row r="26" spans="1:4" x14ac:dyDescent="0.35">
      <c r="A26">
        <v>70</v>
      </c>
      <c r="B26" t="s">
        <v>122</v>
      </c>
      <c r="C26" t="s">
        <v>53</v>
      </c>
      <c r="D26" s="16">
        <v>75.000966354655404</v>
      </c>
    </row>
    <row r="27" spans="1:4" x14ac:dyDescent="0.35">
      <c r="A27">
        <v>73</v>
      </c>
      <c r="B27" t="s">
        <v>126</v>
      </c>
      <c r="C27" t="s">
        <v>21</v>
      </c>
      <c r="D27" s="16">
        <v>83.803649782518306</v>
      </c>
    </row>
    <row r="28" spans="1:4" x14ac:dyDescent="0.35">
      <c r="A28">
        <v>76</v>
      </c>
      <c r="B28" t="s">
        <v>130</v>
      </c>
      <c r="C28" t="s">
        <v>53</v>
      </c>
      <c r="D28" s="16">
        <v>93.297510373952065</v>
      </c>
    </row>
    <row r="29" spans="1:4" x14ac:dyDescent="0.35">
      <c r="A29">
        <v>79</v>
      </c>
      <c r="B29" t="s">
        <v>134</v>
      </c>
      <c r="C29" t="s">
        <v>27</v>
      </c>
      <c r="D29" s="16">
        <v>46.982851784434459</v>
      </c>
    </row>
    <row r="30" spans="1:4" x14ac:dyDescent="0.35">
      <c r="A30">
        <v>82</v>
      </c>
      <c r="B30" t="s">
        <v>138</v>
      </c>
      <c r="C30" t="s">
        <v>21</v>
      </c>
      <c r="D30" s="16">
        <v>49.551240368752502</v>
      </c>
    </row>
    <row r="31" spans="1:4" x14ac:dyDescent="0.35">
      <c r="A31">
        <v>85</v>
      </c>
      <c r="B31" t="s">
        <v>142</v>
      </c>
      <c r="C31" t="s">
        <v>27</v>
      </c>
      <c r="D31" s="16">
        <v>52.493515959139074</v>
      </c>
    </row>
    <row r="32" spans="1:4" x14ac:dyDescent="0.35">
      <c r="A32">
        <v>88</v>
      </c>
      <c r="B32" t="s">
        <v>146</v>
      </c>
      <c r="C32" t="s">
        <v>21</v>
      </c>
      <c r="D32" s="16">
        <v>43.219429100713107</v>
      </c>
    </row>
    <row r="33" spans="1:4" x14ac:dyDescent="0.35">
      <c r="A33">
        <v>91</v>
      </c>
      <c r="B33" t="s">
        <v>150</v>
      </c>
      <c r="C33" t="s">
        <v>21</v>
      </c>
      <c r="D33" s="16">
        <v>62.998896174283828</v>
      </c>
    </row>
    <row r="34" spans="1:4" x14ac:dyDescent="0.35">
      <c r="A34">
        <v>94</v>
      </c>
      <c r="B34" t="s">
        <v>154</v>
      </c>
      <c r="C34" t="s">
        <v>21</v>
      </c>
      <c r="D34" s="16">
        <v>43.216906854143318</v>
      </c>
    </row>
    <row r="35" spans="1:4" x14ac:dyDescent="0.35">
      <c r="A35">
        <v>97</v>
      </c>
      <c r="B35" t="s">
        <v>158</v>
      </c>
      <c r="C35" t="s">
        <v>27</v>
      </c>
      <c r="D35" s="16">
        <v>65.818378871651191</v>
      </c>
    </row>
    <row r="36" spans="1:4" x14ac:dyDescent="0.35">
      <c r="A36">
        <v>100</v>
      </c>
      <c r="B36" t="s">
        <v>162</v>
      </c>
      <c r="C36" t="s">
        <v>21</v>
      </c>
      <c r="D36" s="16">
        <v>47.769359460467683</v>
      </c>
    </row>
    <row r="37" spans="1:4" x14ac:dyDescent="0.35">
      <c r="A37">
        <v>103</v>
      </c>
      <c r="B37" t="s">
        <v>166</v>
      </c>
      <c r="C37" t="s">
        <v>53</v>
      </c>
      <c r="D37" s="16">
        <v>96.145542619338983</v>
      </c>
    </row>
    <row r="38" spans="1:4" x14ac:dyDescent="0.35">
      <c r="A38">
        <v>106</v>
      </c>
      <c r="B38" t="s">
        <v>170</v>
      </c>
      <c r="C38" t="s">
        <v>53</v>
      </c>
      <c r="D38" s="16">
        <v>74.033288266578339</v>
      </c>
    </row>
    <row r="39" spans="1:4" x14ac:dyDescent="0.35">
      <c r="A39">
        <v>109</v>
      </c>
      <c r="B39" t="s">
        <v>174</v>
      </c>
      <c r="C39" t="s">
        <v>27</v>
      </c>
      <c r="D39" s="16">
        <v>85.781339537654105</v>
      </c>
    </row>
    <row r="40" spans="1:4" x14ac:dyDescent="0.35">
      <c r="A40">
        <v>112</v>
      </c>
      <c r="B40" t="s">
        <v>178</v>
      </c>
      <c r="C40" t="s">
        <v>21</v>
      </c>
      <c r="D40" s="16">
        <v>71.360173810217034</v>
      </c>
    </row>
    <row r="41" spans="1:4" x14ac:dyDescent="0.35">
      <c r="A41">
        <v>115</v>
      </c>
      <c r="B41" t="s">
        <v>182</v>
      </c>
      <c r="C41" t="s">
        <v>21</v>
      </c>
      <c r="D41" s="16">
        <v>0</v>
      </c>
    </row>
    <row r="42" spans="1:4" x14ac:dyDescent="0.35">
      <c r="A42">
        <v>118</v>
      </c>
      <c r="B42" t="s">
        <v>186</v>
      </c>
      <c r="C42" t="s">
        <v>21</v>
      </c>
      <c r="D42" s="16">
        <v>0</v>
      </c>
    </row>
    <row r="43" spans="1:4" x14ac:dyDescent="0.35">
      <c r="A43">
        <v>121</v>
      </c>
      <c r="B43" t="s">
        <v>190</v>
      </c>
      <c r="C43" t="s">
        <v>21</v>
      </c>
      <c r="D43" s="16">
        <v>14.273192841419466</v>
      </c>
    </row>
    <row r="44" spans="1:4" x14ac:dyDescent="0.35">
      <c r="A44">
        <v>124</v>
      </c>
      <c r="B44" t="s">
        <v>194</v>
      </c>
      <c r="C44" t="s">
        <v>21</v>
      </c>
      <c r="D44" s="16">
        <v>10.475759839470767</v>
      </c>
    </row>
    <row r="45" spans="1:4" x14ac:dyDescent="0.35">
      <c r="A45">
        <v>127</v>
      </c>
      <c r="B45" t="s">
        <v>198</v>
      </c>
      <c r="C45" t="s">
        <v>21</v>
      </c>
      <c r="D45" s="16">
        <v>7.8369087213144875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2008-10-# Trees-12.5up Rfreq</vt:lpstr>
      <vt:lpstr>2008-10-# Trees-12.5up Rdens</vt:lpstr>
      <vt:lpstr>2008-10-BasalArea-12.5up Rdom</vt:lpstr>
      <vt:lpstr>Ash IV - 12.5up</vt:lpstr>
      <vt:lpstr>Rdens, Rdom data for SAS</vt:lpstr>
      <vt:lpstr>IV data for 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WSK</dc:creator>
  <cp:lastModifiedBy>Aaron Tayal</cp:lastModifiedBy>
  <dcterms:created xsi:type="dcterms:W3CDTF">2012-08-02T20:46:42Z</dcterms:created>
  <dcterms:modified xsi:type="dcterms:W3CDTF">2025-06-18T17:43:57Z</dcterms:modified>
</cp:coreProperties>
</file>